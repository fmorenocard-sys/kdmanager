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ransactions" sheetId="2" r:id="rId6"/>
    <sheet state="visible" name="Weekly Contribution" sheetId="3" r:id="rId7"/>
    <sheet state="visible" name="Contributors Log" sheetId="4" r:id="rId8"/>
    <sheet state="visible" name="Penalty Ledger" sheetId="5" r:id="rId9"/>
    <sheet state="visible" name="Withdrawals Log" sheetId="6" r:id="rId10"/>
  </sheets>
  <definedNames>
    <definedName hidden="1" localSheetId="3" name="_xlnm._FilterDatabase">'Contributors Log'!$A$1:$G$107</definedName>
  </definedNames>
  <calcPr/>
</workbook>
</file>

<file path=xl/sharedStrings.xml><?xml version="1.0" encoding="utf-8"?>
<sst xmlns="http://schemas.openxmlformats.org/spreadsheetml/2006/main" count="4239" uniqueCount="347">
  <si>
    <t>Resource</t>
  </si>
  <si>
    <t>Total In</t>
  </si>
  <si>
    <t>Total Out</t>
  </si>
  <si>
    <t>Current Balance</t>
  </si>
  <si>
    <t>Food</t>
  </si>
  <si>
    <t>Wood</t>
  </si>
  <si>
    <t>Stone</t>
  </si>
  <si>
    <t>Gold</t>
  </si>
  <si>
    <t>ID</t>
  </si>
  <si>
    <t>NAME</t>
  </si>
  <si>
    <t>FOOD</t>
  </si>
  <si>
    <t>WOOD</t>
  </si>
  <si>
    <t>STONE</t>
  </si>
  <si>
    <t>GOLD</t>
  </si>
  <si>
    <t>TOTAL RSS</t>
  </si>
  <si>
    <t>Heliøsツ</t>
  </si>
  <si>
    <t>Lazy Cat ツ</t>
  </si>
  <si>
    <t>Łørd Ᵽraмa</t>
  </si>
  <si>
    <t>會 ᴋᴀʏ シ</t>
  </si>
  <si>
    <t>・Maka・</t>
  </si>
  <si>
    <t>lazy Liwen 寳</t>
  </si>
  <si>
    <t>Aurionツ</t>
  </si>
  <si>
    <t>Adam23</t>
  </si>
  <si>
    <t>AmiralMaximus</t>
  </si>
  <si>
    <t>ᵀᶜ Tequila</t>
  </si>
  <si>
    <t>FromKiev1122</t>
  </si>
  <si>
    <t>ᵂAᴿ Demon</t>
  </si>
  <si>
    <t>Siyempi</t>
  </si>
  <si>
    <t>义CHRYS义</t>
  </si>
  <si>
    <t>ﾒUğurﾒ</t>
  </si>
  <si>
    <t>Tekno23</t>
  </si>
  <si>
    <t>ᵀᴺ Yakoo</t>
  </si>
  <si>
    <t>Kᴀᴋᴀsʜɪ</t>
  </si>
  <si>
    <t>Urkel94</t>
  </si>
  <si>
    <t>爻WarLock爻</t>
  </si>
  <si>
    <t>FIREWoLF</t>
  </si>
  <si>
    <t>Enes 33</t>
  </si>
  <si>
    <t>ƝÎ乙ĀⱮ</t>
  </si>
  <si>
    <t>LAZY BOOND</t>
  </si>
  <si>
    <t>RiP2016</t>
  </si>
  <si>
    <t>J Pangestu</t>
  </si>
  <si>
    <t>Arktos</t>
  </si>
  <si>
    <t>King ᶠʳʸ</t>
  </si>
  <si>
    <t>メCalメ</t>
  </si>
  <si>
    <t>CrazyLady2</t>
  </si>
  <si>
    <t>Herakles ツ</t>
  </si>
  <si>
    <t>AzeM</t>
  </si>
  <si>
    <t>Grimm48</t>
  </si>
  <si>
    <t>Ħeřr Şimôñ</t>
  </si>
  <si>
    <t>Pickle Gnyxey</t>
  </si>
  <si>
    <t>Ƀłøømɇɍ</t>
  </si>
  <si>
    <t>Losant</t>
  </si>
  <si>
    <t>ᵛᶰシSunシ</t>
  </si>
  <si>
    <t>ᴴᵘⁿBéo</t>
  </si>
  <si>
    <t>FadhelF</t>
  </si>
  <si>
    <t>ᵁᴺLêMinh</t>
  </si>
  <si>
    <t>e s o r</t>
  </si>
  <si>
    <t>Draay</t>
  </si>
  <si>
    <t>Scricciolo</t>
  </si>
  <si>
    <t>ᵀᵒᴿQuyet</t>
  </si>
  <si>
    <t>Vill Báalam</t>
  </si>
  <si>
    <t>KaTrin</t>
  </si>
  <si>
    <t>Tzilacatzin</t>
  </si>
  <si>
    <t>SAX0N</t>
  </si>
  <si>
    <t>Darth ShүNøX</t>
  </si>
  <si>
    <t>ᵂʷ LTA TáO</t>
  </si>
  <si>
    <t>Steelite</t>
  </si>
  <si>
    <t>Melottus</t>
  </si>
  <si>
    <t>TitanMARU</t>
  </si>
  <si>
    <t>yamen Di</t>
  </si>
  <si>
    <t>FixiHartMan1</t>
  </si>
  <si>
    <t>DompfX</t>
  </si>
  <si>
    <t>Lord Valkorion</t>
  </si>
  <si>
    <t>ɮ ʀǟӼ</t>
  </si>
  <si>
    <t>乄jacony乄</t>
  </si>
  <si>
    <t>Seckin34๛</t>
  </si>
  <si>
    <t>ŻŸŁÜĶ㋡</t>
  </si>
  <si>
    <t>KaizerX</t>
  </si>
  <si>
    <t>R7R7</t>
  </si>
  <si>
    <t>Dreckschlumpf</t>
  </si>
  <si>
    <t>whoamii</t>
  </si>
  <si>
    <t>Anshii</t>
  </si>
  <si>
    <t>ᵂʷ Sandman シ</t>
  </si>
  <si>
    <t>Son of Odin2997</t>
  </si>
  <si>
    <t>OkBanSeChet</t>
  </si>
  <si>
    <t>Łørd Shyпøx</t>
  </si>
  <si>
    <t>GAGS</t>
  </si>
  <si>
    <t>ˢᴳSeeker</t>
  </si>
  <si>
    <t>Mofu1</t>
  </si>
  <si>
    <t>smurfet87</t>
  </si>
  <si>
    <t>Kurvernööri</t>
  </si>
  <si>
    <t>ᵀᴼᴷBARNEY</t>
  </si>
  <si>
    <t>ᴱᴿ RKing79</t>
  </si>
  <si>
    <t>ᵂʷ Jools シ</t>
  </si>
  <si>
    <t>Mazalteutl</t>
  </si>
  <si>
    <t>ᵁᴺGreb</t>
  </si>
  <si>
    <t>Roki Balboy</t>
  </si>
  <si>
    <t>PR puesto chico</t>
  </si>
  <si>
    <t>AdriiGF94</t>
  </si>
  <si>
    <t>乂 マoddi 乂</t>
  </si>
  <si>
    <t>ᵀᵒSirix8472</t>
  </si>
  <si>
    <t>dilli</t>
  </si>
  <si>
    <t>BOONDD</t>
  </si>
  <si>
    <t>ᴮᵒᵂdreXIN</t>
  </si>
  <si>
    <t>SIJUGUL GORAT</t>
  </si>
  <si>
    <t>374 Small Fry</t>
  </si>
  <si>
    <t>Strozhkov</t>
  </si>
  <si>
    <t>atom karica</t>
  </si>
  <si>
    <t>SILVERHAND 乂</t>
  </si>
  <si>
    <t>ᵛⁿNąHƴ ジ</t>
  </si>
  <si>
    <t>V for VENDETTA</t>
  </si>
  <si>
    <t>Maximus core</t>
  </si>
  <si>
    <t>亗 DONJAN 亗</t>
  </si>
  <si>
    <t>H ム I D E R</t>
  </si>
  <si>
    <t>乄Eşkiya46乄</t>
  </si>
  <si>
    <t>Cashmoney420</t>
  </si>
  <si>
    <t>Mictlan Tecutli</t>
  </si>
  <si>
    <t>MƏGÁN</t>
  </si>
  <si>
    <t>ᵀᵒKinfernus</t>
  </si>
  <si>
    <t>Тiамат 义</t>
  </si>
  <si>
    <t>ˢˢᴵ Cesar82</t>
  </si>
  <si>
    <t>osumaki menma</t>
  </si>
  <si>
    <t>БОБОО79</t>
  </si>
  <si>
    <t>亗 BatMank 亗</t>
  </si>
  <si>
    <t>ᵛᶰsad duckシ</t>
  </si>
  <si>
    <t>SP L3</t>
  </si>
  <si>
    <t>乄Muhtarツ</t>
  </si>
  <si>
    <t>Loco361</t>
  </si>
  <si>
    <t>welllaaaaaaaaaa</t>
  </si>
  <si>
    <t>SkullFroik</t>
  </si>
  <si>
    <t>义Destroyer义</t>
  </si>
  <si>
    <t>LordGusto</t>
  </si>
  <si>
    <t>СЕНАТОР</t>
  </si>
  <si>
    <t>General Mapo</t>
  </si>
  <si>
    <t>sd mique</t>
  </si>
  <si>
    <t>sd Mq</t>
  </si>
  <si>
    <t>亗 yué 亗</t>
  </si>
  <si>
    <t>メSuper Manメ</t>
  </si>
  <si>
    <t>madelene</t>
  </si>
  <si>
    <t>ᶜᴸCesar82</t>
  </si>
  <si>
    <t>Lazy Smurfette</t>
  </si>
  <si>
    <t>Northernman</t>
  </si>
  <si>
    <t>NT ĐVL1</t>
  </si>
  <si>
    <t>ᵀᴼᴷGodgel</t>
  </si>
  <si>
    <t>Persiangulf</t>
  </si>
  <si>
    <t>OTTOMANŠ</t>
  </si>
  <si>
    <t>EspDido</t>
  </si>
  <si>
    <t>义CTAM义</t>
  </si>
  <si>
    <t>Fabregas1533</t>
  </si>
  <si>
    <t>General Judas</t>
  </si>
  <si>
    <t>roimme</t>
  </si>
  <si>
    <t>Chocoツ</t>
  </si>
  <si>
    <t>DNAヅMario</t>
  </si>
  <si>
    <t>Valhallas Gate</t>
  </si>
  <si>
    <t>Vega13</t>
  </si>
  <si>
    <t>DianerysTarg</t>
  </si>
  <si>
    <t>亗DJ KAMA亗</t>
  </si>
  <si>
    <t>Ilhuicamina</t>
  </si>
  <si>
    <t>CABJLorena</t>
  </si>
  <si>
    <t>㐅 Kookie</t>
  </si>
  <si>
    <t>miuv</t>
  </si>
  <si>
    <t>II PHOENIx II</t>
  </si>
  <si>
    <t>㐅 Barto</t>
  </si>
  <si>
    <t>DONALD TUSK</t>
  </si>
  <si>
    <t>亗Zolotashkoツ</t>
  </si>
  <si>
    <t>ᵂᴸSnowWoLF</t>
  </si>
  <si>
    <t>NopeNope</t>
  </si>
  <si>
    <t>Chang Nammon</t>
  </si>
  <si>
    <t>Ninii88</t>
  </si>
  <si>
    <t>KIM BANK</t>
  </si>
  <si>
    <t>FallenRooti8</t>
  </si>
  <si>
    <t>乄Lazy Bツ</t>
  </si>
  <si>
    <t>ᵐᵖ Ray i</t>
  </si>
  <si>
    <t>Pisontije</t>
  </si>
  <si>
    <t>ᵁᴺSexyRickツ</t>
  </si>
  <si>
    <t>ᵁᴺOdin</t>
  </si>
  <si>
    <t>Mashinaa</t>
  </si>
  <si>
    <t>Oxygen ヤ</t>
  </si>
  <si>
    <t>Ngacai</t>
  </si>
  <si>
    <t>Luki92</t>
  </si>
  <si>
    <t>Only Mayıstos</t>
  </si>
  <si>
    <t>ᵂʷSaber</t>
  </si>
  <si>
    <t>Keshiba ツ</t>
  </si>
  <si>
    <t>乄Narcissus</t>
  </si>
  <si>
    <t>亗 Intersect</t>
  </si>
  <si>
    <t>PickleShadowツ</t>
  </si>
  <si>
    <t>Date</t>
  </si>
  <si>
    <t>Player Nickname</t>
  </si>
  <si>
    <t>Source / Reason</t>
  </si>
  <si>
    <t>Type</t>
  </si>
  <si>
    <t>Notes</t>
  </si>
  <si>
    <t>Colonne 1</t>
  </si>
  <si>
    <t>Starting balance</t>
  </si>
  <si>
    <t>Incoming</t>
  </si>
  <si>
    <t>Initial stock pile</t>
  </si>
  <si>
    <t>Penalty</t>
  </si>
  <si>
    <t xml:space="preserve">Voluntarily Contributions </t>
  </si>
  <si>
    <t>DEHA DEVRAN</t>
  </si>
  <si>
    <t>U97 weekly contribution</t>
  </si>
  <si>
    <t xml:space="preserve">Weekly Contribution </t>
  </si>
  <si>
    <t>Cherry on Top ツ</t>
  </si>
  <si>
    <t>Farmers Gathering</t>
  </si>
  <si>
    <t>Warrior Support</t>
  </si>
  <si>
    <t>Outgoing</t>
  </si>
  <si>
    <t xml:space="preserve">rss from his farms </t>
  </si>
  <si>
    <t>ᵁᴺPraMaツ</t>
  </si>
  <si>
    <t>for 3 weeks</t>
  </si>
  <si>
    <t>Name</t>
  </si>
  <si>
    <t>Week Contribution</t>
  </si>
  <si>
    <t>Total Contribution</t>
  </si>
  <si>
    <t>ᵁᴺFiLLer97</t>
  </si>
  <si>
    <t>ᵁᴺOhanaツ</t>
  </si>
  <si>
    <t>Ᵽraмa</t>
  </si>
  <si>
    <t>IZY</t>
  </si>
  <si>
    <t>ᵀᴼᴷGodgel  | ᵁᴺFiLLer97</t>
  </si>
  <si>
    <t>义Destroyer义 | ᵁᴺOhanaツ</t>
  </si>
  <si>
    <t>Łørd Ᵽraмa | ᵁᴺDaddyツ</t>
  </si>
  <si>
    <t>亗 yué 亗 | ᵁᴺLiu D</t>
  </si>
  <si>
    <t>Player</t>
  </si>
  <si>
    <t>Alliance</t>
  </si>
  <si>
    <t>Expected Weekly</t>
  </si>
  <si>
    <t>Received This Week?</t>
  </si>
  <si>
    <t>Last Received</t>
  </si>
  <si>
    <t>U97</t>
  </si>
  <si>
    <t>40M RSS</t>
  </si>
  <si>
    <t>20M RSS</t>
  </si>
  <si>
    <t>-</t>
  </si>
  <si>
    <t>C97</t>
  </si>
  <si>
    <t>younan ezat</t>
  </si>
  <si>
    <t>Week 9 Feb- 15 Feb 2026 Non Contributors</t>
  </si>
  <si>
    <t>Week 2 Feb- 8 Feb 2026 Non Contributors</t>
  </si>
  <si>
    <t>Week 1 Jan - Feb 2026 Non Contributors</t>
  </si>
  <si>
    <t>Week 3 November 2025 Non Contributors</t>
  </si>
  <si>
    <t>Week 2 November 2025 Non Contributors</t>
  </si>
  <si>
    <t>Week 1 November 2025 Non Contributors</t>
  </si>
  <si>
    <t>HoLeeMin</t>
  </si>
  <si>
    <t>Week 1 September 2025 Non Contributors</t>
  </si>
  <si>
    <t>Week 1 September 2025 Contributors</t>
  </si>
  <si>
    <t>UGUR Junior</t>
  </si>
  <si>
    <t>alexsaa</t>
  </si>
  <si>
    <t>DEHA DEVRAN | БОБОО79</t>
  </si>
  <si>
    <t>Week 2 August 2025 Contributors</t>
  </si>
  <si>
    <t>Week 2 August 2025 Non Contributors</t>
  </si>
  <si>
    <t>Week 1 August 2025 Contributors</t>
  </si>
  <si>
    <t>Week 1 August 2025 Non Contributors</t>
  </si>
  <si>
    <t>Note</t>
  </si>
  <si>
    <t>Reason</t>
  </si>
  <si>
    <t>Fine Amount (F/W/S/G)</t>
  </si>
  <si>
    <t>Paid?</t>
  </si>
  <si>
    <t>Date Due</t>
  </si>
  <si>
    <t>AM Abuse</t>
  </si>
  <si>
    <t>59.5M / 59.5M / 59.5M / 59.5M</t>
  </si>
  <si>
    <t>No</t>
  </si>
  <si>
    <t>238M paid 50M</t>
  </si>
  <si>
    <t>51.5M / 51.5M / 51.5M / 51.5M</t>
  </si>
  <si>
    <t>Yes</t>
  </si>
  <si>
    <t>PAID 194,720,000 (206M)</t>
  </si>
  <si>
    <t>42.8M / 42.8M / 42.8M / 42.8M</t>
  </si>
  <si>
    <t>171.2M Paid (166,586,560M)</t>
  </si>
  <si>
    <t>31.6M / 31.6M / 31.6M / 31.6M</t>
  </si>
  <si>
    <t>126.4M Lord Valkorion PAID</t>
  </si>
  <si>
    <t>13.6M / 13.6M / 13.6M / 13.6M</t>
  </si>
  <si>
    <t xml:space="preserve">54.4M </t>
  </si>
  <si>
    <t>12.6M / 12.6M / 12.6M / 12.6M</t>
  </si>
  <si>
    <t>50.4M</t>
  </si>
  <si>
    <t>12.4M / 12.4M / 12.4M / 12.4M</t>
  </si>
  <si>
    <t>49.6M (30/8 110M)</t>
  </si>
  <si>
    <t>10.6M / 10.6M / 10.6M / 10.6M</t>
  </si>
  <si>
    <t>42.4M</t>
  </si>
  <si>
    <t>6.1M / 6.1M / 6.1M / 6.1M</t>
  </si>
  <si>
    <t>24.4M</t>
  </si>
  <si>
    <t>3.3M / 3.3M / 3.3M / 3.3M</t>
  </si>
  <si>
    <t>13.2M</t>
  </si>
  <si>
    <t>0.5M / 0.5M / 0.5M / 0.5M</t>
  </si>
  <si>
    <t>2M</t>
  </si>
  <si>
    <t>0.1M / 0.1M / 0.1M / 0.1M</t>
  </si>
  <si>
    <t>0.4M</t>
  </si>
  <si>
    <t>MGE Abuse</t>
  </si>
  <si>
    <t>26.25M / 26.25M / 26.25M / 26.25M</t>
  </si>
  <si>
    <t>(105M) Boond PAID 110M</t>
  </si>
  <si>
    <t>78.75M / 78.75M/ 78.75M/ 78.75M</t>
  </si>
  <si>
    <t>(315M) 17/8 paid 300m</t>
  </si>
  <si>
    <t>15M/ 15M/ 15M/ 15M</t>
  </si>
  <si>
    <t>(60M)</t>
  </si>
  <si>
    <t>GH Abuse</t>
  </si>
  <si>
    <t>10M/ 10M/ 10M/ 10M</t>
  </si>
  <si>
    <t>20M/ 10M/ 15.5M/ 10M</t>
  </si>
  <si>
    <t>Low Activity</t>
  </si>
  <si>
    <t>87.5M/ 87.5M/ 87.5M/ 87.5M</t>
  </si>
  <si>
    <t>350M RSS (25/8 PAID 230M)</t>
  </si>
  <si>
    <t>125M/ 125M/ 125M/ 125M</t>
  </si>
  <si>
    <r>
      <rPr>
        <rFont val="Calibri"/>
        <color theme="1"/>
      </rPr>
      <t xml:space="preserve">500M RSS (25/8 PAID 82.8M | </t>
    </r>
    <r>
      <rPr>
        <rFont val="Calibri"/>
        <color rgb="FF0000FF"/>
      </rPr>
      <t>29/8 73.6M</t>
    </r>
    <r>
      <rPr>
        <rFont val="Calibri"/>
        <color theme="1"/>
      </rPr>
      <t xml:space="preserve"> | </t>
    </r>
    <r>
      <rPr>
        <rFont val="Calibri"/>
        <color rgb="FF6AA84F"/>
      </rPr>
      <t xml:space="preserve">14/9 73.6M </t>
    </r>
    <r>
      <rPr>
        <rFont val="Calibri"/>
        <color theme="1"/>
      </rPr>
      <t>(230M))</t>
    </r>
  </si>
  <si>
    <t>242.1M/ 219.6M/ 260M/ 217.9M</t>
  </si>
  <si>
    <t>1B (Paid 939.7M)</t>
  </si>
  <si>
    <t>150M/ 1B / 140M/ 70M</t>
  </si>
  <si>
    <t xml:space="preserve">1.4B </t>
  </si>
  <si>
    <t>178M/ 134.7M/ 133.2M/ 160.5M</t>
  </si>
  <si>
    <t>2B (Paid 6/9 606.6M)</t>
  </si>
  <si>
    <t>200M/ 50M/ 200M/ 50M</t>
  </si>
  <si>
    <t xml:space="preserve">500M </t>
  </si>
  <si>
    <t xml:space="preserve">1.2B </t>
  </si>
  <si>
    <t>100M/ 100M/ 100M/ 100M</t>
  </si>
  <si>
    <t>400M</t>
  </si>
  <si>
    <t>83.5M/ 83.5M/ 83.5M/ 83.5M</t>
  </si>
  <si>
    <t>334M</t>
  </si>
  <si>
    <t>71.8M/ 71.8M/ 71.8M/ 71.8M</t>
  </si>
  <si>
    <t>287.2M</t>
  </si>
  <si>
    <t>65M/ 65M/ 65M/ 65M</t>
  </si>
  <si>
    <t>260M</t>
  </si>
  <si>
    <t>28.3M/ 28.3M/ 28.3M/ 28.3M</t>
  </si>
  <si>
    <t>113.2M</t>
  </si>
  <si>
    <t>22M/ 22M/ 22M/ 22M</t>
  </si>
  <si>
    <t>88M</t>
  </si>
  <si>
    <t>32.7M/ 32.7M/ 32.7M/ 32.7M</t>
  </si>
  <si>
    <t>130.8M 17/10 -50M</t>
  </si>
  <si>
    <t>20.2M/ 20.2M/ 20.2M/ 20.2M</t>
  </si>
  <si>
    <t>80.8M</t>
  </si>
  <si>
    <t>2M/ 2M/ 2M/ 2M</t>
  </si>
  <si>
    <t>8M</t>
  </si>
  <si>
    <t>600M G</t>
  </si>
  <si>
    <t>10/11: 530.4M</t>
  </si>
  <si>
    <t>1.225B</t>
  </si>
  <si>
    <t>Pardon</t>
  </si>
  <si>
    <r>
      <rPr>
        <rFont val="Calibri"/>
        <color theme="1"/>
      </rPr>
      <t xml:space="preserve">27/1 390M | </t>
    </r>
    <r>
      <rPr>
        <rFont val="Calibri"/>
        <b/>
        <color theme="4"/>
      </rPr>
      <t>Total: 390M</t>
    </r>
  </si>
  <si>
    <t>1.220B</t>
  </si>
  <si>
    <t>1.043B</t>
  </si>
  <si>
    <t>1.012B</t>
  </si>
  <si>
    <t>845M</t>
  </si>
  <si>
    <t>456M</t>
  </si>
  <si>
    <r>
      <rPr>
        <rFont val="Calibri"/>
        <color theme="1"/>
      </rPr>
      <t xml:space="preserve">1/2 172M | 31/1 292M | </t>
    </r>
    <r>
      <rPr>
        <rFont val="Calibri"/>
        <b/>
        <color rgb="FF4F81BD"/>
      </rPr>
      <t>Total: 464M</t>
    </r>
  </si>
  <si>
    <t>336M</t>
  </si>
  <si>
    <t>Installments</t>
  </si>
  <si>
    <r>
      <rPr>
        <rFont val="Calibri"/>
        <color theme="1"/>
      </rPr>
      <t xml:space="preserve">28/1 60M | 27/1 40M | 26/1 130M | 25/1 paid 60M | </t>
    </r>
    <r>
      <rPr>
        <rFont val="Calibri"/>
        <b/>
        <color rgb="FF4F81BD"/>
      </rPr>
      <t>Total: 290M</t>
    </r>
  </si>
  <si>
    <t>330M</t>
  </si>
  <si>
    <r>
      <rPr>
        <rFont val="Calibri"/>
        <color theme="1"/>
      </rPr>
      <t xml:space="preserve">29/1 50M | 27/1 30M | 26/1 20M | 25/1 paid 160M | </t>
    </r>
    <r>
      <rPr>
        <rFont val="Calibri"/>
        <b/>
        <color rgb="FF4F81BD"/>
      </rPr>
      <t>Total: 260M</t>
    </r>
  </si>
  <si>
    <t>232M</t>
  </si>
  <si>
    <t>211M</t>
  </si>
  <si>
    <t>168M</t>
  </si>
  <si>
    <t>48M</t>
  </si>
  <si>
    <t>60M</t>
  </si>
  <si>
    <t>130M</t>
  </si>
  <si>
    <t>Recipient</t>
  </si>
  <si>
    <t>Purpose</t>
  </si>
  <si>
    <t>Approved By</t>
  </si>
  <si>
    <t>Fight</t>
  </si>
  <si>
    <t>Helios</t>
  </si>
  <si>
    <t>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</si>
</sst>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#"/>
    <numFmt numFmtId="165" formatCode="dd/MM/yyyy"/>
  </numFmts>
  <fonts count="18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sz val="12.0"/>
      <color rgb="FF000000"/>
      <name val="Calibri"/>
    </font>
    <font>
      <sz val="12.0"/>
      <color theme="1"/>
      <name val="Calibri"/>
      <scheme val="minor"/>
    </font>
    <font>
      <sz val="12.0"/>
      <color rgb="FF434343"/>
      <name val="Roboto"/>
    </font>
    <font>
      <sz val="11.0"/>
      <color rgb="FF434343"/>
      <name val="Roboto"/>
    </font>
    <font>
      <sz val="12.0"/>
      <color theme="1"/>
      <name val="Roboto"/>
    </font>
    <font>
      <b/>
      <sz val="12.0"/>
      <color theme="1"/>
      <name val="Roboto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sz val="10.0"/>
      <color rgb="FF000000"/>
      <name val="Roboto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b/>
      <sz val="12.0"/>
      <color theme="1"/>
      <name val="Calibri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sz val="14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3" fillId="3" fontId="6" numFmtId="165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0" fillId="0" fontId="7" numFmtId="164" xfId="0" applyAlignment="1" applyFont="1" applyNumberFormat="1">
      <alignment readingOrder="0" shrinkToFit="0" vertical="center" wrapText="0"/>
    </xf>
    <xf borderId="0" fillId="0" fontId="0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9" numFmtId="164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0" numFmtId="164" xfId="0" applyAlignment="1" applyFont="1" applyNumberFormat="1">
      <alignment horizontal="center" readingOrder="0" shrinkToFit="0" vertical="center" wrapText="0"/>
    </xf>
    <xf borderId="0" fillId="2" fontId="6" numFmtId="164" xfId="0" applyAlignment="1" applyFont="1" applyNumberFormat="1">
      <alignment horizontal="center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0" fillId="3" fontId="6" numFmtId="164" xfId="0" applyAlignment="1" applyFont="1" applyNumberFormat="1">
      <alignment horizontal="center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0" fillId="0" fontId="10" numFmtId="0" xfId="0" applyAlignment="1" applyFont="1">
      <alignment horizontal="center" readingOrder="0" shrinkToFit="0" vertical="center" wrapText="0"/>
    </xf>
    <xf borderId="0" fillId="0" fontId="10" numFmtId="164" xfId="0" applyAlignment="1" applyFont="1" applyNumberFormat="1">
      <alignment horizontal="center" readingOrder="0" shrinkToFit="0" vertical="center" wrapText="0"/>
    </xf>
    <xf borderId="0" fillId="3" fontId="6" numFmtId="0" xfId="0" applyAlignment="1" applyFont="1">
      <alignment horizontal="center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3" fontId="5" numFmtId="0" xfId="0" applyAlignment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2" numFmtId="164" xfId="0" applyAlignment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horizontal="center" shrinkToFit="0" vertical="center" wrapText="0"/>
    </xf>
    <xf borderId="0" fillId="0" fontId="13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3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4" numFmtId="165" xfId="0" applyAlignment="1" applyFont="1" applyNumberFormat="1">
      <alignment readingOrder="0" shrinkToFit="0" vertical="center" wrapText="0"/>
    </xf>
    <xf borderId="0" fillId="0" fontId="13" numFmtId="0" xfId="0" applyAlignment="1" applyFont="1">
      <alignment horizontal="center" readingOrder="0" vertical="center"/>
    </xf>
    <xf borderId="0" fillId="4" fontId="13" numFmtId="0" xfId="0" applyAlignment="1" applyFill="1" applyFont="1">
      <alignment horizontal="center" readingOrder="0" vertical="center"/>
    </xf>
    <xf borderId="0" fillId="0" fontId="13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vertical="center"/>
    </xf>
    <xf borderId="0" fillId="0" fontId="0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shrinkToFit="0" vertical="center" wrapText="0"/>
    </xf>
    <xf borderId="0" fillId="5" fontId="13" numFmtId="0" xfId="0" applyAlignment="1" applyFill="1" applyFont="1">
      <alignment horizontal="center" readingOrder="0" vertical="center"/>
    </xf>
    <xf borderId="0" fillId="0" fontId="0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26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nsac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Weekly Contribution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2" pivot="0" name="Weekly Contribution-style 3">
      <tableStyleElement dxfId="2" type="firstRowStripe"/>
      <tableStyleElement dxfId="3" type="secondRowStripe"/>
    </tableStyle>
    <tableStyle count="5" pivot="0" name="Weekly Contribution-style 4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5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6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7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5" pivot="0" name="Weekly Contribution-style 8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Contributors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2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ontributors Log-style 13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Penalty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Withdrawals 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1</xdr:row>
      <xdr:rowOff>123825</xdr:rowOff>
    </xdr:from>
    <xdr:ext cx="5295900" cy="3305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28575</xdr:rowOff>
    </xdr:from>
    <xdr:ext cx="8286750" cy="25812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571500</xdr:colOff>
      <xdr:row>0</xdr:row>
      <xdr:rowOff>85725</xdr:rowOff>
    </xdr:from>
    <xdr:ext cx="7286625" cy="23145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1</xdr:row>
      <xdr:rowOff>85725</xdr:rowOff>
    </xdr:from>
    <xdr:ext cx="9639300" cy="24669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400050</xdr:colOff>
      <xdr:row>2</xdr:row>
      <xdr:rowOff>114300</xdr:rowOff>
    </xdr:from>
    <xdr:ext cx="8315325" cy="18002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Dashboard" name="Dashboard" id="1">
  <tableColumns count="4">
    <tableColumn name="Resource" id="1"/>
    <tableColumn name="Total In" id="2"/>
    <tableColumn name="Total Out" id="3"/>
    <tableColumn name="Current Balance" id="4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9:G180" displayName="Total_Contribution" name="Total_Contribution" id="2">
  <tableColumns count="7">
    <tableColumn name="ID" id="1"/>
    <tableColumn name="NAME" id="2"/>
    <tableColumn name="FOOD" id="3"/>
    <tableColumn name="WOOD" id="4"/>
    <tableColumn name="STONE" id="5"/>
    <tableColumn name="GOLD" id="6"/>
    <tableColumn name="TOTAL RSS" id="7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1:J757" displayName="Transactions" name="Transactions" id="3">
  <tableColumns count="10">
    <tableColumn name="Date" id="1"/>
    <tableColumn name="Player Nickname" id="2"/>
    <tableColumn name="Source / Reason" id="3"/>
    <tableColumn name="Food" id="4"/>
    <tableColumn name="Wood" id="5"/>
    <tableColumn name="Stone" id="6"/>
    <tableColumn name="Gold" id="7"/>
    <tableColumn name="Type" id="8"/>
    <tableColumn name="Notes" id="9"/>
    <tableColumn name="Colonne 1" id="10"/>
  </tableColumns>
  <tableStyleInfo name="Transactions-style" showColumnStripes="0" showFirstColumn="1" showLastColumn="1" showRowStripes="1"/>
</table>
</file>

<file path=xl/tables/table4.xml><?xml version="1.0" encoding="utf-8"?>
<table xmlns="http://schemas.openxmlformats.org/spreadsheetml/2006/main" totalsRowCount="1" ref="A3:H24" displayName="Week_16_22_Feb_2026" name="Week_16_22_Feb_2026" id="4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" showColumnStripes="0" showFirstColumn="1" showLastColumn="1" showRowStripes="1"/>
</table>
</file>

<file path=xl/tables/table5.xml><?xml version="1.0" encoding="utf-8"?>
<table xmlns="http://schemas.openxmlformats.org/spreadsheetml/2006/main" totalsRowCount="1" ref="A31:H82" displayName="Week_9_15_Feb_2026" name="Week_9_15_Feb_2026" id="5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2" showColumnStripes="0" showFirstColumn="1" showLastColumn="1" showRowStripes="1"/>
</table>
</file>

<file path=xl/tables/table6.xml><?xml version="1.0" encoding="utf-8"?>
<table xmlns="http://schemas.openxmlformats.org/spreadsheetml/2006/main" headerRowCount="0" ref="J77:M77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Weekly Contribution-style 3" showColumnStripes="0" showFirstColumn="1" showLastColumn="1" showRowStripes="1"/>
</table>
</file>

<file path=xl/tables/table7.xml><?xml version="1.0" encoding="utf-8"?>
<table xmlns="http://schemas.openxmlformats.org/spreadsheetml/2006/main" totalsRowCount="1" ref="A86:H132" displayName="Week_2_Feb_8_Feb_2026" name="Week_2_Feb_8_Feb_2026" id="7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4" showColumnStripes="0" showFirstColumn="1" showLastColumn="1" showRowStripes="1"/>
</table>
</file>

<file path=xl/tables/table8.xml><?xml version="1.0" encoding="utf-8"?>
<table xmlns="http://schemas.openxmlformats.org/spreadsheetml/2006/main" totalsRowCount="1" ref="A137:H190" displayName="Week_26_Jan_1_Feb_2026" name="Week_26_Jan_1_Feb_2026" id="8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5" showColumnStripes="0" showFirstColumn="1" showLastColumn="1" showRowStripes="1"/>
</table>
</file>

<file path=xl/tables/table9.xml><?xml version="1.0" encoding="utf-8"?>
<table xmlns="http://schemas.openxmlformats.org/spreadsheetml/2006/main" totalsRowCount="1" ref="A198:H255" displayName="Week_24_30_November_2025" name="Week_24_30_November_2025" id="9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6" showColumnStripes="0" showFirstColumn="1" showLastColumn="1" showRowStripes="1"/>
</table>
</file>

<file path=xl/tables/table10.xml><?xml version="1.0" encoding="utf-8"?>
<table xmlns="http://schemas.openxmlformats.org/spreadsheetml/2006/main" totalsRowCount="1" ref="A260:H339" displayName="Week_17_24_November_2025" name="Week_17_24_November_2025" id="10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7" showColumnStripes="0" showFirstColumn="1" showLastColumn="1" showRowStripes="1"/>
</table>
</file>

<file path=xl/tables/table11.xml><?xml version="1.0" encoding="utf-8"?>
<table xmlns="http://schemas.openxmlformats.org/spreadsheetml/2006/main" totalsRowCount="1" ref="A345:H420" displayName="Weekly_10_16_November_2025" name="Weekly_10_16_November_2025" id="11">
  <tableColumns count="8">
    <tableColumn totalsRowFunction="custom" name="ID" id="1"/>
    <tableColumn name="Name" id="2"/>
    <tableColumn totalsRowFunction="custom" name="Food" id="3"/>
    <tableColumn totalsRowFunction="custom" name="Wood" id="4"/>
    <tableColumn totalsRowFunction="custom" name="Stone" id="5"/>
    <tableColumn totalsRowFunction="custom" name="Gold" id="6"/>
    <tableColumn totalsRowFunction="custom" name="Week Contribution" id="7"/>
    <tableColumn totalsRowFunction="custom" name="Total Contribution" id="8"/>
  </tableColumns>
  <tableStyleInfo name="Weekly Contribution-style 8" showColumnStripes="0" showFirstColumn="1" showLastColumn="1" showRowStripes="1"/>
</table>
</file>

<file path=xl/tables/table12.xml><?xml version="1.0" encoding="utf-8"?>
<table xmlns="http://schemas.openxmlformats.org/spreadsheetml/2006/main" ref="A1:G107" displayName="Contributors_Log" name="Contributors_Log" id="12">
  <autoFilter ref="$A$1:$G$107"/>
  <tableColumns count="7">
    <tableColumn name="ID" id="1"/>
    <tableColumn name="Player" id="2"/>
    <tableColumn name="Alliance" id="3"/>
    <tableColumn name="Expected Weekly" id="4"/>
    <tableColumn name="Received This Week?" id="5"/>
    <tableColumn name="Last Received" id="6"/>
    <tableColumn name="Notes" id="7"/>
  </tableColumns>
  <tableStyleInfo name="Contributors Log-style" showColumnStripes="0" showFirstColumn="1" showLastColumn="1" showRowStripes="1"/>
</table>
</file>

<file path=xl/tables/table13.xml><?xml version="1.0" encoding="utf-8"?>
<table xmlns="http://schemas.openxmlformats.org/spreadsheetml/2006/main" ref="A112:B168" displayName="Tableau3" name="Tableau3" id="13">
  <tableColumns count="2">
    <tableColumn name="ID" id="1"/>
    <tableColumn name="Name" id="2"/>
  </tableColumns>
  <tableStyleInfo name="Contributors Log-style 2" showColumnStripes="0" showFirstColumn="1" showLastColumn="1" showRowStripes="1"/>
</table>
</file>

<file path=xl/tables/table14.xml><?xml version="1.0" encoding="utf-8"?>
<table xmlns="http://schemas.openxmlformats.org/spreadsheetml/2006/main" ref="A172:B221" displayName="Tableau2" name="Tableau2" id="14">
  <tableColumns count="2">
    <tableColumn name="ID" id="1"/>
    <tableColumn name="Name" id="2"/>
  </tableColumns>
  <tableStyleInfo name="Contributors Log-style 3" showColumnStripes="0" showFirstColumn="1" showLastColumn="1" showRowStripes="1"/>
</table>
</file>

<file path=xl/tables/table15.xml><?xml version="1.0" encoding="utf-8"?>
<table xmlns="http://schemas.openxmlformats.org/spreadsheetml/2006/main" ref="A225:B245" displayName="Tableau1" name="Tableau1" id="15">
  <tableColumns count="2">
    <tableColumn name="ID" id="1"/>
    <tableColumn name="Name" id="2"/>
  </tableColumns>
  <tableStyleInfo name="Contributors Log-style 4" showColumnStripes="0" showFirstColumn="1" showLastColumn="1" showRowStripes="1"/>
</table>
</file>

<file path=xl/tables/table16.xml><?xml version="1.0" encoding="utf-8"?>
<table xmlns="http://schemas.openxmlformats.org/spreadsheetml/2006/main" ref="A250:B332" displayName="Week_3_26_30_November2025" name="Week_3_26_30_November2025" id="16">
  <tableColumns count="2">
    <tableColumn name="ID" id="1"/>
    <tableColumn name="Name" id="2"/>
  </tableColumns>
  <tableStyleInfo name="Contributors Log-style 5" showColumnStripes="0" showFirstColumn="1" showLastColumn="1" showRowStripes="1"/>
</table>
</file>

<file path=xl/tables/table17.xml><?xml version="1.0" encoding="utf-8"?>
<table xmlns="http://schemas.openxmlformats.org/spreadsheetml/2006/main" ref="A337:B398" displayName="Nov2_2025NC" name="Nov2_2025NC" id="17">
  <tableColumns count="2">
    <tableColumn name="ID" id="1"/>
    <tableColumn name="Player" id="2"/>
  </tableColumns>
  <tableStyleInfo name="Contributors Log-style 6" showColumnStripes="0" showFirstColumn="1" showLastColumn="1" showRowStripes="1"/>
</table>
</file>

<file path=xl/tables/table18.xml><?xml version="1.0" encoding="utf-8"?>
<table xmlns="http://schemas.openxmlformats.org/spreadsheetml/2006/main" ref="A403:B458" displayName="Nov_2025_NC" name="Nov_2025_NC" id="18">
  <tableColumns count="2">
    <tableColumn name="ID" id="1"/>
    <tableColumn name="Name" id="2"/>
  </tableColumns>
  <tableStyleInfo name="Contributors Log-style 7" showColumnStripes="0" showFirstColumn="1" showLastColumn="1" showRowStripes="1"/>
</table>
</file>

<file path=xl/tables/table19.xml><?xml version="1.0" encoding="utf-8"?>
<table xmlns="http://schemas.openxmlformats.org/spreadsheetml/2006/main" ref="E463:F525" displayName="Sep_CC" name="Sep_CC" id="19">
  <tableColumns count="2">
    <tableColumn name="ID" id="1"/>
    <tableColumn name="Name" id="2"/>
  </tableColumns>
  <tableStyleInfo name="Contributors Log-style 8" showColumnStripes="0" showFirstColumn="1" showLastColumn="1" showRowStripes="1"/>
</table>
</file>

<file path=xl/tables/table20.xml><?xml version="1.0" encoding="utf-8"?>
<table xmlns="http://schemas.openxmlformats.org/spreadsheetml/2006/main" ref="A464:B527" displayName="September_NC" name="September_NC" id="20">
  <tableColumns count="2">
    <tableColumn name="ID" id="1"/>
    <tableColumn name="Name" id="2"/>
  </tableColumns>
  <tableStyleInfo name="Contributors Log-style 9" showColumnStripes="0" showFirstColumn="1" showLastColumn="1" showRowStripes="1"/>
</table>
</file>

<file path=xl/tables/table21.xml><?xml version="1.0" encoding="utf-8"?>
<table xmlns="http://schemas.openxmlformats.org/spreadsheetml/2006/main" ref="E531:F603" displayName="WEEK_2" name="WEEK_2" id="21">
  <tableColumns count="2">
    <tableColumn name="ID" id="1"/>
    <tableColumn name="Name" id="2"/>
  </tableColumns>
  <tableStyleInfo name="Contributors Log-style 10" showColumnStripes="0" showFirstColumn="1" showLastColumn="1" showRowStripes="1"/>
</table>
</file>

<file path=xl/tables/table22.xml><?xml version="1.0" encoding="utf-8"?>
<table xmlns="http://schemas.openxmlformats.org/spreadsheetml/2006/main" ref="A533:B585" displayName="WEEK_2_NC" name="WEEK_2_NC" id="22">
  <tableColumns count="2">
    <tableColumn name="ID" id="1"/>
    <tableColumn name="Name" id="2"/>
  </tableColumns>
  <tableStyleInfo name="Contributors Log-style 11" showColumnStripes="0" showFirstColumn="1" showLastColumn="1" showRowStripes="1"/>
</table>
</file>

<file path=xl/tables/table23.xml><?xml version="1.0" encoding="utf-8"?>
<table xmlns="http://schemas.openxmlformats.org/spreadsheetml/2006/main" ref="E608:F646" displayName="August_Week_1" name="August_Week_1" id="23">
  <tableColumns count="2">
    <tableColumn name="ID" id="1"/>
    <tableColumn name="Name" id="2"/>
  </tableColumns>
  <tableStyleInfo name="Contributors Log-style 12" showColumnStripes="0" showFirstColumn="1" showLastColumn="1" showRowStripes="1"/>
</table>
</file>

<file path=xl/tables/table24.xml><?xml version="1.0" encoding="utf-8"?>
<table xmlns="http://schemas.openxmlformats.org/spreadsheetml/2006/main" ref="A609:C663" displayName="August_Week_I" name="August_Week_I" id="24">
  <tableColumns count="3">
    <tableColumn name="ID" id="1"/>
    <tableColumn name="Name" id="2"/>
    <tableColumn name="Note" id="3"/>
  </tableColumns>
  <tableStyleInfo name="Contributors Log-style 13" showColumnStripes="0" showFirstColumn="1" showLastColumn="1" showRowStripes="1"/>
</table>
</file>

<file path=xl/tables/table25.xml><?xml version="1.0" encoding="utf-8"?>
<table xmlns="http://schemas.openxmlformats.org/spreadsheetml/2006/main" ref="A1:F51" displayName="Penalty_Ledger" name="Penalty_Ledger" id="25">
  <tableColumns count="6">
    <tableColumn name="Player" id="1"/>
    <tableColumn name="Reason" id="2"/>
    <tableColumn name="Fine Amount (F/W/S/G)" id="3"/>
    <tableColumn name="Paid?" id="4"/>
    <tableColumn name="Date Due" id="5"/>
    <tableColumn name="Notes" id="6"/>
  </tableColumns>
  <tableStyleInfo name="Penalty Ledger-style" showColumnStripes="0" showFirstColumn="1" showLastColumn="1" showRowStripes="1"/>
</table>
</file>

<file path=xl/tables/table26.xml><?xml version="1.0" encoding="utf-8"?>
<table xmlns="http://schemas.openxmlformats.org/spreadsheetml/2006/main" ref="A1:I23" displayName="Withdrawals_Log" name="Withdrawals_Log" id="26">
  <tableColumns count="9">
    <tableColumn name="Date" id="1"/>
    <tableColumn name="Recipient" id="2"/>
    <tableColumn name="Purpose" id="3"/>
    <tableColumn name="Food" id="4"/>
    <tableColumn name="Wood" id="5"/>
    <tableColumn name="Stone" id="6"/>
    <tableColumn name="Gold" id="7"/>
    <tableColumn name="Approved By" id="8"/>
    <tableColumn name="Notes" id="9"/>
  </tableColumns>
  <tableStyleInfo name="Withdrawals 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24" Type="http://schemas.openxmlformats.org/officeDocument/2006/relationships/table" Target="../tables/table21.xml"/><Relationship Id="rId23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12.xml"/><Relationship Id="rId26" Type="http://schemas.openxmlformats.org/officeDocument/2006/relationships/table" Target="../tables/table23.xml"/><Relationship Id="rId25" Type="http://schemas.openxmlformats.org/officeDocument/2006/relationships/table" Target="../tables/table22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27" Type="http://schemas.openxmlformats.org/officeDocument/2006/relationships/table" Target="../tables/table24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9.43"/>
    <col customWidth="1" min="3" max="3" width="18.43"/>
    <col customWidth="1" min="4" max="4" width="24.86"/>
    <col customWidth="1" min="5" max="5" width="21.71"/>
    <col customWidth="1" min="6" max="6" width="22.43"/>
    <col customWidth="1" min="7" max="7" width="26.14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4</v>
      </c>
      <c r="B2" s="4">
        <f>SUMIFS(Transactions!D:D, Transactions!H:H, "Incoming")</f>
        <v>13895875350</v>
      </c>
      <c r="C2" s="4">
        <f>SUMIFS(Transactions!D:D, Transactions!H:H, "Outgoing")</f>
        <v>6300000000</v>
      </c>
      <c r="D2" s="5">
        <f>B2-C2-368987435</f>
        <v>7226887915</v>
      </c>
      <c r="E2" s="2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5</v>
      </c>
      <c r="B3" s="4">
        <f>SUMIFS(Transactions!E:E, Transactions!H:H, "Incoming")</f>
        <v>16339304199</v>
      </c>
      <c r="C3" s="4">
        <f>SUMIFS(Transactions!E:E, Transactions!H:H, "Outgoing")</f>
        <v>9950000000</v>
      </c>
      <c r="D3" s="5">
        <f>B3-C3-384959130</f>
        <v>6004345069</v>
      </c>
      <c r="E3" s="2"/>
      <c r="F3" s="6"/>
      <c r="G3" s="6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3" t="s">
        <v>6</v>
      </c>
      <c r="B4" s="4">
        <f>SUMIFS(Transactions!F:F, Transactions!H:H, "Incoming")</f>
        <v>11298197983</v>
      </c>
      <c r="C4" s="4">
        <f>SUMIFS(Transactions!F:F, Transactions!H:H, "Outgoing")</f>
        <v>6600000000</v>
      </c>
      <c r="D4" s="5">
        <f>B4-C4-1106524607</f>
        <v>3591673376</v>
      </c>
      <c r="E4" s="2"/>
      <c r="F4" s="6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3" t="s">
        <v>7</v>
      </c>
      <c r="B5" s="4">
        <f>SUMIFS(Transactions!G:G, Transactions!H:H, "Incoming")</f>
        <v>7158632935</v>
      </c>
      <c r="C5" s="4">
        <f>SUMIFS(Transactions!G:G, Transactions!H:H, "Outgoing")</f>
        <v>5220000000</v>
      </c>
      <c r="D5" s="5">
        <f>B5-C5-402782585</f>
        <v>1535850350</v>
      </c>
      <c r="E5" s="2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3"/>
      <c r="B6" s="4"/>
      <c r="C6" s="4"/>
      <c r="D6" s="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8" t="s">
        <v>8</v>
      </c>
      <c r="B9" s="8" t="s">
        <v>9</v>
      </c>
      <c r="C9" s="8" t="s">
        <v>10</v>
      </c>
      <c r="D9" s="8" t="s">
        <v>11</v>
      </c>
      <c r="E9" s="8" t="s">
        <v>12</v>
      </c>
      <c r="F9" s="8" t="s">
        <v>13</v>
      </c>
      <c r="G9" s="8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8">
        <v>2463403.0</v>
      </c>
      <c r="B10" s="8" t="s">
        <v>15</v>
      </c>
      <c r="C10" s="4">
        <f>SUMIFS(Transactions!D:D,Transactions!B:B, "Heliøsツ",Transactions!H:H,"Incoming")</f>
        <v>32146666</v>
      </c>
      <c r="D10" s="4">
        <f>SUMIFS(Transactions!E:E,Transactions!B:B, "Heliøsツ",Transactions!H:H,"Incoming")</f>
        <v>42946666</v>
      </c>
      <c r="E10" s="4">
        <f>SUMIFS(Transactions!F:F,Transactions!B:B, "Heliøsツ",Transactions!H:H,"Incoming")</f>
        <v>24106666</v>
      </c>
      <c r="F10" s="4">
        <f>SUMIFS(Transactions!G:G,Transactions!B:B, "Heliøsツ",Transactions!H:H,"Incoming")</f>
        <v>10800001</v>
      </c>
      <c r="G10" s="4">
        <f t="shared" ref="G10:G180" si="1">SUM(C10:F10)</f>
        <v>109999999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8">
        <v>1.1726598E7</v>
      </c>
      <c r="B11" s="8" t="s">
        <v>16</v>
      </c>
      <c r="C11" s="4">
        <f>SUMIFS(Transactions!D:D,Transactions!B:B, "Lazy Cat ツ",Transactions!H:H,"Incoming")</f>
        <v>54480001</v>
      </c>
      <c r="D11" s="4">
        <f>SUMIFS(Transactions!E:E,Transactions!B:B, "Lazy Cat ツ",Transactions!H:H,"Incoming")</f>
        <v>3680000</v>
      </c>
      <c r="E11" s="4">
        <f>SUMIFS(Transactions!F:F,Transactions!B:B, "Lazy Cat ツ",Transactions!H:H,"Incoming")</f>
        <v>4600000</v>
      </c>
      <c r="F11" s="4">
        <f>SUMIFS(Transactions!G:G,Transactions!B:B, "Lazy Cat ツ",Transactions!H:H,"Incoming")</f>
        <v>5520000</v>
      </c>
      <c r="G11" s="4">
        <f t="shared" si="1"/>
        <v>68280001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8">
        <v>1.71604682E8</v>
      </c>
      <c r="B12" s="8" t="s">
        <v>17</v>
      </c>
      <c r="C12" s="4">
        <f>SUMIFS(Transactions!D:D,Transactions!B:B, "Łørd Ᵽraмa",Transactions!H:H,"Incoming")</f>
        <v>63416000</v>
      </c>
      <c r="D12" s="4">
        <f>SUMIFS(Transactions!E:E,Transactions!B:B, "Łørd Ᵽraмa",Transactions!H:H,"Incoming")</f>
        <v>64878000</v>
      </c>
      <c r="E12" s="4">
        <f>SUMIFS(Transactions!F:F,Transactions!B:B, "Łørd Ᵽraмa",Transactions!H:H,"Incoming")</f>
        <v>44602000</v>
      </c>
      <c r="F12" s="4">
        <f>SUMIFS(Transactions!G:G,Transactions!B:B, "Łørd Ᵽraмa",Transactions!H:H,"Incoming")</f>
        <v>37904000</v>
      </c>
      <c r="G12" s="4">
        <f t="shared" si="1"/>
        <v>210800000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8">
        <v>1.5633938E8</v>
      </c>
      <c r="B13" s="8" t="s">
        <v>18</v>
      </c>
      <c r="C13" s="4">
        <f>SUMIFS(Transactions!D:D,Transactions!B:B, "會 ᴋᴀʏ シ",Transactions!H:H,"Incoming")</f>
        <v>70000000</v>
      </c>
      <c r="D13" s="4">
        <f>SUMIFS(Transactions!E:E,Transactions!B:B, "會 ᴋᴀʏ シ",Transactions!H:H,"Incoming")</f>
        <v>70000000</v>
      </c>
      <c r="E13" s="4">
        <f>SUMIFS(Transactions!F:F,Transactions!B:B, "會 ᴋᴀʏ シ",Transactions!H:H,"Incoming")</f>
        <v>70000000</v>
      </c>
      <c r="F13" s="4">
        <f>SUMIFS(Transactions!G:G,Transactions!B:B, "會 ᴋᴀʏ シ",Transactions!H:H,"Incoming")</f>
        <v>70000000</v>
      </c>
      <c r="G13" s="4">
        <f t="shared" si="1"/>
        <v>280000000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8">
        <v>1.67637163E8</v>
      </c>
      <c r="B14" s="8" t="s">
        <v>19</v>
      </c>
      <c r="C14" s="4">
        <f>SUMIFS(Transactions!D:D,Transactions!B:B, "・Maka・",Transactions!H:H,"Incoming")</f>
        <v>87621720</v>
      </c>
      <c r="D14" s="4">
        <f>SUMIFS(Transactions!E:E,Transactions!B:B, "・Maka・",Transactions!H:H,"Incoming")</f>
        <v>60621720</v>
      </c>
      <c r="E14" s="4">
        <f>SUMIFS(Transactions!F:F,Transactions!B:B, "・Maka・",Transactions!H:H,"Incoming")</f>
        <v>55301720</v>
      </c>
      <c r="F14" s="4">
        <f>SUMIFS(Transactions!G:G,Transactions!B:B, "・Maka・",Transactions!H:H,"Incoming")</f>
        <v>28180040</v>
      </c>
      <c r="G14" s="4">
        <f t="shared" si="1"/>
        <v>231725200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8">
        <v>1.69446444E8</v>
      </c>
      <c r="B15" s="8" t="s">
        <v>20</v>
      </c>
      <c r="C15" s="4">
        <f>SUMIFS(Transactions!D:D,Transactions!B:B, "lazy Liwen 寳",Transactions!H:H,"Incoming")</f>
        <v>15525736</v>
      </c>
      <c r="D15" s="4">
        <f>SUMIFS(Transactions!E:E,Transactions!B:B, "lazy Liwen 寳",Transactions!H:H,"Incoming")</f>
        <v>15525736</v>
      </c>
      <c r="E15" s="4">
        <f>SUMIFS(Transactions!F:F,Transactions!B:B, "lazy Liwen 寳",Transactions!H:H,"Incoming")</f>
        <v>17606776</v>
      </c>
      <c r="F15" s="4">
        <f>SUMIFS(Transactions!G:G,Transactions!B:B, "lazy Liwen 寳",Transactions!H:H,"Incoming")</f>
        <v>13741976</v>
      </c>
      <c r="G15" s="4">
        <f t="shared" si="1"/>
        <v>62400224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8">
        <v>1.69461237E8</v>
      </c>
      <c r="B16" s="8" t="s">
        <v>21</v>
      </c>
      <c r="C16" s="4">
        <f>SUMIFS(Transactions!D:D,Transactions!B:B, "Aurionツ",Transactions!H:H,"Incoming")</f>
        <v>715803831</v>
      </c>
      <c r="D16" s="4">
        <f>SUMIFS(Transactions!E:E,Transactions!B:B, "Aurionツ",Transactions!H:H,"Incoming")</f>
        <v>369941389</v>
      </c>
      <c r="E16" s="4">
        <f>SUMIFS(Transactions!F:F,Transactions!B:B, "Aurionツ",Transactions!H:H,"Incoming")</f>
        <v>483669060</v>
      </c>
      <c r="F16" s="4">
        <f>SUMIFS(Transactions!G:G,Transactions!B:B, "Aurionツ",Transactions!H:H,"Incoming")</f>
        <v>271669772</v>
      </c>
      <c r="G16" s="4">
        <f t="shared" si="1"/>
        <v>1841084052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8">
        <v>1.45408006E8</v>
      </c>
      <c r="B17" s="8" t="s">
        <v>22</v>
      </c>
      <c r="C17" s="4">
        <f>SUMIFS(Transactions!D:D,Transactions!B:B, "Adam23",Transactions!H:H,"Incoming")</f>
        <v>0</v>
      </c>
      <c r="D17" s="4">
        <f>SUMIFS(Transactions!E:E,Transactions!B:B, "Adam23",Transactions!H:H,"Incoming")</f>
        <v>60000000</v>
      </c>
      <c r="E17" s="4">
        <f>SUMIFS(Transactions!F:F,Transactions!B:B, "Adam23",Transactions!H:H,"Incoming")</f>
        <v>10000000</v>
      </c>
      <c r="F17" s="4">
        <f>SUMIFS(Transactions!G:G,Transactions!B:B, "Adam23",Transactions!H:H,"Incoming")</f>
        <v>0</v>
      </c>
      <c r="G17" s="4">
        <f t="shared" si="1"/>
        <v>70000000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8">
        <v>6.3222201E7</v>
      </c>
      <c r="B18" s="8" t="s">
        <v>23</v>
      </c>
      <c r="C18" s="4">
        <f>SUMIFS(Transactions!D:D,Transactions!B:B, "AmiralMaximus",Transactions!H:H,"Incoming")</f>
        <v>0</v>
      </c>
      <c r="D18" s="4">
        <f>SUMIFS(Transactions!E:E,Transactions!B:B, "AmiralMaximus",Transactions!H:H,"Incoming")</f>
        <v>0</v>
      </c>
      <c r="E18" s="4">
        <f>SUMIFS(Transactions!F:F,Transactions!B:B, "AmiralMaximus",Transactions!H:H,"Incoming")</f>
        <v>0</v>
      </c>
      <c r="F18" s="4">
        <f>SUMIFS(Transactions!G:G,Transactions!B:B, "AmiralMaximus",Transactions!H:H,"Incoming")</f>
        <v>0</v>
      </c>
      <c r="G18" s="4">
        <f t="shared" si="1"/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8">
        <v>6.4010776E7</v>
      </c>
      <c r="B19" s="8" t="s">
        <v>24</v>
      </c>
      <c r="C19" s="4">
        <f>SUMIFS(Transactions!D:D,Transactions!B:B, "ᵀᶜ Tequila",Transactions!H:H,"Incoming")</f>
        <v>22880000</v>
      </c>
      <c r="D19" s="4">
        <f>SUMIFS(Transactions!E:E,Transactions!B:B, "ᵀᶜ Tequila",Transactions!H:H,"Incoming")</f>
        <v>22880000</v>
      </c>
      <c r="E19" s="4">
        <f>SUMIFS(Transactions!F:F,Transactions!B:B, "ᵀᶜ Tequila",Transactions!H:H,"Incoming")</f>
        <v>27884800</v>
      </c>
      <c r="F19" s="4">
        <f>SUMIFS(Transactions!G:G,Transactions!B:B, "ᵀᶜ Tequila",Transactions!H:H,"Incoming")</f>
        <v>19200000</v>
      </c>
      <c r="G19" s="4">
        <f t="shared" si="1"/>
        <v>92844800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8">
        <v>1.71934536E8</v>
      </c>
      <c r="B20" s="8" t="s">
        <v>25</v>
      </c>
      <c r="C20" s="4">
        <f>SUMIFS(Transactions!D:D,Transactions!B:B, "FromKiev1122",Transactions!H:H,"Incoming")</f>
        <v>30000000</v>
      </c>
      <c r="D20" s="4">
        <f>SUMIFS(Transactions!E:E,Transactions!B:B, "FromKiev1122",Transactions!H:H,"Incoming")</f>
        <v>30000000</v>
      </c>
      <c r="E20" s="4">
        <f>SUMIFS(Transactions!F:F,Transactions!B:B, "FromKiev1122",Transactions!H:H,"Incoming")</f>
        <v>10000000</v>
      </c>
      <c r="F20" s="4">
        <f>SUMIFS(Transactions!G:G,Transactions!B:B, "FromKiev1122",Transactions!H:H,"Incoming")</f>
        <v>10000000</v>
      </c>
      <c r="G20" s="4">
        <f t="shared" si="1"/>
        <v>80000000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8">
        <v>1.15125159E8</v>
      </c>
      <c r="B21" s="8" t="s">
        <v>26</v>
      </c>
      <c r="C21" s="4">
        <f>SUMIFS(Transactions!D:D,Transactions!B:B, "ᵂAᴿ Demon",Transactions!H:H,"Incoming")</f>
        <v>0</v>
      </c>
      <c r="D21" s="4">
        <f>SUMIFS(Transactions!E:E,Transactions!B:B, "ᵂAᴿ Demon",Transactions!H:H,"Incoming")</f>
        <v>0</v>
      </c>
      <c r="E21" s="4">
        <f>SUMIFS(Transactions!F:F,Transactions!B:B, "ᵂAᴿ Demon",Transactions!H:H,"Incoming")</f>
        <v>0</v>
      </c>
      <c r="F21" s="4">
        <f>SUMIFS(Transactions!G:G,Transactions!B:B, "ᵂAᴿ Demon",Transactions!H:H,"Incoming")</f>
        <v>0</v>
      </c>
      <c r="G21" s="4">
        <f t="shared" si="1"/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8">
        <v>6.2691192E7</v>
      </c>
      <c r="B22" s="8" t="s">
        <v>27</v>
      </c>
      <c r="C22" s="4">
        <f>SUMIFS(Transactions!D:D,Transactions!B:B, "Siyempi",Transactions!H:H,"Incoming")</f>
        <v>19136000</v>
      </c>
      <c r="D22" s="4">
        <f>SUMIFS(Transactions!E:E,Transactions!B:B, "Siyempi",Transactions!H:H,"Incoming")</f>
        <v>19258880</v>
      </c>
      <c r="E22" s="4">
        <f>SUMIFS(Transactions!F:F,Transactions!B:B, "Siyempi",Transactions!H:H,"Incoming")</f>
        <v>38400000</v>
      </c>
      <c r="F22" s="4">
        <f>SUMIFS(Transactions!G:G,Transactions!B:B, "Siyempi",Transactions!H:H,"Incoming")</f>
        <v>18400000</v>
      </c>
      <c r="G22" s="4">
        <f t="shared" si="1"/>
        <v>95194880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8">
        <v>1.44060837E8</v>
      </c>
      <c r="B23" s="8" t="s">
        <v>28</v>
      </c>
      <c r="C23" s="4">
        <f>SUMIFS(Transactions!D:D,Transactions!B:B, "义CHRYS义",Transactions!H:H,"Incoming")</f>
        <v>4962467</v>
      </c>
      <c r="D23" s="4">
        <f>SUMIFS(Transactions!E:E,Transactions!B:B, "义CHRYS义",Transactions!H:H,"Incoming")</f>
        <v>11969692</v>
      </c>
      <c r="E23" s="4">
        <f>SUMIFS(Transactions!F:F,Transactions!B:B, "义CHRYS义",Transactions!H:H,"Incoming")</f>
        <v>45827840</v>
      </c>
      <c r="F23" s="4">
        <f>SUMIFS(Transactions!G:G,Transactions!B:B, "义CHRYS义",Transactions!H:H,"Incoming")</f>
        <v>0</v>
      </c>
      <c r="G23" s="4">
        <f t="shared" si="1"/>
        <v>62759999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8">
        <v>6.2576249E7</v>
      </c>
      <c r="B24" s="8" t="s">
        <v>29</v>
      </c>
      <c r="C24" s="4">
        <f>SUMIFS(Transactions!D:D,Transactions!B:B, "ﾒUğurﾒ",Transactions!H:H,"Incoming")</f>
        <v>9200000</v>
      </c>
      <c r="D24" s="4">
        <f>SUMIFS(Transactions!E:E,Transactions!B:B, "ﾒUğurﾒ",Transactions!H:H,"Incoming")</f>
        <v>9200000</v>
      </c>
      <c r="E24" s="4">
        <f>SUMIFS(Transactions!F:F,Transactions!B:B, "ﾒUğurﾒ",Transactions!H:H,"Incoming")</f>
        <v>217920000</v>
      </c>
      <c r="F24" s="4">
        <f>SUMIFS(Transactions!G:G,Transactions!B:B, "ﾒUğurﾒ",Transactions!H:H,"Incoming")</f>
        <v>3680000</v>
      </c>
      <c r="G24" s="4">
        <f t="shared" si="1"/>
        <v>240000000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8">
        <v>8.693627E7</v>
      </c>
      <c r="B25" s="8" t="s">
        <v>30</v>
      </c>
      <c r="C25" s="4">
        <f>SUMIFS(Transactions!D:D,Transactions!B:B, "Tekno23",Transactions!H:H,"Incoming")</f>
        <v>0</v>
      </c>
      <c r="D25" s="4">
        <f>SUMIFS(Transactions!E:E,Transactions!B:B, "Tekno23",Transactions!H:H,"Incoming")</f>
        <v>0</v>
      </c>
      <c r="E25" s="4">
        <f>SUMIFS(Transactions!F:F,Transactions!B:B, "Tekno23",Transactions!H:H,"Incoming")</f>
        <v>0</v>
      </c>
      <c r="F25" s="4">
        <f>SUMIFS(Transactions!G:G,Transactions!B:B, "Tekno23",Transactions!H:H,"Incoming")</f>
        <v>0</v>
      </c>
      <c r="G25" s="4">
        <f t="shared" si="1"/>
        <v>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8">
        <v>1.3871553E8</v>
      </c>
      <c r="B26" s="8" t="s">
        <v>31</v>
      </c>
      <c r="C26" s="4">
        <f>SUMIFS(Transactions!D:D,Transactions!B:B, "ᵀᴺ Yakoo",Transactions!H:H,"Incoming")</f>
        <v>40000000</v>
      </c>
      <c r="D26" s="4">
        <f>SUMIFS(Transactions!E:E,Transactions!B:B, "ᵀᴺ Yakoo",Transactions!H:H,"Incoming")</f>
        <v>40000000</v>
      </c>
      <c r="E26" s="4">
        <f>SUMIFS(Transactions!F:F,Transactions!B:B, "ᵀᴺ Yakoo",Transactions!H:H,"Incoming")</f>
        <v>40000000</v>
      </c>
      <c r="F26" s="4">
        <f>SUMIFS(Transactions!G:G,Transactions!B:B, "ᵀᴺ Yakoo",Transactions!H:H,"Incoming")</f>
        <v>30000000</v>
      </c>
      <c r="G26" s="4">
        <f t="shared" si="1"/>
        <v>150000000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8">
        <v>6.3168658E7</v>
      </c>
      <c r="B27" s="8" t="s">
        <v>32</v>
      </c>
      <c r="C27" s="4">
        <f>SUMIFS(Transactions!D:D,Transactions!B:B, "Kᴀᴋᴀsʜɪ",Transactions!H:H,"Incoming")</f>
        <v>0</v>
      </c>
      <c r="D27" s="4">
        <f>SUMIFS(Transactions!E:E,Transactions!B:B, "Kᴀᴋᴀsʜɪ",Transactions!H:H,"Incoming")</f>
        <v>0</v>
      </c>
      <c r="E27" s="4">
        <f>SUMIFS(Transactions!F:F,Transactions!B:B, "Kᴀᴋᴀsʜɪ",Transactions!H:H,"Incoming")</f>
        <v>0</v>
      </c>
      <c r="F27" s="4">
        <f>SUMIFS(Transactions!G:G,Transactions!B:B, "Kᴀᴋᴀsʜɪ",Transactions!H:H,"Incoming")</f>
        <v>0</v>
      </c>
      <c r="G27" s="4">
        <f t="shared" si="1"/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8">
        <v>1.71879011E8</v>
      </c>
      <c r="B28" s="8" t="s">
        <v>33</v>
      </c>
      <c r="C28" s="4">
        <f>SUMIFS(Transactions!D:D,Transactions!B:B, "Urkel94",Transactions!H:H,"Incoming")</f>
        <v>64998880</v>
      </c>
      <c r="D28" s="4">
        <f>SUMIFS(Transactions!E:E,Transactions!B:B, "Urkel94",Transactions!H:H,"Incoming")</f>
        <v>65001118</v>
      </c>
      <c r="E28" s="4">
        <f>SUMIFS(Transactions!F:F,Transactions!B:B, "Urkel94",Transactions!H:H,"Incoming")</f>
        <v>365001118</v>
      </c>
      <c r="F28" s="4">
        <f>SUMIFS(Transactions!G:G,Transactions!B:B, "Urkel94",Transactions!H:H,"Incoming")</f>
        <v>64998882</v>
      </c>
      <c r="G28" s="4">
        <f t="shared" si="1"/>
        <v>559999998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>
        <v>1.46164713E8</v>
      </c>
      <c r="B29" s="8" t="s">
        <v>34</v>
      </c>
      <c r="C29" s="4">
        <f>SUMIFS(Transactions!D:D,Transactions!B:B, "爻WarLock爻",Transactions!H:H,"Incoming")</f>
        <v>0</v>
      </c>
      <c r="D29" s="4">
        <f>SUMIFS(Transactions!E:E,Transactions!B:B, "爻WarLock爻",Transactions!H:H,"Incoming")</f>
        <v>0</v>
      </c>
      <c r="E29" s="4">
        <f>SUMIFS(Transactions!F:F,Transactions!B:B, "爻WarLock爻",Transactions!H:H,"Incoming")</f>
        <v>0</v>
      </c>
      <c r="F29" s="4">
        <f>SUMIFS(Transactions!G:G,Transactions!B:B, "爻WarLock爻",Transactions!H:H,"Incoming")</f>
        <v>0</v>
      </c>
      <c r="G29" s="4">
        <f t="shared" si="1"/>
        <v>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8">
        <v>7.1152824E7</v>
      </c>
      <c r="B30" s="8" t="s">
        <v>35</v>
      </c>
      <c r="C30" s="4">
        <f>SUMIFS(Transactions!D:D,Transactions!B:B, "FIREWoLF",Transactions!H:H,"Incoming")</f>
        <v>0</v>
      </c>
      <c r="D30" s="4">
        <f>SUMIFS(Transactions!E:E,Transactions!B:B, "FIREWoLF",Transactions!H:H,"Incoming")</f>
        <v>0</v>
      </c>
      <c r="E30" s="4">
        <f>SUMIFS(Transactions!F:F,Transactions!B:B, "FIREWoLF",Transactions!H:H,"Incoming")</f>
        <v>0</v>
      </c>
      <c r="F30" s="4">
        <f>SUMIFS(Transactions!G:G,Transactions!B:B, "FIREWoLF",Transactions!H:H,"Incoming")</f>
        <v>0</v>
      </c>
      <c r="G30" s="4">
        <f t="shared" si="1"/>
        <v>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8">
        <v>1.1409556E7</v>
      </c>
      <c r="B31" s="8" t="s">
        <v>36</v>
      </c>
      <c r="C31" s="4">
        <f>SUMIFS(Transactions!D:D,Transactions!B:B, "Enes 33",Transactions!H:H,"Incoming")</f>
        <v>0</v>
      </c>
      <c r="D31" s="4">
        <f>SUMIFS(Transactions!E:E,Transactions!B:B, "Enes 33",Transactions!H:H,"Incoming")</f>
        <v>0</v>
      </c>
      <c r="E31" s="4">
        <f>SUMIFS(Transactions!F:F,Transactions!B:B, "Enes 33",Transactions!H:H,"Incoming")</f>
        <v>0</v>
      </c>
      <c r="F31" s="4">
        <f>SUMIFS(Transactions!G:G,Transactions!B:B, "Enes 33",Transactions!H:H,"Incoming")</f>
        <v>0</v>
      </c>
      <c r="G31" s="4">
        <f t="shared" si="1"/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8">
        <v>1.69247313E8</v>
      </c>
      <c r="B32" s="8" t="s">
        <v>37</v>
      </c>
      <c r="C32" s="4">
        <f>SUMIFS(Transactions!D:D,Transactions!B:B, "ƝÎ乙ĀⱮ",Transactions!H:H,"Incoming")</f>
        <v>20920000</v>
      </c>
      <c r="D32" s="4">
        <f>SUMIFS(Transactions!E:E,Transactions!B:B, "ƝÎ乙ĀⱮ",Transactions!H:H,"Incoming")</f>
        <v>19320000</v>
      </c>
      <c r="E32" s="4">
        <f>SUMIFS(Transactions!F:F,Transactions!B:B, "ƝÎ乙ĀⱮ",Transactions!H:H,"Incoming")</f>
        <v>21160000</v>
      </c>
      <c r="F32" s="4">
        <f>SUMIFS(Transactions!G:G,Transactions!B:B, "ƝÎ乙ĀⱮ",Transactions!H:H,"Incoming")</f>
        <v>13800000</v>
      </c>
      <c r="G32" s="4">
        <f t="shared" si="1"/>
        <v>75200000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8">
        <v>1.4572491E7</v>
      </c>
      <c r="B33" s="8" t="s">
        <v>38</v>
      </c>
      <c r="C33" s="4">
        <f>SUMIFS(Transactions!D:D,Transactions!B:B, "LAZY BOOND",Transactions!H:H,"Incoming")</f>
        <v>50000000</v>
      </c>
      <c r="D33" s="4">
        <f>SUMIFS(Transactions!E:E,Transactions!B:B, "LAZY BOOND",Transactions!H:H,"Incoming")</f>
        <v>20000000</v>
      </c>
      <c r="E33" s="4">
        <f>SUMIFS(Transactions!F:F,Transactions!B:B, "LAZY BOOND",Transactions!H:H,"Incoming")</f>
        <v>20000000</v>
      </c>
      <c r="F33" s="4">
        <f>SUMIFS(Transactions!G:G,Transactions!B:B, "LAZY BOOND",Transactions!H:H,"Incoming")</f>
        <v>20000000</v>
      </c>
      <c r="G33" s="4">
        <f t="shared" si="1"/>
        <v>110000000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8">
        <v>1.44109282E8</v>
      </c>
      <c r="B34" s="8" t="s">
        <v>39</v>
      </c>
      <c r="C34" s="4">
        <f>SUMIFS(Transactions!D:D,Transactions!B:B, "RiP2016",Transactions!H:H,"Incoming")</f>
        <v>384000000</v>
      </c>
      <c r="D34" s="4">
        <f>SUMIFS(Transactions!E:E,Transactions!B:B, "RiP2016",Transactions!H:H,"Incoming")</f>
        <v>64000000</v>
      </c>
      <c r="E34" s="4">
        <f>SUMIFS(Transactions!F:F,Transactions!B:B, "RiP2016",Transactions!H:H,"Incoming")</f>
        <v>142000000</v>
      </c>
      <c r="F34" s="4">
        <f>SUMIFS(Transactions!G:G,Transactions!B:B, "RiP2016",Transactions!H:H,"Incoming")</f>
        <v>622400000</v>
      </c>
      <c r="G34" s="4">
        <f t="shared" si="1"/>
        <v>1212400000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8">
        <v>1.44048157E8</v>
      </c>
      <c r="B35" s="8" t="s">
        <v>40</v>
      </c>
      <c r="C35" s="4">
        <f>SUMIFS(Transactions!D:D,Transactions!B:B, "J Pangestu",Transactions!H:H,"Incoming")</f>
        <v>0</v>
      </c>
      <c r="D35" s="4">
        <f>SUMIFS(Transactions!E:E,Transactions!B:B, "J Pangestu",Transactions!H:H,"Incoming")</f>
        <v>0</v>
      </c>
      <c r="E35" s="4">
        <f>SUMIFS(Transactions!F:F,Transactions!B:B, "J Pangestu",Transactions!H:H,"Incoming")</f>
        <v>0</v>
      </c>
      <c r="F35" s="4">
        <f>SUMIFS(Transactions!G:G,Transactions!B:B, "J Pangestu",Transactions!H:H,"Incoming")</f>
        <v>0</v>
      </c>
      <c r="G35" s="4">
        <f t="shared" si="1"/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8">
        <v>1.36378574E8</v>
      </c>
      <c r="B36" s="8" t="s">
        <v>41</v>
      </c>
      <c r="C36" s="4">
        <f>SUMIFS(Transactions!D:D,Transactions!B:B, "Arktos",Transactions!H:H,"Incoming")</f>
        <v>0</v>
      </c>
      <c r="D36" s="4">
        <f>SUMIFS(Transactions!E:E,Transactions!B:B, "Arktos",Transactions!H:H,"Incoming")</f>
        <v>0</v>
      </c>
      <c r="E36" s="4">
        <f>SUMIFS(Transactions!F:F,Transactions!B:B, "Arktos",Transactions!H:H,"Incoming")</f>
        <v>0</v>
      </c>
      <c r="F36" s="4">
        <f>SUMIFS(Transactions!G:G,Transactions!B:B, "Arktos",Transactions!H:H,"Incoming")</f>
        <v>0</v>
      </c>
      <c r="G36" s="4">
        <f t="shared" si="1"/>
        <v>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8">
        <v>1.71827401E8</v>
      </c>
      <c r="B37" s="8" t="s">
        <v>42</v>
      </c>
      <c r="C37" s="4">
        <f>SUMIFS(Transactions!D:D,Transactions!B:B, "King ᶠʳʸ",Transactions!H:H,"Incoming")</f>
        <v>0</v>
      </c>
      <c r="D37" s="4">
        <f>SUMIFS(Transactions!E:E,Transactions!B:B, "King ᶠʳʸ",Transactions!H:H,"Incoming")</f>
        <v>0</v>
      </c>
      <c r="E37" s="4">
        <f>SUMIFS(Transactions!F:F,Transactions!B:B, "King ᶠʳʸ",Transactions!H:H,"Incoming")</f>
        <v>0</v>
      </c>
      <c r="F37" s="4">
        <f>SUMIFS(Transactions!G:G,Transactions!B:B, "King ᶠʳʸ",Transactions!H:H,"Incoming")</f>
        <v>0</v>
      </c>
      <c r="G37" s="4">
        <f t="shared" si="1"/>
        <v>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8">
        <v>1.71503078E8</v>
      </c>
      <c r="B38" s="8" t="s">
        <v>43</v>
      </c>
      <c r="C38" s="4">
        <f>SUMIFS(Transactions!D:D,Transactions!B:B, "メCalメ",Transactions!H:H,"Incoming")</f>
        <v>174720000</v>
      </c>
      <c r="D38" s="4">
        <f>SUMIFS(Transactions!E:E,Transactions!B:B, "メCalメ",Transactions!H:H,"Incoming")</f>
        <v>99320000</v>
      </c>
      <c r="E38" s="4">
        <f>SUMIFS(Transactions!F:F,Transactions!B:B, "メCalメ",Transactions!H:H,"Incoming")</f>
        <v>78720000</v>
      </c>
      <c r="F38" s="4">
        <f>SUMIFS(Transactions!G:G,Transactions!B:B, "メCalメ",Transactions!H:H,"Incoming")</f>
        <v>38199600</v>
      </c>
      <c r="G38" s="4">
        <f t="shared" si="1"/>
        <v>390959600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>
        <v>1.71798243E8</v>
      </c>
      <c r="B39" s="8" t="s">
        <v>44</v>
      </c>
      <c r="C39" s="4">
        <f>SUMIFS(Transactions!D:D,Transactions!B:B, "CrazyLady2",Transactions!H:H,"Incoming")</f>
        <v>221407717</v>
      </c>
      <c r="D39" s="4">
        <f>SUMIFS(Transactions!E:E,Transactions!B:B, "CrazyLady2",Transactions!H:H,"Incoming")</f>
        <v>349241883</v>
      </c>
      <c r="E39" s="4">
        <f>SUMIFS(Transactions!F:F,Transactions!B:B, "CrazyLady2",Transactions!H:H,"Incoming")</f>
        <v>186223529</v>
      </c>
      <c r="F39" s="4">
        <f>SUMIFS(Transactions!G:G,Transactions!B:B, "CrazyLady2",Transactions!H:H,"Incoming")</f>
        <v>66243708</v>
      </c>
      <c r="G39" s="4">
        <f t="shared" si="1"/>
        <v>823116837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8">
        <v>1.40009179E8</v>
      </c>
      <c r="B40" s="8" t="s">
        <v>45</v>
      </c>
      <c r="C40" s="4">
        <f>SUMIFS(Transactions!D:D,Transactions!B:B, "Herakles ツ",Transactions!H:H,"Incoming")</f>
        <v>20000000</v>
      </c>
      <c r="D40" s="4">
        <f>SUMIFS(Transactions!E:E,Transactions!B:B, "Herakles ツ",Transactions!H:H,"Incoming")</f>
        <v>30000000</v>
      </c>
      <c r="E40" s="4">
        <f>SUMIFS(Transactions!F:F,Transactions!B:B, "Herakles ツ",Transactions!H:H,"Incoming")</f>
        <v>18210089</v>
      </c>
      <c r="F40" s="4">
        <f>SUMIFS(Transactions!G:G,Transactions!B:B, "Herakles ツ",Transactions!H:H,"Incoming")</f>
        <v>5143595</v>
      </c>
      <c r="G40" s="4">
        <f t="shared" si="1"/>
        <v>73353684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8">
        <v>1.71983336E8</v>
      </c>
      <c r="B41" s="8" t="s">
        <v>46</v>
      </c>
      <c r="C41" s="4">
        <f>SUMIFS(Transactions!D:D,Transactions!B:B, "AzeM",Transactions!H:H,"Incoming")</f>
        <v>64600000</v>
      </c>
      <c r="D41" s="4">
        <f>SUMIFS(Transactions!E:E,Transactions!B:B, "AzeM",Transactions!H:H,"Incoming")</f>
        <v>64600000</v>
      </c>
      <c r="E41" s="4">
        <f>SUMIFS(Transactions!F:F,Transactions!B:B, "AzeM",Transactions!H:H,"Incoming")</f>
        <v>64600000</v>
      </c>
      <c r="F41" s="4">
        <f>SUMIFS(Transactions!G:G,Transactions!B:B, "AzeM",Transactions!H:H,"Incoming")</f>
        <v>64600000</v>
      </c>
      <c r="G41" s="4">
        <f t="shared" si="1"/>
        <v>258400000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8">
        <v>1.45056169E8</v>
      </c>
      <c r="B42" s="8" t="s">
        <v>47</v>
      </c>
      <c r="C42" s="4">
        <f>SUMIFS(Transactions!D:D,Transactions!B:B, "Grimm48",Transactions!H:H,"Incoming")</f>
        <v>20009600</v>
      </c>
      <c r="D42" s="4">
        <f>SUMIFS(Transactions!E:E,Transactions!B:B, "Grimm48",Transactions!H:H,"Incoming")</f>
        <v>20009600</v>
      </c>
      <c r="E42" s="4">
        <f>SUMIFS(Transactions!F:F,Transactions!B:B, "Grimm48",Transactions!H:H,"Incoming")</f>
        <v>70009600</v>
      </c>
      <c r="F42" s="4">
        <f>SUMIFS(Transactions!G:G,Transactions!B:B, "Grimm48",Transactions!H:H,"Incoming")</f>
        <v>30009600</v>
      </c>
      <c r="G42" s="4">
        <f t="shared" si="1"/>
        <v>140038400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8">
        <v>1.20029911E8</v>
      </c>
      <c r="B43" s="9" t="s">
        <v>48</v>
      </c>
      <c r="C43" s="4">
        <f>SUMIFS(Transactions!D:D,Transactions!B:B, "Ħeřr Şimôñ",Transactions!H:H,"Incoming")</f>
        <v>17572000</v>
      </c>
      <c r="D43" s="4">
        <f>SUMIFS(Transactions!E:E,Transactions!B:B, "Ħeřr Şimôñ",Transactions!H:H,"Incoming")</f>
        <v>17572000</v>
      </c>
      <c r="E43" s="4">
        <f>SUMIFS(Transactions!F:F,Transactions!B:B, "Ħeřr Şimôñ",Transactions!H:H,"Incoming")</f>
        <v>16348000</v>
      </c>
      <c r="F43" s="4">
        <f>SUMIFS(Transactions!G:G,Transactions!B:B, "Ħeřr Şimôñ",Transactions!H:H,"Incoming")</f>
        <v>7708000</v>
      </c>
      <c r="G43" s="4">
        <f t="shared" si="1"/>
        <v>59200000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8">
        <v>1.69446634E8</v>
      </c>
      <c r="B44" s="8" t="s">
        <v>49</v>
      </c>
      <c r="C44" s="4">
        <f>SUMIFS(Transactions!D:D,Transactions!B:B, "Pickle Gnyxey",Transactions!H:H,"Incoming")</f>
        <v>53040000</v>
      </c>
      <c r="D44" s="4">
        <f>SUMIFS(Transactions!E:E,Transactions!B:B, "Pickle Gnyxey",Transactions!H:H,"Incoming")</f>
        <v>53040000</v>
      </c>
      <c r="E44" s="4">
        <f>SUMIFS(Transactions!F:F,Transactions!B:B, "Pickle Gnyxey",Transactions!H:H,"Incoming")</f>
        <v>43104000</v>
      </c>
      <c r="F44" s="4">
        <f>SUMIFS(Transactions!G:G,Transactions!B:B, "Pickle Gnyxey",Transactions!H:H,"Incoming")</f>
        <v>44420000</v>
      </c>
      <c r="G44" s="4">
        <f t="shared" si="1"/>
        <v>193604000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">
        <v>1.44102873E8</v>
      </c>
      <c r="B45" s="8" t="s">
        <v>50</v>
      </c>
      <c r="C45" s="4">
        <f>SUMIFS(Transactions!D:D,Transactions!B:B, "Ƀłøømɇɍ",Transactions!H:H,"Incoming")</f>
        <v>60000000</v>
      </c>
      <c r="D45" s="4">
        <f>SUMIFS(Transactions!E:E,Transactions!B:B, "Ƀłøømɇɍ",Transactions!H:H,"Incoming")</f>
        <v>0</v>
      </c>
      <c r="E45" s="4">
        <f>SUMIFS(Transactions!F:F,Transactions!B:B, "Ƀłøømɇɍ",Transactions!H:H,"Incoming")</f>
        <v>20000000</v>
      </c>
      <c r="F45" s="4">
        <f>SUMIFS(Transactions!G:G,Transactions!B:B, "Ƀłøømɇɍ",Transactions!H:H,"Incoming")</f>
        <v>60000000</v>
      </c>
      <c r="G45" s="4">
        <f t="shared" si="1"/>
        <v>140000000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>
        <v>1.44049878E8</v>
      </c>
      <c r="B46" s="8" t="s">
        <v>51</v>
      </c>
      <c r="C46" s="4">
        <f>SUMIFS(Transactions!D:D,Transactions!B:B, "Losant",Transactions!H:H,"Incoming")</f>
        <v>38280000</v>
      </c>
      <c r="D46" s="4">
        <f>SUMIFS(Transactions!E:E,Transactions!B:B, "Losant",Transactions!H:H,"Incoming")</f>
        <v>78280000</v>
      </c>
      <c r="E46" s="4">
        <f>SUMIFS(Transactions!F:F,Transactions!B:B, "Losant",Transactions!H:H,"Incoming")</f>
        <v>27820000</v>
      </c>
      <c r="F46" s="4">
        <f>SUMIFS(Transactions!G:G,Transactions!B:B, "Losant",Transactions!H:H,"Incoming")</f>
        <v>34876000</v>
      </c>
      <c r="G46" s="4">
        <f t="shared" si="1"/>
        <v>179256000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8">
        <v>1.68923934E8</v>
      </c>
      <c r="B47" s="8" t="s">
        <v>52</v>
      </c>
      <c r="C47" s="4">
        <f>SUMIFS(Transactions!D:D,Transactions!B:B, "ᵛᶰシSunシ",Transactions!H:H,"Incoming")</f>
        <v>14263800</v>
      </c>
      <c r="D47" s="4">
        <f>SUMIFS(Transactions!E:E,Transactions!B:B, "ᵛᶰシSunシ",Transactions!H:H,"Incoming")</f>
        <v>12636200</v>
      </c>
      <c r="E47" s="4">
        <f>SUMIFS(Transactions!F:F,Transactions!B:B, "ᵛᶰシSunシ",Transactions!H:H,"Incoming")</f>
        <v>14535600</v>
      </c>
      <c r="F47" s="4">
        <f>SUMIFS(Transactions!G:G,Transactions!B:B, "ᵛᶰシSunシ",Transactions!H:H,"Incoming")</f>
        <v>7764400</v>
      </c>
      <c r="G47" s="4">
        <f t="shared" si="1"/>
        <v>49200000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8">
        <v>1.66871338E8</v>
      </c>
      <c r="B48" s="8" t="s">
        <v>53</v>
      </c>
      <c r="C48" s="4">
        <f>SUMIFS(Transactions!D:D,Transactions!B:B, "ᴴᵘⁿBéo",Transactions!H:H,"Incoming")</f>
        <v>150000000</v>
      </c>
      <c r="D48" s="4">
        <f>SUMIFS(Transactions!E:E,Transactions!B:B, "ᴴᵘⁿBéo",Transactions!H:H,"Incoming")</f>
        <v>100000000</v>
      </c>
      <c r="E48" s="4">
        <f>SUMIFS(Transactions!F:F,Transactions!B:B, "ᴴᵘⁿBéo",Transactions!H:H,"Incoming")</f>
        <v>50000000</v>
      </c>
      <c r="F48" s="4">
        <f>SUMIFS(Transactions!G:G,Transactions!B:B, "ᴴᵘⁿBéo",Transactions!H:H,"Incoming")</f>
        <v>20000000</v>
      </c>
      <c r="G48" s="4">
        <f t="shared" si="1"/>
        <v>320000000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8">
        <v>2.989016E7</v>
      </c>
      <c r="B49" s="8" t="s">
        <v>54</v>
      </c>
      <c r="C49" s="4">
        <f>SUMIFS(Transactions!D:D,Transactions!B:B, "FadhelF",Transactions!H:H,"Incoming")</f>
        <v>20000000</v>
      </c>
      <c r="D49" s="4">
        <f>SUMIFS(Transactions!E:E,Transactions!B:B, "FadhelF",Transactions!H:H,"Incoming")</f>
        <v>20000000</v>
      </c>
      <c r="E49" s="4">
        <f>SUMIFS(Transactions!F:F,Transactions!B:B, "FadhelF",Transactions!H:H,"Incoming")</f>
        <v>0</v>
      </c>
      <c r="F49" s="4">
        <f>SUMIFS(Transactions!G:G,Transactions!B:B, "FadhelF",Transactions!H:H,"Incoming")</f>
        <v>0</v>
      </c>
      <c r="G49" s="4">
        <f t="shared" si="1"/>
        <v>40000000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8">
        <v>1.6683283E8</v>
      </c>
      <c r="B50" s="9" t="s">
        <v>55</v>
      </c>
      <c r="C50" s="4">
        <f>SUMIFS(Transactions!D:D,Transactions!B:B, "ᵁᴺLêMinh",Transactions!H:H,"Incoming")</f>
        <v>5829120</v>
      </c>
      <c r="D50" s="4">
        <f>SUMIFS(Transactions!E:E,Transactions!B:B, "ᵁᴺLêMinh",Transactions!H:H,"Incoming")</f>
        <v>5829120</v>
      </c>
      <c r="E50" s="4">
        <f>SUMIFS(Transactions!F:F,Transactions!B:B, "ᵁᴺLêMinh",Transactions!H:H,"Incoming")</f>
        <v>5829120</v>
      </c>
      <c r="F50" s="4">
        <f>SUMIFS(Transactions!G:G,Transactions!B:B, "ᵁᴺLêMinh",Transactions!H:H,"Incoming")</f>
        <v>1943040</v>
      </c>
      <c r="G50" s="4">
        <f t="shared" si="1"/>
        <v>19430400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8">
        <v>1.66497805E8</v>
      </c>
      <c r="B51" s="8" t="s">
        <v>56</v>
      </c>
      <c r="C51" s="4">
        <f>SUMIFS(Transactions!D:D,Transactions!B:B, "e s o r",Transactions!H:H,"Incoming")</f>
        <v>14802800</v>
      </c>
      <c r="D51" s="4">
        <f>SUMIFS(Transactions!E:E,Transactions!B:B, "e s o r",Transactions!H:H,"Incoming")</f>
        <v>14802800</v>
      </c>
      <c r="E51" s="4">
        <f>SUMIFS(Transactions!F:F,Transactions!B:B, "e s o r",Transactions!H:H,"Incoming")</f>
        <v>28546400</v>
      </c>
      <c r="F51" s="4">
        <f>SUMIFS(Transactions!G:G,Transactions!B:B, "e s o r",Transactions!H:H,"Incoming")</f>
        <v>11848000</v>
      </c>
      <c r="G51" s="4">
        <f t="shared" si="1"/>
        <v>70000000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8">
        <v>1.71574321E8</v>
      </c>
      <c r="B52" s="8" t="s">
        <v>57</v>
      </c>
      <c r="C52" s="4">
        <f>SUMIFS(Transactions!D:D,Transactions!B:B, "Draay",Transactions!H:H,"Incoming")</f>
        <v>0</v>
      </c>
      <c r="D52" s="4">
        <f>SUMIFS(Transactions!E:E,Transactions!B:B, "Draay",Transactions!H:H,"Incoming")</f>
        <v>0</v>
      </c>
      <c r="E52" s="4">
        <f>SUMIFS(Transactions!F:F,Transactions!B:B, "Draay",Transactions!H:H,"Incoming")</f>
        <v>0</v>
      </c>
      <c r="F52" s="4">
        <f>SUMIFS(Transactions!G:G,Transactions!B:B, "Draay",Transactions!H:H,"Incoming")</f>
        <v>0</v>
      </c>
      <c r="G52" s="4">
        <f t="shared" si="1"/>
        <v>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8">
        <v>1.72078991E8</v>
      </c>
      <c r="B53" s="8" t="s">
        <v>58</v>
      </c>
      <c r="C53" s="4">
        <f>SUMIFS(Transactions!D:D,Transactions!B:B, "Scricciolo",Transactions!H:H,"Incoming")</f>
        <v>0</v>
      </c>
      <c r="D53" s="4">
        <f>SUMIFS(Transactions!E:E,Transactions!B:B, "Scricciolo",Transactions!H:H,"Incoming")</f>
        <v>0</v>
      </c>
      <c r="E53" s="4">
        <f>SUMIFS(Transactions!F:F,Transactions!B:B, "Scricciolo",Transactions!H:H,"Incoming")</f>
        <v>0</v>
      </c>
      <c r="F53" s="4">
        <f>SUMIFS(Transactions!G:G,Transactions!B:B, "Scricciolo",Transactions!H:H,"Incoming")</f>
        <v>0</v>
      </c>
      <c r="G53" s="4">
        <f t="shared" si="1"/>
        <v>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8">
        <v>1.71491377E8</v>
      </c>
      <c r="B54" s="8" t="s">
        <v>59</v>
      </c>
      <c r="C54" s="4">
        <f>SUMIFS(Transactions!D:D,Transactions!B:B, "ᵀᵒᴿQuyet",Transactions!H:H,"Incoming")</f>
        <v>32760000</v>
      </c>
      <c r="D54" s="4">
        <f>SUMIFS(Transactions!E:E,Transactions!B:B, "ᵀᵒᴿQuyet",Transactions!H:H,"Incoming")</f>
        <v>92760000</v>
      </c>
      <c r="E54" s="4">
        <f>SUMIFS(Transactions!F:F,Transactions!B:B, "ᵀᵒᴿQuyet",Transactions!H:H,"Incoming")</f>
        <v>32760000</v>
      </c>
      <c r="F54" s="4">
        <f>SUMIFS(Transactions!G:G,Transactions!B:B, "ᵀᵒᴿQuyet",Transactions!H:H,"Incoming")</f>
        <v>22852000</v>
      </c>
      <c r="G54" s="4">
        <f t="shared" si="1"/>
        <v>181132000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8">
        <v>1.71701107E8</v>
      </c>
      <c r="B55" s="8" t="s">
        <v>60</v>
      </c>
      <c r="C55" s="4">
        <f>SUMIFS(Transactions!D:D,Transactions!B:B, "Vill Báalam",Transactions!H:H,"Incoming")</f>
        <v>70000000</v>
      </c>
      <c r="D55" s="4">
        <f>SUMIFS(Transactions!E:E,Transactions!B:B, "Vill Báalam",Transactions!H:H,"Incoming")</f>
        <v>30000000</v>
      </c>
      <c r="E55" s="4">
        <f>SUMIFS(Transactions!F:F,Transactions!B:B, "Vill Báalam",Transactions!H:H,"Incoming")</f>
        <v>40000000</v>
      </c>
      <c r="F55" s="4">
        <f>SUMIFS(Transactions!G:G,Transactions!B:B, "Vill Báalam",Transactions!H:H,"Incoming")</f>
        <v>30000000</v>
      </c>
      <c r="G55" s="4">
        <f t="shared" si="1"/>
        <v>170000000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8">
        <v>1.4499E8</v>
      </c>
      <c r="B56" s="8" t="s">
        <v>61</v>
      </c>
      <c r="C56" s="4">
        <f>SUMIFS(Transactions!D:D,Transactions!B:B, "KaTrin",Transactions!H:H,"Incoming")</f>
        <v>0</v>
      </c>
      <c r="D56" s="4">
        <f>SUMIFS(Transactions!E:E,Transactions!B:B, "KaTrin",Transactions!H:H,"Incoming")</f>
        <v>0</v>
      </c>
      <c r="E56" s="4">
        <f>SUMIFS(Transactions!F:F,Transactions!B:B, "KaTrin",Transactions!H:H,"Incoming")</f>
        <v>40000000</v>
      </c>
      <c r="F56" s="4">
        <f>SUMIFS(Transactions!G:G,Transactions!B:B, "KaTrin",Transactions!H:H,"Incoming")</f>
        <v>0</v>
      </c>
      <c r="G56" s="4">
        <f t="shared" si="1"/>
        <v>40000000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8">
        <v>1.70866748E8</v>
      </c>
      <c r="B57" s="8" t="s">
        <v>62</v>
      </c>
      <c r="C57" s="4">
        <f>SUMIFS(Transactions!D:D,Transactions!B:B, "Tzilacatzin",Transactions!H:H,"Incoming")</f>
        <v>16067800</v>
      </c>
      <c r="D57" s="4">
        <f>SUMIFS(Transactions!E:E,Transactions!B:B, "Tzilacatzin",Transactions!H:H,"Incoming")</f>
        <v>15947800</v>
      </c>
      <c r="E57" s="4">
        <f>SUMIFS(Transactions!F:F,Transactions!B:B, "Tzilacatzin",Transactions!H:H,"Incoming")</f>
        <v>16067800</v>
      </c>
      <c r="F57" s="4">
        <f>SUMIFS(Transactions!G:G,Transactions!B:B, "Tzilacatzin",Transactions!H:H,"Incoming")</f>
        <v>11945800</v>
      </c>
      <c r="G57" s="4">
        <f t="shared" si="1"/>
        <v>60029200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8">
        <v>1.6942777E8</v>
      </c>
      <c r="B58" s="8" t="s">
        <v>63</v>
      </c>
      <c r="C58" s="4">
        <f>SUMIFS(Transactions!D:D,Transactions!B:B, "SAX0N",Transactions!H:H,"Incoming")</f>
        <v>28860000</v>
      </c>
      <c r="D58" s="4">
        <f>SUMIFS(Transactions!E:E,Transactions!B:B, "SAX0N",Transactions!H:H,"Incoming")</f>
        <v>223560000</v>
      </c>
      <c r="E58" s="4">
        <f>SUMIFS(Transactions!F:F,Transactions!B:B, "SAX0N",Transactions!H:H,"Incoming")</f>
        <v>16900000</v>
      </c>
      <c r="F58" s="4">
        <f>SUMIFS(Transactions!G:G,Transactions!B:B, "SAX0N",Transactions!H:H,"Incoming")</f>
        <v>9080000</v>
      </c>
      <c r="G58" s="4">
        <f t="shared" si="1"/>
        <v>278400000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8">
        <v>1.71355737E8</v>
      </c>
      <c r="B59" s="8" t="s">
        <v>64</v>
      </c>
      <c r="C59" s="4">
        <f>SUMIFS(Transactions!D:D,Transactions!B:B, "Darth ShүNøX",Transactions!H:H,"Incoming")</f>
        <v>8101702</v>
      </c>
      <c r="D59" s="4">
        <f>SUMIFS(Transactions!E:E,Transactions!B:B, "Darth ShүNøX",Transactions!H:H,"Incoming")</f>
        <v>8165648</v>
      </c>
      <c r="E59" s="4">
        <f>SUMIFS(Transactions!F:F,Transactions!B:B, "Darth ShүNøX",Transactions!H:H,"Incoming")</f>
        <v>14038201</v>
      </c>
      <c r="F59" s="4">
        <f>SUMIFS(Transactions!G:G,Transactions!B:B, "Darth ShүNøX",Transactions!H:H,"Incoming")</f>
        <v>8481871</v>
      </c>
      <c r="G59" s="4">
        <f t="shared" si="1"/>
        <v>38787422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8">
        <v>1.43088559E8</v>
      </c>
      <c r="B60" s="8" t="s">
        <v>65</v>
      </c>
      <c r="C60" s="4">
        <f>SUMIFS(Transactions!D:D,Transactions!B:B, "ᵂʷ LTA TáO",Transactions!H:H,"Incoming")</f>
        <v>0</v>
      </c>
      <c r="D60" s="4">
        <f>SUMIFS(Transactions!E:E,Transactions!B:B, "ᵂʷ LTA TáO",Transactions!H:H,"Incoming")</f>
        <v>20000000</v>
      </c>
      <c r="E60" s="4">
        <f>SUMIFS(Transactions!F:F,Transactions!B:B, "ᵂʷ LTA TáO",Transactions!H:H,"Incoming")</f>
        <v>0</v>
      </c>
      <c r="F60" s="4">
        <f>SUMIFS(Transactions!G:G,Transactions!B:B, "ᵂʷ LTA TáO",Transactions!H:H,"Incoming")</f>
        <v>0</v>
      </c>
      <c r="G60" s="4">
        <f t="shared" si="1"/>
        <v>20000000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8">
        <v>1.71972257E8</v>
      </c>
      <c r="B61" s="8" t="s">
        <v>66</v>
      </c>
      <c r="C61" s="4">
        <f>SUMIFS(Transactions!D:D,Transactions!B:B, "Steelite",Transactions!H:H,"Incoming")</f>
        <v>61000000</v>
      </c>
      <c r="D61" s="4">
        <f>SUMIFS(Transactions!E:E,Transactions!B:B, "Steelite",Transactions!H:H,"Incoming")</f>
        <v>41000000</v>
      </c>
      <c r="E61" s="4">
        <f>SUMIFS(Transactions!F:F,Transactions!B:B, "Steelite",Transactions!H:H,"Incoming")</f>
        <v>61000000</v>
      </c>
      <c r="F61" s="4">
        <f>SUMIFS(Transactions!G:G,Transactions!B:B, "Steelite",Transactions!H:H,"Incoming")</f>
        <v>0</v>
      </c>
      <c r="G61" s="4">
        <f t="shared" si="1"/>
        <v>163000000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8">
        <v>1.71982346E8</v>
      </c>
      <c r="B62" s="8" t="s">
        <v>67</v>
      </c>
      <c r="C62" s="4">
        <f>SUMIFS(Transactions!D:D,Transactions!B:B, "Melottus",Transactions!H:H,"Incoming")</f>
        <v>311840000</v>
      </c>
      <c r="D62" s="4">
        <f>SUMIFS(Transactions!E:E,Transactions!B:B, "Melottus",Transactions!H:H,"Incoming")</f>
        <v>211840000</v>
      </c>
      <c r="E62" s="4">
        <f>SUMIFS(Transactions!F:F,Transactions!B:B, "Melottus",Transactions!H:H,"Incoming")</f>
        <v>151840000</v>
      </c>
      <c r="F62" s="4">
        <f>SUMIFS(Transactions!G:G,Transactions!B:B, "Melottus",Transactions!H:H,"Incoming")</f>
        <v>71840000</v>
      </c>
      <c r="G62" s="4">
        <f t="shared" si="1"/>
        <v>747360000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8">
        <v>1.4406546E8</v>
      </c>
      <c r="B63" s="8" t="s">
        <v>68</v>
      </c>
      <c r="C63" s="4">
        <f>SUMIFS(Transactions!D:D,Transactions!B:B, "TitanMARU",Transactions!H:H,"Incoming")</f>
        <v>143992729</v>
      </c>
      <c r="D63" s="4">
        <f>SUMIFS(Transactions!E:E,Transactions!B:B, "TitanMARU",Transactions!H:H,"Incoming")</f>
        <v>155299947</v>
      </c>
      <c r="E63" s="4">
        <f>SUMIFS(Transactions!F:F,Transactions!B:B, "TitanMARU",Transactions!H:H,"Incoming")</f>
        <v>42811500</v>
      </c>
      <c r="F63" s="4">
        <f>SUMIFS(Transactions!G:G,Transactions!B:B, "TitanMARU",Transactions!H:H,"Incoming")</f>
        <v>0</v>
      </c>
      <c r="G63" s="4">
        <f t="shared" si="1"/>
        <v>342104176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8">
        <v>1.68839111E8</v>
      </c>
      <c r="B64" s="8" t="s">
        <v>69</v>
      </c>
      <c r="C64" s="4">
        <f>SUMIFS(Transactions!D:D,Transactions!B:B, "yamen Di",Transactions!H:H,"Incoming")</f>
        <v>24752836</v>
      </c>
      <c r="D64" s="4">
        <f>SUMIFS(Transactions!E:E,Transactions!B:B, "yamen Di",Transactions!H:H,"Incoming")</f>
        <v>370000000</v>
      </c>
      <c r="E64" s="4">
        <f>SUMIFS(Transactions!F:F,Transactions!B:B, "yamen Di",Transactions!H:H,"Incoming")</f>
        <v>22307941</v>
      </c>
      <c r="F64" s="4">
        <f>SUMIFS(Transactions!G:G,Transactions!B:B, "yamen Di",Transactions!H:H,"Incoming")</f>
        <v>12939223</v>
      </c>
      <c r="G64" s="4">
        <f t="shared" si="1"/>
        <v>430000000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8">
        <v>1.71799293E8</v>
      </c>
      <c r="B65" s="8" t="s">
        <v>70</v>
      </c>
      <c r="C65" s="4">
        <f>SUMIFS(Transactions!D:D,Transactions!B:B, "FixiHartMan1",Transactions!H:H,"Incoming")</f>
        <v>4600000</v>
      </c>
      <c r="D65" s="4">
        <f>SUMIFS(Transactions!E:E,Transactions!B:B, "FixiHartMan1",Transactions!H:H,"Incoming")</f>
        <v>4600000</v>
      </c>
      <c r="E65" s="4">
        <f>SUMIFS(Transactions!F:F,Transactions!B:B, "FixiHartMan1",Transactions!H:H,"Incoming")</f>
        <v>4600000</v>
      </c>
      <c r="F65" s="4">
        <f>SUMIFS(Transactions!G:G,Transactions!B:B, "FixiHartMan1",Transactions!H:H,"Incoming")</f>
        <v>4600000</v>
      </c>
      <c r="G65" s="4">
        <f t="shared" si="1"/>
        <v>18400000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8">
        <v>1.71927851E8</v>
      </c>
      <c r="B66" s="8" t="s">
        <v>71</v>
      </c>
      <c r="C66" s="4">
        <f>SUMIFS(Transactions!D:D,Transactions!B:B, "DompfX",Transactions!H:H,"Incoming")</f>
        <v>24656000</v>
      </c>
      <c r="D66" s="4">
        <f>SUMIFS(Transactions!E:E,Transactions!B:B, "DompfX",Transactions!H:H,"Incoming")</f>
        <v>26256000</v>
      </c>
      <c r="E66" s="4">
        <f>SUMIFS(Transactions!F:F,Transactions!B:B, "DompfX",Transactions!H:H,"Incoming")</f>
        <v>28556000</v>
      </c>
      <c r="F66" s="4">
        <f>SUMIFS(Transactions!G:G,Transactions!B:B, "DompfX",Transactions!H:H,"Incoming")</f>
        <v>25916000</v>
      </c>
      <c r="G66" s="4">
        <f t="shared" si="1"/>
        <v>105384000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8">
        <v>1915332.0</v>
      </c>
      <c r="B67" s="8" t="s">
        <v>72</v>
      </c>
      <c r="C67" s="4">
        <f>SUMIFS(Transactions!D:D,Transactions!B:B, "Lord Valkorion",Transactions!H:H,"Incoming")</f>
        <v>260120920</v>
      </c>
      <c r="D67" s="4">
        <f>SUMIFS(Transactions!E:E,Transactions!B:B, "Lord Valkorion",Transactions!H:H,"Incoming")</f>
        <v>370120920</v>
      </c>
      <c r="E67" s="4">
        <f>SUMIFS(Transactions!F:F,Transactions!B:B, "Lord Valkorion",Transactions!H:H,"Incoming")</f>
        <v>260120920</v>
      </c>
      <c r="F67" s="4">
        <f>SUMIFS(Transactions!G:G,Transactions!B:B, "Lord Valkorion",Transactions!H:H,"Incoming")</f>
        <v>104452800</v>
      </c>
      <c r="G67" s="4">
        <f t="shared" si="1"/>
        <v>994815560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8">
        <v>1.55415774E8</v>
      </c>
      <c r="B68" s="8" t="s">
        <v>73</v>
      </c>
      <c r="C68" s="4">
        <f>SUMIFS(Transactions!D:D,Transactions!B:B, "ɮ ʀǟӼ",Transactions!H:H,"Incoming")</f>
        <v>60000000</v>
      </c>
      <c r="D68" s="4">
        <f>SUMIFS(Transactions!E:E,Transactions!B:B, "ɮ ʀǟӼ",Transactions!H:H,"Incoming")</f>
        <v>100000000</v>
      </c>
      <c r="E68" s="4">
        <f>SUMIFS(Transactions!F:F,Transactions!B:B, "ɮ ʀǟӼ",Transactions!H:H,"Incoming")</f>
        <v>10000000</v>
      </c>
      <c r="F68" s="4">
        <f>SUMIFS(Transactions!G:G,Transactions!B:B, "ɮ ʀǟӼ",Transactions!H:H,"Incoming")</f>
        <v>30000000</v>
      </c>
      <c r="G68" s="4">
        <f t="shared" si="1"/>
        <v>200000000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8">
        <v>1.38752108E8</v>
      </c>
      <c r="B69" s="8" t="s">
        <v>74</v>
      </c>
      <c r="C69" s="4">
        <f>SUMIFS(Transactions!D:D,Transactions!B:B, "乄jacony乄",Transactions!H:H,"Incoming")</f>
        <v>37544280</v>
      </c>
      <c r="D69" s="4">
        <f>SUMIFS(Transactions!E:E,Transactions!B:B, "乄jacony乄",Transactions!H:H,"Incoming")</f>
        <v>42144280</v>
      </c>
      <c r="E69" s="4">
        <f>SUMIFS(Transactions!F:F,Transactions!B:B, "乄jacony乄",Transactions!H:H,"Incoming")</f>
        <v>37544280</v>
      </c>
      <c r="F69" s="4">
        <f>SUMIFS(Transactions!G:G,Transactions!B:B, "乄jacony乄",Transactions!H:H,"Incoming")</f>
        <v>29536600</v>
      </c>
      <c r="G69" s="4">
        <f t="shared" si="1"/>
        <v>146769440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8">
        <v>1.72041454E8</v>
      </c>
      <c r="B70" s="8" t="s">
        <v>75</v>
      </c>
      <c r="C70" s="4">
        <f>SUMIFS(Transactions!D:D,Transactions!B:B, "Seckin34๛",Transactions!H:H,"Incoming")</f>
        <v>50240000</v>
      </c>
      <c r="D70" s="4">
        <f>SUMIFS(Transactions!E:E,Transactions!B:B, "Seckin34๛",Transactions!H:H,"Incoming")</f>
        <v>63800000</v>
      </c>
      <c r="E70" s="4">
        <f>SUMIFS(Transactions!F:F,Transactions!B:B, "Seckin34๛",Transactions!H:H,"Incoming")</f>
        <v>49228000</v>
      </c>
      <c r="F70" s="4">
        <f>SUMIFS(Transactions!G:G,Transactions!B:B, "Seckin34๛",Transactions!H:H,"Incoming")</f>
        <v>45152000</v>
      </c>
      <c r="G70" s="4">
        <f t="shared" si="1"/>
        <v>208420000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8">
        <v>1.55534128E8</v>
      </c>
      <c r="B71" s="8" t="s">
        <v>76</v>
      </c>
      <c r="C71" s="4">
        <f>SUMIFS(Transactions!D:D,Transactions!B:B, "ŻŸŁÜĶ㋡",Transactions!H:H,"Incoming")</f>
        <v>21025780</v>
      </c>
      <c r="D71" s="4">
        <f>SUMIFS(Transactions!E:E,Transactions!B:B, "ŻŸŁÜĶ㋡",Transactions!H:H,"Incoming")</f>
        <v>14650620</v>
      </c>
      <c r="E71" s="4">
        <f>SUMIFS(Transactions!F:F,Transactions!B:B, "ŻŸŁÜĶ㋡",Transactions!H:H,"Incoming")</f>
        <v>12263600</v>
      </c>
      <c r="F71" s="4">
        <f>SUMIFS(Transactions!G:G,Transactions!B:B, "ŻŸŁÜĶ㋡",Transactions!H:H,"Incoming")</f>
        <v>1260000</v>
      </c>
      <c r="G71" s="4">
        <f t="shared" si="1"/>
        <v>49200000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8">
        <v>1.7160984E8</v>
      </c>
      <c r="B72" s="8" t="s">
        <v>77</v>
      </c>
      <c r="C72" s="4">
        <f>SUMIFS(Transactions!D:D,Transactions!B:B, "KaizerX",Transactions!H:H,"Incoming")</f>
        <v>5520000</v>
      </c>
      <c r="D72" s="4">
        <f>SUMIFS(Transactions!E:E,Transactions!B:B, "KaizerX",Transactions!H:H,"Incoming")</f>
        <v>5980000</v>
      </c>
      <c r="E72" s="4">
        <f>SUMIFS(Transactions!F:F,Transactions!B:B, "KaizerX",Transactions!H:H,"Incoming")</f>
        <v>34600000</v>
      </c>
      <c r="F72" s="4">
        <f>SUMIFS(Transactions!G:G,Transactions!B:B, "KaizerX",Transactions!H:H,"Incoming")</f>
        <v>3900000</v>
      </c>
      <c r="G72" s="4">
        <f t="shared" si="1"/>
        <v>50000000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8">
        <v>5.524249E7</v>
      </c>
      <c r="B73" s="8" t="s">
        <v>78</v>
      </c>
      <c r="C73" s="4">
        <f>SUMIFS(Transactions!D:D,Transactions!B:B, "R7R7",Transactions!H:H,"Incoming")</f>
        <v>150000000</v>
      </c>
      <c r="D73" s="4">
        <f>SUMIFS(Transactions!E:E,Transactions!B:B, "R7R7",Transactions!H:H,"Incoming")</f>
        <v>1060000000</v>
      </c>
      <c r="E73" s="4">
        <f>SUMIFS(Transactions!F:F,Transactions!B:B, "R7R7",Transactions!H:H,"Incoming")</f>
        <v>140000000</v>
      </c>
      <c r="F73" s="4">
        <f>SUMIFS(Transactions!G:G,Transactions!B:B, "R7R7",Transactions!H:H,"Incoming")</f>
        <v>70000000</v>
      </c>
      <c r="G73" s="4">
        <f t="shared" si="1"/>
        <v>1420000000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8">
        <v>1.72033754E8</v>
      </c>
      <c r="B74" s="8" t="s">
        <v>79</v>
      </c>
      <c r="C74" s="4">
        <f>SUMIFS(Transactions!D:D,Transactions!B:B, "Dreckschlumpf",Transactions!H:H,"Incoming")</f>
        <v>53399920</v>
      </c>
      <c r="D74" s="4">
        <f>SUMIFS(Transactions!E:E,Transactions!B:B, "Dreckschlumpf",Transactions!H:H,"Incoming")</f>
        <v>745680079</v>
      </c>
      <c r="E74" s="4">
        <f>SUMIFS(Transactions!F:F,Transactions!B:B, "Dreckschlumpf",Transactions!H:H,"Incoming")</f>
        <v>67951885</v>
      </c>
      <c r="F74" s="4">
        <f>SUMIFS(Transactions!G:G,Transactions!B:B, "Dreckschlumpf",Transactions!H:H,"Incoming")</f>
        <v>63762279</v>
      </c>
      <c r="G74" s="4">
        <f t="shared" si="1"/>
        <v>930794163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8">
        <v>1.14506674E8</v>
      </c>
      <c r="B75" s="8" t="s">
        <v>80</v>
      </c>
      <c r="C75" s="4">
        <f>SUMIFS(Transactions!D:D,Transactions!B:B, "whoamii",Transactions!H:H,"Incoming")</f>
        <v>0</v>
      </c>
      <c r="D75" s="4">
        <f>SUMIFS(Transactions!E:E,Transactions!B:B, "whoamii",Transactions!H:H,"Incoming")</f>
        <v>10000000</v>
      </c>
      <c r="E75" s="4">
        <f>SUMIFS(Transactions!F:F,Transactions!B:B, "whoamii",Transactions!H:H,"Incoming")</f>
        <v>80000000</v>
      </c>
      <c r="F75" s="4">
        <f>SUMIFS(Transactions!G:G,Transactions!B:B, "whoamii",Transactions!H:H,"Incoming")</f>
        <v>0</v>
      </c>
      <c r="G75" s="4">
        <f t="shared" si="1"/>
        <v>90000000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8">
        <v>1.72021868E8</v>
      </c>
      <c r="B76" s="8" t="s">
        <v>81</v>
      </c>
      <c r="C76" s="4">
        <f>SUMIFS(Transactions!D:D,Transactions!B:B, "AnshiiT",Transactions!H:H,"Incoming")</f>
        <v>0</v>
      </c>
      <c r="D76" s="4">
        <f>SUMIFS(Transactions!E:E,Transactions!B:B, "Anshii",Transactions!H:H,"Incoming")</f>
        <v>98013880</v>
      </c>
      <c r="E76" s="4">
        <f>SUMIFS(Transactions!F:F,Transactions!B:B, "Anshii",Transactions!H:H,"Incoming")</f>
        <v>78013880</v>
      </c>
      <c r="F76" s="4">
        <f>SUMIFS(Transactions!G:G,Transactions!B:B, "Anshii",Transactions!H:H,"Incoming")</f>
        <v>108013880</v>
      </c>
      <c r="G76" s="4">
        <f t="shared" si="1"/>
        <v>284041640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8">
        <v>1.69494917E8</v>
      </c>
      <c r="B77" s="8" t="s">
        <v>82</v>
      </c>
      <c r="C77" s="4">
        <f>SUMIFS(Transactions!D:D,Transactions!B:B, "ᵂʷ Sandman シ",Transactions!H:H,"Incoming")</f>
        <v>50000000</v>
      </c>
      <c r="D77" s="4">
        <f>SUMIFS(Transactions!E:E,Transactions!B:B, "ᵂʷ Sandman シ",Transactions!H:H,"Incoming")</f>
        <v>50000000</v>
      </c>
      <c r="E77" s="4">
        <f>SUMIFS(Transactions!F:F,Transactions!B:B, "ᵂʷ Sandman シ",Transactions!H:H,"Incoming")</f>
        <v>16554356</v>
      </c>
      <c r="F77" s="4">
        <f>SUMIFS(Transactions!G:G,Transactions!B:B, "ᵂʷ Sandman シ",Transactions!H:H,"Incoming")</f>
        <v>12846756</v>
      </c>
      <c r="G77" s="4">
        <f t="shared" si="1"/>
        <v>129401112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8">
        <v>1.77526978E8</v>
      </c>
      <c r="B78" s="8" t="s">
        <v>83</v>
      </c>
      <c r="C78" s="4">
        <f>SUMIFS(Transactions!D:D,Transactions!B:B, "Son of Odin2997",Transactions!H:H,"Incoming")</f>
        <v>0</v>
      </c>
      <c r="D78" s="4">
        <f>SUMIFS(Transactions!E:E,Transactions!B:B, "Son of Odin2997",Transactions!H:H,"Incoming")</f>
        <v>0</v>
      </c>
      <c r="E78" s="4">
        <f>SUMIFS(Transactions!F:F,Transactions!B:B, "Son of Odin2997",Transactions!H:H,"Incoming")</f>
        <v>0</v>
      </c>
      <c r="F78" s="4">
        <f>SUMIFS(Transactions!G:G,Transactions!B:B, "Son of Odin2997",Transactions!H:H,"Incoming")</f>
        <v>0</v>
      </c>
      <c r="G78" s="4">
        <f t="shared" si="1"/>
        <v>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8">
        <v>1.70708608E8</v>
      </c>
      <c r="B79" s="8" t="s">
        <v>84</v>
      </c>
      <c r="C79" s="4">
        <f>SUMIFS(Transactions!D:D,Transactions!B:B, "OkBanSeChet",Transactions!H:H,"Incoming")</f>
        <v>20000000</v>
      </c>
      <c r="D79" s="4">
        <f>SUMIFS(Transactions!E:E,Transactions!B:B, "OkBanSeChet",Transactions!H:H,"Incoming")</f>
        <v>51840000</v>
      </c>
      <c r="E79" s="4">
        <f>SUMIFS(Transactions!F:F,Transactions!B:B, "OkBanSeChet",Transactions!H:H,"Incoming")</f>
        <v>60000000</v>
      </c>
      <c r="F79" s="4">
        <f>SUMIFS(Transactions!G:G,Transactions!B:B, "OkBanSeChet",Transactions!H:H,"Incoming")</f>
        <v>0</v>
      </c>
      <c r="G79" s="4">
        <f t="shared" si="1"/>
        <v>131840000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8">
        <v>1.71358436E8</v>
      </c>
      <c r="B80" s="8" t="s">
        <v>85</v>
      </c>
      <c r="C80" s="4">
        <f>SUMIFS(Transactions!D:D,Transactions!B:B, "Łørd Shyпøx",Transactions!H:H,"Incoming")</f>
        <v>10000000</v>
      </c>
      <c r="D80" s="4">
        <f>SUMIFS(Transactions!E:E,Transactions!B:B, "Łørd Shyпøx",Transactions!H:H,"Incoming")</f>
        <v>10000000</v>
      </c>
      <c r="E80" s="4">
        <f>SUMIFS(Transactions!F:F,Transactions!B:B, "Łørd Shyпøx",Transactions!H:H,"Incoming")</f>
        <v>80000000</v>
      </c>
      <c r="F80" s="4">
        <f>SUMIFS(Transactions!G:G,Transactions!B:B, "Łørd Shyпøx",Transactions!H:H,"Incoming")</f>
        <v>10000000</v>
      </c>
      <c r="G80" s="4">
        <f t="shared" si="1"/>
        <v>110000000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8">
        <v>1.53857025E8</v>
      </c>
      <c r="B81" s="8" t="s">
        <v>86</v>
      </c>
      <c r="C81" s="4">
        <f>SUMIFS(Transactions!D:D,Transactions!B:B, "GAGS",Transactions!H:H,"Incoming")</f>
        <v>101840000</v>
      </c>
      <c r="D81" s="4">
        <f>SUMIFS(Transactions!E:E,Transactions!B:B, "GAGS",Transactions!H:H,"Incoming")</f>
        <v>101840000</v>
      </c>
      <c r="E81" s="4">
        <f>SUMIFS(Transactions!F:F,Transactions!B:B, "GAGS",Transactions!H:H,"Incoming")</f>
        <v>105520000</v>
      </c>
      <c r="F81" s="4">
        <f>SUMIFS(Transactions!G:G,Transactions!B:B, "GAGS",Transactions!H:H,"Incoming")</f>
        <v>72420000</v>
      </c>
      <c r="G81" s="4">
        <f t="shared" si="1"/>
        <v>381620000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8">
        <v>1.71753933E8</v>
      </c>
      <c r="B82" s="8" t="s">
        <v>87</v>
      </c>
      <c r="C82" s="4">
        <f>SUMIFS(Transactions!D:D,Transactions!B:B, "ˢᴳSeeker",Transactions!H:H,"Incoming")</f>
        <v>39297176</v>
      </c>
      <c r="D82" s="4">
        <f>SUMIFS(Transactions!E:E,Transactions!B:B, "ˢᴳSeeker",Transactions!H:H,"Incoming")</f>
        <v>47169643</v>
      </c>
      <c r="E82" s="4">
        <f>SUMIFS(Transactions!F:F,Transactions!B:B, "ˢᴳSeeker",Transactions!H:H,"Incoming")</f>
        <v>17852731</v>
      </c>
      <c r="F82" s="4">
        <f>SUMIFS(Transactions!G:G,Transactions!B:B, "ˢᴳSeeker",Transactions!H:H,"Incoming")</f>
        <v>5892448</v>
      </c>
      <c r="G82" s="4">
        <f t="shared" si="1"/>
        <v>110211998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8">
        <v>1.71209025E8</v>
      </c>
      <c r="B83" s="8" t="s">
        <v>88</v>
      </c>
      <c r="C83" s="4">
        <f>SUMIFS(Transactions!D:D,Transactions!B:B, "Mofu1",Transactions!H:H,"Incoming")</f>
        <v>30000000</v>
      </c>
      <c r="D83" s="4">
        <f>SUMIFS(Transactions!E:E,Transactions!B:B, "Mofu1",Transactions!H:H,"Incoming")</f>
        <v>40000000</v>
      </c>
      <c r="E83" s="4">
        <f>SUMIFS(Transactions!F:F,Transactions!B:B, "Mofu1",Transactions!H:H,"Incoming")</f>
        <v>20000000</v>
      </c>
      <c r="F83" s="4">
        <f>SUMIFS(Transactions!G:G,Transactions!B:B, "Mofu1",Transactions!H:H,"Incoming")</f>
        <v>0</v>
      </c>
      <c r="G83" s="4">
        <f t="shared" si="1"/>
        <v>90000000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8">
        <v>1.19051033E8</v>
      </c>
      <c r="B84" s="8" t="s">
        <v>89</v>
      </c>
      <c r="C84" s="4">
        <f>SUMIFS(Transactions!D:D,Transactions!B:B, "smurfet87",Transactions!H:H,"Incoming")</f>
        <v>20000000</v>
      </c>
      <c r="D84" s="4">
        <f>SUMIFS(Transactions!E:E,Transactions!B:B, "smurfet87",Transactions!H:H,"Incoming")</f>
        <v>20000000</v>
      </c>
      <c r="E84" s="4">
        <f>SUMIFS(Transactions!F:F,Transactions!B:B, "smurfet87",Transactions!H:H,"Incoming")</f>
        <v>20000000</v>
      </c>
      <c r="F84" s="4">
        <f>SUMIFS(Transactions!G:G,Transactions!B:B, "smurfet87",Transactions!H:H,"Incoming")</f>
        <v>0</v>
      </c>
      <c r="G84" s="4">
        <f t="shared" si="1"/>
        <v>60000000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8">
        <v>1.71806191E8</v>
      </c>
      <c r="B85" s="8" t="s">
        <v>90</v>
      </c>
      <c r="C85" s="4">
        <f>SUMIFS(Transactions!D:D,Transactions!B:B, "Kurvernööri",Transactions!H:H,"Incoming")</f>
        <v>13550608</v>
      </c>
      <c r="D85" s="4">
        <f>SUMIFS(Transactions!E:E,Transactions!B:B, "Kurvernööri",Transactions!H:H,"Incoming")</f>
        <v>12908041</v>
      </c>
      <c r="E85" s="4">
        <f>SUMIFS(Transactions!F:F,Transactions!B:B, "Kurvernööri",Transactions!H:H,"Incoming")</f>
        <v>12993243</v>
      </c>
      <c r="F85" s="4">
        <f>SUMIFS(Transactions!G:G,Transactions!B:B, "Kurvernööri",Transactions!H:H,"Incoming")</f>
        <v>10548108</v>
      </c>
      <c r="G85" s="4">
        <f t="shared" si="1"/>
        <v>50000000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8">
        <v>1.71537317E8</v>
      </c>
      <c r="B86" s="8" t="s">
        <v>91</v>
      </c>
      <c r="C86" s="4">
        <f>SUMIFS(Transactions!D:D,Transactions!B:B, "ᵀᴼᴷBARNEY",Transactions!H:H,"Incoming")</f>
        <v>0</v>
      </c>
      <c r="D86" s="4">
        <f>SUMIFS(Transactions!E:E,Transactions!B:B, "ᵀᴼᴷBARNEY",Transactions!H:H,"Incoming")</f>
        <v>0</v>
      </c>
      <c r="E86" s="4">
        <f>SUMIFS(Transactions!F:F,Transactions!B:B, "ᵀᴼᴷBARNEY",Transactions!H:H,"Incoming")</f>
        <v>0</v>
      </c>
      <c r="F86" s="4">
        <f>SUMIFS(Transactions!G:G,Transactions!B:B, "ᵀᴼᴷBARNEY",Transactions!H:H,"Incoming")</f>
        <v>0</v>
      </c>
      <c r="G86" s="4">
        <f t="shared" si="1"/>
        <v>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8">
        <v>1.44684719E8</v>
      </c>
      <c r="B87" s="8" t="s">
        <v>92</v>
      </c>
      <c r="C87" s="4">
        <f>SUMIFS(Transactions!D:D,Transactions!B:B, "ᴱᴿ RKing79",Transactions!H:H,"Incoming")</f>
        <v>229193064</v>
      </c>
      <c r="D87" s="4">
        <f>SUMIFS(Transactions!E:E,Transactions!B:B, "ᴱᴿ RKing79",Transactions!H:H,"Incoming")</f>
        <v>492327705</v>
      </c>
      <c r="E87" s="4">
        <f>SUMIFS(Transactions!F:F,Transactions!B:B, "ᴱᴿ RKing79",Transactions!H:H,"Incoming")</f>
        <v>83721356</v>
      </c>
      <c r="F87" s="4">
        <f>SUMIFS(Transactions!G:G,Transactions!B:B, "ᴱᴿ RKing79",Transactions!H:H,"Incoming")</f>
        <v>70120000</v>
      </c>
      <c r="G87" s="4">
        <f t="shared" si="1"/>
        <v>875362125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8">
        <v>1.67614515E8</v>
      </c>
      <c r="B88" s="8" t="s">
        <v>93</v>
      </c>
      <c r="C88" s="4">
        <f>SUMIFS(Transactions!D:D,Transactions!B:B, "ᵂʷ Jools シ",Transactions!H:H,"Incoming")</f>
        <v>16560000</v>
      </c>
      <c r="D88" s="4">
        <f>SUMIFS(Transactions!E:E,Transactions!B:B, "ᵂʷ Jools シ",Transactions!H:H,"Incoming")</f>
        <v>30360000</v>
      </c>
      <c r="E88" s="4">
        <f>SUMIFS(Transactions!F:F,Transactions!B:B, "ᵂʷ Jools シ",Transactions!H:H,"Incoming")</f>
        <v>15640000</v>
      </c>
      <c r="F88" s="4">
        <f>SUMIFS(Transactions!G:G,Transactions!B:B, "ᵂʷ Jools シ",Transactions!H:H,"Incoming")</f>
        <v>11040000</v>
      </c>
      <c r="G88" s="4">
        <f t="shared" si="1"/>
        <v>73600000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8">
        <v>1.70972148E8</v>
      </c>
      <c r="B89" s="8" t="s">
        <v>94</v>
      </c>
      <c r="C89" s="4">
        <f>SUMIFS(Transactions!D:D,Transactions!B:B, "Mazalteutl",Transactions!H:H,"Incoming")</f>
        <v>110000000</v>
      </c>
      <c r="D89" s="4">
        <f>SUMIFS(Transactions!E:E,Transactions!B:B, "Mazalteutl",Transactions!H:H,"Incoming")</f>
        <v>90000000</v>
      </c>
      <c r="E89" s="4">
        <f>SUMIFS(Transactions!F:F,Transactions!B:B, "Mazalteutl",Transactions!H:H,"Incoming")</f>
        <v>120000000</v>
      </c>
      <c r="F89" s="4">
        <f>SUMIFS(Transactions!G:G,Transactions!B:B, "Mazalteutl",Transactions!H:H,"Incoming")</f>
        <v>10000000</v>
      </c>
      <c r="G89" s="4">
        <f t="shared" si="1"/>
        <v>330000000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8">
        <v>1.39292614E8</v>
      </c>
      <c r="B90" s="8" t="s">
        <v>95</v>
      </c>
      <c r="C90" s="4">
        <f>SUMIFS(Transactions!D:D,Transactions!B:B, "ᵁᴺGreb",Transactions!H:H,"Incoming")</f>
        <v>17931840</v>
      </c>
      <c r="D90" s="4">
        <f>SUMIFS(Transactions!E:E,Transactions!B:B, "ᵁᴺGreb",Transactions!H:H,"Incoming")</f>
        <v>18092320</v>
      </c>
      <c r="E90" s="4">
        <f>SUMIFS(Transactions!F:F,Transactions!B:B, "ᵁᴺGreb",Transactions!H:H,"Incoming")</f>
        <v>19012320</v>
      </c>
      <c r="F90" s="4">
        <f>SUMIFS(Transactions!G:G,Transactions!B:B, "ᵁᴺGreb",Transactions!H:H,"Incoming")</f>
        <v>14963520</v>
      </c>
      <c r="G90" s="4">
        <f t="shared" si="1"/>
        <v>70000000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8">
        <v>1.51360763E8</v>
      </c>
      <c r="B91" s="8" t="s">
        <v>96</v>
      </c>
      <c r="C91" s="4">
        <f>SUMIFS(Transactions!D:D,Transactions!B:B, "Roki Balboy",Transactions!H:H,"Incoming")</f>
        <v>0</v>
      </c>
      <c r="D91" s="4">
        <f>SUMIFS(Transactions!E:E,Transactions!B:B, "Roki Balboy",Transactions!H:H,"Incoming")</f>
        <v>20000000</v>
      </c>
      <c r="E91" s="4">
        <f>SUMIFS(Transactions!F:F,Transactions!B:B, "Roki Balboy",Transactions!H:H,"Incoming")</f>
        <v>40000000</v>
      </c>
      <c r="F91" s="4">
        <f>SUMIFS(Transactions!G:G,Transactions!B:B, "Roki Balboy",Transactions!H:H,"Incoming")</f>
        <v>0</v>
      </c>
      <c r="G91" s="4">
        <f t="shared" si="1"/>
        <v>60000000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8">
        <v>1.4504414E8</v>
      </c>
      <c r="B92" s="8" t="s">
        <v>97</v>
      </c>
      <c r="C92" s="4">
        <f>SUMIFS(Transactions!D:D,Transactions!B:B, "PR puesto chico",Transactions!H:H,"Incoming")</f>
        <v>35520000</v>
      </c>
      <c r="D92" s="4">
        <f>SUMIFS(Transactions!E:E,Transactions!B:B, "PR puesto chico",Transactions!H:H,"Incoming")</f>
        <v>55520000</v>
      </c>
      <c r="E92" s="4">
        <f>SUMIFS(Transactions!F:F,Transactions!B:B, "PR puesto chico",Transactions!H:H,"Incoming")</f>
        <v>135520000</v>
      </c>
      <c r="F92" s="4">
        <f>SUMIFS(Transactions!G:G,Transactions!B:B, "PR puesto chico",Transactions!H:H,"Incoming")</f>
        <v>41840000</v>
      </c>
      <c r="G92" s="4">
        <f t="shared" si="1"/>
        <v>268400000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8">
        <v>1.71858863E8</v>
      </c>
      <c r="B93" s="8" t="s">
        <v>98</v>
      </c>
      <c r="C93" s="4">
        <f>SUMIFS(Transactions!D:D,Transactions!B:B, "AdriiGF94",Transactions!H:H,"Incoming")</f>
        <v>83680000</v>
      </c>
      <c r="D93" s="4">
        <f>SUMIFS(Transactions!E:E,Transactions!B:B, "AdriiGF94",Transactions!H:H,"Incoming")</f>
        <v>83680000</v>
      </c>
      <c r="E93" s="4">
        <f>SUMIFS(Transactions!F:F,Transactions!B:B, "AdriiGF94",Transactions!H:H,"Incoming")</f>
        <v>83680000</v>
      </c>
      <c r="F93" s="4">
        <f>SUMIFS(Transactions!G:G,Transactions!B:B, "AdriiGF94",Transactions!H:H,"Incoming")</f>
        <v>76440000</v>
      </c>
      <c r="G93" s="4">
        <f t="shared" si="1"/>
        <v>327480000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8">
        <v>1.70728362E8</v>
      </c>
      <c r="B94" s="8" t="s">
        <v>99</v>
      </c>
      <c r="C94" s="4">
        <f>SUMIFS(Transactions!D:D,Transactions!B:B, "乂 マoddi 乂",Transactions!H:H,"Incoming")</f>
        <v>100000000</v>
      </c>
      <c r="D94" s="4">
        <f>SUMIFS(Transactions!E:E,Transactions!B:B, "乂 マoddi 乂",Transactions!H:H,"Incoming")</f>
        <v>60000000</v>
      </c>
      <c r="E94" s="4">
        <f>SUMIFS(Transactions!F:F,Transactions!B:B, "乂 マoddi 乂",Transactions!H:H,"Incoming")</f>
        <v>20000000</v>
      </c>
      <c r="F94" s="4">
        <f>SUMIFS(Transactions!G:G,Transactions!B:B, "乂 マoddi 乂",Transactions!H:H,"Incoming")</f>
        <v>10000000</v>
      </c>
      <c r="G94" s="4">
        <f t="shared" si="1"/>
        <v>190000000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8">
        <v>1.71910225E8</v>
      </c>
      <c r="B95" s="8" t="s">
        <v>100</v>
      </c>
      <c r="C95" s="4">
        <f>SUMIFS(Transactions!D:D,Transactions!B:B, "ᵀᵒSirix8472",Transactions!H:H,"Incoming")</f>
        <v>131436000</v>
      </c>
      <c r="D95" s="4">
        <f>SUMIFS(Transactions!E:E,Transactions!B:B, "ᵀᵒSirix8472",Transactions!H:H,"Incoming")</f>
        <v>131500000</v>
      </c>
      <c r="E95" s="4">
        <f>SUMIFS(Transactions!F:F,Transactions!B:B, "ᵀᵒSirix8472",Transactions!H:H,"Incoming")</f>
        <v>83248000</v>
      </c>
      <c r="F95" s="4">
        <f>SUMIFS(Transactions!G:G,Transactions!B:B, "ᵀᵒSirix8472",Transactions!H:H,"Incoming")</f>
        <v>213283753</v>
      </c>
      <c r="G95" s="4">
        <f t="shared" si="1"/>
        <v>559467753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8">
        <v>1.71679053E8</v>
      </c>
      <c r="B96" s="8" t="s">
        <v>101</v>
      </c>
      <c r="C96" s="4">
        <f>SUMIFS(Transactions!D:D,Transactions!B:B, "dilli",Transactions!H:H,"Incoming")</f>
        <v>37140000</v>
      </c>
      <c r="D96" s="4">
        <f>SUMIFS(Transactions!E:E,Transactions!B:B, "dilli",Transactions!H:H,"Incoming")</f>
        <v>27140000</v>
      </c>
      <c r="E96" s="4">
        <f>SUMIFS(Transactions!F:F,Transactions!B:B, "dilli",Transactions!H:H,"Incoming")</f>
        <v>25300000</v>
      </c>
      <c r="F96" s="4">
        <f>SUMIFS(Transactions!G:G,Transactions!B:B, "dilli",Transactions!H:H,"Incoming")</f>
        <v>12880000</v>
      </c>
      <c r="G96" s="4">
        <f t="shared" si="1"/>
        <v>102460000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8">
        <v>6.7873337E7</v>
      </c>
      <c r="B97" s="8" t="s">
        <v>102</v>
      </c>
      <c r="C97" s="4">
        <f>SUMIFS(Transactions!D:D,Transactions!B:B, "BOONDD",Transactions!H:H,"Incoming")</f>
        <v>0</v>
      </c>
      <c r="D97" s="4">
        <f>SUMIFS(Transactions!E:E,Transactions!B:B, "BOONDD",Transactions!H:H,"Incoming")</f>
        <v>0</v>
      </c>
      <c r="E97" s="4">
        <f>SUMIFS(Transactions!F:F,Transactions!B:B, "BOONDD",Transactions!H:H,"Incoming")</f>
        <v>0</v>
      </c>
      <c r="F97" s="4">
        <f>SUMIFS(Transactions!G:G,Transactions!B:B, "BOONDD",Transactions!H:H,"Incoming")</f>
        <v>0</v>
      </c>
      <c r="G97" s="4">
        <f t="shared" si="1"/>
        <v>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8">
        <v>1.43457511E8</v>
      </c>
      <c r="B98" s="8" t="s">
        <v>103</v>
      </c>
      <c r="C98" s="4">
        <f>SUMIFS(Transactions!D:D,Transactions!B:B, "ᴮᵒᵂdreXIN",Transactions!H:H,"Incoming")</f>
        <v>390000000</v>
      </c>
      <c r="D98" s="4">
        <f>SUMIFS(Transactions!E:E,Transactions!B:B, "ᴮᵒᵂdreXIN",Transactions!H:H,"Incoming")</f>
        <v>160000000</v>
      </c>
      <c r="E98" s="4">
        <f>SUMIFS(Transactions!F:F,Transactions!B:B, "ᴮᵒᵂdreXIN",Transactions!H:H,"Incoming")</f>
        <v>240000000</v>
      </c>
      <c r="F98" s="4">
        <f>SUMIFS(Transactions!G:G,Transactions!B:B, "ᴮᵒᵂdreXIN",Transactions!H:H,"Incoming")</f>
        <v>290000000</v>
      </c>
      <c r="G98" s="4">
        <f t="shared" si="1"/>
        <v>1080000000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8">
        <v>1.44010731E8</v>
      </c>
      <c r="B99" s="8" t="s">
        <v>104</v>
      </c>
      <c r="C99" s="4">
        <f>SUMIFS(Transactions!D:D,Transactions!B:B, "SIJUGUL GORAT",Transactions!H:H,"Incoming")</f>
        <v>110000000</v>
      </c>
      <c r="D99" s="4">
        <f>SUMIFS(Transactions!E:E,Transactions!B:B, "SIJUGUL GORAT",Transactions!H:H,"Incoming")</f>
        <v>110000000</v>
      </c>
      <c r="E99" s="4">
        <f>SUMIFS(Transactions!F:F,Transactions!B:B, "SIJUGUL GORAT",Transactions!H:H,"Incoming")</f>
        <v>100000000</v>
      </c>
      <c r="F99" s="4">
        <f>SUMIFS(Transactions!G:G,Transactions!B:B, "SIJUGUL GORAT",Transactions!H:H,"Incoming")</f>
        <v>80000000</v>
      </c>
      <c r="G99" s="4">
        <f t="shared" si="1"/>
        <v>400000000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9">
        <v>4.9509851E7</v>
      </c>
      <c r="B100" s="9" t="s">
        <v>105</v>
      </c>
      <c r="C100" s="4">
        <f>SUMIFS(Transactions!D:D,Transactions!B:B, "374 Small Fry",Transactions!H:H,"Incoming")</f>
        <v>0</v>
      </c>
      <c r="D100" s="4">
        <f>SUMIFS(Transactions!E:E,Transactions!B:B, "374 Small Fry",Transactions!H:H,"Incoming")</f>
        <v>0</v>
      </c>
      <c r="E100" s="4">
        <f>SUMIFS(Transactions!F:F,Transactions!B:B, "374 Small Fry",Transactions!H:H,"Incoming")</f>
        <v>0</v>
      </c>
      <c r="F100" s="4">
        <f>SUMIFS(Transactions!G:G,Transactions!B:B, "374 Small Fry",Transactions!H:H,"Incoming")</f>
        <v>0</v>
      </c>
      <c r="G100" s="4">
        <f t="shared" si="1"/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9">
        <v>1.44064126E8</v>
      </c>
      <c r="B101" s="9" t="s">
        <v>106</v>
      </c>
      <c r="C101" s="4">
        <f>SUMIFS(Transactions!D:D,Transactions!B:B, "Strozhkov",Transactions!H:H,"Incoming")</f>
        <v>0</v>
      </c>
      <c r="D101" s="4">
        <f>SUMIFS(Transactions!E:E,Transactions!B:B, "Strozhkov",Transactions!H:H,"Incoming")</f>
        <v>0</v>
      </c>
      <c r="E101" s="4">
        <f>SUMIFS(Transactions!F:F,Transactions!B:B, "Strozhkov",Transactions!H:H,"Incoming")</f>
        <v>0</v>
      </c>
      <c r="F101" s="4">
        <f>SUMIFS(Transactions!G:G,Transactions!B:B, "Strozhkov",Transactions!H:H,"Incoming")</f>
        <v>0</v>
      </c>
      <c r="G101" s="4">
        <f t="shared" si="1"/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9">
        <v>1.71805508E8</v>
      </c>
      <c r="B102" s="9" t="s">
        <v>107</v>
      </c>
      <c r="C102" s="4">
        <f>SUMIFS(Transactions!D:D,Transactions!B:B, "atom karica",Transactions!H:H,"Incoming")</f>
        <v>0</v>
      </c>
      <c r="D102" s="4">
        <f>SUMIFS(Transactions!E:E,Transactions!B:B, "atom karica",Transactions!H:H,"Incoming")</f>
        <v>0</v>
      </c>
      <c r="E102" s="4">
        <f>SUMIFS(Transactions!F:F,Transactions!B:B, "atom karica",Transactions!H:H,"Incoming")</f>
        <v>0</v>
      </c>
      <c r="F102" s="4">
        <f>SUMIFS(Transactions!G:G,Transactions!B:B, "atom karica",Transactions!H:H,"Incoming")</f>
        <v>0</v>
      </c>
      <c r="G102" s="4">
        <f t="shared" si="1"/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9">
        <v>1.45008495E8</v>
      </c>
      <c r="B103" s="9" t="s">
        <v>108</v>
      </c>
      <c r="C103" s="4">
        <f>SUMIFS(Transactions!D:D,Transactions!B:B, "SILVERHAND 乂",Transactions!H:H,"Incoming")</f>
        <v>3880880</v>
      </c>
      <c r="D103" s="4">
        <f>SUMIFS(Transactions!E:E,Transactions!B:B, "SILVERHAND 乂",Transactions!H:H,"Incoming")</f>
        <v>3776010</v>
      </c>
      <c r="E103" s="4">
        <f>SUMIFS(Transactions!F:F,Transactions!B:B, "SILVERHAND 乂",Transactions!H:H,"Incoming")</f>
        <v>4200358</v>
      </c>
      <c r="F103" s="4">
        <f>SUMIFS(Transactions!G:G,Transactions!B:B, "SILVERHAND 乂",Transactions!H:H,"Incoming")</f>
        <v>193959467</v>
      </c>
      <c r="G103" s="4">
        <f t="shared" si="1"/>
        <v>205816715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9">
        <v>1.66110884E8</v>
      </c>
      <c r="B104" s="9" t="s">
        <v>109</v>
      </c>
      <c r="C104" s="4">
        <f>SUMIFS(Transactions!D:D,Transactions!B:B, "ᵛⁿNąHƴ ジ",Transactions!H:H,"Incoming")</f>
        <v>40000000</v>
      </c>
      <c r="D104" s="4">
        <f>SUMIFS(Transactions!E:E,Transactions!B:B, "ᵛⁿNąHƴ ジ",Transactions!H:H,"Incoming")</f>
        <v>40000000</v>
      </c>
      <c r="E104" s="4">
        <f>SUMIFS(Transactions!F:F,Transactions!B:B, "ᵛⁿNąHƴ ジ",Transactions!H:H,"Incoming")</f>
        <v>40000000</v>
      </c>
      <c r="F104" s="4">
        <f>SUMIFS(Transactions!G:G,Transactions!B:B, "ᵛⁿNąHƴ ジ",Transactions!H:H,"Incoming")</f>
        <v>20000000</v>
      </c>
      <c r="G104" s="4">
        <f t="shared" si="1"/>
        <v>140000000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9">
        <v>1.71807229E8</v>
      </c>
      <c r="B105" s="9" t="s">
        <v>110</v>
      </c>
      <c r="C105" s="10">
        <f>SUMIFS(Transactions!D:D,Transactions!B:B, "V for VENDETTA",Transactions!H:H,"Incoming")</f>
        <v>55200000</v>
      </c>
      <c r="D105" s="10">
        <f>SUMIFS(Transactions!E:E,Transactions!B:B, "V for VENDETTA",Transactions!H:H,"Incoming")</f>
        <v>55200000</v>
      </c>
      <c r="E105" s="10">
        <f>SUMIFS(Transactions!F:F,Transactions!B:B, "V for VENDETTA",Transactions!H:H,"Incoming")</f>
        <v>64400000</v>
      </c>
      <c r="F105" s="10">
        <f>SUMIFS(Transactions!G:G,Transactions!B:B, "V for VENDETTA",Transactions!H:H,"Incoming")</f>
        <v>55200000</v>
      </c>
      <c r="G105" s="10">
        <f t="shared" si="1"/>
        <v>230000000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9">
        <v>1.44043573E8</v>
      </c>
      <c r="B106" s="9" t="s">
        <v>111</v>
      </c>
      <c r="C106" s="10">
        <f>SUMIFS(Transactions!D:D,Transactions!B:B, "Maximus core",Transactions!H:H,"Incoming")</f>
        <v>0</v>
      </c>
      <c r="D106" s="10">
        <f>SUMIFS(Transactions!E:E,Transactions!B:B, "Maximus core",Transactions!H:H,"Incoming")</f>
        <v>0</v>
      </c>
      <c r="E106" s="10">
        <f>SUMIFS(Transactions!F:F,Transactions!B:B, "Maximus core",Transactions!H:H,"Incoming")</f>
        <v>0</v>
      </c>
      <c r="F106" s="10">
        <f>SUMIFS(Transactions!G:G,Transactions!B:B, "Maximus core",Transactions!H:H,"Incoming")</f>
        <v>0</v>
      </c>
      <c r="G106" s="10">
        <f t="shared" si="1"/>
        <v>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9">
        <v>1.4461836E8</v>
      </c>
      <c r="B107" s="9" t="s">
        <v>112</v>
      </c>
      <c r="C107" s="10">
        <f>SUMIFS(Transactions!D:D,Transactions!B:B, "亗 DONJAN 亗",Transactions!H:H,"Incoming")</f>
        <v>20000000</v>
      </c>
      <c r="D107" s="10">
        <f>SUMIFS(Transactions!E:E,Transactions!B:B, "亗 DONJAN 亗",Transactions!H:H,"Incoming")</f>
        <v>80000000</v>
      </c>
      <c r="E107" s="10">
        <f>SUMIFS(Transactions!F:F,Transactions!B:B, "亗 DONJAN 亗",Transactions!H:H,"Incoming")</f>
        <v>10000000</v>
      </c>
      <c r="F107" s="10">
        <f>SUMIFS(Transactions!G:G,Transactions!B:B, "亗 DONJAN 亗",Transactions!H:H,"Incoming")</f>
        <v>0</v>
      </c>
      <c r="G107" s="10">
        <f t="shared" si="1"/>
        <v>110000000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9">
        <v>1.69672885E8</v>
      </c>
      <c r="B108" s="9" t="s">
        <v>113</v>
      </c>
      <c r="C108" s="10">
        <f>SUMIFS(Transactions!D:D,Transactions!B:B, "H ム I D E R",Transactions!H:H,"Incoming")</f>
        <v>2760000</v>
      </c>
      <c r="D108" s="10">
        <f>SUMIFS(Transactions!E:E,Transactions!B:B, "H ム I D E R",Transactions!H:H,"Incoming")</f>
        <v>2760000</v>
      </c>
      <c r="E108" s="10">
        <f>SUMIFS(Transactions!F:F,Transactions!B:B, "H ム I D E R",Transactions!H:H,"Incoming")</f>
        <v>2760000</v>
      </c>
      <c r="F108" s="10">
        <f>SUMIFS(Transactions!G:G,Transactions!B:B, "H ム I D E R",Transactions!H:H,"Incoming")</f>
        <v>920000</v>
      </c>
      <c r="G108" s="10">
        <f t="shared" si="1"/>
        <v>9200000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9">
        <v>8.8110635E7</v>
      </c>
      <c r="B109" s="9" t="s">
        <v>114</v>
      </c>
      <c r="C109" s="10">
        <f>SUMIFS(Transactions!D:D,Transactions!B:B, "乄Eşkiya46乄",Transactions!H:H,"Incoming")</f>
        <v>0</v>
      </c>
      <c r="D109" s="10">
        <f>SUMIFS(Transactions!E:E,Transactions!B:B, "乄Eşkiya46乄",Transactions!H:H,"Incoming")</f>
        <v>0</v>
      </c>
      <c r="E109" s="10">
        <f>SUMIFS(Transactions!F:F,Transactions!B:B, "乄Eşkiya46乄",Transactions!H:H,"Incoming")</f>
        <v>0</v>
      </c>
      <c r="F109" s="10">
        <f>SUMIFS(Transactions!G:G,Transactions!B:B, "乄Eşkiya46乄",Transactions!H:H,"Incoming")</f>
        <v>0</v>
      </c>
      <c r="G109" s="10">
        <f t="shared" si="1"/>
        <v>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9">
        <v>1.68025153E8</v>
      </c>
      <c r="B110" s="9" t="s">
        <v>115</v>
      </c>
      <c r="C110" s="10">
        <f>SUMIFS(Transactions!D:D,Transactions!B:B, "Cashmoney420",Transactions!H:H,"Incoming")</f>
        <v>1010000000</v>
      </c>
      <c r="D110" s="10">
        <f>SUMIFS(Transactions!E:E,Transactions!B:B, "Cashmoney420",Transactions!H:H,"Incoming")</f>
        <v>990000000</v>
      </c>
      <c r="E110" s="10">
        <f>SUMIFS(Transactions!F:F,Transactions!B:B, "Cashmoney420",Transactions!H:H,"Incoming")</f>
        <v>1210000000</v>
      </c>
      <c r="F110" s="10">
        <f>SUMIFS(Transactions!G:G,Transactions!B:B, "Cashmoney420",Transactions!H:H,"Incoming")</f>
        <v>690000000</v>
      </c>
      <c r="G110" s="10">
        <f t="shared" si="1"/>
        <v>3900000000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9">
        <v>1.63138873E8</v>
      </c>
      <c r="B111" s="9" t="s">
        <v>116</v>
      </c>
      <c r="C111" s="10">
        <f>SUMIFS(Transactions!D:D,Transactions!B:B, "Mictlan Tecutli",Transactions!H:H,"Incoming")</f>
        <v>10360240</v>
      </c>
      <c r="D111" s="10">
        <f>SUMIFS(Transactions!E:E,Transactions!B:B, "Mictlan Tecutli",Transactions!H:H,"Incoming")</f>
        <v>10360240</v>
      </c>
      <c r="E111" s="10">
        <f>SUMIFS(Transactions!F:F,Transactions!B:B, "Mictlan Tecutli",Transactions!H:H,"Incoming")</f>
        <v>10360240</v>
      </c>
      <c r="F111" s="10">
        <f>SUMIFS(Transactions!G:G,Transactions!B:B, "Mictlan Tecutli",Transactions!H:H,"Incoming")</f>
        <v>7519280</v>
      </c>
      <c r="G111" s="10">
        <f t="shared" si="1"/>
        <v>38600000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9">
        <v>1.71825014E8</v>
      </c>
      <c r="B112" s="9" t="s">
        <v>117</v>
      </c>
      <c r="C112" s="10">
        <f>SUMIFS(Transactions!D:D,Transactions!B:B, "MƏGÁN",Transactions!H:H,"Incoming")</f>
        <v>80000000</v>
      </c>
      <c r="D112" s="10">
        <f>SUMIFS(Transactions!E:E,Transactions!B:B, "MƏGÁN",Transactions!H:H,"Incoming")</f>
        <v>70000000</v>
      </c>
      <c r="E112" s="10">
        <f>SUMIFS(Transactions!F:F,Transactions!B:B, "MƏGÁN",Transactions!H:H,"Incoming")</f>
        <v>60000000</v>
      </c>
      <c r="F112" s="10">
        <f>SUMIFS(Transactions!G:G,Transactions!B:B, "MƏGÁN",Transactions!H:H,"Incoming")</f>
        <v>20000000</v>
      </c>
      <c r="G112" s="10">
        <f t="shared" si="1"/>
        <v>230000000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9">
        <v>1.71828804E8</v>
      </c>
      <c r="B113" s="9" t="s">
        <v>118</v>
      </c>
      <c r="C113" s="10">
        <f>SUMIFS(Transactions!D:D,Transactions!B:B, "ᵀᵒKinfernus",Transactions!H:H,"Incoming")</f>
        <v>42576000</v>
      </c>
      <c r="D113" s="10">
        <f>SUMIFS(Transactions!E:E,Transactions!B:B, "ᵀᵒKinfernus",Transactions!H:H,"Incoming")</f>
        <v>42576000</v>
      </c>
      <c r="E113" s="10">
        <f>SUMIFS(Transactions!F:F,Transactions!B:B, "ᵀᵒKinfernus",Transactions!H:H,"Incoming")</f>
        <v>32576000</v>
      </c>
      <c r="F113" s="10">
        <f>SUMIFS(Transactions!G:G,Transactions!B:B, "ᵀᵒKinfernus",Transactions!H:H,"Incoming")</f>
        <v>12300000</v>
      </c>
      <c r="G113" s="10">
        <f t="shared" si="1"/>
        <v>130028000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9">
        <v>1.45033056E8</v>
      </c>
      <c r="B114" s="9" t="s">
        <v>119</v>
      </c>
      <c r="C114" s="10">
        <f>SUMIFS(Transactions!D:D,Transactions!B:B, "Тiамат 义",Transactions!H:H,"Incoming")</f>
        <v>23143025</v>
      </c>
      <c r="D114" s="10">
        <f>SUMIFS(Transactions!E:E,Transactions!B:B, "Тiамат 义",Transactions!H:H,"Incoming")</f>
        <v>4560589</v>
      </c>
      <c r="E114" s="10">
        <f>SUMIFS(Transactions!F:F,Transactions!B:B, "Тiамат 义",Transactions!H:H,"Incoming")</f>
        <v>2296385</v>
      </c>
      <c r="F114" s="10">
        <f>SUMIFS(Transactions!G:G,Transactions!B:B, "Тiамат 义",Transactions!H:H,"Incoming")</f>
        <v>60000000</v>
      </c>
      <c r="G114" s="10">
        <f t="shared" si="1"/>
        <v>89999999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9">
        <v>1.61646318E8</v>
      </c>
      <c r="B115" s="9" t="s">
        <v>120</v>
      </c>
      <c r="C115" s="10">
        <f>SUMIFS(Transactions!D:D,Transactions!B:B, "ˢˢᴵ Cesar82",Transactions!H:H,"Incoming")</f>
        <v>51886400</v>
      </c>
      <c r="D115" s="10">
        <f>SUMIFS(Transactions!E:E,Transactions!B:B, "ˢˢᴵ Cesar82",Transactions!H:H,"Incoming")</f>
        <v>41776000</v>
      </c>
      <c r="E115" s="10">
        <f>SUMIFS(Transactions!F:F,Transactions!B:B, "ˢˢᴵ Cesar82",Transactions!H:H,"Incoming")</f>
        <v>33616000</v>
      </c>
      <c r="F115" s="10">
        <f>SUMIFS(Transactions!G:G,Transactions!B:B, "ˢˢᴵ Cesar82",Transactions!H:H,"Incoming")</f>
        <v>23156000</v>
      </c>
      <c r="G115" s="10">
        <f t="shared" si="1"/>
        <v>150434400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9">
        <v>1.24796617E8</v>
      </c>
      <c r="B116" s="9" t="s">
        <v>121</v>
      </c>
      <c r="C116" s="10">
        <f>SUMIFS(Transactions!D:D,Transactions!B:B, "osumaki menma",Transactions!H:H,"Incoming")</f>
        <v>40000000</v>
      </c>
      <c r="D116" s="10">
        <f>SUMIFS(Transactions!E:E,Transactions!B:B, "osumaki menma",Transactions!H:H,"Incoming")</f>
        <v>40000000</v>
      </c>
      <c r="E116" s="10">
        <f>SUMIFS(Transactions!F:F,Transactions!B:B, "osumaki menma",Transactions!H:H,"Incoming")</f>
        <v>40000000</v>
      </c>
      <c r="F116" s="10">
        <f>SUMIFS(Transactions!G:G,Transactions!B:B, "osumaki menma",Transactions!H:H,"Incoming")</f>
        <v>10000000</v>
      </c>
      <c r="G116" s="10">
        <f t="shared" si="1"/>
        <v>130000000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9">
        <v>1.72015122E8</v>
      </c>
      <c r="B117" s="9" t="s">
        <v>122</v>
      </c>
      <c r="C117" s="10">
        <f>SUMIFS(Transactions!D:D,Transactions!B:B, "DEHA DEVRAN",Transactions!H:H,"Incoming")</f>
        <v>282194116</v>
      </c>
      <c r="D117" s="10">
        <f>SUMIFS(Transactions!E:E,Transactions!B:B, "DEHA DEVRAN",Transactions!H:H,"Incoming")</f>
        <v>264832459</v>
      </c>
      <c r="E117" s="10">
        <f>SUMIFS(Transactions!F:F,Transactions!B:B, "DEHA DEVRAN",Transactions!H:H,"Incoming")</f>
        <v>330000000</v>
      </c>
      <c r="F117" s="10">
        <f>SUMIFS(Transactions!G:G,Transactions!B:B, "DEHA DEVRAN",Transactions!H:H,"Incoming")</f>
        <v>232577354</v>
      </c>
      <c r="G117" s="10">
        <f t="shared" si="1"/>
        <v>1109603929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9">
        <v>1.72031022E8</v>
      </c>
      <c r="B118" s="9" t="s">
        <v>123</v>
      </c>
      <c r="C118" s="10">
        <f>SUMIFS(Transactions!D:D,Transactions!B:B, "亗 BatMank 亗",Transactions!H:H,"Incoming")</f>
        <v>20000000</v>
      </c>
      <c r="D118" s="10">
        <f>SUMIFS(Transactions!E:E,Transactions!B:B, "亗 BatMank 亗",Transactions!H:H,"Incoming")</f>
        <v>20000000</v>
      </c>
      <c r="E118" s="10">
        <f>SUMIFS(Transactions!F:F,Transactions!B:B, "亗 BatMank 亗",Transactions!H:H,"Incoming")</f>
        <v>890000000</v>
      </c>
      <c r="F118" s="10">
        <f>SUMIFS(Transactions!G:G,Transactions!B:B, "亗 BatMank 亗",Transactions!H:H,"Incoming")</f>
        <v>0</v>
      </c>
      <c r="G118" s="10">
        <f t="shared" si="1"/>
        <v>930000000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9">
        <v>1.66234202E8</v>
      </c>
      <c r="B119" s="9" t="s">
        <v>124</v>
      </c>
      <c r="C119" s="10">
        <f>SUMIFS(Transactions!D:D,Transactions!B:B, "ᵛᶰsad duckシ",Transactions!H:H,"Incoming")</f>
        <v>0</v>
      </c>
      <c r="D119" s="10">
        <f>SUMIFS(Transactions!E:E,Transactions!B:B, "ᵛᶰsad duckシ",Transactions!H:H,"Incoming")</f>
        <v>0</v>
      </c>
      <c r="E119" s="10">
        <f>SUMIFS(Transactions!F:F,Transactions!B:B, "ᵛᶰsad duckシ",Transactions!H:H,"Incoming")</f>
        <v>0</v>
      </c>
      <c r="F119" s="10">
        <f>SUMIFS(Transactions!G:G,Transactions!B:B, "ᵛᶰsad duckシ",Transactions!H:H,"Incoming")</f>
        <v>0</v>
      </c>
      <c r="G119" s="10">
        <f t="shared" si="1"/>
        <v>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9">
        <v>1.44088316E8</v>
      </c>
      <c r="B120" s="9" t="s">
        <v>125</v>
      </c>
      <c r="C120" s="10">
        <f>SUMIFS(Transactions!D:D,Transactions!B:B, "SP L3",Transactions!H:H,"Incoming")</f>
        <v>180000000</v>
      </c>
      <c r="D120" s="10">
        <f>SUMIFS(Transactions!E:E,Transactions!B:B, "SP L3",Transactions!H:H,"Incoming")</f>
        <v>200000000</v>
      </c>
      <c r="E120" s="10">
        <f>SUMIFS(Transactions!F:F,Transactions!B:B, "SP L3",Transactions!H:H,"Incoming")</f>
        <v>140000000</v>
      </c>
      <c r="F120" s="10">
        <f>SUMIFS(Transactions!G:G,Transactions!B:B, "SP L3",Transactions!H:H,"Incoming")</f>
        <v>140000000</v>
      </c>
      <c r="G120" s="10">
        <f t="shared" si="1"/>
        <v>660000000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9">
        <v>1.67863288E8</v>
      </c>
      <c r="B121" s="9" t="s">
        <v>126</v>
      </c>
      <c r="C121" s="10">
        <f>SUMIFS(Transactions!D:D,Transactions!B:B, "乄Muhtarツ",Transactions!H:H,"Incoming")</f>
        <v>15152000</v>
      </c>
      <c r="D121" s="10">
        <f>SUMIFS(Transactions!E:E,Transactions!B:B, "乄Muhtarツ",Transactions!H:H,"Incoming")</f>
        <v>12208000</v>
      </c>
      <c r="E121" s="10">
        <f>SUMIFS(Transactions!F:F,Transactions!B:B, "乄Muhtarツ",Transactions!H:H,"Incoming")</f>
        <v>14480000</v>
      </c>
      <c r="F121" s="10">
        <f>SUMIFS(Transactions!G:G,Transactions!B:B, "乄Muhtarツ",Transactions!H:H,"Incoming")</f>
        <v>13680000</v>
      </c>
      <c r="G121" s="10">
        <f t="shared" si="1"/>
        <v>55520000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9">
        <v>1.70028719E8</v>
      </c>
      <c r="B122" s="9" t="s">
        <v>127</v>
      </c>
      <c r="C122" s="10">
        <f>SUMIFS(Transactions!D:D,Transactions!B:B, "Loco361",Transactions!H:H,"Incoming")</f>
        <v>0</v>
      </c>
      <c r="D122" s="10">
        <f>SUMIFS(Transactions!E:E,Transactions!B:B, "Loco361",Transactions!H:H,"Incoming")</f>
        <v>0</v>
      </c>
      <c r="E122" s="10">
        <f>SUMIFS(Transactions!F:F,Transactions!B:B, "Loco361",Transactions!H:H,"Incoming")</f>
        <v>0</v>
      </c>
      <c r="F122" s="10">
        <f>SUMIFS(Transactions!G:G,Transactions!B:B, "Loco361",Transactions!H:H,"Incoming")</f>
        <v>0</v>
      </c>
      <c r="G122" s="10">
        <f t="shared" si="1"/>
        <v>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9">
        <v>1.71654758E8</v>
      </c>
      <c r="B123" s="9" t="s">
        <v>128</v>
      </c>
      <c r="C123" s="10">
        <f>SUMIFS(Transactions!D:D,Transactions!B:B, "welllaaaaaaaaaa",Transactions!H:H,"Incoming")</f>
        <v>0</v>
      </c>
      <c r="D123" s="10">
        <f>SUMIFS(Transactions!E:E,Transactions!B:B, "welllaaaaaaaaaa",Transactions!H:H,"Incoming")</f>
        <v>40000000</v>
      </c>
      <c r="E123" s="10">
        <f>SUMIFS(Transactions!F:F,Transactions!B:B, "welllaaaaaaaaaa",Transactions!H:H,"Incoming")</f>
        <v>0</v>
      </c>
      <c r="F123" s="10">
        <f>SUMIFS(Transactions!G:G,Transactions!B:B, "welllaaaaaaaaaa",Transactions!H:H,"Incoming")</f>
        <v>0</v>
      </c>
      <c r="G123" s="10">
        <f t="shared" si="1"/>
        <v>40000000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9">
        <v>1.71985458E8</v>
      </c>
      <c r="B124" s="9" t="s">
        <v>129</v>
      </c>
      <c r="C124" s="10">
        <f>SUMIFS(Transactions!D:D,Transactions!B:B, "SkullFroik",Transactions!H:H,"Incoming")</f>
        <v>0</v>
      </c>
      <c r="D124" s="10">
        <f>SUMIFS(Transactions!E:E,Transactions!B:B, "SkullFroik",Transactions!H:H,"Incoming")</f>
        <v>0</v>
      </c>
      <c r="E124" s="10">
        <f>SUMIFS(Transactions!F:F,Transactions!B:B, "SkullFroik",Transactions!H:H,"Incoming")</f>
        <v>9200000</v>
      </c>
      <c r="F124" s="10">
        <f>SUMIFS(Transactions!G:G,Transactions!B:B, "SkullFroik",Transactions!H:H,"Incoming")</f>
        <v>9200000</v>
      </c>
      <c r="G124" s="10">
        <f t="shared" si="1"/>
        <v>18400000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9">
        <v>1.68091444E8</v>
      </c>
      <c r="B125" s="9" t="s">
        <v>130</v>
      </c>
      <c r="C125" s="10">
        <f>SUMIFS(Transactions!D:D,Transactions!B:B, "义Destroyer义",Transactions!H:H,"Incoming")</f>
        <v>61344000</v>
      </c>
      <c r="D125" s="10">
        <f>SUMIFS(Transactions!E:E,Transactions!B:B, "义Destroyer义",Transactions!H:H,"Incoming")</f>
        <v>53000000</v>
      </c>
      <c r="E125" s="10">
        <f>SUMIFS(Transactions!F:F,Transactions!B:B, "义Destroyer义",Transactions!H:H,"Incoming")</f>
        <v>62080000</v>
      </c>
      <c r="F125" s="10">
        <f>SUMIFS(Transactions!G:G,Transactions!B:B, "义Destroyer义",Transactions!H:H,"Incoming")</f>
        <v>59440000</v>
      </c>
      <c r="G125" s="10">
        <f t="shared" si="1"/>
        <v>235864000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9">
        <v>1.77187021E8</v>
      </c>
      <c r="B126" s="9" t="s">
        <v>131</v>
      </c>
      <c r="C126" s="10">
        <f>SUMIFS(Transactions!D:D,Transactions!B:B, "LordGusto",Transactions!H:H,"Incoming")</f>
        <v>30000000</v>
      </c>
      <c r="D126" s="10">
        <f>SUMIFS(Transactions!E:E,Transactions!B:B, "LordGusto",Transactions!H:H,"Incoming")</f>
        <v>50000000</v>
      </c>
      <c r="E126" s="10">
        <f>SUMIFS(Transactions!F:F,Transactions!B:B, "LordGusto",Transactions!H:H,"Incoming")</f>
        <v>10000000</v>
      </c>
      <c r="F126" s="10">
        <f>SUMIFS(Transactions!G:G,Transactions!B:B, "LordGusto",Transactions!H:H,"Incoming")</f>
        <v>0</v>
      </c>
      <c r="G126" s="10">
        <f t="shared" si="1"/>
        <v>90000000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9">
        <v>1.75551858E8</v>
      </c>
      <c r="B127" s="9" t="s">
        <v>132</v>
      </c>
      <c r="C127" s="10">
        <f>SUMIFS(Transactions!D:D,Transactions!B:B, "СЕНАТОР",Transactions!H:H,"Incoming")</f>
        <v>50000000</v>
      </c>
      <c r="D127" s="10">
        <f>SUMIFS(Transactions!E:E,Transactions!B:B, "СЕНАТОР",Transactions!H:H,"Incoming")</f>
        <v>50000000</v>
      </c>
      <c r="E127" s="10">
        <f>SUMIFS(Transactions!F:F,Transactions!B:B, "СЕНАТОР",Transactions!H:H,"Incoming")</f>
        <v>40000000</v>
      </c>
      <c r="F127" s="10">
        <f>SUMIFS(Transactions!G:G,Transactions!B:B, "СЕНАТОР",Transactions!H:H,"Incoming")</f>
        <v>16365779</v>
      </c>
      <c r="G127" s="10">
        <f t="shared" si="1"/>
        <v>156365779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9">
        <v>1.56007436E8</v>
      </c>
      <c r="B128" s="9" t="s">
        <v>133</v>
      </c>
      <c r="C128" s="10">
        <f>SUMIFS(Transactions!D:D,Transactions!B:B, "General Mapo",Transactions!H:H,"Incoming")</f>
        <v>23920000</v>
      </c>
      <c r="D128" s="10">
        <f>SUMIFS(Transactions!E:E,Transactions!B:B, "General Mapo",Transactions!H:H,"Incoming")</f>
        <v>23920000</v>
      </c>
      <c r="E128" s="10">
        <f>SUMIFS(Transactions!F:F,Transactions!B:B, "General Mapo",Transactions!H:H,"Incoming")</f>
        <v>5520000</v>
      </c>
      <c r="F128" s="10">
        <f>SUMIFS(Transactions!G:G,Transactions!B:B, "General Mapo",Transactions!H:H,"Incoming")</f>
        <v>1840000</v>
      </c>
      <c r="G128" s="10">
        <f t="shared" si="1"/>
        <v>55200000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9">
        <v>1.4405151E8</v>
      </c>
      <c r="B129" s="9" t="s">
        <v>134</v>
      </c>
      <c r="C129" s="10">
        <f>SUMIFS(Transactions!D:D,Transactions!B:B, "sd mique",Transactions!H:H,"Incoming")</f>
        <v>110950640</v>
      </c>
      <c r="D129" s="10">
        <f>SUMIFS(Transactions!E:E,Transactions!B:B, "sd mique",Transactions!H:H,"Incoming")</f>
        <v>111878640</v>
      </c>
      <c r="E129" s="10">
        <f>SUMIFS(Transactions!F:F,Transactions!B:B, "sd mique",Transactions!H:H,"Incoming")</f>
        <v>111878640</v>
      </c>
      <c r="F129" s="10">
        <f>SUMIFS(Transactions!G:G,Transactions!B:B, "sd mique",Transactions!H:H,"Incoming")</f>
        <v>111878640</v>
      </c>
      <c r="G129" s="10">
        <f t="shared" si="1"/>
        <v>446586560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9">
        <v>1.61551529E8</v>
      </c>
      <c r="B130" s="9" t="s">
        <v>135</v>
      </c>
      <c r="C130" s="10">
        <f>SUMIFS(Transactions!D:D,Transactions!B:B, "sd Mq",Transactions!H:H,"Incoming")</f>
        <v>108000000</v>
      </c>
      <c r="D130" s="10">
        <f>SUMIFS(Transactions!E:E,Transactions!B:B, "sd Mq",Transactions!H:H,"Incoming")</f>
        <v>64743367</v>
      </c>
      <c r="E130" s="10">
        <f>SUMIFS(Transactions!F:F,Transactions!B:B, "sd Mq",Transactions!H:H,"Incoming")</f>
        <v>63294641</v>
      </c>
      <c r="F130" s="10">
        <f>SUMIFS(Transactions!G:G,Transactions!B:B, "sd Mq",Transactions!H:H,"Incoming")</f>
        <v>90594976</v>
      </c>
      <c r="G130" s="10">
        <f t="shared" si="1"/>
        <v>326632984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9">
        <v>1.45023737E8</v>
      </c>
      <c r="B131" s="9" t="s">
        <v>136</v>
      </c>
      <c r="C131" s="10">
        <f>SUMIFS(Transactions!D:D,Transactions!B:B, "亗 yué 亗",Transactions!H:H,"Incoming")</f>
        <v>36328763</v>
      </c>
      <c r="D131" s="10">
        <f>SUMIFS(Transactions!E:E,Transactions!B:B, "亗 yué 亗",Transactions!H:H,"Incoming")</f>
        <v>13829370</v>
      </c>
      <c r="E131" s="10">
        <f>SUMIFS(Transactions!F:F,Transactions!B:B, "亗 yué 亗",Transactions!H:H,"Incoming")</f>
        <v>20073244</v>
      </c>
      <c r="F131" s="10">
        <f>SUMIFS(Transactions!G:G,Transactions!B:B, "亗 yué 亗",Transactions!H:H,"Incoming")</f>
        <v>110675710</v>
      </c>
      <c r="G131" s="10">
        <f t="shared" si="1"/>
        <v>180907087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9">
        <v>1.76044158E8</v>
      </c>
      <c r="B132" s="9" t="s">
        <v>137</v>
      </c>
      <c r="C132" s="10">
        <f>SUMIFS(Transactions!D:D,Transactions!B:B, "メSuper Manメ",Transactions!H:H,"Incoming")</f>
        <v>120000000</v>
      </c>
      <c r="D132" s="10">
        <f>SUMIFS(Transactions!E:E,Transactions!B:B, "メSuper Manメ",Transactions!H:H,"Incoming")</f>
        <v>120000000</v>
      </c>
      <c r="E132" s="10">
        <f>SUMIFS(Transactions!F:F,Transactions!B:B, "メSuper Manメ",Transactions!H:H,"Incoming")</f>
        <v>120000000</v>
      </c>
      <c r="F132" s="10">
        <f>SUMIFS(Transactions!G:G,Transactions!B:B, "メSuper Manメ",Transactions!H:H,"Incoming")</f>
        <v>120000000</v>
      </c>
      <c r="G132" s="10">
        <f t="shared" si="1"/>
        <v>480000000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9">
        <v>1.69420296E8</v>
      </c>
      <c r="B133" s="9" t="s">
        <v>138</v>
      </c>
      <c r="C133" s="10">
        <f>SUMIFS(Transactions!D:D,Transactions!B:B, "madelene",Transactions!H:H,"Incoming")</f>
        <v>54778972</v>
      </c>
      <c r="D133" s="10">
        <f>SUMIFS(Transactions!E:E,Transactions!B:B, "madelene",Transactions!H:H,"Incoming")</f>
        <v>235344938</v>
      </c>
      <c r="E133" s="10">
        <f>SUMIFS(Transactions!F:F,Transactions!B:B, "madelene",Transactions!H:H,"Incoming")</f>
        <v>36283539</v>
      </c>
      <c r="F133" s="10">
        <f>SUMIFS(Transactions!G:G,Transactions!B:B, "madelene",Transactions!H:H,"Incoming")</f>
        <v>35316461</v>
      </c>
      <c r="G133" s="10">
        <f t="shared" si="1"/>
        <v>361723910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9">
        <v>1.6901814E8</v>
      </c>
      <c r="B134" s="9" t="s">
        <v>139</v>
      </c>
      <c r="C134" s="10">
        <f>SUMIFS(Transactions!D:D,Transactions!B:B, "ᶜᴸCesar82",Transactions!H:H,"Incoming")</f>
        <v>0</v>
      </c>
      <c r="D134" s="10">
        <f>SUMIFS(Transactions!E:E,Transactions!B:B, "ᶜᴸCesar82",Transactions!H:H,"Incoming")</f>
        <v>0</v>
      </c>
      <c r="E134" s="10">
        <f>SUMIFS(Transactions!F:F,Transactions!B:B, "ᶜᴸCesar82",Transactions!H:H,"Incoming")</f>
        <v>0</v>
      </c>
      <c r="F134" s="10">
        <f>SUMIFS(Transactions!G:G,Transactions!B:B, "ᶜᴸCesar82",Transactions!H:H,"Incoming")</f>
        <v>0</v>
      </c>
      <c r="G134" s="10">
        <f t="shared" si="1"/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9">
        <v>1.58817223E8</v>
      </c>
      <c r="B135" s="9" t="s">
        <v>140</v>
      </c>
      <c r="C135" s="10">
        <f>SUMIFS(Transactions!D:D,Transactions!B:B, "Lazy Smurfette",Transactions!H:H,"Incoming")</f>
        <v>9752000</v>
      </c>
      <c r="D135" s="10">
        <f>SUMIFS(Transactions!E:E,Transactions!B:B, "Lazy Smurfette",Transactions!H:H,"Incoming")</f>
        <v>9752000</v>
      </c>
      <c r="E135" s="10">
        <f>SUMIFS(Transactions!F:F,Transactions!B:B, "Lazy Smurfette",Transactions!H:H,"Incoming")</f>
        <v>9752000</v>
      </c>
      <c r="F135" s="10">
        <f>SUMIFS(Transactions!G:G,Transactions!B:B, "Lazy Smurfette",Transactions!H:H,"Incoming")</f>
        <v>5434659</v>
      </c>
      <c r="G135" s="10">
        <f t="shared" si="1"/>
        <v>34690659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9">
        <v>1.72008118E8</v>
      </c>
      <c r="B136" s="9" t="s">
        <v>141</v>
      </c>
      <c r="C136" s="10">
        <f>SUMIFS(Transactions!D:D,Transactions!B:B, "Northernman",Transactions!H:H,"Incoming")</f>
        <v>42760000</v>
      </c>
      <c r="D136" s="10">
        <f>SUMIFS(Transactions!E:E,Transactions!B:B, "Northernman",Transactions!H:H,"Incoming")</f>
        <v>36683934</v>
      </c>
      <c r="E136" s="10">
        <f>SUMIFS(Transactions!F:F,Transactions!B:B, "Northernman",Transactions!H:H,"Incoming")</f>
        <v>53187189</v>
      </c>
      <c r="F136" s="10">
        <f>SUMIFS(Transactions!G:G,Transactions!B:B, "Northernman",Transactions!H:H,"Incoming")</f>
        <v>47368876</v>
      </c>
      <c r="G136" s="10">
        <f t="shared" si="1"/>
        <v>179999999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9">
        <v>1.4361245E8</v>
      </c>
      <c r="B137" s="9" t="s">
        <v>142</v>
      </c>
      <c r="C137" s="10">
        <f>SUMIFS(Transactions!D:D,Transactions!B:B, "NT ĐVL1",Transactions!H:H,"Incoming")</f>
        <v>40970000</v>
      </c>
      <c r="D137" s="10">
        <f>SUMIFS(Transactions!E:E,Transactions!B:B, "NT ĐVL1",Transactions!H:H,"Incoming")</f>
        <v>29028000</v>
      </c>
      <c r="E137" s="10">
        <f>SUMIFS(Transactions!F:F,Transactions!B:B, "NT ĐVL1",Transactions!H:H,"Incoming")</f>
        <v>19002000</v>
      </c>
      <c r="F137" s="10">
        <f>SUMIFS(Transactions!G:G,Transactions!B:B, "NT ĐVL1",Transactions!H:H,"Incoming")</f>
        <v>19080000</v>
      </c>
      <c r="G137" s="10">
        <f t="shared" si="1"/>
        <v>108080000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9">
        <v>1.71697263E8</v>
      </c>
      <c r="B138" s="9" t="s">
        <v>143</v>
      </c>
      <c r="C138" s="10">
        <f>SUMIFS(Transactions!D:D,Transactions!B:B, "ᵀᴼᴷGodgel",Transactions!H:H,"Incoming")</f>
        <v>25520000</v>
      </c>
      <c r="D138" s="10">
        <f>SUMIFS(Transactions!E:E,Transactions!B:B, "ᵀᴼᴷGodgel",Transactions!H:H,"Incoming")</f>
        <v>575754789</v>
      </c>
      <c r="E138" s="10">
        <f>SUMIFS(Transactions!F:F,Transactions!B:B, "ᵀᴼᴷGodgel",Transactions!H:H,"Incoming")</f>
        <v>2760000</v>
      </c>
      <c r="F138" s="10">
        <f>SUMIFS(Transactions!G:G,Transactions!B:B, "ᵀᴼᴷGodgel",Transactions!H:H,"Incoming")</f>
        <v>2760000</v>
      </c>
      <c r="G138" s="10">
        <f t="shared" si="1"/>
        <v>606794789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9">
        <v>1.44094763E8</v>
      </c>
      <c r="B139" s="9" t="s">
        <v>144</v>
      </c>
      <c r="C139" s="10">
        <f>SUMIFS(Transactions!D:D,Transactions!B:B, "Persiangulf",Transactions!H:H,"Incoming")</f>
        <v>0</v>
      </c>
      <c r="D139" s="10">
        <f>SUMIFS(Transactions!E:E,Transactions!B:B, "Persiangulf",Transactions!H:H,"Incoming")</f>
        <v>0</v>
      </c>
      <c r="E139" s="10">
        <f>SUMIFS(Transactions!F:F,Transactions!B:B, "Persiangulf",Transactions!H:H,"Incoming")</f>
        <v>0</v>
      </c>
      <c r="F139" s="10">
        <f>SUMIFS(Transactions!G:G,Transactions!B:B, "Persiangulf",Transactions!H:H,"Incoming")</f>
        <v>0</v>
      </c>
      <c r="G139" s="10">
        <f t="shared" si="1"/>
        <v>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9">
        <v>6.2125268E7</v>
      </c>
      <c r="B140" s="9" t="s">
        <v>145</v>
      </c>
      <c r="C140" s="10">
        <f>SUMIFS(Transactions!D:D,Transactions!B:B, "OTTOMANŠ",Transactions!H:H,"Incoming")</f>
        <v>0</v>
      </c>
      <c r="D140" s="10">
        <f>SUMIFS(Transactions!E:E,Transactions!B:B, "OTTOMANŠ",Transactions!H:H,"Incoming")</f>
        <v>0</v>
      </c>
      <c r="E140" s="10">
        <f>SUMIFS(Transactions!F:F,Transactions!B:B, "OTTOMANŠ",Transactions!H:H,"Incoming")</f>
        <v>0</v>
      </c>
      <c r="F140" s="10">
        <f>SUMIFS(Transactions!G:G,Transactions!B:B, "OTTOMANŠ",Transactions!H:H,"Incoming")</f>
        <v>0</v>
      </c>
      <c r="G140" s="10">
        <f t="shared" si="1"/>
        <v>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9">
        <v>1.67701301E8</v>
      </c>
      <c r="B141" s="9" t="s">
        <v>146</v>
      </c>
      <c r="C141" s="10">
        <f>SUMIFS(Transactions!D:D,Transactions!B:B, "EspDido",Transactions!H:H,"Incoming")</f>
        <v>54968000</v>
      </c>
      <c r="D141" s="10">
        <f>SUMIFS(Transactions!E:E,Transactions!B:B, "EspDido",Transactions!H:H,"Incoming")</f>
        <v>35060000</v>
      </c>
      <c r="E141" s="10">
        <f>SUMIFS(Transactions!F:F,Transactions!B:B, "EspDido",Transactions!H:H,"Incoming")</f>
        <v>25060000</v>
      </c>
      <c r="F141" s="10">
        <f>SUMIFS(Transactions!G:G,Transactions!B:B, "EspDido",Transactions!H:H,"Incoming")</f>
        <v>25014000</v>
      </c>
      <c r="G141" s="10">
        <f t="shared" si="1"/>
        <v>140102000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9">
        <v>1.72029365E8</v>
      </c>
      <c r="B142" s="9" t="s">
        <v>147</v>
      </c>
      <c r="C142" s="10">
        <f>SUMIFS(Transactions!D:D,Transactions!B:B, "义CTAM义",Transactions!H:H,"Incoming")</f>
        <v>140000000</v>
      </c>
      <c r="D142" s="10">
        <f>SUMIFS(Transactions!E:E,Transactions!B:B, "义CTAM义",Transactions!H:H,"Incoming")</f>
        <v>340000000</v>
      </c>
      <c r="E142" s="10">
        <f>SUMIFS(Transactions!F:F,Transactions!B:B, "义CTAM义",Transactions!H:H,"Incoming")</f>
        <v>160000000</v>
      </c>
      <c r="F142" s="10">
        <f>SUMIFS(Transactions!G:G,Transactions!B:B, "义CTAM义",Transactions!H:H,"Incoming")</f>
        <v>210000000</v>
      </c>
      <c r="G142" s="10">
        <f t="shared" si="1"/>
        <v>850000000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9">
        <v>1.68206434E8</v>
      </c>
      <c r="B143" s="9" t="s">
        <v>148</v>
      </c>
      <c r="C143" s="10">
        <f>SUMIFS(Transactions!D:D,Transactions!B:B, "Fabregas1533",Transactions!H:H,"Incoming")</f>
        <v>48900000</v>
      </c>
      <c r="D143" s="10">
        <f>SUMIFS(Transactions!E:E,Transactions!B:B, "Fabregas1533",Transactions!H:H,"Incoming")</f>
        <v>44900000</v>
      </c>
      <c r="E143" s="10">
        <f>SUMIFS(Transactions!F:F,Transactions!B:B, "Fabregas1533",Transactions!H:H,"Incoming")</f>
        <v>44900000</v>
      </c>
      <c r="F143" s="10">
        <f>SUMIFS(Transactions!G:G,Transactions!B:B, "Fabregas1533",Transactions!H:H,"Incoming")</f>
        <v>44900000</v>
      </c>
      <c r="G143" s="10">
        <f t="shared" si="1"/>
        <v>183600000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9">
        <v>1.81527216E8</v>
      </c>
      <c r="B144" s="9" t="s">
        <v>149</v>
      </c>
      <c r="C144" s="10">
        <f>SUMIFS(Transactions!D:D,Transactions!B:B, "General Judas",Transactions!H:H,"Incoming")</f>
        <v>0</v>
      </c>
      <c r="D144" s="10">
        <f>SUMIFS(Transactions!E:E,Transactions!B:B, "General Judas",Transactions!H:H,"Incoming")</f>
        <v>0</v>
      </c>
      <c r="E144" s="10">
        <f>SUMIFS(Transactions!F:F,Transactions!B:B, "General Judas",Transactions!H:H,"Incoming")</f>
        <v>0</v>
      </c>
      <c r="F144" s="10">
        <f>SUMIFS(Transactions!G:G,Transactions!B:B, "General Judas",Transactions!H:H,"Incoming")</f>
        <v>0</v>
      </c>
      <c r="G144" s="10">
        <f t="shared" si="1"/>
        <v>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9">
        <v>1.71922856E8</v>
      </c>
      <c r="B145" s="9" t="s">
        <v>150</v>
      </c>
      <c r="C145" s="10">
        <f>SUMIFS(Transactions!D:D,Transactions!B:B, "roimme",Transactions!H:H,"Incoming")</f>
        <v>49291322</v>
      </c>
      <c r="D145" s="10">
        <f>SUMIFS(Transactions!E:E,Transactions!B:B, "roimme",Transactions!H:H,"Incoming")</f>
        <v>47330181</v>
      </c>
      <c r="E145" s="10">
        <f>SUMIFS(Transactions!F:F,Transactions!B:B, "roimme",Transactions!H:H,"Incoming")</f>
        <v>52760000</v>
      </c>
      <c r="F145" s="10">
        <f>SUMIFS(Transactions!G:G,Transactions!B:B, "roimme",Transactions!H:H,"Incoming")</f>
        <v>57416062</v>
      </c>
      <c r="G145" s="10">
        <f t="shared" si="1"/>
        <v>206797565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9">
        <v>1.71830779E8</v>
      </c>
      <c r="B146" s="9" t="s">
        <v>151</v>
      </c>
      <c r="C146" s="10">
        <f>SUMIFS(Transactions!D:D,Transactions!B:B, "Chocoツ",Transactions!H:H,"Incoming")</f>
        <v>411621681</v>
      </c>
      <c r="D146" s="10">
        <f>SUMIFS(Transactions!E:E,Transactions!B:B, "Chocoツ",Transactions!H:H,"Incoming")</f>
        <v>76347540</v>
      </c>
      <c r="E146" s="10">
        <f>SUMIFS(Transactions!F:F,Transactions!B:B, "Chocoツ",Transactions!H:H,"Incoming")</f>
        <v>26652000</v>
      </c>
      <c r="F146" s="10">
        <f>SUMIFS(Transactions!G:G,Transactions!B:B, "Chocoツ",Transactions!H:H,"Incoming")</f>
        <v>140559540</v>
      </c>
      <c r="G146" s="10">
        <f t="shared" si="1"/>
        <v>655180761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9">
        <v>1.60258193E8</v>
      </c>
      <c r="B147" s="9" t="s">
        <v>152</v>
      </c>
      <c r="C147" s="10">
        <f>SUMIFS(Transactions!D:D,Transactions!B:B, "DNAヅMario",Transactions!H:H,"Incoming")</f>
        <v>428280000</v>
      </c>
      <c r="D147" s="10">
        <f>SUMIFS(Transactions!E:E,Transactions!B:B, "DNAヅMario",Transactions!H:H,"Incoming")</f>
        <v>467045983</v>
      </c>
      <c r="E147" s="10">
        <f>SUMIFS(Transactions!F:F,Transactions!B:B, "DNAヅMario",Transactions!H:H,"Incoming")</f>
        <v>209514017</v>
      </c>
      <c r="F147" s="10">
        <f>SUMIFS(Transactions!G:G,Transactions!B:B, "DNAヅMario",Transactions!H:H,"Incoming")</f>
        <v>132760000</v>
      </c>
      <c r="G147" s="10">
        <f t="shared" si="1"/>
        <v>1237600000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9">
        <v>1.72219261E8</v>
      </c>
      <c r="B148" s="9" t="s">
        <v>153</v>
      </c>
      <c r="C148" s="10">
        <f>SUMIFS(Transactions!D:D,Transactions!B:B, "Valhallas Gate",Transactions!H:H,"Incoming")</f>
        <v>0</v>
      </c>
      <c r="D148" s="10">
        <f>SUMIFS(Transactions!E:E,Transactions!B:B, "Valhallas Gate",Transactions!H:H,"Incoming")</f>
        <v>0</v>
      </c>
      <c r="E148" s="10">
        <f>SUMIFS(Transactions!F:F,Transactions!B:B, "Valhallas Gate",Transactions!H:H,"Incoming")</f>
        <v>0</v>
      </c>
      <c r="F148" s="10">
        <f>SUMIFS(Transactions!G:G,Transactions!B:B, "Valhallas Gate",Transactions!H:H,"Incoming")</f>
        <v>0</v>
      </c>
      <c r="G148" s="10">
        <f t="shared" si="1"/>
        <v>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9">
        <v>1.69953509E8</v>
      </c>
      <c r="B149" s="9" t="s">
        <v>154</v>
      </c>
      <c r="C149" s="10">
        <f>SUMIFS(Transactions!D:D,Transactions!B:B, "Vega13",Transactions!H:H,"Incoming")</f>
        <v>90000000</v>
      </c>
      <c r="D149" s="10">
        <f>SUMIFS(Transactions!E:E,Transactions!B:B, "Vega13",Transactions!H:H,"Incoming")</f>
        <v>40000000</v>
      </c>
      <c r="E149" s="10">
        <f>SUMIFS(Transactions!F:F,Transactions!B:B, "Vega13",Transactions!H:H,"Incoming")</f>
        <v>10000000</v>
      </c>
      <c r="F149" s="10">
        <f>SUMIFS(Transactions!G:G,Transactions!B:B, "Vega13",Transactions!H:H,"Incoming")</f>
        <v>0</v>
      </c>
      <c r="G149" s="10">
        <f t="shared" si="1"/>
        <v>140000000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9">
        <v>1.75314255E8</v>
      </c>
      <c r="B150" s="9" t="s">
        <v>155</v>
      </c>
      <c r="C150" s="10">
        <f>SUMIFS(Transactions!D:D,Transactions!B:B, "DianerysTarg",Transactions!H:H,"Incoming")</f>
        <v>0</v>
      </c>
      <c r="D150" s="10">
        <f>SUMIFS(Transactions!E:E,Transactions!B:B, "DianerysTarg",Transactions!H:H,"Incoming")</f>
        <v>0</v>
      </c>
      <c r="E150" s="10">
        <f>SUMIFS(Transactions!F:F,Transactions!B:B, "DianerysTarg",Transactions!H:H,"Incoming")</f>
        <v>0</v>
      </c>
      <c r="F150" s="10">
        <f>SUMIFS(Transactions!G:G,Transactions!B:B, "DianerysTarg",Transactions!H:H,"Incoming")</f>
        <v>0</v>
      </c>
      <c r="G150" s="10">
        <f t="shared" si="1"/>
        <v>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9">
        <v>1.30281353E8</v>
      </c>
      <c r="B151" s="9" t="s">
        <v>156</v>
      </c>
      <c r="C151" s="10">
        <f>SUMIFS(Transactions!D:D,Transactions!B:B, "亗DJ KAMA亗",Transactions!H:H,"Incoming")</f>
        <v>10000000</v>
      </c>
      <c r="D151" s="10">
        <f>SUMIFS(Transactions!E:E,Transactions!B:B, "亗DJ KAMA亗",Transactions!H:H,"Incoming")</f>
        <v>10000000</v>
      </c>
      <c r="E151" s="10">
        <f>SUMIFS(Transactions!F:F,Transactions!B:B, "亗DJ KAMA亗",Transactions!H:H,"Incoming")</f>
        <v>4000000</v>
      </c>
      <c r="F151" s="10">
        <f>SUMIFS(Transactions!G:G,Transactions!B:B, "亗DJ KAMA亗",Transactions!H:H,"Incoming")</f>
        <v>73827159</v>
      </c>
      <c r="G151" s="10">
        <f t="shared" si="1"/>
        <v>97827159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9">
        <v>1.73454044E8</v>
      </c>
      <c r="B152" s="9" t="s">
        <v>157</v>
      </c>
      <c r="C152" s="10">
        <f>SUMIFS(Transactions!D:D,Transactions!B:B, "DamianKKK",Transactions!H:H,"Incoming")</f>
        <v>0</v>
      </c>
      <c r="D152" s="10">
        <f>SUMIFS(Transactions!E:E,Transactions!B:B, "DamianKKK",Transactions!H:H,"Incoming")</f>
        <v>0</v>
      </c>
      <c r="E152" s="10">
        <f>SUMIFS(Transactions!F:F,Transactions!B:B, "DamianKKK",Transactions!H:H,"Incoming")</f>
        <v>0</v>
      </c>
      <c r="F152" s="10">
        <f>SUMIFS(Transactions!G:G,Transactions!B:B, "DamianKKK",Transactions!H:H,"Incoming")</f>
        <v>0</v>
      </c>
      <c r="G152" s="10">
        <f t="shared" si="1"/>
        <v>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9">
        <v>1.81734011E8</v>
      </c>
      <c r="B153" s="9" t="s">
        <v>158</v>
      </c>
      <c r="C153" s="10">
        <f>SUMIFS(Transactions!D:D,Transactions!B:B, "CABJLorena",Transactions!H:H,"Incoming")</f>
        <v>14667498</v>
      </c>
      <c r="D153" s="10">
        <f>SUMIFS(Transactions!E:E,Transactions!B:B, "CABJLorena",Transactions!H:H,"Incoming")</f>
        <v>18301180</v>
      </c>
      <c r="E153" s="10">
        <f>SUMIFS(Transactions!F:F,Transactions!B:B, "CABJLorena",Transactions!H:H,"Incoming")</f>
        <v>13822675</v>
      </c>
      <c r="F153" s="10">
        <f>SUMIFS(Transactions!G:G,Transactions!B:B, "CABJLorena",Transactions!H:H,"Incoming")</f>
        <v>14036646</v>
      </c>
      <c r="G153" s="10">
        <f t="shared" si="1"/>
        <v>60827999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9">
        <v>4313627.0</v>
      </c>
      <c r="B154" s="9" t="s">
        <v>159</v>
      </c>
      <c r="C154" s="10">
        <f>SUMIFS(Transactions!D:D,Transactions!B:B, "㐅 Kookie",Transactions!H:H,"Incoming")</f>
        <v>10000000</v>
      </c>
      <c r="D154" s="10">
        <f>SUMIFS(Transactions!E:E,Transactions!B:B, "㐅 Kookie",Transactions!H:H,"Incoming")</f>
        <v>83500000</v>
      </c>
      <c r="E154" s="10">
        <f>SUMIFS(Transactions!F:F,Transactions!B:B, "㐅 Kookie",Transactions!H:H,"Incoming")</f>
        <v>10000000</v>
      </c>
      <c r="F154" s="10">
        <f>SUMIFS(Transactions!G:G,Transactions!B:B, "㐅 Kookie",Transactions!H:H,"Incoming")</f>
        <v>10000000</v>
      </c>
      <c r="G154" s="10">
        <f t="shared" si="1"/>
        <v>113500000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9">
        <v>1.79033453E8</v>
      </c>
      <c r="B155" s="9" t="s">
        <v>160</v>
      </c>
      <c r="C155" s="10">
        <f>SUMIFS(Transactions!D:D,Transactions!B:B, "miuv",Transactions!H:H,"Incoming")</f>
        <v>130000000</v>
      </c>
      <c r="D155" s="10">
        <f>SUMIFS(Transactions!E:E,Transactions!B:B, "miuv",Transactions!H:H,"Incoming")</f>
        <v>110000000</v>
      </c>
      <c r="E155" s="10">
        <f>SUMIFS(Transactions!F:F,Transactions!B:B, "miuv",Transactions!H:H,"Incoming")</f>
        <v>77473331</v>
      </c>
      <c r="F155" s="10">
        <f>SUMIFS(Transactions!G:G,Transactions!B:B, "miuv",Transactions!H:H,"Incoming")</f>
        <v>80000000</v>
      </c>
      <c r="G155" s="10">
        <f t="shared" si="1"/>
        <v>397473331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9">
        <v>1.45815623E8</v>
      </c>
      <c r="B156" s="9" t="s">
        <v>161</v>
      </c>
      <c r="C156" s="10">
        <f>SUMIFS(Transactions!D:D,Transactions!B:B, "II PHOENIx II",Transactions!H:H,"Incoming")</f>
        <v>20005202</v>
      </c>
      <c r="D156" s="10">
        <f>SUMIFS(Transactions!E:E,Transactions!B:B, "II PHOENIx II",Transactions!H:H,"Incoming")</f>
        <v>20005202</v>
      </c>
      <c r="E156" s="10">
        <f>SUMIFS(Transactions!F:F,Transactions!B:B, "II PHOENIx II",Transactions!H:H,"Incoming")</f>
        <v>20005202</v>
      </c>
      <c r="F156" s="10">
        <f>SUMIFS(Transactions!G:G,Transactions!B:B, "II PHOENIx II",Transactions!H:H,"Incoming")</f>
        <v>20005202</v>
      </c>
      <c r="G156" s="10">
        <f t="shared" si="1"/>
        <v>80020808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9">
        <v>7.1613822E7</v>
      </c>
      <c r="B157" s="9" t="s">
        <v>162</v>
      </c>
      <c r="C157" s="10">
        <f>SUMIFS(Transactions!D:D,Transactions!B:B, "㐅 Barto",Transactions!H:H,"Incoming")</f>
        <v>139600200</v>
      </c>
      <c r="D157" s="10">
        <f>SUMIFS(Transactions!E:E,Transactions!B:B, "㐅 Barto",Transactions!H:H,"Incoming")</f>
        <v>119600200</v>
      </c>
      <c r="E157" s="10">
        <f>SUMIFS(Transactions!F:F,Transactions!B:B, "㐅 Barto",Transactions!H:H,"Incoming")</f>
        <v>9600200</v>
      </c>
      <c r="F157" s="10">
        <f>SUMIFS(Transactions!G:G,Transactions!B:B, "㐅 Barto",Transactions!H:H,"Incoming")</f>
        <v>9600200</v>
      </c>
      <c r="G157" s="10">
        <f t="shared" si="1"/>
        <v>278400800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9">
        <v>1.50027113E8</v>
      </c>
      <c r="B158" s="9" t="s">
        <v>163</v>
      </c>
      <c r="C158" s="10">
        <f>SUMIFS(Transactions!D:D,Transactions!B:B, "DONALD TUSK",Transactions!H:H,"Incoming")</f>
        <v>40000000</v>
      </c>
      <c r="D158" s="10">
        <f>SUMIFS(Transactions!E:E,Transactions!B:B, "DONALD TUSK",Transactions!H:H,"Incoming")</f>
        <v>100000000</v>
      </c>
      <c r="E158" s="10">
        <f>SUMIFS(Transactions!F:F,Transactions!B:B, "DONALD TUSK",Transactions!H:H,"Incoming")</f>
        <v>0</v>
      </c>
      <c r="F158" s="10">
        <f>SUMIFS(Transactions!G:G,Transactions!B:B, "DONALD TUSK",Transactions!H:H,"Incoming")</f>
        <v>140000000</v>
      </c>
      <c r="G158" s="10">
        <f t="shared" si="1"/>
        <v>280000000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9">
        <v>1.41154852E8</v>
      </c>
      <c r="B159" s="9" t="s">
        <v>164</v>
      </c>
      <c r="C159" s="10">
        <f>SUMIFS(Transactions!D:D,Transactions!B:B, "亗Zolotashkoツ",Transactions!H:H,"Incoming")</f>
        <v>8698120</v>
      </c>
      <c r="D159" s="10">
        <f>SUMIFS(Transactions!E:E,Transactions!B:B, "亗Zolotashkoツ",Transactions!H:H,"Incoming")</f>
        <v>56900722</v>
      </c>
      <c r="E159" s="10">
        <f>SUMIFS(Transactions!F:F,Transactions!B:B, "亗Zolotashkoツ",Transactions!H:H,"Incoming")</f>
        <v>10189008</v>
      </c>
      <c r="F159" s="10">
        <f>SUMIFS(Transactions!G:G,Transactions!B:B, "亗Zolotashkoツ",Transactions!H:H,"Incoming")</f>
        <v>4212147</v>
      </c>
      <c r="G159" s="10">
        <f t="shared" si="1"/>
        <v>79999997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9">
        <v>1.56479771E8</v>
      </c>
      <c r="B160" s="9" t="s">
        <v>165</v>
      </c>
      <c r="C160" s="10">
        <f>SUMIFS(Transactions!D:D,Transactions!B:B, "ᵂᴸSnowWoLF",Transactions!H:H,"Incoming")</f>
        <v>47360000</v>
      </c>
      <c r="D160" s="10">
        <f>SUMIFS(Transactions!E:E,Transactions!B:B, "ᵂᴸSnowWoLF",Transactions!H:H,"Incoming")</f>
        <v>324600000</v>
      </c>
      <c r="E160" s="10">
        <f>SUMIFS(Transactions!F:F,Transactions!B:B, "ᵂᴸSnowWoLF",Transactions!H:H,"Incoming")</f>
        <v>119320000</v>
      </c>
      <c r="F160" s="10">
        <f>SUMIFS(Transactions!G:G,Transactions!B:B, "ᵂᴸSnowWoLF",Transactions!H:H,"Incoming")</f>
        <v>11840000</v>
      </c>
      <c r="G160" s="10">
        <f t="shared" si="1"/>
        <v>503120000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1">
        <v>1.43328412E8</v>
      </c>
      <c r="B161" s="11" t="s">
        <v>166</v>
      </c>
      <c r="C161" s="10">
        <f>SUMIFS(Transactions!D:D,Transactions!B:B, "NopeNope",Transactions!H:H,"Incoming")</f>
        <v>50000000</v>
      </c>
      <c r="D161" s="10">
        <f>SUMIFS(Transactions!E:E,Transactions!B:B, "NopeNope",Transactions!H:H,"Incoming")</f>
        <v>17014853</v>
      </c>
      <c r="E161" s="10">
        <f>SUMIFS(Transactions!F:F,Transactions!B:B, "NopeNope",Transactions!H:H,"Incoming")</f>
        <v>2985147</v>
      </c>
      <c r="F161" s="10">
        <f>SUMIFS(Transactions!G:G,Transactions!B:B, "NopeNope",Transactions!H:H,"Incoming")</f>
        <v>0</v>
      </c>
      <c r="G161" s="10">
        <f t="shared" si="1"/>
        <v>70000000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2">
        <v>2.9902904E7</v>
      </c>
      <c r="B162" s="12" t="s">
        <v>167</v>
      </c>
      <c r="C162" s="10">
        <f>SUMIFS(Transactions!D:D,Transactions!B:B, "Chang Nammon",Transactions!H:H,"Incoming")</f>
        <v>30000000</v>
      </c>
      <c r="D162" s="10">
        <f>SUMIFS(Transactions!E:E,Transactions!B:B, "Chang Nammon",Transactions!H:H,"Incoming")</f>
        <v>30000000</v>
      </c>
      <c r="E162" s="10">
        <f>SUMIFS(Transactions!F:F,Transactions!B:B, "Chang Nammon",Transactions!H:H,"Incoming")</f>
        <v>20000000</v>
      </c>
      <c r="F162" s="10">
        <f>SUMIFS(Transactions!G:G,Transactions!B:B, "Chang Nammon",Transactions!H:H,"Incoming")</f>
        <v>10000000</v>
      </c>
      <c r="G162" s="10">
        <f t="shared" si="1"/>
        <v>90000000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9">
        <v>1.4359506E8</v>
      </c>
      <c r="B163" s="9" t="s">
        <v>168</v>
      </c>
      <c r="C163" s="10">
        <f>SUMIFS(Transactions!D:D,Transactions!B:B, "Ninii88",Transactions!H:H,"Incoming")</f>
        <v>2456937866</v>
      </c>
      <c r="D163" s="10">
        <f>SUMIFS(Transactions!E:E,Transactions!B:B, "Ninii88",Transactions!H:H,"Incoming")</f>
        <v>1795023040</v>
      </c>
      <c r="E163" s="10">
        <f>SUMIFS(Transactions!F:F,Transactions!B:B, "Ninii88",Transactions!H:H,"Incoming")</f>
        <v>1518577334</v>
      </c>
      <c r="F163" s="10">
        <f>SUMIFS(Transactions!G:G,Transactions!B:B, "Ninii88",Transactions!H:H,"Incoming")</f>
        <v>433720806</v>
      </c>
      <c r="G163" s="10">
        <f t="shared" si="1"/>
        <v>6204259046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1">
        <v>1.1279231E8</v>
      </c>
      <c r="B164" s="11" t="s">
        <v>169</v>
      </c>
      <c r="C164" s="10">
        <f>SUMIFS(Transactions!D:D,Transactions!B:B, "KIM BANK",Transactions!H:H,"Incoming")</f>
        <v>140000000</v>
      </c>
      <c r="D164" s="10">
        <f>SUMIFS(Transactions!E:E,Transactions!B:B, "KIM BANK",Transactions!H:H,"Incoming")</f>
        <v>190000000</v>
      </c>
      <c r="E164" s="10">
        <f>SUMIFS(Transactions!F:F,Transactions!B:B, "KIM BANK",Transactions!H:H,"Incoming")</f>
        <v>60000000</v>
      </c>
      <c r="F164" s="10">
        <f>SUMIFS(Transactions!G:G,Transactions!B:B, "KIM BANK",Transactions!H:H,"Incoming")</f>
        <v>0</v>
      </c>
      <c r="G164" s="10">
        <f t="shared" si="1"/>
        <v>390000000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9">
        <v>1.43476574E8</v>
      </c>
      <c r="B165" s="9" t="s">
        <v>170</v>
      </c>
      <c r="C165" s="10">
        <f>SUMIFS(Transactions!D:D,Transactions!B:B, "FallenRooti8",Transactions!H:H,"Incoming")</f>
        <v>0</v>
      </c>
      <c r="D165" s="10">
        <f>SUMIFS(Transactions!E:E,Transactions!B:B, "FallenRooti8",Transactions!H:H,"Incoming")</f>
        <v>0</v>
      </c>
      <c r="E165" s="10">
        <f>SUMIFS(Transactions!F:F,Transactions!B:B, "FallenRooti8",Transactions!H:H,"Incoming")</f>
        <v>0</v>
      </c>
      <c r="F165" s="10">
        <f>SUMIFS(Transactions!G:G,Transactions!B:B, "FallenRooti8",Transactions!H:H,"Incoming")</f>
        <v>0</v>
      </c>
      <c r="G165" s="10">
        <f t="shared" si="1"/>
        <v>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9">
        <v>6.7071592E7</v>
      </c>
      <c r="B166" s="9" t="s">
        <v>171</v>
      </c>
      <c r="C166" s="10">
        <f>SUMIFS(Transactions!D:D,Transactions!B:B, "乄Lazy Bツ",Transactions!H:H,"Incoming")</f>
        <v>27240000</v>
      </c>
      <c r="D166" s="10">
        <f>SUMIFS(Transactions!E:E,Transactions!B:B, "乄Lazy Bツ",Transactions!H:H,"Incoming")</f>
        <v>29200000</v>
      </c>
      <c r="E166" s="10">
        <f>SUMIFS(Transactions!F:F,Transactions!B:B, "乄Lazy Bツ",Transactions!H:H,"Incoming")</f>
        <v>34600000</v>
      </c>
      <c r="F166" s="10">
        <f>SUMIFS(Transactions!G:G,Transactions!B:B, "乄Lazy Bツ",Transactions!H:H,"Incoming")</f>
        <v>24600000</v>
      </c>
      <c r="G166" s="10">
        <f t="shared" si="1"/>
        <v>115640000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9">
        <v>1.46428825E8</v>
      </c>
      <c r="B167" s="9" t="s">
        <v>172</v>
      </c>
      <c r="C167" s="10">
        <f>SUMIFS(Transactions!D:D,Transactions!B:B, "ᵐᵖ Ray i",Transactions!H:H,"Incoming")</f>
        <v>16713640</v>
      </c>
      <c r="D167" s="10">
        <f>SUMIFS(Transactions!E:E,Transactions!B:B, "ᵐᵖ Ray i",Transactions!H:H,"Incoming")</f>
        <v>16723880</v>
      </c>
      <c r="E167" s="10">
        <f>SUMIFS(Transactions!F:F,Transactions!B:B, "ᵐᵖ Ray i",Transactions!H:H,"Incoming")</f>
        <v>20458040</v>
      </c>
      <c r="F167" s="10">
        <f>SUMIFS(Transactions!G:G,Transactions!B:B, "ᵐᵖ Ray i",Transactions!H:H,"Incoming")</f>
        <v>15424840</v>
      </c>
      <c r="G167" s="10">
        <f t="shared" si="1"/>
        <v>69320400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9">
        <v>6.496634E7</v>
      </c>
      <c r="B168" s="9" t="s">
        <v>173</v>
      </c>
      <c r="C168" s="10">
        <f>SUMIFS(Transactions!D:D,Transactions!B:B, "Pisontije",Transactions!H:H,"Incoming")</f>
        <v>48280000</v>
      </c>
      <c r="D168" s="10">
        <f>SUMIFS(Transactions!E:E,Transactions!B:B, "Pisontije",Transactions!H:H,"Incoming")</f>
        <v>48280000</v>
      </c>
      <c r="E168" s="10">
        <f>SUMIFS(Transactions!F:F,Transactions!B:B, "Pisontije",Transactions!H:H,"Incoming")</f>
        <v>50680000</v>
      </c>
      <c r="F168" s="10">
        <f>SUMIFS(Transactions!G:G,Transactions!B:B, "Pisontije",Transactions!H:H,"Incoming")</f>
        <v>37360000</v>
      </c>
      <c r="G168" s="10">
        <f t="shared" si="1"/>
        <v>184600000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2">
        <v>1.69326547E8</v>
      </c>
      <c r="B169" s="9" t="s">
        <v>174</v>
      </c>
      <c r="C169" s="10">
        <f>SUMIFS(Transactions!D:D,Transactions!B:B, "ᵁᴺSexyRickツ",Transactions!H:H,"Incoming")</f>
        <v>33220000</v>
      </c>
      <c r="D169" s="10">
        <f>SUMIFS(Transactions!E:E,Transactions!B:B, "ᵁᴺSexyRickツ",Transactions!H:H,"Incoming")</f>
        <v>33220000</v>
      </c>
      <c r="E169" s="10">
        <f>SUMIFS(Transactions!F:F,Transactions!B:B, "ᵁᴺSexyRickツ",Transactions!H:H,"Incoming")</f>
        <v>33560000</v>
      </c>
      <c r="F169" s="10">
        <f>SUMIFS(Transactions!G:G,Transactions!B:B, "ᵁᴺSexyRickツ",Transactions!H:H,"Incoming")</f>
        <v>21840000</v>
      </c>
      <c r="G169" s="10">
        <f t="shared" si="1"/>
        <v>121840000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2">
        <v>1.68455139E8</v>
      </c>
      <c r="B170" s="9" t="s">
        <v>175</v>
      </c>
      <c r="C170" s="10">
        <f>SUMIFS(Transactions!D:D,Transactions!B:B, "ᵁᴺOdin",Transactions!H:H,"Incoming")</f>
        <v>210000000</v>
      </c>
      <c r="D170" s="10">
        <f>SUMIFS(Transactions!E:E,Transactions!B:B, "ᵁᴺOdin",Transactions!H:H,"Incoming")</f>
        <v>1220000000</v>
      </c>
      <c r="E170" s="10">
        <f>SUMIFS(Transactions!F:F,Transactions!B:B, "ᵁᴺOdin",Transactions!H:H,"Incoming")</f>
        <v>40000000</v>
      </c>
      <c r="F170" s="10">
        <f>SUMIFS(Transactions!G:G,Transactions!B:B, "ᵁᴺOdin",Transactions!H:H,"Incoming")</f>
        <v>40000000</v>
      </c>
      <c r="G170" s="10">
        <f t="shared" si="1"/>
        <v>1510000000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2">
        <v>1.42660926E8</v>
      </c>
      <c r="B171" s="12" t="s">
        <v>176</v>
      </c>
      <c r="C171" s="10">
        <f>SUMIFS(Transactions!D:D,Transactions!B:B, "Mashinaa",Transactions!H:H,"Incoming")</f>
        <v>280000000</v>
      </c>
      <c r="D171" s="10">
        <f>SUMIFS(Transactions!E:E,Transactions!B:B, "Mashinaa",Transactions!H:H,"Incoming")</f>
        <v>299244856</v>
      </c>
      <c r="E171" s="10">
        <f>SUMIFS(Transactions!F:F,Transactions!B:B, "Mashinaa",Transactions!H:H,"Incoming")</f>
        <v>198826960</v>
      </c>
      <c r="F171" s="10">
        <f>SUMIFS(Transactions!G:G,Transactions!B:B, "Mashinaa",Transactions!H:H,"Incoming")</f>
        <v>80000000</v>
      </c>
      <c r="G171" s="10">
        <f t="shared" si="1"/>
        <v>858071816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2">
        <v>1.59857111E8</v>
      </c>
      <c r="B172" s="12" t="s">
        <v>177</v>
      </c>
      <c r="C172" s="10">
        <f>SUMIFS(Transactions!D:D,Transactions!B:B, "Oxygen ヤ",Transactions!H:H,"Incoming")</f>
        <v>5520000</v>
      </c>
      <c r="D172" s="10">
        <f>SUMIFS(Transactions!E:E,Transactions!B:B, "Oxygen ヤ",Transactions!H:H,"Incoming")</f>
        <v>8040000</v>
      </c>
      <c r="E172" s="10">
        <f>SUMIFS(Transactions!F:F,Transactions!B:B, "Oxygen ヤ",Transactions!H:H,"Incoming")</f>
        <v>4600000</v>
      </c>
      <c r="F172" s="10">
        <f>SUMIFS(Transactions!G:G,Transactions!B:B, "Oxygen ヤ",Transactions!H:H,"Incoming")</f>
        <v>1840000</v>
      </c>
      <c r="G172" s="10">
        <f t="shared" si="1"/>
        <v>20000000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9">
        <v>7.7394861E7</v>
      </c>
      <c r="B173" s="9" t="s">
        <v>178</v>
      </c>
      <c r="C173" s="10">
        <f>SUMIFS(Transactions!D:D,Transactions!B:B, "Ngacai",Transactions!H:H,"Incoming")</f>
        <v>15640000</v>
      </c>
      <c r="D173" s="10">
        <f>SUMIFS(Transactions!E:E,Transactions!B:B, "Ngacai",Transactions!H:H,"Incoming")</f>
        <v>15640000</v>
      </c>
      <c r="E173" s="10">
        <f>SUMIFS(Transactions!F:F,Transactions!B:B, "Ngacai",Transactions!H:H,"Incoming")</f>
        <v>19320000</v>
      </c>
      <c r="F173" s="10">
        <f>SUMIFS(Transactions!G:G,Transactions!B:B, "Ngacai",Transactions!H:H,"Incoming")</f>
        <v>13800000</v>
      </c>
      <c r="G173" s="10">
        <f t="shared" si="1"/>
        <v>64400000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9">
        <v>2.7578537E7</v>
      </c>
      <c r="B174" s="9" t="s">
        <v>179</v>
      </c>
      <c r="C174" s="10">
        <f>SUMIFS(Transactions!D:D,Transactions!B:B, "Luki92",Transactions!H:H,"Incoming")</f>
        <v>452807939</v>
      </c>
      <c r="D174" s="10">
        <f>SUMIFS(Transactions!E:E,Transactions!B:B, "Luki92",Transactions!H:H,"Incoming")</f>
        <v>209538737</v>
      </c>
      <c r="E174" s="10">
        <f>SUMIFS(Transactions!F:F,Transactions!B:B, "Luki92",Transactions!H:H,"Incoming")</f>
        <v>193420985</v>
      </c>
      <c r="F174" s="10">
        <f>SUMIFS(Transactions!G:G,Transactions!B:B, "Luki92",Transactions!H:H,"Incoming")</f>
        <v>90414489</v>
      </c>
      <c r="G174" s="10">
        <f t="shared" si="1"/>
        <v>946182150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2">
        <v>1.71345916E8</v>
      </c>
      <c r="B175" s="12" t="s">
        <v>180</v>
      </c>
      <c r="C175" s="10">
        <f>SUMIFS(Transactions!D:D,Transactions!B:B, "Only Mayıstos",Transactions!H:H,"Incoming")</f>
        <v>0</v>
      </c>
      <c r="D175" s="10">
        <f>SUMIFS(Transactions!E:E,Transactions!B:B, "Only Mayıstos",Transactions!H:H,"Incoming")</f>
        <v>10567089</v>
      </c>
      <c r="E175" s="10">
        <f>SUMIFS(Transactions!F:F,Transactions!B:B, "Only Mayıstos",Transactions!H:H,"Incoming")</f>
        <v>9432911</v>
      </c>
      <c r="F175" s="10">
        <f>SUMIFS(Transactions!G:G,Transactions!B:B, "Only Mayıstos",Transactions!H:H,"Incoming")</f>
        <v>0</v>
      </c>
      <c r="G175" s="10">
        <f t="shared" si="1"/>
        <v>20000000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9">
        <v>1.66807426E8</v>
      </c>
      <c r="B176" s="9" t="s">
        <v>181</v>
      </c>
      <c r="C176" s="10">
        <f>SUMIFS(Transactions!D:D,Transactions!B:B, "ᵂʷSaber",Transactions!H:H,"Incoming")</f>
        <v>3025893</v>
      </c>
      <c r="D176" s="10">
        <f>SUMIFS(Transactions!E:E,Transactions!B:B, "ᵂʷSaber",Transactions!H:H,"Incoming")</f>
        <v>3124633</v>
      </c>
      <c r="E176" s="10">
        <f>SUMIFS(Transactions!F:F,Transactions!B:B, "ᵂʷSaber",Transactions!H:H,"Incoming")</f>
        <v>3008406</v>
      </c>
      <c r="F176" s="10">
        <f>SUMIFS(Transactions!G:G,Transactions!B:B, "ᵂʷSaber",Transactions!H:H,"Incoming")</f>
        <v>1096350</v>
      </c>
      <c r="G176" s="10">
        <f t="shared" si="1"/>
        <v>10255282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2">
        <v>7.9650085E7</v>
      </c>
      <c r="B177" s="12" t="s">
        <v>182</v>
      </c>
      <c r="C177" s="10">
        <f>SUMIFS(Transactions!D:D,Transactions!B:B, "Keshiba ツ",Transactions!H:H,"Incoming")</f>
        <v>10000000</v>
      </c>
      <c r="D177" s="10">
        <f>SUMIFS(Transactions!E:E,Transactions!B:B, "Keshiba ツ",Transactions!H:H,"Incoming")</f>
        <v>10000000</v>
      </c>
      <c r="E177" s="10">
        <f>SUMIFS(Transactions!F:F,Transactions!B:B, "Keshiba ツ",Transactions!H:H,"Incoming")</f>
        <v>10000000</v>
      </c>
      <c r="F177" s="10">
        <f>SUMIFS(Transactions!G:G,Transactions!B:B, "Keshiba ツ",Transactions!H:H,"Incoming")</f>
        <v>10000000</v>
      </c>
      <c r="G177" s="10">
        <f t="shared" si="1"/>
        <v>40000000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3">
        <v>7.4556991E7</v>
      </c>
      <c r="B178" s="13" t="s">
        <v>183</v>
      </c>
      <c r="C178" s="10">
        <f>SUMIFS(Transactions!D:D,Transactions!B:B, "乄Narcissus",Transactions!H:H,"Incoming")</f>
        <v>7360000</v>
      </c>
      <c r="D178" s="10">
        <f>SUMIFS(Transactions!E:E,Transactions!B:B, "乄Narcissus",Transactions!H:H,"Incoming")</f>
        <v>7360000</v>
      </c>
      <c r="E178" s="10">
        <f>SUMIFS(Transactions!F:F,Transactions!B:B, "乄Narcissus",Transactions!H:H,"Incoming")</f>
        <v>11040000</v>
      </c>
      <c r="F178" s="10">
        <f>SUMIFS(Transactions!G:G,Transactions!B:B, "乄Narcissus",Transactions!H:H,"Incoming")</f>
        <v>11040000</v>
      </c>
      <c r="G178" s="10">
        <f t="shared" si="1"/>
        <v>36800000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8">
        <v>9.8107237E7</v>
      </c>
      <c r="B179" s="8" t="s">
        <v>184</v>
      </c>
      <c r="C179" s="10">
        <f>SUMIFS(Transactions!D:D,Transactions!B:B, "亗 Intersect",Transactions!H:H,"Incoming")</f>
        <v>286000080</v>
      </c>
      <c r="D179" s="10">
        <f>SUMIFS(Transactions!E:E,Transactions!B:B, "亗 Intersect",Transactions!H:H,"Incoming")</f>
        <v>14000080</v>
      </c>
      <c r="E179" s="10">
        <f>SUMIFS(Transactions!F:F,Transactions!B:B, "亗 Intersect",Transactions!H:H,"Incoming")</f>
        <v>14999200</v>
      </c>
      <c r="F179" s="10">
        <f>SUMIFS(Transactions!G:G,Transactions!B:B, "亗 Intersect",Transactions!H:H,"Incoming")</f>
        <v>15000640</v>
      </c>
      <c r="G179" s="10">
        <f t="shared" si="1"/>
        <v>330000000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8">
        <v>1.36662717E8</v>
      </c>
      <c r="B180" s="8" t="s">
        <v>185</v>
      </c>
      <c r="C180" s="10">
        <f>SUMIFS(Transactions!D:D,Transactions!B:B, "PickleShadowツ",Transactions!H:H,"Incoming")</f>
        <v>0</v>
      </c>
      <c r="D180" s="10">
        <f>SUMIFS(Transactions!E:E,Transactions!B:B, "PickleShadowツ",Transactions!H:H,"Incoming")</f>
        <v>0</v>
      </c>
      <c r="E180" s="10">
        <f>SUMIFS(Transactions!F:F,Transactions!B:B, "PickleShadowツ",Transactions!H:H,"Incoming")</f>
        <v>0</v>
      </c>
      <c r="F180" s="10">
        <f>SUMIFS(Transactions!G:G,Transactions!B:B, "PickleShadowツ",Transactions!H:H,"Incoming")</f>
        <v>30000000</v>
      </c>
      <c r="G180" s="10">
        <f t="shared" si="1"/>
        <v>30000000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2.0"/>
    <col customWidth="1" min="3" max="3" width="25.43"/>
    <col customWidth="1" min="4" max="4" width="17.86"/>
    <col customWidth="1" min="5" max="7" width="16.43"/>
    <col customWidth="1" min="8" max="8" width="17.29"/>
    <col customWidth="1" min="9" max="9" width="31.0"/>
    <col customWidth="1" min="10" max="26" width="8.71"/>
  </cols>
  <sheetData>
    <row r="1" ht="22.5" customHeight="1">
      <c r="A1" s="1" t="s">
        <v>186</v>
      </c>
      <c r="B1" s="1" t="s">
        <v>187</v>
      </c>
      <c r="C1" s="1" t="s">
        <v>188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189</v>
      </c>
      <c r="I1" s="1" t="s">
        <v>190</v>
      </c>
      <c r="J1" s="9" t="s">
        <v>191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14">
        <v>45879.0</v>
      </c>
      <c r="B2" s="9" t="s">
        <v>21</v>
      </c>
      <c r="C2" s="15" t="s">
        <v>192</v>
      </c>
      <c r="D2" s="16">
        <v>7.15803831E8</v>
      </c>
      <c r="E2" s="5">
        <v>3.69941389E8</v>
      </c>
      <c r="F2" s="5">
        <v>4.8366906E8</v>
      </c>
      <c r="G2" s="5">
        <v>1.1468056E8</v>
      </c>
      <c r="H2" s="15" t="s">
        <v>193</v>
      </c>
      <c r="I2" s="8" t="s">
        <v>194</v>
      </c>
      <c r="J2" s="17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4">
        <v>45879.0</v>
      </c>
      <c r="B3" s="9" t="s">
        <v>126</v>
      </c>
      <c r="C3" s="15" t="s">
        <v>195</v>
      </c>
      <c r="D3" s="16">
        <v>1.5152E7</v>
      </c>
      <c r="E3" s="5">
        <v>1.2208E7</v>
      </c>
      <c r="F3" s="5">
        <v>1.448E7</v>
      </c>
      <c r="G3" s="5">
        <v>1.368E7</v>
      </c>
      <c r="H3" s="15" t="s">
        <v>193</v>
      </c>
      <c r="I3" s="8"/>
      <c r="J3" s="1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4">
        <v>45879.0</v>
      </c>
      <c r="B4" s="9" t="s">
        <v>150</v>
      </c>
      <c r="C4" s="15" t="s">
        <v>195</v>
      </c>
      <c r="D4" s="16">
        <v>1.0E7</v>
      </c>
      <c r="E4" s="5">
        <v>1.0E7</v>
      </c>
      <c r="F4" s="5">
        <v>1.0E7</v>
      </c>
      <c r="G4" s="5">
        <v>1.0E7</v>
      </c>
      <c r="H4" s="15" t="s">
        <v>193</v>
      </c>
      <c r="I4" s="8"/>
      <c r="J4" s="17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4">
        <v>45879.0</v>
      </c>
      <c r="B5" s="9" t="s">
        <v>104</v>
      </c>
      <c r="C5" s="15" t="s">
        <v>196</v>
      </c>
      <c r="D5" s="16">
        <v>2.0E7</v>
      </c>
      <c r="E5" s="5">
        <v>1.0E7</v>
      </c>
      <c r="F5" s="5">
        <v>1.0E7</v>
      </c>
      <c r="G5" s="5">
        <v>1.0E7</v>
      </c>
      <c r="H5" s="15" t="s">
        <v>193</v>
      </c>
      <c r="I5" s="8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8">
        <v>45879.0</v>
      </c>
      <c r="B6" s="9" t="s">
        <v>92</v>
      </c>
      <c r="C6" s="19" t="s">
        <v>195</v>
      </c>
      <c r="D6" s="16">
        <v>5.0E7</v>
      </c>
      <c r="E6" s="5">
        <v>5.0E7</v>
      </c>
      <c r="F6" s="5">
        <v>4.736E7</v>
      </c>
      <c r="G6" s="5">
        <v>4.736E7</v>
      </c>
      <c r="H6" s="19" t="s">
        <v>193</v>
      </c>
      <c r="I6" s="13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8">
        <v>45879.0</v>
      </c>
      <c r="B7" s="9" t="s">
        <v>72</v>
      </c>
      <c r="C7" s="19" t="s">
        <v>195</v>
      </c>
      <c r="D7" s="16">
        <f t="shared" ref="D7:F7" si="1">31472000+128800</f>
        <v>31600800</v>
      </c>
      <c r="E7" s="5">
        <f t="shared" si="1"/>
        <v>31600800</v>
      </c>
      <c r="F7" s="5">
        <f t="shared" si="1"/>
        <v>31600800</v>
      </c>
      <c r="G7" s="5">
        <v>3.16008E7</v>
      </c>
      <c r="H7" s="19" t="s">
        <v>193</v>
      </c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8">
        <v>45879.0</v>
      </c>
      <c r="B8" s="9" t="s">
        <v>68</v>
      </c>
      <c r="C8" s="19" t="s">
        <v>195</v>
      </c>
      <c r="D8" s="16">
        <v>3992729.0</v>
      </c>
      <c r="E8" s="5">
        <v>1.5299947E7</v>
      </c>
      <c r="F8" s="5">
        <v>2811500.0</v>
      </c>
      <c r="G8" s="10"/>
      <c r="H8" s="19" t="s">
        <v>193</v>
      </c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8">
        <v>45879.0</v>
      </c>
      <c r="B9" s="9" t="s">
        <v>69</v>
      </c>
      <c r="C9" s="19" t="s">
        <v>195</v>
      </c>
      <c r="D9" s="16">
        <v>2.0E7</v>
      </c>
      <c r="E9" s="5">
        <v>4.0E7</v>
      </c>
      <c r="F9" s="5">
        <v>2.0E7</v>
      </c>
      <c r="G9" s="5">
        <v>1.0E7</v>
      </c>
      <c r="H9" s="19" t="s">
        <v>193</v>
      </c>
      <c r="I9" s="13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8">
        <v>45879.0</v>
      </c>
      <c r="B10" s="9" t="s">
        <v>197</v>
      </c>
      <c r="C10" s="19" t="s">
        <v>195</v>
      </c>
      <c r="D10" s="16">
        <v>1.0E7</v>
      </c>
      <c r="E10" s="5">
        <f>5972144+9199080</f>
        <v>15171224</v>
      </c>
      <c r="F10" s="5">
        <v>2.0E7</v>
      </c>
      <c r="G10" s="5">
        <v>1.0E7</v>
      </c>
      <c r="H10" s="19" t="s">
        <v>193</v>
      </c>
      <c r="I10" s="13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8">
        <v>45879.0</v>
      </c>
      <c r="B11" s="9" t="s">
        <v>132</v>
      </c>
      <c r="C11" s="19" t="s">
        <v>195</v>
      </c>
      <c r="D11" s="16">
        <v>2.0E7</v>
      </c>
      <c r="E11" s="5">
        <v>2.0E7</v>
      </c>
      <c r="F11" s="5">
        <v>1.0E7</v>
      </c>
      <c r="G11" s="5">
        <v>1.0E7</v>
      </c>
      <c r="H11" s="19" t="s">
        <v>193</v>
      </c>
      <c r="I11" s="13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8">
        <v>45880.0</v>
      </c>
      <c r="B12" s="9" t="s">
        <v>134</v>
      </c>
      <c r="C12" s="19" t="s">
        <v>195</v>
      </c>
      <c r="D12" s="16">
        <f>38640+9936000+9936000+9200000+10000000+1840000</f>
        <v>40950640</v>
      </c>
      <c r="E12" s="5">
        <f t="shared" ref="E12:G12" si="2">38640+40000000+1840000</f>
        <v>41878640</v>
      </c>
      <c r="F12" s="5">
        <f t="shared" si="2"/>
        <v>41878640</v>
      </c>
      <c r="G12" s="5">
        <f t="shared" si="2"/>
        <v>41878640</v>
      </c>
      <c r="H12" s="19" t="s">
        <v>193</v>
      </c>
      <c r="I12" s="13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8">
        <v>45883.0</v>
      </c>
      <c r="B13" s="9" t="s">
        <v>148</v>
      </c>
      <c r="C13" s="19" t="s">
        <v>195</v>
      </c>
      <c r="D13" s="16">
        <v>900000.0</v>
      </c>
      <c r="E13" s="5">
        <v>900000.0</v>
      </c>
      <c r="F13" s="5">
        <v>900000.0</v>
      </c>
      <c r="G13" s="5">
        <v>900000.0</v>
      </c>
      <c r="H13" s="19" t="s">
        <v>193</v>
      </c>
      <c r="I13" s="13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8">
        <v>45883.0</v>
      </c>
      <c r="B14" s="9" t="s">
        <v>22</v>
      </c>
      <c r="C14" s="19" t="s">
        <v>195</v>
      </c>
      <c r="D14" s="20"/>
      <c r="E14" s="5">
        <v>3.0E7</v>
      </c>
      <c r="F14" s="10"/>
      <c r="G14" s="10"/>
      <c r="H14" s="19" t="s">
        <v>193</v>
      </c>
      <c r="I14" s="13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8">
        <v>45884.0</v>
      </c>
      <c r="B15" s="9" t="s">
        <v>22</v>
      </c>
      <c r="C15" s="19" t="s">
        <v>195</v>
      </c>
      <c r="D15" s="20"/>
      <c r="E15" s="10"/>
      <c r="F15" s="5">
        <v>1.0E7</v>
      </c>
      <c r="G15" s="10"/>
      <c r="H15" s="19" t="s">
        <v>193</v>
      </c>
      <c r="I15" s="13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8">
        <v>45886.0</v>
      </c>
      <c r="B16" s="9" t="s">
        <v>38</v>
      </c>
      <c r="C16" s="19" t="s">
        <v>195</v>
      </c>
      <c r="D16" s="16">
        <v>5.0E7</v>
      </c>
      <c r="E16" s="5">
        <v>2.0E7</v>
      </c>
      <c r="F16" s="5">
        <v>2.0E7</v>
      </c>
      <c r="G16" s="5">
        <v>2.0E7</v>
      </c>
      <c r="H16" s="19" t="s">
        <v>193</v>
      </c>
      <c r="I16" s="13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8">
        <v>45886.0</v>
      </c>
      <c r="B17" s="9" t="s">
        <v>53</v>
      </c>
      <c r="C17" s="19" t="s">
        <v>195</v>
      </c>
      <c r="D17" s="16">
        <v>1.5E8</v>
      </c>
      <c r="E17" s="5">
        <v>8.0E7</v>
      </c>
      <c r="F17" s="5">
        <v>5.0E7</v>
      </c>
      <c r="G17" s="5">
        <v>2.0E7</v>
      </c>
      <c r="H17" s="19" t="s">
        <v>193</v>
      </c>
      <c r="I17" s="13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8">
        <v>45886.0</v>
      </c>
      <c r="B18" s="9" t="s">
        <v>15</v>
      </c>
      <c r="C18" s="19" t="s">
        <v>195</v>
      </c>
      <c r="D18" s="16">
        <v>2.0E7</v>
      </c>
      <c r="E18" s="5">
        <v>3.0E7</v>
      </c>
      <c r="F18" s="5">
        <v>1.0E7</v>
      </c>
      <c r="G18" s="5"/>
      <c r="H18" s="19" t="s">
        <v>193</v>
      </c>
      <c r="I18" s="13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8">
        <v>45886.0</v>
      </c>
      <c r="B19" s="9" t="s">
        <v>101</v>
      </c>
      <c r="C19" s="19" t="s">
        <v>198</v>
      </c>
      <c r="D19" s="16">
        <v>1.0E7</v>
      </c>
      <c r="E19" s="5">
        <v>4600000.0</v>
      </c>
      <c r="F19" s="5">
        <v>2300000.0</v>
      </c>
      <c r="G19" s="5">
        <v>2300000.0</v>
      </c>
      <c r="H19" s="19" t="s">
        <v>193</v>
      </c>
      <c r="I19" s="13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8">
        <v>45886.0</v>
      </c>
      <c r="B20" s="9" t="s">
        <v>72</v>
      </c>
      <c r="C20" s="19" t="s">
        <v>198</v>
      </c>
      <c r="D20" s="16">
        <v>2.0E7</v>
      </c>
      <c r="E20" s="5">
        <v>2.0E7</v>
      </c>
      <c r="F20" s="5">
        <v>2.0E7</v>
      </c>
      <c r="G20" s="5">
        <v>2.0E7</v>
      </c>
      <c r="H20" s="19" t="s">
        <v>193</v>
      </c>
      <c r="I20" s="13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8">
        <v>45886.0</v>
      </c>
      <c r="B21" s="9" t="s">
        <v>130</v>
      </c>
      <c r="C21" s="19" t="s">
        <v>198</v>
      </c>
      <c r="D21" s="16">
        <v>1.46E7</v>
      </c>
      <c r="E21" s="5">
        <v>1.46E7</v>
      </c>
      <c r="F21" s="5">
        <v>1.54E7</v>
      </c>
      <c r="G21" s="5">
        <v>1.46E7</v>
      </c>
      <c r="H21" s="19" t="s">
        <v>193</v>
      </c>
      <c r="I21" s="13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8">
        <v>45886.0</v>
      </c>
      <c r="B22" s="9" t="s">
        <v>46</v>
      </c>
      <c r="C22" s="19" t="s">
        <v>198</v>
      </c>
      <c r="D22" s="16">
        <v>1.46E7</v>
      </c>
      <c r="E22" s="5">
        <v>1.46E7</v>
      </c>
      <c r="F22" s="5">
        <v>1.46E7</v>
      </c>
      <c r="G22" s="5">
        <v>1.46E7</v>
      </c>
      <c r="H22" s="19" t="s">
        <v>193</v>
      </c>
      <c r="I22" s="13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8">
        <v>45887.0</v>
      </c>
      <c r="B23" s="9" t="s">
        <v>22</v>
      </c>
      <c r="C23" s="19" t="s">
        <v>198</v>
      </c>
      <c r="D23" s="16"/>
      <c r="E23" s="5">
        <v>3.0E7</v>
      </c>
      <c r="F23" s="5"/>
      <c r="G23" s="5"/>
      <c r="H23" s="19" t="s">
        <v>193</v>
      </c>
      <c r="I23" s="13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8">
        <v>45887.0</v>
      </c>
      <c r="B24" s="9" t="s">
        <v>82</v>
      </c>
      <c r="C24" s="19" t="s">
        <v>198</v>
      </c>
      <c r="D24" s="16">
        <v>1.0E7</v>
      </c>
      <c r="E24" s="5">
        <v>1.0E7</v>
      </c>
      <c r="F24" s="5">
        <v>6440000.0</v>
      </c>
      <c r="G24" s="5">
        <v>2760000.0</v>
      </c>
      <c r="H24" s="19" t="s">
        <v>193</v>
      </c>
      <c r="I24" s="13"/>
      <c r="J24" s="13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8">
        <v>45887.0</v>
      </c>
      <c r="B25" s="9" t="s">
        <v>141</v>
      </c>
      <c r="C25" s="19" t="s">
        <v>198</v>
      </c>
      <c r="D25" s="16"/>
      <c r="E25" s="5"/>
      <c r="F25" s="5"/>
      <c r="G25" s="5">
        <v>2.0E7</v>
      </c>
      <c r="H25" s="19" t="s">
        <v>193</v>
      </c>
      <c r="I25" s="13"/>
      <c r="J25" s="13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8">
        <v>45887.0</v>
      </c>
      <c r="B26" s="9" t="s">
        <v>79</v>
      </c>
      <c r="C26" s="19" t="s">
        <v>198</v>
      </c>
      <c r="D26" s="16"/>
      <c r="E26" s="5">
        <v>5.0E7</v>
      </c>
      <c r="F26" s="5">
        <v>1.0E7</v>
      </c>
      <c r="G26" s="5">
        <v>1.0E7</v>
      </c>
      <c r="H26" s="19" t="s">
        <v>193</v>
      </c>
      <c r="I26" s="13"/>
      <c r="J26" s="1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8">
        <v>45887.0</v>
      </c>
      <c r="B27" s="9" t="s">
        <v>96</v>
      </c>
      <c r="C27" s="19" t="s">
        <v>198</v>
      </c>
      <c r="D27" s="16"/>
      <c r="E27" s="5">
        <v>1.0E7</v>
      </c>
      <c r="F27" s="5">
        <v>1.0E7</v>
      </c>
      <c r="G27" s="5"/>
      <c r="H27" s="19" t="s">
        <v>193</v>
      </c>
      <c r="I27" s="13"/>
      <c r="J27" s="1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8">
        <v>45887.0</v>
      </c>
      <c r="B28" s="9" t="s">
        <v>39</v>
      </c>
      <c r="C28" s="19" t="s">
        <v>198</v>
      </c>
      <c r="D28" s="16"/>
      <c r="E28" s="5">
        <v>1.0E7</v>
      </c>
      <c r="F28" s="5"/>
      <c r="G28" s="5"/>
      <c r="H28" s="19" t="s">
        <v>193</v>
      </c>
      <c r="I28" s="13"/>
      <c r="J28" s="13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8">
        <v>45887.0</v>
      </c>
      <c r="B29" s="9" t="s">
        <v>86</v>
      </c>
      <c r="C29" s="19" t="s">
        <v>198</v>
      </c>
      <c r="D29" s="16">
        <v>2.0E7</v>
      </c>
      <c r="E29" s="5">
        <v>2.0E7</v>
      </c>
      <c r="F29" s="5">
        <v>2.0E7</v>
      </c>
      <c r="G29" s="5">
        <v>2.0E7</v>
      </c>
      <c r="H29" s="19" t="s">
        <v>193</v>
      </c>
      <c r="I29" s="13"/>
      <c r="J29" s="1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8">
        <v>45887.0</v>
      </c>
      <c r="B30" s="9" t="s">
        <v>17</v>
      </c>
      <c r="C30" s="19" t="s">
        <v>198</v>
      </c>
      <c r="D30" s="16">
        <v>5200000.0</v>
      </c>
      <c r="E30" s="5">
        <v>5200000.0</v>
      </c>
      <c r="F30" s="5">
        <v>5200000.0</v>
      </c>
      <c r="G30" s="5">
        <v>5200000.0</v>
      </c>
      <c r="H30" s="19" t="s">
        <v>193</v>
      </c>
      <c r="I30" s="13"/>
      <c r="J30" s="1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8">
        <v>45887.0</v>
      </c>
      <c r="B31" s="9" t="s">
        <v>119</v>
      </c>
      <c r="C31" s="19" t="s">
        <v>198</v>
      </c>
      <c r="D31" s="16"/>
      <c r="E31" s="5"/>
      <c r="F31" s="5"/>
      <c r="G31" s="5">
        <v>2.0E7</v>
      </c>
      <c r="H31" s="19" t="s">
        <v>193</v>
      </c>
      <c r="I31" s="13"/>
      <c r="J31" s="13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8">
        <v>45887.0</v>
      </c>
      <c r="B32" s="9" t="s">
        <v>29</v>
      </c>
      <c r="C32" s="19" t="s">
        <v>198</v>
      </c>
      <c r="D32" s="16"/>
      <c r="E32" s="5"/>
      <c r="F32" s="5">
        <v>2.0E7</v>
      </c>
      <c r="G32" s="5"/>
      <c r="H32" s="19" t="s">
        <v>193</v>
      </c>
      <c r="I32" s="13"/>
      <c r="J32" s="1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8">
        <v>45887.0</v>
      </c>
      <c r="B33" s="9" t="s">
        <v>137</v>
      </c>
      <c r="C33" s="19" t="s">
        <v>198</v>
      </c>
      <c r="D33" s="16">
        <v>2.0E7</v>
      </c>
      <c r="E33" s="5">
        <v>2.0E7</v>
      </c>
      <c r="F33" s="5">
        <v>2.0E7</v>
      </c>
      <c r="G33" s="5">
        <v>2.0E7</v>
      </c>
      <c r="H33" s="19" t="s">
        <v>193</v>
      </c>
      <c r="I33" s="13"/>
      <c r="J33" s="1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8">
        <v>45887.0</v>
      </c>
      <c r="B34" s="9" t="s">
        <v>159</v>
      </c>
      <c r="C34" s="19" t="s">
        <v>198</v>
      </c>
      <c r="D34" s="16"/>
      <c r="E34" s="5">
        <v>7.35E7</v>
      </c>
      <c r="F34" s="5"/>
      <c r="G34" s="5"/>
      <c r="H34" s="19" t="s">
        <v>193</v>
      </c>
      <c r="I34" s="13"/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8">
        <v>45887.0</v>
      </c>
      <c r="B35" s="9" t="s">
        <v>142</v>
      </c>
      <c r="C35" s="19" t="s">
        <v>198</v>
      </c>
      <c r="D35" s="16">
        <v>8000000.0</v>
      </c>
      <c r="E35" s="5">
        <v>4000000.0</v>
      </c>
      <c r="F35" s="5">
        <v>4000000.0</v>
      </c>
      <c r="G35" s="5">
        <v>4000000.0</v>
      </c>
      <c r="H35" s="19" t="s">
        <v>193</v>
      </c>
      <c r="I35" s="13"/>
      <c r="J35" s="1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8">
        <v>45887.0</v>
      </c>
      <c r="B36" s="9" t="s">
        <v>25</v>
      </c>
      <c r="C36" s="19" t="s">
        <v>198</v>
      </c>
      <c r="D36" s="16">
        <v>1.0E7</v>
      </c>
      <c r="E36" s="5">
        <v>1.0E7</v>
      </c>
      <c r="F36" s="5"/>
      <c r="G36" s="5"/>
      <c r="H36" s="19" t="s">
        <v>193</v>
      </c>
      <c r="I36" s="13"/>
      <c r="J36" s="13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8">
        <v>45887.0</v>
      </c>
      <c r="B37" s="9" t="s">
        <v>27</v>
      </c>
      <c r="C37" s="19" t="s">
        <v>198</v>
      </c>
      <c r="D37" s="16">
        <v>4600000.0</v>
      </c>
      <c r="E37" s="5">
        <v>4600000.0</v>
      </c>
      <c r="F37" s="5">
        <v>4600000.0</v>
      </c>
      <c r="G37" s="5">
        <v>4600000.0</v>
      </c>
      <c r="H37" s="19" t="s">
        <v>193</v>
      </c>
      <c r="I37" s="13"/>
      <c r="J37" s="1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8">
        <v>45887.0</v>
      </c>
      <c r="B38" s="9" t="s">
        <v>71</v>
      </c>
      <c r="C38" s="19" t="s">
        <v>198</v>
      </c>
      <c r="D38" s="16">
        <v>4600000.0</v>
      </c>
      <c r="E38" s="5">
        <v>5400000.0</v>
      </c>
      <c r="F38" s="5">
        <v>5400000.0</v>
      </c>
      <c r="G38" s="5">
        <v>4600000.0</v>
      </c>
      <c r="H38" s="19" t="s">
        <v>193</v>
      </c>
      <c r="I38" s="13"/>
      <c r="J38" s="1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8">
        <v>45887.0</v>
      </c>
      <c r="B39" s="9" t="s">
        <v>74</v>
      </c>
      <c r="C39" s="19" t="s">
        <v>198</v>
      </c>
      <c r="D39" s="16">
        <v>4600000.0</v>
      </c>
      <c r="E39" s="5">
        <v>9200000.0</v>
      </c>
      <c r="F39" s="5">
        <v>4600000.0</v>
      </c>
      <c r="G39" s="5">
        <v>4600000.0</v>
      </c>
      <c r="H39" s="19" t="s">
        <v>193</v>
      </c>
      <c r="I39" s="13"/>
      <c r="J39" s="1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8">
        <v>45887.0</v>
      </c>
      <c r="B40" s="8" t="s">
        <v>50</v>
      </c>
      <c r="C40" s="19" t="s">
        <v>198</v>
      </c>
      <c r="D40" s="16">
        <v>2.0E7</v>
      </c>
      <c r="E40" s="5"/>
      <c r="F40" s="5">
        <v>2.0E7</v>
      </c>
      <c r="G40" s="5">
        <v>2.0E7</v>
      </c>
      <c r="H40" s="19" t="s">
        <v>193</v>
      </c>
      <c r="I40" s="13"/>
      <c r="J40" s="1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8">
        <v>45887.0</v>
      </c>
      <c r="B41" s="9" t="s">
        <v>87</v>
      </c>
      <c r="C41" s="19" t="s">
        <v>198</v>
      </c>
      <c r="D41" s="16">
        <v>5152000.0</v>
      </c>
      <c r="E41" s="5">
        <v>1.0E7</v>
      </c>
      <c r="F41" s="5">
        <v>5060000.0</v>
      </c>
      <c r="G41" s="5"/>
      <c r="H41" s="19" t="s">
        <v>193</v>
      </c>
      <c r="I41" s="13"/>
      <c r="J41" s="13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8">
        <v>45887.0</v>
      </c>
      <c r="B42" s="9" t="s">
        <v>99</v>
      </c>
      <c r="C42" s="19" t="s">
        <v>198</v>
      </c>
      <c r="D42" s="16">
        <v>1.0E7</v>
      </c>
      <c r="E42" s="5">
        <v>1.0E7</v>
      </c>
      <c r="F42" s="5"/>
      <c r="G42" s="5"/>
      <c r="H42" s="19" t="s">
        <v>193</v>
      </c>
      <c r="I42" s="13"/>
      <c r="J42" s="13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8">
        <v>45887.0</v>
      </c>
      <c r="B43" s="9" t="s">
        <v>120</v>
      </c>
      <c r="C43" s="19" t="s">
        <v>198</v>
      </c>
      <c r="D43" s="16">
        <v>1.0E7</v>
      </c>
      <c r="E43" s="5">
        <v>1.0E7</v>
      </c>
      <c r="F43" s="5"/>
      <c r="G43" s="5"/>
      <c r="H43" s="19" t="s">
        <v>193</v>
      </c>
      <c r="I43" s="13"/>
      <c r="J43" s="13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8">
        <v>45887.0</v>
      </c>
      <c r="B44" s="9" t="s">
        <v>92</v>
      </c>
      <c r="C44" s="19" t="s">
        <v>198</v>
      </c>
      <c r="D44" s="16">
        <v>4600000.0</v>
      </c>
      <c r="E44" s="5">
        <v>6900000.0</v>
      </c>
      <c r="F44" s="5">
        <v>4600000.0</v>
      </c>
      <c r="G44" s="5">
        <v>2300000.0</v>
      </c>
      <c r="H44" s="19" t="s">
        <v>193</v>
      </c>
      <c r="I44" s="13"/>
      <c r="J44" s="1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8">
        <v>45887.0</v>
      </c>
      <c r="B45" s="9" t="s">
        <v>63</v>
      </c>
      <c r="C45" s="19" t="s">
        <v>198</v>
      </c>
      <c r="D45" s="16">
        <v>1.0E7</v>
      </c>
      <c r="E45" s="5">
        <v>1.0E7</v>
      </c>
      <c r="F45" s="5"/>
      <c r="G45" s="5"/>
      <c r="H45" s="19" t="s">
        <v>193</v>
      </c>
      <c r="I45" s="13"/>
      <c r="J45" s="13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8">
        <v>45887.0</v>
      </c>
      <c r="B46" s="9" t="s">
        <v>154</v>
      </c>
      <c r="C46" s="19" t="s">
        <v>198</v>
      </c>
      <c r="D46" s="16"/>
      <c r="E46" s="5">
        <v>2.0E7</v>
      </c>
      <c r="F46" s="5"/>
      <c r="G46" s="5"/>
      <c r="H46" s="19" t="s">
        <v>193</v>
      </c>
      <c r="I46" s="13"/>
      <c r="J46" s="1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8">
        <v>45887.0</v>
      </c>
      <c r="B47" s="9" t="s">
        <v>121</v>
      </c>
      <c r="C47" s="19" t="s">
        <v>198</v>
      </c>
      <c r="D47" s="16">
        <v>1.0E7</v>
      </c>
      <c r="E47" s="5">
        <v>1.0E7</v>
      </c>
      <c r="F47" s="5">
        <v>1.0E7</v>
      </c>
      <c r="G47" s="5">
        <v>1.0E7</v>
      </c>
      <c r="H47" s="19" t="s">
        <v>193</v>
      </c>
      <c r="I47" s="13"/>
      <c r="J47" s="13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8">
        <v>45887.0</v>
      </c>
      <c r="B48" s="9" t="s">
        <v>43</v>
      </c>
      <c r="C48" s="19" t="s">
        <v>198</v>
      </c>
      <c r="D48" s="16">
        <v>5980000.0</v>
      </c>
      <c r="E48" s="5">
        <v>5980000.0</v>
      </c>
      <c r="F48" s="5">
        <v>4600000.0</v>
      </c>
      <c r="G48" s="5">
        <v>3864000.0</v>
      </c>
      <c r="H48" s="19" t="s">
        <v>193</v>
      </c>
      <c r="I48" s="13"/>
      <c r="J48" s="1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8">
        <v>45887.0</v>
      </c>
      <c r="B49" s="9" t="s">
        <v>160</v>
      </c>
      <c r="C49" s="19" t="s">
        <v>199</v>
      </c>
      <c r="D49" s="16">
        <v>1.3E8</v>
      </c>
      <c r="E49" s="5">
        <v>1.1E8</v>
      </c>
      <c r="F49" s="5">
        <v>7.7473331E7</v>
      </c>
      <c r="G49" s="5">
        <v>8.0E7</v>
      </c>
      <c r="H49" s="19" t="s">
        <v>193</v>
      </c>
      <c r="I49" s="13"/>
      <c r="J49" s="13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8">
        <v>45887.0</v>
      </c>
      <c r="B50" s="9" t="s">
        <v>68</v>
      </c>
      <c r="C50" s="19" t="s">
        <v>198</v>
      </c>
      <c r="D50" s="16">
        <v>1.0E7</v>
      </c>
      <c r="E50" s="5">
        <v>1.0E7</v>
      </c>
      <c r="F50" s="5"/>
      <c r="G50" s="5"/>
      <c r="H50" s="19" t="s">
        <v>193</v>
      </c>
      <c r="I50" s="13"/>
      <c r="J50" s="13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8">
        <v>45887.0</v>
      </c>
      <c r="B51" s="9" t="s">
        <v>28</v>
      </c>
      <c r="C51" s="19" t="s">
        <v>198</v>
      </c>
      <c r="D51" s="20"/>
      <c r="E51" s="10"/>
      <c r="F51" s="5">
        <v>2.0E7</v>
      </c>
      <c r="G51" s="10"/>
      <c r="H51" s="19" t="s">
        <v>193</v>
      </c>
      <c r="I51" s="13"/>
      <c r="J51" s="13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8">
        <v>45887.0</v>
      </c>
      <c r="B52" s="9" t="s">
        <v>108</v>
      </c>
      <c r="C52" s="19" t="s">
        <v>198</v>
      </c>
      <c r="D52" s="20"/>
      <c r="E52" s="10"/>
      <c r="F52" s="10"/>
      <c r="G52" s="5">
        <v>1.4E8</v>
      </c>
      <c r="H52" s="19" t="s">
        <v>193</v>
      </c>
      <c r="I52" s="13"/>
      <c r="J52" s="13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8">
        <v>45887.0</v>
      </c>
      <c r="B53" s="9" t="s">
        <v>156</v>
      </c>
      <c r="C53" s="19" t="s">
        <v>198</v>
      </c>
      <c r="D53" s="20"/>
      <c r="E53" s="10"/>
      <c r="F53" s="10"/>
      <c r="G53" s="5">
        <v>3.6E7</v>
      </c>
      <c r="H53" s="19" t="s">
        <v>193</v>
      </c>
      <c r="I53" s="13"/>
      <c r="J53" s="13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8">
        <v>45887.0</v>
      </c>
      <c r="B54" s="9" t="s">
        <v>94</v>
      </c>
      <c r="C54" s="19" t="s">
        <v>198</v>
      </c>
      <c r="D54" s="20"/>
      <c r="E54" s="10"/>
      <c r="F54" s="5">
        <v>2.0E7</v>
      </c>
      <c r="G54" s="10"/>
      <c r="H54" s="19" t="s">
        <v>193</v>
      </c>
      <c r="I54" s="13"/>
      <c r="J54" s="13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8">
        <v>45888.0</v>
      </c>
      <c r="B55" s="9" t="s">
        <v>75</v>
      </c>
      <c r="C55" s="19" t="s">
        <v>198</v>
      </c>
      <c r="D55" s="16">
        <v>5060000.0</v>
      </c>
      <c r="E55" s="5">
        <v>5060000.0</v>
      </c>
      <c r="F55" s="5">
        <v>5060000.0</v>
      </c>
      <c r="G55" s="5">
        <v>5060000.0</v>
      </c>
      <c r="H55" s="19" t="s">
        <v>193</v>
      </c>
      <c r="I55" s="13"/>
      <c r="J55" s="13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8">
        <v>45888.0</v>
      </c>
      <c r="B56" s="9" t="s">
        <v>133</v>
      </c>
      <c r="C56" s="19" t="s">
        <v>198</v>
      </c>
      <c r="D56" s="16">
        <v>9200000.0</v>
      </c>
      <c r="E56" s="5">
        <v>9200000.0</v>
      </c>
      <c r="F56" s="10"/>
      <c r="G56" s="10"/>
      <c r="H56" s="19" t="s">
        <v>193</v>
      </c>
      <c r="I56" s="13"/>
      <c r="J56" s="13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8">
        <v>45888.0</v>
      </c>
      <c r="B57" s="9" t="s">
        <v>66</v>
      </c>
      <c r="C57" s="19" t="s">
        <v>198</v>
      </c>
      <c r="D57" s="16">
        <v>2.1E7</v>
      </c>
      <c r="E57" s="5">
        <v>2.1E7</v>
      </c>
      <c r="F57" s="5">
        <v>2.1E7</v>
      </c>
      <c r="G57" s="5"/>
      <c r="H57" s="19" t="s">
        <v>193</v>
      </c>
      <c r="I57" s="13"/>
      <c r="J57" s="13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8">
        <v>45888.0</v>
      </c>
      <c r="B58" s="9" t="s">
        <v>59</v>
      </c>
      <c r="C58" s="19" t="s">
        <v>198</v>
      </c>
      <c r="D58" s="20"/>
      <c r="E58" s="5">
        <v>2.0E7</v>
      </c>
      <c r="F58" s="10"/>
      <c r="G58" s="10"/>
      <c r="H58" s="19" t="s">
        <v>193</v>
      </c>
      <c r="I58" s="13"/>
      <c r="J58" s="13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8">
        <v>45888.0</v>
      </c>
      <c r="B59" s="9" t="s">
        <v>33</v>
      </c>
      <c r="C59" s="19" t="s">
        <v>198</v>
      </c>
      <c r="D59" s="16">
        <v>5000000.0</v>
      </c>
      <c r="E59" s="5">
        <v>4999999.0</v>
      </c>
      <c r="F59" s="5">
        <v>4999999.0</v>
      </c>
      <c r="G59" s="5">
        <v>5000000.0</v>
      </c>
      <c r="H59" s="19" t="s">
        <v>193</v>
      </c>
      <c r="I59" s="13"/>
      <c r="J59" s="1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8">
        <v>45888.0</v>
      </c>
      <c r="B60" s="9" t="s">
        <v>161</v>
      </c>
      <c r="C60" s="19" t="s">
        <v>198</v>
      </c>
      <c r="D60" s="16">
        <v>5004800.0</v>
      </c>
      <c r="E60" s="5">
        <v>5004800.0</v>
      </c>
      <c r="F60" s="5">
        <v>5004800.0</v>
      </c>
      <c r="G60" s="5">
        <v>5004800.0</v>
      </c>
      <c r="H60" s="19" t="s">
        <v>193</v>
      </c>
      <c r="I60" s="13"/>
      <c r="J60" s="13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8">
        <v>45888.0</v>
      </c>
      <c r="B61" s="9" t="s">
        <v>43</v>
      </c>
      <c r="C61" s="19" t="s">
        <v>198</v>
      </c>
      <c r="D61" s="16">
        <v>2.0E7</v>
      </c>
      <c r="E61" s="5">
        <v>2.0E7</v>
      </c>
      <c r="F61" s="5">
        <v>1.2E7</v>
      </c>
      <c r="G61" s="5">
        <v>8000000.0</v>
      </c>
      <c r="H61" s="19" t="s">
        <v>193</v>
      </c>
      <c r="I61" s="13"/>
      <c r="J61" s="1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8">
        <v>45888.0</v>
      </c>
      <c r="B62" s="9" t="s">
        <v>100</v>
      </c>
      <c r="C62" s="19" t="s">
        <v>198</v>
      </c>
      <c r="D62" s="16">
        <v>4968000.0</v>
      </c>
      <c r="E62" s="5">
        <v>4968000.0</v>
      </c>
      <c r="F62" s="5">
        <v>4968000.0</v>
      </c>
      <c r="G62" s="5">
        <v>4968000.0</v>
      </c>
      <c r="H62" s="19" t="s">
        <v>193</v>
      </c>
      <c r="I62" s="13"/>
      <c r="J62" s="13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8">
        <v>45888.0</v>
      </c>
      <c r="B63" s="9" t="s">
        <v>68</v>
      </c>
      <c r="C63" s="19" t="s">
        <v>198</v>
      </c>
      <c r="D63" s="16">
        <v>1.0E7</v>
      </c>
      <c r="E63" s="5">
        <v>1.0E7</v>
      </c>
      <c r="F63" s="10"/>
      <c r="G63" s="10"/>
      <c r="H63" s="19" t="s">
        <v>193</v>
      </c>
      <c r="I63" s="13"/>
      <c r="J63" s="13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8">
        <v>45888.0</v>
      </c>
      <c r="B64" s="9" t="s">
        <v>146</v>
      </c>
      <c r="C64" s="19" t="s">
        <v>198</v>
      </c>
      <c r="D64" s="16">
        <v>2.0E7</v>
      </c>
      <c r="E64" s="5">
        <v>2.0E7</v>
      </c>
      <c r="F64" s="5">
        <v>2.0E7</v>
      </c>
      <c r="G64" s="5">
        <v>2.0E7</v>
      </c>
      <c r="H64" s="19" t="s">
        <v>193</v>
      </c>
      <c r="I64" s="13"/>
      <c r="J64" s="13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8">
        <v>45888.0</v>
      </c>
      <c r="B65" s="9" t="s">
        <v>54</v>
      </c>
      <c r="C65" s="19" t="s">
        <v>198</v>
      </c>
      <c r="D65" s="16">
        <v>2.0E7</v>
      </c>
      <c r="E65" s="10"/>
      <c r="F65" s="10"/>
      <c r="G65" s="10"/>
      <c r="H65" s="19" t="s">
        <v>193</v>
      </c>
      <c r="I65" s="13"/>
      <c r="J65" s="13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8">
        <v>45888.0</v>
      </c>
      <c r="B66" s="9" t="s">
        <v>132</v>
      </c>
      <c r="C66" s="19" t="s">
        <v>198</v>
      </c>
      <c r="D66" s="16">
        <v>1.0E7</v>
      </c>
      <c r="E66" s="5">
        <v>1.0E7</v>
      </c>
      <c r="F66" s="5">
        <v>1.0E7</v>
      </c>
      <c r="G66" s="10"/>
      <c r="H66" s="19" t="s">
        <v>193</v>
      </c>
      <c r="I66" s="13"/>
      <c r="J66" s="13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>
        <v>45889.0</v>
      </c>
      <c r="B67" s="9" t="s">
        <v>128</v>
      </c>
      <c r="C67" s="19" t="s">
        <v>198</v>
      </c>
      <c r="D67" s="20"/>
      <c r="E67" s="5">
        <v>2.0E7</v>
      </c>
      <c r="F67" s="10"/>
      <c r="G67" s="10"/>
      <c r="H67" s="19" t="s">
        <v>193</v>
      </c>
      <c r="I67" s="13"/>
      <c r="J67" s="13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>
        <v>45889.0</v>
      </c>
      <c r="B68" s="9" t="s">
        <v>89</v>
      </c>
      <c r="C68" s="19" t="s">
        <v>198</v>
      </c>
      <c r="D68" s="20"/>
      <c r="E68" s="5">
        <v>1.0E7</v>
      </c>
      <c r="F68" s="5">
        <v>1.0E7</v>
      </c>
      <c r="G68" s="10"/>
      <c r="H68" s="19" t="s">
        <v>193</v>
      </c>
      <c r="I68" s="13"/>
      <c r="J68" s="13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>
        <v>45889.0</v>
      </c>
      <c r="B69" s="9" t="s">
        <v>43</v>
      </c>
      <c r="C69" s="19" t="s">
        <v>198</v>
      </c>
      <c r="D69" s="16">
        <v>2.0E7</v>
      </c>
      <c r="E69" s="5">
        <v>2.0E7</v>
      </c>
      <c r="F69" s="5">
        <v>1.2E7</v>
      </c>
      <c r="G69" s="5">
        <v>8000000.0</v>
      </c>
      <c r="H69" s="19" t="s">
        <v>193</v>
      </c>
      <c r="I69" s="13"/>
      <c r="J69" s="13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>
        <v>45889.0</v>
      </c>
      <c r="B70" s="9" t="s">
        <v>197</v>
      </c>
      <c r="C70" s="19" t="s">
        <v>198</v>
      </c>
      <c r="D70" s="16">
        <v>1.0E7</v>
      </c>
      <c r="E70" s="5">
        <v>1.0E7</v>
      </c>
      <c r="F70" s="5">
        <v>3.0E7</v>
      </c>
      <c r="G70" s="10"/>
      <c r="H70" s="19" t="s">
        <v>193</v>
      </c>
      <c r="I70" s="13"/>
      <c r="J70" s="13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>
        <v>45889.0</v>
      </c>
      <c r="B71" s="9" t="s">
        <v>162</v>
      </c>
      <c r="C71" s="19" t="s">
        <v>198</v>
      </c>
      <c r="D71" s="16">
        <v>4600000.0</v>
      </c>
      <c r="E71" s="5">
        <v>4600000.0</v>
      </c>
      <c r="F71" s="5">
        <v>4600000.0</v>
      </c>
      <c r="G71" s="5">
        <v>4600000.0</v>
      </c>
      <c r="H71" s="19" t="s">
        <v>193</v>
      </c>
      <c r="I71" s="13"/>
      <c r="J71" s="13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>
        <v>45889.0</v>
      </c>
      <c r="B72" s="9" t="s">
        <v>143</v>
      </c>
      <c r="C72" s="19" t="s">
        <v>198</v>
      </c>
      <c r="D72" s="16">
        <v>1.0E7</v>
      </c>
      <c r="E72" s="5">
        <v>1.0E7</v>
      </c>
      <c r="F72" s="10"/>
      <c r="G72" s="10"/>
      <c r="H72" s="19" t="s">
        <v>193</v>
      </c>
      <c r="I72" s="13"/>
      <c r="J72" s="13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>
        <v>45890.0</v>
      </c>
      <c r="B73" s="9" t="s">
        <v>81</v>
      </c>
      <c r="C73" s="19" t="s">
        <v>198</v>
      </c>
      <c r="D73" s="16">
        <v>6000000.0</v>
      </c>
      <c r="E73" s="5">
        <v>6000000.0</v>
      </c>
      <c r="F73" s="5">
        <v>6000000.0</v>
      </c>
      <c r="G73" s="5">
        <v>6000000.0</v>
      </c>
      <c r="H73" s="19" t="s">
        <v>193</v>
      </c>
      <c r="I73" s="13"/>
      <c r="J73" s="13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8">
        <v>45890.0</v>
      </c>
      <c r="B74" s="9" t="s">
        <v>60</v>
      </c>
      <c r="C74" s="19" t="s">
        <v>198</v>
      </c>
      <c r="D74" s="16">
        <v>2.0E7</v>
      </c>
      <c r="E74" s="10"/>
      <c r="F74" s="10"/>
      <c r="G74" s="10"/>
      <c r="H74" s="19" t="s">
        <v>193</v>
      </c>
      <c r="I74" s="13"/>
      <c r="J74" s="13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8">
        <v>45890.0</v>
      </c>
      <c r="B75" s="9" t="s">
        <v>163</v>
      </c>
      <c r="C75" s="19" t="s">
        <v>198</v>
      </c>
      <c r="D75" s="16">
        <v>4.0E7</v>
      </c>
      <c r="E75" s="5">
        <v>9.0E7</v>
      </c>
      <c r="F75" s="5"/>
      <c r="G75" s="5">
        <v>1.3E8</v>
      </c>
      <c r="H75" s="19" t="s">
        <v>193</v>
      </c>
      <c r="I75" s="13"/>
      <c r="J75" s="13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8">
        <v>45890.0</v>
      </c>
      <c r="B76" s="9" t="s">
        <v>84</v>
      </c>
      <c r="C76" s="19" t="s">
        <v>198</v>
      </c>
      <c r="D76" s="20"/>
      <c r="E76" s="5">
        <v>1.0E7</v>
      </c>
      <c r="F76" s="5">
        <v>1.0E7</v>
      </c>
      <c r="G76" s="10"/>
      <c r="H76" s="19" t="s">
        <v>193</v>
      </c>
      <c r="I76" s="13"/>
      <c r="J76" s="13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8">
        <v>45890.0</v>
      </c>
      <c r="B77" s="9" t="s">
        <v>88</v>
      </c>
      <c r="C77" s="19" t="s">
        <v>198</v>
      </c>
      <c r="D77" s="20"/>
      <c r="E77" s="5">
        <v>2.0E7</v>
      </c>
      <c r="F77" s="10"/>
      <c r="G77" s="10"/>
      <c r="H77" s="19" t="s">
        <v>193</v>
      </c>
      <c r="I77" s="13"/>
      <c r="J77" s="1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8">
        <v>45890.0</v>
      </c>
      <c r="B78" s="9" t="s">
        <v>47</v>
      </c>
      <c r="C78" s="19" t="s">
        <v>198</v>
      </c>
      <c r="D78" s="20"/>
      <c r="E78" s="10"/>
      <c r="F78" s="5">
        <v>2.0E7</v>
      </c>
      <c r="G78" s="10"/>
      <c r="H78" s="19" t="s">
        <v>193</v>
      </c>
      <c r="I78" s="13"/>
      <c r="J78" s="13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8">
        <v>45890.0</v>
      </c>
      <c r="B79" s="9" t="s">
        <v>61</v>
      </c>
      <c r="C79" s="19" t="s">
        <v>198</v>
      </c>
      <c r="D79" s="20"/>
      <c r="E79" s="10"/>
      <c r="F79" s="5">
        <v>2.0E7</v>
      </c>
      <c r="G79" s="10"/>
      <c r="H79" s="19" t="s">
        <v>193</v>
      </c>
      <c r="I79" s="13"/>
      <c r="J79" s="13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8">
        <v>45890.0</v>
      </c>
      <c r="B80" s="9" t="s">
        <v>69</v>
      </c>
      <c r="C80" s="19" t="s">
        <v>198</v>
      </c>
      <c r="D80" s="20"/>
      <c r="E80" s="5">
        <v>1.0E8</v>
      </c>
      <c r="F80" s="10"/>
      <c r="G80" s="10"/>
      <c r="H80" s="19" t="s">
        <v>193</v>
      </c>
      <c r="I80" s="13"/>
      <c r="J80" s="13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8">
        <v>45890.0</v>
      </c>
      <c r="B81" s="9" t="s">
        <v>116</v>
      </c>
      <c r="C81" s="19" t="s">
        <v>198</v>
      </c>
      <c r="D81" s="16">
        <v>4600000.0</v>
      </c>
      <c r="E81" s="5">
        <v>4600000.0</v>
      </c>
      <c r="F81" s="5">
        <v>4600000.0</v>
      </c>
      <c r="G81" s="5">
        <v>4600000.0</v>
      </c>
      <c r="H81" s="19" t="s">
        <v>193</v>
      </c>
      <c r="I81" s="13"/>
      <c r="J81" s="13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8">
        <v>45890.0</v>
      </c>
      <c r="B82" s="9" t="s">
        <v>156</v>
      </c>
      <c r="C82" s="19" t="s">
        <v>196</v>
      </c>
      <c r="D82" s="20"/>
      <c r="E82" s="10"/>
      <c r="F82" s="5">
        <v>4000000.0</v>
      </c>
      <c r="G82" s="5">
        <v>4000000.0</v>
      </c>
      <c r="H82" s="19" t="s">
        <v>193</v>
      </c>
      <c r="I82" s="13"/>
      <c r="J82" s="13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8">
        <v>45891.0</v>
      </c>
      <c r="B83" s="9" t="s">
        <v>150</v>
      </c>
      <c r="C83" s="19" t="s">
        <v>198</v>
      </c>
      <c r="D83" s="16">
        <v>1.0E7</v>
      </c>
      <c r="E83" s="5">
        <v>4570181.0</v>
      </c>
      <c r="F83" s="5">
        <v>1.0E7</v>
      </c>
      <c r="G83" s="5">
        <v>5855408.0</v>
      </c>
      <c r="H83" s="19" t="s">
        <v>193</v>
      </c>
      <c r="I83" s="13"/>
      <c r="J83" s="13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8">
        <v>45891.0</v>
      </c>
      <c r="B84" s="9" t="s">
        <v>97</v>
      </c>
      <c r="C84" s="19" t="s">
        <v>198</v>
      </c>
      <c r="D84" s="16">
        <v>2.0E7</v>
      </c>
      <c r="E84" s="5">
        <v>2.0E7</v>
      </c>
      <c r="F84" s="5">
        <v>2.0E7</v>
      </c>
      <c r="G84" s="5">
        <v>2.0E7</v>
      </c>
      <c r="H84" s="19" t="s">
        <v>193</v>
      </c>
      <c r="I84" s="13"/>
      <c r="J84" s="13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8">
        <v>45891.0</v>
      </c>
      <c r="B85" s="9" t="s">
        <v>129</v>
      </c>
      <c r="C85" s="19" t="s">
        <v>198</v>
      </c>
      <c r="D85" s="20"/>
      <c r="E85" s="10"/>
      <c r="F85" s="5">
        <v>9200000.0</v>
      </c>
      <c r="G85" s="5">
        <v>9200000.0</v>
      </c>
      <c r="H85" s="19" t="s">
        <v>193</v>
      </c>
      <c r="I85" s="13"/>
      <c r="J85" s="13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8">
        <v>45891.0</v>
      </c>
      <c r="B86" s="9" t="s">
        <v>51</v>
      </c>
      <c r="C86" s="19" t="s">
        <v>198</v>
      </c>
      <c r="D86" s="16">
        <v>2.0E7</v>
      </c>
      <c r="E86" s="5">
        <v>4.0E7</v>
      </c>
      <c r="F86" s="5">
        <v>2.0E7</v>
      </c>
      <c r="G86" s="5">
        <v>2.0E7</v>
      </c>
      <c r="H86" s="19" t="s">
        <v>193</v>
      </c>
      <c r="I86" s="13"/>
      <c r="J86" s="13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8">
        <v>45891.0</v>
      </c>
      <c r="B87" s="9" t="s">
        <v>164</v>
      </c>
      <c r="C87" s="19" t="s">
        <v>196</v>
      </c>
      <c r="D87" s="20"/>
      <c r="E87" s="5">
        <v>3.0E7</v>
      </c>
      <c r="F87" s="10"/>
      <c r="G87" s="10"/>
      <c r="H87" s="19" t="s">
        <v>193</v>
      </c>
      <c r="I87" s="13"/>
      <c r="J87" s="13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8">
        <v>45891.0</v>
      </c>
      <c r="B88" s="9" t="s">
        <v>136</v>
      </c>
      <c r="C88" s="19" t="s">
        <v>198</v>
      </c>
      <c r="D88" s="16">
        <v>5101017.0</v>
      </c>
      <c r="E88" s="5">
        <v>3025770.0</v>
      </c>
      <c r="F88" s="5">
        <v>1.0E7</v>
      </c>
      <c r="G88" s="5">
        <v>5734651.0</v>
      </c>
      <c r="H88" s="19" t="s">
        <v>193</v>
      </c>
      <c r="I88" s="13"/>
      <c r="J88" s="13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8">
        <v>45892.0</v>
      </c>
      <c r="B89" s="9" t="s">
        <v>47</v>
      </c>
      <c r="C89" s="19" t="s">
        <v>195</v>
      </c>
      <c r="D89" s="16">
        <v>1.0E7</v>
      </c>
      <c r="E89" s="5">
        <v>1.0E7</v>
      </c>
      <c r="F89" s="5">
        <v>1.0E7</v>
      </c>
      <c r="G89" s="5">
        <v>1.0E7</v>
      </c>
      <c r="H89" s="19" t="s">
        <v>193</v>
      </c>
      <c r="I89" s="13"/>
      <c r="J89" s="13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8">
        <v>45892.0</v>
      </c>
      <c r="B90" s="9" t="s">
        <v>108</v>
      </c>
      <c r="C90" s="19" t="s">
        <v>198</v>
      </c>
      <c r="D90" s="20"/>
      <c r="E90" s="10"/>
      <c r="F90" s="10"/>
      <c r="G90" s="5">
        <v>2.0E7</v>
      </c>
      <c r="H90" s="19" t="s">
        <v>193</v>
      </c>
      <c r="I90" s="13"/>
      <c r="J90" s="13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8">
        <v>45893.0</v>
      </c>
      <c r="B91" s="9" t="s">
        <v>131</v>
      </c>
      <c r="C91" s="19" t="s">
        <v>198</v>
      </c>
      <c r="D91" s="20"/>
      <c r="E91" s="5">
        <v>2.0E7</v>
      </c>
      <c r="F91" s="10"/>
      <c r="G91" s="10"/>
      <c r="H91" s="19" t="s">
        <v>193</v>
      </c>
      <c r="I91" s="13"/>
      <c r="J91" s="13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8">
        <v>45893.0</v>
      </c>
      <c r="B92" s="9" t="s">
        <v>165</v>
      </c>
      <c r="C92" s="19" t="s">
        <v>195</v>
      </c>
      <c r="D92" s="16">
        <v>2.0E7</v>
      </c>
      <c r="E92" s="5">
        <v>1.0E7</v>
      </c>
      <c r="F92" s="5">
        <v>1.552E7</v>
      </c>
      <c r="G92" s="5">
        <v>1.0E7</v>
      </c>
      <c r="H92" s="19" t="s">
        <v>193</v>
      </c>
      <c r="I92" s="13"/>
      <c r="J92" s="13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8">
        <v>45894.0</v>
      </c>
      <c r="B93" s="9" t="s">
        <v>117</v>
      </c>
      <c r="C93" s="19" t="s">
        <v>195</v>
      </c>
      <c r="D93" s="16">
        <v>2.0E7</v>
      </c>
      <c r="E93" s="5">
        <v>2.0E7</v>
      </c>
      <c r="F93" s="5">
        <v>2.0E7</v>
      </c>
      <c r="G93" s="5">
        <v>2.0E7</v>
      </c>
      <c r="H93" s="19" t="s">
        <v>193</v>
      </c>
      <c r="I93" s="13"/>
      <c r="J93" s="13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8">
        <v>45894.0</v>
      </c>
      <c r="B94" s="9" t="s">
        <v>110</v>
      </c>
      <c r="C94" s="19" t="s">
        <v>195</v>
      </c>
      <c r="D94" s="16">
        <v>1.84E7</v>
      </c>
      <c r="E94" s="5">
        <v>1.84E7</v>
      </c>
      <c r="F94" s="5">
        <v>2.76E7</v>
      </c>
      <c r="G94" s="5">
        <v>1.84E7</v>
      </c>
      <c r="H94" s="19" t="s">
        <v>193</v>
      </c>
      <c r="I94" s="13"/>
      <c r="J94" s="13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8">
        <v>45894.0</v>
      </c>
      <c r="B95" s="9" t="s">
        <v>59</v>
      </c>
      <c r="C95" s="19" t="s">
        <v>198</v>
      </c>
      <c r="D95" s="20"/>
      <c r="E95" s="5">
        <v>2.0E7</v>
      </c>
      <c r="F95" s="10"/>
      <c r="G95" s="10"/>
      <c r="H95" s="19" t="s">
        <v>193</v>
      </c>
      <c r="I95" s="13"/>
      <c r="J95" s="13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8">
        <v>45894.0</v>
      </c>
      <c r="B96" s="9" t="s">
        <v>96</v>
      </c>
      <c r="C96" s="19" t="s">
        <v>198</v>
      </c>
      <c r="D96" s="20"/>
      <c r="E96" s="10"/>
      <c r="F96" s="5">
        <v>2.0E7</v>
      </c>
      <c r="G96" s="10"/>
      <c r="H96" s="19" t="s">
        <v>193</v>
      </c>
      <c r="I96" s="13"/>
      <c r="J96" s="13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8">
        <v>45894.0</v>
      </c>
      <c r="B97" s="9" t="s">
        <v>143</v>
      </c>
      <c r="C97" s="19" t="s">
        <v>198</v>
      </c>
      <c r="D97" s="20"/>
      <c r="E97" s="5">
        <v>2.0E7</v>
      </c>
      <c r="F97" s="5"/>
      <c r="G97" s="10"/>
      <c r="H97" s="19" t="s">
        <v>193</v>
      </c>
      <c r="I97" s="13"/>
      <c r="J97" s="13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8">
        <v>45894.0</v>
      </c>
      <c r="B98" s="9" t="s">
        <v>79</v>
      </c>
      <c r="C98" s="19" t="s">
        <v>198</v>
      </c>
      <c r="D98" s="20"/>
      <c r="E98" s="5">
        <v>1.0E7</v>
      </c>
      <c r="F98" s="5">
        <v>1.0E7</v>
      </c>
      <c r="G98" s="5">
        <v>1.0E7</v>
      </c>
      <c r="H98" s="19" t="s">
        <v>193</v>
      </c>
      <c r="I98" s="13"/>
      <c r="J98" s="13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8">
        <v>45894.0</v>
      </c>
      <c r="B99" s="9" t="s">
        <v>68</v>
      </c>
      <c r="C99" s="19" t="s">
        <v>198</v>
      </c>
      <c r="D99" s="16">
        <v>2.0E7</v>
      </c>
      <c r="E99" s="10"/>
      <c r="F99" s="5">
        <v>2.0E7</v>
      </c>
      <c r="G99" s="10"/>
      <c r="H99" s="19" t="s">
        <v>193</v>
      </c>
      <c r="I99" s="13"/>
      <c r="J99" s="13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8">
        <v>45894.0</v>
      </c>
      <c r="B100" s="9" t="s">
        <v>46</v>
      </c>
      <c r="C100" s="19" t="s">
        <v>198</v>
      </c>
      <c r="D100" s="16">
        <v>1.0E7</v>
      </c>
      <c r="E100" s="5">
        <v>1.0E7</v>
      </c>
      <c r="F100" s="5">
        <v>1.0E7</v>
      </c>
      <c r="G100" s="5">
        <v>1.0E7</v>
      </c>
      <c r="H100" s="19" t="s">
        <v>193</v>
      </c>
      <c r="I100" s="13"/>
      <c r="J100" s="13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8">
        <v>45894.0</v>
      </c>
      <c r="B101" s="9" t="s">
        <v>50</v>
      </c>
      <c r="C101" s="19" t="s">
        <v>198</v>
      </c>
      <c r="D101" s="16">
        <v>2.0E7</v>
      </c>
      <c r="E101" s="10"/>
      <c r="F101" s="10"/>
      <c r="G101" s="5">
        <v>2.0E7</v>
      </c>
      <c r="H101" s="19" t="s">
        <v>193</v>
      </c>
      <c r="I101" s="13"/>
      <c r="J101" s="13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8">
        <v>45894.0</v>
      </c>
      <c r="B102" s="9" t="s">
        <v>125</v>
      </c>
      <c r="C102" s="19" t="s">
        <v>198</v>
      </c>
      <c r="D102" s="16">
        <v>2.0E7</v>
      </c>
      <c r="E102" s="5">
        <v>4.0E7</v>
      </c>
      <c r="F102" s="5">
        <v>2.0E7</v>
      </c>
      <c r="G102" s="5">
        <v>2.0E7</v>
      </c>
      <c r="H102" s="19" t="s">
        <v>193</v>
      </c>
      <c r="I102" s="13"/>
      <c r="J102" s="13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8">
        <v>45894.0</v>
      </c>
      <c r="B103" s="9" t="s">
        <v>104</v>
      </c>
      <c r="C103" s="19" t="s">
        <v>199</v>
      </c>
      <c r="D103" s="16">
        <v>5.0E7</v>
      </c>
      <c r="E103" s="5">
        <v>4.0E7</v>
      </c>
      <c r="F103" s="5">
        <v>7.0E7</v>
      </c>
      <c r="G103" s="5">
        <v>5.0E7</v>
      </c>
      <c r="H103" s="19" t="s">
        <v>193</v>
      </c>
      <c r="I103" s="13"/>
      <c r="J103" s="13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8">
        <v>45894.0</v>
      </c>
      <c r="B104" s="9" t="s">
        <v>119</v>
      </c>
      <c r="C104" s="19" t="s">
        <v>198</v>
      </c>
      <c r="D104" s="20"/>
      <c r="E104" s="10"/>
      <c r="F104" s="10"/>
      <c r="G104" s="5">
        <v>3.0E7</v>
      </c>
      <c r="H104" s="19" t="s">
        <v>193</v>
      </c>
      <c r="I104" s="13"/>
      <c r="J104" s="13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8">
        <v>45894.0</v>
      </c>
      <c r="B105" s="9" t="s">
        <v>87</v>
      </c>
      <c r="C105" s="19" t="s">
        <v>198</v>
      </c>
      <c r="D105" s="16">
        <v>1.0E7</v>
      </c>
      <c r="E105" s="5">
        <v>1.0E7</v>
      </c>
      <c r="F105" s="10"/>
      <c r="G105" s="10"/>
      <c r="H105" s="19" t="s">
        <v>193</v>
      </c>
      <c r="I105" s="13"/>
      <c r="J105" s="13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8">
        <v>45894.0</v>
      </c>
      <c r="B106" s="9" t="s">
        <v>99</v>
      </c>
      <c r="C106" s="19" t="s">
        <v>198</v>
      </c>
      <c r="D106" s="16">
        <v>1.0E7</v>
      </c>
      <c r="E106" s="10"/>
      <c r="F106" s="10"/>
      <c r="G106" s="10"/>
      <c r="H106" s="19" t="s">
        <v>193</v>
      </c>
      <c r="I106" s="13"/>
      <c r="J106" s="13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8">
        <v>45894.0</v>
      </c>
      <c r="B107" s="9" t="s">
        <v>33</v>
      </c>
      <c r="C107" s="19" t="s">
        <v>198</v>
      </c>
      <c r="D107" s="16">
        <v>5000000.0</v>
      </c>
      <c r="E107" s="5">
        <v>4999999.0</v>
      </c>
      <c r="F107" s="5">
        <v>4999999.0</v>
      </c>
      <c r="G107" s="5">
        <v>5000002.0</v>
      </c>
      <c r="H107" s="19" t="s">
        <v>193</v>
      </c>
      <c r="I107" s="13"/>
      <c r="J107" s="13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8">
        <v>45894.0</v>
      </c>
      <c r="B108" s="9" t="s">
        <v>100</v>
      </c>
      <c r="C108" s="19" t="s">
        <v>198</v>
      </c>
      <c r="D108" s="16">
        <v>4968000.0</v>
      </c>
      <c r="E108" s="5">
        <v>5032000.0</v>
      </c>
      <c r="F108" s="5">
        <v>4968000.0</v>
      </c>
      <c r="G108" s="5">
        <v>5032000.0</v>
      </c>
      <c r="H108" s="19" t="s">
        <v>193</v>
      </c>
      <c r="I108" s="13"/>
      <c r="J108" s="13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8">
        <v>45894.0</v>
      </c>
      <c r="B109" s="9" t="s">
        <v>121</v>
      </c>
      <c r="C109" s="19" t="s">
        <v>198</v>
      </c>
      <c r="D109" s="16">
        <v>2.0E7</v>
      </c>
      <c r="E109" s="5">
        <v>2.0E7</v>
      </c>
      <c r="F109" s="5">
        <v>2.0E7</v>
      </c>
      <c r="G109" s="10"/>
      <c r="H109" s="19" t="s">
        <v>193</v>
      </c>
      <c r="I109" s="13"/>
      <c r="J109" s="13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8">
        <v>45894.0</v>
      </c>
      <c r="B110" s="9" t="s">
        <v>86</v>
      </c>
      <c r="C110" s="19" t="s">
        <v>198</v>
      </c>
      <c r="D110" s="16">
        <v>1.0E7</v>
      </c>
      <c r="E110" s="5">
        <v>1.0E7</v>
      </c>
      <c r="F110" s="5">
        <v>1.0E7</v>
      </c>
      <c r="G110" s="5">
        <v>1.0E7</v>
      </c>
      <c r="H110" s="19" t="s">
        <v>193</v>
      </c>
      <c r="I110" s="13"/>
      <c r="J110" s="13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8">
        <v>45894.0</v>
      </c>
      <c r="B111" s="9" t="s">
        <v>43</v>
      </c>
      <c r="C111" s="19" t="s">
        <v>198</v>
      </c>
      <c r="D111" s="16">
        <v>5980000.0</v>
      </c>
      <c r="E111" s="5">
        <v>5980000.0</v>
      </c>
      <c r="F111" s="5">
        <v>4600000.0</v>
      </c>
      <c r="G111" s="5">
        <v>3680000.0</v>
      </c>
      <c r="H111" s="19" t="s">
        <v>193</v>
      </c>
      <c r="I111" s="13"/>
      <c r="J111" s="13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8">
        <v>45894.0</v>
      </c>
      <c r="B112" s="9" t="s">
        <v>74</v>
      </c>
      <c r="C112" s="19" t="s">
        <v>198</v>
      </c>
      <c r="D112" s="16">
        <v>5060000.0</v>
      </c>
      <c r="E112" s="5">
        <v>5060000.0</v>
      </c>
      <c r="F112" s="5">
        <v>5060000.0</v>
      </c>
      <c r="G112" s="5">
        <v>5060000.0</v>
      </c>
      <c r="H112" s="19" t="s">
        <v>193</v>
      </c>
      <c r="I112" s="13"/>
      <c r="J112" s="13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8">
        <v>45894.0</v>
      </c>
      <c r="B113" s="9" t="s">
        <v>137</v>
      </c>
      <c r="C113" s="19" t="s">
        <v>198</v>
      </c>
      <c r="D113" s="16">
        <v>1.0E7</v>
      </c>
      <c r="E113" s="5">
        <v>1.0E7</v>
      </c>
      <c r="F113" s="5">
        <v>1.0E7</v>
      </c>
      <c r="G113" s="5">
        <v>1.0E7</v>
      </c>
      <c r="H113" s="19" t="s">
        <v>193</v>
      </c>
      <c r="I113" s="13"/>
      <c r="J113" s="13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8">
        <v>45894.0</v>
      </c>
      <c r="B114" s="9" t="s">
        <v>115</v>
      </c>
      <c r="C114" s="19" t="s">
        <v>198</v>
      </c>
      <c r="D114" s="16">
        <v>2.6E8</v>
      </c>
      <c r="E114" s="5">
        <v>1.5E8</v>
      </c>
      <c r="F114" s="5">
        <v>4.5E8</v>
      </c>
      <c r="G114" s="5">
        <v>7.0E7</v>
      </c>
      <c r="H114" s="19" t="s">
        <v>193</v>
      </c>
      <c r="I114" s="13"/>
      <c r="J114" s="13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8">
        <v>45894.0</v>
      </c>
      <c r="B115" s="9" t="s">
        <v>27</v>
      </c>
      <c r="C115" s="19" t="s">
        <v>198</v>
      </c>
      <c r="D115" s="16">
        <v>4600000.0</v>
      </c>
      <c r="E115" s="5">
        <v>4600000.0</v>
      </c>
      <c r="F115" s="5">
        <v>4600000.0</v>
      </c>
      <c r="G115" s="5">
        <v>4600000.0</v>
      </c>
      <c r="H115" s="19" t="s">
        <v>193</v>
      </c>
      <c r="I115" s="13"/>
      <c r="J115" s="13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8">
        <v>45894.0</v>
      </c>
      <c r="B116" s="9" t="s">
        <v>136</v>
      </c>
      <c r="C116" s="19" t="s">
        <v>198</v>
      </c>
      <c r="D116" s="16">
        <v>2.0E7</v>
      </c>
      <c r="E116" s="10"/>
      <c r="F116" s="10"/>
      <c r="G116" s="10"/>
      <c r="H116" s="19" t="s">
        <v>193</v>
      </c>
      <c r="I116" s="13"/>
      <c r="J116" s="13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8">
        <v>45894.0</v>
      </c>
      <c r="B117" s="9" t="s">
        <v>47</v>
      </c>
      <c r="C117" s="19" t="s">
        <v>198</v>
      </c>
      <c r="D117" s="20"/>
      <c r="E117" s="10"/>
      <c r="F117" s="5">
        <v>3.0E7</v>
      </c>
      <c r="G117" s="5">
        <v>1.0E7</v>
      </c>
      <c r="H117" s="19" t="s">
        <v>193</v>
      </c>
      <c r="I117" s="13"/>
      <c r="J117" s="13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8">
        <v>45894.0</v>
      </c>
      <c r="B118" s="9" t="s">
        <v>88</v>
      </c>
      <c r="C118" s="19" t="s">
        <v>198</v>
      </c>
      <c r="D118" s="20"/>
      <c r="E118" s="5">
        <v>1.0E7</v>
      </c>
      <c r="F118" s="5">
        <v>1.0E7</v>
      </c>
      <c r="G118" s="10"/>
      <c r="H118" s="19" t="s">
        <v>193</v>
      </c>
      <c r="I118" s="13"/>
      <c r="J118" s="13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8">
        <v>45894.0</v>
      </c>
      <c r="B119" s="9" t="s">
        <v>101</v>
      </c>
      <c r="C119" s="19" t="s">
        <v>198</v>
      </c>
      <c r="D119" s="16">
        <v>9200000.0</v>
      </c>
      <c r="E119" s="5">
        <v>4600000.0</v>
      </c>
      <c r="F119" s="5">
        <v>4600000.0</v>
      </c>
      <c r="G119" s="5">
        <v>4600000.0</v>
      </c>
      <c r="H119" s="19" t="s">
        <v>193</v>
      </c>
      <c r="I119" s="13"/>
      <c r="J119" s="13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8">
        <v>45894.0</v>
      </c>
      <c r="B120" s="9" t="s">
        <v>151</v>
      </c>
      <c r="C120" s="19" t="s">
        <v>198</v>
      </c>
      <c r="D120" s="16">
        <v>1.0E7</v>
      </c>
      <c r="E120" s="10"/>
      <c r="F120" s="10"/>
      <c r="G120" s="5">
        <v>1.0E7</v>
      </c>
      <c r="H120" s="19" t="s">
        <v>193</v>
      </c>
      <c r="I120" s="13"/>
      <c r="J120" s="13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8">
        <v>45894.0</v>
      </c>
      <c r="B121" s="9" t="s">
        <v>80</v>
      </c>
      <c r="C121" s="19" t="s">
        <v>198</v>
      </c>
      <c r="D121" s="20"/>
      <c r="E121" s="10"/>
      <c r="F121" s="5">
        <v>4.0E7</v>
      </c>
      <c r="G121" s="10"/>
      <c r="H121" s="19" t="s">
        <v>193</v>
      </c>
      <c r="I121" s="13"/>
      <c r="J121" s="13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8">
        <v>45894.0</v>
      </c>
      <c r="B122" s="9" t="s">
        <v>200</v>
      </c>
      <c r="C122" s="19" t="s">
        <v>198</v>
      </c>
      <c r="D122" s="16">
        <v>2.0E7</v>
      </c>
      <c r="E122" s="5">
        <v>2.0E7</v>
      </c>
      <c r="F122" s="5">
        <v>1.0E7</v>
      </c>
      <c r="G122" s="5">
        <v>1.0E7</v>
      </c>
      <c r="H122" s="19" t="s">
        <v>193</v>
      </c>
      <c r="I122" s="13"/>
      <c r="J122" s="13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8">
        <v>45894.0</v>
      </c>
      <c r="B123" s="9" t="s">
        <v>112</v>
      </c>
      <c r="C123" s="19" t="s">
        <v>198</v>
      </c>
      <c r="D123" s="16">
        <v>1.0E7</v>
      </c>
      <c r="E123" s="5">
        <v>1.0E7</v>
      </c>
      <c r="F123" s="5">
        <v>1.0E7</v>
      </c>
      <c r="G123" s="10"/>
      <c r="H123" s="19" t="s">
        <v>193</v>
      </c>
      <c r="I123" s="13"/>
      <c r="J123" s="13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8">
        <v>45894.0</v>
      </c>
      <c r="B124" s="9" t="s">
        <v>61</v>
      </c>
      <c r="C124" s="19" t="s">
        <v>198</v>
      </c>
      <c r="D124" s="20"/>
      <c r="E124" s="10"/>
      <c r="F124" s="5">
        <v>2.0E7</v>
      </c>
      <c r="G124" s="10"/>
      <c r="H124" s="19" t="s">
        <v>193</v>
      </c>
      <c r="I124" s="13"/>
      <c r="J124" s="13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8">
        <v>45894.0</v>
      </c>
      <c r="B125" s="9" t="s">
        <v>90</v>
      </c>
      <c r="C125" s="19" t="s">
        <v>198</v>
      </c>
      <c r="D125" s="16">
        <v>1.0E7</v>
      </c>
      <c r="E125" s="5">
        <v>1.0E7</v>
      </c>
      <c r="F125" s="5">
        <v>1.0E7</v>
      </c>
      <c r="G125" s="5">
        <v>1.0E7</v>
      </c>
      <c r="H125" s="19" t="s">
        <v>193</v>
      </c>
      <c r="I125" s="13"/>
      <c r="J125" s="13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8">
        <v>45894.0</v>
      </c>
      <c r="B126" s="9" t="s">
        <v>117</v>
      </c>
      <c r="C126" s="19" t="s">
        <v>195</v>
      </c>
      <c r="D126" s="16">
        <v>6.0E7</v>
      </c>
      <c r="E126" s="5">
        <v>5.0E7</v>
      </c>
      <c r="F126" s="5">
        <v>4.0E7</v>
      </c>
      <c r="G126" s="5"/>
      <c r="H126" s="19" t="s">
        <v>193</v>
      </c>
      <c r="I126" s="13"/>
      <c r="J126" s="13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8">
        <v>45894.0</v>
      </c>
      <c r="B127" s="9" t="s">
        <v>31</v>
      </c>
      <c r="C127" s="19" t="s">
        <v>198</v>
      </c>
      <c r="D127" s="16">
        <v>1.0E7</v>
      </c>
      <c r="E127" s="5">
        <v>1.0E7</v>
      </c>
      <c r="F127" s="5">
        <v>1.0E7</v>
      </c>
      <c r="G127" s="5">
        <v>1.0E7</v>
      </c>
      <c r="H127" s="19" t="s">
        <v>193</v>
      </c>
      <c r="I127" s="13"/>
      <c r="J127" s="13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8">
        <v>45894.0</v>
      </c>
      <c r="B128" s="9" t="s">
        <v>78</v>
      </c>
      <c r="C128" s="19" t="s">
        <v>198</v>
      </c>
      <c r="D128" s="20"/>
      <c r="E128" s="5">
        <v>2.0E7</v>
      </c>
      <c r="F128" s="10"/>
      <c r="G128" s="10"/>
      <c r="H128" s="19" t="s">
        <v>193</v>
      </c>
      <c r="I128" s="13"/>
      <c r="J128" s="13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8">
        <v>45894.0</v>
      </c>
      <c r="B129" s="9" t="s">
        <v>29</v>
      </c>
      <c r="C129" s="19" t="s">
        <v>198</v>
      </c>
      <c r="D129" s="20"/>
      <c r="E129" s="10"/>
      <c r="F129" s="5">
        <v>2.0E7</v>
      </c>
      <c r="G129" s="10"/>
      <c r="H129" s="19" t="s">
        <v>193</v>
      </c>
      <c r="I129" s="13"/>
      <c r="J129" s="13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8">
        <v>45895.0</v>
      </c>
      <c r="B130" s="11" t="s">
        <v>166</v>
      </c>
      <c r="C130" s="19" t="s">
        <v>199</v>
      </c>
      <c r="D130" s="16">
        <v>1.0E7</v>
      </c>
      <c r="E130" s="5">
        <v>7014853.0</v>
      </c>
      <c r="F130" s="5">
        <v>2985147.0</v>
      </c>
      <c r="G130" s="5"/>
      <c r="H130" s="19" t="s">
        <v>193</v>
      </c>
      <c r="I130" s="13"/>
      <c r="J130" s="13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8">
        <v>45895.0</v>
      </c>
      <c r="B131" s="9" t="s">
        <v>161</v>
      </c>
      <c r="C131" s="19" t="s">
        <v>198</v>
      </c>
      <c r="D131" s="16">
        <v>5000002.0</v>
      </c>
      <c r="E131" s="5">
        <v>5000002.0</v>
      </c>
      <c r="F131" s="5">
        <v>5000002.0</v>
      </c>
      <c r="G131" s="5">
        <v>5000002.0</v>
      </c>
      <c r="H131" s="19" t="s">
        <v>193</v>
      </c>
      <c r="I131" s="13"/>
      <c r="J131" s="13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8">
        <v>45895.0</v>
      </c>
      <c r="B132" s="9" t="s">
        <v>44</v>
      </c>
      <c r="C132" s="19" t="s">
        <v>199</v>
      </c>
      <c r="D132" s="16">
        <v>1.2779999E7</v>
      </c>
      <c r="E132" s="5">
        <v>1.2641573E7</v>
      </c>
      <c r="F132" s="5">
        <v>1.4578428E7</v>
      </c>
      <c r="G132" s="5"/>
      <c r="H132" s="19" t="s">
        <v>193</v>
      </c>
      <c r="I132" s="13"/>
      <c r="J132" s="13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8">
        <v>45895.0</v>
      </c>
      <c r="B133" s="9" t="s">
        <v>142</v>
      </c>
      <c r="C133" s="19" t="s">
        <v>198</v>
      </c>
      <c r="D133" s="16">
        <v>8000000.0</v>
      </c>
      <c r="E133" s="5">
        <v>4000000.0</v>
      </c>
      <c r="F133" s="5">
        <v>4000000.0</v>
      </c>
      <c r="G133" s="5">
        <v>4000000.0</v>
      </c>
      <c r="H133" s="19" t="s">
        <v>193</v>
      </c>
      <c r="I133" s="13"/>
      <c r="J133" s="13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8">
        <v>45895.0</v>
      </c>
      <c r="B134" s="9" t="s">
        <v>92</v>
      </c>
      <c r="C134" s="19" t="s">
        <v>198</v>
      </c>
      <c r="D134" s="20"/>
      <c r="E134" s="5">
        <v>3.0E7</v>
      </c>
      <c r="F134" s="10"/>
      <c r="G134" s="10"/>
      <c r="H134" s="19" t="s">
        <v>193</v>
      </c>
      <c r="I134" s="13"/>
      <c r="J134" s="13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8">
        <v>45895.0</v>
      </c>
      <c r="B135" s="9" t="s">
        <v>141</v>
      </c>
      <c r="C135" s="19" t="s">
        <v>198</v>
      </c>
      <c r="D135" s="16">
        <v>3.0E7</v>
      </c>
      <c r="E135" s="5">
        <v>2.0E7</v>
      </c>
      <c r="F135" s="5">
        <v>3.0E7</v>
      </c>
      <c r="G135" s="5">
        <v>1.0E7</v>
      </c>
      <c r="H135" s="19" t="s">
        <v>193</v>
      </c>
      <c r="I135" s="13"/>
      <c r="J135" s="13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8">
        <v>45895.0</v>
      </c>
      <c r="B136" s="9" t="s">
        <v>154</v>
      </c>
      <c r="C136" s="19" t="s">
        <v>198</v>
      </c>
      <c r="D136" s="20"/>
      <c r="E136" s="5">
        <v>1.0E7</v>
      </c>
      <c r="F136" s="5">
        <v>1.0E7</v>
      </c>
      <c r="G136" s="10"/>
      <c r="H136" s="19" t="s">
        <v>193</v>
      </c>
      <c r="I136" s="13"/>
      <c r="J136" s="13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8">
        <v>45895.0</v>
      </c>
      <c r="B137" s="9" t="s">
        <v>89</v>
      </c>
      <c r="C137" s="19" t="s">
        <v>198</v>
      </c>
      <c r="D137" s="16">
        <v>1.0E7</v>
      </c>
      <c r="E137" s="5">
        <v>1.0E7</v>
      </c>
      <c r="F137" s="10"/>
      <c r="G137" s="10"/>
      <c r="H137" s="19" t="s">
        <v>193</v>
      </c>
      <c r="I137" s="13"/>
      <c r="J137" s="13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8">
        <v>45895.0</v>
      </c>
      <c r="B138" s="9" t="s">
        <v>109</v>
      </c>
      <c r="C138" s="19" t="s">
        <v>198</v>
      </c>
      <c r="D138" s="16">
        <v>1.0E7</v>
      </c>
      <c r="E138" s="5">
        <v>1.0E7</v>
      </c>
      <c r="F138" s="5">
        <v>1.0E7</v>
      </c>
      <c r="G138" s="10"/>
      <c r="H138" s="19" t="s">
        <v>193</v>
      </c>
      <c r="I138" s="13"/>
      <c r="J138" s="13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8">
        <v>45895.0</v>
      </c>
      <c r="B139" s="9" t="s">
        <v>39</v>
      </c>
      <c r="C139" s="19" t="s">
        <v>198</v>
      </c>
      <c r="D139" s="20"/>
      <c r="E139" s="10"/>
      <c r="F139" s="5">
        <v>2.0E7</v>
      </c>
      <c r="G139" s="10"/>
      <c r="H139" s="19" t="s">
        <v>193</v>
      </c>
      <c r="I139" s="13"/>
      <c r="J139" s="13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8">
        <v>45895.0</v>
      </c>
      <c r="B140" s="9" t="s">
        <v>17</v>
      </c>
      <c r="C140" s="19" t="s">
        <v>198</v>
      </c>
      <c r="D140" s="16">
        <v>3.0E7</v>
      </c>
      <c r="E140" s="5">
        <v>3.0E7</v>
      </c>
      <c r="F140" s="5">
        <v>1.0E7</v>
      </c>
      <c r="G140" s="5">
        <v>1.0E7</v>
      </c>
      <c r="H140" s="19" t="s">
        <v>193</v>
      </c>
      <c r="I140" s="13"/>
      <c r="J140" s="13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8">
        <v>45896.0</v>
      </c>
      <c r="B141" s="9" t="s">
        <v>98</v>
      </c>
      <c r="C141" s="19" t="s">
        <v>198</v>
      </c>
      <c r="D141" s="16">
        <v>4.0E7</v>
      </c>
      <c r="E141" s="5">
        <v>4.0E7</v>
      </c>
      <c r="F141" s="5">
        <v>4.0E7</v>
      </c>
      <c r="G141" s="5">
        <v>4.0E7</v>
      </c>
      <c r="H141" s="19" t="s">
        <v>193</v>
      </c>
      <c r="I141" s="13"/>
      <c r="J141" s="13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8">
        <v>45896.0</v>
      </c>
      <c r="B142" s="9" t="s">
        <v>197</v>
      </c>
      <c r="C142" s="19" t="s">
        <v>198</v>
      </c>
      <c r="D142" s="16">
        <v>1.0E7</v>
      </c>
      <c r="E142" s="5">
        <v>1.0E7</v>
      </c>
      <c r="F142" s="5">
        <v>1.0E7</v>
      </c>
      <c r="G142" s="10"/>
      <c r="H142" s="19" t="s">
        <v>193</v>
      </c>
      <c r="I142" s="13"/>
      <c r="J142" s="13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8">
        <v>45896.0</v>
      </c>
      <c r="B143" s="9" t="s">
        <v>132</v>
      </c>
      <c r="C143" s="19" t="s">
        <v>198</v>
      </c>
      <c r="D143" s="16">
        <v>1.0E7</v>
      </c>
      <c r="E143" s="5">
        <v>1.0E7</v>
      </c>
      <c r="F143" s="5">
        <v>1.0E7</v>
      </c>
      <c r="G143" s="10"/>
      <c r="H143" s="19" t="s">
        <v>193</v>
      </c>
      <c r="I143" s="13"/>
      <c r="J143" s="13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8">
        <v>45896.0</v>
      </c>
      <c r="B144" s="9" t="s">
        <v>146</v>
      </c>
      <c r="C144" s="19" t="s">
        <v>198</v>
      </c>
      <c r="D144" s="16">
        <v>2.0E7</v>
      </c>
      <c r="E144" s="10"/>
      <c r="F144" s="10"/>
      <c r="G144" s="10"/>
      <c r="H144" s="19" t="s">
        <v>193</v>
      </c>
      <c r="I144" s="13"/>
      <c r="J144" s="13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8">
        <v>45896.0</v>
      </c>
      <c r="B145" s="9" t="s">
        <v>94</v>
      </c>
      <c r="C145" s="19" t="s">
        <v>198</v>
      </c>
      <c r="D145" s="16">
        <v>2.0E7</v>
      </c>
      <c r="E145" s="5">
        <v>2.0E7</v>
      </c>
      <c r="F145" s="5">
        <v>2.0E7</v>
      </c>
      <c r="G145" s="10"/>
      <c r="H145" s="19" t="s">
        <v>193</v>
      </c>
      <c r="I145" s="13"/>
      <c r="J145" s="13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8">
        <v>45897.0</v>
      </c>
      <c r="B146" s="9" t="s">
        <v>84</v>
      </c>
      <c r="C146" s="19" t="s">
        <v>198</v>
      </c>
      <c r="D146" s="16">
        <v>1.0E7</v>
      </c>
      <c r="E146" s="5">
        <v>1.0E7</v>
      </c>
      <c r="F146" s="10"/>
      <c r="G146" s="10"/>
      <c r="H146" s="19" t="s">
        <v>193</v>
      </c>
      <c r="I146" s="13"/>
      <c r="J146" s="13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8">
        <v>45897.0</v>
      </c>
      <c r="B147" s="9" t="s">
        <v>115</v>
      </c>
      <c r="C147" s="19" t="s">
        <v>196</v>
      </c>
      <c r="D147" s="16">
        <v>1.6E8</v>
      </c>
      <c r="E147" s="5">
        <v>1.7E8</v>
      </c>
      <c r="F147" s="5">
        <v>1.2E8</v>
      </c>
      <c r="G147" s="5">
        <v>2.0E8</v>
      </c>
      <c r="H147" s="19" t="s">
        <v>193</v>
      </c>
      <c r="I147" s="13"/>
      <c r="J147" s="13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8">
        <v>45897.0</v>
      </c>
      <c r="B148" s="9" t="s">
        <v>62</v>
      </c>
      <c r="C148" s="19" t="s">
        <v>198</v>
      </c>
      <c r="D148" s="16">
        <v>5060000.0</v>
      </c>
      <c r="E148" s="5">
        <v>4940000.0</v>
      </c>
      <c r="F148" s="5">
        <v>5060000.0</v>
      </c>
      <c r="G148" s="5">
        <v>4940000.0</v>
      </c>
      <c r="H148" s="19" t="s">
        <v>193</v>
      </c>
      <c r="I148" s="13"/>
      <c r="J148" s="13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8">
        <v>45897.0</v>
      </c>
      <c r="B149" s="9" t="s">
        <v>71</v>
      </c>
      <c r="C149" s="19" t="s">
        <v>198</v>
      </c>
      <c r="D149" s="16">
        <v>4600000.0</v>
      </c>
      <c r="E149" s="5">
        <v>5400000.0</v>
      </c>
      <c r="F149" s="5">
        <v>4600000.0</v>
      </c>
      <c r="G149" s="5">
        <v>5400000.0</v>
      </c>
      <c r="H149" s="19" t="s">
        <v>193</v>
      </c>
      <c r="I149" s="13"/>
      <c r="J149" s="13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8">
        <v>45897.0</v>
      </c>
      <c r="B150" s="9" t="s">
        <v>85</v>
      </c>
      <c r="C150" s="19" t="s">
        <v>198</v>
      </c>
      <c r="D150" s="16">
        <v>1.0E7</v>
      </c>
      <c r="E150" s="5">
        <v>1.0E7</v>
      </c>
      <c r="F150" s="5">
        <v>1.0E7</v>
      </c>
      <c r="G150" s="5">
        <v>1.0E7</v>
      </c>
      <c r="H150" s="19" t="s">
        <v>193</v>
      </c>
      <c r="I150" s="13"/>
      <c r="J150" s="13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8">
        <v>45897.0</v>
      </c>
      <c r="B151" s="9" t="s">
        <v>75</v>
      </c>
      <c r="C151" s="19" t="s">
        <v>198</v>
      </c>
      <c r="D151" s="16">
        <v>5060000.0</v>
      </c>
      <c r="E151" s="5">
        <v>5060000.0</v>
      </c>
      <c r="F151" s="5">
        <v>5060000.0</v>
      </c>
      <c r="G151" s="5">
        <v>5060000.0</v>
      </c>
      <c r="H151" s="19" t="s">
        <v>193</v>
      </c>
      <c r="I151" s="13"/>
      <c r="J151" s="13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8">
        <v>45897.0</v>
      </c>
      <c r="B152" s="9" t="s">
        <v>73</v>
      </c>
      <c r="C152" s="19" t="s">
        <v>196</v>
      </c>
      <c r="D152" s="16">
        <v>6.0E7</v>
      </c>
      <c r="E152" s="5">
        <v>5.0E7</v>
      </c>
      <c r="F152" s="5">
        <v>1.0E7</v>
      </c>
      <c r="G152" s="5">
        <v>3.0E7</v>
      </c>
      <c r="H152" s="19" t="s">
        <v>193</v>
      </c>
      <c r="I152" s="13"/>
      <c r="J152" s="13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8">
        <v>45897.0</v>
      </c>
      <c r="B153" s="9" t="s">
        <v>51</v>
      </c>
      <c r="C153" s="19" t="s">
        <v>198</v>
      </c>
      <c r="D153" s="20"/>
      <c r="E153" s="5">
        <v>2.0E7</v>
      </c>
      <c r="F153" s="10"/>
      <c r="G153" s="10"/>
      <c r="H153" s="19" t="s">
        <v>193</v>
      </c>
      <c r="I153" s="13"/>
      <c r="J153" s="13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8">
        <v>45898.0</v>
      </c>
      <c r="B154" s="9" t="s">
        <v>131</v>
      </c>
      <c r="C154" s="19" t="s">
        <v>198</v>
      </c>
      <c r="D154" s="16">
        <v>1.0E7</v>
      </c>
      <c r="E154" s="10"/>
      <c r="F154" s="5">
        <v>1.0E7</v>
      </c>
      <c r="G154" s="10"/>
      <c r="H154" s="19" t="s">
        <v>193</v>
      </c>
      <c r="I154" s="13"/>
      <c r="J154" s="13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8">
        <v>45898.0</v>
      </c>
      <c r="B155" s="9" t="s">
        <v>110</v>
      </c>
      <c r="C155" s="19" t="s">
        <v>195</v>
      </c>
      <c r="D155" s="16">
        <v>1.84E7</v>
      </c>
      <c r="E155" s="5">
        <v>1.84E7</v>
      </c>
      <c r="F155" s="5">
        <v>1.84E7</v>
      </c>
      <c r="G155" s="5">
        <v>1.84E7</v>
      </c>
      <c r="H155" s="19" t="s">
        <v>193</v>
      </c>
      <c r="I155" s="13"/>
      <c r="J155" s="13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8">
        <v>45898.0</v>
      </c>
      <c r="B156" s="9" t="s">
        <v>28</v>
      </c>
      <c r="C156" s="19" t="s">
        <v>198</v>
      </c>
      <c r="D156" s="20"/>
      <c r="E156" s="5">
        <v>1.0E7</v>
      </c>
      <c r="F156" s="5">
        <v>1.0E7</v>
      </c>
      <c r="G156" s="10"/>
      <c r="H156" s="19" t="s">
        <v>193</v>
      </c>
      <c r="I156" s="13"/>
      <c r="J156" s="13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8">
        <v>45898.0</v>
      </c>
      <c r="B157" s="9" t="s">
        <v>31</v>
      </c>
      <c r="C157" s="19" t="s">
        <v>198</v>
      </c>
      <c r="D157" s="16">
        <v>2.0E7</v>
      </c>
      <c r="E157" s="5">
        <v>2.0E7</v>
      </c>
      <c r="F157" s="5">
        <v>2.0E7</v>
      </c>
      <c r="G157" s="5">
        <v>2.0E7</v>
      </c>
      <c r="H157" s="19" t="s">
        <v>193</v>
      </c>
      <c r="I157" s="13"/>
      <c r="J157" s="13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8">
        <v>45898.0</v>
      </c>
      <c r="B158" s="9" t="s">
        <v>19</v>
      </c>
      <c r="C158" s="19" t="s">
        <v>196</v>
      </c>
      <c r="D158" s="16">
        <v>6.9E7</v>
      </c>
      <c r="E158" s="5">
        <v>4.2E7</v>
      </c>
      <c r="F158" s="5">
        <v>3.3E7</v>
      </c>
      <c r="G158" s="5">
        <v>1.2E7</v>
      </c>
      <c r="H158" s="19" t="s">
        <v>193</v>
      </c>
      <c r="I158" s="13"/>
      <c r="J158" s="13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8">
        <v>45898.0</v>
      </c>
      <c r="B159" s="11" t="s">
        <v>166</v>
      </c>
      <c r="C159" s="19" t="s">
        <v>199</v>
      </c>
      <c r="D159" s="16">
        <v>4.0E7</v>
      </c>
      <c r="E159" s="5">
        <v>1.0E7</v>
      </c>
      <c r="F159" s="5"/>
      <c r="G159" s="5"/>
      <c r="H159" s="19" t="s">
        <v>193</v>
      </c>
      <c r="I159" s="13"/>
      <c r="J159" s="13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8">
        <v>45899.0</v>
      </c>
      <c r="B160" s="9" t="s">
        <v>65</v>
      </c>
      <c r="C160" s="19" t="s">
        <v>198</v>
      </c>
      <c r="D160" s="20"/>
      <c r="E160" s="5">
        <v>2.0E7</v>
      </c>
      <c r="F160" s="10"/>
      <c r="G160" s="10"/>
      <c r="H160" s="19" t="s">
        <v>193</v>
      </c>
      <c r="I160" s="13"/>
      <c r="J160" s="13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8">
        <v>45899.0</v>
      </c>
      <c r="B161" s="9" t="s">
        <v>118</v>
      </c>
      <c r="C161" s="19" t="s">
        <v>195</v>
      </c>
      <c r="D161" s="16">
        <v>3.2576E7</v>
      </c>
      <c r="E161" s="5">
        <v>3.2576E7</v>
      </c>
      <c r="F161" s="5">
        <v>3.2576E7</v>
      </c>
      <c r="G161" s="5">
        <v>1.23E7</v>
      </c>
      <c r="H161" s="19" t="s">
        <v>193</v>
      </c>
      <c r="I161" s="13"/>
      <c r="J161" s="13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8">
        <v>45899.0</v>
      </c>
      <c r="B162" s="9" t="s">
        <v>81</v>
      </c>
      <c r="C162" s="19" t="s">
        <v>198</v>
      </c>
      <c r="D162" s="16">
        <v>6006680.0</v>
      </c>
      <c r="E162" s="5">
        <v>6006680.0</v>
      </c>
      <c r="F162" s="5">
        <v>6006680.0</v>
      </c>
      <c r="G162" s="5">
        <v>6006680.0</v>
      </c>
      <c r="H162" s="19" t="s">
        <v>193</v>
      </c>
      <c r="I162" s="13"/>
      <c r="J162" s="13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8">
        <v>45899.0</v>
      </c>
      <c r="B163" s="12" t="s">
        <v>167</v>
      </c>
      <c r="C163" s="19" t="s">
        <v>198</v>
      </c>
      <c r="D163" s="16">
        <v>1.0E7</v>
      </c>
      <c r="E163" s="5">
        <v>1.0E7</v>
      </c>
      <c r="F163" s="5">
        <v>1.0E7</v>
      </c>
      <c r="G163" s="5">
        <v>1.0E7</v>
      </c>
      <c r="H163" s="19" t="s">
        <v>193</v>
      </c>
      <c r="I163" s="13"/>
      <c r="J163" s="13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8">
        <v>45899.0</v>
      </c>
      <c r="B164" s="9" t="s">
        <v>60</v>
      </c>
      <c r="C164" s="19" t="s">
        <v>198</v>
      </c>
      <c r="D164" s="16">
        <v>2.0E7</v>
      </c>
      <c r="E164" s="10"/>
      <c r="F164" s="5">
        <v>1.0E7</v>
      </c>
      <c r="G164" s="10"/>
      <c r="H164" s="19" t="s">
        <v>193</v>
      </c>
      <c r="I164" s="13"/>
      <c r="J164" s="13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8">
        <v>45899.0</v>
      </c>
      <c r="B165" s="9" t="s">
        <v>143</v>
      </c>
      <c r="C165" s="19" t="s">
        <v>198</v>
      </c>
      <c r="D165" s="20"/>
      <c r="E165" s="5">
        <v>2.0E7</v>
      </c>
      <c r="F165" s="10"/>
      <c r="G165" s="10"/>
      <c r="H165" s="19" t="s">
        <v>193</v>
      </c>
      <c r="I165" s="13"/>
      <c r="J165" s="13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8">
        <v>45900.0</v>
      </c>
      <c r="B166" s="9" t="s">
        <v>133</v>
      </c>
      <c r="C166" s="19" t="s">
        <v>198</v>
      </c>
      <c r="D166" s="16">
        <v>9200000.0</v>
      </c>
      <c r="E166" s="5">
        <v>9200000.0</v>
      </c>
      <c r="F166" s="10"/>
      <c r="G166" s="10"/>
      <c r="H166" s="19" t="s">
        <v>193</v>
      </c>
      <c r="I166" s="13"/>
      <c r="J166" s="13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8">
        <v>45900.0</v>
      </c>
      <c r="B167" s="9" t="s">
        <v>156</v>
      </c>
      <c r="C167" s="19" t="s">
        <v>198</v>
      </c>
      <c r="D167" s="20"/>
      <c r="E167" s="5">
        <v>1.0E7</v>
      </c>
      <c r="F167" s="10"/>
      <c r="G167" s="5">
        <v>1.6E7</v>
      </c>
      <c r="H167" s="19" t="s">
        <v>193</v>
      </c>
      <c r="I167" s="13"/>
      <c r="J167" s="13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8">
        <v>45901.0</v>
      </c>
      <c r="B168" s="9" t="s">
        <v>97</v>
      </c>
      <c r="C168" s="19" t="s">
        <v>198</v>
      </c>
      <c r="D168" s="16">
        <v>1.0E7</v>
      </c>
      <c r="E168" s="5">
        <v>1.0E7</v>
      </c>
      <c r="F168" s="5">
        <v>6.0E7</v>
      </c>
      <c r="G168" s="5">
        <v>1.0E7</v>
      </c>
      <c r="H168" s="19" t="s">
        <v>193</v>
      </c>
      <c r="I168" s="13"/>
      <c r="J168" s="13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8">
        <v>45901.0</v>
      </c>
      <c r="B169" s="9" t="s">
        <v>59</v>
      </c>
      <c r="C169" s="19" t="s">
        <v>198</v>
      </c>
      <c r="D169" s="20"/>
      <c r="E169" s="5">
        <v>2.0E7</v>
      </c>
      <c r="F169" s="10"/>
      <c r="G169" s="10"/>
      <c r="H169" s="19" t="s">
        <v>193</v>
      </c>
      <c r="I169" s="13"/>
      <c r="J169" s="13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8">
        <v>45901.0</v>
      </c>
      <c r="B170" s="9" t="s">
        <v>68</v>
      </c>
      <c r="C170" s="19" t="s">
        <v>198</v>
      </c>
      <c r="D170" s="16">
        <v>2.0E7</v>
      </c>
      <c r="E170" s="5">
        <v>1.0E7</v>
      </c>
      <c r="F170" s="5">
        <v>1.0E7</v>
      </c>
      <c r="G170" s="10"/>
      <c r="H170" s="19" t="s">
        <v>193</v>
      </c>
      <c r="I170" s="13"/>
      <c r="J170" s="13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8">
        <v>45901.0</v>
      </c>
      <c r="B171" s="9" t="s">
        <v>46</v>
      </c>
      <c r="C171" s="19" t="s">
        <v>198</v>
      </c>
      <c r="D171" s="16">
        <v>1.0E7</v>
      </c>
      <c r="E171" s="5">
        <v>1.0E7</v>
      </c>
      <c r="F171" s="5">
        <v>1.0E7</v>
      </c>
      <c r="G171" s="5">
        <v>1.0E7</v>
      </c>
      <c r="H171" s="19" t="s">
        <v>193</v>
      </c>
      <c r="I171" s="13"/>
      <c r="J171" s="13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8">
        <v>45901.0</v>
      </c>
      <c r="B172" s="9" t="s">
        <v>99</v>
      </c>
      <c r="C172" s="19" t="s">
        <v>198</v>
      </c>
      <c r="D172" s="16">
        <v>2.0E7</v>
      </c>
      <c r="E172" s="10"/>
      <c r="F172" s="10"/>
      <c r="G172" s="10"/>
      <c r="H172" s="19" t="s">
        <v>193</v>
      </c>
      <c r="I172" s="13"/>
      <c r="J172" s="13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8">
        <v>45901.0</v>
      </c>
      <c r="B173" s="9" t="s">
        <v>74</v>
      </c>
      <c r="C173" s="19" t="s">
        <v>198</v>
      </c>
      <c r="D173" s="16">
        <v>5060000.0</v>
      </c>
      <c r="E173" s="5">
        <v>5060000.0</v>
      </c>
      <c r="F173" s="5">
        <v>5060000.0</v>
      </c>
      <c r="G173" s="5">
        <v>5060000.0</v>
      </c>
      <c r="H173" s="19" t="s">
        <v>193</v>
      </c>
      <c r="I173" s="13"/>
      <c r="J173" s="13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8">
        <v>45901.0</v>
      </c>
      <c r="B174" s="9" t="s">
        <v>100</v>
      </c>
      <c r="C174" s="19" t="s">
        <v>198</v>
      </c>
      <c r="D174" s="16">
        <v>1.0E7</v>
      </c>
      <c r="E174" s="5">
        <v>1.0E7</v>
      </c>
      <c r="F174" s="5">
        <v>1.0E7</v>
      </c>
      <c r="G174" s="5">
        <v>1.0E7</v>
      </c>
      <c r="H174" s="19" t="s">
        <v>193</v>
      </c>
      <c r="I174" s="13"/>
      <c r="J174" s="13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8">
        <v>45901.0</v>
      </c>
      <c r="B175" s="9" t="s">
        <v>115</v>
      </c>
      <c r="C175" s="19" t="s">
        <v>198</v>
      </c>
      <c r="D175" s="16">
        <v>1.6E8</v>
      </c>
      <c r="E175" s="5">
        <v>1.3E8</v>
      </c>
      <c r="F175" s="5">
        <v>1.6E8</v>
      </c>
      <c r="G175" s="5">
        <v>1.4E8</v>
      </c>
      <c r="H175" s="19" t="s">
        <v>193</v>
      </c>
      <c r="I175" s="13"/>
      <c r="J175" s="13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8">
        <v>45901.0</v>
      </c>
      <c r="B176" s="9" t="s">
        <v>49</v>
      </c>
      <c r="C176" s="19" t="s">
        <v>198</v>
      </c>
      <c r="D176" s="16">
        <v>2.0E7</v>
      </c>
      <c r="E176" s="5">
        <v>2.0E7</v>
      </c>
      <c r="F176" s="5">
        <v>2.0E7</v>
      </c>
      <c r="G176" s="5">
        <v>2.0E7</v>
      </c>
      <c r="H176" s="19" t="s">
        <v>193</v>
      </c>
      <c r="I176" s="13"/>
      <c r="J176" s="13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8">
        <v>45901.0</v>
      </c>
      <c r="B177" s="9" t="s">
        <v>89</v>
      </c>
      <c r="C177" s="19" t="s">
        <v>198</v>
      </c>
      <c r="D177" s="16">
        <v>1.0E7</v>
      </c>
      <c r="E177" s="10"/>
      <c r="F177" s="5">
        <v>1.0E7</v>
      </c>
      <c r="G177" s="10"/>
      <c r="H177" s="19" t="s">
        <v>193</v>
      </c>
      <c r="I177" s="13"/>
      <c r="J177" s="13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8">
        <v>45901.0</v>
      </c>
      <c r="B178" s="9" t="s">
        <v>82</v>
      </c>
      <c r="C178" s="19" t="s">
        <v>198</v>
      </c>
      <c r="D178" s="16">
        <v>2.0E7</v>
      </c>
      <c r="E178" s="5">
        <v>2.0E7</v>
      </c>
      <c r="F178" s="5">
        <v>1.0E7</v>
      </c>
      <c r="G178" s="5">
        <v>1.0E7</v>
      </c>
      <c r="H178" s="19" t="s">
        <v>193</v>
      </c>
      <c r="I178" s="13"/>
      <c r="J178" s="13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8">
        <v>45901.0</v>
      </c>
      <c r="B179" s="9" t="s">
        <v>98</v>
      </c>
      <c r="C179" s="19" t="s">
        <v>198</v>
      </c>
      <c r="D179" s="16">
        <v>1.0E7</v>
      </c>
      <c r="E179" s="5">
        <v>1.0E7</v>
      </c>
      <c r="F179" s="5">
        <v>1.0E7</v>
      </c>
      <c r="G179" s="5">
        <v>1.0E7</v>
      </c>
      <c r="H179" s="19" t="s">
        <v>193</v>
      </c>
      <c r="I179" s="13"/>
      <c r="J179" s="13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8">
        <v>45902.0</v>
      </c>
      <c r="B180" s="9" t="s">
        <v>121</v>
      </c>
      <c r="C180" s="19" t="s">
        <v>198</v>
      </c>
      <c r="D180" s="16">
        <v>1.0E7</v>
      </c>
      <c r="E180" s="5">
        <v>1.0E7</v>
      </c>
      <c r="F180" s="5">
        <v>1.0E7</v>
      </c>
      <c r="G180" s="10"/>
      <c r="H180" s="19" t="s">
        <v>193</v>
      </c>
      <c r="I180" s="13"/>
      <c r="J180" s="13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8">
        <v>45902.0</v>
      </c>
      <c r="B181" s="9" t="s">
        <v>100</v>
      </c>
      <c r="C181" s="19" t="s">
        <v>196</v>
      </c>
      <c r="D181" s="16">
        <v>2.0E7</v>
      </c>
      <c r="E181" s="5">
        <v>2.0E7</v>
      </c>
      <c r="F181" s="5">
        <v>2.0E7</v>
      </c>
      <c r="G181" s="5">
        <v>2.0E7</v>
      </c>
      <c r="H181" s="19" t="s">
        <v>193</v>
      </c>
      <c r="I181" s="13"/>
      <c r="J181" s="13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8">
        <v>45902.0</v>
      </c>
      <c r="B182" s="9" t="s">
        <v>112</v>
      </c>
      <c r="C182" s="19" t="s">
        <v>198</v>
      </c>
      <c r="D182" s="20"/>
      <c r="E182" s="5">
        <v>2.0E7</v>
      </c>
      <c r="F182" s="10"/>
      <c r="G182" s="10"/>
      <c r="H182" s="19" t="s">
        <v>193</v>
      </c>
      <c r="I182" s="13"/>
      <c r="J182" s="13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8">
        <v>45902.0</v>
      </c>
      <c r="B183" s="9" t="s">
        <v>29</v>
      </c>
      <c r="C183" s="19" t="s">
        <v>198</v>
      </c>
      <c r="D183" s="20"/>
      <c r="E183" s="10"/>
      <c r="F183" s="5">
        <v>8.0E7</v>
      </c>
      <c r="G183" s="10"/>
      <c r="H183" s="19" t="s">
        <v>193</v>
      </c>
      <c r="I183" s="13"/>
      <c r="J183" s="13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8">
        <v>45902.0</v>
      </c>
      <c r="B184" s="9" t="s">
        <v>136</v>
      </c>
      <c r="C184" s="19" t="s">
        <v>198</v>
      </c>
      <c r="D184" s="16">
        <v>5060000.0</v>
      </c>
      <c r="E184" s="5">
        <v>5060000.0</v>
      </c>
      <c r="F184" s="5">
        <v>5060000.0</v>
      </c>
      <c r="G184" s="5">
        <v>5060000.0</v>
      </c>
      <c r="H184" s="19" t="s">
        <v>193</v>
      </c>
      <c r="I184" s="13"/>
      <c r="J184" s="13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8">
        <v>45902.0</v>
      </c>
      <c r="B185" s="9" t="s">
        <v>88</v>
      </c>
      <c r="C185" s="19" t="s">
        <v>198</v>
      </c>
      <c r="D185" s="20"/>
      <c r="E185" s="5">
        <v>1.0E7</v>
      </c>
      <c r="F185" s="5">
        <v>1.0E7</v>
      </c>
      <c r="G185" s="10"/>
      <c r="H185" s="19" t="s">
        <v>193</v>
      </c>
      <c r="I185" s="13"/>
      <c r="J185" s="13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8">
        <v>45902.0</v>
      </c>
      <c r="B186" s="9" t="s">
        <v>27</v>
      </c>
      <c r="C186" s="19" t="s">
        <v>198</v>
      </c>
      <c r="D186" s="16">
        <v>4600000.0</v>
      </c>
      <c r="E186" s="5">
        <v>4600000.0</v>
      </c>
      <c r="F186" s="5">
        <v>4600000.0</v>
      </c>
      <c r="G186" s="5">
        <v>4600000.0</v>
      </c>
      <c r="H186" s="19" t="s">
        <v>193</v>
      </c>
      <c r="I186" s="13"/>
      <c r="J186" s="13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8">
        <v>45902.0</v>
      </c>
      <c r="B187" s="9" t="s">
        <v>197</v>
      </c>
      <c r="C187" s="19" t="s">
        <v>198</v>
      </c>
      <c r="D187" s="16">
        <v>1.0E7</v>
      </c>
      <c r="E187" s="5">
        <v>1.0E7</v>
      </c>
      <c r="F187" s="5">
        <v>1.0E7</v>
      </c>
      <c r="G187" s="5">
        <v>4657644.0</v>
      </c>
      <c r="H187" s="19" t="s">
        <v>193</v>
      </c>
      <c r="I187" s="13"/>
      <c r="J187" s="13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8">
        <v>45902.0</v>
      </c>
      <c r="B188" s="9" t="s">
        <v>96</v>
      </c>
      <c r="C188" s="19" t="s">
        <v>198</v>
      </c>
      <c r="D188" s="20"/>
      <c r="E188" s="5">
        <v>1.0E7</v>
      </c>
      <c r="F188" s="5">
        <v>1.0E7</v>
      </c>
      <c r="G188" s="10"/>
      <c r="H188" s="19" t="s">
        <v>193</v>
      </c>
      <c r="I188" s="13"/>
      <c r="J188" s="13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8">
        <v>45902.0</v>
      </c>
      <c r="B189" s="9" t="s">
        <v>17</v>
      </c>
      <c r="C189" s="19" t="s">
        <v>198</v>
      </c>
      <c r="D189" s="16">
        <v>1.0E7</v>
      </c>
      <c r="E189" s="5">
        <v>1.0E7</v>
      </c>
      <c r="F189" s="5">
        <v>1.0E7</v>
      </c>
      <c r="G189" s="5">
        <v>1.0E7</v>
      </c>
      <c r="H189" s="19" t="s">
        <v>193</v>
      </c>
      <c r="I189" s="13"/>
      <c r="J189" s="13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8">
        <v>45902.0</v>
      </c>
      <c r="B190" s="9" t="s">
        <v>43</v>
      </c>
      <c r="C190" s="19" t="s">
        <v>198</v>
      </c>
      <c r="D190" s="20"/>
      <c r="E190" s="5">
        <v>1.0E7</v>
      </c>
      <c r="F190" s="5">
        <v>1.0E7</v>
      </c>
      <c r="G190" s="10"/>
      <c r="H190" s="19" t="s">
        <v>193</v>
      </c>
      <c r="I190" s="13"/>
      <c r="J190" s="13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8">
        <v>45902.0</v>
      </c>
      <c r="B191" s="9" t="s">
        <v>137</v>
      </c>
      <c r="C191" s="19" t="s">
        <v>198</v>
      </c>
      <c r="D191" s="16">
        <v>1.0E7</v>
      </c>
      <c r="E191" s="5">
        <v>1.0E7</v>
      </c>
      <c r="F191" s="5">
        <v>1.0E7</v>
      </c>
      <c r="G191" s="5">
        <v>1.0E7</v>
      </c>
      <c r="H191" s="19" t="s">
        <v>193</v>
      </c>
      <c r="I191" s="13"/>
      <c r="J191" s="13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8">
        <v>45902.0</v>
      </c>
      <c r="B192" s="9" t="s">
        <v>146</v>
      </c>
      <c r="C192" s="19" t="s">
        <v>198</v>
      </c>
      <c r="D192" s="16">
        <v>4968000.0</v>
      </c>
      <c r="E192" s="5">
        <v>5060000.0</v>
      </c>
      <c r="F192" s="5">
        <v>5060000.0</v>
      </c>
      <c r="G192" s="5">
        <v>5014000.0</v>
      </c>
      <c r="H192" s="19" t="s">
        <v>193</v>
      </c>
      <c r="I192" s="13"/>
      <c r="J192" s="13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8">
        <v>45902.0</v>
      </c>
      <c r="B193" s="9" t="s">
        <v>25</v>
      </c>
      <c r="C193" s="19" t="s">
        <v>198</v>
      </c>
      <c r="D193" s="16">
        <v>1.0E7</v>
      </c>
      <c r="E193" s="5">
        <v>1.0E7</v>
      </c>
      <c r="F193" s="10"/>
      <c r="G193" s="10"/>
      <c r="H193" s="19" t="s">
        <v>193</v>
      </c>
      <c r="I193" s="13"/>
      <c r="J193" s="13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8">
        <v>45902.0</v>
      </c>
      <c r="B194" s="9" t="s">
        <v>147</v>
      </c>
      <c r="C194" s="19" t="s">
        <v>198</v>
      </c>
      <c r="D194" s="16">
        <v>2.0E7</v>
      </c>
      <c r="E194" s="5">
        <v>2.0E7</v>
      </c>
      <c r="F194" s="5">
        <v>2.0E7</v>
      </c>
      <c r="G194" s="5">
        <v>2.0E7</v>
      </c>
      <c r="H194" s="19" t="s">
        <v>193</v>
      </c>
      <c r="I194" s="13"/>
      <c r="J194" s="13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8">
        <v>45902.0</v>
      </c>
      <c r="B195" s="9" t="s">
        <v>71</v>
      </c>
      <c r="C195" s="19" t="s">
        <v>198</v>
      </c>
      <c r="D195" s="16">
        <v>5520000.0</v>
      </c>
      <c r="E195" s="5">
        <v>5520000.0</v>
      </c>
      <c r="F195" s="5">
        <v>5520000.0</v>
      </c>
      <c r="G195" s="5">
        <v>5520000.0</v>
      </c>
      <c r="H195" s="19" t="s">
        <v>193</v>
      </c>
      <c r="I195" s="13"/>
      <c r="J195" s="13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8">
        <v>45902.0</v>
      </c>
      <c r="B196" s="9" t="s">
        <v>33</v>
      </c>
      <c r="C196" s="19" t="s">
        <v>198</v>
      </c>
      <c r="D196" s="16">
        <v>4998880.0</v>
      </c>
      <c r="E196" s="5">
        <v>5001120.0</v>
      </c>
      <c r="F196" s="5">
        <v>5001120.0</v>
      </c>
      <c r="G196" s="5">
        <v>4998880.0</v>
      </c>
      <c r="H196" s="19" t="s">
        <v>193</v>
      </c>
      <c r="I196" s="13"/>
      <c r="J196" s="13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8">
        <v>45902.0</v>
      </c>
      <c r="B197" s="9" t="s">
        <v>73</v>
      </c>
      <c r="C197" s="19" t="s">
        <v>198</v>
      </c>
      <c r="D197" s="20"/>
      <c r="E197" s="5">
        <v>5.0E7</v>
      </c>
      <c r="F197" s="10"/>
      <c r="G197" s="10"/>
      <c r="H197" s="19" t="s">
        <v>193</v>
      </c>
      <c r="I197" s="13"/>
      <c r="J197" s="13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8">
        <v>45902.0</v>
      </c>
      <c r="B198" s="9" t="s">
        <v>148</v>
      </c>
      <c r="C198" s="19" t="s">
        <v>198</v>
      </c>
      <c r="D198" s="16">
        <v>2.0E7</v>
      </c>
      <c r="E198" s="5">
        <v>2.0E7</v>
      </c>
      <c r="F198" s="5">
        <v>2.0E7</v>
      </c>
      <c r="G198" s="5">
        <v>2.0E7</v>
      </c>
      <c r="H198" s="19" t="s">
        <v>193</v>
      </c>
      <c r="I198" s="13"/>
      <c r="J198" s="13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8">
        <v>45902.0</v>
      </c>
      <c r="B199" s="9" t="s">
        <v>132</v>
      </c>
      <c r="C199" s="19" t="s">
        <v>198</v>
      </c>
      <c r="D199" s="16">
        <v>1.0E7</v>
      </c>
      <c r="E199" s="5">
        <v>1.0E7</v>
      </c>
      <c r="F199" s="5">
        <v>1.0E7</v>
      </c>
      <c r="G199" s="5">
        <v>6365779.0</v>
      </c>
      <c r="H199" s="19" t="s">
        <v>193</v>
      </c>
      <c r="I199" s="13"/>
      <c r="J199" s="13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8">
        <v>45902.0</v>
      </c>
      <c r="B200" s="9" t="s">
        <v>70</v>
      </c>
      <c r="C200" s="19" t="s">
        <v>198</v>
      </c>
      <c r="D200" s="16">
        <v>4600000.0</v>
      </c>
      <c r="E200" s="5">
        <v>4600000.0</v>
      </c>
      <c r="F200" s="5">
        <v>4600000.0</v>
      </c>
      <c r="G200" s="5">
        <v>4600000.0</v>
      </c>
      <c r="H200" s="19" t="s">
        <v>193</v>
      </c>
      <c r="I200" s="13"/>
      <c r="J200" s="13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8">
        <v>45902.0</v>
      </c>
      <c r="B201" s="9" t="s">
        <v>119</v>
      </c>
      <c r="C201" s="19" t="s">
        <v>198</v>
      </c>
      <c r="D201" s="16">
        <v>1.0E7</v>
      </c>
      <c r="E201" s="10"/>
      <c r="F201" s="10"/>
      <c r="G201" s="5">
        <v>1.0E7</v>
      </c>
      <c r="H201" s="19" t="s">
        <v>193</v>
      </c>
      <c r="I201" s="13"/>
      <c r="J201" s="13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8">
        <v>45902.0</v>
      </c>
      <c r="B202" s="9" t="s">
        <v>79</v>
      </c>
      <c r="C202" s="19" t="s">
        <v>198</v>
      </c>
      <c r="D202" s="16">
        <v>5919920.0</v>
      </c>
      <c r="E202" s="5">
        <v>4080079.0</v>
      </c>
      <c r="F202" s="5">
        <v>5182063.0</v>
      </c>
      <c r="G202" s="5">
        <v>1.0E7</v>
      </c>
      <c r="H202" s="19" t="s">
        <v>193</v>
      </c>
      <c r="I202" s="13"/>
      <c r="J202" s="13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8">
        <v>45903.0</v>
      </c>
      <c r="B203" s="9" t="s">
        <v>161</v>
      </c>
      <c r="C203" s="19" t="s">
        <v>198</v>
      </c>
      <c r="D203" s="16">
        <v>5000200.0</v>
      </c>
      <c r="E203" s="5">
        <v>5000200.0</v>
      </c>
      <c r="F203" s="5">
        <v>5000200.0</v>
      </c>
      <c r="G203" s="5">
        <v>5000200.0</v>
      </c>
      <c r="H203" s="19" t="s">
        <v>193</v>
      </c>
      <c r="I203" s="13"/>
      <c r="J203" s="13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8">
        <v>45903.0</v>
      </c>
      <c r="B204" s="9" t="s">
        <v>80</v>
      </c>
      <c r="C204" s="19" t="s">
        <v>198</v>
      </c>
      <c r="D204" s="20"/>
      <c r="E204" s="10"/>
      <c r="F204" s="5">
        <v>2.0E7</v>
      </c>
      <c r="G204" s="10"/>
      <c r="H204" s="19" t="s">
        <v>193</v>
      </c>
      <c r="I204" s="13"/>
      <c r="J204" s="13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8">
        <v>45903.0</v>
      </c>
      <c r="B205" s="9" t="s">
        <v>151</v>
      </c>
      <c r="C205" s="19" t="s">
        <v>198</v>
      </c>
      <c r="D205" s="20"/>
      <c r="E205" s="10"/>
      <c r="F205" s="10"/>
      <c r="G205" s="5">
        <v>2.0E7</v>
      </c>
      <c r="H205" s="19" t="s">
        <v>193</v>
      </c>
      <c r="I205" s="13"/>
      <c r="J205" s="13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8">
        <v>45903.0</v>
      </c>
      <c r="B206" s="9" t="s">
        <v>128</v>
      </c>
      <c r="C206" s="19" t="s">
        <v>198</v>
      </c>
      <c r="D206" s="20"/>
      <c r="E206" s="5">
        <v>2.0E7</v>
      </c>
      <c r="F206" s="10"/>
      <c r="G206" s="10"/>
      <c r="H206" s="19" t="s">
        <v>193</v>
      </c>
      <c r="I206" s="13"/>
      <c r="J206" s="13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8">
        <v>45903.0</v>
      </c>
      <c r="B207" s="9" t="s">
        <v>162</v>
      </c>
      <c r="C207" s="19" t="s">
        <v>198</v>
      </c>
      <c r="D207" s="16">
        <v>5000200.0</v>
      </c>
      <c r="E207" s="5">
        <v>5000200.0</v>
      </c>
      <c r="F207" s="5">
        <v>5000200.0</v>
      </c>
      <c r="G207" s="5">
        <v>5000200.0</v>
      </c>
      <c r="H207" s="19" t="s">
        <v>193</v>
      </c>
      <c r="I207" s="13"/>
      <c r="J207" s="13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8">
        <v>45903.0</v>
      </c>
      <c r="B208" s="9" t="s">
        <v>142</v>
      </c>
      <c r="C208" s="19" t="s">
        <v>198</v>
      </c>
      <c r="D208" s="16">
        <v>1.2E7</v>
      </c>
      <c r="E208" s="5">
        <v>8000000.0</v>
      </c>
      <c r="F208" s="10"/>
      <c r="G208" s="10"/>
      <c r="H208" s="19" t="s">
        <v>193</v>
      </c>
      <c r="I208" s="13"/>
      <c r="J208" s="13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8">
        <v>45903.0</v>
      </c>
      <c r="B209" s="9" t="s">
        <v>87</v>
      </c>
      <c r="C209" s="19" t="s">
        <v>198</v>
      </c>
      <c r="D209" s="16">
        <v>1.0E7</v>
      </c>
      <c r="E209" s="5">
        <v>1.0E7</v>
      </c>
      <c r="F209" s="10"/>
      <c r="G209" s="10"/>
      <c r="H209" s="19" t="s">
        <v>193</v>
      </c>
      <c r="I209" s="13"/>
      <c r="J209" s="13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8">
        <v>45903.0</v>
      </c>
      <c r="B210" s="9" t="s">
        <v>141</v>
      </c>
      <c r="C210" s="19" t="s">
        <v>198</v>
      </c>
      <c r="D210" s="16">
        <v>1.0E7</v>
      </c>
      <c r="E210" s="5">
        <v>1.0E7</v>
      </c>
      <c r="F210" s="5">
        <v>1.0E7</v>
      </c>
      <c r="G210" s="10"/>
      <c r="H210" s="19" t="s">
        <v>193</v>
      </c>
      <c r="I210" s="13"/>
      <c r="J210" s="13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8">
        <v>45903.0</v>
      </c>
      <c r="B211" s="9" t="s">
        <v>74</v>
      </c>
      <c r="C211" s="19" t="s">
        <v>196</v>
      </c>
      <c r="D211" s="16">
        <v>5060000.0</v>
      </c>
      <c r="E211" s="5">
        <v>5060000.0</v>
      </c>
      <c r="F211" s="5">
        <v>5060000.0</v>
      </c>
      <c r="G211" s="5">
        <v>5060000.0</v>
      </c>
      <c r="H211" s="19" t="s">
        <v>193</v>
      </c>
      <c r="I211" s="13"/>
      <c r="J211" s="13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8">
        <v>45903.0</v>
      </c>
      <c r="B212" s="9" t="s">
        <v>86</v>
      </c>
      <c r="C212" s="19" t="s">
        <v>198</v>
      </c>
      <c r="D212" s="16">
        <v>2.0E7</v>
      </c>
      <c r="E212" s="5">
        <v>2.0E7</v>
      </c>
      <c r="F212" s="5">
        <v>2.0E7</v>
      </c>
      <c r="G212" s="10"/>
      <c r="H212" s="19" t="s">
        <v>193</v>
      </c>
      <c r="I212" s="13"/>
      <c r="J212" s="13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8">
        <v>45903.0</v>
      </c>
      <c r="B213" s="9" t="s">
        <v>125</v>
      </c>
      <c r="C213" s="19" t="s">
        <v>198</v>
      </c>
      <c r="D213" s="16">
        <v>6.0E7</v>
      </c>
      <c r="E213" s="5">
        <v>6.0E7</v>
      </c>
      <c r="F213" s="5">
        <v>2.0E7</v>
      </c>
      <c r="G213" s="5">
        <v>2.0E7</v>
      </c>
      <c r="H213" s="19" t="s">
        <v>193</v>
      </c>
      <c r="I213" s="13"/>
      <c r="J213" s="13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8">
        <v>45903.0</v>
      </c>
      <c r="B214" s="9" t="s">
        <v>50</v>
      </c>
      <c r="C214" s="19" t="s">
        <v>198</v>
      </c>
      <c r="D214" s="16">
        <v>2.0E7</v>
      </c>
      <c r="E214" s="10"/>
      <c r="F214" s="10"/>
      <c r="G214" s="5">
        <v>2.0E7</v>
      </c>
      <c r="H214" s="19" t="s">
        <v>193</v>
      </c>
      <c r="I214" s="13"/>
      <c r="J214" s="13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8">
        <v>45904.0</v>
      </c>
      <c r="B215" s="9" t="s">
        <v>84</v>
      </c>
      <c r="C215" s="19" t="s">
        <v>198</v>
      </c>
      <c r="D215" s="20"/>
      <c r="E215" s="5">
        <v>1.0E7</v>
      </c>
      <c r="F215" s="5">
        <v>1.0E7</v>
      </c>
      <c r="G215" s="10"/>
      <c r="H215" s="19" t="s">
        <v>193</v>
      </c>
      <c r="I215" s="13"/>
      <c r="J215" s="13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8">
        <v>45904.0</v>
      </c>
      <c r="B216" s="9" t="s">
        <v>150</v>
      </c>
      <c r="C216" s="19" t="s">
        <v>198</v>
      </c>
      <c r="D216" s="16">
        <v>6531322.0</v>
      </c>
      <c r="E216" s="5">
        <v>1.0E7</v>
      </c>
      <c r="F216" s="5">
        <v>1.0E7</v>
      </c>
      <c r="G216" s="5">
        <v>1.0E7</v>
      </c>
      <c r="H216" s="19" t="s">
        <v>193</v>
      </c>
      <c r="I216" s="13"/>
      <c r="J216" s="13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8">
        <v>45904.0</v>
      </c>
      <c r="B217" s="9" t="s">
        <v>54</v>
      </c>
      <c r="C217" s="19" t="s">
        <v>198</v>
      </c>
      <c r="D217" s="16"/>
      <c r="E217" s="5">
        <v>2.0E7</v>
      </c>
      <c r="F217" s="5"/>
      <c r="G217" s="5"/>
      <c r="H217" s="19" t="s">
        <v>193</v>
      </c>
      <c r="I217" s="13"/>
      <c r="J217" s="13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8">
        <v>45904.0</v>
      </c>
      <c r="B218" s="9" t="s">
        <v>109</v>
      </c>
      <c r="C218" s="19" t="s">
        <v>198</v>
      </c>
      <c r="D218" s="5">
        <v>1.0E7</v>
      </c>
      <c r="E218" s="5">
        <v>1.0E7</v>
      </c>
      <c r="F218" s="5">
        <v>1.0E7</v>
      </c>
      <c r="G218" s="5"/>
      <c r="H218" s="19" t="s">
        <v>193</v>
      </c>
      <c r="I218" s="13"/>
      <c r="J218" s="13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8">
        <v>45904.0</v>
      </c>
      <c r="B219" s="9" t="s">
        <v>143</v>
      </c>
      <c r="C219" s="19" t="s">
        <v>198</v>
      </c>
      <c r="D219" s="5"/>
      <c r="E219" s="5">
        <v>3.0E7</v>
      </c>
      <c r="F219" s="5"/>
      <c r="G219" s="5"/>
      <c r="H219" s="19" t="s">
        <v>193</v>
      </c>
      <c r="I219" s="13"/>
      <c r="J219" s="13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8">
        <v>45904.0</v>
      </c>
      <c r="B220" s="9" t="s">
        <v>75</v>
      </c>
      <c r="C220" s="19" t="s">
        <v>198</v>
      </c>
      <c r="D220" s="5">
        <v>1.0E7</v>
      </c>
      <c r="E220" s="5">
        <v>1.0E7</v>
      </c>
      <c r="F220" s="5">
        <v>1.0E7</v>
      </c>
      <c r="G220" s="5">
        <v>1.0E7</v>
      </c>
      <c r="H220" s="19" t="s">
        <v>193</v>
      </c>
      <c r="I220" s="13"/>
      <c r="J220" s="13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8">
        <v>45904.0</v>
      </c>
      <c r="B221" s="9" t="s">
        <v>47</v>
      </c>
      <c r="C221" s="19" t="s">
        <v>198</v>
      </c>
      <c r="D221" s="5">
        <v>1.00096E7</v>
      </c>
      <c r="E221" s="5">
        <v>1.00096E7</v>
      </c>
      <c r="F221" s="5">
        <v>1.00096E7</v>
      </c>
      <c r="G221" s="5">
        <v>1.00096E7</v>
      </c>
      <c r="H221" s="19" t="s">
        <v>193</v>
      </c>
      <c r="I221" s="13"/>
      <c r="J221" s="13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8">
        <v>45905.0</v>
      </c>
      <c r="B222" s="9" t="s">
        <v>168</v>
      </c>
      <c r="C222" s="19" t="s">
        <v>196</v>
      </c>
      <c r="D222" s="21">
        <v>2.456937866E9</v>
      </c>
      <c r="E222" s="22">
        <v>1.79502304E9</v>
      </c>
      <c r="F222" s="22">
        <v>1.518577334E9</v>
      </c>
      <c r="G222" s="22">
        <v>4.33720806E8</v>
      </c>
      <c r="H222" s="19" t="s">
        <v>193</v>
      </c>
      <c r="I222" s="13"/>
      <c r="J222" s="13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8">
        <v>45905.0</v>
      </c>
      <c r="B223" s="9" t="s">
        <v>100</v>
      </c>
      <c r="C223" s="19" t="s">
        <v>196</v>
      </c>
      <c r="D223" s="16">
        <v>5.0E7</v>
      </c>
      <c r="E223" s="22">
        <v>5.0E7</v>
      </c>
      <c r="F223" s="10"/>
      <c r="G223" s="22">
        <v>1.4E8</v>
      </c>
      <c r="H223" s="19" t="s">
        <v>193</v>
      </c>
      <c r="I223" s="13"/>
      <c r="J223" s="13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8">
        <v>45905.0</v>
      </c>
      <c r="B224" s="9" t="s">
        <v>131</v>
      </c>
      <c r="C224" s="19" t="s">
        <v>198</v>
      </c>
      <c r="D224" s="5">
        <v>1.0E7</v>
      </c>
      <c r="E224" s="13"/>
      <c r="F224" s="13"/>
      <c r="G224" s="13"/>
      <c r="H224" s="19" t="s">
        <v>193</v>
      </c>
      <c r="I224" s="13"/>
      <c r="J224" s="13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8">
        <v>45905.0</v>
      </c>
      <c r="B225" s="9" t="s">
        <v>143</v>
      </c>
      <c r="C225" s="19" t="s">
        <v>196</v>
      </c>
      <c r="D225" s="13"/>
      <c r="E225" s="5">
        <v>2.0E7</v>
      </c>
      <c r="F225" s="13"/>
      <c r="G225" s="13"/>
      <c r="H225" s="19" t="s">
        <v>193</v>
      </c>
      <c r="I225" s="13"/>
      <c r="J225" s="13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8">
        <v>45906.0</v>
      </c>
      <c r="B226" s="9" t="s">
        <v>16</v>
      </c>
      <c r="C226" s="19" t="s">
        <v>196</v>
      </c>
      <c r="D226" s="5">
        <v>1.0</v>
      </c>
      <c r="E226" s="13"/>
      <c r="F226" s="13"/>
      <c r="G226" s="13"/>
      <c r="H226" s="19" t="s">
        <v>193</v>
      </c>
      <c r="I226" s="13"/>
      <c r="J226" s="13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8">
        <v>45906.0</v>
      </c>
      <c r="B227" s="9" t="s">
        <v>156</v>
      </c>
      <c r="C227" s="19" t="s">
        <v>195</v>
      </c>
      <c r="D227" s="5">
        <v>1.0E7</v>
      </c>
      <c r="E227" s="13"/>
      <c r="F227" s="13"/>
      <c r="G227" s="5">
        <v>1.7827159E7</v>
      </c>
      <c r="H227" s="19" t="s">
        <v>193</v>
      </c>
      <c r="I227" s="13"/>
      <c r="J227" s="13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8">
        <v>45906.0</v>
      </c>
      <c r="B228" s="12" t="s">
        <v>167</v>
      </c>
      <c r="C228" s="19" t="s">
        <v>198</v>
      </c>
      <c r="D228" s="5">
        <v>2.0E7</v>
      </c>
      <c r="E228" s="5">
        <v>2.0E7</v>
      </c>
      <c r="F228" s="5">
        <v>1.0E7</v>
      </c>
      <c r="G228" s="13"/>
      <c r="H228" s="19" t="s">
        <v>193</v>
      </c>
      <c r="I228" s="13"/>
      <c r="J228" s="13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8">
        <v>45906.0</v>
      </c>
      <c r="B229" s="9" t="s">
        <v>33</v>
      </c>
      <c r="C229" s="19" t="s">
        <v>196</v>
      </c>
      <c r="D229" s="13"/>
      <c r="E229" s="13"/>
      <c r="F229" s="5">
        <v>3.0E8</v>
      </c>
      <c r="G229" s="13"/>
      <c r="H229" s="19" t="s">
        <v>193</v>
      </c>
      <c r="I229" s="13"/>
      <c r="J229" s="13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8">
        <v>45906.0</v>
      </c>
      <c r="B230" s="9" t="s">
        <v>135</v>
      </c>
      <c r="C230" s="19" t="s">
        <v>195</v>
      </c>
      <c r="D230" s="5">
        <v>1.08E8</v>
      </c>
      <c r="E230" s="5">
        <v>6.4743367E7</v>
      </c>
      <c r="F230" s="5">
        <v>6.3294641E7</v>
      </c>
      <c r="G230" s="5">
        <v>9.0594976E7</v>
      </c>
      <c r="H230" s="19" t="s">
        <v>193</v>
      </c>
      <c r="I230" s="13"/>
      <c r="J230" s="13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8">
        <v>45906.0</v>
      </c>
      <c r="B231" s="9" t="s">
        <v>134</v>
      </c>
      <c r="C231" s="19" t="s">
        <v>195</v>
      </c>
      <c r="D231" s="16">
        <v>7.0E7</v>
      </c>
      <c r="E231" s="16">
        <v>7.0E7</v>
      </c>
      <c r="F231" s="16">
        <v>7.0E7</v>
      </c>
      <c r="G231" s="16">
        <v>7.0E7</v>
      </c>
      <c r="H231" s="19" t="s">
        <v>193</v>
      </c>
      <c r="I231" s="13"/>
      <c r="J231" s="13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8">
        <v>45906.0</v>
      </c>
      <c r="B232" s="9" t="s">
        <v>143</v>
      </c>
      <c r="C232" s="19" t="s">
        <v>196</v>
      </c>
      <c r="D232" s="13"/>
      <c r="E232" s="5">
        <v>2.0E7</v>
      </c>
      <c r="F232" s="13"/>
      <c r="G232" s="13"/>
      <c r="H232" s="19" t="s">
        <v>193</v>
      </c>
      <c r="I232" s="13"/>
      <c r="J232" s="13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8">
        <v>45906.0</v>
      </c>
      <c r="B233" s="9" t="s">
        <v>51</v>
      </c>
      <c r="C233" s="19" t="s">
        <v>198</v>
      </c>
      <c r="D233" s="5">
        <v>1.0E7</v>
      </c>
      <c r="E233" s="5">
        <v>1.0E7</v>
      </c>
      <c r="F233" s="13"/>
      <c r="G233" s="5">
        <v>1.0E7</v>
      </c>
      <c r="H233" s="19" t="s">
        <v>193</v>
      </c>
      <c r="I233" s="13"/>
      <c r="J233" s="13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8">
        <v>45906.0</v>
      </c>
      <c r="B234" s="11" t="s">
        <v>169</v>
      </c>
      <c r="C234" s="19" t="s">
        <v>198</v>
      </c>
      <c r="D234" s="5">
        <v>2.0E7</v>
      </c>
      <c r="E234" s="5">
        <v>8.0E7</v>
      </c>
      <c r="F234" s="13"/>
      <c r="G234" s="13"/>
      <c r="H234" s="19" t="s">
        <v>193</v>
      </c>
      <c r="I234" s="13"/>
      <c r="J234" s="13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8">
        <v>45906.0</v>
      </c>
      <c r="B235" s="9" t="s">
        <v>97</v>
      </c>
      <c r="C235" s="19" t="s">
        <v>196</v>
      </c>
      <c r="D235" s="13"/>
      <c r="E235" s="5">
        <v>2.0E7</v>
      </c>
      <c r="F235" s="5">
        <v>5.0E7</v>
      </c>
      <c r="G235" s="5">
        <v>1.0E7</v>
      </c>
      <c r="H235" s="19" t="s">
        <v>193</v>
      </c>
      <c r="I235" s="13"/>
      <c r="J235" s="13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8">
        <v>45907.0</v>
      </c>
      <c r="B236" s="9" t="s">
        <v>72</v>
      </c>
      <c r="C236" s="19" t="s">
        <v>195</v>
      </c>
      <c r="D236" s="5">
        <v>2.0E8</v>
      </c>
      <c r="E236" s="5">
        <v>5.0E7</v>
      </c>
      <c r="F236" s="5">
        <v>2.0E8</v>
      </c>
      <c r="G236" s="5">
        <v>5.0E7</v>
      </c>
      <c r="H236" s="19" t="s">
        <v>193</v>
      </c>
      <c r="I236" s="13"/>
      <c r="J236" s="13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8">
        <v>45907.0</v>
      </c>
      <c r="B237" s="9" t="s">
        <v>44</v>
      </c>
      <c r="C237" s="19" t="s">
        <v>198</v>
      </c>
      <c r="D237" s="5">
        <v>1.0E7</v>
      </c>
      <c r="E237" s="5">
        <v>1.0E7</v>
      </c>
      <c r="F237" s="5">
        <v>1.0E7</v>
      </c>
      <c r="G237" s="13"/>
      <c r="H237" s="19" t="s">
        <v>193</v>
      </c>
      <c r="I237" s="13"/>
      <c r="J237" s="13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8">
        <v>45907.0</v>
      </c>
      <c r="B238" s="9" t="s">
        <v>94</v>
      </c>
      <c r="C238" s="19" t="s">
        <v>198</v>
      </c>
      <c r="D238" s="5">
        <v>2.0E7</v>
      </c>
      <c r="E238" s="5">
        <v>2.0E7</v>
      </c>
      <c r="F238" s="5">
        <v>1.0E7</v>
      </c>
      <c r="G238" s="13"/>
      <c r="H238" s="19" t="s">
        <v>193</v>
      </c>
      <c r="I238" s="13"/>
      <c r="J238" s="13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8">
        <v>45907.0</v>
      </c>
      <c r="B239" s="9" t="s">
        <v>78</v>
      </c>
      <c r="C239" s="19" t="s">
        <v>195</v>
      </c>
      <c r="D239" s="5">
        <v>1.5E8</v>
      </c>
      <c r="E239" s="5">
        <v>1.0E9</v>
      </c>
      <c r="F239" s="5">
        <v>1.4E8</v>
      </c>
      <c r="G239" s="5">
        <v>7.0E7</v>
      </c>
      <c r="H239" s="19" t="s">
        <v>193</v>
      </c>
      <c r="I239" s="13"/>
      <c r="J239" s="13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8">
        <v>45908.0</v>
      </c>
      <c r="B240" s="9" t="s">
        <v>118</v>
      </c>
      <c r="C240" s="19" t="s">
        <v>198</v>
      </c>
      <c r="D240" s="5">
        <v>1.0E7</v>
      </c>
      <c r="E240" s="5">
        <v>1.0E7</v>
      </c>
      <c r="F240" s="13"/>
      <c r="G240" s="13"/>
      <c r="H240" s="19" t="s">
        <v>193</v>
      </c>
      <c r="I240" s="13"/>
      <c r="J240" s="13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8">
        <v>45908.0</v>
      </c>
      <c r="B241" s="9" t="s">
        <v>68</v>
      </c>
      <c r="C241" s="19" t="s">
        <v>198</v>
      </c>
      <c r="D241" s="5">
        <v>2.0E7</v>
      </c>
      <c r="E241" s="5">
        <v>2.0E7</v>
      </c>
      <c r="F241" s="13"/>
      <c r="G241" s="13"/>
      <c r="H241" s="19" t="s">
        <v>193</v>
      </c>
      <c r="I241" s="13"/>
      <c r="J241" s="13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8">
        <v>45908.0</v>
      </c>
      <c r="B242" s="9" t="s">
        <v>82</v>
      </c>
      <c r="C242" s="19" t="s">
        <v>198</v>
      </c>
      <c r="D242" s="5">
        <v>1.0E7</v>
      </c>
      <c r="E242" s="5">
        <v>1.0E7</v>
      </c>
      <c r="F242" s="5">
        <v>49956.0</v>
      </c>
      <c r="G242" s="5">
        <v>49956.0</v>
      </c>
      <c r="H242" s="19" t="s">
        <v>193</v>
      </c>
      <c r="I242" s="13"/>
      <c r="J242" s="13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8">
        <v>45908.0</v>
      </c>
      <c r="B243" s="9" t="s">
        <v>27</v>
      </c>
      <c r="C243" s="19" t="s">
        <v>198</v>
      </c>
      <c r="D243" s="5">
        <v>5336000.0</v>
      </c>
      <c r="E243" s="5">
        <v>5458880.0</v>
      </c>
      <c r="F243" s="5">
        <v>4600000.0</v>
      </c>
      <c r="G243" s="5">
        <v>4600000.0</v>
      </c>
      <c r="H243" s="19" t="s">
        <v>193</v>
      </c>
      <c r="I243" s="13"/>
      <c r="J243" s="13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8">
        <v>45908.0</v>
      </c>
      <c r="B244" s="9" t="s">
        <v>80</v>
      </c>
      <c r="C244" s="19" t="s">
        <v>198</v>
      </c>
      <c r="D244" s="13"/>
      <c r="E244" s="5">
        <v>1.0E7</v>
      </c>
      <c r="F244" s="5">
        <v>2.0E7</v>
      </c>
      <c r="G244" s="13"/>
      <c r="H244" s="19" t="s">
        <v>193</v>
      </c>
      <c r="I244" s="13"/>
      <c r="J244" s="13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8">
        <v>45908.0</v>
      </c>
      <c r="B245" s="9" t="s">
        <v>161</v>
      </c>
      <c r="C245" s="19" t="s">
        <v>198</v>
      </c>
      <c r="D245" s="5">
        <v>5000200.0</v>
      </c>
      <c r="E245" s="5">
        <v>5000200.0</v>
      </c>
      <c r="F245" s="5">
        <v>5000200.0</v>
      </c>
      <c r="G245" s="5">
        <v>5000200.0</v>
      </c>
      <c r="H245" s="19" t="s">
        <v>193</v>
      </c>
      <c r="I245" s="13"/>
      <c r="J245" s="13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8">
        <v>45908.0</v>
      </c>
      <c r="B246" s="9" t="s">
        <v>197</v>
      </c>
      <c r="C246" s="19" t="s">
        <v>195</v>
      </c>
      <c r="D246" s="5">
        <v>2.42194116E8</v>
      </c>
      <c r="E246" s="5">
        <v>2.19661235E8</v>
      </c>
      <c r="F246" s="5">
        <v>2.6E8</v>
      </c>
      <c r="G246" s="5">
        <v>2.1791971E8</v>
      </c>
      <c r="H246" s="19" t="s">
        <v>193</v>
      </c>
      <c r="I246" s="13"/>
      <c r="J246" s="13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8">
        <v>45909.0</v>
      </c>
      <c r="B247" s="9" t="s">
        <v>79</v>
      </c>
      <c r="C247" s="19" t="s">
        <v>198</v>
      </c>
      <c r="D247" s="5">
        <v>1.0E7</v>
      </c>
      <c r="E247" s="5">
        <v>1.0E7</v>
      </c>
      <c r="F247" s="5">
        <v>5289822.0</v>
      </c>
      <c r="G247" s="5">
        <v>4710177.0</v>
      </c>
      <c r="H247" s="19" t="s">
        <v>193</v>
      </c>
      <c r="I247" s="13"/>
      <c r="J247" s="13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8">
        <v>45909.0</v>
      </c>
      <c r="B248" s="9" t="s">
        <v>151</v>
      </c>
      <c r="C248" s="19" t="s">
        <v>198</v>
      </c>
      <c r="D248" s="13"/>
      <c r="E248" s="13"/>
      <c r="F248" s="13"/>
      <c r="G248" s="5">
        <v>2.0E7</v>
      </c>
      <c r="H248" s="19" t="s">
        <v>193</v>
      </c>
      <c r="I248" s="13"/>
      <c r="J248" s="13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8">
        <v>45909.0</v>
      </c>
      <c r="B249" s="9" t="s">
        <v>146</v>
      </c>
      <c r="C249" s="19" t="s">
        <v>198</v>
      </c>
      <c r="D249" s="5">
        <v>1.0E7</v>
      </c>
      <c r="E249" s="5">
        <v>1.0E7</v>
      </c>
      <c r="F249" s="13"/>
      <c r="G249" s="13"/>
      <c r="H249" s="19" t="s">
        <v>193</v>
      </c>
      <c r="I249" s="13"/>
      <c r="J249" s="13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8">
        <v>45909.0</v>
      </c>
      <c r="B250" s="9" t="s">
        <v>21</v>
      </c>
      <c r="C250" s="19" t="s">
        <v>201</v>
      </c>
      <c r="D250" s="13"/>
      <c r="E250" s="13"/>
      <c r="F250" s="13"/>
      <c r="G250" s="22">
        <v>1.56989212E8</v>
      </c>
      <c r="H250" s="19" t="s">
        <v>193</v>
      </c>
      <c r="I250" s="13"/>
      <c r="J250" s="13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8">
        <v>45909.0</v>
      </c>
      <c r="B251" s="9" t="s">
        <v>108</v>
      </c>
      <c r="C251" s="19" t="s">
        <v>198</v>
      </c>
      <c r="D251" s="13"/>
      <c r="E251" s="13"/>
      <c r="F251" s="13"/>
      <c r="G251" s="5">
        <v>2.0E7</v>
      </c>
      <c r="H251" s="19" t="s">
        <v>193</v>
      </c>
      <c r="I251" s="13"/>
      <c r="J251" s="13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8">
        <v>45909.0</v>
      </c>
      <c r="B252" s="9" t="s">
        <v>163</v>
      </c>
      <c r="C252" s="19" t="s">
        <v>198</v>
      </c>
      <c r="D252" s="13"/>
      <c r="E252" s="5">
        <v>1.0E7</v>
      </c>
      <c r="F252" s="13"/>
      <c r="G252" s="5">
        <v>1.0E7</v>
      </c>
      <c r="H252" s="19" t="s">
        <v>193</v>
      </c>
      <c r="I252" s="13"/>
      <c r="J252" s="13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8">
        <v>45910.0</v>
      </c>
      <c r="B253" s="9" t="s">
        <v>81</v>
      </c>
      <c r="C253" s="19" t="s">
        <v>198</v>
      </c>
      <c r="D253" s="5">
        <v>6007200.0</v>
      </c>
      <c r="E253" s="5">
        <v>6007200.0</v>
      </c>
      <c r="F253" s="5">
        <v>6007200.0</v>
      </c>
      <c r="G253" s="5">
        <v>6007200.0</v>
      </c>
      <c r="H253" s="19" t="s">
        <v>193</v>
      </c>
      <c r="I253" s="13"/>
      <c r="J253" s="13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8">
        <v>45912.0</v>
      </c>
      <c r="B254" s="9" t="s">
        <v>98</v>
      </c>
      <c r="C254" s="19" t="s">
        <v>198</v>
      </c>
      <c r="D254" s="5">
        <v>1.0E7</v>
      </c>
      <c r="E254" s="5">
        <v>1.0E7</v>
      </c>
      <c r="F254" s="5">
        <v>1.0E7</v>
      </c>
      <c r="G254" s="5">
        <v>1.0E7</v>
      </c>
      <c r="H254" s="19" t="s">
        <v>193</v>
      </c>
      <c r="I254" s="13"/>
      <c r="J254" s="13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8">
        <v>45912.0</v>
      </c>
      <c r="B255" s="9" t="s">
        <v>74</v>
      </c>
      <c r="C255" s="19" t="s">
        <v>198</v>
      </c>
      <c r="D255" s="5">
        <v>5060000.0</v>
      </c>
      <c r="E255" s="5">
        <v>5060000.0</v>
      </c>
      <c r="F255" s="5">
        <v>5060000.0</v>
      </c>
      <c r="G255" s="5">
        <v>5060000.0</v>
      </c>
      <c r="H255" s="19" t="s">
        <v>193</v>
      </c>
      <c r="I255" s="13"/>
      <c r="J255" s="13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8">
        <v>45912.0</v>
      </c>
      <c r="B256" s="9" t="s">
        <v>131</v>
      </c>
      <c r="C256" s="19" t="s">
        <v>198</v>
      </c>
      <c r="D256" s="5">
        <v>1.0E7</v>
      </c>
      <c r="E256" s="5">
        <v>1.0E7</v>
      </c>
      <c r="F256" s="13"/>
      <c r="G256" s="13"/>
      <c r="H256" s="19" t="s">
        <v>193</v>
      </c>
      <c r="I256" s="13"/>
      <c r="J256" s="13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8">
        <v>45912.0</v>
      </c>
      <c r="B257" s="9" t="s">
        <v>62</v>
      </c>
      <c r="C257" s="19" t="s">
        <v>198</v>
      </c>
      <c r="D257" s="5">
        <v>5000200.0</v>
      </c>
      <c r="E257" s="5">
        <v>5000200.0</v>
      </c>
      <c r="F257" s="5">
        <v>5000200.0</v>
      </c>
      <c r="G257" s="5">
        <v>5000200.0</v>
      </c>
      <c r="H257" s="19" t="s">
        <v>193</v>
      </c>
      <c r="I257" s="13"/>
      <c r="J257" s="13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8">
        <v>45914.0</v>
      </c>
      <c r="B258" s="9" t="s">
        <v>148</v>
      </c>
      <c r="C258" s="19" t="s">
        <v>195</v>
      </c>
      <c r="D258" s="5">
        <v>2.0E7</v>
      </c>
      <c r="E258" s="5">
        <v>2.0E7</v>
      </c>
      <c r="F258" s="5">
        <v>2.0E7</v>
      </c>
      <c r="G258" s="5">
        <v>2.0E7</v>
      </c>
      <c r="H258" s="19" t="s">
        <v>193</v>
      </c>
      <c r="I258" s="13"/>
      <c r="J258" s="13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8">
        <v>45914.0</v>
      </c>
      <c r="B259" s="9" t="s">
        <v>110</v>
      </c>
      <c r="C259" s="19" t="s">
        <v>195</v>
      </c>
      <c r="D259" s="5">
        <v>1.84E7</v>
      </c>
      <c r="E259" s="5">
        <v>1.84E7</v>
      </c>
      <c r="F259" s="5">
        <v>1.84E7</v>
      </c>
      <c r="G259" s="5">
        <v>1.84E7</v>
      </c>
      <c r="H259" s="19" t="s">
        <v>193</v>
      </c>
      <c r="I259" s="13"/>
      <c r="J259" s="13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8">
        <v>45914.0</v>
      </c>
      <c r="B260" s="9" t="s">
        <v>79</v>
      </c>
      <c r="C260" s="19" t="s">
        <v>198</v>
      </c>
      <c r="D260" s="5">
        <v>1.0E7</v>
      </c>
      <c r="E260" s="5">
        <v>1.0E7</v>
      </c>
      <c r="F260" s="5">
        <v>1.0E7</v>
      </c>
      <c r="G260" s="5">
        <v>1.0E7</v>
      </c>
      <c r="H260" s="19" t="s">
        <v>193</v>
      </c>
      <c r="I260" s="13"/>
      <c r="J260" s="13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8">
        <v>45915.0</v>
      </c>
      <c r="B261" s="9" t="s">
        <v>148</v>
      </c>
      <c r="C261" s="19" t="s">
        <v>195</v>
      </c>
      <c r="D261" s="5">
        <v>8000000.0</v>
      </c>
      <c r="E261" s="5">
        <v>4000000.0</v>
      </c>
      <c r="F261" s="5">
        <v>4000000.0</v>
      </c>
      <c r="G261" s="5">
        <v>4000000.0</v>
      </c>
      <c r="H261" s="19" t="s">
        <v>193</v>
      </c>
      <c r="I261" s="13"/>
      <c r="J261" s="13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8">
        <v>45915.0</v>
      </c>
      <c r="B262" s="9" t="s">
        <v>94</v>
      </c>
      <c r="C262" s="19" t="s">
        <v>198</v>
      </c>
      <c r="D262" s="5">
        <v>2.0E7</v>
      </c>
      <c r="E262" s="5">
        <v>1.0E7</v>
      </c>
      <c r="F262" s="5">
        <v>3.0E7</v>
      </c>
      <c r="G262" s="13"/>
      <c r="H262" s="19" t="s">
        <v>193</v>
      </c>
      <c r="I262" s="13"/>
      <c r="J262" s="13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8">
        <v>45915.0</v>
      </c>
      <c r="B263" s="9" t="s">
        <v>68</v>
      </c>
      <c r="C263" s="19" t="s">
        <v>198</v>
      </c>
      <c r="D263" s="5">
        <v>1.0E7</v>
      </c>
      <c r="E263" s="5">
        <v>2.0E7</v>
      </c>
      <c r="F263" s="5">
        <v>1.0E7</v>
      </c>
      <c r="G263" s="13"/>
      <c r="H263" s="19" t="s">
        <v>193</v>
      </c>
      <c r="I263" s="13"/>
      <c r="J263" s="13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8">
        <v>45915.0</v>
      </c>
      <c r="B264" s="9" t="s">
        <v>137</v>
      </c>
      <c r="C264" s="19" t="s">
        <v>198</v>
      </c>
      <c r="D264" s="5">
        <v>1.0E7</v>
      </c>
      <c r="E264" s="5">
        <v>1.0E7</v>
      </c>
      <c r="F264" s="5">
        <v>1.0E7</v>
      </c>
      <c r="G264" s="5">
        <v>1.0E7</v>
      </c>
      <c r="H264" s="19" t="s">
        <v>193</v>
      </c>
      <c r="I264" s="13"/>
      <c r="J264" s="13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8">
        <v>45916.0</v>
      </c>
      <c r="B265" s="9" t="s">
        <v>98</v>
      </c>
      <c r="C265" s="19" t="s">
        <v>198</v>
      </c>
      <c r="D265" s="5">
        <v>1.0E7</v>
      </c>
      <c r="E265" s="5">
        <v>1.0E7</v>
      </c>
      <c r="F265" s="5">
        <v>1.0E7</v>
      </c>
      <c r="G265" s="5">
        <v>1.0E7</v>
      </c>
      <c r="H265" s="19" t="s">
        <v>193</v>
      </c>
      <c r="I265" s="13"/>
      <c r="J265" s="13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8">
        <v>45916.0</v>
      </c>
      <c r="B266" s="9" t="s">
        <v>82</v>
      </c>
      <c r="C266" s="19" t="s">
        <v>198</v>
      </c>
      <c r="D266" s="5">
        <v>1.0E7</v>
      </c>
      <c r="E266" s="5">
        <v>1.0E7</v>
      </c>
      <c r="F266" s="5">
        <v>64400.0</v>
      </c>
      <c r="G266" s="5">
        <v>36800.0</v>
      </c>
      <c r="H266" s="19" t="s">
        <v>193</v>
      </c>
      <c r="I266" s="13"/>
      <c r="J266" s="13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8">
        <v>45926.0</v>
      </c>
      <c r="B267" s="9" t="s">
        <v>72</v>
      </c>
      <c r="C267" s="19" t="s">
        <v>202</v>
      </c>
      <c r="D267" s="13"/>
      <c r="E267" s="13"/>
      <c r="F267" s="13"/>
      <c r="G267" s="5">
        <v>2.0E8</v>
      </c>
      <c r="H267" s="19" t="s">
        <v>203</v>
      </c>
      <c r="I267" s="13"/>
      <c r="J267" s="13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8">
        <v>45942.0</v>
      </c>
      <c r="B268" s="23" t="s">
        <v>67</v>
      </c>
      <c r="C268" s="19" t="s">
        <v>195</v>
      </c>
      <c r="D268" s="5">
        <v>1840000.0</v>
      </c>
      <c r="E268" s="5">
        <v>1840000.0</v>
      </c>
      <c r="F268" s="5">
        <v>1840000.0</v>
      </c>
      <c r="G268" s="5">
        <v>1840000.0</v>
      </c>
      <c r="H268" s="19" t="s">
        <v>193</v>
      </c>
      <c r="I268" s="13"/>
      <c r="J268" s="13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8">
        <v>45943.0</v>
      </c>
      <c r="B269" s="9" t="s">
        <v>154</v>
      </c>
      <c r="C269" s="19" t="s">
        <v>195</v>
      </c>
      <c r="D269" s="5">
        <v>8.0E7</v>
      </c>
      <c r="E269" s="13"/>
      <c r="F269" s="13"/>
      <c r="G269" s="13"/>
      <c r="H269" s="19" t="s">
        <v>193</v>
      </c>
      <c r="I269" s="13"/>
      <c r="J269" s="13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8">
        <v>45944.0</v>
      </c>
      <c r="B270" s="9" t="s">
        <v>171</v>
      </c>
      <c r="C270" s="19" t="s">
        <v>202</v>
      </c>
      <c r="D270" s="5">
        <v>4.0E8</v>
      </c>
      <c r="E270" s="5">
        <v>4.0E8</v>
      </c>
      <c r="F270" s="5">
        <v>4.0E8</v>
      </c>
      <c r="G270" s="5">
        <v>4.0E8</v>
      </c>
      <c r="H270" s="19" t="s">
        <v>203</v>
      </c>
      <c r="I270" s="13"/>
      <c r="J270" s="13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8">
        <v>45947.0</v>
      </c>
      <c r="B271" s="9" t="s">
        <v>123</v>
      </c>
      <c r="C271" s="19" t="s">
        <v>195</v>
      </c>
      <c r="D271" s="5">
        <v>2.0E7</v>
      </c>
      <c r="E271" s="5">
        <v>2.0E7</v>
      </c>
      <c r="F271" s="5">
        <v>1.0E7</v>
      </c>
      <c r="G271" s="13"/>
      <c r="H271" s="19" t="s">
        <v>193</v>
      </c>
      <c r="I271" s="13"/>
      <c r="J271" s="13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8">
        <v>45947.0</v>
      </c>
      <c r="B272" s="9" t="s">
        <v>35</v>
      </c>
      <c r="C272" s="19" t="s">
        <v>202</v>
      </c>
      <c r="D272" s="13"/>
      <c r="E272" s="13"/>
      <c r="F272" s="5">
        <v>4.0E8</v>
      </c>
      <c r="G272" s="13"/>
      <c r="H272" s="19" t="s">
        <v>203</v>
      </c>
      <c r="I272" s="13"/>
      <c r="J272" s="13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8">
        <v>45947.0</v>
      </c>
      <c r="B273" s="9" t="s">
        <v>165</v>
      </c>
      <c r="C273" s="19" t="s">
        <v>202</v>
      </c>
      <c r="D273" s="13"/>
      <c r="E273" s="5">
        <v>4.0E8</v>
      </c>
      <c r="F273" s="13"/>
      <c r="G273" s="5">
        <v>2.0E8</v>
      </c>
      <c r="H273" s="19" t="s">
        <v>203</v>
      </c>
      <c r="I273" s="13"/>
      <c r="J273" s="13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8">
        <v>45947.0</v>
      </c>
      <c r="B274" s="23" t="s">
        <v>136</v>
      </c>
      <c r="C274" s="19" t="s">
        <v>196</v>
      </c>
      <c r="D274" s="13"/>
      <c r="E274" s="13"/>
      <c r="F274" s="13"/>
      <c r="G274" s="5">
        <v>6.0E7</v>
      </c>
      <c r="H274" s="19" t="s">
        <v>193</v>
      </c>
      <c r="I274" s="13"/>
      <c r="J274" s="13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8">
        <v>45948.0</v>
      </c>
      <c r="B275" s="9" t="s">
        <v>171</v>
      </c>
      <c r="C275" s="19" t="s">
        <v>202</v>
      </c>
      <c r="D275" s="5">
        <v>1.0E9</v>
      </c>
      <c r="E275" s="5">
        <v>1.0E9</v>
      </c>
      <c r="F275" s="13"/>
      <c r="G275" s="5">
        <v>8.0E8</v>
      </c>
      <c r="H275" s="19" t="s">
        <v>203</v>
      </c>
      <c r="I275" s="13"/>
      <c r="J275" s="13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8">
        <v>45948.0</v>
      </c>
      <c r="B276" s="9" t="s">
        <v>15</v>
      </c>
      <c r="C276" s="19" t="s">
        <v>202</v>
      </c>
      <c r="D276" s="5">
        <v>5.0E8</v>
      </c>
      <c r="E276" s="5">
        <v>5.0E8</v>
      </c>
      <c r="F276" s="13"/>
      <c r="G276" s="5">
        <v>5.0E8</v>
      </c>
      <c r="H276" s="19" t="s">
        <v>203</v>
      </c>
      <c r="I276" s="13"/>
      <c r="J276" s="13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8">
        <v>45950.0</v>
      </c>
      <c r="B277" s="23" t="s">
        <v>136</v>
      </c>
      <c r="C277" s="19" t="s">
        <v>196</v>
      </c>
      <c r="D277" s="13"/>
      <c r="E277" s="13"/>
      <c r="F277" s="13"/>
      <c r="G277" s="5">
        <v>3.6805649E7</v>
      </c>
      <c r="H277" s="19" t="s">
        <v>193</v>
      </c>
      <c r="I277" s="13"/>
      <c r="J277" s="13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8">
        <v>45954.0</v>
      </c>
      <c r="B278" s="9" t="s">
        <v>79</v>
      </c>
      <c r="C278" s="19" t="s">
        <v>202</v>
      </c>
      <c r="D278" s="13"/>
      <c r="E278" s="13"/>
      <c r="F278" s="13"/>
      <c r="G278" s="5">
        <v>2.0E7</v>
      </c>
      <c r="H278" s="19" t="s">
        <v>203</v>
      </c>
      <c r="I278" s="13"/>
      <c r="J278" s="13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8">
        <v>45968.0</v>
      </c>
      <c r="B279" s="9" t="s">
        <v>165</v>
      </c>
      <c r="C279" s="19" t="s">
        <v>196</v>
      </c>
      <c r="D279" s="5">
        <v>2.0E7</v>
      </c>
      <c r="E279" s="5">
        <v>1.0E7</v>
      </c>
      <c r="F279" s="13"/>
      <c r="G279" s="13"/>
      <c r="H279" s="19" t="s">
        <v>193</v>
      </c>
      <c r="I279" s="13"/>
      <c r="J279" s="13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8">
        <v>45968.0</v>
      </c>
      <c r="B280" s="9" t="s">
        <v>125</v>
      </c>
      <c r="C280" s="19" t="s">
        <v>199</v>
      </c>
      <c r="D280" s="5">
        <v>1.0E8</v>
      </c>
      <c r="E280" s="5">
        <v>1.0E8</v>
      </c>
      <c r="F280" s="5">
        <v>1.0E8</v>
      </c>
      <c r="G280" s="5">
        <v>1.0E8</v>
      </c>
      <c r="H280" s="19" t="s">
        <v>193</v>
      </c>
      <c r="I280" s="13"/>
      <c r="J280" s="13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8">
        <v>45969.0</v>
      </c>
      <c r="B281" s="9" t="s">
        <v>150</v>
      </c>
      <c r="C281" s="19" t="s">
        <v>196</v>
      </c>
      <c r="D281" s="5">
        <v>1.0E7</v>
      </c>
      <c r="E281" s="5">
        <v>1.0E7</v>
      </c>
      <c r="F281" s="5">
        <v>1.0E7</v>
      </c>
      <c r="G281" s="5">
        <v>1.8579201E7</v>
      </c>
      <c r="H281" s="19" t="s">
        <v>193</v>
      </c>
      <c r="I281" s="13"/>
      <c r="J281" s="13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8">
        <v>45969.0</v>
      </c>
      <c r="B282" s="8" t="s">
        <v>68</v>
      </c>
      <c r="C282" s="19" t="s">
        <v>196</v>
      </c>
      <c r="D282" s="13"/>
      <c r="E282" s="5">
        <v>3.0E7</v>
      </c>
      <c r="F282" s="13"/>
      <c r="G282" s="13"/>
      <c r="H282" s="19" t="s">
        <v>193</v>
      </c>
      <c r="I282" s="13"/>
      <c r="J282" s="13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8">
        <v>45969.0</v>
      </c>
      <c r="B283" s="9" t="s">
        <v>81</v>
      </c>
      <c r="C283" s="19" t="s">
        <v>196</v>
      </c>
      <c r="D283" s="5">
        <v>1.0E7</v>
      </c>
      <c r="E283" s="5">
        <v>1.0E7</v>
      </c>
      <c r="F283" s="5">
        <v>1.0E7</v>
      </c>
      <c r="G283" s="5">
        <v>1.0E7</v>
      </c>
      <c r="H283" s="19" t="s">
        <v>193</v>
      </c>
      <c r="I283" s="13"/>
      <c r="J283" s="13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8">
        <v>45970.0</v>
      </c>
      <c r="B284" s="8" t="s">
        <v>68</v>
      </c>
      <c r="C284" s="19" t="s">
        <v>196</v>
      </c>
      <c r="D284" s="5">
        <v>1.0E7</v>
      </c>
      <c r="E284" s="5">
        <v>1.0E7</v>
      </c>
      <c r="F284" s="13"/>
      <c r="G284" s="13"/>
      <c r="H284" s="19" t="s">
        <v>193</v>
      </c>
      <c r="I284" s="13"/>
      <c r="J284" s="13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8">
        <v>45971.0</v>
      </c>
      <c r="B285" s="9" t="s">
        <v>49</v>
      </c>
      <c r="C285" s="19" t="s">
        <v>198</v>
      </c>
      <c r="D285" s="5">
        <v>1.4E7</v>
      </c>
      <c r="E285" s="5">
        <v>1.4E7</v>
      </c>
      <c r="F285" s="5">
        <v>4000000.0</v>
      </c>
      <c r="G285" s="5">
        <v>1.09E7</v>
      </c>
      <c r="H285" s="19" t="s">
        <v>193</v>
      </c>
      <c r="I285" s="13"/>
      <c r="J285" s="13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8">
        <v>45971.0</v>
      </c>
      <c r="B286" s="9" t="s">
        <v>120</v>
      </c>
      <c r="C286" s="19" t="s">
        <v>198</v>
      </c>
      <c r="D286" s="5">
        <v>1.30084E7</v>
      </c>
      <c r="E286" s="5">
        <v>1.0E7</v>
      </c>
      <c r="F286" s="5">
        <v>1.0E7</v>
      </c>
      <c r="G286" s="5">
        <v>1.0E7</v>
      </c>
      <c r="H286" s="19" t="s">
        <v>193</v>
      </c>
      <c r="I286" s="13"/>
      <c r="J286" s="13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8">
        <v>45971.0</v>
      </c>
      <c r="B287" s="9" t="s">
        <v>140</v>
      </c>
      <c r="C287" s="19" t="s">
        <v>198</v>
      </c>
      <c r="D287" s="5">
        <v>2760000.0</v>
      </c>
      <c r="E287" s="5">
        <v>2760000.0</v>
      </c>
      <c r="F287" s="5">
        <v>2760000.0</v>
      </c>
      <c r="G287" s="5">
        <v>920000.0</v>
      </c>
      <c r="H287" s="19" t="s">
        <v>193</v>
      </c>
      <c r="I287" s="13"/>
      <c r="J287" s="13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8">
        <v>45971.0</v>
      </c>
      <c r="B288" s="9" t="s">
        <v>79</v>
      </c>
      <c r="C288" s="19" t="s">
        <v>198</v>
      </c>
      <c r="D288" s="5">
        <v>2760000.0</v>
      </c>
      <c r="E288" s="5">
        <v>2760000.0</v>
      </c>
      <c r="F288" s="5">
        <v>2760000.0</v>
      </c>
      <c r="G288" s="5">
        <v>920000.0</v>
      </c>
      <c r="H288" s="19" t="s">
        <v>193</v>
      </c>
      <c r="I288" s="13"/>
      <c r="J288" s="13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8">
        <v>45971.0</v>
      </c>
      <c r="B289" s="9" t="s">
        <v>164</v>
      </c>
      <c r="C289" s="19" t="s">
        <v>198</v>
      </c>
      <c r="D289" s="5">
        <v>2099125.0</v>
      </c>
      <c r="E289" s="5">
        <v>4382449.0</v>
      </c>
      <c r="F289" s="5">
        <v>3518425.0</v>
      </c>
      <c r="G289" s="5"/>
      <c r="H289" s="19" t="s">
        <v>193</v>
      </c>
      <c r="I289" s="13"/>
      <c r="J289" s="13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8">
        <v>45971.0</v>
      </c>
      <c r="B290" s="9" t="s">
        <v>29</v>
      </c>
      <c r="C290" s="19" t="s">
        <v>198</v>
      </c>
      <c r="D290" s="5">
        <v>3680000.0</v>
      </c>
      <c r="E290" s="5">
        <v>3680000.0</v>
      </c>
      <c r="F290" s="5">
        <v>1.08E7</v>
      </c>
      <c r="G290" s="5">
        <v>1840000.0</v>
      </c>
      <c r="H290" s="19" t="s">
        <v>193</v>
      </c>
      <c r="I290" s="13"/>
      <c r="J290" s="13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8">
        <v>45971.0</v>
      </c>
      <c r="B291" s="9" t="s">
        <v>66</v>
      </c>
      <c r="C291" s="19" t="s">
        <v>198</v>
      </c>
      <c r="D291" s="5">
        <v>1.0E7</v>
      </c>
      <c r="E291" s="5">
        <v>2.0E7</v>
      </c>
      <c r="F291" s="5">
        <v>3.0E7</v>
      </c>
      <c r="G291" s="13"/>
      <c r="H291" s="19" t="s">
        <v>193</v>
      </c>
      <c r="I291" s="13"/>
      <c r="J291" s="13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8">
        <v>45971.0</v>
      </c>
      <c r="B292" s="9" t="s">
        <v>18</v>
      </c>
      <c r="C292" s="19" t="s">
        <v>198</v>
      </c>
      <c r="D292" s="5">
        <v>1.0E7</v>
      </c>
      <c r="E292" s="5">
        <v>1.0E7</v>
      </c>
      <c r="F292" s="5">
        <v>1.0E7</v>
      </c>
      <c r="G292" s="5">
        <v>1.0E7</v>
      </c>
      <c r="H292" s="19" t="s">
        <v>193</v>
      </c>
      <c r="I292" s="13"/>
      <c r="J292" s="13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8">
        <v>45971.0</v>
      </c>
      <c r="B293" s="9" t="s">
        <v>39</v>
      </c>
      <c r="C293" s="19" t="s">
        <v>195</v>
      </c>
      <c r="D293" s="13"/>
      <c r="E293" s="5">
        <v>1.0E7</v>
      </c>
      <c r="F293" s="5">
        <v>4000000.0</v>
      </c>
      <c r="G293" s="5">
        <v>6.004E8</v>
      </c>
      <c r="H293" s="19" t="s">
        <v>193</v>
      </c>
      <c r="I293" s="13"/>
      <c r="J293" s="13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8">
        <v>45971.0</v>
      </c>
      <c r="B294" s="9" t="s">
        <v>86</v>
      </c>
      <c r="C294" s="19" t="s">
        <v>198</v>
      </c>
      <c r="D294" s="5">
        <v>1.0E7</v>
      </c>
      <c r="E294" s="5">
        <v>1.0E7</v>
      </c>
      <c r="F294" s="5">
        <v>1.0E7</v>
      </c>
      <c r="G294" s="5">
        <v>1.0E7</v>
      </c>
      <c r="H294" s="19" t="s">
        <v>193</v>
      </c>
      <c r="I294" s="13"/>
      <c r="J294" s="13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8">
        <v>45971.0</v>
      </c>
      <c r="B295" s="9" t="s">
        <v>93</v>
      </c>
      <c r="C295" s="19" t="s">
        <v>198</v>
      </c>
      <c r="D295" s="5">
        <v>2760000.0</v>
      </c>
      <c r="E295" s="5">
        <v>3680000.0</v>
      </c>
      <c r="F295" s="5">
        <v>1840000.0</v>
      </c>
      <c r="G295" s="5">
        <v>920000.0</v>
      </c>
      <c r="H295" s="19" t="s">
        <v>193</v>
      </c>
      <c r="I295" s="13"/>
      <c r="J295" s="13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8">
        <v>45971.0</v>
      </c>
      <c r="B296" s="9" t="s">
        <v>37</v>
      </c>
      <c r="C296" s="19" t="s">
        <v>198</v>
      </c>
      <c r="D296" s="5">
        <v>2760000.0</v>
      </c>
      <c r="E296" s="5">
        <v>2760000.0</v>
      </c>
      <c r="F296" s="5">
        <v>2760000.0</v>
      </c>
      <c r="G296" s="5">
        <v>920000.0</v>
      </c>
      <c r="H296" s="19" t="s">
        <v>193</v>
      </c>
      <c r="I296" s="13"/>
      <c r="J296" s="13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8">
        <v>45971.0</v>
      </c>
      <c r="B297" s="9" t="s">
        <v>48</v>
      </c>
      <c r="C297" s="19" t="s">
        <v>198</v>
      </c>
      <c r="D297" s="5">
        <v>2760000.0</v>
      </c>
      <c r="E297" s="5">
        <v>2760000.0</v>
      </c>
      <c r="F297" s="5">
        <v>2760000.0</v>
      </c>
      <c r="G297" s="5">
        <v>920000.0</v>
      </c>
      <c r="H297" s="19" t="s">
        <v>193</v>
      </c>
      <c r="I297" s="13"/>
      <c r="J297" s="13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8">
        <v>45971.0</v>
      </c>
      <c r="B298" s="9" t="s">
        <v>52</v>
      </c>
      <c r="C298" s="19" t="s">
        <v>198</v>
      </c>
      <c r="D298" s="5">
        <v>2760000.0</v>
      </c>
      <c r="E298" s="5">
        <v>2760000.0</v>
      </c>
      <c r="F298" s="5">
        <v>2760000.0</v>
      </c>
      <c r="G298" s="5">
        <v>920000.0</v>
      </c>
      <c r="H298" s="19" t="s">
        <v>193</v>
      </c>
      <c r="I298" s="13"/>
      <c r="J298" s="13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8">
        <v>45971.0</v>
      </c>
      <c r="B299" s="9" t="s">
        <v>63</v>
      </c>
      <c r="C299" s="19" t="s">
        <v>198</v>
      </c>
      <c r="D299" s="5">
        <v>2760000.0</v>
      </c>
      <c r="E299" s="5">
        <v>2760000.0</v>
      </c>
      <c r="F299" s="5">
        <v>2760000.0</v>
      </c>
      <c r="G299" s="5">
        <v>920000.0</v>
      </c>
      <c r="H299" s="19" t="s">
        <v>193</v>
      </c>
      <c r="I299" s="13"/>
      <c r="J299" s="13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8">
        <v>45971.0</v>
      </c>
      <c r="B300" s="9" t="s">
        <v>165</v>
      </c>
      <c r="C300" s="19" t="s">
        <v>198</v>
      </c>
      <c r="D300" s="5">
        <v>2760000.0</v>
      </c>
      <c r="E300" s="5">
        <v>1840000.0</v>
      </c>
      <c r="F300" s="5">
        <v>3680000.0</v>
      </c>
      <c r="G300" s="5">
        <v>920000.0</v>
      </c>
      <c r="H300" s="19" t="s">
        <v>193</v>
      </c>
      <c r="I300" s="13"/>
      <c r="J300" s="13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8">
        <v>45971.0</v>
      </c>
      <c r="B301" s="9" t="s">
        <v>88</v>
      </c>
      <c r="C301" s="19" t="s">
        <v>198</v>
      </c>
      <c r="D301" s="5">
        <v>1.0E7</v>
      </c>
      <c r="E301" s="13"/>
      <c r="F301" s="13"/>
      <c r="G301" s="13"/>
      <c r="H301" s="19" t="s">
        <v>193</v>
      </c>
      <c r="I301" s="13"/>
      <c r="J301" s="13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8">
        <v>45971.0</v>
      </c>
      <c r="B302" s="9" t="s">
        <v>172</v>
      </c>
      <c r="C302" s="19" t="s">
        <v>198</v>
      </c>
      <c r="D302" s="5">
        <v>2760000.0</v>
      </c>
      <c r="E302" s="5">
        <v>2760000.0</v>
      </c>
      <c r="F302" s="5">
        <v>2760000.0</v>
      </c>
      <c r="G302" s="5">
        <v>920000.0</v>
      </c>
      <c r="H302" s="19" t="s">
        <v>193</v>
      </c>
      <c r="I302" s="13"/>
      <c r="J302" s="13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8">
        <v>45971.0</v>
      </c>
      <c r="B303" s="9" t="s">
        <v>137</v>
      </c>
      <c r="C303" s="19" t="s">
        <v>198</v>
      </c>
      <c r="D303" s="5">
        <v>1.0E7</v>
      </c>
      <c r="E303" s="5">
        <v>1.0E7</v>
      </c>
      <c r="F303" s="5">
        <v>1.0E7</v>
      </c>
      <c r="G303" s="5">
        <v>1.0E7</v>
      </c>
      <c r="H303" s="19" t="s">
        <v>193</v>
      </c>
      <c r="I303" s="13"/>
      <c r="J303" s="13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8">
        <v>45971.0</v>
      </c>
      <c r="B304" s="9" t="s">
        <v>109</v>
      </c>
      <c r="C304" s="19" t="s">
        <v>198</v>
      </c>
      <c r="D304" s="5">
        <v>1.0E7</v>
      </c>
      <c r="E304" s="5">
        <v>1.0E7</v>
      </c>
      <c r="F304" s="5">
        <v>1.0E7</v>
      </c>
      <c r="G304" s="5">
        <v>1.0E7</v>
      </c>
      <c r="H304" s="19" t="s">
        <v>193</v>
      </c>
      <c r="I304" s="13"/>
      <c r="J304" s="13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8">
        <v>45971.0</v>
      </c>
      <c r="B305" s="9" t="s">
        <v>136</v>
      </c>
      <c r="C305" s="19" t="s">
        <v>198</v>
      </c>
      <c r="D305" s="5">
        <v>3067746.0</v>
      </c>
      <c r="E305" s="5">
        <v>3443600.0</v>
      </c>
      <c r="F305" s="5">
        <v>2713244.0</v>
      </c>
      <c r="G305" s="5">
        <v>775410.0</v>
      </c>
      <c r="H305" s="19" t="s">
        <v>193</v>
      </c>
      <c r="I305" s="13"/>
      <c r="J305" s="13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8">
        <v>45971.0</v>
      </c>
      <c r="B306" s="9" t="s">
        <v>24</v>
      </c>
      <c r="C306" s="19" t="s">
        <v>198</v>
      </c>
      <c r="D306" s="5">
        <v>2760000.0</v>
      </c>
      <c r="E306" s="5">
        <v>2760000.0</v>
      </c>
      <c r="F306" s="5">
        <v>2760000.0</v>
      </c>
      <c r="G306" s="5">
        <v>920000.0</v>
      </c>
      <c r="H306" s="19" t="s">
        <v>193</v>
      </c>
      <c r="I306" s="13"/>
      <c r="J306" s="13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8">
        <v>45971.0</v>
      </c>
      <c r="B307" s="9" t="s">
        <v>90</v>
      </c>
      <c r="C307" s="19" t="s">
        <v>198</v>
      </c>
      <c r="D307" s="5">
        <v>3550608.0</v>
      </c>
      <c r="E307" s="5">
        <v>2908041.0</v>
      </c>
      <c r="F307" s="5">
        <v>2993243.0</v>
      </c>
      <c r="G307" s="5">
        <v>548108.0</v>
      </c>
      <c r="H307" s="19" t="s">
        <v>193</v>
      </c>
      <c r="I307" s="13"/>
      <c r="J307" s="13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8">
        <v>45971.0</v>
      </c>
      <c r="B308" s="9" t="s">
        <v>99</v>
      </c>
      <c r="C308" s="19" t="s">
        <v>198</v>
      </c>
      <c r="D308" s="5">
        <v>1.0E7</v>
      </c>
      <c r="E308" s="5">
        <v>1.0E7</v>
      </c>
      <c r="F308" s="13"/>
      <c r="G308" s="13"/>
      <c r="H308" s="19" t="s">
        <v>193</v>
      </c>
      <c r="I308" s="13"/>
      <c r="J308" s="13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8">
        <v>45971.0</v>
      </c>
      <c r="B309" s="9" t="s">
        <v>151</v>
      </c>
      <c r="C309" s="19" t="s">
        <v>198</v>
      </c>
      <c r="D309" s="5">
        <v>2760000.0</v>
      </c>
      <c r="E309" s="5">
        <v>3467540.0</v>
      </c>
      <c r="F309" s="5">
        <v>2852000.0</v>
      </c>
      <c r="G309" s="5">
        <v>920000.0</v>
      </c>
      <c r="H309" s="19" t="s">
        <v>193</v>
      </c>
      <c r="I309" s="13"/>
      <c r="J309" s="13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8">
        <v>45971.0</v>
      </c>
      <c r="B310" s="9" t="s">
        <v>56</v>
      </c>
      <c r="C310" s="19" t="s">
        <v>198</v>
      </c>
      <c r="D310" s="5">
        <v>2760000.0</v>
      </c>
      <c r="E310" s="5">
        <v>2760000.0</v>
      </c>
      <c r="F310" s="5">
        <v>3560000.0</v>
      </c>
      <c r="G310" s="5">
        <v>920000.0</v>
      </c>
      <c r="H310" s="19" t="s">
        <v>193</v>
      </c>
      <c r="I310" s="13"/>
      <c r="J310" s="13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8">
        <v>45971.0</v>
      </c>
      <c r="B311" s="9" t="s">
        <v>119</v>
      </c>
      <c r="C311" s="19" t="s">
        <v>198</v>
      </c>
      <c r="D311" s="5">
        <v>1.0E7</v>
      </c>
      <c r="E311" s="13"/>
      <c r="F311" s="13"/>
      <c r="G311" s="13"/>
      <c r="H311" s="19" t="s">
        <v>193</v>
      </c>
      <c r="I311" s="13"/>
      <c r="J311" s="13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8">
        <v>45971.0</v>
      </c>
      <c r="B312" s="9" t="s">
        <v>46</v>
      </c>
      <c r="C312" s="19" t="s">
        <v>198</v>
      </c>
      <c r="D312" s="5">
        <v>1.0E7</v>
      </c>
      <c r="E312" s="5">
        <v>1.0E7</v>
      </c>
      <c r="F312" s="5">
        <v>1.0E7</v>
      </c>
      <c r="G312" s="5">
        <v>1.0E7</v>
      </c>
      <c r="H312" s="19" t="s">
        <v>193</v>
      </c>
      <c r="I312" s="13"/>
      <c r="J312" s="13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8">
        <v>45971.0</v>
      </c>
      <c r="B313" s="9" t="s">
        <v>74</v>
      </c>
      <c r="C313" s="19" t="s">
        <v>198</v>
      </c>
      <c r="D313" s="5">
        <v>3680.0</v>
      </c>
      <c r="E313" s="5">
        <v>3680.0</v>
      </c>
      <c r="F313" s="5">
        <v>3680.0</v>
      </c>
      <c r="G313" s="5">
        <v>1840.0</v>
      </c>
      <c r="H313" s="19" t="s">
        <v>193</v>
      </c>
      <c r="I313" s="13"/>
      <c r="J313" s="13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8">
        <v>45971.0</v>
      </c>
      <c r="B314" s="9" t="s">
        <v>19</v>
      </c>
      <c r="C314" s="19" t="s">
        <v>198</v>
      </c>
      <c r="D314" s="5">
        <v>3000120.0</v>
      </c>
      <c r="E314" s="5">
        <v>3000120.0</v>
      </c>
      <c r="F314" s="5">
        <v>3000120.0</v>
      </c>
      <c r="G314" s="5">
        <v>1000040.0</v>
      </c>
      <c r="H314" s="19" t="s">
        <v>193</v>
      </c>
      <c r="I314" s="13"/>
      <c r="J314" s="13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8">
        <v>45972.0</v>
      </c>
      <c r="B315" s="9" t="s">
        <v>171</v>
      </c>
      <c r="C315" s="19" t="s">
        <v>198</v>
      </c>
      <c r="D315" s="5">
        <v>2760000.0</v>
      </c>
      <c r="E315" s="5">
        <v>2760000.0</v>
      </c>
      <c r="F315" s="5">
        <v>2760000.0</v>
      </c>
      <c r="G315" s="5">
        <v>920000.0</v>
      </c>
      <c r="H315" s="19" t="s">
        <v>193</v>
      </c>
      <c r="I315" s="13"/>
      <c r="J315" s="13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8">
        <v>45972.0</v>
      </c>
      <c r="B316" s="9" t="s">
        <v>28</v>
      </c>
      <c r="C316" s="19" t="s">
        <v>198</v>
      </c>
      <c r="D316" s="13"/>
      <c r="E316" s="13"/>
      <c r="F316" s="5">
        <v>2760000.0</v>
      </c>
      <c r="G316" s="13"/>
      <c r="H316" s="19" t="s">
        <v>193</v>
      </c>
      <c r="I316" s="13"/>
      <c r="J316" s="13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8">
        <v>45972.0</v>
      </c>
      <c r="B317" s="9" t="s">
        <v>143</v>
      </c>
      <c r="C317" s="19" t="s">
        <v>198</v>
      </c>
      <c r="D317" s="13"/>
      <c r="E317" s="5">
        <v>1.0E7</v>
      </c>
      <c r="F317" s="13"/>
      <c r="G317" s="13"/>
      <c r="H317" s="19" t="s">
        <v>193</v>
      </c>
      <c r="I317" s="13"/>
      <c r="J317" s="13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8">
        <v>45972.0</v>
      </c>
      <c r="B318" s="9" t="s">
        <v>59</v>
      </c>
      <c r="C318" s="19" t="s">
        <v>198</v>
      </c>
      <c r="D318" s="5">
        <v>1.0E7</v>
      </c>
      <c r="E318" s="5">
        <v>1.0E7</v>
      </c>
      <c r="F318" s="5">
        <v>1.0E7</v>
      </c>
      <c r="G318" s="5">
        <v>2852000.0</v>
      </c>
      <c r="H318" s="19" t="s">
        <v>193</v>
      </c>
      <c r="I318" s="13"/>
      <c r="J318" s="13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8">
        <v>45972.0</v>
      </c>
      <c r="B319" s="9" t="s">
        <v>97</v>
      </c>
      <c r="C319" s="19" t="s">
        <v>198</v>
      </c>
      <c r="D319" s="5">
        <v>2760000.0</v>
      </c>
      <c r="E319" s="5">
        <v>2760000.0</v>
      </c>
      <c r="F319" s="5">
        <v>2760000.0</v>
      </c>
      <c r="G319" s="5">
        <v>920000.0</v>
      </c>
      <c r="H319" s="19" t="s">
        <v>193</v>
      </c>
      <c r="I319" s="13"/>
      <c r="J319" s="13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8">
        <v>45972.0</v>
      </c>
      <c r="B320" s="9" t="s">
        <v>173</v>
      </c>
      <c r="C320" s="19" t="s">
        <v>198</v>
      </c>
      <c r="D320" s="5">
        <v>2760000.0</v>
      </c>
      <c r="E320" s="5">
        <v>2760000.0</v>
      </c>
      <c r="F320" s="5">
        <v>3560000.0</v>
      </c>
      <c r="G320" s="5">
        <v>920000.0</v>
      </c>
      <c r="H320" s="19" t="s">
        <v>193</v>
      </c>
      <c r="I320" s="13"/>
      <c r="J320" s="13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8">
        <v>45972.0</v>
      </c>
      <c r="B321" s="9" t="s">
        <v>141</v>
      </c>
      <c r="C321" s="19" t="s">
        <v>198</v>
      </c>
      <c r="D321" s="5">
        <v>2760000.0</v>
      </c>
      <c r="E321" s="5">
        <v>2760000.0</v>
      </c>
      <c r="F321" s="5">
        <v>2760000.0</v>
      </c>
      <c r="G321" s="5">
        <v>1720000.0</v>
      </c>
      <c r="H321" s="19" t="s">
        <v>193</v>
      </c>
      <c r="I321" s="13"/>
      <c r="J321" s="13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8">
        <v>45972.0</v>
      </c>
      <c r="B322" s="9" t="s">
        <v>138</v>
      </c>
      <c r="C322" s="19" t="s">
        <v>198</v>
      </c>
      <c r="D322" s="5">
        <v>2760000.0</v>
      </c>
      <c r="E322" s="5">
        <v>2760000.0</v>
      </c>
      <c r="F322" s="5">
        <v>2760000.0</v>
      </c>
      <c r="G322" s="5">
        <v>1720000.0</v>
      </c>
      <c r="H322" s="19" t="s">
        <v>193</v>
      </c>
      <c r="I322" s="13"/>
      <c r="J322" s="13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8">
        <v>45972.0</v>
      </c>
      <c r="B323" s="9" t="s">
        <v>17</v>
      </c>
      <c r="C323" s="19" t="s">
        <v>198</v>
      </c>
      <c r="D323" s="5">
        <v>2944000.0</v>
      </c>
      <c r="E323" s="5">
        <v>2944000.0</v>
      </c>
      <c r="F323" s="5">
        <v>2944000.0</v>
      </c>
      <c r="G323" s="5">
        <v>1168000.0</v>
      </c>
      <c r="H323" s="19" t="s">
        <v>193</v>
      </c>
      <c r="I323" s="13"/>
      <c r="J323" s="13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8">
        <v>45972.0</v>
      </c>
      <c r="B324" s="9" t="s">
        <v>62</v>
      </c>
      <c r="C324" s="19" t="s">
        <v>198</v>
      </c>
      <c r="D324" s="5">
        <v>3003800.0</v>
      </c>
      <c r="E324" s="5">
        <v>3003800.0</v>
      </c>
      <c r="F324" s="5">
        <v>3003800.0</v>
      </c>
      <c r="G324" s="5">
        <v>1002800.0</v>
      </c>
      <c r="H324" s="19" t="s">
        <v>193</v>
      </c>
      <c r="I324" s="13"/>
      <c r="J324" s="13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8">
        <v>45972.0</v>
      </c>
      <c r="B325" s="9" t="s">
        <v>174</v>
      </c>
      <c r="C325" s="19" t="s">
        <v>198</v>
      </c>
      <c r="D325" s="5">
        <v>1.0E7</v>
      </c>
      <c r="E325" s="13"/>
      <c r="F325" s="13"/>
      <c r="G325" s="13"/>
      <c r="H325" s="19" t="s">
        <v>193</v>
      </c>
      <c r="I325" s="13"/>
      <c r="J325" s="13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8">
        <v>45972.0</v>
      </c>
      <c r="B326" s="9" t="s">
        <v>175</v>
      </c>
      <c r="C326" s="19" t="s">
        <v>198</v>
      </c>
      <c r="D326" s="5">
        <v>1.0E7</v>
      </c>
      <c r="E326" s="5">
        <v>1.0E7</v>
      </c>
      <c r="F326" s="5">
        <v>1.0E7</v>
      </c>
      <c r="G326" s="5">
        <v>1.0E7</v>
      </c>
      <c r="H326" s="19" t="s">
        <v>193</v>
      </c>
      <c r="I326" s="13"/>
      <c r="J326" s="13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8">
        <v>45973.0</v>
      </c>
      <c r="B327" s="9" t="s">
        <v>143</v>
      </c>
      <c r="C327" s="19" t="s">
        <v>198</v>
      </c>
      <c r="D327" s="13"/>
      <c r="E327" s="5">
        <v>2.0E7</v>
      </c>
      <c r="F327" s="13"/>
      <c r="G327" s="13"/>
      <c r="H327" s="19" t="s">
        <v>193</v>
      </c>
      <c r="I327" s="13"/>
      <c r="J327" s="13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8">
        <v>45973.0</v>
      </c>
      <c r="B328" s="9" t="s">
        <v>101</v>
      </c>
      <c r="C328" s="19" t="s">
        <v>198</v>
      </c>
      <c r="D328" s="5">
        <v>2760000.0</v>
      </c>
      <c r="E328" s="5">
        <v>2760000.0</v>
      </c>
      <c r="F328" s="5">
        <v>3220000.0</v>
      </c>
      <c r="G328" s="5">
        <v>920000.0</v>
      </c>
      <c r="H328" s="19" t="s">
        <v>193</v>
      </c>
      <c r="I328" s="13"/>
      <c r="J328" s="13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8">
        <v>45973.0</v>
      </c>
      <c r="B329" s="9" t="s">
        <v>142</v>
      </c>
      <c r="C329" s="19" t="s">
        <v>198</v>
      </c>
      <c r="D329" s="5">
        <v>2970000.0</v>
      </c>
      <c r="E329" s="5">
        <v>3028000.0</v>
      </c>
      <c r="F329" s="5">
        <v>3002000.0</v>
      </c>
      <c r="G329" s="5">
        <v>1080000.0</v>
      </c>
      <c r="H329" s="19" t="s">
        <v>193</v>
      </c>
      <c r="I329" s="13"/>
      <c r="J329" s="13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8">
        <v>45973.0</v>
      </c>
      <c r="B330" s="9" t="s">
        <v>130</v>
      </c>
      <c r="C330" s="19" t="s">
        <v>198</v>
      </c>
      <c r="D330" s="5">
        <v>2760000.0</v>
      </c>
      <c r="E330" s="5">
        <v>2760000.0</v>
      </c>
      <c r="F330" s="5">
        <v>2760000.0</v>
      </c>
      <c r="G330" s="5">
        <v>1720000.0</v>
      </c>
      <c r="H330" s="19" t="s">
        <v>193</v>
      </c>
      <c r="I330" s="13"/>
      <c r="J330" s="13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8">
        <v>45973.0</v>
      </c>
      <c r="B331" s="9" t="s">
        <v>115</v>
      </c>
      <c r="C331" s="19" t="s">
        <v>198</v>
      </c>
      <c r="D331" s="5">
        <v>1.0E7</v>
      </c>
      <c r="E331" s="5">
        <v>1.0E7</v>
      </c>
      <c r="F331" s="5">
        <v>1.0E7</v>
      </c>
      <c r="G331" s="5">
        <v>1.0E7</v>
      </c>
      <c r="H331" s="19" t="s">
        <v>193</v>
      </c>
      <c r="I331" s="13"/>
      <c r="J331" s="13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8">
        <v>45973.0</v>
      </c>
      <c r="B332" s="9" t="s">
        <v>51</v>
      </c>
      <c r="C332" s="19" t="s">
        <v>198</v>
      </c>
      <c r="D332" s="5">
        <v>2760000.0</v>
      </c>
      <c r="E332" s="5">
        <v>2760000.0</v>
      </c>
      <c r="F332" s="5">
        <v>2300000.0</v>
      </c>
      <c r="G332" s="5">
        <v>1380000.0</v>
      </c>
      <c r="H332" s="19" t="s">
        <v>193</v>
      </c>
      <c r="I332" s="13"/>
      <c r="J332" s="13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8">
        <v>45973.0</v>
      </c>
      <c r="B333" s="12" t="s">
        <v>176</v>
      </c>
      <c r="C333" s="19" t="s">
        <v>199</v>
      </c>
      <c r="D333" s="5">
        <v>2.8E8</v>
      </c>
      <c r="E333" s="5">
        <v>2.99244856E8</v>
      </c>
      <c r="F333" s="5">
        <v>1.9882696E8</v>
      </c>
      <c r="G333" s="5">
        <v>8.0E7</v>
      </c>
      <c r="H333" s="19" t="s">
        <v>193</v>
      </c>
      <c r="I333" s="13"/>
      <c r="J333" s="13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8">
        <v>45973.0</v>
      </c>
      <c r="B334" s="9" t="s">
        <v>174</v>
      </c>
      <c r="C334" s="19" t="s">
        <v>196</v>
      </c>
      <c r="D334" s="13"/>
      <c r="E334" s="13"/>
      <c r="F334" s="5">
        <v>1.0E7</v>
      </c>
      <c r="G334" s="13"/>
      <c r="H334" s="19" t="s">
        <v>193</v>
      </c>
      <c r="I334" s="13"/>
      <c r="J334" s="13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8">
        <v>45973.0</v>
      </c>
      <c r="B335" s="9" t="s">
        <v>77</v>
      </c>
      <c r="C335" s="19" t="s">
        <v>198</v>
      </c>
      <c r="D335" s="5">
        <v>1840000.0</v>
      </c>
      <c r="E335" s="5">
        <v>1840000.0</v>
      </c>
      <c r="F335" s="5">
        <v>5520000.0</v>
      </c>
      <c r="G335" s="5">
        <v>800000.0</v>
      </c>
      <c r="H335" s="19" t="s">
        <v>193</v>
      </c>
      <c r="I335" s="13"/>
      <c r="J335" s="13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8">
        <v>45974.0</v>
      </c>
      <c r="B336" s="9" t="s">
        <v>143</v>
      </c>
      <c r="C336" s="19" t="s">
        <v>196</v>
      </c>
      <c r="D336" s="13"/>
      <c r="E336" s="5">
        <v>1.0E7</v>
      </c>
      <c r="F336" s="13"/>
      <c r="G336" s="13"/>
      <c r="H336" s="19" t="s">
        <v>193</v>
      </c>
      <c r="I336" s="13"/>
      <c r="J336" s="13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8">
        <v>45974.0</v>
      </c>
      <c r="B337" s="9" t="s">
        <v>152</v>
      </c>
      <c r="C337" s="19" t="s">
        <v>195</v>
      </c>
      <c r="D337" s="5">
        <v>3.5E8</v>
      </c>
      <c r="E337" s="5">
        <v>3.78765983E8</v>
      </c>
      <c r="F337" s="5">
        <v>1.51234017E8</v>
      </c>
      <c r="G337" s="5">
        <v>1.3E8</v>
      </c>
      <c r="H337" s="19" t="s">
        <v>193</v>
      </c>
      <c r="I337" s="13"/>
      <c r="J337" s="13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8">
        <v>45974.0</v>
      </c>
      <c r="B338" s="9" t="s">
        <v>112</v>
      </c>
      <c r="C338" s="19" t="s">
        <v>198</v>
      </c>
      <c r="D338" s="5">
        <v>1.0E7</v>
      </c>
      <c r="E338" s="5">
        <v>1.0E7</v>
      </c>
      <c r="F338" s="13"/>
      <c r="G338" s="13"/>
      <c r="H338" s="19" t="s">
        <v>193</v>
      </c>
      <c r="I338" s="13"/>
      <c r="J338" s="13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8">
        <v>45975.0</v>
      </c>
      <c r="B339" s="9" t="s">
        <v>75</v>
      </c>
      <c r="C339" s="19" t="s">
        <v>198</v>
      </c>
      <c r="D339" s="5">
        <v>3036000.0</v>
      </c>
      <c r="E339" s="5">
        <v>3036000.0</v>
      </c>
      <c r="F339" s="5">
        <v>3036000.0</v>
      </c>
      <c r="G339" s="5">
        <v>1012000.0</v>
      </c>
      <c r="H339" s="19" t="s">
        <v>193</v>
      </c>
      <c r="I339" s="13"/>
      <c r="J339" s="13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8">
        <v>45975.0</v>
      </c>
      <c r="B340" s="9" t="s">
        <v>15</v>
      </c>
      <c r="C340" s="19" t="s">
        <v>198</v>
      </c>
      <c r="D340" s="5">
        <v>2760000.0</v>
      </c>
      <c r="E340" s="5">
        <v>3560000.0</v>
      </c>
      <c r="F340" s="5">
        <v>2760000.0</v>
      </c>
      <c r="G340" s="5">
        <v>920000.0</v>
      </c>
      <c r="H340" s="19" t="s">
        <v>193</v>
      </c>
      <c r="I340" s="13"/>
      <c r="J340" s="13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8">
        <v>45975.0</v>
      </c>
      <c r="B341" s="9" t="s">
        <v>69</v>
      </c>
      <c r="C341" s="19" t="s">
        <v>198</v>
      </c>
      <c r="D341" s="13"/>
      <c r="E341" s="5">
        <v>5.0E7</v>
      </c>
      <c r="F341" s="13"/>
      <c r="G341" s="13"/>
      <c r="H341" s="19" t="s">
        <v>193</v>
      </c>
      <c r="I341" s="13"/>
      <c r="J341" s="13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8">
        <v>45975.0</v>
      </c>
      <c r="B342" s="9" t="s">
        <v>141</v>
      </c>
      <c r="C342" s="19" t="s">
        <v>196</v>
      </c>
      <c r="D342" s="13"/>
      <c r="E342" s="13"/>
      <c r="F342" s="13"/>
      <c r="G342" s="5">
        <v>1.0E7</v>
      </c>
      <c r="H342" s="19" t="s">
        <v>193</v>
      </c>
      <c r="I342" s="13"/>
      <c r="J342" s="13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8">
        <v>45975.0</v>
      </c>
      <c r="B343" s="9" t="s">
        <v>113</v>
      </c>
      <c r="C343" s="19" t="s">
        <v>198</v>
      </c>
      <c r="D343" s="5">
        <v>2760000.0</v>
      </c>
      <c r="E343" s="5">
        <v>2760000.0</v>
      </c>
      <c r="F343" s="5">
        <v>2760000.0</v>
      </c>
      <c r="G343" s="5">
        <v>920000.0</v>
      </c>
      <c r="H343" s="19" t="s">
        <v>193</v>
      </c>
      <c r="I343" s="13"/>
      <c r="J343" s="13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8">
        <v>45975.0</v>
      </c>
      <c r="B344" s="9" t="s">
        <v>150</v>
      </c>
      <c r="C344" s="19" t="s">
        <v>198</v>
      </c>
      <c r="D344" s="5">
        <v>1.0E7</v>
      </c>
      <c r="E344" s="5">
        <v>1.0E7</v>
      </c>
      <c r="F344" s="5">
        <v>1.0E7</v>
      </c>
      <c r="G344" s="5">
        <v>1.0E7</v>
      </c>
      <c r="H344" s="19" t="s">
        <v>193</v>
      </c>
      <c r="I344" s="13"/>
      <c r="J344" s="13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8">
        <v>45976.0</v>
      </c>
      <c r="B345" s="9" t="s">
        <v>87</v>
      </c>
      <c r="C345" s="19" t="s">
        <v>198</v>
      </c>
      <c r="D345" s="5">
        <v>3101651.0</v>
      </c>
      <c r="E345" s="5">
        <v>3736966.0</v>
      </c>
      <c r="F345" s="5">
        <v>3161382.0</v>
      </c>
      <c r="G345" s="13"/>
      <c r="H345" s="19" t="s">
        <v>193</v>
      </c>
      <c r="I345" s="13"/>
      <c r="J345" s="13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8">
        <v>45976.0</v>
      </c>
      <c r="B346" s="12" t="s">
        <v>177</v>
      </c>
      <c r="C346" s="19" t="s">
        <v>198</v>
      </c>
      <c r="D346" s="5">
        <v>2760000.0</v>
      </c>
      <c r="E346" s="5">
        <v>3560000.0</v>
      </c>
      <c r="F346" s="5">
        <v>2760000.0</v>
      </c>
      <c r="G346" s="5">
        <v>920000.0</v>
      </c>
      <c r="H346" s="19" t="s">
        <v>193</v>
      </c>
      <c r="I346" s="13"/>
      <c r="J346" s="13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8">
        <v>45976.0</v>
      </c>
      <c r="B347" s="9" t="s">
        <v>72</v>
      </c>
      <c r="C347" s="19" t="s">
        <v>198</v>
      </c>
      <c r="D347" s="5">
        <v>2760000.0</v>
      </c>
      <c r="E347" s="5">
        <v>2760000.0</v>
      </c>
      <c r="F347" s="5">
        <v>2760000.0</v>
      </c>
      <c r="G347" s="5">
        <v>920000.0</v>
      </c>
      <c r="H347" s="19" t="s">
        <v>193</v>
      </c>
      <c r="I347" s="13"/>
      <c r="J347" s="13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8">
        <v>45976.0</v>
      </c>
      <c r="B348" s="9" t="s">
        <v>131</v>
      </c>
      <c r="C348" s="19" t="s">
        <v>198</v>
      </c>
      <c r="D348" s="13"/>
      <c r="E348" s="5">
        <v>1.0E7</v>
      </c>
      <c r="F348" s="13"/>
      <c r="G348" s="13"/>
      <c r="H348" s="19" t="s">
        <v>193</v>
      </c>
      <c r="I348" s="13"/>
      <c r="J348" s="13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8">
        <v>45977.0</v>
      </c>
      <c r="B349" s="9" t="s">
        <v>100</v>
      </c>
      <c r="C349" s="19" t="s">
        <v>198</v>
      </c>
      <c r="D349" s="5">
        <v>1.0E7</v>
      </c>
      <c r="E349" s="5">
        <v>1.0E7</v>
      </c>
      <c r="F349" s="5">
        <v>1.0E7</v>
      </c>
      <c r="G349" s="5">
        <v>3680000.0</v>
      </c>
      <c r="H349" s="19" t="s">
        <v>193</v>
      </c>
      <c r="I349" s="13"/>
      <c r="J349" s="13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8">
        <v>45977.0</v>
      </c>
      <c r="B350" s="9" t="s">
        <v>123</v>
      </c>
      <c r="C350" s="19" t="s">
        <v>198</v>
      </c>
      <c r="D350" s="13"/>
      <c r="E350" s="13"/>
      <c r="F350" s="5">
        <v>5.5E8</v>
      </c>
      <c r="G350" s="13"/>
      <c r="H350" s="19" t="s">
        <v>193</v>
      </c>
      <c r="I350" s="13"/>
      <c r="J350" s="13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8">
        <v>45977.0</v>
      </c>
      <c r="B351" s="9" t="s">
        <v>143</v>
      </c>
      <c r="C351" s="19" t="s">
        <v>196</v>
      </c>
      <c r="D351" s="13"/>
      <c r="E351" s="5">
        <v>1.0E7</v>
      </c>
      <c r="F351" s="13"/>
      <c r="G351" s="13"/>
      <c r="H351" s="19" t="s">
        <v>193</v>
      </c>
      <c r="I351" s="13"/>
      <c r="J351" s="13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8">
        <v>45977.0</v>
      </c>
      <c r="B352" s="9" t="s">
        <v>92</v>
      </c>
      <c r="C352" s="19" t="s">
        <v>198</v>
      </c>
      <c r="D352" s="5">
        <v>920000.0</v>
      </c>
      <c r="E352" s="5">
        <v>6900000.0</v>
      </c>
      <c r="F352" s="5">
        <v>920000.0</v>
      </c>
      <c r="G352" s="5">
        <v>460000.0</v>
      </c>
      <c r="H352" s="19" t="s">
        <v>193</v>
      </c>
      <c r="I352" s="13"/>
      <c r="J352" s="13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8">
        <v>45977.0</v>
      </c>
      <c r="B353" s="9" t="s">
        <v>46</v>
      </c>
      <c r="C353" s="19" t="s">
        <v>196</v>
      </c>
      <c r="D353" s="5">
        <v>1.0E7</v>
      </c>
      <c r="E353" s="5">
        <v>1.0E7</v>
      </c>
      <c r="F353" s="5">
        <v>1.0E7</v>
      </c>
      <c r="G353" s="5">
        <v>1.0E7</v>
      </c>
      <c r="H353" s="19" t="s">
        <v>193</v>
      </c>
      <c r="I353" s="13"/>
      <c r="J353" s="13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8">
        <v>45977.0</v>
      </c>
      <c r="B354" s="9" t="s">
        <v>39</v>
      </c>
      <c r="C354" s="19" t="s">
        <v>196</v>
      </c>
      <c r="D354" s="5">
        <v>1.0E7</v>
      </c>
      <c r="E354" s="13"/>
      <c r="F354" s="13"/>
      <c r="G354" s="13"/>
      <c r="H354" s="19" t="s">
        <v>193</v>
      </c>
      <c r="I354" s="13"/>
      <c r="J354" s="13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8">
        <v>45977.0</v>
      </c>
      <c r="B355" s="9" t="s">
        <v>108</v>
      </c>
      <c r="C355" s="19" t="s">
        <v>198</v>
      </c>
      <c r="D355" s="5">
        <v>3880880.0</v>
      </c>
      <c r="E355" s="5">
        <v>3776010.0</v>
      </c>
      <c r="F355" s="5">
        <v>4200358.0</v>
      </c>
      <c r="G355" s="5">
        <v>3959467.0</v>
      </c>
      <c r="H355" s="19" t="s">
        <v>193</v>
      </c>
      <c r="I355" s="13"/>
      <c r="J355" s="13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8">
        <v>45977.0</v>
      </c>
      <c r="B356" s="9" t="s">
        <v>53</v>
      </c>
      <c r="C356" s="19" t="s">
        <v>198</v>
      </c>
      <c r="D356" s="13"/>
      <c r="E356" s="5">
        <v>1.0E7</v>
      </c>
      <c r="F356" s="13"/>
      <c r="G356" s="13"/>
      <c r="H356" s="19" t="s">
        <v>193</v>
      </c>
      <c r="I356" s="13"/>
      <c r="J356" s="13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8">
        <v>45977.0</v>
      </c>
      <c r="B357" s="9" t="s">
        <v>81</v>
      </c>
      <c r="C357" s="19" t="s">
        <v>198</v>
      </c>
      <c r="D357" s="5">
        <v>1.0E7</v>
      </c>
      <c r="E357" s="5">
        <v>1.0E7</v>
      </c>
      <c r="F357" s="5">
        <v>1.0E7</v>
      </c>
      <c r="G357" s="5">
        <v>1.0E7</v>
      </c>
      <c r="H357" s="19" t="s">
        <v>193</v>
      </c>
      <c r="I357" s="13"/>
      <c r="J357" s="13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8">
        <v>45977.0</v>
      </c>
      <c r="B358" s="9" t="s">
        <v>43</v>
      </c>
      <c r="C358" s="19" t="s">
        <v>198</v>
      </c>
      <c r="D358" s="5">
        <v>1.0E7</v>
      </c>
      <c r="E358" s="5">
        <v>1.0E7</v>
      </c>
      <c r="F358" s="5">
        <v>1.0E7</v>
      </c>
      <c r="G358" s="5">
        <v>3063600.0</v>
      </c>
      <c r="H358" s="19" t="s">
        <v>193</v>
      </c>
      <c r="I358" s="13"/>
      <c r="J358" s="13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8">
        <v>45977.0</v>
      </c>
      <c r="B359" s="9" t="s">
        <v>123</v>
      </c>
      <c r="C359" s="19" t="s">
        <v>196</v>
      </c>
      <c r="D359" s="13"/>
      <c r="E359" s="13"/>
      <c r="F359" s="5">
        <v>3.3E8</v>
      </c>
      <c r="G359" s="13"/>
      <c r="H359" s="19" t="s">
        <v>193</v>
      </c>
      <c r="I359" s="13"/>
      <c r="J359" s="13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8">
        <v>45977.0</v>
      </c>
      <c r="B360" s="9" t="s">
        <v>20</v>
      </c>
      <c r="C360" s="19" t="s">
        <v>198</v>
      </c>
      <c r="D360" s="5">
        <v>5520000.0</v>
      </c>
      <c r="E360" s="5">
        <v>5520000.0</v>
      </c>
      <c r="F360" s="5">
        <v>5520000.0</v>
      </c>
      <c r="G360" s="5">
        <v>1840000.0</v>
      </c>
      <c r="H360" s="19" t="s">
        <v>193</v>
      </c>
      <c r="I360" s="13"/>
      <c r="J360" s="13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8">
        <v>45977.0</v>
      </c>
      <c r="B361" s="9" t="s">
        <v>94</v>
      </c>
      <c r="C361" s="19" t="s">
        <v>198</v>
      </c>
      <c r="D361" s="5">
        <v>5.0E7</v>
      </c>
      <c r="E361" s="5">
        <v>4.0E7</v>
      </c>
      <c r="F361" s="5">
        <v>4.0E7</v>
      </c>
      <c r="G361" s="5">
        <v>1.0E7</v>
      </c>
      <c r="H361" s="19" t="s">
        <v>193</v>
      </c>
      <c r="I361" s="13"/>
      <c r="J361" s="13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8">
        <v>45977.0</v>
      </c>
      <c r="B362" s="9" t="s">
        <v>33</v>
      </c>
      <c r="C362" s="19" t="s">
        <v>198</v>
      </c>
      <c r="D362" s="5">
        <v>1.0E7</v>
      </c>
      <c r="E362" s="5">
        <v>1.0E7</v>
      </c>
      <c r="F362" s="5">
        <v>1.0E7</v>
      </c>
      <c r="G362" s="5">
        <v>1.0E7</v>
      </c>
      <c r="H362" s="19" t="s">
        <v>193</v>
      </c>
      <c r="I362" s="13"/>
      <c r="J362" s="13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8">
        <v>45977.0</v>
      </c>
      <c r="B363" s="9" t="s">
        <v>154</v>
      </c>
      <c r="C363" s="19" t="s">
        <v>198</v>
      </c>
      <c r="D363" s="13"/>
      <c r="E363" s="5">
        <v>1.0E7</v>
      </c>
      <c r="F363" s="13"/>
      <c r="G363" s="13"/>
      <c r="H363" s="19" t="s">
        <v>193</v>
      </c>
      <c r="I363" s="13"/>
      <c r="J363" s="13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8">
        <v>45977.0</v>
      </c>
      <c r="B364" s="9" t="s">
        <v>178</v>
      </c>
      <c r="C364" s="19" t="s">
        <v>198</v>
      </c>
      <c r="D364" s="5">
        <v>2760000.0</v>
      </c>
      <c r="E364" s="5">
        <v>2760000.0</v>
      </c>
      <c r="F364" s="5">
        <v>2760000.0</v>
      </c>
      <c r="G364" s="5">
        <v>920000.0</v>
      </c>
      <c r="H364" s="19" t="s">
        <v>193</v>
      </c>
      <c r="I364" s="13"/>
      <c r="J364" s="13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8">
        <v>45977.0</v>
      </c>
      <c r="B365" s="9" t="s">
        <v>98</v>
      </c>
      <c r="C365" s="19" t="s">
        <v>198</v>
      </c>
      <c r="D365" s="5">
        <v>1.0E7</v>
      </c>
      <c r="E365" s="5">
        <v>1.0E7</v>
      </c>
      <c r="F365" s="5">
        <v>1.0E7</v>
      </c>
      <c r="G365" s="5">
        <v>4600000.0</v>
      </c>
      <c r="H365" s="19" t="s">
        <v>193</v>
      </c>
      <c r="I365" s="13"/>
      <c r="J365" s="13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8">
        <v>45977.0</v>
      </c>
      <c r="B366" s="9" t="s">
        <v>179</v>
      </c>
      <c r="C366" s="19" t="s">
        <v>198</v>
      </c>
      <c r="D366" s="5">
        <v>1.0E7</v>
      </c>
      <c r="E366" s="13"/>
      <c r="F366" s="13"/>
      <c r="G366" s="13"/>
      <c r="H366" s="19" t="s">
        <v>193</v>
      </c>
      <c r="I366" s="13"/>
      <c r="J366" s="13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8">
        <v>45977.0</v>
      </c>
      <c r="B367" s="9" t="s">
        <v>115</v>
      </c>
      <c r="C367" s="19" t="s">
        <v>198</v>
      </c>
      <c r="D367" s="5">
        <v>2.0E7</v>
      </c>
      <c r="E367" s="5">
        <v>2.0E7</v>
      </c>
      <c r="F367" s="5">
        <v>1.0E7</v>
      </c>
      <c r="G367" s="5">
        <v>1.0E7</v>
      </c>
      <c r="H367" s="19" t="s">
        <v>193</v>
      </c>
      <c r="I367" s="13"/>
      <c r="J367" s="13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8">
        <v>45977.0</v>
      </c>
      <c r="B368" s="9" t="s">
        <v>95</v>
      </c>
      <c r="C368" s="19" t="s">
        <v>198</v>
      </c>
      <c r="D368" s="5">
        <v>3003800.0</v>
      </c>
      <c r="E368" s="5">
        <v>3003800.0</v>
      </c>
      <c r="F368" s="5">
        <v>3003800.0</v>
      </c>
      <c r="G368" s="5">
        <v>988600.0</v>
      </c>
      <c r="H368" s="19" t="s">
        <v>193</v>
      </c>
      <c r="I368" s="13"/>
      <c r="J368" s="13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8">
        <v>45978.0</v>
      </c>
      <c r="B369" s="9" t="s">
        <v>84</v>
      </c>
      <c r="C369" s="19" t="s">
        <v>198</v>
      </c>
      <c r="D369" s="13"/>
      <c r="E369" s="13"/>
      <c r="F369" s="5">
        <v>1.0E7</v>
      </c>
      <c r="G369" s="13"/>
      <c r="H369" s="19" t="s">
        <v>193</v>
      </c>
      <c r="I369" s="13"/>
      <c r="J369" s="13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8">
        <v>45978.0</v>
      </c>
      <c r="B370" s="9" t="s">
        <v>69</v>
      </c>
      <c r="C370" s="19" t="s">
        <v>198</v>
      </c>
      <c r="D370" s="5">
        <v>4752836.0</v>
      </c>
      <c r="E370" s="5">
        <v>3.0E7</v>
      </c>
      <c r="F370" s="5">
        <v>2307941.0</v>
      </c>
      <c r="G370" s="5">
        <v>2939223.0</v>
      </c>
      <c r="H370" s="19" t="s">
        <v>193</v>
      </c>
      <c r="I370" s="13"/>
      <c r="J370" s="13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8">
        <v>45978.0</v>
      </c>
      <c r="B371" s="9" t="s">
        <v>49</v>
      </c>
      <c r="C371" s="19" t="s">
        <v>198</v>
      </c>
      <c r="D371" s="5">
        <v>3680000.0</v>
      </c>
      <c r="E371" s="5">
        <v>3680000.0</v>
      </c>
      <c r="F371" s="5">
        <v>3680000.0</v>
      </c>
      <c r="G371" s="5">
        <v>1840000.0</v>
      </c>
      <c r="H371" s="19" t="s">
        <v>193</v>
      </c>
      <c r="I371" s="13"/>
      <c r="J371" s="13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8">
        <v>45978.0</v>
      </c>
      <c r="B372" s="9" t="s">
        <v>56</v>
      </c>
      <c r="C372" s="19" t="s">
        <v>198</v>
      </c>
      <c r="D372" s="5">
        <v>2980800.0</v>
      </c>
      <c r="E372" s="5">
        <v>2980800.0</v>
      </c>
      <c r="F372" s="5">
        <v>3026400.0</v>
      </c>
      <c r="G372" s="5">
        <v>1012000.0</v>
      </c>
      <c r="H372" s="19" t="s">
        <v>193</v>
      </c>
      <c r="I372" s="13"/>
      <c r="J372" s="13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8">
        <v>45978.0</v>
      </c>
      <c r="B373" s="9" t="s">
        <v>62</v>
      </c>
      <c r="C373" s="19" t="s">
        <v>198</v>
      </c>
      <c r="D373" s="5">
        <v>3003800.0</v>
      </c>
      <c r="E373" s="5">
        <v>3003800.0</v>
      </c>
      <c r="F373" s="5">
        <v>3003800.0</v>
      </c>
      <c r="G373" s="5">
        <v>1002800.0</v>
      </c>
      <c r="H373" s="19" t="s">
        <v>193</v>
      </c>
      <c r="I373" s="13"/>
      <c r="J373" s="13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8">
        <v>45978.0</v>
      </c>
      <c r="B374" s="9" t="s">
        <v>93</v>
      </c>
      <c r="C374" s="19" t="s">
        <v>198</v>
      </c>
      <c r="D374" s="5">
        <v>1840000.0</v>
      </c>
      <c r="E374" s="5">
        <v>4600000.0</v>
      </c>
      <c r="F374" s="5">
        <v>1840000.0</v>
      </c>
      <c r="G374" s="5">
        <v>920000.0</v>
      </c>
      <c r="H374" s="19" t="s">
        <v>193</v>
      </c>
      <c r="I374" s="13"/>
      <c r="J374" s="13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8">
        <v>45978.0</v>
      </c>
      <c r="B375" s="9" t="s">
        <v>39</v>
      </c>
      <c r="C375" s="19" t="s">
        <v>198</v>
      </c>
      <c r="D375" s="13"/>
      <c r="E375" s="13"/>
      <c r="F375" s="5">
        <v>1.0E7</v>
      </c>
      <c r="G375" s="13"/>
      <c r="H375" s="19" t="s">
        <v>193</v>
      </c>
      <c r="I375" s="13"/>
      <c r="J375" s="13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8">
        <v>45978.0</v>
      </c>
      <c r="B376" s="9" t="s">
        <v>16</v>
      </c>
      <c r="C376" s="19" t="s">
        <v>198</v>
      </c>
      <c r="D376" s="5">
        <v>2.0E7</v>
      </c>
      <c r="E376" s="13"/>
      <c r="F376" s="13"/>
      <c r="G376" s="13"/>
      <c r="H376" s="19" t="s">
        <v>193</v>
      </c>
      <c r="I376" s="13"/>
      <c r="J376" s="13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8">
        <v>45978.0</v>
      </c>
      <c r="B377" s="24" t="s">
        <v>99</v>
      </c>
      <c r="C377" s="19" t="s">
        <v>198</v>
      </c>
      <c r="D377" s="5">
        <v>1.0E7</v>
      </c>
      <c r="E377" s="5">
        <v>1.0E7</v>
      </c>
      <c r="F377" s="13"/>
      <c r="G377" s="13"/>
      <c r="H377" s="19" t="s">
        <v>193</v>
      </c>
      <c r="I377" s="13"/>
      <c r="J377" s="13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8">
        <v>45978.0</v>
      </c>
      <c r="B378" s="25" t="s">
        <v>29</v>
      </c>
      <c r="C378" s="19" t="s">
        <v>198</v>
      </c>
      <c r="D378" s="5">
        <v>5520000.0</v>
      </c>
      <c r="E378" s="5">
        <v>5520000.0</v>
      </c>
      <c r="F378" s="5">
        <v>7120000.0</v>
      </c>
      <c r="G378" s="5">
        <v>1840000.0</v>
      </c>
      <c r="H378" s="19" t="s">
        <v>193</v>
      </c>
      <c r="I378" s="13"/>
      <c r="J378" s="13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8">
        <v>45978.0</v>
      </c>
      <c r="B379" s="9" t="s">
        <v>79</v>
      </c>
      <c r="C379" s="19" t="s">
        <v>198</v>
      </c>
      <c r="D379" s="5">
        <v>3220000.0</v>
      </c>
      <c r="E379" s="5">
        <v>3220000.0</v>
      </c>
      <c r="F379" s="5">
        <v>3220000.0</v>
      </c>
      <c r="G379" s="5">
        <v>1380000.0</v>
      </c>
      <c r="H379" s="19" t="s">
        <v>193</v>
      </c>
      <c r="I379" s="13"/>
      <c r="J379" s="13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8">
        <v>45978.0</v>
      </c>
      <c r="B380" s="9" t="s">
        <v>165</v>
      </c>
      <c r="C380" s="19" t="s">
        <v>198</v>
      </c>
      <c r="D380" s="5">
        <v>2760000.0</v>
      </c>
      <c r="E380" s="5">
        <v>920000.0</v>
      </c>
      <c r="F380" s="5">
        <v>4600000.0</v>
      </c>
      <c r="G380" s="5">
        <v>920000.0</v>
      </c>
      <c r="H380" s="19" t="s">
        <v>193</v>
      </c>
      <c r="I380" s="13"/>
      <c r="J380" s="13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8">
        <v>45978.0</v>
      </c>
      <c r="B381" s="9" t="s">
        <v>68</v>
      </c>
      <c r="C381" s="19" t="s">
        <v>198</v>
      </c>
      <c r="D381" s="5">
        <v>1.0E7</v>
      </c>
      <c r="E381" s="5">
        <v>1.0E7</v>
      </c>
      <c r="F381" s="13"/>
      <c r="G381" s="13"/>
      <c r="H381" s="19" t="s">
        <v>193</v>
      </c>
      <c r="I381" s="13"/>
      <c r="J381" s="13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8">
        <v>45978.0</v>
      </c>
      <c r="B382" s="9" t="s">
        <v>147</v>
      </c>
      <c r="C382" s="19" t="s">
        <v>198</v>
      </c>
      <c r="D382" s="5">
        <v>6.0E7</v>
      </c>
      <c r="E382" s="5">
        <v>8.0E7</v>
      </c>
      <c r="F382" s="5">
        <v>8.0E7</v>
      </c>
      <c r="G382" s="5">
        <v>3.0E7</v>
      </c>
      <c r="H382" s="19" t="s">
        <v>193</v>
      </c>
      <c r="I382" s="13"/>
      <c r="J382" s="13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8">
        <v>45978.0</v>
      </c>
      <c r="B383" s="9" t="s">
        <v>63</v>
      </c>
      <c r="C383" s="19" t="s">
        <v>198</v>
      </c>
      <c r="D383" s="5">
        <v>2760000.0</v>
      </c>
      <c r="E383" s="5">
        <v>2760000.0</v>
      </c>
      <c r="F383" s="5">
        <v>2760000.0</v>
      </c>
      <c r="G383" s="5">
        <v>920000.0</v>
      </c>
      <c r="H383" s="19" t="s">
        <v>193</v>
      </c>
      <c r="I383" s="13"/>
      <c r="J383" s="13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8">
        <v>45978.0</v>
      </c>
      <c r="B384" s="9" t="s">
        <v>74</v>
      </c>
      <c r="C384" s="19" t="s">
        <v>198</v>
      </c>
      <c r="D384" s="5">
        <v>4600.0</v>
      </c>
      <c r="E384" s="5">
        <v>4600.0</v>
      </c>
      <c r="F384" s="5">
        <v>4600.0</v>
      </c>
      <c r="G384" s="5">
        <v>2760.0</v>
      </c>
      <c r="H384" s="19" t="s">
        <v>193</v>
      </c>
      <c r="I384" s="13"/>
      <c r="J384" s="13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8">
        <v>45978.0</v>
      </c>
      <c r="B385" s="9" t="s">
        <v>130</v>
      </c>
      <c r="C385" s="19" t="s">
        <v>198</v>
      </c>
      <c r="D385" s="5">
        <v>1.0E7</v>
      </c>
      <c r="E385" s="5">
        <v>1.0E7</v>
      </c>
      <c r="F385" s="5">
        <v>1.0E7</v>
      </c>
      <c r="G385" s="5">
        <v>1.012E7</v>
      </c>
      <c r="H385" s="19" t="s">
        <v>193</v>
      </c>
      <c r="I385" s="13"/>
      <c r="J385" s="13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8">
        <v>45978.0</v>
      </c>
      <c r="B386" s="9" t="s">
        <v>86</v>
      </c>
      <c r="C386" s="19" t="s">
        <v>198</v>
      </c>
      <c r="D386" s="5">
        <v>1.0E7</v>
      </c>
      <c r="E386" s="5">
        <v>1.0E7</v>
      </c>
      <c r="F386" s="5">
        <v>1.0E7</v>
      </c>
      <c r="G386" s="5">
        <v>1.0E7</v>
      </c>
      <c r="H386" s="19" t="s">
        <v>193</v>
      </c>
      <c r="I386" s="13"/>
      <c r="J386" s="13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8">
        <v>45978.0</v>
      </c>
      <c r="B387" s="9" t="s">
        <v>19</v>
      </c>
      <c r="C387" s="19" t="s">
        <v>198</v>
      </c>
      <c r="D387" s="5">
        <v>3128000.0</v>
      </c>
      <c r="E387" s="5">
        <v>3128000.0</v>
      </c>
      <c r="F387" s="5">
        <v>3128000.0</v>
      </c>
      <c r="G387" s="5">
        <v>1012000.0</v>
      </c>
      <c r="H387" s="19" t="s">
        <v>193</v>
      </c>
      <c r="I387" s="13"/>
      <c r="J387" s="13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8">
        <v>45978.0</v>
      </c>
      <c r="B388" s="9" t="s">
        <v>17</v>
      </c>
      <c r="C388" s="19" t="s">
        <v>198</v>
      </c>
      <c r="D388" s="5">
        <v>2484000.0</v>
      </c>
      <c r="E388" s="5">
        <v>3882000.0</v>
      </c>
      <c r="F388" s="5">
        <v>2530000.0</v>
      </c>
      <c r="G388" s="5">
        <v>1104000.0</v>
      </c>
      <c r="H388" s="19" t="s">
        <v>193</v>
      </c>
      <c r="I388" s="13"/>
      <c r="J388" s="13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8">
        <v>45978.0</v>
      </c>
      <c r="B389" s="9" t="s">
        <v>159</v>
      </c>
      <c r="C389" s="19" t="s">
        <v>198</v>
      </c>
      <c r="D389" s="5">
        <v>1.0E7</v>
      </c>
      <c r="E389" s="5">
        <v>1.0E7</v>
      </c>
      <c r="F389" s="5">
        <v>1.0E7</v>
      </c>
      <c r="G389" s="5">
        <v>1.0E7</v>
      </c>
      <c r="H389" s="19" t="s">
        <v>193</v>
      </c>
      <c r="I389" s="13"/>
      <c r="J389" s="13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8">
        <v>45978.0</v>
      </c>
      <c r="B390" s="9" t="s">
        <v>18</v>
      </c>
      <c r="C390" s="19" t="s">
        <v>198</v>
      </c>
      <c r="D390" s="5">
        <v>1.0E7</v>
      </c>
      <c r="E390" s="5">
        <v>1.0E7</v>
      </c>
      <c r="F390" s="5">
        <v>1.0E7</v>
      </c>
      <c r="G390" s="5">
        <v>1.0E7</v>
      </c>
      <c r="H390" s="19" t="s">
        <v>193</v>
      </c>
      <c r="I390" s="13"/>
      <c r="J390" s="13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8">
        <v>45978.0</v>
      </c>
      <c r="B391" s="9" t="s">
        <v>158</v>
      </c>
      <c r="C391" s="19" t="s">
        <v>198</v>
      </c>
      <c r="D391" s="5">
        <v>3987845.0</v>
      </c>
      <c r="E391" s="5">
        <v>3801824.0</v>
      </c>
      <c r="F391" s="5">
        <v>828000.0</v>
      </c>
      <c r="G391" s="5">
        <v>2210331.0</v>
      </c>
      <c r="H391" s="19" t="s">
        <v>193</v>
      </c>
      <c r="I391" s="13"/>
      <c r="J391" s="13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8">
        <v>45978.0</v>
      </c>
      <c r="B392" s="9" t="s">
        <v>140</v>
      </c>
      <c r="C392" s="19" t="s">
        <v>198</v>
      </c>
      <c r="D392" s="5">
        <v>3312000.0</v>
      </c>
      <c r="E392" s="5">
        <v>3312000.0</v>
      </c>
      <c r="F392" s="5">
        <v>3312000.0</v>
      </c>
      <c r="G392" s="5">
        <v>1472000.0</v>
      </c>
      <c r="H392" s="19" t="s">
        <v>193</v>
      </c>
      <c r="I392" s="13"/>
      <c r="J392" s="13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8">
        <v>45978.0</v>
      </c>
      <c r="B393" s="9" t="s">
        <v>172</v>
      </c>
      <c r="C393" s="19" t="s">
        <v>198</v>
      </c>
      <c r="D393" s="5">
        <v>2760000.0</v>
      </c>
      <c r="E393" s="5">
        <v>2760000.0</v>
      </c>
      <c r="F393" s="5">
        <v>2760000.0</v>
      </c>
      <c r="G393" s="5">
        <v>1720000.0</v>
      </c>
      <c r="H393" s="19" t="s">
        <v>193</v>
      </c>
      <c r="I393" s="13"/>
      <c r="J393" s="13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8">
        <v>45978.0</v>
      </c>
      <c r="B394" s="9" t="s">
        <v>133</v>
      </c>
      <c r="C394" s="19" t="s">
        <v>198</v>
      </c>
      <c r="D394" s="5">
        <v>2760000.0</v>
      </c>
      <c r="E394" s="5">
        <v>2760000.0</v>
      </c>
      <c r="F394" s="5">
        <v>2760000.0</v>
      </c>
      <c r="G394" s="5">
        <v>920000.0</v>
      </c>
      <c r="H394" s="19" t="s">
        <v>193</v>
      </c>
      <c r="I394" s="13"/>
      <c r="J394" s="13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8">
        <v>45978.0</v>
      </c>
      <c r="B395" s="9" t="s">
        <v>171</v>
      </c>
      <c r="C395" s="19" t="s">
        <v>198</v>
      </c>
      <c r="D395" s="5">
        <v>2640000.0</v>
      </c>
      <c r="E395" s="5">
        <v>3680000.0</v>
      </c>
      <c r="F395" s="5">
        <v>1840000.0</v>
      </c>
      <c r="G395" s="5">
        <v>1840000.0</v>
      </c>
      <c r="H395" s="19" t="s">
        <v>193</v>
      </c>
      <c r="I395" s="13"/>
      <c r="J395" s="13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8">
        <v>45978.0</v>
      </c>
      <c r="B396" s="9" t="s">
        <v>71</v>
      </c>
      <c r="C396" s="19" t="s">
        <v>198</v>
      </c>
      <c r="D396" s="5">
        <v>3864000.0</v>
      </c>
      <c r="E396" s="5">
        <v>3864000.0</v>
      </c>
      <c r="F396" s="5">
        <v>3928000.0</v>
      </c>
      <c r="G396" s="5">
        <v>1288000.0</v>
      </c>
      <c r="H396" s="19" t="s">
        <v>193</v>
      </c>
      <c r="I396" s="13"/>
      <c r="J396" s="13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8">
        <v>45978.0</v>
      </c>
      <c r="B397" s="9" t="s">
        <v>137</v>
      </c>
      <c r="C397" s="19" t="s">
        <v>198</v>
      </c>
      <c r="D397" s="5">
        <v>1.0E7</v>
      </c>
      <c r="E397" s="5">
        <v>1.0E7</v>
      </c>
      <c r="F397" s="5">
        <v>1.0E7</v>
      </c>
      <c r="G397" s="5">
        <v>1.0E7</v>
      </c>
      <c r="H397" s="19" t="s">
        <v>193</v>
      </c>
      <c r="I397" s="13"/>
      <c r="J397" s="13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8">
        <v>45978.0</v>
      </c>
      <c r="B398" s="9" t="s">
        <v>164</v>
      </c>
      <c r="C398" s="19" t="s">
        <v>198</v>
      </c>
      <c r="D398" s="5">
        <v>1834085.0</v>
      </c>
      <c r="E398" s="5">
        <v>5306081.0</v>
      </c>
      <c r="F398" s="5">
        <v>1620819.0</v>
      </c>
      <c r="G398" s="5">
        <v>1239015.0</v>
      </c>
      <c r="H398" s="19" t="s">
        <v>193</v>
      </c>
      <c r="I398" s="13"/>
      <c r="J398" s="13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8">
        <v>45978.0</v>
      </c>
      <c r="B399" s="9" t="s">
        <v>60</v>
      </c>
      <c r="C399" s="19" t="s">
        <v>198</v>
      </c>
      <c r="D399" s="5">
        <v>1.0E7</v>
      </c>
      <c r="E399" s="5">
        <v>1.0E7</v>
      </c>
      <c r="F399" s="5">
        <v>1.0E7</v>
      </c>
      <c r="G399" s="5">
        <v>1.0E7</v>
      </c>
      <c r="H399" s="19" t="s">
        <v>193</v>
      </c>
      <c r="I399" s="13"/>
      <c r="J399" s="13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8">
        <v>45978.0</v>
      </c>
      <c r="B400" s="9" t="s">
        <v>37</v>
      </c>
      <c r="C400" s="19" t="s">
        <v>198</v>
      </c>
      <c r="D400" s="5">
        <v>2760000.0</v>
      </c>
      <c r="E400" s="5">
        <v>2760000.0</v>
      </c>
      <c r="F400" s="5">
        <v>2760000.0</v>
      </c>
      <c r="G400" s="5">
        <v>920000.0</v>
      </c>
      <c r="H400" s="19" t="s">
        <v>193</v>
      </c>
      <c r="I400" s="13"/>
      <c r="J400" s="13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8">
        <v>45978.0</v>
      </c>
      <c r="B401" s="12" t="s">
        <v>180</v>
      </c>
      <c r="C401" s="19" t="s">
        <v>198</v>
      </c>
      <c r="D401" s="13"/>
      <c r="E401" s="5">
        <v>5250533.0</v>
      </c>
      <c r="F401" s="5">
        <v>4749467.0</v>
      </c>
      <c r="G401" s="13"/>
      <c r="H401" s="19" t="s">
        <v>193</v>
      </c>
      <c r="I401" s="13"/>
      <c r="J401" s="13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8">
        <v>45979.0</v>
      </c>
      <c r="B402" s="9" t="s">
        <v>152</v>
      </c>
      <c r="C402" s="19" t="s">
        <v>198</v>
      </c>
      <c r="D402" s="5">
        <v>2760000.0</v>
      </c>
      <c r="E402" s="5">
        <v>2760000.0</v>
      </c>
      <c r="F402" s="5">
        <v>2760000.0</v>
      </c>
      <c r="G402" s="5">
        <v>920000.0</v>
      </c>
      <c r="H402" s="19" t="s">
        <v>193</v>
      </c>
      <c r="I402" s="13"/>
      <c r="J402" s="13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8">
        <v>45979.0</v>
      </c>
      <c r="B403" s="9" t="s">
        <v>55</v>
      </c>
      <c r="C403" s="19" t="s">
        <v>198</v>
      </c>
      <c r="D403" s="5">
        <v>3036000.0</v>
      </c>
      <c r="E403" s="5">
        <v>3036000.0</v>
      </c>
      <c r="F403" s="5">
        <v>3036000.0</v>
      </c>
      <c r="G403" s="5">
        <v>1012000.0</v>
      </c>
      <c r="H403" s="19" t="s">
        <v>193</v>
      </c>
      <c r="I403" s="13"/>
      <c r="J403" s="13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8">
        <v>45979.0</v>
      </c>
      <c r="B404" s="9" t="s">
        <v>76</v>
      </c>
      <c r="C404" s="19" t="s">
        <v>198</v>
      </c>
      <c r="D404" s="5">
        <v>7612980.0</v>
      </c>
      <c r="E404" s="5">
        <v>2387020.0</v>
      </c>
      <c r="F404" s="13"/>
      <c r="G404" s="13"/>
      <c r="H404" s="19" t="s">
        <v>193</v>
      </c>
      <c r="I404" s="13"/>
      <c r="J404" s="13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8">
        <v>45979.0</v>
      </c>
      <c r="B405" s="9" t="s">
        <v>141</v>
      </c>
      <c r="C405" s="19" t="s">
        <v>198</v>
      </c>
      <c r="D405" s="13"/>
      <c r="E405" s="5">
        <v>3923934.0</v>
      </c>
      <c r="F405" s="5">
        <v>4722038.0</v>
      </c>
      <c r="G405" s="5">
        <v>1354027.0</v>
      </c>
      <c r="H405" s="19" t="s">
        <v>193</v>
      </c>
      <c r="I405" s="13"/>
      <c r="J405" s="13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8">
        <v>45979.0</v>
      </c>
      <c r="B406" s="9" t="s">
        <v>39</v>
      </c>
      <c r="C406" s="19" t="s">
        <v>196</v>
      </c>
      <c r="D406" s="5">
        <v>1.0E7</v>
      </c>
      <c r="E406" s="13"/>
      <c r="F406" s="13"/>
      <c r="G406" s="5">
        <v>1.0E7</v>
      </c>
      <c r="H406" s="19" t="s">
        <v>193</v>
      </c>
      <c r="I406" s="13"/>
      <c r="J406" s="13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8">
        <v>45979.0</v>
      </c>
      <c r="B407" s="9" t="s">
        <v>143</v>
      </c>
      <c r="C407" s="19" t="s">
        <v>198</v>
      </c>
      <c r="D407" s="13"/>
      <c r="E407" s="5">
        <v>1.0E7</v>
      </c>
      <c r="F407" s="13"/>
      <c r="G407" s="13"/>
      <c r="H407" s="19" t="s">
        <v>193</v>
      </c>
      <c r="I407" s="13"/>
      <c r="J407" s="13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8">
        <v>45979.0</v>
      </c>
      <c r="B408" s="9" t="s">
        <v>49</v>
      </c>
      <c r="C408" s="19" t="s">
        <v>196</v>
      </c>
      <c r="D408" s="5">
        <v>4000000.0</v>
      </c>
      <c r="E408" s="5">
        <v>4000000.0</v>
      </c>
      <c r="F408" s="5">
        <v>4000000.0</v>
      </c>
      <c r="G408" s="5">
        <v>4000000.0</v>
      </c>
      <c r="H408" s="19" t="s">
        <v>193</v>
      </c>
      <c r="I408" s="13"/>
      <c r="J408" s="13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8">
        <v>45979.0</v>
      </c>
      <c r="B409" s="9" t="s">
        <v>87</v>
      </c>
      <c r="C409" s="19" t="s">
        <v>198</v>
      </c>
      <c r="D409" s="5">
        <v>1348509.0</v>
      </c>
      <c r="E409" s="5">
        <v>6087717.0</v>
      </c>
      <c r="F409" s="5">
        <v>2071325.0</v>
      </c>
      <c r="G409" s="5">
        <v>492448.0</v>
      </c>
      <c r="H409" s="19" t="s">
        <v>193</v>
      </c>
      <c r="I409" s="13"/>
      <c r="J409" s="13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8">
        <v>45979.0</v>
      </c>
      <c r="B410" s="9" t="s">
        <v>52</v>
      </c>
      <c r="C410" s="19" t="s">
        <v>198</v>
      </c>
      <c r="D410" s="5">
        <v>2944000.0</v>
      </c>
      <c r="E410" s="5">
        <v>3036000.0</v>
      </c>
      <c r="F410" s="5">
        <v>3008000.0</v>
      </c>
      <c r="G410" s="5">
        <v>1012000.0</v>
      </c>
      <c r="H410" s="19" t="s">
        <v>193</v>
      </c>
      <c r="I410" s="13"/>
      <c r="J410" s="13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8">
        <v>45979.0</v>
      </c>
      <c r="B411" s="9" t="s">
        <v>120</v>
      </c>
      <c r="C411" s="19" t="s">
        <v>198</v>
      </c>
      <c r="D411" s="5">
        <v>322000.0</v>
      </c>
      <c r="E411" s="5">
        <v>3220000.0</v>
      </c>
      <c r="F411" s="5">
        <v>3220000.0</v>
      </c>
      <c r="G411" s="5">
        <v>1012000.0</v>
      </c>
      <c r="H411" s="19" t="s">
        <v>193</v>
      </c>
      <c r="I411" s="13"/>
      <c r="J411" s="13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8">
        <v>45979.0</v>
      </c>
      <c r="B412" s="9" t="s">
        <v>101</v>
      </c>
      <c r="C412" s="19" t="s">
        <v>198</v>
      </c>
      <c r="D412" s="5">
        <v>3036000.0</v>
      </c>
      <c r="E412" s="5">
        <v>3036000.0</v>
      </c>
      <c r="F412" s="5">
        <v>3036000.0</v>
      </c>
      <c r="G412" s="5">
        <v>1012000.0</v>
      </c>
      <c r="H412" s="19" t="s">
        <v>193</v>
      </c>
      <c r="I412" s="13"/>
      <c r="J412" s="13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8">
        <v>45979.0</v>
      </c>
      <c r="B413" s="9" t="s">
        <v>88</v>
      </c>
      <c r="C413" s="19" t="s">
        <v>198</v>
      </c>
      <c r="D413" s="5">
        <v>1.0E7</v>
      </c>
      <c r="E413" s="13"/>
      <c r="F413" s="13"/>
      <c r="G413" s="13"/>
      <c r="H413" s="19" t="s">
        <v>193</v>
      </c>
      <c r="I413" s="13"/>
      <c r="J413" s="13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8">
        <v>45979.0</v>
      </c>
      <c r="B414" s="9" t="s">
        <v>74</v>
      </c>
      <c r="C414" s="19" t="s">
        <v>198</v>
      </c>
      <c r="D414" s="5">
        <v>6440000.0</v>
      </c>
      <c r="E414" s="5">
        <v>6440000.0</v>
      </c>
      <c r="F414" s="5">
        <v>6440000.0</v>
      </c>
      <c r="G414" s="5">
        <v>2484000.0</v>
      </c>
      <c r="H414" s="19" t="s">
        <v>193</v>
      </c>
      <c r="I414" s="13"/>
      <c r="J414" s="13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8">
        <v>45979.0</v>
      </c>
      <c r="B415" s="26" t="s">
        <v>109</v>
      </c>
      <c r="C415" s="19" t="s">
        <v>198</v>
      </c>
      <c r="D415" s="5">
        <v>1.0E7</v>
      </c>
      <c r="E415" s="5">
        <v>1.0E7</v>
      </c>
      <c r="F415" s="5">
        <v>1.0E7</v>
      </c>
      <c r="G415" s="5">
        <v>1.0E7</v>
      </c>
      <c r="H415" s="19" t="s">
        <v>193</v>
      </c>
      <c r="I415" s="13"/>
      <c r="J415" s="13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8">
        <v>45979.0</v>
      </c>
      <c r="B416" s="9" t="s">
        <v>33</v>
      </c>
      <c r="C416" s="19" t="s">
        <v>198</v>
      </c>
      <c r="D416" s="5">
        <v>1.0E7</v>
      </c>
      <c r="E416" s="5">
        <v>1.0E7</v>
      </c>
      <c r="F416" s="5">
        <v>1.0E7</v>
      </c>
      <c r="G416" s="5">
        <v>1.0E7</v>
      </c>
      <c r="H416" s="19" t="s">
        <v>193</v>
      </c>
      <c r="I416" s="13"/>
      <c r="J416" s="13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8">
        <v>45979.0</v>
      </c>
      <c r="B417" s="9" t="s">
        <v>43</v>
      </c>
      <c r="C417" s="19" t="s">
        <v>198</v>
      </c>
      <c r="D417" s="5">
        <v>1.0E7</v>
      </c>
      <c r="E417" s="5">
        <v>1.0E7</v>
      </c>
      <c r="F417" s="5">
        <v>1.0E7</v>
      </c>
      <c r="G417" s="5">
        <v>3036000.0</v>
      </c>
      <c r="H417" s="19" t="s">
        <v>193</v>
      </c>
      <c r="I417" s="13"/>
      <c r="J417" s="13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8">
        <v>45979.0</v>
      </c>
      <c r="B418" s="9" t="s">
        <v>103</v>
      </c>
      <c r="C418" s="19" t="s">
        <v>198</v>
      </c>
      <c r="D418" s="5">
        <v>3.9E8</v>
      </c>
      <c r="E418" s="5">
        <v>1.6E8</v>
      </c>
      <c r="F418" s="5">
        <v>2.4E8</v>
      </c>
      <c r="G418" s="5">
        <v>2.6E8</v>
      </c>
      <c r="H418" s="19" t="s">
        <v>193</v>
      </c>
      <c r="I418" s="13"/>
      <c r="J418" s="13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8">
        <v>45979.0</v>
      </c>
      <c r="B419" s="9" t="s">
        <v>27</v>
      </c>
      <c r="C419" s="19" t="s">
        <v>198</v>
      </c>
      <c r="D419" s="13"/>
      <c r="E419" s="13"/>
      <c r="F419" s="5">
        <v>1.0E7</v>
      </c>
      <c r="G419" s="13"/>
      <c r="H419" s="19" t="s">
        <v>193</v>
      </c>
      <c r="I419" s="13"/>
      <c r="J419" s="13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8">
        <v>45979.0</v>
      </c>
      <c r="B420" s="9" t="s">
        <v>151</v>
      </c>
      <c r="C420" s="19" t="s">
        <v>198</v>
      </c>
      <c r="D420" s="5">
        <v>2760000.0</v>
      </c>
      <c r="E420" s="5">
        <v>2760000.0</v>
      </c>
      <c r="F420" s="5">
        <v>2760000.0</v>
      </c>
      <c r="G420" s="5">
        <v>1720000.0</v>
      </c>
      <c r="H420" s="19" t="s">
        <v>193</v>
      </c>
      <c r="I420" s="13"/>
      <c r="J420" s="13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8">
        <v>45979.0</v>
      </c>
      <c r="B421" s="9" t="s">
        <v>138</v>
      </c>
      <c r="C421" s="19" t="s">
        <v>198</v>
      </c>
      <c r="D421" s="5">
        <v>1.184E7</v>
      </c>
      <c r="E421" s="5">
        <v>1840000.0</v>
      </c>
      <c r="F421" s="5">
        <v>1840000.0</v>
      </c>
      <c r="G421" s="5">
        <v>4480000.0</v>
      </c>
      <c r="H421" s="19" t="s">
        <v>193</v>
      </c>
      <c r="I421" s="13"/>
      <c r="J421" s="13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8">
        <v>45979.0</v>
      </c>
      <c r="B422" s="9" t="s">
        <v>24</v>
      </c>
      <c r="C422" s="19" t="s">
        <v>198</v>
      </c>
      <c r="D422" s="5">
        <v>2760000.0</v>
      </c>
      <c r="E422" s="5">
        <v>2760000.0</v>
      </c>
      <c r="F422" s="5">
        <v>2760000.0</v>
      </c>
      <c r="G422" s="5">
        <v>920000.0</v>
      </c>
      <c r="H422" s="19" t="s">
        <v>193</v>
      </c>
      <c r="I422" s="13"/>
      <c r="J422" s="13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8">
        <v>45980.0</v>
      </c>
      <c r="B423" s="9" t="s">
        <v>116</v>
      </c>
      <c r="C423" s="19" t="s">
        <v>198</v>
      </c>
      <c r="D423" s="5">
        <v>2760000.0</v>
      </c>
      <c r="E423" s="5">
        <v>2760000.0</v>
      </c>
      <c r="F423" s="5">
        <v>2760000.0</v>
      </c>
      <c r="G423" s="5">
        <v>920000.0</v>
      </c>
      <c r="H423" s="19" t="s">
        <v>193</v>
      </c>
      <c r="I423" s="13"/>
      <c r="J423" s="13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8">
        <v>45980.0</v>
      </c>
      <c r="B424" s="9" t="s">
        <v>136</v>
      </c>
      <c r="C424" s="19" t="s">
        <v>198</v>
      </c>
      <c r="D424" s="5">
        <v>3100000.0</v>
      </c>
      <c r="E424" s="5">
        <v>2300000.0</v>
      </c>
      <c r="F424" s="5">
        <v>2300000.0</v>
      </c>
      <c r="G424" s="5">
        <v>2300000.0</v>
      </c>
      <c r="H424" s="19" t="s">
        <v>193</v>
      </c>
      <c r="I424" s="13"/>
      <c r="J424" s="13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8">
        <v>45980.0</v>
      </c>
      <c r="B425" s="9" t="s">
        <v>119</v>
      </c>
      <c r="C425" s="19" t="s">
        <v>198</v>
      </c>
      <c r="D425" s="5">
        <v>3143025.0</v>
      </c>
      <c r="E425" s="5">
        <v>4560589.0</v>
      </c>
      <c r="F425" s="5">
        <v>2296385.0</v>
      </c>
      <c r="G425" s="5"/>
      <c r="H425" s="19" t="s">
        <v>193</v>
      </c>
      <c r="I425" s="13"/>
      <c r="J425" s="13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8">
        <v>45980.0</v>
      </c>
      <c r="B426" s="9" t="s">
        <v>103</v>
      </c>
      <c r="C426" s="19" t="s">
        <v>198</v>
      </c>
      <c r="D426" s="13"/>
      <c r="E426" s="13"/>
      <c r="F426" s="13"/>
      <c r="G426" s="5">
        <v>2.0E7</v>
      </c>
      <c r="H426" s="19" t="s">
        <v>193</v>
      </c>
      <c r="I426" s="13"/>
      <c r="J426" s="13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8">
        <v>45981.0</v>
      </c>
      <c r="B427" s="9" t="s">
        <v>173</v>
      </c>
      <c r="C427" s="19" t="s">
        <v>198</v>
      </c>
      <c r="D427" s="5">
        <v>2760000.0</v>
      </c>
      <c r="E427" s="5">
        <v>2760000.0</v>
      </c>
      <c r="F427" s="5">
        <v>3560000.0</v>
      </c>
      <c r="G427" s="5">
        <v>920000.0</v>
      </c>
      <c r="H427" s="19" t="s">
        <v>193</v>
      </c>
      <c r="I427" s="13"/>
      <c r="J427" s="13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8">
        <v>45981.0</v>
      </c>
      <c r="B428" s="9" t="s">
        <v>81</v>
      </c>
      <c r="C428" s="19" t="s">
        <v>198</v>
      </c>
      <c r="D428" s="5">
        <v>1.0E7</v>
      </c>
      <c r="E428" s="5">
        <v>1.0E7</v>
      </c>
      <c r="F428" s="13"/>
      <c r="G428" s="5">
        <v>1.0E7</v>
      </c>
      <c r="H428" s="19" t="s">
        <v>193</v>
      </c>
      <c r="I428" s="13"/>
      <c r="J428" s="13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8">
        <v>45981.0</v>
      </c>
      <c r="B429" s="9" t="s">
        <v>175</v>
      </c>
      <c r="C429" s="19" t="s">
        <v>198</v>
      </c>
      <c r="D429" s="5">
        <v>1.0E7</v>
      </c>
      <c r="E429" s="5">
        <v>3.0E7</v>
      </c>
      <c r="F429" s="5">
        <v>1.0E7</v>
      </c>
      <c r="G429" s="5">
        <v>1.0E7</v>
      </c>
      <c r="H429" s="19" t="s">
        <v>193</v>
      </c>
      <c r="I429" s="13"/>
      <c r="J429" s="13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8">
        <v>45981.0</v>
      </c>
      <c r="B430" s="9" t="s">
        <v>75</v>
      </c>
      <c r="C430" s="19" t="s">
        <v>198</v>
      </c>
      <c r="D430" s="5">
        <v>1.0E7</v>
      </c>
      <c r="E430" s="5">
        <v>1.0E7</v>
      </c>
      <c r="F430" s="5">
        <v>1.0E7</v>
      </c>
      <c r="G430" s="5">
        <v>1.0E7</v>
      </c>
      <c r="H430" s="19" t="s">
        <v>193</v>
      </c>
      <c r="I430" s="13"/>
      <c r="J430" s="13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8">
        <v>45981.0</v>
      </c>
      <c r="B431" s="9" t="s">
        <v>143</v>
      </c>
      <c r="C431" s="19" t="s">
        <v>196</v>
      </c>
      <c r="D431" s="5">
        <v>2760000.0</v>
      </c>
      <c r="E431" s="5">
        <v>4480000.0</v>
      </c>
      <c r="F431" s="5">
        <v>2760000.0</v>
      </c>
      <c r="G431" s="13"/>
      <c r="H431" s="19" t="s">
        <v>193</v>
      </c>
      <c r="I431" s="13"/>
      <c r="J431" s="13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8">
        <v>45981.0</v>
      </c>
      <c r="B432" s="9" t="s">
        <v>67</v>
      </c>
      <c r="C432" s="19" t="s">
        <v>198</v>
      </c>
      <c r="D432" s="5">
        <v>1.6E8</v>
      </c>
      <c r="E432" s="5">
        <v>1.2E8</v>
      </c>
      <c r="F432" s="3"/>
      <c r="G432" s="13"/>
      <c r="H432" s="19" t="s">
        <v>193</v>
      </c>
      <c r="I432" s="13"/>
      <c r="J432" s="13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8">
        <v>45981.0</v>
      </c>
      <c r="B433" s="9" t="s">
        <v>31</v>
      </c>
      <c r="C433" s="19" t="s">
        <v>198</v>
      </c>
      <c r="D433" s="5">
        <v>1.0E7</v>
      </c>
      <c r="E433" s="5">
        <v>1.0E7</v>
      </c>
      <c r="F433" s="5">
        <v>1.0E7</v>
      </c>
      <c r="G433" s="13"/>
      <c r="H433" s="19" t="s">
        <v>193</v>
      </c>
      <c r="I433" s="13"/>
      <c r="J433" s="13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8">
        <v>45981.0</v>
      </c>
      <c r="B434" s="9" t="s">
        <v>92</v>
      </c>
      <c r="C434" s="19" t="s">
        <v>198</v>
      </c>
      <c r="D434" s="13"/>
      <c r="E434" s="5">
        <v>1.0E7</v>
      </c>
      <c r="F434" s="13"/>
      <c r="G434" s="13"/>
      <c r="H434" s="19" t="s">
        <v>193</v>
      </c>
      <c r="I434" s="13"/>
      <c r="J434" s="13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4">
        <v>45982.0</v>
      </c>
      <c r="B435" s="9" t="s">
        <v>67</v>
      </c>
      <c r="C435" s="15" t="s">
        <v>198</v>
      </c>
      <c r="D435" s="3"/>
      <c r="E435" s="3"/>
      <c r="F435" s="5">
        <v>1.0E8</v>
      </c>
      <c r="G435" s="5">
        <v>4.0E7</v>
      </c>
      <c r="H435" s="15" t="s">
        <v>193</v>
      </c>
      <c r="I435" s="3"/>
      <c r="J435" s="13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4">
        <v>45982.0</v>
      </c>
      <c r="B436" s="9" t="s">
        <v>158</v>
      </c>
      <c r="C436" s="15" t="s">
        <v>196</v>
      </c>
      <c r="D436" s="5">
        <v>2107438.0</v>
      </c>
      <c r="E436" s="5">
        <v>2771911.0</v>
      </c>
      <c r="F436" s="5">
        <v>2845442.0</v>
      </c>
      <c r="G436" s="5">
        <v>2275208.0</v>
      </c>
      <c r="H436" s="15" t="s">
        <v>193</v>
      </c>
      <c r="I436" s="3"/>
      <c r="J436" s="13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4">
        <v>45982.0</v>
      </c>
      <c r="B437" s="9" t="s">
        <v>131</v>
      </c>
      <c r="C437" s="15" t="s">
        <v>198</v>
      </c>
      <c r="D437" s="3"/>
      <c r="E437" s="5">
        <v>1.0E7</v>
      </c>
      <c r="F437" s="3"/>
      <c r="G437" s="3"/>
      <c r="H437" s="15" t="s">
        <v>193</v>
      </c>
      <c r="I437" s="3"/>
      <c r="J437" s="13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4">
        <v>45983.0</v>
      </c>
      <c r="B438" s="12" t="s">
        <v>177</v>
      </c>
      <c r="C438" s="15" t="s">
        <v>198</v>
      </c>
      <c r="D438" s="5">
        <v>2760000.0</v>
      </c>
      <c r="E438" s="5">
        <v>4480000.0</v>
      </c>
      <c r="F438" s="5">
        <v>1840000.0</v>
      </c>
      <c r="G438" s="5">
        <v>920000.0</v>
      </c>
      <c r="H438" s="15" t="s">
        <v>193</v>
      </c>
      <c r="I438" s="3"/>
      <c r="J438" s="13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4">
        <v>45983.0</v>
      </c>
      <c r="B439" s="9" t="s">
        <v>72</v>
      </c>
      <c r="C439" s="15" t="s">
        <v>198</v>
      </c>
      <c r="D439" s="5">
        <v>2760000.0</v>
      </c>
      <c r="E439" s="5">
        <v>2760000.0</v>
      </c>
      <c r="F439" s="5">
        <v>2760000.0</v>
      </c>
      <c r="G439" s="5">
        <v>920000.0</v>
      </c>
      <c r="H439" s="15" t="s">
        <v>193</v>
      </c>
      <c r="I439" s="3"/>
      <c r="J439" s="13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4">
        <v>45984.0</v>
      </c>
      <c r="B440" s="9" t="s">
        <v>150</v>
      </c>
      <c r="C440" s="15" t="s">
        <v>198</v>
      </c>
      <c r="D440" s="5">
        <v>2760000.0</v>
      </c>
      <c r="E440" s="5">
        <v>2760000.0</v>
      </c>
      <c r="F440" s="5">
        <v>2760000.0</v>
      </c>
      <c r="G440" s="5">
        <v>2981453.0</v>
      </c>
      <c r="H440" s="15" t="s">
        <v>193</v>
      </c>
      <c r="I440" s="3"/>
      <c r="J440" s="13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4">
        <v>45984.0</v>
      </c>
      <c r="B441" s="9" t="s">
        <v>154</v>
      </c>
      <c r="C441" s="15" t="s">
        <v>198</v>
      </c>
      <c r="D441" s="5">
        <v>1.0E7</v>
      </c>
      <c r="E441" s="3"/>
      <c r="F441" s="3"/>
      <c r="G441" s="3"/>
      <c r="H441" s="15" t="s">
        <v>193</v>
      </c>
      <c r="I441" s="3"/>
      <c r="J441" s="13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4">
        <v>45984.0</v>
      </c>
      <c r="B442" s="9" t="s">
        <v>97</v>
      </c>
      <c r="C442" s="15" t="s">
        <v>198</v>
      </c>
      <c r="D442" s="5">
        <v>2760000.0</v>
      </c>
      <c r="E442" s="5">
        <v>2760000.0</v>
      </c>
      <c r="F442" s="5">
        <v>2760000.0</v>
      </c>
      <c r="G442" s="5">
        <v>920000.0</v>
      </c>
      <c r="H442" s="15" t="s">
        <v>193</v>
      </c>
      <c r="I442" s="3"/>
      <c r="J442" s="13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4">
        <v>45984.0</v>
      </c>
      <c r="B443" s="9" t="s">
        <v>15</v>
      </c>
      <c r="C443" s="15" t="s">
        <v>198</v>
      </c>
      <c r="D443" s="5">
        <v>3066666.0</v>
      </c>
      <c r="E443" s="5">
        <v>3066666.0</v>
      </c>
      <c r="F443" s="5">
        <v>3066666.0</v>
      </c>
      <c r="G443" s="5">
        <v>800001.0</v>
      </c>
      <c r="H443" s="15" t="s">
        <v>193</v>
      </c>
      <c r="I443" s="3"/>
      <c r="J443" s="13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4">
        <v>45984.0</v>
      </c>
      <c r="B444" s="9" t="s">
        <v>67</v>
      </c>
      <c r="C444" s="15" t="s">
        <v>196</v>
      </c>
      <c r="D444" s="5">
        <v>1.0E7</v>
      </c>
      <c r="E444" s="5">
        <v>1.0E7</v>
      </c>
      <c r="F444" s="3"/>
      <c r="G444" s="5">
        <v>1.0E7</v>
      </c>
      <c r="H444" s="15" t="s">
        <v>193</v>
      </c>
      <c r="I444" s="3"/>
      <c r="J444" s="13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4">
        <v>45984.0</v>
      </c>
      <c r="B445" s="9" t="s">
        <v>174</v>
      </c>
      <c r="C445" s="15" t="s">
        <v>198</v>
      </c>
      <c r="D445" s="5">
        <v>3220000.0</v>
      </c>
      <c r="E445" s="5">
        <v>3220000.0</v>
      </c>
      <c r="F445" s="5">
        <v>3560000.0</v>
      </c>
      <c r="G445" s="5">
        <v>1840000.0</v>
      </c>
      <c r="H445" s="15" t="s">
        <v>193</v>
      </c>
      <c r="I445" s="3"/>
      <c r="J445" s="13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4">
        <v>45984.0</v>
      </c>
      <c r="B446" s="9" t="s">
        <v>95</v>
      </c>
      <c r="C446" s="15" t="s">
        <v>198</v>
      </c>
      <c r="D446" s="5">
        <v>3008400.0</v>
      </c>
      <c r="E446" s="5">
        <v>3008400.0</v>
      </c>
      <c r="F446" s="5">
        <v>3008400.0</v>
      </c>
      <c r="G446" s="5">
        <v>974800.0</v>
      </c>
      <c r="H446" s="15" t="s">
        <v>193</v>
      </c>
      <c r="I446" s="3"/>
      <c r="J446" s="13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4">
        <v>45984.0</v>
      </c>
      <c r="B447" s="9" t="s">
        <v>100</v>
      </c>
      <c r="C447" s="15" t="s">
        <v>198</v>
      </c>
      <c r="D447" s="5">
        <v>1.0E7</v>
      </c>
      <c r="E447" s="5">
        <v>1.0E7</v>
      </c>
      <c r="F447" s="5">
        <v>1.0E7</v>
      </c>
      <c r="G447" s="5">
        <v>1.0E7</v>
      </c>
      <c r="H447" s="15" t="s">
        <v>193</v>
      </c>
      <c r="I447" s="3"/>
      <c r="J447" s="13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4">
        <v>45984.0</v>
      </c>
      <c r="B448" s="8" t="s">
        <v>143</v>
      </c>
      <c r="C448" s="15" t="s">
        <v>196</v>
      </c>
      <c r="D448" s="3"/>
      <c r="E448" s="5">
        <v>1.0E7</v>
      </c>
      <c r="F448" s="3"/>
      <c r="G448" s="3"/>
      <c r="H448" s="15" t="s">
        <v>193</v>
      </c>
      <c r="I448" s="3"/>
      <c r="J448" s="13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4">
        <v>45984.0</v>
      </c>
      <c r="B449" s="9" t="s">
        <v>178</v>
      </c>
      <c r="C449" s="15" t="s">
        <v>198</v>
      </c>
      <c r="D449" s="5">
        <v>2760000.0</v>
      </c>
      <c r="E449" s="5">
        <v>2760000.0</v>
      </c>
      <c r="F449" s="5">
        <v>2760000.0</v>
      </c>
      <c r="G449" s="5">
        <v>920000.0</v>
      </c>
      <c r="H449" s="15" t="s">
        <v>193</v>
      </c>
      <c r="I449" s="3"/>
      <c r="J449" s="13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4">
        <v>45984.0</v>
      </c>
      <c r="B450" s="9" t="s">
        <v>142</v>
      </c>
      <c r="C450" s="15" t="s">
        <v>198</v>
      </c>
      <c r="D450" s="5">
        <v>2000000.0</v>
      </c>
      <c r="E450" s="5">
        <v>2000000.0</v>
      </c>
      <c r="F450" s="5">
        <v>4000000.0</v>
      </c>
      <c r="G450" s="5">
        <v>2000000.0</v>
      </c>
      <c r="H450" s="15" t="s">
        <v>193</v>
      </c>
      <c r="I450" s="3"/>
      <c r="J450" s="13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4">
        <v>45984.0</v>
      </c>
      <c r="B451" s="9" t="s">
        <v>98</v>
      </c>
      <c r="C451" s="15" t="s">
        <v>198</v>
      </c>
      <c r="D451" s="5">
        <v>3680000.0</v>
      </c>
      <c r="E451" s="5">
        <v>3680000.0</v>
      </c>
      <c r="F451" s="5">
        <v>3680000.0</v>
      </c>
      <c r="G451" s="5">
        <v>1840000.0</v>
      </c>
      <c r="H451" s="15" t="s">
        <v>193</v>
      </c>
      <c r="I451" s="3"/>
      <c r="J451" s="13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4">
        <v>45984.0</v>
      </c>
      <c r="B452" s="9" t="s">
        <v>77</v>
      </c>
      <c r="C452" s="15" t="s">
        <v>198</v>
      </c>
      <c r="D452" s="5">
        <v>1840000.0</v>
      </c>
      <c r="E452" s="5">
        <v>2300000.0</v>
      </c>
      <c r="F452" s="5">
        <v>5520000.0</v>
      </c>
      <c r="G452" s="5">
        <v>340000.0</v>
      </c>
      <c r="H452" s="15" t="s">
        <v>193</v>
      </c>
      <c r="I452" s="3"/>
      <c r="J452" s="13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4">
        <v>45984.0</v>
      </c>
      <c r="B453" s="9" t="s">
        <v>112</v>
      </c>
      <c r="C453" s="15" t="s">
        <v>198</v>
      </c>
      <c r="D453" s="3"/>
      <c r="E453" s="5">
        <v>1.0E7</v>
      </c>
      <c r="F453" s="3"/>
      <c r="G453" s="3"/>
      <c r="H453" s="15" t="s">
        <v>193</v>
      </c>
      <c r="I453" s="3"/>
      <c r="J453" s="13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4">
        <v>45984.0</v>
      </c>
      <c r="B454" s="9" t="s">
        <v>51</v>
      </c>
      <c r="C454" s="15" t="s">
        <v>198</v>
      </c>
      <c r="D454" s="5">
        <v>2760000.0</v>
      </c>
      <c r="E454" s="5">
        <v>2760000.0</v>
      </c>
      <c r="F454" s="5">
        <v>2760000.0</v>
      </c>
      <c r="G454" s="5">
        <v>1840000.0</v>
      </c>
      <c r="H454" s="15" t="s">
        <v>193</v>
      </c>
      <c r="I454" s="3"/>
      <c r="J454" s="13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4">
        <v>45984.0</v>
      </c>
      <c r="B455" s="9" t="s">
        <v>133</v>
      </c>
      <c r="C455" s="15" t="s">
        <v>198</v>
      </c>
      <c r="D455" s="5">
        <v>2760000.0</v>
      </c>
      <c r="E455" s="5">
        <v>2760000.0</v>
      </c>
      <c r="F455" s="5">
        <v>2760000.0</v>
      </c>
      <c r="G455" s="5">
        <v>920000.0</v>
      </c>
      <c r="H455" s="15" t="s">
        <v>193</v>
      </c>
      <c r="I455" s="3"/>
      <c r="J455" s="13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4">
        <v>45985.0</v>
      </c>
      <c r="B456" s="9" t="s">
        <v>48</v>
      </c>
      <c r="C456" s="15" t="s">
        <v>198</v>
      </c>
      <c r="D456" s="5">
        <v>3036000.0</v>
      </c>
      <c r="E456" s="5">
        <v>3036000.0</v>
      </c>
      <c r="F456" s="5">
        <v>3036000.0</v>
      </c>
      <c r="G456" s="5">
        <v>892000.0</v>
      </c>
      <c r="H456" s="15" t="s">
        <v>193</v>
      </c>
      <c r="I456" s="3"/>
      <c r="J456" s="13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4">
        <v>45985.0</v>
      </c>
      <c r="B457" s="9" t="s">
        <v>151</v>
      </c>
      <c r="C457" s="15" t="s">
        <v>198</v>
      </c>
      <c r="D457" s="5">
        <v>2760460.0</v>
      </c>
      <c r="E457" s="5">
        <v>2760000.0</v>
      </c>
      <c r="F457" s="5">
        <v>2760000.0</v>
      </c>
      <c r="G457" s="5">
        <v>1719540.0</v>
      </c>
      <c r="H457" s="15" t="s">
        <v>193</v>
      </c>
      <c r="I457" s="3"/>
      <c r="J457" s="13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4">
        <v>45985.0</v>
      </c>
      <c r="B458" s="9" t="s">
        <v>45</v>
      </c>
      <c r="C458" s="15" t="s">
        <v>198</v>
      </c>
      <c r="D458" s="5">
        <v>2.0E7</v>
      </c>
      <c r="E458" s="5">
        <v>3.0E7</v>
      </c>
      <c r="F458" s="5">
        <v>1.8210089E7</v>
      </c>
      <c r="G458" s="5">
        <v>5143595.0</v>
      </c>
      <c r="H458" s="15" t="s">
        <v>193</v>
      </c>
      <c r="I458" s="3"/>
      <c r="J458" s="13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4">
        <v>45985.0</v>
      </c>
      <c r="B459" s="9" t="s">
        <v>84</v>
      </c>
      <c r="C459" s="15" t="s">
        <v>198</v>
      </c>
      <c r="D459" s="3"/>
      <c r="E459" s="5">
        <v>1.0E7</v>
      </c>
      <c r="F459" s="5">
        <v>1.0E7</v>
      </c>
      <c r="G459" s="3"/>
      <c r="H459" s="15" t="s">
        <v>193</v>
      </c>
      <c r="I459" s="3"/>
      <c r="J459" s="13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4">
        <v>45985.0</v>
      </c>
      <c r="B460" s="24" t="s">
        <v>99</v>
      </c>
      <c r="C460" s="15" t="s">
        <v>198</v>
      </c>
      <c r="D460" s="5">
        <v>1.0E7</v>
      </c>
      <c r="E460" s="5">
        <v>1.0E7</v>
      </c>
      <c r="F460" s="3"/>
      <c r="G460" s="3"/>
      <c r="H460" s="15" t="s">
        <v>193</v>
      </c>
      <c r="I460" s="3"/>
      <c r="J460" s="13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4">
        <v>45985.0</v>
      </c>
      <c r="B461" s="24" t="s">
        <v>56</v>
      </c>
      <c r="C461" s="15" t="s">
        <v>198</v>
      </c>
      <c r="D461" s="5">
        <v>2990000.0</v>
      </c>
      <c r="E461" s="5">
        <v>2990000.0</v>
      </c>
      <c r="F461" s="5">
        <v>2990000.0</v>
      </c>
      <c r="G461" s="5">
        <v>1030000.0</v>
      </c>
      <c r="H461" s="15" t="s">
        <v>193</v>
      </c>
      <c r="I461" s="3"/>
      <c r="J461" s="13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4">
        <v>45985.0</v>
      </c>
      <c r="B462" s="24" t="s">
        <v>140</v>
      </c>
      <c r="C462" s="15" t="s">
        <v>198</v>
      </c>
      <c r="D462" s="5">
        <v>3680000.0</v>
      </c>
      <c r="E462" s="5">
        <v>3680000.0</v>
      </c>
      <c r="F462" s="5">
        <v>3680000.0</v>
      </c>
      <c r="G462" s="5">
        <v>3042659.0</v>
      </c>
      <c r="H462" s="15" t="s">
        <v>193</v>
      </c>
      <c r="I462" s="3"/>
      <c r="J462" s="13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4">
        <v>45985.0</v>
      </c>
      <c r="B463" s="8" t="s">
        <v>143</v>
      </c>
      <c r="C463" s="15" t="s">
        <v>198</v>
      </c>
      <c r="D463" s="3"/>
      <c r="E463" s="5">
        <v>1.0E7</v>
      </c>
      <c r="F463" s="3"/>
      <c r="G463" s="3"/>
      <c r="H463" s="15" t="s">
        <v>193</v>
      </c>
      <c r="I463" s="3"/>
      <c r="J463" s="13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4">
        <v>45985.0</v>
      </c>
      <c r="B464" s="9" t="s">
        <v>46</v>
      </c>
      <c r="C464" s="15" t="s">
        <v>198</v>
      </c>
      <c r="D464" s="5">
        <v>1.0E7</v>
      </c>
      <c r="E464" s="5">
        <v>1.0E7</v>
      </c>
      <c r="F464" s="5">
        <v>1.0E7</v>
      </c>
      <c r="G464" s="5">
        <v>1.0E7</v>
      </c>
      <c r="H464" s="15" t="s">
        <v>193</v>
      </c>
      <c r="I464" s="3"/>
      <c r="J464" s="13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4">
        <v>45985.0</v>
      </c>
      <c r="B465" s="9" t="s">
        <v>79</v>
      </c>
      <c r="C465" s="15" t="s">
        <v>198</v>
      </c>
      <c r="D465" s="5">
        <v>3220000.0</v>
      </c>
      <c r="E465" s="5">
        <v>3220000.0</v>
      </c>
      <c r="F465" s="5">
        <v>3220000.0</v>
      </c>
      <c r="G465" s="5">
        <v>1380000.0</v>
      </c>
      <c r="H465" s="15" t="s">
        <v>193</v>
      </c>
      <c r="I465" s="3"/>
      <c r="J465" s="13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4">
        <v>45985.0</v>
      </c>
      <c r="B466" s="9" t="s">
        <v>93</v>
      </c>
      <c r="C466" s="15" t="s">
        <v>198</v>
      </c>
      <c r="D466" s="5">
        <v>1840000.0</v>
      </c>
      <c r="E466" s="5">
        <v>4600000.0</v>
      </c>
      <c r="F466" s="5">
        <v>1840000.0</v>
      </c>
      <c r="G466" s="5">
        <v>920000.0</v>
      </c>
      <c r="H466" s="15" t="s">
        <v>193</v>
      </c>
      <c r="I466" s="3"/>
      <c r="J466" s="13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4">
        <v>45985.0</v>
      </c>
      <c r="B467" s="9" t="s">
        <v>49</v>
      </c>
      <c r="C467" s="15" t="s">
        <v>198</v>
      </c>
      <c r="D467" s="5">
        <v>7680000.0</v>
      </c>
      <c r="E467" s="5">
        <v>7680000.0</v>
      </c>
      <c r="F467" s="5">
        <v>7744000.0</v>
      </c>
      <c r="G467" s="5">
        <v>5840000.0</v>
      </c>
      <c r="H467" s="15" t="s">
        <v>193</v>
      </c>
      <c r="I467" s="3"/>
      <c r="J467" s="13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4">
        <v>45985.0</v>
      </c>
      <c r="B468" s="9" t="s">
        <v>74</v>
      </c>
      <c r="C468" s="15" t="s">
        <v>198</v>
      </c>
      <c r="D468" s="5">
        <v>3128000.0</v>
      </c>
      <c r="E468" s="5">
        <v>3128000.0</v>
      </c>
      <c r="F468" s="5">
        <v>3128000.0</v>
      </c>
      <c r="G468" s="5">
        <v>1104000.0</v>
      </c>
      <c r="H468" s="15" t="s">
        <v>193</v>
      </c>
      <c r="I468" s="3"/>
      <c r="J468" s="13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4">
        <v>45985.0</v>
      </c>
      <c r="B469" s="9" t="s">
        <v>86</v>
      </c>
      <c r="C469" s="15" t="s">
        <v>198</v>
      </c>
      <c r="D469" s="5">
        <v>1.0E7</v>
      </c>
      <c r="E469" s="5">
        <v>1.0E7</v>
      </c>
      <c r="F469" s="5">
        <v>1.0E7</v>
      </c>
      <c r="G469" s="5">
        <v>1.0E7</v>
      </c>
      <c r="H469" s="15" t="s">
        <v>193</v>
      </c>
      <c r="I469" s="3"/>
      <c r="J469" s="13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4">
        <v>45985.0</v>
      </c>
      <c r="B470" s="9" t="s">
        <v>59</v>
      </c>
      <c r="C470" s="15" t="s">
        <v>198</v>
      </c>
      <c r="D470" s="5">
        <v>2760000.0</v>
      </c>
      <c r="E470" s="5">
        <v>2760000.0</v>
      </c>
      <c r="F470" s="5">
        <v>2760000.0</v>
      </c>
      <c r="G470" s="3"/>
      <c r="H470" s="15" t="s">
        <v>193</v>
      </c>
      <c r="I470" s="3"/>
      <c r="J470" s="13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4">
        <v>45985.0</v>
      </c>
      <c r="B471" s="9" t="s">
        <v>19</v>
      </c>
      <c r="C471" s="15" t="s">
        <v>198</v>
      </c>
      <c r="D471" s="5">
        <v>3017600.0</v>
      </c>
      <c r="E471" s="5">
        <v>3017600.0</v>
      </c>
      <c r="F471" s="5">
        <v>3017600.0</v>
      </c>
      <c r="G471" s="5">
        <v>1012000.0</v>
      </c>
      <c r="H471" s="15" t="s">
        <v>193</v>
      </c>
      <c r="I471" s="3"/>
      <c r="J471" s="13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4">
        <v>45985.0</v>
      </c>
      <c r="B472" s="9" t="s">
        <v>37</v>
      </c>
      <c r="C472" s="15" t="s">
        <v>198</v>
      </c>
      <c r="D472" s="5">
        <v>3560000.0</v>
      </c>
      <c r="E472" s="5">
        <v>2760000.0</v>
      </c>
      <c r="F472" s="5">
        <v>2760000.0</v>
      </c>
      <c r="G472" s="5">
        <v>920000.0</v>
      </c>
      <c r="H472" s="15" t="s">
        <v>193</v>
      </c>
      <c r="I472" s="3"/>
      <c r="J472" s="13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4">
        <v>45985.0</v>
      </c>
      <c r="B473" s="12" t="s">
        <v>180</v>
      </c>
      <c r="C473" s="15" t="s">
        <v>198</v>
      </c>
      <c r="D473" s="3"/>
      <c r="E473" s="5">
        <v>5316556.0</v>
      </c>
      <c r="F473" s="5">
        <v>4683444.0</v>
      </c>
      <c r="G473" s="3"/>
      <c r="H473" s="15" t="s">
        <v>193</v>
      </c>
      <c r="I473" s="3"/>
      <c r="J473" s="13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4">
        <v>45985.0</v>
      </c>
      <c r="B474" s="9" t="s">
        <v>173</v>
      </c>
      <c r="C474" s="15" t="s">
        <v>198</v>
      </c>
      <c r="D474" s="5">
        <v>2760000.0</v>
      </c>
      <c r="E474" s="5">
        <v>2760000.0</v>
      </c>
      <c r="F474" s="5">
        <v>3560000.0</v>
      </c>
      <c r="G474" s="5">
        <v>920000.0</v>
      </c>
      <c r="H474" s="15" t="s">
        <v>193</v>
      </c>
      <c r="I474" s="3"/>
      <c r="J474" s="13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4">
        <v>45985.0</v>
      </c>
      <c r="B475" s="9" t="s">
        <v>52</v>
      </c>
      <c r="C475" s="15" t="s">
        <v>198</v>
      </c>
      <c r="D475" s="5">
        <v>3003800.0</v>
      </c>
      <c r="E475" s="5">
        <v>3003800.0</v>
      </c>
      <c r="F475" s="5">
        <v>3003800.0</v>
      </c>
      <c r="G475" s="5">
        <v>988600.0</v>
      </c>
      <c r="H475" s="15" t="s">
        <v>193</v>
      </c>
      <c r="I475" s="3"/>
      <c r="J475" s="13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4">
        <v>45985.0</v>
      </c>
      <c r="B476" s="9" t="s">
        <v>33</v>
      </c>
      <c r="C476" s="15" t="s">
        <v>198</v>
      </c>
      <c r="D476" s="5">
        <v>1.0E7</v>
      </c>
      <c r="E476" s="5">
        <v>1.0E7</v>
      </c>
      <c r="F476" s="5">
        <v>1.0E7</v>
      </c>
      <c r="G476" s="5">
        <v>1.0E7</v>
      </c>
      <c r="H476" s="15" t="s">
        <v>193</v>
      </c>
      <c r="I476" s="3"/>
      <c r="J476" s="13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4">
        <v>45985.0</v>
      </c>
      <c r="B477" s="9" t="s">
        <v>88</v>
      </c>
      <c r="C477" s="15" t="s">
        <v>198</v>
      </c>
      <c r="D477" s="5">
        <v>1.0E7</v>
      </c>
      <c r="E477" s="3"/>
      <c r="F477" s="3"/>
      <c r="G477" s="3"/>
      <c r="H477" s="15" t="s">
        <v>193</v>
      </c>
      <c r="I477" s="3"/>
      <c r="J477" s="13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4">
        <v>45985.0</v>
      </c>
      <c r="B478" s="9" t="s">
        <v>164</v>
      </c>
      <c r="C478" s="15" t="s">
        <v>198</v>
      </c>
      <c r="D478" s="5">
        <v>1893331.0</v>
      </c>
      <c r="E478" s="5">
        <v>5493143.0</v>
      </c>
      <c r="F478" s="5">
        <v>2613525.0</v>
      </c>
      <c r="G478" s="3"/>
      <c r="H478" s="15" t="s">
        <v>193</v>
      </c>
      <c r="I478" s="3"/>
      <c r="J478" s="13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4">
        <v>45985.0</v>
      </c>
      <c r="B479" s="9" t="s">
        <v>137</v>
      </c>
      <c r="C479" s="15" t="s">
        <v>198</v>
      </c>
      <c r="D479" s="5">
        <v>1.0E7</v>
      </c>
      <c r="E479" s="5">
        <v>1.0E7</v>
      </c>
      <c r="F479" s="5">
        <v>1.0E7</v>
      </c>
      <c r="G479" s="5">
        <v>1.0E7</v>
      </c>
      <c r="H479" s="15" t="s">
        <v>193</v>
      </c>
      <c r="I479" s="3"/>
      <c r="J479" s="13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4">
        <v>45985.0</v>
      </c>
      <c r="B480" s="9" t="s">
        <v>29</v>
      </c>
      <c r="C480" s="15" t="s">
        <v>198</v>
      </c>
      <c r="D480" s="3"/>
      <c r="E480" s="3"/>
      <c r="F480" s="5">
        <v>2.0E7</v>
      </c>
      <c r="G480" s="3"/>
      <c r="H480" s="15" t="s">
        <v>193</v>
      </c>
      <c r="I480" s="3"/>
      <c r="J480" s="13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4">
        <v>45985.0</v>
      </c>
      <c r="B481" s="9" t="s">
        <v>179</v>
      </c>
      <c r="C481" s="15" t="s">
        <v>198</v>
      </c>
      <c r="D481" s="5">
        <v>2807939.0</v>
      </c>
      <c r="E481" s="5">
        <v>3356587.0</v>
      </c>
      <c r="F481" s="5">
        <v>3420985.0</v>
      </c>
      <c r="G481" s="5">
        <v>414489.0</v>
      </c>
      <c r="H481" s="15" t="s">
        <v>193</v>
      </c>
      <c r="I481" s="3"/>
      <c r="J481" s="13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4">
        <v>45985.0</v>
      </c>
      <c r="B482" s="9" t="s">
        <v>68</v>
      </c>
      <c r="C482" s="15" t="s">
        <v>198</v>
      </c>
      <c r="D482" s="5">
        <v>1.0E7</v>
      </c>
      <c r="E482" s="5">
        <v>1.0E7</v>
      </c>
      <c r="F482" s="3"/>
      <c r="G482" s="3"/>
      <c r="H482" s="15" t="s">
        <v>193</v>
      </c>
      <c r="I482" s="3"/>
      <c r="J482" s="13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4">
        <v>45985.0</v>
      </c>
      <c r="B483" s="9" t="s">
        <v>18</v>
      </c>
      <c r="C483" s="15" t="s">
        <v>198</v>
      </c>
      <c r="D483" s="5">
        <v>1.0E7</v>
      </c>
      <c r="E483" s="5">
        <v>1.0E7</v>
      </c>
      <c r="F483" s="5">
        <v>1.0E7</v>
      </c>
      <c r="G483" s="5">
        <v>1.0E7</v>
      </c>
      <c r="H483" s="15" t="s">
        <v>193</v>
      </c>
      <c r="I483" s="3"/>
      <c r="J483" s="13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4">
        <v>45985.0</v>
      </c>
      <c r="B484" s="27" t="s">
        <v>169</v>
      </c>
      <c r="C484" s="15" t="s">
        <v>198</v>
      </c>
      <c r="D484" s="3"/>
      <c r="E484" s="5">
        <v>3.0E7</v>
      </c>
      <c r="F484" s="5">
        <v>2.0E7</v>
      </c>
      <c r="G484" s="3"/>
      <c r="H484" s="15" t="s">
        <v>193</v>
      </c>
      <c r="I484" s="3"/>
      <c r="J484" s="13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4">
        <v>45985.0</v>
      </c>
      <c r="B485" s="9" t="s">
        <v>27</v>
      </c>
      <c r="C485" s="15" t="s">
        <v>198</v>
      </c>
      <c r="D485" s="3"/>
      <c r="E485" s="3"/>
      <c r="F485" s="5">
        <v>1.0E7</v>
      </c>
      <c r="G485" s="3"/>
      <c r="H485" s="15" t="s">
        <v>193</v>
      </c>
      <c r="I485" s="3"/>
      <c r="J485" s="13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4">
        <v>45985.0</v>
      </c>
      <c r="B486" s="9" t="s">
        <v>28</v>
      </c>
      <c r="C486" s="15" t="s">
        <v>198</v>
      </c>
      <c r="D486" s="5">
        <v>4962467.0</v>
      </c>
      <c r="E486" s="5">
        <v>1969692.0</v>
      </c>
      <c r="F486" s="5">
        <v>1.306784E7</v>
      </c>
      <c r="G486" s="3"/>
      <c r="H486" s="15" t="s">
        <v>193</v>
      </c>
      <c r="I486" s="3"/>
      <c r="J486" s="13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4">
        <v>45985.0</v>
      </c>
      <c r="B487" s="9" t="s">
        <v>172</v>
      </c>
      <c r="C487" s="15" t="s">
        <v>198</v>
      </c>
      <c r="D487" s="5">
        <v>2852000.0</v>
      </c>
      <c r="E487" s="5">
        <v>2852000.0</v>
      </c>
      <c r="F487" s="5">
        <v>2852000.0</v>
      </c>
      <c r="G487" s="5">
        <v>920000.0</v>
      </c>
      <c r="H487" s="15" t="s">
        <v>193</v>
      </c>
      <c r="I487" s="3"/>
      <c r="J487" s="13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4">
        <v>45985.0</v>
      </c>
      <c r="B488" s="9" t="s">
        <v>24</v>
      </c>
      <c r="C488" s="15" t="s">
        <v>198</v>
      </c>
      <c r="D488" s="5">
        <v>2760000.0</v>
      </c>
      <c r="E488" s="5">
        <v>2760000.0</v>
      </c>
      <c r="F488" s="5">
        <v>2760000.0</v>
      </c>
      <c r="G488" s="5">
        <v>920000.0</v>
      </c>
      <c r="H488" s="15" t="s">
        <v>193</v>
      </c>
      <c r="I488" s="3"/>
      <c r="J488" s="13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4">
        <v>45985.0</v>
      </c>
      <c r="B489" s="9" t="s">
        <v>69</v>
      </c>
      <c r="C489" s="15" t="s">
        <v>198</v>
      </c>
      <c r="D489" s="3"/>
      <c r="E489" s="5">
        <v>5.0E7</v>
      </c>
      <c r="F489" s="3"/>
      <c r="G489" s="3"/>
      <c r="H489" s="15" t="s">
        <v>193</v>
      </c>
      <c r="I489" s="3"/>
      <c r="J489" s="13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4">
        <v>45985.0</v>
      </c>
      <c r="B490" s="9" t="s">
        <v>147</v>
      </c>
      <c r="C490" s="15" t="s">
        <v>198</v>
      </c>
      <c r="D490" s="5">
        <v>4.0E7</v>
      </c>
      <c r="E490" s="5">
        <v>4.0E7</v>
      </c>
      <c r="F490" s="5">
        <v>4.0E7</v>
      </c>
      <c r="G490" s="5">
        <v>4.0E7</v>
      </c>
      <c r="H490" s="15" t="s">
        <v>193</v>
      </c>
      <c r="I490" s="3"/>
      <c r="J490" s="13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4">
        <v>45985.0</v>
      </c>
      <c r="B491" s="9" t="s">
        <v>103</v>
      </c>
      <c r="C491" s="15" t="s">
        <v>198</v>
      </c>
      <c r="D491" s="3"/>
      <c r="E491" s="3"/>
      <c r="F491" s="3"/>
      <c r="G491" s="5">
        <v>1.0E7</v>
      </c>
      <c r="H491" s="15" t="s">
        <v>193</v>
      </c>
      <c r="I491" s="3"/>
      <c r="J491" s="13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4">
        <v>45985.0</v>
      </c>
      <c r="B492" s="9" t="s">
        <v>141</v>
      </c>
      <c r="C492" s="15" t="s">
        <v>198</v>
      </c>
      <c r="D492" s="3"/>
      <c r="E492" s="3"/>
      <c r="F492" s="5">
        <v>5705151.0</v>
      </c>
      <c r="G492" s="5">
        <v>4294849.0</v>
      </c>
      <c r="H492" s="15" t="s">
        <v>193</v>
      </c>
      <c r="I492" s="3"/>
      <c r="J492" s="13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4">
        <v>45986.0</v>
      </c>
      <c r="B493" s="9" t="s">
        <v>72</v>
      </c>
      <c r="C493" s="15" t="s">
        <v>198</v>
      </c>
      <c r="D493" s="5">
        <v>3000120.0</v>
      </c>
      <c r="E493" s="5">
        <v>3000120.0</v>
      </c>
      <c r="F493" s="5">
        <v>3000120.0</v>
      </c>
      <c r="G493" s="5">
        <v>1012000.0</v>
      </c>
      <c r="H493" s="15" t="s">
        <v>193</v>
      </c>
      <c r="I493" s="3"/>
      <c r="J493" s="13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4">
        <v>45986.0</v>
      </c>
      <c r="B494" s="9" t="s">
        <v>55</v>
      </c>
      <c r="C494" s="15" t="s">
        <v>198</v>
      </c>
      <c r="D494" s="5">
        <v>2793120.0</v>
      </c>
      <c r="E494" s="5">
        <v>2793120.0</v>
      </c>
      <c r="F494" s="5">
        <v>2793120.0</v>
      </c>
      <c r="G494" s="5">
        <v>931040.0</v>
      </c>
      <c r="H494" s="15" t="s">
        <v>193</v>
      </c>
      <c r="I494" s="3"/>
      <c r="J494" s="13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4">
        <v>45986.0</v>
      </c>
      <c r="B495" s="9" t="s">
        <v>120</v>
      </c>
      <c r="C495" s="15" t="s">
        <v>198</v>
      </c>
      <c r="D495" s="5">
        <v>3036000.0</v>
      </c>
      <c r="E495" s="5">
        <v>3036000.0</v>
      </c>
      <c r="F495" s="5">
        <v>3036000.0</v>
      </c>
      <c r="G495" s="5">
        <v>1012000.0</v>
      </c>
      <c r="H495" s="15" t="s">
        <v>193</v>
      </c>
      <c r="I495" s="3"/>
      <c r="J495" s="13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4">
        <v>45986.0</v>
      </c>
      <c r="B496" s="9" t="s">
        <v>100</v>
      </c>
      <c r="C496" s="15" t="s">
        <v>198</v>
      </c>
      <c r="D496" s="5">
        <v>1.0E7</v>
      </c>
      <c r="E496" s="5">
        <v>1.0E7</v>
      </c>
      <c r="F496" s="5">
        <v>1.0E7</v>
      </c>
      <c r="G496" s="5">
        <v>4203753.0</v>
      </c>
      <c r="H496" s="15" t="s">
        <v>193</v>
      </c>
      <c r="I496" s="3"/>
      <c r="J496" s="13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4">
        <v>45986.0</v>
      </c>
      <c r="B497" s="9" t="s">
        <v>69</v>
      </c>
      <c r="C497" s="15" t="s">
        <v>196</v>
      </c>
      <c r="D497" s="3"/>
      <c r="E497" s="5">
        <v>1.0E8</v>
      </c>
      <c r="F497" s="3"/>
      <c r="G497" s="3"/>
      <c r="H497" s="15" t="s">
        <v>193</v>
      </c>
      <c r="I497" s="3"/>
      <c r="J497" s="13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4">
        <v>45986.0</v>
      </c>
      <c r="B498" s="9" t="s">
        <v>48</v>
      </c>
      <c r="C498" s="15" t="s">
        <v>196</v>
      </c>
      <c r="D498" s="5">
        <v>2944000.0</v>
      </c>
      <c r="E498" s="5">
        <v>2944000.0</v>
      </c>
      <c r="F498" s="5">
        <v>2944000.0</v>
      </c>
      <c r="G498" s="5">
        <v>1168000.0</v>
      </c>
      <c r="H498" s="15" t="s">
        <v>193</v>
      </c>
      <c r="I498" s="3"/>
      <c r="J498" s="13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4">
        <v>45986.0</v>
      </c>
      <c r="B499" s="9" t="s">
        <v>63</v>
      </c>
      <c r="C499" s="15" t="s">
        <v>198</v>
      </c>
      <c r="D499" s="5">
        <v>2760000.0</v>
      </c>
      <c r="E499" s="5">
        <v>3560000.0</v>
      </c>
      <c r="F499" s="5">
        <v>2760000.0</v>
      </c>
      <c r="G499" s="5">
        <v>920000.0</v>
      </c>
      <c r="H499" s="15" t="s">
        <v>193</v>
      </c>
      <c r="I499" s="3"/>
      <c r="J499" s="13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4">
        <v>45987.0</v>
      </c>
      <c r="B500" s="9" t="s">
        <v>138</v>
      </c>
      <c r="C500" s="15" t="s">
        <v>198</v>
      </c>
      <c r="D500" s="5">
        <v>2760000.0</v>
      </c>
      <c r="E500" s="5">
        <v>2760000.0</v>
      </c>
      <c r="F500" s="5">
        <v>2760000.0</v>
      </c>
      <c r="G500" s="5">
        <v>3560000.0</v>
      </c>
      <c r="H500" s="15" t="s">
        <v>193</v>
      </c>
      <c r="I500" s="3"/>
      <c r="J500" s="13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4">
        <v>45987.0</v>
      </c>
      <c r="B501" s="8" t="s">
        <v>143</v>
      </c>
      <c r="C501" s="15" t="s">
        <v>196</v>
      </c>
      <c r="D501" s="5">
        <v>2760000.0</v>
      </c>
      <c r="E501" s="5">
        <v>4480000.0</v>
      </c>
      <c r="F501" s="3"/>
      <c r="G501" s="5">
        <v>2760000.0</v>
      </c>
      <c r="H501" s="15" t="s">
        <v>193</v>
      </c>
      <c r="I501" s="3"/>
      <c r="J501" s="13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4">
        <v>45987.0</v>
      </c>
      <c r="B502" s="9" t="s">
        <v>101</v>
      </c>
      <c r="C502" s="15" t="s">
        <v>198</v>
      </c>
      <c r="D502" s="5">
        <v>3036000.0</v>
      </c>
      <c r="E502" s="5">
        <v>3036000.0</v>
      </c>
      <c r="F502" s="5">
        <v>3036000.0</v>
      </c>
      <c r="G502" s="5">
        <v>1012000.0</v>
      </c>
      <c r="H502" s="15" t="s">
        <v>193</v>
      </c>
      <c r="I502" s="3"/>
      <c r="J502" s="13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4">
        <v>45987.0</v>
      </c>
      <c r="B503" s="9" t="s">
        <v>152</v>
      </c>
      <c r="C503" s="15" t="s">
        <v>198</v>
      </c>
      <c r="D503" s="5">
        <v>2760000.0</v>
      </c>
      <c r="E503" s="5">
        <v>2760000.0</v>
      </c>
      <c r="F503" s="5">
        <v>2760000.0</v>
      </c>
      <c r="G503" s="5">
        <v>920000.0</v>
      </c>
      <c r="H503" s="15" t="s">
        <v>193</v>
      </c>
      <c r="I503" s="3"/>
      <c r="J503" s="13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4">
        <v>45988.0</v>
      </c>
      <c r="B504" s="9" t="s">
        <v>108</v>
      </c>
      <c r="C504" s="15" t="s">
        <v>198</v>
      </c>
      <c r="D504" s="3"/>
      <c r="E504" s="3"/>
      <c r="F504" s="3"/>
      <c r="G504" s="5">
        <v>1.0E7</v>
      </c>
      <c r="H504" s="15" t="s">
        <v>193</v>
      </c>
      <c r="I504" s="3"/>
      <c r="J504" s="13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4">
        <v>45988.0</v>
      </c>
      <c r="B505" s="8" t="s">
        <v>143</v>
      </c>
      <c r="C505" s="15" t="s">
        <v>196</v>
      </c>
      <c r="D505" s="3"/>
      <c r="E505" s="5">
        <v>1.0E7</v>
      </c>
      <c r="F505" s="3"/>
      <c r="G505" s="3"/>
      <c r="H505" s="15" t="s">
        <v>193</v>
      </c>
      <c r="I505" s="3"/>
      <c r="J505" s="13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4">
        <v>45988.0</v>
      </c>
      <c r="B506" s="9" t="s">
        <v>116</v>
      </c>
      <c r="C506" s="15" t="s">
        <v>198</v>
      </c>
      <c r="D506" s="5">
        <v>3000240.0</v>
      </c>
      <c r="E506" s="5">
        <v>3000240.0</v>
      </c>
      <c r="F506" s="5">
        <v>3000240.0</v>
      </c>
      <c r="G506" s="5">
        <v>1999280.0</v>
      </c>
      <c r="H506" s="15" t="s">
        <v>193</v>
      </c>
      <c r="I506" s="3"/>
      <c r="J506" s="13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4">
        <v>45988.0</v>
      </c>
      <c r="B507" s="9" t="s">
        <v>75</v>
      </c>
      <c r="C507" s="15" t="s">
        <v>198</v>
      </c>
      <c r="D507" s="5">
        <v>1.0E7</v>
      </c>
      <c r="E507" s="5">
        <v>1.0E7</v>
      </c>
      <c r="F507" s="5">
        <v>1.0E7</v>
      </c>
      <c r="G507" s="5">
        <v>1.0E7</v>
      </c>
      <c r="H507" s="15" t="s">
        <v>193</v>
      </c>
      <c r="I507" s="3"/>
      <c r="J507" s="13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4">
        <v>45988.0</v>
      </c>
      <c r="B508" s="8" t="s">
        <v>17</v>
      </c>
      <c r="C508" s="15" t="s">
        <v>198</v>
      </c>
      <c r="D508" s="5">
        <v>3036000.0</v>
      </c>
      <c r="E508" s="5">
        <v>3036000.0</v>
      </c>
      <c r="F508" s="5">
        <v>2944000.0</v>
      </c>
      <c r="G508" s="5">
        <v>984000.0</v>
      </c>
      <c r="H508" s="15" t="s">
        <v>193</v>
      </c>
      <c r="I508" s="3"/>
      <c r="J508" s="13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4">
        <v>45989.0</v>
      </c>
      <c r="B509" s="9" t="s">
        <v>181</v>
      </c>
      <c r="C509" s="15" t="s">
        <v>198</v>
      </c>
      <c r="D509" s="5">
        <v>3025893.0</v>
      </c>
      <c r="E509" s="5">
        <v>3124633.0</v>
      </c>
      <c r="F509" s="5">
        <v>3008406.0</v>
      </c>
      <c r="G509" s="5">
        <v>1096350.0</v>
      </c>
      <c r="H509" s="15" t="s">
        <v>193</v>
      </c>
      <c r="I509" s="3"/>
      <c r="J509" s="13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4">
        <v>45989.0</v>
      </c>
      <c r="B510" s="9" t="s">
        <v>53</v>
      </c>
      <c r="C510" s="15" t="s">
        <v>198</v>
      </c>
      <c r="D510" s="3"/>
      <c r="E510" s="5">
        <v>1.0E7</v>
      </c>
      <c r="F510" s="3"/>
      <c r="G510" s="3"/>
      <c r="H510" s="15" t="s">
        <v>193</v>
      </c>
      <c r="I510" s="3"/>
      <c r="J510" s="13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4">
        <v>45989.0</v>
      </c>
      <c r="B511" s="9" t="s">
        <v>172</v>
      </c>
      <c r="C511" s="15" t="s">
        <v>196</v>
      </c>
      <c r="D511" s="5">
        <v>156400.0</v>
      </c>
      <c r="E511" s="5">
        <v>156400.0</v>
      </c>
      <c r="F511" s="5">
        <v>156400.0</v>
      </c>
      <c r="G511" s="5">
        <v>55200.0</v>
      </c>
      <c r="H511" s="15" t="s">
        <v>193</v>
      </c>
      <c r="I511" s="3"/>
      <c r="J511" s="13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4">
        <v>45990.0</v>
      </c>
      <c r="B512" s="9" t="s">
        <v>43</v>
      </c>
      <c r="C512" s="15" t="s">
        <v>198</v>
      </c>
      <c r="D512" s="5">
        <v>1.0E7</v>
      </c>
      <c r="E512" s="5">
        <v>1.0E7</v>
      </c>
      <c r="F512" s="5">
        <v>1.0E7</v>
      </c>
      <c r="G512" s="5">
        <v>3036000.0</v>
      </c>
      <c r="H512" s="15" t="s">
        <v>193</v>
      </c>
      <c r="I512" s="3"/>
      <c r="J512" s="13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4">
        <v>45991.0</v>
      </c>
      <c r="B513" s="8" t="s">
        <v>143</v>
      </c>
      <c r="C513" s="15" t="s">
        <v>196</v>
      </c>
      <c r="D513" s="3"/>
      <c r="E513" s="8">
        <v>1.0E7</v>
      </c>
      <c r="F513" s="3"/>
      <c r="G513" s="3"/>
      <c r="H513" s="15" t="s">
        <v>193</v>
      </c>
      <c r="I513" s="3"/>
      <c r="J513" s="13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4">
        <v>45991.0</v>
      </c>
      <c r="B514" s="9" t="s">
        <v>87</v>
      </c>
      <c r="C514" s="15" t="s">
        <v>198</v>
      </c>
      <c r="D514" s="5">
        <v>5215016.0</v>
      </c>
      <c r="E514" s="5">
        <v>2744960.0</v>
      </c>
      <c r="F514" s="5">
        <v>2040024.0</v>
      </c>
      <c r="G514" s="3"/>
      <c r="H514" s="15" t="s">
        <v>193</v>
      </c>
      <c r="I514" s="3"/>
      <c r="J514" s="13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4">
        <v>45991.0</v>
      </c>
      <c r="B515" s="9" t="s">
        <v>51</v>
      </c>
      <c r="C515" s="15" t="s">
        <v>198</v>
      </c>
      <c r="D515" s="5">
        <v>2760000.0</v>
      </c>
      <c r="E515" s="5">
        <v>2760000.0</v>
      </c>
      <c r="F515" s="5">
        <v>2760000.0</v>
      </c>
      <c r="G515" s="5">
        <v>1656000.0</v>
      </c>
      <c r="H515" s="15" t="s">
        <v>193</v>
      </c>
      <c r="I515" s="3"/>
      <c r="J515" s="13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4">
        <v>45991.0</v>
      </c>
      <c r="B516" s="9" t="s">
        <v>81</v>
      </c>
      <c r="C516" s="15" t="s">
        <v>198</v>
      </c>
      <c r="D516" s="5">
        <v>1.0E7</v>
      </c>
      <c r="E516" s="5">
        <v>1.0E7</v>
      </c>
      <c r="F516" s="3"/>
      <c r="G516" s="5">
        <v>1.0E7</v>
      </c>
      <c r="H516" s="15" t="s">
        <v>193</v>
      </c>
      <c r="I516" s="3"/>
      <c r="J516" s="13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4">
        <v>45992.0</v>
      </c>
      <c r="B517" s="9" t="s">
        <v>74</v>
      </c>
      <c r="C517" s="15" t="s">
        <v>196</v>
      </c>
      <c r="D517" s="5">
        <v>3128000.0</v>
      </c>
      <c r="E517" s="5">
        <v>3128000.0</v>
      </c>
      <c r="F517" s="5">
        <v>3128000.0</v>
      </c>
      <c r="G517" s="5">
        <v>1104000.0</v>
      </c>
      <c r="H517" s="15" t="s">
        <v>193</v>
      </c>
      <c r="I517" s="3"/>
      <c r="J517" s="13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4">
        <v>45992.0</v>
      </c>
      <c r="B518" s="9" t="s">
        <v>79</v>
      </c>
      <c r="C518" s="15" t="s">
        <v>196</v>
      </c>
      <c r="D518" s="5">
        <v>1.0E7</v>
      </c>
      <c r="E518" s="5">
        <v>5.5E8</v>
      </c>
      <c r="F518" s="5">
        <v>1.0E7</v>
      </c>
      <c r="G518" s="5">
        <v>4332102.0</v>
      </c>
      <c r="H518" s="15" t="s">
        <v>193</v>
      </c>
      <c r="I518" s="3"/>
      <c r="J518" s="13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4">
        <v>45992.0</v>
      </c>
      <c r="B519" s="8" t="s">
        <v>130</v>
      </c>
      <c r="C519" s="15" t="s">
        <v>196</v>
      </c>
      <c r="D519" s="5">
        <v>1.0E7</v>
      </c>
      <c r="E519" s="5">
        <v>1.0E7</v>
      </c>
      <c r="F519" s="5">
        <v>1.0E7</v>
      </c>
      <c r="G519" s="5">
        <v>1.0E7</v>
      </c>
      <c r="H519" s="15" t="s">
        <v>193</v>
      </c>
      <c r="I519" s="3"/>
      <c r="J519" s="13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4">
        <v>45992.0</v>
      </c>
      <c r="B520" s="23" t="s">
        <v>49</v>
      </c>
      <c r="C520" s="15" t="s">
        <v>196</v>
      </c>
      <c r="D520" s="5">
        <v>3680000.0</v>
      </c>
      <c r="E520" s="5">
        <v>3680000.0</v>
      </c>
      <c r="F520" s="5">
        <v>3680000.0</v>
      </c>
      <c r="G520" s="5">
        <v>1840000.0</v>
      </c>
      <c r="H520" s="15" t="s">
        <v>193</v>
      </c>
      <c r="I520" s="3"/>
      <c r="J520" s="13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4">
        <v>45992.0</v>
      </c>
      <c r="B521" s="9" t="s">
        <v>37</v>
      </c>
      <c r="C521" s="15" t="s">
        <v>196</v>
      </c>
      <c r="D521" s="5">
        <v>3560000.0</v>
      </c>
      <c r="E521" s="5">
        <v>2760000.0</v>
      </c>
      <c r="F521" s="5">
        <v>2760000.0</v>
      </c>
      <c r="G521" s="5">
        <v>920000.0</v>
      </c>
      <c r="H521" s="15" t="s">
        <v>193</v>
      </c>
      <c r="I521" s="3"/>
      <c r="J521" s="13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4">
        <v>45992.0</v>
      </c>
      <c r="B522" s="9" t="s">
        <v>93</v>
      </c>
      <c r="C522" s="15" t="s">
        <v>196</v>
      </c>
      <c r="D522" s="5">
        <v>1840000.0</v>
      </c>
      <c r="E522" s="5">
        <v>3680000.0</v>
      </c>
      <c r="F522" s="5">
        <v>1840000.0</v>
      </c>
      <c r="G522" s="5">
        <v>1840000.0</v>
      </c>
      <c r="H522" s="15" t="s">
        <v>193</v>
      </c>
      <c r="I522" s="3"/>
      <c r="J522" s="13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4">
        <v>45992.0</v>
      </c>
      <c r="B523" s="9" t="s">
        <v>68</v>
      </c>
      <c r="C523" s="15" t="s">
        <v>196</v>
      </c>
      <c r="D523" s="5">
        <v>2.0E7</v>
      </c>
      <c r="E523" s="5">
        <v>1.0E7</v>
      </c>
      <c r="F523" s="3"/>
      <c r="G523" s="3"/>
      <c r="H523" s="15" t="s">
        <v>193</v>
      </c>
      <c r="I523" s="3"/>
      <c r="J523" s="13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4">
        <v>45992.0</v>
      </c>
      <c r="B524" s="9" t="s">
        <v>29</v>
      </c>
      <c r="C524" s="15" t="s">
        <v>196</v>
      </c>
      <c r="D524" s="3"/>
      <c r="E524" s="3"/>
      <c r="F524" s="5">
        <v>2.0E7</v>
      </c>
      <c r="G524" s="3"/>
      <c r="H524" s="15" t="s">
        <v>193</v>
      </c>
      <c r="I524" s="3"/>
      <c r="J524" s="13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4">
        <v>45992.0</v>
      </c>
      <c r="B525" s="9" t="s">
        <v>56</v>
      </c>
      <c r="C525" s="15" t="s">
        <v>196</v>
      </c>
      <c r="D525" s="3"/>
      <c r="E525" s="3"/>
      <c r="F525" s="5">
        <v>1.0E7</v>
      </c>
      <c r="G525" s="3"/>
      <c r="H525" s="15" t="s">
        <v>193</v>
      </c>
      <c r="I525" s="3"/>
      <c r="J525" s="13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4">
        <v>45993.0</v>
      </c>
      <c r="B526" s="9" t="s">
        <v>44</v>
      </c>
      <c r="C526" s="15" t="s">
        <v>196</v>
      </c>
      <c r="D526" s="5">
        <v>1.98627718E8</v>
      </c>
      <c r="E526" s="5">
        <v>3.2660031E8</v>
      </c>
      <c r="F526" s="5">
        <v>1.61645101E8</v>
      </c>
      <c r="G526" s="5">
        <v>6.6243708E7</v>
      </c>
      <c r="H526" s="15" t="s">
        <v>193</v>
      </c>
      <c r="I526" s="3"/>
      <c r="J526" s="13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4">
        <v>45993.0</v>
      </c>
      <c r="B527" s="9" t="s">
        <v>85</v>
      </c>
      <c r="C527" s="15" t="s">
        <v>196</v>
      </c>
      <c r="D527" s="3"/>
      <c r="E527" s="3"/>
      <c r="F527" s="5">
        <v>7.0E7</v>
      </c>
      <c r="G527" s="3"/>
      <c r="H527" s="15" t="s">
        <v>193</v>
      </c>
      <c r="I527" s="3"/>
      <c r="J527" s="13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4">
        <v>45993.0</v>
      </c>
      <c r="B528" s="8" t="s">
        <v>143</v>
      </c>
      <c r="C528" s="15" t="s">
        <v>196</v>
      </c>
      <c r="D528" s="5">
        <v>1.0E7</v>
      </c>
      <c r="E528" s="5">
        <v>4.6826166E7</v>
      </c>
      <c r="F528" s="3"/>
      <c r="G528" s="3"/>
      <c r="H528" s="15" t="s">
        <v>193</v>
      </c>
      <c r="I528" s="3"/>
      <c r="J528" s="13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4">
        <v>45993.0</v>
      </c>
      <c r="B529" s="9" t="s">
        <v>178</v>
      </c>
      <c r="C529" s="15" t="s">
        <v>196</v>
      </c>
      <c r="D529" s="5">
        <v>2760000.0</v>
      </c>
      <c r="E529" s="5">
        <v>2760000.0</v>
      </c>
      <c r="F529" s="5">
        <v>2760000.0</v>
      </c>
      <c r="G529" s="5">
        <v>920000.0</v>
      </c>
      <c r="H529" s="15" t="s">
        <v>193</v>
      </c>
      <c r="I529" s="3"/>
      <c r="J529" s="13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4">
        <v>45994.0</v>
      </c>
      <c r="B530" s="9" t="s">
        <v>158</v>
      </c>
      <c r="C530" s="15" t="s">
        <v>196</v>
      </c>
      <c r="D530" s="5">
        <v>2153802.0</v>
      </c>
      <c r="E530" s="5">
        <v>3869049.0</v>
      </c>
      <c r="F530" s="5">
        <v>2854005.0</v>
      </c>
      <c r="G530" s="5">
        <v>1123144.0</v>
      </c>
      <c r="H530" s="15" t="s">
        <v>193</v>
      </c>
      <c r="I530" s="3"/>
      <c r="J530" s="13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4">
        <v>45994.0</v>
      </c>
      <c r="B531" s="9" t="s">
        <v>152</v>
      </c>
      <c r="C531" s="15" t="s">
        <v>196</v>
      </c>
      <c r="D531" s="5">
        <v>2760000.0</v>
      </c>
      <c r="E531" s="5">
        <v>2760000.0</v>
      </c>
      <c r="F531" s="5">
        <v>2760000.0</v>
      </c>
      <c r="G531" s="5">
        <v>920000.0</v>
      </c>
      <c r="H531" s="15" t="s">
        <v>193</v>
      </c>
      <c r="I531" s="3"/>
      <c r="J531" s="13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4">
        <v>45995.0</v>
      </c>
      <c r="B532" s="9" t="s">
        <v>138</v>
      </c>
      <c r="C532" s="15" t="s">
        <v>196</v>
      </c>
      <c r="D532" s="5">
        <v>1.276E7</v>
      </c>
      <c r="E532" s="5">
        <v>2760000.0</v>
      </c>
      <c r="F532" s="5">
        <v>2760000.0</v>
      </c>
      <c r="G532" s="5">
        <v>1720000.0</v>
      </c>
      <c r="H532" s="15" t="s">
        <v>193</v>
      </c>
      <c r="I532" s="3"/>
      <c r="J532" s="13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4">
        <v>45995.0</v>
      </c>
      <c r="B533" s="9" t="s">
        <v>92</v>
      </c>
      <c r="C533" s="15" t="s">
        <v>196</v>
      </c>
      <c r="D533" s="3"/>
      <c r="E533" s="5">
        <v>1.0E7</v>
      </c>
      <c r="F533" s="3"/>
      <c r="G533" s="3"/>
      <c r="H533" s="15" t="s">
        <v>193</v>
      </c>
      <c r="I533" s="3"/>
      <c r="J533" s="13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4">
        <v>45997.0</v>
      </c>
      <c r="B534" s="9" t="s">
        <v>60</v>
      </c>
      <c r="C534" s="15" t="s">
        <v>196</v>
      </c>
      <c r="D534" s="5">
        <v>1.0E7</v>
      </c>
      <c r="E534" s="5">
        <v>1.0E7</v>
      </c>
      <c r="F534" s="5">
        <v>1.0E7</v>
      </c>
      <c r="G534" s="5">
        <v>1.0E7</v>
      </c>
      <c r="H534" s="15" t="s">
        <v>193</v>
      </c>
      <c r="I534" s="3"/>
      <c r="J534" s="13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4">
        <v>46001.0</v>
      </c>
      <c r="B535" s="8" t="s">
        <v>182</v>
      </c>
      <c r="C535" s="15" t="s">
        <v>202</v>
      </c>
      <c r="D535" s="5">
        <v>3.0E8</v>
      </c>
      <c r="E535" s="5">
        <v>1.0E9</v>
      </c>
      <c r="F535" s="5">
        <v>1.0E9</v>
      </c>
      <c r="G535" s="5">
        <v>3.0E8</v>
      </c>
      <c r="H535" s="15" t="s">
        <v>203</v>
      </c>
      <c r="I535" s="3"/>
      <c r="J535" s="13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4">
        <v>46001.0</v>
      </c>
      <c r="B536" s="9" t="s">
        <v>92</v>
      </c>
      <c r="C536" s="15" t="s">
        <v>196</v>
      </c>
      <c r="D536" s="5">
        <v>9.3673064E7</v>
      </c>
      <c r="E536" s="5">
        <v>6.8527705E7</v>
      </c>
      <c r="F536" s="5">
        <v>3.0841356E7</v>
      </c>
      <c r="G536" s="5">
        <v>2.0E7</v>
      </c>
      <c r="H536" s="15" t="s">
        <v>193</v>
      </c>
      <c r="I536" s="8" t="s">
        <v>204</v>
      </c>
      <c r="J536" s="17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4">
        <v>46005.0</v>
      </c>
      <c r="B537" s="23" t="s">
        <v>179</v>
      </c>
      <c r="C537" s="15" t="s">
        <v>202</v>
      </c>
      <c r="D537" s="3"/>
      <c r="E537" s="3"/>
      <c r="F537" s="5">
        <v>8.0E8</v>
      </c>
      <c r="G537" s="5">
        <v>5.0E8</v>
      </c>
      <c r="H537" s="15" t="s">
        <v>203</v>
      </c>
      <c r="I537" s="3"/>
      <c r="J537" s="13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4">
        <v>46014.0</v>
      </c>
      <c r="B538" s="9" t="s">
        <v>174</v>
      </c>
      <c r="C538" s="15" t="s">
        <v>202</v>
      </c>
      <c r="D538" s="3"/>
      <c r="E538" s="3"/>
      <c r="F538" s="3"/>
      <c r="G538" s="5">
        <v>5.0E8</v>
      </c>
      <c r="H538" s="15" t="s">
        <v>203</v>
      </c>
      <c r="I538" s="3"/>
      <c r="J538" s="13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4">
        <v>46018.0</v>
      </c>
      <c r="B539" s="9" t="s">
        <v>174</v>
      </c>
      <c r="C539" s="15" t="s">
        <v>202</v>
      </c>
      <c r="D539" s="5">
        <v>5.0E8</v>
      </c>
      <c r="E539" s="5">
        <v>1.5E9</v>
      </c>
      <c r="F539" s="3"/>
      <c r="G539" s="3"/>
      <c r="H539" s="15" t="s">
        <v>203</v>
      </c>
      <c r="I539" s="3"/>
      <c r="J539" s="13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4">
        <v>46019.0</v>
      </c>
      <c r="B540" s="8" t="s">
        <v>179</v>
      </c>
      <c r="C540" s="15" t="s">
        <v>202</v>
      </c>
      <c r="D540" s="3"/>
      <c r="E540" s="3"/>
      <c r="F540" s="5">
        <v>8.0E8</v>
      </c>
      <c r="G540" s="5">
        <v>2.0E8</v>
      </c>
      <c r="H540" s="15" t="s">
        <v>203</v>
      </c>
      <c r="I540" s="3"/>
      <c r="J540" s="13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8">
        <v>46020.0</v>
      </c>
      <c r="B541" s="29" t="s">
        <v>171</v>
      </c>
      <c r="C541" s="15" t="s">
        <v>202</v>
      </c>
      <c r="D541" s="5">
        <v>1.0E9</v>
      </c>
      <c r="E541" s="5">
        <v>1.0E9</v>
      </c>
      <c r="F541" s="5">
        <v>1.0E9</v>
      </c>
      <c r="G541" s="5">
        <v>8.0E8</v>
      </c>
      <c r="H541" s="15" t="s">
        <v>203</v>
      </c>
      <c r="I541" s="3"/>
      <c r="J541" s="13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4">
        <v>46021.0</v>
      </c>
      <c r="B542" s="8" t="s">
        <v>205</v>
      </c>
      <c r="C542" s="15" t="s">
        <v>202</v>
      </c>
      <c r="D542" s="5">
        <v>4.0E8</v>
      </c>
      <c r="E542" s="5">
        <v>6.0E8</v>
      </c>
      <c r="F542" s="3"/>
      <c r="G542" s="5">
        <v>2.5E8</v>
      </c>
      <c r="H542" s="15" t="s">
        <v>203</v>
      </c>
      <c r="I542" s="3"/>
      <c r="J542" s="13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4">
        <v>46021.0</v>
      </c>
      <c r="B543" s="9" t="s">
        <v>43</v>
      </c>
      <c r="C543" s="15" t="s">
        <v>202</v>
      </c>
      <c r="D543" s="3"/>
      <c r="E543" s="5">
        <v>8.0E8</v>
      </c>
      <c r="F543" s="3"/>
      <c r="G543" s="3"/>
      <c r="H543" s="15" t="s">
        <v>203</v>
      </c>
      <c r="I543" s="3"/>
      <c r="J543" s="13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4">
        <v>46025.0</v>
      </c>
      <c r="B544" s="9" t="s">
        <v>165</v>
      </c>
      <c r="C544" s="15" t="s">
        <v>202</v>
      </c>
      <c r="D544" s="3"/>
      <c r="E544" s="5">
        <v>8.0E8</v>
      </c>
      <c r="F544" s="3"/>
      <c r="G544" s="5">
        <v>1.0E8</v>
      </c>
      <c r="H544" s="15" t="s">
        <v>203</v>
      </c>
      <c r="I544" s="3"/>
      <c r="J544" s="13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4">
        <v>46026.0</v>
      </c>
      <c r="B545" s="29" t="s">
        <v>171</v>
      </c>
      <c r="C545" s="15" t="s">
        <v>202</v>
      </c>
      <c r="D545" s="5">
        <v>8.0E8</v>
      </c>
      <c r="E545" s="5">
        <v>5.0E8</v>
      </c>
      <c r="F545" s="5">
        <v>8.0E8</v>
      </c>
      <c r="G545" s="5">
        <v>1.0E8</v>
      </c>
      <c r="H545" s="15" t="s">
        <v>203</v>
      </c>
      <c r="I545" s="3"/>
      <c r="J545" s="13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4">
        <v>46028.0</v>
      </c>
      <c r="B546" s="13" t="s">
        <v>183</v>
      </c>
      <c r="C546" s="15" t="s">
        <v>202</v>
      </c>
      <c r="D546" s="5">
        <v>8.0E8</v>
      </c>
      <c r="E546" s="5">
        <v>8.0E8</v>
      </c>
      <c r="F546" s="5">
        <v>8.0E8</v>
      </c>
      <c r="G546" s="5">
        <v>2.0E8</v>
      </c>
      <c r="H546" s="15" t="s">
        <v>203</v>
      </c>
      <c r="I546" s="3"/>
      <c r="J546" s="13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4">
        <v>46028.0</v>
      </c>
      <c r="B547" s="9" t="s">
        <v>138</v>
      </c>
      <c r="C547" s="15" t="s">
        <v>202</v>
      </c>
      <c r="D547" s="5">
        <v>1.0E8</v>
      </c>
      <c r="E547" s="3"/>
      <c r="F547" s="5">
        <v>1.0E8</v>
      </c>
      <c r="G547" s="3"/>
      <c r="H547" s="15" t="s">
        <v>203</v>
      </c>
      <c r="I547" s="3"/>
      <c r="J547" s="13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4">
        <v>46028.0</v>
      </c>
      <c r="B548" s="8" t="s">
        <v>138</v>
      </c>
      <c r="C548" s="15" t="s">
        <v>196</v>
      </c>
      <c r="D548" s="3"/>
      <c r="E548" s="5">
        <v>2.0E8</v>
      </c>
      <c r="F548" s="3"/>
      <c r="G548" s="3"/>
      <c r="H548" s="15" t="s">
        <v>193</v>
      </c>
      <c r="I548" s="3"/>
      <c r="J548" s="13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4">
        <v>46029.0</v>
      </c>
      <c r="B549" s="8" t="s">
        <v>152</v>
      </c>
      <c r="C549" s="15" t="s">
        <v>196</v>
      </c>
      <c r="D549" s="5">
        <v>7.0E7</v>
      </c>
      <c r="E549" s="5">
        <v>8.0E7</v>
      </c>
      <c r="F549" s="5">
        <v>5.0E7</v>
      </c>
      <c r="G549" s="3"/>
      <c r="H549" s="15" t="s">
        <v>193</v>
      </c>
      <c r="I549" s="3"/>
      <c r="J549" s="13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4">
        <v>46032.0</v>
      </c>
      <c r="B550" s="8" t="s">
        <v>179</v>
      </c>
      <c r="C550" s="15" t="s">
        <v>202</v>
      </c>
      <c r="D550" s="3"/>
      <c r="E550" s="3"/>
      <c r="F550" s="5">
        <v>5.0E8</v>
      </c>
      <c r="G550" s="3"/>
      <c r="H550" s="15" t="s">
        <v>203</v>
      </c>
      <c r="I550" s="3"/>
      <c r="J550" s="13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4">
        <v>46032.0</v>
      </c>
      <c r="B551" s="8" t="s">
        <v>205</v>
      </c>
      <c r="C551" s="15" t="s">
        <v>202</v>
      </c>
      <c r="D551" s="3"/>
      <c r="E551" s="5">
        <v>6.5E8</v>
      </c>
      <c r="F551" s="3"/>
      <c r="G551" s="5">
        <v>1.0E8</v>
      </c>
      <c r="H551" s="15" t="s">
        <v>203</v>
      </c>
      <c r="I551" s="3"/>
      <c r="J551" s="13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4">
        <v>46032.0</v>
      </c>
      <c r="B552" s="9" t="s">
        <v>63</v>
      </c>
      <c r="C552" s="15" t="s">
        <v>202</v>
      </c>
      <c r="D552" s="5">
        <v>5.0E8</v>
      </c>
      <c r="E552" s="3"/>
      <c r="F552" s="3"/>
      <c r="G552" s="5">
        <v>5.0E7</v>
      </c>
      <c r="H552" s="15" t="s">
        <v>203</v>
      </c>
      <c r="I552" s="3"/>
      <c r="J552" s="13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4">
        <v>46047.0</v>
      </c>
      <c r="B553" s="8" t="s">
        <v>184</v>
      </c>
      <c r="C553" s="15" t="s">
        <v>195</v>
      </c>
      <c r="D553" s="5">
        <f>192000000+40000000</f>
        <v>232000000</v>
      </c>
      <c r="E553" s="3"/>
      <c r="F553" s="3"/>
      <c r="G553" s="3"/>
      <c r="H553" s="15" t="s">
        <v>193</v>
      </c>
      <c r="I553" s="3"/>
      <c r="J553" s="13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4">
        <v>46047.0</v>
      </c>
      <c r="B554" s="23" t="s">
        <v>67</v>
      </c>
      <c r="C554" s="15" t="s">
        <v>195</v>
      </c>
      <c r="D554" s="5">
        <v>6.0E7</v>
      </c>
      <c r="E554" s="3"/>
      <c r="F554" s="3"/>
      <c r="G554" s="3"/>
      <c r="H554" s="15" t="s">
        <v>193</v>
      </c>
      <c r="I554" s="3"/>
      <c r="J554" s="13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4">
        <v>46047.0</v>
      </c>
      <c r="B555" s="9" t="s">
        <v>63</v>
      </c>
      <c r="C555" s="15" t="s">
        <v>195</v>
      </c>
      <c r="D555" s="3"/>
      <c r="E555" s="5">
        <v>5.0E7</v>
      </c>
      <c r="F555" s="3"/>
      <c r="G555" s="3"/>
      <c r="H555" s="15" t="s">
        <v>193</v>
      </c>
      <c r="I555" s="3"/>
      <c r="J555" s="13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4">
        <v>46047.0</v>
      </c>
      <c r="B556" s="9" t="s">
        <v>92</v>
      </c>
      <c r="C556" s="15" t="s">
        <v>195</v>
      </c>
      <c r="D556" s="3"/>
      <c r="E556" s="5">
        <v>1.7E8</v>
      </c>
      <c r="F556" s="3"/>
      <c r="G556" s="3"/>
      <c r="H556" s="15" t="s">
        <v>193</v>
      </c>
      <c r="I556" s="3"/>
      <c r="J556" s="13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4">
        <v>46047.0</v>
      </c>
      <c r="B557" s="24" t="s">
        <v>175</v>
      </c>
      <c r="C557" s="15" t="s">
        <v>195</v>
      </c>
      <c r="D557" s="5">
        <v>1.7E8</v>
      </c>
      <c r="E557" s="5">
        <v>1.16E9</v>
      </c>
      <c r="F557" s="3"/>
      <c r="G557" s="3"/>
      <c r="H557" s="15" t="s">
        <v>193</v>
      </c>
      <c r="I557" s="3"/>
      <c r="J557" s="13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4">
        <v>46047.0</v>
      </c>
      <c r="B558" s="9" t="s">
        <v>72</v>
      </c>
      <c r="C558" s="15" t="s">
        <v>195</v>
      </c>
      <c r="D558" s="3"/>
      <c r="E558" s="5">
        <v>1.6E8</v>
      </c>
      <c r="F558" s="3"/>
      <c r="G558" s="3"/>
      <c r="H558" s="15" t="s">
        <v>193</v>
      </c>
      <c r="I558" s="3"/>
      <c r="J558" s="13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4">
        <v>46047.0</v>
      </c>
      <c r="B559" s="9" t="s">
        <v>179</v>
      </c>
      <c r="C559" s="15" t="s">
        <v>195</v>
      </c>
      <c r="D559" s="5">
        <f>150000000+150000000+40000000+20000000+60000000</f>
        <v>420000000</v>
      </c>
      <c r="E559" s="5">
        <f>180000000+6182150</f>
        <v>186182150</v>
      </c>
      <c r="F559" s="5">
        <v>1.7E8</v>
      </c>
      <c r="G559" s="5">
        <v>7.0E7</v>
      </c>
      <c r="H559" s="15" t="s">
        <v>193</v>
      </c>
      <c r="I559" s="3"/>
      <c r="J559" s="13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4">
        <v>46047.0</v>
      </c>
      <c r="B560" s="8" t="s">
        <v>143</v>
      </c>
      <c r="C560" s="15" t="s">
        <v>198</v>
      </c>
      <c r="D560" s="3"/>
      <c r="E560" s="5">
        <v>5.0E7</v>
      </c>
      <c r="F560" s="3"/>
      <c r="G560" s="3"/>
      <c r="H560" s="15" t="s">
        <v>193</v>
      </c>
      <c r="I560" s="3"/>
      <c r="J560" s="13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4">
        <v>46047.0</v>
      </c>
      <c r="B561" s="9" t="s">
        <v>81</v>
      </c>
      <c r="C561" s="15" t="s">
        <v>198</v>
      </c>
      <c r="D561" s="5">
        <v>1.0E7</v>
      </c>
      <c r="E561" s="5">
        <v>1.0E7</v>
      </c>
      <c r="F561" s="5">
        <v>1.0E7</v>
      </c>
      <c r="G561" s="5">
        <v>1.0E7</v>
      </c>
      <c r="H561" s="15" t="s">
        <v>193</v>
      </c>
      <c r="I561" s="3"/>
      <c r="J561" s="13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4">
        <v>46048.0</v>
      </c>
      <c r="B562" s="23" t="s">
        <v>67</v>
      </c>
      <c r="C562" s="15" t="s">
        <v>195</v>
      </c>
      <c r="D562" s="5">
        <v>4.0E7</v>
      </c>
      <c r="E562" s="5">
        <v>4.0E7</v>
      </c>
      <c r="F562" s="5">
        <v>2.0E7</v>
      </c>
      <c r="G562" s="3"/>
      <c r="H562" s="15" t="s">
        <v>193</v>
      </c>
      <c r="I562" s="3"/>
      <c r="J562" s="13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4">
        <v>46048.0</v>
      </c>
      <c r="B563" s="9" t="s">
        <v>72</v>
      </c>
      <c r="C563" s="15" t="s">
        <v>195</v>
      </c>
      <c r="D563" s="3"/>
      <c r="E563" s="5">
        <v>2.0E7</v>
      </c>
      <c r="F563" s="3"/>
      <c r="G563" s="3"/>
      <c r="H563" s="15" t="s">
        <v>193</v>
      </c>
      <c r="I563" s="3"/>
      <c r="J563" s="13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4">
        <v>46048.0</v>
      </c>
      <c r="B564" s="9" t="s">
        <v>173</v>
      </c>
      <c r="C564" s="15" t="s">
        <v>198</v>
      </c>
      <c r="D564" s="5">
        <v>1.0E7</v>
      </c>
      <c r="E564" s="5">
        <v>1.0E7</v>
      </c>
      <c r="F564" s="5">
        <v>1.0E7</v>
      </c>
      <c r="G564" s="5">
        <v>4600000.0</v>
      </c>
      <c r="H564" s="30" t="s">
        <v>193</v>
      </c>
      <c r="I564" s="5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4">
        <v>46048.0</v>
      </c>
      <c r="B565" s="8" t="s">
        <v>29</v>
      </c>
      <c r="C565" s="15" t="s">
        <v>198</v>
      </c>
      <c r="D565" s="3"/>
      <c r="E565" s="3"/>
      <c r="F565" s="5">
        <v>1.0E7</v>
      </c>
      <c r="G565" s="3"/>
      <c r="H565" s="15" t="s">
        <v>193</v>
      </c>
      <c r="I565" s="3"/>
      <c r="J565" s="13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4">
        <v>46048.0</v>
      </c>
      <c r="B566" s="31" t="s">
        <v>137</v>
      </c>
      <c r="C566" s="15" t="s">
        <v>198</v>
      </c>
      <c r="D566" s="5">
        <v>1.0E7</v>
      </c>
      <c r="E566" s="5">
        <v>1.0E7</v>
      </c>
      <c r="F566" s="5">
        <v>1.0E7</v>
      </c>
      <c r="G566" s="5">
        <v>1.0E7</v>
      </c>
      <c r="H566" s="15" t="s">
        <v>193</v>
      </c>
      <c r="I566" s="3"/>
      <c r="J566" s="13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4">
        <v>46048.0</v>
      </c>
      <c r="B567" s="32" t="s">
        <v>19</v>
      </c>
      <c r="C567" s="15" t="s">
        <v>198</v>
      </c>
      <c r="D567" s="5">
        <v>2760000.0</v>
      </c>
      <c r="E567" s="5">
        <v>2760000.0</v>
      </c>
      <c r="F567" s="5">
        <v>3680000.0</v>
      </c>
      <c r="G567" s="5">
        <v>3680000.0</v>
      </c>
      <c r="H567" s="15" t="s">
        <v>193</v>
      </c>
      <c r="I567" s="3"/>
      <c r="J567" s="13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4">
        <v>46048.0</v>
      </c>
      <c r="B568" s="32" t="s">
        <v>15</v>
      </c>
      <c r="C568" s="15" t="s">
        <v>198</v>
      </c>
      <c r="D568" s="5">
        <v>1840000.0</v>
      </c>
      <c r="E568" s="5">
        <v>1840000.0</v>
      </c>
      <c r="F568" s="5">
        <v>2760000.0</v>
      </c>
      <c r="G568" s="5">
        <v>3560000.0</v>
      </c>
      <c r="H568" s="15" t="s">
        <v>193</v>
      </c>
      <c r="I568" s="3"/>
      <c r="J568" s="13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4">
        <v>46048.0</v>
      </c>
      <c r="B569" s="31" t="s">
        <v>63</v>
      </c>
      <c r="C569" s="15" t="s">
        <v>198</v>
      </c>
      <c r="D569" s="5">
        <v>2300000.0</v>
      </c>
      <c r="E569" s="5">
        <v>4020000.0</v>
      </c>
      <c r="F569" s="5">
        <v>1840000.0</v>
      </c>
      <c r="G569" s="5">
        <v>1840000.0</v>
      </c>
      <c r="H569" s="15" t="s">
        <v>193</v>
      </c>
      <c r="I569" s="3"/>
      <c r="J569" s="13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4">
        <v>46048.0</v>
      </c>
      <c r="B570" s="8" t="s">
        <v>151</v>
      </c>
      <c r="C570" s="15" t="s">
        <v>198</v>
      </c>
      <c r="D570" s="5">
        <v>1840000.0</v>
      </c>
      <c r="E570" s="5">
        <v>1840000.0</v>
      </c>
      <c r="F570" s="5">
        <v>2760000.0</v>
      </c>
      <c r="G570" s="5">
        <v>2760000.0</v>
      </c>
      <c r="H570" s="15" t="s">
        <v>193</v>
      </c>
      <c r="I570" s="3"/>
      <c r="J570" s="3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4">
        <v>46048.0</v>
      </c>
      <c r="B571" s="8" t="s">
        <v>130</v>
      </c>
      <c r="C571" s="15" t="s">
        <v>198</v>
      </c>
      <c r="D571" s="5">
        <v>1.276E7</v>
      </c>
      <c r="E571" s="5">
        <v>4600000.0</v>
      </c>
      <c r="F571" s="5">
        <v>7360000.0</v>
      </c>
      <c r="G571" s="5">
        <v>6440000.0</v>
      </c>
      <c r="H571" s="15" t="s">
        <v>193</v>
      </c>
      <c r="I571" s="3"/>
      <c r="J571" s="3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4">
        <v>46048.0</v>
      </c>
      <c r="B572" s="32" t="s">
        <v>59</v>
      </c>
      <c r="C572" s="15" t="s">
        <v>198</v>
      </c>
      <c r="D572" s="5">
        <v>1.0E7</v>
      </c>
      <c r="E572" s="5">
        <v>1.0E7</v>
      </c>
      <c r="F572" s="5">
        <v>1.0E7</v>
      </c>
      <c r="G572" s="33">
        <v>1.0E7</v>
      </c>
      <c r="H572" s="15" t="s">
        <v>193</v>
      </c>
      <c r="I572" s="8" t="s">
        <v>206</v>
      </c>
      <c r="J572" s="3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4">
        <v>46048.0</v>
      </c>
      <c r="B573" s="31" t="s">
        <v>79</v>
      </c>
      <c r="C573" s="15" t="s">
        <v>198</v>
      </c>
      <c r="D573" s="5">
        <v>1840000.0</v>
      </c>
      <c r="E573" s="5">
        <v>3560000.0</v>
      </c>
      <c r="F573" s="5">
        <v>1840000.0</v>
      </c>
      <c r="G573" s="5">
        <v>2760000.0</v>
      </c>
      <c r="H573" s="15" t="s">
        <v>193</v>
      </c>
      <c r="I573" s="3"/>
      <c r="J573" s="3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4">
        <v>46048.0</v>
      </c>
      <c r="B574" s="8" t="s">
        <v>64</v>
      </c>
      <c r="C574" s="15" t="s">
        <v>198</v>
      </c>
      <c r="D574" s="5">
        <v>2009946.0</v>
      </c>
      <c r="E574" s="5">
        <v>2024000.0</v>
      </c>
      <c r="F574" s="5">
        <v>2930054.0</v>
      </c>
      <c r="G574" s="5">
        <v>3036000.0</v>
      </c>
      <c r="H574" s="15" t="s">
        <v>193</v>
      </c>
      <c r="I574" s="3"/>
      <c r="J574" s="3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4">
        <v>46048.0</v>
      </c>
      <c r="B575" s="8" t="s">
        <v>99</v>
      </c>
      <c r="C575" s="15" t="s">
        <v>198</v>
      </c>
      <c r="D575" s="5">
        <v>1.0E7</v>
      </c>
      <c r="E575" s="5">
        <v>1.0E7</v>
      </c>
      <c r="F575" s="5">
        <v>1.0E7</v>
      </c>
      <c r="G575" s="5">
        <v>1.0E7</v>
      </c>
      <c r="H575" s="15" t="s">
        <v>193</v>
      </c>
      <c r="I575" s="3"/>
      <c r="J575" s="3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4">
        <v>46048.0</v>
      </c>
      <c r="B576" s="31" t="s">
        <v>178</v>
      </c>
      <c r="C576" s="15" t="s">
        <v>198</v>
      </c>
      <c r="D576" s="5">
        <v>1840000.0</v>
      </c>
      <c r="E576" s="5">
        <v>1840000.0</v>
      </c>
      <c r="F576" s="5">
        <v>2760000.0</v>
      </c>
      <c r="G576" s="5">
        <v>2760000.0</v>
      </c>
      <c r="H576" s="15" t="s">
        <v>193</v>
      </c>
      <c r="I576" s="3"/>
      <c r="J576" s="3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4">
        <v>46048.0</v>
      </c>
      <c r="B577" s="34" t="s">
        <v>16</v>
      </c>
      <c r="C577" s="15" t="s">
        <v>198</v>
      </c>
      <c r="D577" s="5">
        <v>1840000.0</v>
      </c>
      <c r="E577" s="5">
        <v>1840000.0</v>
      </c>
      <c r="F577" s="5">
        <v>1840000.0</v>
      </c>
      <c r="G577" s="5">
        <v>2760000.0</v>
      </c>
      <c r="H577" s="15" t="s">
        <v>193</v>
      </c>
      <c r="I577" s="3"/>
      <c r="J577" s="3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4">
        <v>46048.0</v>
      </c>
      <c r="B578" s="8" t="s">
        <v>17</v>
      </c>
      <c r="C578" s="15" t="s">
        <v>198</v>
      </c>
      <c r="D578" s="5">
        <v>2024000.0</v>
      </c>
      <c r="E578" s="5">
        <v>2088000.0</v>
      </c>
      <c r="F578" s="5">
        <v>2944000.0</v>
      </c>
      <c r="G578" s="5">
        <v>2944000.0</v>
      </c>
      <c r="H578" s="15" t="s">
        <v>193</v>
      </c>
      <c r="I578" s="3"/>
      <c r="J578" s="3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4">
        <v>46048.0</v>
      </c>
      <c r="B579" s="8" t="s">
        <v>18</v>
      </c>
      <c r="C579" s="15" t="s">
        <v>198</v>
      </c>
      <c r="D579" s="5">
        <v>1.0E7</v>
      </c>
      <c r="E579" s="5">
        <v>1.0E7</v>
      </c>
      <c r="F579" s="5">
        <v>1.0E7</v>
      </c>
      <c r="G579" s="5">
        <v>1.0E7</v>
      </c>
      <c r="H579" s="15" t="s">
        <v>193</v>
      </c>
      <c r="I579" s="3"/>
      <c r="J579" s="3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4">
        <v>46048.0</v>
      </c>
      <c r="B580" s="31" t="s">
        <v>71</v>
      </c>
      <c r="C580" s="15" t="s">
        <v>198</v>
      </c>
      <c r="D580" s="5">
        <v>2024000.0</v>
      </c>
      <c r="E580" s="5">
        <v>2024000.0</v>
      </c>
      <c r="F580" s="5">
        <v>3036000.0</v>
      </c>
      <c r="G580" s="5">
        <v>3036000.0</v>
      </c>
      <c r="H580" s="15" t="s">
        <v>193</v>
      </c>
      <c r="I580" s="3"/>
      <c r="J580" s="3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4">
        <v>46048.0</v>
      </c>
      <c r="B581" s="31" t="s">
        <v>86</v>
      </c>
      <c r="C581" s="15" t="s">
        <v>198</v>
      </c>
      <c r="D581" s="5">
        <v>1840000.0</v>
      </c>
      <c r="E581" s="5">
        <v>1840000.0</v>
      </c>
      <c r="F581" s="5">
        <v>2760000.0</v>
      </c>
      <c r="G581" s="5">
        <v>2760000.0</v>
      </c>
      <c r="H581" s="15" t="s">
        <v>193</v>
      </c>
      <c r="I581" s="3"/>
      <c r="J581" s="3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4">
        <v>46048.0</v>
      </c>
      <c r="B582" s="31" t="s">
        <v>120</v>
      </c>
      <c r="C582" s="15" t="s">
        <v>198</v>
      </c>
      <c r="D582" s="5">
        <v>2760000.0</v>
      </c>
      <c r="E582" s="5">
        <v>2760000.0</v>
      </c>
      <c r="F582" s="5">
        <v>3680000.0</v>
      </c>
      <c r="G582" s="5">
        <v>3680000.0</v>
      </c>
      <c r="H582" s="15" t="s">
        <v>193</v>
      </c>
      <c r="I582" s="3"/>
      <c r="J582" s="3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4">
        <v>46048.0</v>
      </c>
      <c r="B583" s="8" t="s">
        <v>20</v>
      </c>
      <c r="C583" s="15" t="s">
        <v>198</v>
      </c>
      <c r="D583" s="5">
        <v>2001920.0</v>
      </c>
      <c r="E583" s="5">
        <v>2001920.0</v>
      </c>
      <c r="F583" s="5">
        <v>3004720.0</v>
      </c>
      <c r="G583" s="5">
        <v>2991440.0</v>
      </c>
      <c r="H583" s="15" t="s">
        <v>193</v>
      </c>
      <c r="I583" s="3"/>
      <c r="J583" s="3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4">
        <v>46048.0</v>
      </c>
      <c r="B584" s="31" t="s">
        <v>56</v>
      </c>
      <c r="C584" s="15" t="s">
        <v>198</v>
      </c>
      <c r="D584" s="5">
        <v>2024000.0</v>
      </c>
      <c r="E584" s="5">
        <v>2024000.0</v>
      </c>
      <c r="F584" s="5">
        <v>2990000.0</v>
      </c>
      <c r="G584" s="5">
        <v>2962000.0</v>
      </c>
      <c r="H584" s="15" t="s">
        <v>193</v>
      </c>
      <c r="I584" s="3"/>
      <c r="J584" s="3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4">
        <v>46048.0</v>
      </c>
      <c r="B585" s="31" t="s">
        <v>172</v>
      </c>
      <c r="C585" s="15" t="s">
        <v>198</v>
      </c>
      <c r="D585" s="5">
        <v>2070000.0</v>
      </c>
      <c r="E585" s="5">
        <v>2070000.0</v>
      </c>
      <c r="F585" s="5">
        <v>2990000.0</v>
      </c>
      <c r="G585" s="5">
        <v>2990000.0</v>
      </c>
      <c r="H585" s="15" t="s">
        <v>193</v>
      </c>
      <c r="I585" s="3"/>
      <c r="J585" s="3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4">
        <v>46048.0</v>
      </c>
      <c r="B586" s="31" t="s">
        <v>93</v>
      </c>
      <c r="C586" s="15" t="s">
        <v>198</v>
      </c>
      <c r="D586" s="5">
        <v>1840000.0</v>
      </c>
      <c r="E586" s="5">
        <v>3680000.0</v>
      </c>
      <c r="F586" s="5">
        <v>1840000.0</v>
      </c>
      <c r="G586" s="5">
        <v>1840000.0</v>
      </c>
      <c r="H586" s="15" t="s">
        <v>193</v>
      </c>
      <c r="I586" s="3"/>
      <c r="J586" s="3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4">
        <v>46048.0</v>
      </c>
      <c r="B587" s="8" t="s">
        <v>67</v>
      </c>
      <c r="C587" s="15" t="s">
        <v>195</v>
      </c>
      <c r="D587" s="5">
        <v>1.0E7</v>
      </c>
      <c r="E587" s="5">
        <v>1.0E7</v>
      </c>
      <c r="F587" s="5">
        <v>1.0E7</v>
      </c>
      <c r="G587" s="5"/>
      <c r="H587" s="15" t="s">
        <v>193</v>
      </c>
      <c r="I587" s="3"/>
      <c r="J587" s="3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4">
        <v>46048.0</v>
      </c>
      <c r="B588" s="8" t="s">
        <v>174</v>
      </c>
      <c r="C588" s="15" t="s">
        <v>198</v>
      </c>
      <c r="D588" s="5">
        <v>1.0E7</v>
      </c>
      <c r="E588" s="5"/>
      <c r="F588" s="5"/>
      <c r="G588" s="5"/>
      <c r="H588" s="15" t="s">
        <v>193</v>
      </c>
      <c r="I588" s="3"/>
      <c r="J588" s="3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4">
        <v>46048.0</v>
      </c>
      <c r="B589" s="31" t="s">
        <v>158</v>
      </c>
      <c r="C589" s="15" t="s">
        <v>198</v>
      </c>
      <c r="D589" s="5">
        <v>2034240.0</v>
      </c>
      <c r="E589" s="5">
        <v>2931404.0</v>
      </c>
      <c r="F589" s="5">
        <v>3209464.0</v>
      </c>
      <c r="G589" s="5">
        <v>1824892.0</v>
      </c>
      <c r="H589" s="15" t="s">
        <v>193</v>
      </c>
      <c r="I589" s="3"/>
      <c r="J589" s="3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4">
        <v>46049.0</v>
      </c>
      <c r="B590" s="8" t="s">
        <v>174</v>
      </c>
      <c r="C590" s="15" t="s">
        <v>198</v>
      </c>
      <c r="D590" s="5"/>
      <c r="E590" s="5">
        <v>1.0E7</v>
      </c>
      <c r="F590" s="5">
        <v>1.0E7</v>
      </c>
      <c r="G590" s="5">
        <v>1.0E7</v>
      </c>
      <c r="H590" s="15" t="s">
        <v>193</v>
      </c>
      <c r="I590" s="3"/>
      <c r="J590" s="3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4">
        <v>46049.0</v>
      </c>
      <c r="B591" s="8" t="s">
        <v>165</v>
      </c>
      <c r="C591" s="15" t="s">
        <v>195</v>
      </c>
      <c r="D591" s="5"/>
      <c r="E591" s="5">
        <v>3.0E8</v>
      </c>
      <c r="F591" s="5">
        <v>9.0E7</v>
      </c>
      <c r="G591" s="5"/>
      <c r="H591" s="15" t="s">
        <v>193</v>
      </c>
      <c r="I591" s="3"/>
      <c r="J591" s="3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4">
        <v>46049.0</v>
      </c>
      <c r="B592" s="8" t="s">
        <v>182</v>
      </c>
      <c r="C592" s="15" t="s">
        <v>198</v>
      </c>
      <c r="D592" s="5">
        <v>1.0E7</v>
      </c>
      <c r="E592" s="5"/>
      <c r="F592" s="5"/>
      <c r="G592" s="5"/>
      <c r="H592" s="15" t="s">
        <v>193</v>
      </c>
      <c r="I592" s="3"/>
      <c r="J592" s="3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4">
        <v>46049.0</v>
      </c>
      <c r="B593" s="31" t="s">
        <v>37</v>
      </c>
      <c r="C593" s="15" t="s">
        <v>198</v>
      </c>
      <c r="D593" s="5">
        <v>2760000.0</v>
      </c>
      <c r="E593" s="5">
        <v>2760000.0</v>
      </c>
      <c r="F593" s="5">
        <v>1840000.0</v>
      </c>
      <c r="G593" s="5">
        <v>1840000.0</v>
      </c>
      <c r="H593" s="15" t="s">
        <v>193</v>
      </c>
      <c r="I593" s="3"/>
      <c r="J593" s="3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4">
        <v>46049.0</v>
      </c>
      <c r="B594" s="8" t="s">
        <v>183</v>
      </c>
      <c r="C594" s="15" t="s">
        <v>198</v>
      </c>
      <c r="D594" s="5">
        <v>1840000.0</v>
      </c>
      <c r="E594" s="5">
        <v>1840000.0</v>
      </c>
      <c r="F594" s="5">
        <v>2760000.0</v>
      </c>
      <c r="G594" s="5">
        <v>2760000.0</v>
      </c>
      <c r="H594" s="15" t="s">
        <v>193</v>
      </c>
      <c r="I594" s="3"/>
      <c r="J594" s="3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4">
        <v>46049.0</v>
      </c>
      <c r="B595" s="31" t="s">
        <v>92</v>
      </c>
      <c r="C595" s="15" t="s">
        <v>198</v>
      </c>
      <c r="D595" s="5">
        <v>1.0E7</v>
      </c>
      <c r="E595" s="5"/>
      <c r="F595" s="5"/>
      <c r="G595" s="5"/>
      <c r="H595" s="15" t="s">
        <v>193</v>
      </c>
      <c r="I595" s="3"/>
      <c r="J595" s="3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4">
        <v>46049.0</v>
      </c>
      <c r="B596" s="8" t="s">
        <v>104</v>
      </c>
      <c r="C596" s="15" t="s">
        <v>198</v>
      </c>
      <c r="D596" s="5">
        <v>3.0E7</v>
      </c>
      <c r="E596" s="5">
        <v>2.0E7</v>
      </c>
      <c r="F596" s="5">
        <v>2.0E7</v>
      </c>
      <c r="G596" s="5">
        <v>2.0E7</v>
      </c>
      <c r="H596" s="15" t="s">
        <v>193</v>
      </c>
      <c r="I596" s="3"/>
      <c r="J596" s="3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4">
        <v>46049.0</v>
      </c>
      <c r="B597" s="8" t="s">
        <v>72</v>
      </c>
      <c r="C597" s="15" t="s">
        <v>195</v>
      </c>
      <c r="D597" s="5"/>
      <c r="E597" s="5">
        <v>3.0E7</v>
      </c>
      <c r="F597" s="5"/>
      <c r="G597" s="5"/>
      <c r="H597" s="15" t="s">
        <v>193</v>
      </c>
      <c r="I597" s="3"/>
      <c r="J597" s="3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4">
        <v>46049.0</v>
      </c>
      <c r="B598" s="31" t="s">
        <v>43</v>
      </c>
      <c r="C598" s="15" t="s">
        <v>198</v>
      </c>
      <c r="D598" s="5">
        <v>1.276E7</v>
      </c>
      <c r="E598" s="5">
        <v>920000.0</v>
      </c>
      <c r="F598" s="5">
        <v>920000.0</v>
      </c>
      <c r="G598" s="5">
        <v>920000.0</v>
      </c>
      <c r="H598" s="15" t="s">
        <v>193</v>
      </c>
      <c r="I598" s="3"/>
      <c r="J598" s="3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4">
        <v>46049.0</v>
      </c>
      <c r="B599" s="8" t="s">
        <v>143</v>
      </c>
      <c r="C599" s="15" t="s">
        <v>196</v>
      </c>
      <c r="D599" s="5"/>
      <c r="E599" s="5">
        <v>3.0E7</v>
      </c>
      <c r="F599" s="5"/>
      <c r="G599" s="5"/>
      <c r="H599" s="15" t="s">
        <v>193</v>
      </c>
      <c r="I599" s="3"/>
      <c r="J599" s="3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4">
        <v>46049.0</v>
      </c>
      <c r="B600" s="31" t="s">
        <v>86</v>
      </c>
      <c r="C600" s="15" t="s">
        <v>196</v>
      </c>
      <c r="D600" s="5"/>
      <c r="E600" s="5"/>
      <c r="F600" s="5">
        <v>2760000.0</v>
      </c>
      <c r="G600" s="5">
        <v>1840000.0</v>
      </c>
      <c r="H600" s="15" t="s">
        <v>193</v>
      </c>
      <c r="I600" s="3"/>
      <c r="J600" s="3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4">
        <v>46049.0</v>
      </c>
      <c r="B601" s="31" t="s">
        <v>87</v>
      </c>
      <c r="C601" s="15" t="s">
        <v>198</v>
      </c>
      <c r="D601" s="5">
        <v>2640000.0</v>
      </c>
      <c r="E601" s="5">
        <v>1840000.0</v>
      </c>
      <c r="F601" s="5">
        <v>2760000.0</v>
      </c>
      <c r="G601" s="5">
        <v>2760000.0</v>
      </c>
      <c r="H601" s="15" t="s">
        <v>193</v>
      </c>
      <c r="I601" s="3"/>
      <c r="J601" s="3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4">
        <v>46049.0</v>
      </c>
      <c r="B602" s="8" t="s">
        <v>67</v>
      </c>
      <c r="C602" s="15" t="s">
        <v>195</v>
      </c>
      <c r="D602" s="5">
        <v>1.0E7</v>
      </c>
      <c r="E602" s="5">
        <v>1.0E7</v>
      </c>
      <c r="F602" s="5">
        <v>1.0E7</v>
      </c>
      <c r="G602" s="5">
        <v>1.0E7</v>
      </c>
      <c r="H602" s="15" t="s">
        <v>193</v>
      </c>
      <c r="I602" s="3"/>
      <c r="J602" s="3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4">
        <v>46049.0</v>
      </c>
      <c r="B603" s="8" t="s">
        <v>78</v>
      </c>
      <c r="C603" s="15" t="s">
        <v>198</v>
      </c>
      <c r="D603" s="5"/>
      <c r="E603" s="5">
        <v>4.0E7</v>
      </c>
      <c r="F603" s="5"/>
      <c r="G603" s="5"/>
      <c r="H603" s="15" t="s">
        <v>193</v>
      </c>
      <c r="I603" s="3"/>
      <c r="J603" s="3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4">
        <v>46049.0</v>
      </c>
      <c r="B604" s="8" t="s">
        <v>112</v>
      </c>
      <c r="C604" s="15" t="s">
        <v>198</v>
      </c>
      <c r="D604" s="5"/>
      <c r="E604" s="5">
        <v>1.0E7</v>
      </c>
      <c r="F604" s="5"/>
      <c r="G604" s="5"/>
      <c r="H604" s="15" t="s">
        <v>193</v>
      </c>
      <c r="I604" s="3"/>
      <c r="J604" s="3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4">
        <v>46050.0</v>
      </c>
      <c r="B605" s="8" t="s">
        <v>67</v>
      </c>
      <c r="C605" s="15" t="s">
        <v>195</v>
      </c>
      <c r="D605" s="5">
        <v>2.0E7</v>
      </c>
      <c r="E605" s="5">
        <v>2.0E7</v>
      </c>
      <c r="F605" s="5">
        <v>1.0E7</v>
      </c>
      <c r="G605" s="5">
        <v>1.0E7</v>
      </c>
      <c r="H605" s="15" t="s">
        <v>193</v>
      </c>
      <c r="I605" s="3"/>
      <c r="J605" s="3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4">
        <v>46050.0</v>
      </c>
      <c r="B606" s="8" t="s">
        <v>115</v>
      </c>
      <c r="C606" s="15" t="s">
        <v>199</v>
      </c>
      <c r="D606" s="5">
        <v>4.0E8</v>
      </c>
      <c r="E606" s="5">
        <v>5.1E8</v>
      </c>
      <c r="F606" s="5">
        <v>4.6E8</v>
      </c>
      <c r="G606" s="5">
        <v>2.6E8</v>
      </c>
      <c r="H606" s="15" t="s">
        <v>193</v>
      </c>
      <c r="I606" s="3"/>
      <c r="J606" s="3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4">
        <v>46050.0</v>
      </c>
      <c r="B607" s="8" t="s">
        <v>143</v>
      </c>
      <c r="C607" s="15" t="s">
        <v>196</v>
      </c>
      <c r="D607" s="5"/>
      <c r="E607" s="5">
        <v>2.0E7</v>
      </c>
      <c r="F607" s="5"/>
      <c r="G607" s="5"/>
      <c r="H607" s="15" t="s">
        <v>193</v>
      </c>
      <c r="I607" s="3"/>
      <c r="J607" s="3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4">
        <v>46050.0</v>
      </c>
      <c r="B608" s="8" t="s">
        <v>162</v>
      </c>
      <c r="C608" s="15" t="s">
        <v>195</v>
      </c>
      <c r="D608" s="5">
        <v>1.3E8</v>
      </c>
      <c r="E608" s="5">
        <v>1.1E8</v>
      </c>
      <c r="F608" s="5"/>
      <c r="G608" s="5"/>
      <c r="H608" s="15" t="s">
        <v>193</v>
      </c>
      <c r="I608" s="3"/>
      <c r="J608" s="3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4">
        <v>46050.0</v>
      </c>
      <c r="B609" s="31" t="s">
        <v>101</v>
      </c>
      <c r="C609" s="15" t="s">
        <v>198</v>
      </c>
      <c r="D609" s="5">
        <v>3036000.0</v>
      </c>
      <c r="E609" s="5">
        <v>3036000.0</v>
      </c>
      <c r="F609" s="5">
        <v>3036000.0</v>
      </c>
      <c r="G609" s="5">
        <v>1012000.0</v>
      </c>
      <c r="H609" s="15" t="s">
        <v>193</v>
      </c>
      <c r="I609" s="3"/>
      <c r="J609" s="3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4">
        <v>46050.0</v>
      </c>
      <c r="B610" s="8" t="s">
        <v>185</v>
      </c>
      <c r="C610" s="15" t="s">
        <v>198</v>
      </c>
      <c r="D610" s="5"/>
      <c r="E610" s="5"/>
      <c r="F610" s="5"/>
      <c r="G610" s="5">
        <v>1.0E7</v>
      </c>
      <c r="H610" s="15" t="s">
        <v>193</v>
      </c>
      <c r="I610" s="3"/>
      <c r="J610" s="3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4">
        <v>46050.0</v>
      </c>
      <c r="B611" s="8" t="s">
        <v>171</v>
      </c>
      <c r="C611" s="15" t="s">
        <v>198</v>
      </c>
      <c r="D611" s="5">
        <v>1.0E7</v>
      </c>
      <c r="E611" s="5">
        <v>1.0E7</v>
      </c>
      <c r="F611" s="5">
        <v>1.0E7</v>
      </c>
      <c r="G611" s="5">
        <v>1.0E7</v>
      </c>
      <c r="H611" s="15" t="s">
        <v>193</v>
      </c>
      <c r="I611" s="3"/>
      <c r="J611" s="3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4">
        <v>46050.0</v>
      </c>
      <c r="B612" s="31" t="s">
        <v>75</v>
      </c>
      <c r="C612" s="15" t="s">
        <v>198</v>
      </c>
      <c r="D612" s="5">
        <v>2024000.0</v>
      </c>
      <c r="E612" s="5">
        <v>4848000.0</v>
      </c>
      <c r="F612" s="5">
        <v>2024000.0</v>
      </c>
      <c r="G612" s="5">
        <v>1104000.0</v>
      </c>
      <c r="H612" s="15" t="s">
        <v>193</v>
      </c>
      <c r="I612" s="3"/>
      <c r="J612" s="3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4">
        <v>46050.0</v>
      </c>
      <c r="B613" s="31" t="s">
        <v>66</v>
      </c>
      <c r="C613" s="15" t="s">
        <v>198</v>
      </c>
      <c r="D613" s="5">
        <v>1.0E7</v>
      </c>
      <c r="E613" s="5"/>
      <c r="F613" s="5">
        <v>1.0E7</v>
      </c>
      <c r="G613" s="5"/>
      <c r="H613" s="15" t="s">
        <v>193</v>
      </c>
      <c r="I613" s="3"/>
      <c r="J613" s="3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4">
        <v>46051.0</v>
      </c>
      <c r="B614" s="31" t="s">
        <v>169</v>
      </c>
      <c r="C614" s="15" t="s">
        <v>198</v>
      </c>
      <c r="D614" s="5">
        <v>5.0E7</v>
      </c>
      <c r="E614" s="5">
        <v>5.0E7</v>
      </c>
      <c r="F614" s="5"/>
      <c r="G614" s="5"/>
      <c r="H614" s="15" t="s">
        <v>193</v>
      </c>
      <c r="I614" s="3"/>
      <c r="J614" s="3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4">
        <v>46051.0</v>
      </c>
      <c r="B615" s="8" t="s">
        <v>72</v>
      </c>
      <c r="C615" s="15" t="s">
        <v>195</v>
      </c>
      <c r="D615" s="5"/>
      <c r="E615" s="5">
        <v>5.0E7</v>
      </c>
      <c r="F615" s="5"/>
      <c r="G615" s="5"/>
      <c r="H615" s="15" t="s">
        <v>193</v>
      </c>
      <c r="I615" s="3"/>
      <c r="J615" s="3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4">
        <v>46051.0</v>
      </c>
      <c r="B616" s="8" t="s">
        <v>143</v>
      </c>
      <c r="C616" s="15" t="s">
        <v>196</v>
      </c>
      <c r="D616" s="5"/>
      <c r="E616" s="5">
        <v>2.0E7</v>
      </c>
      <c r="F616" s="5"/>
      <c r="G616" s="5"/>
      <c r="H616" s="15" t="s">
        <v>193</v>
      </c>
      <c r="I616" s="3"/>
      <c r="J616" s="3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4">
        <v>46051.0</v>
      </c>
      <c r="B617" s="31" t="s">
        <v>52</v>
      </c>
      <c r="C617" s="15" t="s">
        <v>198</v>
      </c>
      <c r="D617" s="5">
        <v>1996000.0</v>
      </c>
      <c r="E617" s="5">
        <v>1996400.0</v>
      </c>
      <c r="F617" s="5">
        <v>3003800.0</v>
      </c>
      <c r="G617" s="5">
        <v>3003800.0</v>
      </c>
      <c r="H617" s="15" t="s">
        <v>193</v>
      </c>
      <c r="I617" s="3"/>
      <c r="J617" s="3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4">
        <v>46052.0</v>
      </c>
      <c r="B618" s="31" t="s">
        <v>95</v>
      </c>
      <c r="C618" s="15" t="s">
        <v>198</v>
      </c>
      <c r="D618" s="5">
        <v>1919640.0</v>
      </c>
      <c r="E618" s="5">
        <v>2080120.0</v>
      </c>
      <c r="F618" s="5">
        <v>3000120.0</v>
      </c>
      <c r="G618" s="5">
        <v>3000120.0</v>
      </c>
      <c r="H618" s="15" t="s">
        <v>193</v>
      </c>
      <c r="I618" s="3"/>
      <c r="J618" s="3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4">
        <v>46052.0</v>
      </c>
      <c r="B619" s="31" t="s">
        <v>142</v>
      </c>
      <c r="C619" s="15" t="s">
        <v>198</v>
      </c>
      <c r="D619" s="5">
        <v>4000000.0</v>
      </c>
      <c r="E619" s="5">
        <v>4000000.0</v>
      </c>
      <c r="F619" s="5">
        <v>4000000.0</v>
      </c>
      <c r="G619" s="5">
        <v>4000000.0</v>
      </c>
      <c r="H619" s="15" t="s">
        <v>193</v>
      </c>
      <c r="I619" s="3"/>
      <c r="J619" s="3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4">
        <v>46052.0</v>
      </c>
      <c r="B620" s="9" t="s">
        <v>104</v>
      </c>
      <c r="C620" s="15" t="s">
        <v>196</v>
      </c>
      <c r="D620" s="5">
        <v>1.0E7</v>
      </c>
      <c r="E620" s="5">
        <v>4.0E7</v>
      </c>
      <c r="F620" s="5"/>
      <c r="G620" s="5"/>
      <c r="H620" s="15" t="s">
        <v>193</v>
      </c>
      <c r="I620" s="3"/>
      <c r="J620" s="3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4">
        <v>46053.0</v>
      </c>
      <c r="B621" s="12" t="s">
        <v>184</v>
      </c>
      <c r="C621" s="15" t="s">
        <v>198</v>
      </c>
      <c r="D621" s="5">
        <v>2000080.0</v>
      </c>
      <c r="E621" s="5">
        <v>2000080.0</v>
      </c>
      <c r="F621" s="5">
        <v>2999200.0</v>
      </c>
      <c r="G621" s="5">
        <v>3000640.0</v>
      </c>
      <c r="H621" s="15" t="s">
        <v>193</v>
      </c>
      <c r="I621" s="3"/>
      <c r="J621" s="3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4">
        <v>46053.0</v>
      </c>
      <c r="B622" s="9" t="s">
        <v>100</v>
      </c>
      <c r="C622" s="15" t="s">
        <v>198</v>
      </c>
      <c r="D622" s="5">
        <v>2300000.0</v>
      </c>
      <c r="E622" s="5">
        <v>2300000.0</v>
      </c>
      <c r="F622" s="5">
        <v>3312000.0</v>
      </c>
      <c r="G622" s="5">
        <v>5400000.0</v>
      </c>
      <c r="H622" s="15" t="s">
        <v>193</v>
      </c>
      <c r="I622" s="3"/>
      <c r="J622" s="3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4">
        <v>46053.0</v>
      </c>
      <c r="B623" s="9" t="s">
        <v>39</v>
      </c>
      <c r="C623" s="15" t="s">
        <v>195</v>
      </c>
      <c r="D623" s="5">
        <v>2.92E8</v>
      </c>
      <c r="E623" s="5"/>
      <c r="F623" s="5"/>
      <c r="G623" s="5"/>
      <c r="H623" s="15" t="s">
        <v>193</v>
      </c>
      <c r="I623" s="3"/>
      <c r="J623" s="3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4">
        <v>46054.0</v>
      </c>
      <c r="B624" s="35" t="s">
        <v>76</v>
      </c>
      <c r="C624" s="15" t="s">
        <v>198</v>
      </c>
      <c r="D624" s="5">
        <v>2760000.0</v>
      </c>
      <c r="E624" s="5">
        <v>2760000.0</v>
      </c>
      <c r="F624" s="5">
        <v>2760000.0</v>
      </c>
      <c r="G624" s="5">
        <v>920000.0</v>
      </c>
      <c r="H624" s="15" t="s">
        <v>193</v>
      </c>
      <c r="I624" s="3"/>
      <c r="J624" s="3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4">
        <v>46054.0</v>
      </c>
      <c r="B625" s="35" t="s">
        <v>138</v>
      </c>
      <c r="C625" s="15" t="s">
        <v>198</v>
      </c>
      <c r="D625" s="5">
        <v>4658972.0</v>
      </c>
      <c r="E625" s="5">
        <v>5224938.0</v>
      </c>
      <c r="F625" s="5">
        <v>6163539.0</v>
      </c>
      <c r="G625" s="5">
        <v>3836461.0</v>
      </c>
      <c r="H625" s="15" t="s">
        <v>193</v>
      </c>
      <c r="I625" s="3"/>
      <c r="J625" s="3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4">
        <v>46054.0</v>
      </c>
      <c r="B626" s="9" t="s">
        <v>179</v>
      </c>
      <c r="C626" s="15" t="s">
        <v>198</v>
      </c>
      <c r="D626" s="5">
        <v>1.0E7</v>
      </c>
      <c r="E626" s="5">
        <v>1.0E7</v>
      </c>
      <c r="F626" s="5">
        <v>1.0E7</v>
      </c>
      <c r="G626" s="5">
        <v>1.0E7</v>
      </c>
      <c r="H626" s="15" t="s">
        <v>193</v>
      </c>
      <c r="I626" s="3"/>
      <c r="J626" s="3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4">
        <v>46054.0</v>
      </c>
      <c r="B627" s="9" t="s">
        <v>84</v>
      </c>
      <c r="C627" s="15" t="s">
        <v>198</v>
      </c>
      <c r="D627" s="5"/>
      <c r="E627" s="5">
        <v>1840000.0</v>
      </c>
      <c r="F627" s="5">
        <v>1.0E7</v>
      </c>
      <c r="G627" s="5"/>
      <c r="H627" s="15" t="s">
        <v>193</v>
      </c>
      <c r="I627" s="3"/>
      <c r="J627" s="3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4">
        <v>46054.0</v>
      </c>
      <c r="B628" s="9" t="s">
        <v>39</v>
      </c>
      <c r="C628" s="15" t="s">
        <v>195</v>
      </c>
      <c r="D628" s="5">
        <v>5.6E7</v>
      </c>
      <c r="E628" s="5">
        <v>2.8E7</v>
      </c>
      <c r="F628" s="5">
        <v>8.8E7</v>
      </c>
      <c r="G628" s="5"/>
      <c r="H628" s="15" t="s">
        <v>193</v>
      </c>
      <c r="I628" s="3"/>
      <c r="J628" s="3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4">
        <v>46054.0</v>
      </c>
      <c r="B629" s="9" t="s">
        <v>33</v>
      </c>
      <c r="C629" s="15" t="s">
        <v>198</v>
      </c>
      <c r="D629" s="5">
        <v>1.0E7</v>
      </c>
      <c r="E629" s="5">
        <v>1.0E7</v>
      </c>
      <c r="F629" s="5">
        <v>1.0E7</v>
      </c>
      <c r="G629" s="5">
        <v>1.0E7</v>
      </c>
      <c r="H629" s="15" t="s">
        <v>193</v>
      </c>
      <c r="I629" s="3"/>
      <c r="J629" s="3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4">
        <v>46055.0</v>
      </c>
      <c r="B630" s="9" t="s">
        <v>48</v>
      </c>
      <c r="C630" s="15" t="s">
        <v>198</v>
      </c>
      <c r="D630" s="5">
        <v>6072000.0</v>
      </c>
      <c r="E630" s="5">
        <v>6072000.0</v>
      </c>
      <c r="F630" s="5">
        <v>4048000.0</v>
      </c>
      <c r="G630" s="5">
        <v>3808000.0</v>
      </c>
      <c r="H630" s="15" t="s">
        <v>193</v>
      </c>
      <c r="I630" s="3"/>
      <c r="J630" s="3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4">
        <v>46055.0</v>
      </c>
      <c r="B631" s="35" t="s">
        <v>63</v>
      </c>
      <c r="C631" s="15" t="s">
        <v>198</v>
      </c>
      <c r="D631" s="5">
        <v>2760000.0</v>
      </c>
      <c r="E631" s="5">
        <v>3220000.0</v>
      </c>
      <c r="F631" s="5">
        <v>2300000.0</v>
      </c>
      <c r="G631" s="5">
        <v>1720000.0</v>
      </c>
      <c r="H631" s="15" t="s">
        <v>193</v>
      </c>
      <c r="I631" s="3"/>
      <c r="J631" s="3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4">
        <v>46055.0</v>
      </c>
      <c r="B632" s="35" t="s">
        <v>173</v>
      </c>
      <c r="C632" s="15" t="s">
        <v>198</v>
      </c>
      <c r="D632" s="5">
        <v>1.0E7</v>
      </c>
      <c r="E632" s="5">
        <v>1.0E7</v>
      </c>
      <c r="F632" s="5">
        <v>1.0E7</v>
      </c>
      <c r="G632" s="5">
        <v>1.0E7</v>
      </c>
      <c r="H632" s="15" t="s">
        <v>193</v>
      </c>
      <c r="I632" s="3"/>
      <c r="J632" s="3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4">
        <v>46055.0</v>
      </c>
      <c r="B633" s="35" t="s">
        <v>93</v>
      </c>
      <c r="C633" s="15" t="s">
        <v>198</v>
      </c>
      <c r="D633" s="5">
        <v>1840000.0</v>
      </c>
      <c r="E633" s="5">
        <v>3680000.0</v>
      </c>
      <c r="F633" s="5">
        <v>1840000.0</v>
      </c>
      <c r="G633" s="5">
        <v>1840000.0</v>
      </c>
      <c r="H633" s="15" t="s">
        <v>193</v>
      </c>
      <c r="I633" s="3"/>
      <c r="J633" s="3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4">
        <v>46055.0</v>
      </c>
      <c r="B634" s="35" t="s">
        <v>184</v>
      </c>
      <c r="C634" s="15" t="s">
        <v>198</v>
      </c>
      <c r="D634" s="5">
        <v>1.2E7</v>
      </c>
      <c r="E634" s="5">
        <v>1.2E7</v>
      </c>
      <c r="F634" s="5">
        <v>1.2E7</v>
      </c>
      <c r="G634" s="5">
        <v>1.2E7</v>
      </c>
      <c r="H634" s="15" t="s">
        <v>193</v>
      </c>
      <c r="I634" s="3"/>
      <c r="J634" s="3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4">
        <v>46055.0</v>
      </c>
      <c r="B635" s="9" t="s">
        <v>19</v>
      </c>
      <c r="C635" s="15" t="s">
        <v>198</v>
      </c>
      <c r="D635" s="5">
        <v>2300000.0</v>
      </c>
      <c r="E635" s="5">
        <v>2300000.0</v>
      </c>
      <c r="F635" s="5">
        <v>3220000.0</v>
      </c>
      <c r="G635" s="5">
        <v>3220000.0</v>
      </c>
      <c r="H635" s="15" t="s">
        <v>193</v>
      </c>
      <c r="I635" s="3"/>
      <c r="J635" s="3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4">
        <v>46055.0</v>
      </c>
      <c r="B636" s="35" t="s">
        <v>29</v>
      </c>
      <c r="C636" s="15" t="s">
        <v>198</v>
      </c>
      <c r="D636" s="5"/>
      <c r="E636" s="5"/>
      <c r="F636" s="5">
        <v>1.0E7</v>
      </c>
      <c r="G636" s="5"/>
      <c r="H636" s="15" t="s">
        <v>193</v>
      </c>
      <c r="I636" s="3"/>
      <c r="J636" s="3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4">
        <v>46055.0</v>
      </c>
      <c r="B637" s="9" t="s">
        <v>18</v>
      </c>
      <c r="C637" s="15" t="s">
        <v>198</v>
      </c>
      <c r="D637" s="5">
        <v>1.0E7</v>
      </c>
      <c r="E637" s="5">
        <v>1.0E7</v>
      </c>
      <c r="F637" s="5">
        <v>1.0E7</v>
      </c>
      <c r="G637" s="5">
        <v>1.0E7</v>
      </c>
      <c r="H637" s="15" t="s">
        <v>193</v>
      </c>
      <c r="I637" s="3"/>
      <c r="J637" s="3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4">
        <v>46055.0</v>
      </c>
      <c r="B638" s="35" t="s">
        <v>77</v>
      </c>
      <c r="C638" s="15" t="s">
        <v>198</v>
      </c>
      <c r="D638" s="5">
        <v>1840000.0</v>
      </c>
      <c r="E638" s="5">
        <v>1840000.0</v>
      </c>
      <c r="F638" s="5">
        <v>3560000.0</v>
      </c>
      <c r="G638" s="5">
        <v>2760000.0</v>
      </c>
      <c r="H638" s="15" t="s">
        <v>193</v>
      </c>
      <c r="I638" s="3"/>
      <c r="J638" s="3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4">
        <v>46055.0</v>
      </c>
      <c r="B639" s="35" t="s">
        <v>56</v>
      </c>
      <c r="C639" s="15" t="s">
        <v>198</v>
      </c>
      <c r="D639" s="5">
        <v>2024000.0</v>
      </c>
      <c r="E639" s="5">
        <v>2024000.0</v>
      </c>
      <c r="F639" s="5">
        <v>2990000.0</v>
      </c>
      <c r="G639" s="5">
        <v>2962000.0</v>
      </c>
      <c r="H639" s="15" t="s">
        <v>193</v>
      </c>
      <c r="I639" s="3"/>
      <c r="J639" s="3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4">
        <v>46055.0</v>
      </c>
      <c r="B640" s="9" t="s">
        <v>175</v>
      </c>
      <c r="C640" s="15" t="s">
        <v>198</v>
      </c>
      <c r="D640" s="5">
        <v>1.0E7</v>
      </c>
      <c r="E640" s="5">
        <v>1.0E7</v>
      </c>
      <c r="F640" s="5">
        <v>1.0E7</v>
      </c>
      <c r="G640" s="5">
        <v>1.0E7</v>
      </c>
      <c r="H640" s="15" t="s">
        <v>193</v>
      </c>
      <c r="I640" s="3"/>
      <c r="J640" s="3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4">
        <v>46055.0</v>
      </c>
      <c r="B641" s="35" t="s">
        <v>151</v>
      </c>
      <c r="C641" s="15" t="s">
        <v>198</v>
      </c>
      <c r="D641" s="5">
        <v>2760000.0</v>
      </c>
      <c r="E641" s="5">
        <v>2760000.0</v>
      </c>
      <c r="F641" s="5">
        <v>2760000.0</v>
      </c>
      <c r="G641" s="5">
        <v>1720000.0</v>
      </c>
      <c r="H641" s="15" t="s">
        <v>193</v>
      </c>
      <c r="I641" s="3"/>
      <c r="J641" s="3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4">
        <v>46055.0</v>
      </c>
      <c r="B642" s="9" t="s">
        <v>147</v>
      </c>
      <c r="C642" s="15" t="s">
        <v>198</v>
      </c>
      <c r="D642" s="5"/>
      <c r="E642" s="5">
        <v>5.0E7</v>
      </c>
      <c r="F642" s="5"/>
      <c r="G642" s="5">
        <v>5.0E7</v>
      </c>
      <c r="H642" s="15" t="s">
        <v>193</v>
      </c>
      <c r="I642" s="3"/>
      <c r="J642" s="3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4">
        <v>46055.0</v>
      </c>
      <c r="B643" s="9" t="s">
        <v>79</v>
      </c>
      <c r="C643" s="15" t="s">
        <v>198</v>
      </c>
      <c r="D643" s="5">
        <v>1840000.0</v>
      </c>
      <c r="E643" s="5">
        <v>3560000.0</v>
      </c>
      <c r="F643" s="5">
        <v>1840000.0</v>
      </c>
      <c r="G643" s="5">
        <v>2760000.0</v>
      </c>
      <c r="H643" s="15" t="s">
        <v>193</v>
      </c>
      <c r="I643" s="3"/>
      <c r="J643" s="3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4">
        <v>46055.0</v>
      </c>
      <c r="B644" s="9" t="s">
        <v>130</v>
      </c>
      <c r="C644" s="15" t="s">
        <v>198</v>
      </c>
      <c r="D644" s="5">
        <v>3864000.0</v>
      </c>
      <c r="E644" s="5">
        <v>3680000.0</v>
      </c>
      <c r="F644" s="5">
        <v>5520000.0</v>
      </c>
      <c r="G644" s="5">
        <v>5520000.0</v>
      </c>
      <c r="H644" s="15" t="s">
        <v>193</v>
      </c>
      <c r="I644" s="3"/>
      <c r="J644" s="3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4">
        <v>46055.0</v>
      </c>
      <c r="B645" s="9" t="s">
        <v>86</v>
      </c>
      <c r="C645" s="15" t="s">
        <v>198</v>
      </c>
      <c r="D645" s="5">
        <v>1.0E7</v>
      </c>
      <c r="E645" s="5">
        <v>1.0E7</v>
      </c>
      <c r="F645" s="5">
        <v>1.0E7</v>
      </c>
      <c r="G645" s="5">
        <v>4600000.0</v>
      </c>
      <c r="H645" s="15" t="s">
        <v>193</v>
      </c>
      <c r="I645" s="3"/>
      <c r="J645" s="3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4">
        <v>46056.0</v>
      </c>
      <c r="B646" s="35" t="s">
        <v>37</v>
      </c>
      <c r="C646" s="15" t="s">
        <v>198</v>
      </c>
      <c r="D646" s="5">
        <v>1840000.0</v>
      </c>
      <c r="E646" s="5">
        <v>1840000.0</v>
      </c>
      <c r="F646" s="5">
        <v>2760000.0</v>
      </c>
      <c r="G646" s="5">
        <v>2760000.0</v>
      </c>
      <c r="H646" s="15" t="s">
        <v>193</v>
      </c>
      <c r="I646" s="3"/>
      <c r="J646" s="3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4">
        <v>46056.0</v>
      </c>
      <c r="B647" s="9" t="s">
        <v>182</v>
      </c>
      <c r="C647" s="15" t="s">
        <v>198</v>
      </c>
      <c r="D647" s="5"/>
      <c r="E647" s="5">
        <v>1.0E7</v>
      </c>
      <c r="F647" s="5">
        <v>1.0E7</v>
      </c>
      <c r="G647" s="5">
        <v>1.0E7</v>
      </c>
      <c r="H647" s="15" t="s">
        <v>193</v>
      </c>
      <c r="I647" s="3"/>
      <c r="J647" s="3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4">
        <v>46056.0</v>
      </c>
      <c r="B648" s="9" t="s">
        <v>178</v>
      </c>
      <c r="C648" s="15" t="s">
        <v>198</v>
      </c>
      <c r="D648" s="5">
        <v>1840000.0</v>
      </c>
      <c r="E648" s="5">
        <v>1840000.0</v>
      </c>
      <c r="F648" s="5">
        <v>2760000.0</v>
      </c>
      <c r="G648" s="5">
        <v>2760000.0</v>
      </c>
      <c r="H648" s="15" t="s">
        <v>193</v>
      </c>
      <c r="I648" s="3"/>
      <c r="J648" s="3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4">
        <v>46056.0</v>
      </c>
      <c r="B649" s="9" t="s">
        <v>120</v>
      </c>
      <c r="C649" s="15" t="s">
        <v>198</v>
      </c>
      <c r="D649" s="5">
        <v>2.0E7</v>
      </c>
      <c r="E649" s="5">
        <v>1.0E7</v>
      </c>
      <c r="F649" s="5">
        <v>1.0E7</v>
      </c>
      <c r="G649" s="5">
        <v>4416000.0</v>
      </c>
      <c r="H649" s="15" t="s">
        <v>193</v>
      </c>
      <c r="I649" s="3"/>
      <c r="J649" s="3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4">
        <v>46056.0</v>
      </c>
      <c r="B650" s="35" t="s">
        <v>169</v>
      </c>
      <c r="C650" s="15" t="s">
        <v>198</v>
      </c>
      <c r="D650" s="5">
        <v>3.0E7</v>
      </c>
      <c r="E650" s="5">
        <v>3.0E7</v>
      </c>
      <c r="F650" s="5"/>
      <c r="G650" s="5"/>
      <c r="H650" s="15" t="s">
        <v>193</v>
      </c>
      <c r="I650" s="3"/>
      <c r="J650" s="3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4">
        <v>46056.0</v>
      </c>
      <c r="B651" s="9" t="s">
        <v>39</v>
      </c>
      <c r="C651" s="15" t="s">
        <v>198</v>
      </c>
      <c r="D651" s="5">
        <v>1.6E7</v>
      </c>
      <c r="E651" s="5">
        <v>1.6E7</v>
      </c>
      <c r="F651" s="5">
        <v>2.0E7</v>
      </c>
      <c r="G651" s="5">
        <v>1.2E7</v>
      </c>
      <c r="H651" s="15" t="s">
        <v>193</v>
      </c>
      <c r="I651" s="3"/>
      <c r="J651" s="3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4">
        <v>46056.0</v>
      </c>
      <c r="B652" s="9" t="s">
        <v>164</v>
      </c>
      <c r="C652" s="15" t="s">
        <v>198</v>
      </c>
      <c r="D652" s="5">
        <v>2871579.0</v>
      </c>
      <c r="E652" s="5">
        <v>1.1719049E7</v>
      </c>
      <c r="F652" s="5">
        <v>2436239.0</v>
      </c>
      <c r="G652" s="5">
        <v>2973132.0</v>
      </c>
      <c r="H652" s="15" t="s">
        <v>193</v>
      </c>
      <c r="I652" s="3"/>
      <c r="J652" s="3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4">
        <v>46056.0</v>
      </c>
      <c r="B653" s="9" t="s">
        <v>81</v>
      </c>
      <c r="C653" s="15" t="s">
        <v>198</v>
      </c>
      <c r="D653" s="5">
        <v>1.0E7</v>
      </c>
      <c r="E653" s="5">
        <v>1.0E7</v>
      </c>
      <c r="F653" s="5">
        <v>1.0E7</v>
      </c>
      <c r="G653" s="5">
        <v>1.0E7</v>
      </c>
      <c r="H653" s="15" t="s">
        <v>193</v>
      </c>
      <c r="I653" s="3"/>
      <c r="J653" s="3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4">
        <v>46056.0</v>
      </c>
      <c r="B654" s="9" t="s">
        <v>137</v>
      </c>
      <c r="C654" s="15" t="s">
        <v>198</v>
      </c>
      <c r="D654" s="5">
        <v>1.0E7</v>
      </c>
      <c r="E654" s="5">
        <v>1.0E7</v>
      </c>
      <c r="F654" s="5">
        <v>1.0E7</v>
      </c>
      <c r="G654" s="5">
        <v>1.0E7</v>
      </c>
      <c r="H654" s="15" t="s">
        <v>193</v>
      </c>
      <c r="I654" s="3"/>
      <c r="J654" s="3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4">
        <v>46056.0</v>
      </c>
      <c r="B655" s="9" t="s">
        <v>43</v>
      </c>
      <c r="C655" s="15" t="s">
        <v>198</v>
      </c>
      <c r="D655" s="5">
        <v>2.0E7</v>
      </c>
      <c r="E655" s="5">
        <v>1840000.0</v>
      </c>
      <c r="F655" s="5">
        <v>920000.0</v>
      </c>
      <c r="G655" s="5">
        <v>920000.0</v>
      </c>
      <c r="H655" s="15" t="s">
        <v>193</v>
      </c>
      <c r="I655" s="3"/>
      <c r="J655" s="3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4">
        <v>46056.0</v>
      </c>
      <c r="B656" s="9" t="s">
        <v>71</v>
      </c>
      <c r="C656" s="15" t="s">
        <v>198</v>
      </c>
      <c r="D656" s="5">
        <v>2024000.0</v>
      </c>
      <c r="E656" s="5">
        <v>2024000.0</v>
      </c>
      <c r="F656" s="5">
        <v>3036000.0</v>
      </c>
      <c r="G656" s="5">
        <v>3036000.0</v>
      </c>
      <c r="H656" s="15" t="s">
        <v>193</v>
      </c>
      <c r="I656" s="3"/>
      <c r="J656" s="3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4">
        <v>46056.0</v>
      </c>
      <c r="B657" s="9" t="s">
        <v>172</v>
      </c>
      <c r="C657" s="15" t="s">
        <v>198</v>
      </c>
      <c r="D657" s="5">
        <v>2070000.0</v>
      </c>
      <c r="E657" s="5">
        <v>2070000.0</v>
      </c>
      <c r="F657" s="5">
        <v>2990000.0</v>
      </c>
      <c r="G657" s="5">
        <v>2870000.0</v>
      </c>
      <c r="H657" s="15" t="s">
        <v>193</v>
      </c>
      <c r="I657" s="3"/>
      <c r="J657" s="3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4">
        <v>46056.0</v>
      </c>
      <c r="B658" s="9" t="s">
        <v>171</v>
      </c>
      <c r="C658" s="15" t="s">
        <v>198</v>
      </c>
      <c r="D658" s="5">
        <v>1840000.0</v>
      </c>
      <c r="E658" s="5">
        <v>2760000.0</v>
      </c>
      <c r="F658" s="5">
        <v>1.0E7</v>
      </c>
      <c r="G658" s="5">
        <v>1840000.0</v>
      </c>
      <c r="H658" s="15" t="s">
        <v>193</v>
      </c>
      <c r="I658" s="3"/>
      <c r="J658" s="3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4">
        <v>46057.0</v>
      </c>
      <c r="B659" s="9" t="s">
        <v>143</v>
      </c>
      <c r="C659" s="15" t="s">
        <v>198</v>
      </c>
      <c r="D659" s="5"/>
      <c r="E659" s="5">
        <v>2.0E7</v>
      </c>
      <c r="F659" s="5"/>
      <c r="G659" s="5"/>
      <c r="H659" s="15" t="s">
        <v>193</v>
      </c>
      <c r="I659" s="3"/>
      <c r="J659" s="3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4">
        <v>46057.0</v>
      </c>
      <c r="B660" s="9" t="s">
        <v>15</v>
      </c>
      <c r="C660" s="15" t="s">
        <v>198</v>
      </c>
      <c r="D660" s="5">
        <v>2640000.0</v>
      </c>
      <c r="E660" s="5">
        <v>1840000.0</v>
      </c>
      <c r="F660" s="5">
        <v>2760000.0</v>
      </c>
      <c r="G660" s="5">
        <v>2760000.0</v>
      </c>
      <c r="H660" s="15" t="s">
        <v>193</v>
      </c>
      <c r="I660" s="3"/>
      <c r="J660" s="3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4">
        <v>46057.0</v>
      </c>
      <c r="B661" s="9" t="s">
        <v>16</v>
      </c>
      <c r="C661" s="15" t="s">
        <v>198</v>
      </c>
      <c r="D661" s="5">
        <v>2640000.0</v>
      </c>
      <c r="E661" s="5">
        <v>1840000.0</v>
      </c>
      <c r="F661" s="5">
        <v>2760000.0</v>
      </c>
      <c r="G661" s="5">
        <v>2760000.0</v>
      </c>
      <c r="H661" s="15" t="s">
        <v>193</v>
      </c>
      <c r="I661" s="3"/>
      <c r="J661" s="3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4">
        <v>46057.0</v>
      </c>
      <c r="B662" s="9" t="s">
        <v>101</v>
      </c>
      <c r="C662" s="15" t="s">
        <v>198</v>
      </c>
      <c r="D662" s="5">
        <v>3036000.0</v>
      </c>
      <c r="E662" s="5">
        <v>3036000.0</v>
      </c>
      <c r="F662" s="5">
        <v>3036000.0</v>
      </c>
      <c r="G662" s="5">
        <v>1012000.0</v>
      </c>
      <c r="H662" s="15" t="s">
        <v>193</v>
      </c>
      <c r="I662" s="3"/>
      <c r="J662" s="3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4">
        <v>46058.0</v>
      </c>
      <c r="B663" s="24" t="s">
        <v>183</v>
      </c>
      <c r="C663" s="15" t="s">
        <v>198</v>
      </c>
      <c r="D663" s="5">
        <v>1840000.0</v>
      </c>
      <c r="E663" s="5">
        <v>1840000.0</v>
      </c>
      <c r="F663" s="5">
        <v>2760000.0</v>
      </c>
      <c r="G663" s="5">
        <v>2760000.0</v>
      </c>
      <c r="H663" s="15" t="s">
        <v>193</v>
      </c>
      <c r="I663" s="3"/>
      <c r="J663" s="3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4">
        <v>46058.0</v>
      </c>
      <c r="B664" s="9" t="s">
        <v>60</v>
      </c>
      <c r="C664" s="15" t="s">
        <v>198</v>
      </c>
      <c r="D664" s="5">
        <v>1.0E7</v>
      </c>
      <c r="E664" s="5">
        <v>1.0E7</v>
      </c>
      <c r="F664" s="5">
        <v>1.0E7</v>
      </c>
      <c r="G664" s="5">
        <v>1.0E7</v>
      </c>
      <c r="H664" s="15" t="s">
        <v>193</v>
      </c>
      <c r="I664" s="3"/>
      <c r="J664" s="3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4">
        <v>46058.0</v>
      </c>
      <c r="B665" s="9" t="s">
        <v>25</v>
      </c>
      <c r="C665" s="15" t="s">
        <v>198</v>
      </c>
      <c r="D665" s="5">
        <v>1.0E7</v>
      </c>
      <c r="E665" s="5">
        <v>1.0E7</v>
      </c>
      <c r="F665" s="5">
        <v>1.0E7</v>
      </c>
      <c r="G665" s="5">
        <v>1.0E7</v>
      </c>
      <c r="H665" s="15" t="s">
        <v>193</v>
      </c>
      <c r="I665" s="3"/>
      <c r="J665" s="3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4">
        <v>46059.0</v>
      </c>
      <c r="B666" s="9" t="s">
        <v>158</v>
      </c>
      <c r="C666" s="15" t="s">
        <v>198</v>
      </c>
      <c r="D666" s="5">
        <v>2696981.0</v>
      </c>
      <c r="E666" s="5">
        <v>2581423.0</v>
      </c>
      <c r="F666" s="5">
        <v>2306263.0</v>
      </c>
      <c r="G666" s="5">
        <v>2415332.0</v>
      </c>
      <c r="H666" s="15" t="s">
        <v>193</v>
      </c>
      <c r="I666" s="3"/>
      <c r="J666" s="3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4">
        <v>46059.0</v>
      </c>
      <c r="B667" s="9" t="s">
        <v>112</v>
      </c>
      <c r="C667" s="15" t="s">
        <v>198</v>
      </c>
      <c r="D667" s="5"/>
      <c r="E667" s="5">
        <v>1.0E7</v>
      </c>
      <c r="F667" s="5"/>
      <c r="G667" s="5"/>
      <c r="H667" s="15" t="s">
        <v>193</v>
      </c>
      <c r="I667" s="3"/>
      <c r="J667" s="3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4">
        <v>46059.0</v>
      </c>
      <c r="B668" s="36" t="s">
        <v>81</v>
      </c>
      <c r="C668" s="15" t="s">
        <v>198</v>
      </c>
      <c r="D668" s="5">
        <v>1.0E7</v>
      </c>
      <c r="E668" s="5">
        <v>1.0E7</v>
      </c>
      <c r="F668" s="5">
        <v>1.0E7</v>
      </c>
      <c r="G668" s="5">
        <v>1.0E7</v>
      </c>
      <c r="H668" s="15" t="s">
        <v>193</v>
      </c>
      <c r="I668" s="3"/>
      <c r="J668" s="3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4">
        <v>46059.0</v>
      </c>
      <c r="B669" s="9" t="s">
        <v>95</v>
      </c>
      <c r="C669" s="15" t="s">
        <v>198</v>
      </c>
      <c r="D669" s="5">
        <v>1.0E7</v>
      </c>
      <c r="E669" s="5">
        <v>1.0E7</v>
      </c>
      <c r="F669" s="5">
        <v>1.0E7</v>
      </c>
      <c r="G669" s="5">
        <v>1.0E7</v>
      </c>
      <c r="H669" s="15" t="s">
        <v>193</v>
      </c>
      <c r="I669" s="3"/>
      <c r="J669" s="3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4">
        <v>46060.0</v>
      </c>
      <c r="B670" s="9" t="s">
        <v>92</v>
      </c>
      <c r="C670" s="15" t="s">
        <v>198</v>
      </c>
      <c r="D670" s="5"/>
      <c r="E670" s="5">
        <v>3.0E7</v>
      </c>
      <c r="F670" s="5"/>
      <c r="G670" s="5"/>
      <c r="H670" s="15" t="s">
        <v>193</v>
      </c>
      <c r="I670" s="3"/>
      <c r="J670" s="3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4">
        <v>46061.0</v>
      </c>
      <c r="B671" s="9" t="s">
        <v>185</v>
      </c>
      <c r="C671" s="15" t="s">
        <v>198</v>
      </c>
      <c r="D671" s="5"/>
      <c r="E671" s="5"/>
      <c r="F671" s="5"/>
      <c r="G671" s="5">
        <v>1.0E7</v>
      </c>
      <c r="H671" s="15" t="s">
        <v>193</v>
      </c>
      <c r="I671" s="3"/>
      <c r="J671" s="3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4">
        <v>46061.0</v>
      </c>
      <c r="B672" s="9" t="s">
        <v>100</v>
      </c>
      <c r="C672" s="15" t="s">
        <v>198</v>
      </c>
      <c r="D672" s="5">
        <v>4600000.0</v>
      </c>
      <c r="E672" s="5">
        <v>4600000.0</v>
      </c>
      <c r="F672" s="5">
        <v>4600000.0</v>
      </c>
      <c r="G672" s="5">
        <v>4600000.0</v>
      </c>
      <c r="H672" s="15" t="s">
        <v>193</v>
      </c>
      <c r="I672" s="3"/>
      <c r="J672" s="3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4">
        <v>46061.0</v>
      </c>
      <c r="B673" s="9" t="s">
        <v>138</v>
      </c>
      <c r="C673" s="15" t="s">
        <v>198</v>
      </c>
      <c r="D673" s="5">
        <v>1.0E7</v>
      </c>
      <c r="E673" s="5">
        <v>1.0E7</v>
      </c>
      <c r="F673" s="5">
        <v>1.0E7</v>
      </c>
      <c r="G673" s="5">
        <v>1.0E7</v>
      </c>
      <c r="H673" s="15" t="s">
        <v>193</v>
      </c>
      <c r="I673" s="3"/>
      <c r="J673" s="3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4">
        <v>46061.0</v>
      </c>
      <c r="B674" s="9" t="s">
        <v>75</v>
      </c>
      <c r="C674" s="15" t="s">
        <v>198</v>
      </c>
      <c r="D674" s="5">
        <v>3036000.0</v>
      </c>
      <c r="E674" s="5">
        <v>3036000.0</v>
      </c>
      <c r="F674" s="5">
        <v>2024000.0</v>
      </c>
      <c r="G674" s="5">
        <v>1904000.0</v>
      </c>
      <c r="H674" s="15" t="s">
        <v>193</v>
      </c>
      <c r="I674" s="3"/>
      <c r="J674" s="3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4">
        <v>46061.0</v>
      </c>
      <c r="B675" s="9" t="s">
        <v>24</v>
      </c>
      <c r="C675" s="15" t="s">
        <v>195</v>
      </c>
      <c r="D675" s="5">
        <v>1.46E7</v>
      </c>
      <c r="E675" s="5">
        <v>1.46E7</v>
      </c>
      <c r="F675" s="5">
        <v>1.96048E7</v>
      </c>
      <c r="G675" s="5">
        <v>1.644E7</v>
      </c>
      <c r="H675" s="15" t="s">
        <v>193</v>
      </c>
      <c r="I675" s="3"/>
      <c r="J675" s="3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4">
        <v>46061.0</v>
      </c>
      <c r="B676" s="9" t="s">
        <v>147</v>
      </c>
      <c r="C676" s="15" t="s">
        <v>195</v>
      </c>
      <c r="D676" s="5">
        <v>2.0E7</v>
      </c>
      <c r="E676" s="5">
        <v>6.0E7</v>
      </c>
      <c r="F676" s="5">
        <v>2.0E7</v>
      </c>
      <c r="G676" s="5">
        <v>3.0E7</v>
      </c>
      <c r="H676" s="15" t="s">
        <v>193</v>
      </c>
      <c r="I676" s="3"/>
      <c r="J676" s="3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4">
        <v>46061.0</v>
      </c>
      <c r="B677" s="9" t="s">
        <v>64</v>
      </c>
      <c r="C677" s="15" t="s">
        <v>198</v>
      </c>
      <c r="D677" s="5">
        <v>2184972.0</v>
      </c>
      <c r="E677" s="5">
        <v>2116000.0</v>
      </c>
      <c r="F677" s="5">
        <v>5699027.0</v>
      </c>
      <c r="G677" s="5">
        <v>2300000.0</v>
      </c>
      <c r="H677" s="15" t="s">
        <v>193</v>
      </c>
      <c r="I677" s="3"/>
      <c r="J677" s="3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4">
        <v>46062.0</v>
      </c>
      <c r="B678" s="37" t="s">
        <v>137</v>
      </c>
      <c r="C678" s="15" t="s">
        <v>198</v>
      </c>
      <c r="D678" s="5">
        <v>1.0E7</v>
      </c>
      <c r="E678" s="5">
        <v>1.0E7</v>
      </c>
      <c r="F678" s="5">
        <v>1.0E7</v>
      </c>
      <c r="G678" s="5">
        <v>1.0E7</v>
      </c>
      <c r="H678" s="15" t="s">
        <v>193</v>
      </c>
      <c r="I678" s="3"/>
      <c r="J678" s="3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4">
        <v>46062.0</v>
      </c>
      <c r="B679" s="37" t="s">
        <v>79</v>
      </c>
      <c r="C679" s="15" t="s">
        <v>198</v>
      </c>
      <c r="D679" s="5">
        <v>2760000.0</v>
      </c>
      <c r="E679" s="5">
        <v>1.172E7</v>
      </c>
      <c r="F679" s="5">
        <v>2760000.0</v>
      </c>
      <c r="G679" s="5">
        <v>2760000.0</v>
      </c>
      <c r="H679" s="15" t="s">
        <v>193</v>
      </c>
      <c r="I679" s="3"/>
      <c r="J679" s="3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4">
        <v>46062.0</v>
      </c>
      <c r="B680" s="37" t="s">
        <v>63</v>
      </c>
      <c r="C680" s="15" t="s">
        <v>198</v>
      </c>
      <c r="D680" s="5">
        <v>2760000.0</v>
      </c>
      <c r="E680" s="5">
        <v>3680000.0</v>
      </c>
      <c r="F680" s="5">
        <v>2640000.0</v>
      </c>
      <c r="G680" s="5">
        <v>920000.0</v>
      </c>
      <c r="H680" s="15" t="s">
        <v>193</v>
      </c>
      <c r="I680" s="3"/>
      <c r="J680" s="3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4">
        <v>46062.0</v>
      </c>
      <c r="B681" s="38" t="s">
        <v>93</v>
      </c>
      <c r="C681" s="15" t="s">
        <v>198</v>
      </c>
      <c r="D681" s="5">
        <v>1840000.0</v>
      </c>
      <c r="E681" s="5">
        <v>3680000.0</v>
      </c>
      <c r="F681" s="5">
        <v>1840000.0</v>
      </c>
      <c r="G681" s="5">
        <v>1840000.0</v>
      </c>
      <c r="H681" s="15" t="s">
        <v>193</v>
      </c>
      <c r="I681" s="3"/>
      <c r="J681" s="3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4">
        <v>46062.0</v>
      </c>
      <c r="B682" s="37" t="s">
        <v>43</v>
      </c>
      <c r="C682" s="15" t="s">
        <v>198</v>
      </c>
      <c r="D682" s="5">
        <v>3.0E7</v>
      </c>
      <c r="E682" s="5">
        <v>1840000.0</v>
      </c>
      <c r="F682" s="5">
        <v>1840000.0</v>
      </c>
      <c r="G682" s="5">
        <v>1840000.0</v>
      </c>
      <c r="H682" s="15" t="s">
        <v>193</v>
      </c>
      <c r="I682" s="3"/>
      <c r="J682" s="3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4">
        <v>46062.0</v>
      </c>
      <c r="B683" s="37" t="s">
        <v>173</v>
      </c>
      <c r="C683" s="15" t="s">
        <v>198</v>
      </c>
      <c r="D683" s="5">
        <v>1.0E7</v>
      </c>
      <c r="E683" s="5">
        <v>1.0E7</v>
      </c>
      <c r="F683" s="5">
        <v>1.0E7</v>
      </c>
      <c r="G683" s="5">
        <v>1.0E7</v>
      </c>
      <c r="H683" s="15" t="s">
        <v>193</v>
      </c>
      <c r="I683" s="3"/>
      <c r="J683" s="3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4">
        <v>46062.0</v>
      </c>
      <c r="B684" s="37" t="s">
        <v>17</v>
      </c>
      <c r="C684" s="15" t="s">
        <v>198</v>
      </c>
      <c r="D684" s="5">
        <v>5152000.0</v>
      </c>
      <c r="E684" s="5">
        <v>5152000.0</v>
      </c>
      <c r="F684" s="5">
        <v>5464000.0</v>
      </c>
      <c r="G684" s="5">
        <v>4232000.0</v>
      </c>
      <c r="H684" s="15" t="s">
        <v>193</v>
      </c>
      <c r="I684" s="3"/>
      <c r="J684" s="3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4">
        <v>46062.0</v>
      </c>
      <c r="B685" s="37" t="s">
        <v>29</v>
      </c>
      <c r="C685" s="15" t="s">
        <v>198</v>
      </c>
      <c r="D685" s="5"/>
      <c r="E685" s="5"/>
      <c r="F685" s="5">
        <v>1.0E7</v>
      </c>
      <c r="G685" s="5"/>
      <c r="H685" s="15" t="s">
        <v>193</v>
      </c>
      <c r="I685" s="3"/>
      <c r="J685" s="3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4">
        <v>46062.0</v>
      </c>
      <c r="B686" s="37" t="s">
        <v>66</v>
      </c>
      <c r="C686" s="15" t="s">
        <v>198</v>
      </c>
      <c r="D686" s="5">
        <v>2.0E7</v>
      </c>
      <c r="E686" s="5"/>
      <c r="F686" s="5"/>
      <c r="G686" s="5"/>
      <c r="H686" s="15" t="s">
        <v>193</v>
      </c>
      <c r="I686" s="3"/>
      <c r="J686" s="3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4">
        <v>46062.0</v>
      </c>
      <c r="B687" s="37" t="s">
        <v>184</v>
      </c>
      <c r="C687" s="15" t="s">
        <v>198</v>
      </c>
      <c r="D687" s="5">
        <v>2.0E7</v>
      </c>
      <c r="E687" s="5"/>
      <c r="F687" s="5"/>
      <c r="G687" s="5"/>
      <c r="H687" s="15" t="s">
        <v>193</v>
      </c>
      <c r="I687" s="3"/>
      <c r="J687" s="3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4">
        <v>46062.0</v>
      </c>
      <c r="B688" s="37" t="s">
        <v>33</v>
      </c>
      <c r="C688" s="15" t="s">
        <v>198</v>
      </c>
      <c r="D688" s="5">
        <v>1.0E7</v>
      </c>
      <c r="E688" s="5">
        <v>1.0E7</v>
      </c>
      <c r="F688" s="5">
        <v>1.0E7</v>
      </c>
      <c r="G688" s="5">
        <v>1.0E7</v>
      </c>
      <c r="H688" s="15" t="s">
        <v>193</v>
      </c>
      <c r="I688" s="3"/>
      <c r="J688" s="3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4">
        <v>46062.0</v>
      </c>
      <c r="B689" s="37" t="s">
        <v>18</v>
      </c>
      <c r="C689" s="15" t="s">
        <v>198</v>
      </c>
      <c r="D689" s="5">
        <v>1.0E7</v>
      </c>
      <c r="E689" s="5">
        <v>1.0E7</v>
      </c>
      <c r="F689" s="5">
        <v>1.0E7</v>
      </c>
      <c r="G689" s="5">
        <v>1.0E7</v>
      </c>
      <c r="H689" s="15" t="s">
        <v>193</v>
      </c>
      <c r="I689" s="3"/>
      <c r="J689" s="3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4">
        <v>46062.0</v>
      </c>
      <c r="B690" s="37" t="s">
        <v>175</v>
      </c>
      <c r="C690" s="15" t="s">
        <v>198</v>
      </c>
      <c r="D690" s="5">
        <v>1.0E7</v>
      </c>
      <c r="E690" s="5">
        <v>1.0E7</v>
      </c>
      <c r="F690" s="5">
        <v>1.0E7</v>
      </c>
      <c r="G690" s="5">
        <v>1.0E7</v>
      </c>
      <c r="H690" s="15" t="s">
        <v>193</v>
      </c>
      <c r="I690" s="3"/>
      <c r="J690" s="3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4">
        <v>46062.0</v>
      </c>
      <c r="B691" s="37" t="s">
        <v>20</v>
      </c>
      <c r="C691" s="15" t="s">
        <v>198</v>
      </c>
      <c r="D691" s="5">
        <v>6000056.0</v>
      </c>
      <c r="E691" s="5">
        <v>6000056.0</v>
      </c>
      <c r="F691" s="5">
        <v>6000056.0</v>
      </c>
      <c r="G691" s="5">
        <v>6000056.0</v>
      </c>
      <c r="H691" s="15" t="s">
        <v>193</v>
      </c>
      <c r="I691" s="3"/>
      <c r="J691" s="3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4">
        <v>46062.0</v>
      </c>
      <c r="B692" s="37" t="s">
        <v>172</v>
      </c>
      <c r="C692" s="15" t="s">
        <v>198</v>
      </c>
      <c r="D692" s="5">
        <v>2039640.0</v>
      </c>
      <c r="E692" s="5">
        <v>2041080.0</v>
      </c>
      <c r="F692" s="5">
        <v>2959640.0</v>
      </c>
      <c r="G692" s="5">
        <v>2959640.0</v>
      </c>
      <c r="H692" s="15" t="s">
        <v>193</v>
      </c>
      <c r="I692" s="3"/>
      <c r="J692" s="3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4">
        <v>46062.0</v>
      </c>
      <c r="B693" s="37" t="s">
        <v>16</v>
      </c>
      <c r="C693" s="15" t="s">
        <v>198</v>
      </c>
      <c r="D693" s="5">
        <v>3.0E7</v>
      </c>
      <c r="E693" s="5"/>
      <c r="F693" s="5"/>
      <c r="G693" s="5"/>
      <c r="H693" s="15" t="s">
        <v>193</v>
      </c>
      <c r="I693" s="3"/>
      <c r="J693" s="3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4">
        <v>46062.0</v>
      </c>
      <c r="B694" s="37" t="s">
        <v>130</v>
      </c>
      <c r="C694" s="15" t="s">
        <v>198</v>
      </c>
      <c r="D694" s="5">
        <v>1840000.0</v>
      </c>
      <c r="E694" s="5">
        <v>1840000.0</v>
      </c>
      <c r="F694" s="5">
        <v>2760000.0</v>
      </c>
      <c r="G694" s="5">
        <v>2760000.0</v>
      </c>
      <c r="H694" s="15" t="s">
        <v>193</v>
      </c>
      <c r="I694" s="3"/>
      <c r="J694" s="3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4">
        <v>46062.0</v>
      </c>
      <c r="B695" s="37" t="s">
        <v>15</v>
      </c>
      <c r="C695" s="15" t="s">
        <v>198</v>
      </c>
      <c r="D695" s="5">
        <v>1840000.0</v>
      </c>
      <c r="E695" s="5">
        <v>2640000.0</v>
      </c>
      <c r="F695" s="5">
        <v>2760000.0</v>
      </c>
      <c r="G695" s="5">
        <v>2760000.0</v>
      </c>
      <c r="H695" s="15" t="s">
        <v>193</v>
      </c>
      <c r="I695" s="3"/>
      <c r="J695" s="3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4">
        <v>46062.0</v>
      </c>
      <c r="B696" s="37" t="s">
        <v>165</v>
      </c>
      <c r="C696" s="15" t="s">
        <v>198</v>
      </c>
      <c r="D696" s="5">
        <v>1840000.0</v>
      </c>
      <c r="E696" s="5">
        <v>1840000.0</v>
      </c>
      <c r="F696" s="5">
        <v>5520000.0</v>
      </c>
      <c r="G696" s="5"/>
      <c r="H696" s="15" t="s">
        <v>193</v>
      </c>
      <c r="I696" s="3"/>
      <c r="J696" s="3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4">
        <v>46062.0</v>
      </c>
      <c r="B697" s="37" t="s">
        <v>71</v>
      </c>
      <c r="C697" s="15" t="s">
        <v>198</v>
      </c>
      <c r="D697" s="5">
        <v>2024000.0</v>
      </c>
      <c r="E697" s="5">
        <v>2024000.0</v>
      </c>
      <c r="F697" s="5">
        <v>3036000.0</v>
      </c>
      <c r="G697" s="5">
        <v>3036000.0</v>
      </c>
      <c r="H697" s="15" t="s">
        <v>193</v>
      </c>
      <c r="I697" s="3"/>
      <c r="J697" s="3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4">
        <v>46062.0</v>
      </c>
      <c r="B698" s="37" t="s">
        <v>77</v>
      </c>
      <c r="C698" s="15" t="s">
        <v>198</v>
      </c>
      <c r="D698" s="5"/>
      <c r="E698" s="5"/>
      <c r="F698" s="5">
        <v>1.0E7</v>
      </c>
      <c r="G698" s="5"/>
      <c r="H698" s="15" t="s">
        <v>193</v>
      </c>
      <c r="I698" s="3"/>
      <c r="J698" s="3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4">
        <v>46062.0</v>
      </c>
      <c r="B699" s="37" t="s">
        <v>151</v>
      </c>
      <c r="C699" s="15" t="s">
        <v>198</v>
      </c>
      <c r="D699" s="5">
        <v>2760000.0</v>
      </c>
      <c r="E699" s="5">
        <v>2760000.0</v>
      </c>
      <c r="F699" s="5">
        <v>2760000.0</v>
      </c>
      <c r="G699" s="5">
        <v>1720000.0</v>
      </c>
      <c r="H699" s="15" t="s">
        <v>193</v>
      </c>
      <c r="I699" s="3"/>
      <c r="J699" s="3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4">
        <v>46062.0</v>
      </c>
      <c r="B700" s="37" t="s">
        <v>171</v>
      </c>
      <c r="C700" s="15" t="s">
        <v>198</v>
      </c>
      <c r="D700" s="5">
        <v>1.0E7</v>
      </c>
      <c r="E700" s="5">
        <v>1.0E7</v>
      </c>
      <c r="F700" s="5">
        <v>1.0E7</v>
      </c>
      <c r="G700" s="5">
        <v>1.0E7</v>
      </c>
      <c r="H700" s="15" t="s">
        <v>193</v>
      </c>
      <c r="I700" s="3"/>
      <c r="J700" s="3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4">
        <v>46062.0</v>
      </c>
      <c r="B701" s="39" t="s">
        <v>56</v>
      </c>
      <c r="C701" s="15" t="s">
        <v>198</v>
      </c>
      <c r="D701" s="5">
        <v>2024000.0</v>
      </c>
      <c r="E701" s="5">
        <v>2024000.0</v>
      </c>
      <c r="F701" s="5">
        <v>2990000.0</v>
      </c>
      <c r="G701" s="5">
        <v>2962000.0</v>
      </c>
      <c r="H701" s="15" t="s">
        <v>193</v>
      </c>
      <c r="I701" s="3"/>
      <c r="J701" s="3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4">
        <v>46062.0</v>
      </c>
      <c r="B702" s="36" t="s">
        <v>52</v>
      </c>
      <c r="C702" s="15" t="s">
        <v>198</v>
      </c>
      <c r="D702" s="5">
        <v>3560000.0</v>
      </c>
      <c r="E702" s="5">
        <v>1840000.0</v>
      </c>
      <c r="F702" s="5">
        <v>2760000.0</v>
      </c>
      <c r="G702" s="5">
        <v>1840000.0</v>
      </c>
      <c r="H702" s="15" t="s">
        <v>193</v>
      </c>
      <c r="I702" s="3"/>
      <c r="J702" s="3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4">
        <v>46062.0</v>
      </c>
      <c r="B703" s="36" t="s">
        <v>143</v>
      </c>
      <c r="C703" s="15" t="s">
        <v>198</v>
      </c>
      <c r="D703" s="5"/>
      <c r="E703" s="5">
        <v>1.0E7</v>
      </c>
      <c r="F703" s="5"/>
      <c r="G703" s="5"/>
      <c r="H703" s="15" t="s">
        <v>193</v>
      </c>
      <c r="I703" s="3"/>
      <c r="J703" s="3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4">
        <v>46062.0</v>
      </c>
      <c r="B704" s="36" t="s">
        <v>75</v>
      </c>
      <c r="C704" s="15" t="s">
        <v>198</v>
      </c>
      <c r="D704" s="5">
        <v>2024000.0</v>
      </c>
      <c r="E704" s="5">
        <v>1.276E7</v>
      </c>
      <c r="F704" s="5">
        <v>2024000.0</v>
      </c>
      <c r="G704" s="5">
        <v>1012000.0</v>
      </c>
      <c r="H704" s="15" t="s">
        <v>193</v>
      </c>
      <c r="I704" s="3"/>
      <c r="J704" s="3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4">
        <v>46063.0</v>
      </c>
      <c r="B705" s="39" t="s">
        <v>37</v>
      </c>
      <c r="C705" s="15" t="s">
        <v>198</v>
      </c>
      <c r="D705" s="5">
        <v>1840000.0</v>
      </c>
      <c r="E705" s="5">
        <v>1840000.0</v>
      </c>
      <c r="F705" s="5">
        <v>2760000.0</v>
      </c>
      <c r="G705" s="5">
        <v>2760000.0</v>
      </c>
      <c r="H705" s="15" t="s">
        <v>193</v>
      </c>
      <c r="I705" s="3"/>
      <c r="J705" s="3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4">
        <v>46063.0</v>
      </c>
      <c r="B706" s="39" t="s">
        <v>76</v>
      </c>
      <c r="C706" s="15" t="s">
        <v>198</v>
      </c>
      <c r="D706" s="5">
        <v>7092800.0</v>
      </c>
      <c r="E706" s="5">
        <v>6283600.0</v>
      </c>
      <c r="F706" s="5">
        <v>6283600.0</v>
      </c>
      <c r="G706" s="5">
        <v>340000.0</v>
      </c>
      <c r="H706" s="15" t="s">
        <v>193</v>
      </c>
      <c r="I706" s="3"/>
      <c r="J706" s="3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4">
        <v>46063.0</v>
      </c>
      <c r="B707" s="39" t="s">
        <v>169</v>
      </c>
      <c r="C707" s="15" t="s">
        <v>198</v>
      </c>
      <c r="D707" s="5">
        <v>4.0E7</v>
      </c>
      <c r="E707" s="5"/>
      <c r="F707" s="5">
        <v>4.0E7</v>
      </c>
      <c r="G707" s="5"/>
      <c r="H707" s="15" t="s">
        <v>193</v>
      </c>
      <c r="I707" s="3"/>
      <c r="J707" s="3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4">
        <v>46063.0</v>
      </c>
      <c r="B708" s="36" t="s">
        <v>86</v>
      </c>
      <c r="C708" s="15" t="s">
        <v>198</v>
      </c>
      <c r="D708" s="5">
        <v>1.0E7</v>
      </c>
      <c r="E708" s="5">
        <v>1.0E7</v>
      </c>
      <c r="F708" s="5">
        <v>1.0E7</v>
      </c>
      <c r="G708" s="5">
        <v>3220000.0</v>
      </c>
      <c r="H708" s="15" t="s">
        <v>193</v>
      </c>
      <c r="I708" s="3"/>
      <c r="J708" s="3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4">
        <v>46063.0</v>
      </c>
      <c r="B709" s="36" t="s">
        <v>120</v>
      </c>
      <c r="C709" s="15" t="s">
        <v>198</v>
      </c>
      <c r="D709" s="5">
        <v>2760000.0</v>
      </c>
      <c r="E709" s="5">
        <v>2760000.0</v>
      </c>
      <c r="F709" s="5">
        <v>3680000.0</v>
      </c>
      <c r="G709" s="5">
        <v>3036000.0</v>
      </c>
      <c r="H709" s="15" t="s">
        <v>193</v>
      </c>
      <c r="I709" s="3"/>
      <c r="J709" s="3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4">
        <v>46063.0</v>
      </c>
      <c r="B710" s="36" t="s">
        <v>87</v>
      </c>
      <c r="C710" s="15" t="s">
        <v>198</v>
      </c>
      <c r="D710" s="5">
        <v>1840000.0</v>
      </c>
      <c r="E710" s="5">
        <v>2760000.0</v>
      </c>
      <c r="F710" s="5">
        <v>2760000.0</v>
      </c>
      <c r="G710" s="5">
        <v>2640000.0</v>
      </c>
      <c r="H710" s="15" t="s">
        <v>193</v>
      </c>
      <c r="I710" s="3"/>
      <c r="J710" s="3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4">
        <v>46063.0</v>
      </c>
      <c r="B711" s="36" t="s">
        <v>100</v>
      </c>
      <c r="C711" s="15" t="s">
        <v>198</v>
      </c>
      <c r="D711" s="5">
        <v>4600000.0</v>
      </c>
      <c r="E711" s="5">
        <v>4600000.0</v>
      </c>
      <c r="F711" s="5">
        <v>5400000.0</v>
      </c>
      <c r="G711" s="5">
        <v>5400000.0</v>
      </c>
      <c r="H711" s="15" t="s">
        <v>193</v>
      </c>
      <c r="I711" s="3"/>
      <c r="J711" s="3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4">
        <v>46063.0</v>
      </c>
      <c r="B712" s="36" t="s">
        <v>183</v>
      </c>
      <c r="C712" s="15" t="s">
        <v>198</v>
      </c>
      <c r="D712" s="5">
        <v>1840000.0</v>
      </c>
      <c r="E712" s="5">
        <v>1840000.0</v>
      </c>
      <c r="F712" s="5">
        <v>2760000.0</v>
      </c>
      <c r="G712" s="5">
        <v>2760000.0</v>
      </c>
      <c r="H712" s="15" t="s">
        <v>193</v>
      </c>
      <c r="I712" s="3"/>
      <c r="J712" s="3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4">
        <v>46063.0</v>
      </c>
      <c r="B713" s="36" t="s">
        <v>130</v>
      </c>
      <c r="C713" s="15" t="s">
        <v>196</v>
      </c>
      <c r="D713" s="5">
        <v>1840000.0</v>
      </c>
      <c r="E713" s="5">
        <v>1840000.0</v>
      </c>
      <c r="F713" s="5">
        <v>2760000.0</v>
      </c>
      <c r="G713" s="5">
        <v>2760000.0</v>
      </c>
      <c r="H713" s="15" t="s">
        <v>193</v>
      </c>
      <c r="I713" s="3"/>
      <c r="J713" s="3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4">
        <v>46064.0</v>
      </c>
      <c r="B714" s="36" t="s">
        <v>112</v>
      </c>
      <c r="C714" s="15" t="s">
        <v>198</v>
      </c>
      <c r="D714" s="5"/>
      <c r="E714" s="5">
        <v>1.0E7</v>
      </c>
      <c r="F714" s="5"/>
      <c r="G714" s="5"/>
      <c r="H714" s="15" t="s">
        <v>193</v>
      </c>
      <c r="I714" s="3"/>
      <c r="J714" s="3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4">
        <v>46064.0</v>
      </c>
      <c r="B715" s="36" t="s">
        <v>178</v>
      </c>
      <c r="C715" s="15" t="s">
        <v>198</v>
      </c>
      <c r="D715" s="5">
        <v>1840000.0</v>
      </c>
      <c r="E715" s="5">
        <v>1840000.0</v>
      </c>
      <c r="F715" s="5"/>
      <c r="G715" s="5"/>
      <c r="H715" s="15" t="s">
        <v>193</v>
      </c>
      <c r="I715" s="3"/>
      <c r="J715" s="3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4">
        <v>46064.0</v>
      </c>
      <c r="B716" s="9" t="s">
        <v>79</v>
      </c>
      <c r="C716" s="15" t="s">
        <v>196</v>
      </c>
      <c r="D716" s="5"/>
      <c r="E716" s="5">
        <v>8.0E7</v>
      </c>
      <c r="F716" s="5"/>
      <c r="G716" s="5"/>
      <c r="H716" s="15" t="s">
        <v>193</v>
      </c>
      <c r="I716" s="3"/>
      <c r="J716" s="3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4">
        <v>46064.0</v>
      </c>
      <c r="B717" s="9" t="s">
        <v>151</v>
      </c>
      <c r="C717" s="15" t="s">
        <v>196</v>
      </c>
      <c r="D717" s="5">
        <v>3.85981221E8</v>
      </c>
      <c r="E717" s="5">
        <v>6.0E7</v>
      </c>
      <c r="F717" s="5">
        <v>1.0E7</v>
      </c>
      <c r="G717" s="5">
        <v>8.0E7</v>
      </c>
      <c r="H717" s="15" t="s">
        <v>193</v>
      </c>
      <c r="I717" s="3"/>
      <c r="J717" s="3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4">
        <v>46064.0</v>
      </c>
      <c r="B718" s="9" t="s">
        <v>99</v>
      </c>
      <c r="C718" s="15" t="s">
        <v>198</v>
      </c>
      <c r="D718" s="5">
        <v>2.0E7</v>
      </c>
      <c r="E718" s="5">
        <v>1.0E7</v>
      </c>
      <c r="F718" s="5">
        <v>1.0E7</v>
      </c>
      <c r="G718" s="5"/>
      <c r="H718" s="15" t="s">
        <v>193</v>
      </c>
      <c r="I718" s="3"/>
      <c r="J718" s="3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4">
        <v>46064.0</v>
      </c>
      <c r="B719" s="36" t="s">
        <v>174</v>
      </c>
      <c r="C719" s="15" t="s">
        <v>198</v>
      </c>
      <c r="D719" s="5">
        <v>1.0E7</v>
      </c>
      <c r="E719" s="5">
        <v>2.0E7</v>
      </c>
      <c r="F719" s="5">
        <v>1.0E7</v>
      </c>
      <c r="G719" s="5">
        <v>1.0E7</v>
      </c>
      <c r="H719" s="15" t="s">
        <v>193</v>
      </c>
      <c r="I719" s="3"/>
      <c r="J719" s="3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4">
        <v>46065.0</v>
      </c>
      <c r="B720" s="36" t="s">
        <v>179</v>
      </c>
      <c r="C720" s="15" t="s">
        <v>198</v>
      </c>
      <c r="D720" s="5">
        <v>1.0E7</v>
      </c>
      <c r="E720" s="5">
        <v>1.0E7</v>
      </c>
      <c r="F720" s="5">
        <v>1.0E7</v>
      </c>
      <c r="G720" s="5">
        <v>1.0E7</v>
      </c>
      <c r="H720" s="15" t="s">
        <v>193</v>
      </c>
      <c r="I720" s="3"/>
      <c r="J720" s="3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4">
        <v>46065.0</v>
      </c>
      <c r="B721" s="36" t="s">
        <v>142</v>
      </c>
      <c r="C721" s="15" t="s">
        <v>198</v>
      </c>
      <c r="D721" s="5">
        <v>4000000.0</v>
      </c>
      <c r="E721" s="5">
        <v>4000000.0</v>
      </c>
      <c r="F721" s="5"/>
      <c r="G721" s="5">
        <v>4000000.0</v>
      </c>
      <c r="H721" s="15" t="s">
        <v>193</v>
      </c>
      <c r="I721" s="3"/>
      <c r="J721" s="3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4">
        <v>46065.0</v>
      </c>
      <c r="B722" s="36" t="s">
        <v>19</v>
      </c>
      <c r="C722" s="15" t="s">
        <v>198</v>
      </c>
      <c r="D722" s="5">
        <v>2208000.0</v>
      </c>
      <c r="E722" s="5">
        <v>2208000.0</v>
      </c>
      <c r="F722" s="5">
        <v>3128000.0</v>
      </c>
      <c r="G722" s="5">
        <v>3128000.0</v>
      </c>
      <c r="H722" s="15" t="s">
        <v>193</v>
      </c>
      <c r="I722" s="3"/>
      <c r="J722" s="3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4">
        <v>46066.0</v>
      </c>
      <c r="B723" s="9" t="s">
        <v>143</v>
      </c>
      <c r="C723" s="15" t="s">
        <v>198</v>
      </c>
      <c r="D723" s="5"/>
      <c r="E723" s="5">
        <v>2.9968623E7</v>
      </c>
      <c r="F723" s="5"/>
      <c r="G723" s="5"/>
      <c r="H723" s="15" t="s">
        <v>193</v>
      </c>
      <c r="I723" s="3"/>
      <c r="J723" s="3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4">
        <v>46066.0</v>
      </c>
      <c r="B724" s="35" t="s">
        <v>92</v>
      </c>
      <c r="C724" s="15" t="s">
        <v>196</v>
      </c>
      <c r="D724" s="5">
        <v>7.0E7</v>
      </c>
      <c r="E724" s="5">
        <v>1.1E8</v>
      </c>
      <c r="F724" s="5"/>
      <c r="G724" s="5"/>
      <c r="H724" s="15" t="s">
        <v>193</v>
      </c>
      <c r="I724" s="3"/>
      <c r="J724" s="3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4">
        <v>46067.0</v>
      </c>
      <c r="B725" s="9" t="s">
        <v>178</v>
      </c>
      <c r="C725" s="15" t="s">
        <v>196</v>
      </c>
      <c r="D725" s="5"/>
      <c r="E725" s="5"/>
      <c r="F725" s="5">
        <v>2760000.0</v>
      </c>
      <c r="G725" s="5">
        <v>2760000.0</v>
      </c>
      <c r="H725" s="15" t="s">
        <v>193</v>
      </c>
      <c r="I725" s="3"/>
      <c r="J725" s="3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4">
        <v>46067.0</v>
      </c>
      <c r="B726" s="36" t="s">
        <v>147</v>
      </c>
      <c r="C726" s="15" t="s">
        <v>198</v>
      </c>
      <c r="D726" s="5"/>
      <c r="E726" s="5">
        <v>9.0E7</v>
      </c>
      <c r="F726" s="5"/>
      <c r="G726" s="5">
        <v>4.0E7</v>
      </c>
      <c r="H726" s="15" t="s">
        <v>193</v>
      </c>
      <c r="I726" s="3"/>
      <c r="J726" s="3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4">
        <v>46067.0</v>
      </c>
      <c r="B727" s="36" t="s">
        <v>81</v>
      </c>
      <c r="C727" s="15" t="s">
        <v>198</v>
      </c>
      <c r="D727" s="5">
        <v>1.0E7</v>
      </c>
      <c r="E727" s="5">
        <v>1.0E7</v>
      </c>
      <c r="F727" s="5">
        <v>1.0E7</v>
      </c>
      <c r="G727" s="5">
        <v>2.0E7</v>
      </c>
      <c r="H727" s="15" t="s">
        <v>193</v>
      </c>
      <c r="I727" s="3"/>
      <c r="J727" s="3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4">
        <v>46067.0</v>
      </c>
      <c r="B728" s="36" t="s">
        <v>183</v>
      </c>
      <c r="C728" s="15" t="s">
        <v>196</v>
      </c>
      <c r="D728" s="5">
        <v>1840000.0</v>
      </c>
      <c r="E728" s="5">
        <v>1840000.0</v>
      </c>
      <c r="F728" s="5">
        <v>2760000.0</v>
      </c>
      <c r="G728" s="5">
        <v>2760000.0</v>
      </c>
      <c r="H728" s="15" t="s">
        <v>193</v>
      </c>
      <c r="I728" s="3"/>
      <c r="J728" s="3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4">
        <v>46067.0</v>
      </c>
      <c r="B729" s="36" t="s">
        <v>138</v>
      </c>
      <c r="C729" s="15" t="s">
        <v>198</v>
      </c>
      <c r="D729" s="5">
        <v>1.0E7</v>
      </c>
      <c r="E729" s="5">
        <v>1.0E7</v>
      </c>
      <c r="F729" s="5">
        <v>1.0E7</v>
      </c>
      <c r="G729" s="5">
        <v>1.0E7</v>
      </c>
      <c r="H729" s="15" t="s">
        <v>193</v>
      </c>
      <c r="I729" s="3"/>
      <c r="J729" s="3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4">
        <v>46067.0</v>
      </c>
      <c r="B730" s="36" t="s">
        <v>77</v>
      </c>
      <c r="C730" s="15" t="s">
        <v>196</v>
      </c>
      <c r="D730" s="5"/>
      <c r="E730" s="5"/>
      <c r="F730" s="5">
        <v>1.0E7</v>
      </c>
      <c r="G730" s="5"/>
      <c r="H730" s="15" t="s">
        <v>193</v>
      </c>
      <c r="I730" s="3"/>
      <c r="J730" s="3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4">
        <v>46067.0</v>
      </c>
      <c r="B731" s="36" t="s">
        <v>185</v>
      </c>
      <c r="C731" s="15" t="s">
        <v>198</v>
      </c>
      <c r="D731" s="5"/>
      <c r="E731" s="5"/>
      <c r="F731" s="5"/>
      <c r="G731" s="5">
        <v>1.0E7</v>
      </c>
      <c r="H731" s="15" t="s">
        <v>193</v>
      </c>
      <c r="I731" s="3"/>
      <c r="J731" s="3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4">
        <v>46068.0</v>
      </c>
      <c r="B732" s="9" t="s">
        <v>143</v>
      </c>
      <c r="C732" s="15" t="s">
        <v>196</v>
      </c>
      <c r="D732" s="5"/>
      <c r="E732" s="5">
        <v>6.0E7</v>
      </c>
      <c r="F732" s="5"/>
      <c r="G732" s="5"/>
      <c r="H732" s="15" t="s">
        <v>193</v>
      </c>
      <c r="I732" s="3"/>
      <c r="J732" s="3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4">
        <v>46068.0</v>
      </c>
      <c r="B733" s="36" t="s">
        <v>64</v>
      </c>
      <c r="C733" s="15" t="s">
        <v>198</v>
      </c>
      <c r="D733" s="5">
        <v>3906784.0</v>
      </c>
      <c r="E733" s="5">
        <v>4025648.0</v>
      </c>
      <c r="F733" s="5">
        <v>5409120.0</v>
      </c>
      <c r="G733" s="5">
        <v>3145871.0</v>
      </c>
      <c r="H733" s="15" t="s">
        <v>193</v>
      </c>
      <c r="I733" s="3"/>
      <c r="J733" s="3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4">
        <v>46068.0</v>
      </c>
      <c r="B734" s="39" t="s">
        <v>76</v>
      </c>
      <c r="C734" s="15" t="s">
        <v>196</v>
      </c>
      <c r="D734" s="5">
        <v>3560000.0</v>
      </c>
      <c r="E734" s="5">
        <v>3220000.0</v>
      </c>
      <c r="F734" s="5">
        <v>3220000.0</v>
      </c>
      <c r="G734" s="5"/>
      <c r="H734" s="15" t="s">
        <v>193</v>
      </c>
      <c r="I734" s="3"/>
      <c r="J734" s="3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4">
        <v>46068.0</v>
      </c>
      <c r="B735" s="36" t="s">
        <v>158</v>
      </c>
      <c r="C735" s="15" t="s">
        <v>198</v>
      </c>
      <c r="D735" s="5">
        <v>1687192.0</v>
      </c>
      <c r="E735" s="5">
        <v>2345569.0</v>
      </c>
      <c r="F735" s="5">
        <v>1779501.0</v>
      </c>
      <c r="G735" s="5">
        <v>4187739.0</v>
      </c>
      <c r="H735" s="15" t="s">
        <v>193</v>
      </c>
      <c r="I735" s="3"/>
      <c r="J735" s="3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4">
        <v>46068.0</v>
      </c>
      <c r="B736" s="37" t="s">
        <v>63</v>
      </c>
      <c r="C736" s="15" t="s">
        <v>196</v>
      </c>
      <c r="D736" s="5"/>
      <c r="E736" s="5">
        <v>1.2E8</v>
      </c>
      <c r="F736" s="5"/>
      <c r="G736" s="5"/>
      <c r="H736" s="15" t="s">
        <v>193</v>
      </c>
      <c r="I736" s="3"/>
      <c r="J736" s="3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4">
        <v>46068.0</v>
      </c>
      <c r="B737" s="37" t="s">
        <v>48</v>
      </c>
      <c r="C737" s="15" t="s">
        <v>198</v>
      </c>
      <c r="D737" s="5">
        <v>2760000.0</v>
      </c>
      <c r="E737" s="5">
        <v>2760000.0</v>
      </c>
      <c r="F737" s="5">
        <v>3560000.0</v>
      </c>
      <c r="G737" s="5">
        <v>920000.0</v>
      </c>
      <c r="H737" s="15" t="s">
        <v>193</v>
      </c>
      <c r="I737" s="3"/>
      <c r="J737" s="3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4">
        <v>46069.0</v>
      </c>
      <c r="B738" s="37" t="s">
        <v>101</v>
      </c>
      <c r="C738" s="15" t="s">
        <v>198</v>
      </c>
      <c r="D738" s="5">
        <v>3036000.0</v>
      </c>
      <c r="E738" s="5">
        <v>3036000.0</v>
      </c>
      <c r="F738" s="5">
        <v>3036000.0</v>
      </c>
      <c r="G738" s="5">
        <v>1012000.0</v>
      </c>
      <c r="H738" s="15" t="s">
        <v>193</v>
      </c>
      <c r="I738" s="3"/>
      <c r="J738" s="3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4">
        <v>46069.0</v>
      </c>
      <c r="B739" s="37" t="s">
        <v>29</v>
      </c>
      <c r="C739" s="15" t="s">
        <v>198</v>
      </c>
      <c r="D739" s="5"/>
      <c r="E739" s="5"/>
      <c r="F739" s="5">
        <v>1.0E7</v>
      </c>
      <c r="G739" s="5"/>
      <c r="H739" s="15" t="s">
        <v>193</v>
      </c>
      <c r="I739" s="3"/>
      <c r="J739" s="3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4">
        <v>46069.0</v>
      </c>
      <c r="B740" s="37" t="s">
        <v>143</v>
      </c>
      <c r="C740" s="15" t="s">
        <v>198</v>
      </c>
      <c r="D740" s="5"/>
      <c r="E740" s="5">
        <v>6.0E7</v>
      </c>
      <c r="F740" s="5"/>
      <c r="G740" s="5"/>
      <c r="H740" s="15" t="s">
        <v>193</v>
      </c>
      <c r="I740" s="3"/>
      <c r="J740" s="3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4">
        <v>46069.0</v>
      </c>
      <c r="B741" s="37" t="s">
        <v>79</v>
      </c>
      <c r="C741" s="15" t="s">
        <v>198</v>
      </c>
      <c r="D741" s="5">
        <v>1840000.0</v>
      </c>
      <c r="E741" s="5">
        <v>3560000.0</v>
      </c>
      <c r="F741" s="5">
        <v>1840000.0</v>
      </c>
      <c r="G741" s="5">
        <v>2760000.0</v>
      </c>
      <c r="H741" s="15" t="s">
        <v>193</v>
      </c>
      <c r="I741" s="3"/>
      <c r="J741" s="3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4">
        <v>46069.0</v>
      </c>
      <c r="B742" s="37" t="s">
        <v>63</v>
      </c>
      <c r="C742" s="15" t="s">
        <v>198</v>
      </c>
      <c r="D742" s="5">
        <v>2760000.0</v>
      </c>
      <c r="E742" s="5">
        <v>2.356E7</v>
      </c>
      <c r="F742" s="5">
        <v>1840000.0</v>
      </c>
      <c r="G742" s="5">
        <v>1840000.0</v>
      </c>
      <c r="H742" s="15" t="s">
        <v>193</v>
      </c>
      <c r="I742" s="3"/>
      <c r="J742" s="3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4">
        <v>46069.0</v>
      </c>
      <c r="B743" s="37" t="s">
        <v>37</v>
      </c>
      <c r="C743" s="15" t="s">
        <v>198</v>
      </c>
      <c r="D743" s="5">
        <v>1840000.0</v>
      </c>
      <c r="E743" s="5">
        <v>1840000.0</v>
      </c>
      <c r="F743" s="5">
        <v>2760000.0</v>
      </c>
      <c r="G743" s="5">
        <v>2760000.0</v>
      </c>
      <c r="H743" s="15" t="s">
        <v>193</v>
      </c>
      <c r="I743" s="3"/>
      <c r="J743" s="3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4">
        <v>46069.0</v>
      </c>
      <c r="B744" s="38" t="s">
        <v>93</v>
      </c>
      <c r="C744" s="15" t="s">
        <v>198</v>
      </c>
      <c r="D744" s="5">
        <v>2760000.0</v>
      </c>
      <c r="E744" s="5">
        <v>2760000.0</v>
      </c>
      <c r="F744" s="5">
        <v>2760000.0</v>
      </c>
      <c r="G744" s="5">
        <v>920000.0</v>
      </c>
      <c r="H744" s="15" t="s">
        <v>193</v>
      </c>
      <c r="I744" s="3"/>
      <c r="J744" s="3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4">
        <v>46069.0</v>
      </c>
      <c r="B745" s="37" t="s">
        <v>173</v>
      </c>
      <c r="C745" s="15" t="s">
        <v>198</v>
      </c>
      <c r="D745" s="5">
        <v>1.0E7</v>
      </c>
      <c r="E745" s="5">
        <v>1.0E7</v>
      </c>
      <c r="F745" s="5">
        <v>1.0E7</v>
      </c>
      <c r="G745" s="5">
        <v>1.0E7</v>
      </c>
      <c r="H745" s="15" t="s">
        <v>193</v>
      </c>
      <c r="I745" s="3"/>
      <c r="J745" s="3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4">
        <v>46069.0</v>
      </c>
      <c r="B746" s="37" t="s">
        <v>19</v>
      </c>
      <c r="C746" s="15" t="s">
        <v>198</v>
      </c>
      <c r="D746" s="5">
        <v>2208000.0</v>
      </c>
      <c r="E746" s="5">
        <v>2208000.0</v>
      </c>
      <c r="F746" s="5">
        <v>3128000.0</v>
      </c>
      <c r="G746" s="5">
        <v>3128000.0</v>
      </c>
      <c r="H746" s="15" t="s">
        <v>193</v>
      </c>
      <c r="I746" s="3"/>
      <c r="J746" s="3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4">
        <v>46069.0</v>
      </c>
      <c r="B747" s="37" t="s">
        <v>84</v>
      </c>
      <c r="C747" s="15" t="s">
        <v>198</v>
      </c>
      <c r="D747" s="5">
        <v>1.0E7</v>
      </c>
      <c r="E747" s="5">
        <v>1.0E7</v>
      </c>
      <c r="F747" s="5">
        <v>1.0E7</v>
      </c>
      <c r="G747" s="5"/>
      <c r="H747" s="15" t="s">
        <v>193</v>
      </c>
      <c r="I747" s="3"/>
      <c r="J747" s="3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4">
        <v>46069.0</v>
      </c>
      <c r="B748" s="37" t="s">
        <v>43</v>
      </c>
      <c r="C748" s="15" t="s">
        <v>198</v>
      </c>
      <c r="D748" s="5">
        <v>3.0E7</v>
      </c>
      <c r="E748" s="5">
        <v>2760000.0</v>
      </c>
      <c r="F748" s="5">
        <v>1840000.0</v>
      </c>
      <c r="G748" s="5">
        <v>1840000.0</v>
      </c>
      <c r="H748" s="15" t="s">
        <v>193</v>
      </c>
      <c r="I748" s="3"/>
      <c r="J748" s="3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4">
        <v>46069.0</v>
      </c>
      <c r="B749" s="37" t="s">
        <v>130</v>
      </c>
      <c r="C749" s="15" t="s">
        <v>198</v>
      </c>
      <c r="D749" s="5">
        <v>3680000.0</v>
      </c>
      <c r="E749" s="5">
        <v>3680000.0</v>
      </c>
      <c r="F749" s="5">
        <v>5520000.0</v>
      </c>
      <c r="G749" s="5">
        <v>5520000.0</v>
      </c>
      <c r="H749" s="15" t="s">
        <v>193</v>
      </c>
      <c r="I749" s="3"/>
      <c r="J749" s="3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4">
        <v>46069.0</v>
      </c>
      <c r="B750" s="36" t="s">
        <v>184</v>
      </c>
      <c r="C750" s="15" t="s">
        <v>198</v>
      </c>
      <c r="D750" s="5">
        <v>2.0E7</v>
      </c>
      <c r="E750" s="5"/>
      <c r="F750" s="5"/>
      <c r="G750" s="5"/>
      <c r="H750" s="15" t="s">
        <v>193</v>
      </c>
      <c r="I750" s="3"/>
      <c r="J750" s="3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4">
        <v>46069.0</v>
      </c>
      <c r="B751" s="36" t="s">
        <v>59</v>
      </c>
      <c r="C751" s="15" t="s">
        <v>198</v>
      </c>
      <c r="D751" s="5">
        <v>1.0E7</v>
      </c>
      <c r="E751" s="5">
        <v>1.0E7</v>
      </c>
      <c r="F751" s="5">
        <v>1.0E7</v>
      </c>
      <c r="G751" s="5">
        <v>1.0E7</v>
      </c>
      <c r="H751" s="15" t="s">
        <v>193</v>
      </c>
      <c r="I751" s="3"/>
      <c r="J751" s="3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4">
        <v>46069.0</v>
      </c>
      <c r="B752" s="36" t="s">
        <v>137</v>
      </c>
      <c r="C752" s="15" t="s">
        <v>198</v>
      </c>
      <c r="D752" s="5">
        <v>1.0E7</v>
      </c>
      <c r="E752" s="5">
        <v>1.0E7</v>
      </c>
      <c r="F752" s="5">
        <v>1.0E7</v>
      </c>
      <c r="G752" s="5">
        <v>1.0E7</v>
      </c>
      <c r="H752" s="15" t="s">
        <v>193</v>
      </c>
      <c r="I752" s="3"/>
      <c r="J752" s="3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4">
        <v>46069.0</v>
      </c>
      <c r="B753" s="36" t="s">
        <v>178</v>
      </c>
      <c r="C753" s="15" t="s">
        <v>198</v>
      </c>
      <c r="D753" s="5">
        <v>1840000.0</v>
      </c>
      <c r="E753" s="5">
        <v>1840000.0</v>
      </c>
      <c r="F753" s="5">
        <v>2760000.0</v>
      </c>
      <c r="G753" s="5">
        <v>2760000.0</v>
      </c>
      <c r="H753" s="15" t="s">
        <v>193</v>
      </c>
      <c r="I753" s="3"/>
      <c r="J753" s="3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4">
        <v>46069.0</v>
      </c>
      <c r="B754" s="36" t="s">
        <v>172</v>
      </c>
      <c r="C754" s="15" t="s">
        <v>198</v>
      </c>
      <c r="D754" s="5">
        <v>2005600.0</v>
      </c>
      <c r="E754" s="5">
        <v>2014400.0</v>
      </c>
      <c r="F754" s="5">
        <v>2990000.0</v>
      </c>
      <c r="G754" s="5">
        <v>2990000.0</v>
      </c>
      <c r="H754" s="15" t="s">
        <v>193</v>
      </c>
      <c r="I754" s="3"/>
      <c r="J754" s="3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4">
        <v>46069.0</v>
      </c>
      <c r="B755" s="36" t="s">
        <v>17</v>
      </c>
      <c r="C755" s="15" t="s">
        <v>198</v>
      </c>
      <c r="D755" s="5">
        <v>2576000.0</v>
      </c>
      <c r="E755" s="5">
        <v>2576000.0</v>
      </c>
      <c r="F755" s="5">
        <v>2576000.0</v>
      </c>
      <c r="G755" s="5">
        <v>2272000.0</v>
      </c>
      <c r="H755" s="15" t="s">
        <v>193</v>
      </c>
      <c r="I755" s="3"/>
      <c r="J755" s="3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4">
        <v>46069.0</v>
      </c>
      <c r="B756" s="36" t="s">
        <v>20</v>
      </c>
      <c r="C756" s="15" t="s">
        <v>198</v>
      </c>
      <c r="D756" s="5">
        <v>2003760.0</v>
      </c>
      <c r="E756" s="5">
        <v>2003760.0</v>
      </c>
      <c r="F756" s="5">
        <v>3082000.0</v>
      </c>
      <c r="G756" s="5">
        <v>2910480.0</v>
      </c>
      <c r="H756" s="15" t="s">
        <v>193</v>
      </c>
      <c r="I756" s="3"/>
      <c r="J756" s="3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4">
        <v>46069.0</v>
      </c>
      <c r="B757" s="36" t="s">
        <v>18</v>
      </c>
      <c r="C757" s="15" t="s">
        <v>198</v>
      </c>
      <c r="D757" s="5">
        <v>1.0E7</v>
      </c>
      <c r="E757" s="5">
        <v>1.0E7</v>
      </c>
      <c r="F757" s="5">
        <v>1.0E7</v>
      </c>
      <c r="G757" s="5">
        <v>1.0E7</v>
      </c>
      <c r="H757" s="15" t="s">
        <v>193</v>
      </c>
      <c r="I757" s="3"/>
      <c r="J757" s="3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</sheetData>
  <dataValidations>
    <dataValidation type="list" allowBlank="1" sqref="C2:C757">
      <formula1>"AOO Fine,Starting balance,U97 weekly contribution,Weekly Contribution ,Farmers Gathering,Voluntarily Contributions ,RSS Collector,Penalty,Warrior Support"</formula1>
    </dataValidation>
    <dataValidation type="list" allowBlank="1" sqref="H2:H757">
      <formula1>"Incoming,Outgoing"</formula1>
    </dataValidation>
    <dataValidation type="custom" allowBlank="1" showDropDown="1" sqref="A2:A757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7.29"/>
    <col customWidth="1" min="3" max="3" width="15.43"/>
    <col customWidth="1" min="4" max="5" width="15.86"/>
    <col customWidth="1" min="6" max="6" width="14.71"/>
    <col customWidth="1" min="7" max="7" width="25.0"/>
    <col customWidth="1" min="8" max="8" width="24.57"/>
  </cols>
  <sheetData>
    <row r="1">
      <c r="A1" s="40"/>
      <c r="B1" s="40"/>
      <c r="C1" s="40"/>
      <c r="D1" s="40"/>
      <c r="E1" s="40"/>
      <c r="F1" s="40"/>
      <c r="G1" s="40"/>
      <c r="H1" s="40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>
      <c r="A2" s="40"/>
      <c r="B2" s="40"/>
      <c r="C2" s="40"/>
      <c r="D2" s="40"/>
      <c r="E2" s="40"/>
      <c r="F2" s="40"/>
      <c r="G2" s="40"/>
      <c r="H2" s="40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3" ht="22.5" customHeight="1">
      <c r="A3" s="37" t="s">
        <v>8</v>
      </c>
      <c r="B3" s="37" t="s">
        <v>207</v>
      </c>
      <c r="C3" s="37" t="s">
        <v>4</v>
      </c>
      <c r="D3" s="37" t="s">
        <v>5</v>
      </c>
      <c r="E3" s="37" t="s">
        <v>6</v>
      </c>
      <c r="F3" s="37" t="s">
        <v>7</v>
      </c>
      <c r="G3" s="37" t="s">
        <v>208</v>
      </c>
      <c r="H3" s="37" t="s">
        <v>209</v>
      </c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4" ht="22.5" customHeight="1">
      <c r="A4" s="37">
        <v>1.71679053E8</v>
      </c>
      <c r="B4" s="37" t="s">
        <v>101</v>
      </c>
      <c r="C4" s="42">
        <v>3036000.0</v>
      </c>
      <c r="D4" s="42">
        <v>3036000.0</v>
      </c>
      <c r="E4" s="42">
        <v>3036000.0</v>
      </c>
      <c r="F4" s="42">
        <v>1012000.0</v>
      </c>
      <c r="G4" s="43">
        <f t="shared" ref="G4:G23" si="1">sum(C4:F4)</f>
        <v>10120000</v>
      </c>
      <c r="H4" s="43">
        <f>VLOOKUP(A4,Dashboard!A:G,7,FALSE)</f>
        <v>102460000</v>
      </c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</row>
    <row r="5" ht="22.5" customHeight="1">
      <c r="A5" s="37">
        <v>6.2576249E7</v>
      </c>
      <c r="B5" s="37" t="s">
        <v>29</v>
      </c>
      <c r="C5" s="42"/>
      <c r="D5" s="42"/>
      <c r="E5" s="42">
        <v>1.0E7</v>
      </c>
      <c r="F5" s="42"/>
      <c r="G5" s="43">
        <f t="shared" si="1"/>
        <v>10000000</v>
      </c>
      <c r="H5" s="43">
        <f>VLOOKUP(A5,Dashboard!A:G,7,FALSE)</f>
        <v>240000000</v>
      </c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ht="22.5" customHeight="1">
      <c r="A6" s="37">
        <v>1.71697263E8</v>
      </c>
      <c r="B6" s="37" t="s">
        <v>210</v>
      </c>
      <c r="C6" s="42"/>
      <c r="D6" s="42">
        <v>6.0E7</v>
      </c>
      <c r="E6" s="42"/>
      <c r="F6" s="42"/>
      <c r="G6" s="43">
        <f t="shared" si="1"/>
        <v>60000000</v>
      </c>
      <c r="H6" s="43">
        <f>VLOOKUP(A6,Dashboard!A:G,7,FALSE)</f>
        <v>606794789</v>
      </c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</row>
    <row r="7" ht="22.5" customHeight="1">
      <c r="A7" s="37">
        <v>1.72033754E8</v>
      </c>
      <c r="B7" s="37" t="s">
        <v>79</v>
      </c>
      <c r="C7" s="42">
        <v>1840000.0</v>
      </c>
      <c r="D7" s="42">
        <v>3560000.0</v>
      </c>
      <c r="E7" s="42">
        <v>1840000.0</v>
      </c>
      <c r="F7" s="42">
        <v>2760000.0</v>
      </c>
      <c r="G7" s="43">
        <f t="shared" si="1"/>
        <v>10000000</v>
      </c>
      <c r="H7" s="43">
        <f>VLOOKUP(A7,Dashboard!A:G,7,FALSE)</f>
        <v>930794163</v>
      </c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</row>
    <row r="8" ht="22.5" customHeight="1">
      <c r="A8" s="37">
        <v>1.6942777E8</v>
      </c>
      <c r="B8" s="37" t="s">
        <v>63</v>
      </c>
      <c r="C8" s="42">
        <v>2760000.0</v>
      </c>
      <c r="D8" s="42">
        <v>2.356E7</v>
      </c>
      <c r="E8" s="42">
        <v>1840000.0</v>
      </c>
      <c r="F8" s="42">
        <v>1840000.0</v>
      </c>
      <c r="G8" s="43">
        <f t="shared" si="1"/>
        <v>30000000</v>
      </c>
      <c r="H8" s="43">
        <f>VLOOKUP(A8,Dashboard!A:G,7,FALSE)</f>
        <v>278400000</v>
      </c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</row>
    <row r="9" ht="22.5" customHeight="1">
      <c r="A9" s="37">
        <v>1.69247313E8</v>
      </c>
      <c r="B9" s="37" t="s">
        <v>37</v>
      </c>
      <c r="C9" s="42">
        <v>1840000.0</v>
      </c>
      <c r="D9" s="42">
        <v>1840000.0</v>
      </c>
      <c r="E9" s="42">
        <v>2760000.0</v>
      </c>
      <c r="F9" s="42">
        <v>2760000.0</v>
      </c>
      <c r="G9" s="43">
        <f t="shared" si="1"/>
        <v>9200000</v>
      </c>
      <c r="H9" s="43">
        <f>VLOOKUP(A9,Dashboard!A:G,7,FALSE)</f>
        <v>75200000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</row>
    <row r="10" ht="22.5" customHeight="1">
      <c r="A10" s="39">
        <v>1.67614515E8</v>
      </c>
      <c r="B10" s="39" t="s">
        <v>93</v>
      </c>
      <c r="C10" s="42">
        <v>2760000.0</v>
      </c>
      <c r="D10" s="42">
        <v>2760000.0</v>
      </c>
      <c r="E10" s="42">
        <v>2760000.0</v>
      </c>
      <c r="F10" s="42">
        <v>920000.0</v>
      </c>
      <c r="G10" s="43">
        <f t="shared" si="1"/>
        <v>9200000</v>
      </c>
      <c r="H10" s="43">
        <f>VLOOKUP(A10,Dashboard!A:G,7,FALSE)</f>
        <v>73600000</v>
      </c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</row>
    <row r="11" ht="22.5" customHeight="1">
      <c r="A11" s="36">
        <v>6.496634E7</v>
      </c>
      <c r="B11" s="36" t="s">
        <v>173</v>
      </c>
      <c r="C11" s="42">
        <v>1.0E7</v>
      </c>
      <c r="D11" s="42">
        <v>1.0E7</v>
      </c>
      <c r="E11" s="42">
        <v>1.0E7</v>
      </c>
      <c r="F11" s="42">
        <v>1.0E7</v>
      </c>
      <c r="G11" s="43">
        <f t="shared" si="1"/>
        <v>40000000</v>
      </c>
      <c r="H11" s="43">
        <f>VLOOKUP(A11,Dashboard!A:G,7,FALSE)</f>
        <v>184600000</v>
      </c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</row>
    <row r="12" ht="22.5" customHeight="1">
      <c r="A12" s="36">
        <v>1.67637163E8</v>
      </c>
      <c r="B12" s="36" t="s">
        <v>19</v>
      </c>
      <c r="C12" s="42">
        <v>2208000.0</v>
      </c>
      <c r="D12" s="42">
        <v>2208000.0</v>
      </c>
      <c r="E12" s="42">
        <v>3128000.0</v>
      </c>
      <c r="F12" s="42">
        <v>3128000.0</v>
      </c>
      <c r="G12" s="43">
        <f t="shared" si="1"/>
        <v>10672000</v>
      </c>
      <c r="H12" s="43">
        <f>VLOOKUP(A12,Dashboard!A:G,7,FALSE)</f>
        <v>231725200</v>
      </c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</row>
    <row r="13" ht="22.5" customHeight="1">
      <c r="A13" s="36">
        <v>1.70708608E8</v>
      </c>
      <c r="B13" s="36" t="s">
        <v>84</v>
      </c>
      <c r="C13" s="42">
        <v>1.0E7</v>
      </c>
      <c r="D13" s="42">
        <v>1.0E7</v>
      </c>
      <c r="E13" s="42">
        <v>1.0E7</v>
      </c>
      <c r="F13" s="42"/>
      <c r="G13" s="43">
        <f t="shared" si="1"/>
        <v>30000000</v>
      </c>
      <c r="H13" s="43">
        <f>VLOOKUP(A13,Dashboard!A:G,7,FALSE)</f>
        <v>131840000</v>
      </c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</row>
    <row r="14" ht="22.5" customHeight="1">
      <c r="A14" s="36">
        <v>1.71503078E8</v>
      </c>
      <c r="B14" s="36" t="s">
        <v>43</v>
      </c>
      <c r="C14" s="42">
        <v>3.0E7</v>
      </c>
      <c r="D14" s="42">
        <v>2760000.0</v>
      </c>
      <c r="E14" s="42">
        <v>1840000.0</v>
      </c>
      <c r="F14" s="42">
        <v>1840000.0</v>
      </c>
      <c r="G14" s="43">
        <f t="shared" si="1"/>
        <v>36440000</v>
      </c>
      <c r="H14" s="43">
        <f>VLOOKUP(A14,Dashboard!A:G,7,FALSE)</f>
        <v>390959600</v>
      </c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</row>
    <row r="15" ht="22.5" customHeight="1">
      <c r="A15" s="36">
        <v>1.68091444E8</v>
      </c>
      <c r="B15" s="36" t="s">
        <v>211</v>
      </c>
      <c r="C15" s="42">
        <v>3680000.0</v>
      </c>
      <c r="D15" s="42">
        <v>3680000.0</v>
      </c>
      <c r="E15" s="42">
        <v>5520000.0</v>
      </c>
      <c r="F15" s="42">
        <v>5520000.0</v>
      </c>
      <c r="G15" s="43">
        <f t="shared" si="1"/>
        <v>18400000</v>
      </c>
      <c r="H15" s="43">
        <f>VLOOKUP(A15,Dashboard!A:G,7,FALSE)</f>
        <v>235864000</v>
      </c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</row>
    <row r="16" ht="22.5" customHeight="1">
      <c r="A16" s="36">
        <v>9.8107237E7</v>
      </c>
      <c r="B16" s="36" t="s">
        <v>184</v>
      </c>
      <c r="C16" s="42">
        <v>2.0E7</v>
      </c>
      <c r="D16" s="42"/>
      <c r="E16" s="42"/>
      <c r="F16" s="42"/>
      <c r="G16" s="43">
        <f t="shared" si="1"/>
        <v>20000000</v>
      </c>
      <c r="H16" s="43">
        <f>VLOOKUP(A16,Dashboard!A:G,7,FALSE)</f>
        <v>330000000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</row>
    <row r="17" ht="22.5" customHeight="1">
      <c r="A17" s="36">
        <v>1.71491377E8</v>
      </c>
      <c r="B17" s="36" t="s">
        <v>59</v>
      </c>
      <c r="C17" s="42">
        <v>1.0E7</v>
      </c>
      <c r="D17" s="42">
        <v>1.0E7</v>
      </c>
      <c r="E17" s="42">
        <v>1.0E7</v>
      </c>
      <c r="F17" s="42">
        <v>1.0E7</v>
      </c>
      <c r="G17" s="43">
        <f t="shared" si="1"/>
        <v>40000000</v>
      </c>
      <c r="H17" s="43">
        <f>VLOOKUP(A17,Dashboard!A:G,7,FALSE)</f>
        <v>181132000</v>
      </c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</row>
    <row r="18" ht="22.5" customHeight="1">
      <c r="A18" s="36">
        <v>1.76044158E8</v>
      </c>
      <c r="B18" s="36" t="s">
        <v>137</v>
      </c>
      <c r="C18" s="42">
        <v>1.0E7</v>
      </c>
      <c r="D18" s="42">
        <v>1.0E7</v>
      </c>
      <c r="E18" s="42">
        <v>1.0E7</v>
      </c>
      <c r="F18" s="42">
        <v>1.0E7</v>
      </c>
      <c r="G18" s="43">
        <f t="shared" si="1"/>
        <v>40000000</v>
      </c>
      <c r="H18" s="43">
        <f>VLOOKUP(A18,Dashboard!A:G,7,FALSE)</f>
        <v>480000000</v>
      </c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</row>
    <row r="19" ht="22.5" customHeight="1">
      <c r="A19" s="36">
        <v>7.7394861E7</v>
      </c>
      <c r="B19" s="36" t="s">
        <v>178</v>
      </c>
      <c r="C19" s="42">
        <v>1840000.0</v>
      </c>
      <c r="D19" s="42">
        <v>1840000.0</v>
      </c>
      <c r="E19" s="42">
        <v>2760000.0</v>
      </c>
      <c r="F19" s="42">
        <v>2760000.0</v>
      </c>
      <c r="G19" s="43">
        <f t="shared" si="1"/>
        <v>9200000</v>
      </c>
      <c r="H19" s="43">
        <f>VLOOKUP(A19,Dashboard!A:G,7,FALSE)</f>
        <v>64400000</v>
      </c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</row>
    <row r="20" ht="22.5" customHeight="1">
      <c r="A20" s="36">
        <v>1.46428825E8</v>
      </c>
      <c r="B20" s="36" t="s">
        <v>172</v>
      </c>
      <c r="C20" s="42">
        <v>2005600.0</v>
      </c>
      <c r="D20" s="42">
        <v>2014400.0</v>
      </c>
      <c r="E20" s="42">
        <v>2990000.0</v>
      </c>
      <c r="F20" s="42">
        <v>2990000.0</v>
      </c>
      <c r="G20" s="43">
        <f t="shared" si="1"/>
        <v>10000000</v>
      </c>
      <c r="H20" s="43">
        <f>VLOOKUP(A20,Dashboard!A:G,7,FALSE)</f>
        <v>69320400</v>
      </c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</row>
    <row r="21" ht="22.5" customHeight="1">
      <c r="A21" s="36">
        <v>1.71604682E8</v>
      </c>
      <c r="B21" s="36" t="s">
        <v>17</v>
      </c>
      <c r="C21" s="42">
        <v>2576000.0</v>
      </c>
      <c r="D21" s="42">
        <v>2576000.0</v>
      </c>
      <c r="E21" s="42">
        <v>2576000.0</v>
      </c>
      <c r="F21" s="42">
        <v>2272000.0</v>
      </c>
      <c r="G21" s="43">
        <f t="shared" si="1"/>
        <v>10000000</v>
      </c>
      <c r="H21" s="43">
        <f>VLOOKUP(A21,Dashboard!A:G,7,FALSE)</f>
        <v>210800000</v>
      </c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</row>
    <row r="22" ht="22.5" customHeight="1">
      <c r="A22" s="36">
        <v>1.69446444E8</v>
      </c>
      <c r="B22" s="36" t="s">
        <v>20</v>
      </c>
      <c r="C22" s="42">
        <v>2003760.0</v>
      </c>
      <c r="D22" s="42">
        <v>2003760.0</v>
      </c>
      <c r="E22" s="42">
        <v>3082000.0</v>
      </c>
      <c r="F22" s="42">
        <v>2910480.0</v>
      </c>
      <c r="G22" s="43">
        <f t="shared" si="1"/>
        <v>10000000</v>
      </c>
      <c r="H22" s="43">
        <f>VLOOKUP(A22,Dashboard!A:G,7,FALSE)</f>
        <v>62400224</v>
      </c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</row>
    <row r="23" ht="22.5" customHeight="1">
      <c r="A23" s="36">
        <v>1.5633938E8</v>
      </c>
      <c r="B23" s="36" t="s">
        <v>18</v>
      </c>
      <c r="C23" s="42">
        <v>1.0E7</v>
      </c>
      <c r="D23" s="42">
        <v>1.0E7</v>
      </c>
      <c r="E23" s="42">
        <v>1.0E7</v>
      </c>
      <c r="F23" s="42">
        <v>1.0E7</v>
      </c>
      <c r="G23" s="43">
        <f t="shared" si="1"/>
        <v>40000000</v>
      </c>
      <c r="H23" s="43">
        <f>VLOOKUP(A23,Dashboard!A:G,7,FALSE)</f>
        <v>280000000</v>
      </c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</row>
    <row r="24" ht="22.5" customHeight="1">
      <c r="A24" s="44" t="str">
        <f>count(Week_16_22_Feb_2026[ID]) &amp; " Contributors"</f>
        <v>20 Contributors</v>
      </c>
      <c r="B24" s="37"/>
      <c r="C24" s="43">
        <f>sum(Week_16_22_Feb_2026[Food])</f>
        <v>126549360</v>
      </c>
      <c r="D24" s="43">
        <f>sum(Week_16_22_Feb_2026[Wood])</f>
        <v>161838160</v>
      </c>
      <c r="E24" s="43">
        <f>sum(Week_16_22_Feb_2026[Stone])</f>
        <v>94132000</v>
      </c>
      <c r="F24" s="43">
        <f>sum(Week_16_22_Feb_2026[Gold])</f>
        <v>70712480</v>
      </c>
      <c r="G24" s="43">
        <f>sum(Week_16_22_Feb_2026[Week Contribution])</f>
        <v>453232000</v>
      </c>
      <c r="H24" s="43">
        <f>sum(Week_16_22_Feb_2026[Total Contribution])</f>
        <v>5160290376</v>
      </c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>
      <c r="A25" s="40"/>
      <c r="B25" s="40"/>
      <c r="C25" s="40"/>
      <c r="D25" s="40"/>
      <c r="E25" s="40"/>
      <c r="F25" s="40"/>
      <c r="G25" s="40"/>
      <c r="H25" s="40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</row>
    <row r="26">
      <c r="A26" s="40"/>
      <c r="B26" s="40"/>
      <c r="C26" s="40"/>
      <c r="D26" s="40"/>
      <c r="E26" s="40"/>
      <c r="F26" s="40"/>
      <c r="G26" s="40"/>
      <c r="H26" s="40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</row>
    <row r="27">
      <c r="A27" s="40"/>
      <c r="B27" s="40"/>
      <c r="C27" s="40"/>
      <c r="D27" s="40"/>
      <c r="E27" s="40"/>
      <c r="F27" s="40"/>
      <c r="G27" s="40"/>
      <c r="H27" s="40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</row>
    <row r="28">
      <c r="A28" s="40"/>
      <c r="B28" s="40"/>
      <c r="C28" s="40"/>
      <c r="D28" s="40"/>
      <c r="E28" s="40"/>
      <c r="F28" s="40"/>
      <c r="G28" s="40"/>
      <c r="H28" s="40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</row>
    <row r="29">
      <c r="A29" s="40"/>
      <c r="B29" s="40"/>
      <c r="C29" s="40"/>
      <c r="D29" s="40"/>
      <c r="E29" s="40"/>
      <c r="F29" s="40"/>
      <c r="G29" s="40"/>
      <c r="H29" s="40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</row>
    <row r="30">
      <c r="A30" s="40"/>
      <c r="B30" s="40"/>
      <c r="C30" s="40"/>
      <c r="D30" s="40"/>
      <c r="E30" s="40"/>
      <c r="F30" s="40"/>
      <c r="G30" s="40"/>
      <c r="H30" s="40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</row>
    <row r="31" ht="22.5" customHeight="1">
      <c r="A31" s="37" t="s">
        <v>8</v>
      </c>
      <c r="B31" s="37" t="s">
        <v>207</v>
      </c>
      <c r="C31" s="37" t="s">
        <v>4</v>
      </c>
      <c r="D31" s="37" t="s">
        <v>5</v>
      </c>
      <c r="E31" s="37" t="s">
        <v>6</v>
      </c>
      <c r="F31" s="37" t="s">
        <v>7</v>
      </c>
      <c r="G31" s="37" t="s">
        <v>208</v>
      </c>
      <c r="H31" s="37" t="s">
        <v>209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</row>
    <row r="32" ht="22.5" customHeight="1">
      <c r="A32" s="37">
        <v>1.76044158E8</v>
      </c>
      <c r="B32" s="37" t="s">
        <v>137</v>
      </c>
      <c r="C32" s="42">
        <v>1.0E7</v>
      </c>
      <c r="D32" s="42">
        <v>1.0E7</v>
      </c>
      <c r="E32" s="42">
        <v>1.0E7</v>
      </c>
      <c r="F32" s="46">
        <v>1.0E7</v>
      </c>
      <c r="G32" s="43">
        <f t="shared" ref="G32:G81" si="2">sum(C32:F32)</f>
        <v>40000000</v>
      </c>
      <c r="H32" s="43">
        <f>VLOOKUP(A32,Dashboard!A:G,7,FALSE)</f>
        <v>480000000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</row>
    <row r="33" ht="22.5" customHeight="1">
      <c r="A33" s="37">
        <v>1.72033754E8</v>
      </c>
      <c r="B33" s="37" t="s">
        <v>79</v>
      </c>
      <c r="C33" s="42">
        <v>2760000.0</v>
      </c>
      <c r="D33" s="42">
        <v>9.172E7</v>
      </c>
      <c r="E33" s="42">
        <v>2760000.0</v>
      </c>
      <c r="F33" s="46">
        <v>2760000.0</v>
      </c>
      <c r="G33" s="43">
        <f t="shared" si="2"/>
        <v>100000000</v>
      </c>
      <c r="H33" s="43">
        <f>VLOOKUP(A33,Dashboard!A:G,7,FALSE)</f>
        <v>930794163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</row>
    <row r="34" ht="22.5" customHeight="1">
      <c r="A34" s="37">
        <v>1.6942777E8</v>
      </c>
      <c r="B34" s="37" t="s">
        <v>63</v>
      </c>
      <c r="C34" s="42">
        <v>2760000.0</v>
      </c>
      <c r="D34" s="42">
        <v>1.2368E8</v>
      </c>
      <c r="E34" s="42">
        <v>2640000.0</v>
      </c>
      <c r="F34" s="46">
        <v>920000.0</v>
      </c>
      <c r="G34" s="43">
        <f t="shared" si="2"/>
        <v>130000000</v>
      </c>
      <c r="H34" s="43">
        <f>VLOOKUP(A34,Dashboard!A:G,7,FALSE)</f>
        <v>278400000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</row>
    <row r="35" ht="22.5" customHeight="1">
      <c r="A35" s="37">
        <v>1.67614515E8</v>
      </c>
      <c r="B35" s="38" t="s">
        <v>93</v>
      </c>
      <c r="C35" s="42">
        <v>1840000.0</v>
      </c>
      <c r="D35" s="42">
        <v>3680000.0</v>
      </c>
      <c r="E35" s="42">
        <v>1840000.0</v>
      </c>
      <c r="F35" s="46">
        <v>1840000.0</v>
      </c>
      <c r="G35" s="43">
        <f t="shared" si="2"/>
        <v>9200000</v>
      </c>
      <c r="H35" s="43">
        <f>VLOOKUP(A35,Dashboard!A:G,7,FALSE)</f>
        <v>73600000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</row>
    <row r="36" ht="22.5" customHeight="1">
      <c r="A36" s="37">
        <v>1.71503078E8</v>
      </c>
      <c r="B36" s="37" t="s">
        <v>43</v>
      </c>
      <c r="C36" s="42">
        <v>3.0E7</v>
      </c>
      <c r="D36" s="42">
        <v>1840000.0</v>
      </c>
      <c r="E36" s="42">
        <v>1840000.0</v>
      </c>
      <c r="F36" s="46">
        <v>1840000.0</v>
      </c>
      <c r="G36" s="43">
        <f t="shared" si="2"/>
        <v>35520000</v>
      </c>
      <c r="H36" s="43">
        <f>VLOOKUP(A36,Dashboard!A:G,7,FALSE)</f>
        <v>390959600</v>
      </c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ht="22.5" customHeight="1">
      <c r="A37" s="37">
        <v>6.496634E7</v>
      </c>
      <c r="B37" s="37" t="s">
        <v>173</v>
      </c>
      <c r="C37" s="42">
        <v>1.0E7</v>
      </c>
      <c r="D37" s="42">
        <v>1.0E7</v>
      </c>
      <c r="E37" s="42">
        <v>1.0E7</v>
      </c>
      <c r="F37" s="46">
        <v>1.0E7</v>
      </c>
      <c r="G37" s="43">
        <f t="shared" si="2"/>
        <v>40000000</v>
      </c>
      <c r="H37" s="43">
        <f>VLOOKUP(A37,Dashboard!A:G,7,FALSE)</f>
        <v>184600000</v>
      </c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ht="22.5" customHeight="1">
      <c r="A38" s="37">
        <v>1.71604682E8</v>
      </c>
      <c r="B38" s="37" t="s">
        <v>212</v>
      </c>
      <c r="C38" s="42">
        <v>5152000.0</v>
      </c>
      <c r="D38" s="42">
        <v>5152000.0</v>
      </c>
      <c r="E38" s="42">
        <v>5464000.0</v>
      </c>
      <c r="F38" s="46">
        <v>4232000.0</v>
      </c>
      <c r="G38" s="43">
        <f t="shared" si="2"/>
        <v>20000000</v>
      </c>
      <c r="H38" s="43">
        <f>VLOOKUP(A38,Dashboard!A:G,7,FALSE)</f>
        <v>210800000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ht="22.5" customHeight="1">
      <c r="A39" s="37">
        <v>6.2576249E7</v>
      </c>
      <c r="B39" s="37" t="s">
        <v>29</v>
      </c>
      <c r="C39" s="42"/>
      <c r="D39" s="42"/>
      <c r="E39" s="42">
        <v>1.0E7</v>
      </c>
      <c r="F39" s="46"/>
      <c r="G39" s="43">
        <f t="shared" si="2"/>
        <v>10000000</v>
      </c>
      <c r="H39" s="43">
        <f>VLOOKUP(A39,Dashboard!A:G,7,FALSE)</f>
        <v>240000000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ht="22.5" customHeight="1">
      <c r="A40" s="37">
        <v>1.71972257E8</v>
      </c>
      <c r="B40" s="37" t="s">
        <v>66</v>
      </c>
      <c r="C40" s="5">
        <v>2.0E7</v>
      </c>
      <c r="D40" s="42"/>
      <c r="E40" s="42"/>
      <c r="F40" s="46"/>
      <c r="G40" s="43">
        <f t="shared" si="2"/>
        <v>20000000</v>
      </c>
      <c r="H40" s="43">
        <f>VLOOKUP(A40,Dashboard!A:G,7,FALSE)</f>
        <v>163000000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ht="22.5" customHeight="1">
      <c r="A41" s="37">
        <v>9.8107237E7</v>
      </c>
      <c r="B41" s="37" t="s">
        <v>184</v>
      </c>
      <c r="C41" s="5">
        <v>2.0E7</v>
      </c>
      <c r="D41" s="42"/>
      <c r="E41" s="42"/>
      <c r="F41" s="46"/>
      <c r="G41" s="43">
        <f t="shared" si="2"/>
        <v>20000000</v>
      </c>
      <c r="H41" s="43">
        <f>VLOOKUP(A41,Dashboard!A:G,7,FALSE)</f>
        <v>330000000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ht="22.5" customHeight="1">
      <c r="A42" s="37">
        <v>1.71879011E8</v>
      </c>
      <c r="B42" s="37" t="s">
        <v>33</v>
      </c>
      <c r="C42" s="5">
        <v>1.0E7</v>
      </c>
      <c r="D42" s="42">
        <v>1.0E7</v>
      </c>
      <c r="E42" s="42">
        <v>1.0E7</v>
      </c>
      <c r="F42" s="46">
        <v>1.0E7</v>
      </c>
      <c r="G42" s="43">
        <f t="shared" si="2"/>
        <v>40000000</v>
      </c>
      <c r="H42" s="43">
        <f>VLOOKUP(A42,Dashboard!A:G,7,FALSE)</f>
        <v>559999998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ht="22.5" customHeight="1">
      <c r="A43" s="37">
        <v>1.5633938E8</v>
      </c>
      <c r="B43" s="37" t="s">
        <v>18</v>
      </c>
      <c r="C43" s="5">
        <v>1.0E7</v>
      </c>
      <c r="D43" s="42">
        <v>1.0E7</v>
      </c>
      <c r="E43" s="42">
        <v>1.0E7</v>
      </c>
      <c r="F43" s="46">
        <v>1.0E7</v>
      </c>
      <c r="G43" s="43">
        <f t="shared" si="2"/>
        <v>40000000</v>
      </c>
      <c r="H43" s="43">
        <f>VLOOKUP(A43,Dashboard!A:G,7,FALSE)</f>
        <v>280000000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ht="22.5" customHeight="1">
      <c r="A44" s="37">
        <v>1.68455139E8</v>
      </c>
      <c r="B44" s="37" t="s">
        <v>175</v>
      </c>
      <c r="C44" s="5">
        <v>1.0E7</v>
      </c>
      <c r="D44" s="42">
        <v>1.0E7</v>
      </c>
      <c r="E44" s="42">
        <v>1.0E7</v>
      </c>
      <c r="F44" s="46">
        <v>1.0E7</v>
      </c>
      <c r="G44" s="43">
        <f t="shared" si="2"/>
        <v>40000000</v>
      </c>
      <c r="H44" s="43">
        <f>VLOOKUP(A44,Dashboard!A:G,7,FALSE)</f>
        <v>1510000000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ht="22.5" customHeight="1">
      <c r="A45" s="37">
        <v>1.69446444E8</v>
      </c>
      <c r="B45" s="37" t="s">
        <v>20</v>
      </c>
      <c r="C45" s="5">
        <v>6000056.0</v>
      </c>
      <c r="D45" s="42">
        <v>6000056.0</v>
      </c>
      <c r="E45" s="42">
        <v>6000056.0</v>
      </c>
      <c r="F45" s="46">
        <v>6000056.0</v>
      </c>
      <c r="G45" s="43">
        <f t="shared" si="2"/>
        <v>24000224</v>
      </c>
      <c r="H45" s="43">
        <f>VLOOKUP(A45,Dashboard!A:G,7,FALSE)</f>
        <v>62400224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ht="22.5" customHeight="1">
      <c r="A46" s="37">
        <v>1.46428825E8</v>
      </c>
      <c r="B46" s="37" t="s">
        <v>172</v>
      </c>
      <c r="C46" s="5">
        <v>2039640.0</v>
      </c>
      <c r="D46" s="42">
        <v>2041080.0</v>
      </c>
      <c r="E46" s="42">
        <v>2959640.0</v>
      </c>
      <c r="F46" s="46">
        <v>2959640.0</v>
      </c>
      <c r="G46" s="43">
        <f t="shared" si="2"/>
        <v>10000000</v>
      </c>
      <c r="H46" s="43">
        <f>VLOOKUP(A46,Dashboard!A:G,7,FALSE)</f>
        <v>69320400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ht="22.5" customHeight="1">
      <c r="A47" s="37">
        <v>1.1726598E7</v>
      </c>
      <c r="B47" s="37" t="s">
        <v>16</v>
      </c>
      <c r="C47" s="5">
        <v>3.0E7</v>
      </c>
      <c r="D47" s="42"/>
      <c r="E47" s="42"/>
      <c r="F47" s="46"/>
      <c r="G47" s="43">
        <f t="shared" si="2"/>
        <v>30000000</v>
      </c>
      <c r="H47" s="43">
        <f>VLOOKUP(A47,Dashboard!A:G,7,FALSE)</f>
        <v>68280001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ht="22.5" customHeight="1">
      <c r="A48" s="37">
        <v>1.68091444E8</v>
      </c>
      <c r="B48" s="37" t="s">
        <v>211</v>
      </c>
      <c r="C48" s="5">
        <v>3680000.0</v>
      </c>
      <c r="D48" s="42">
        <v>3680000.0</v>
      </c>
      <c r="E48" s="42">
        <v>5520000.0</v>
      </c>
      <c r="F48" s="46">
        <v>5520000.0</v>
      </c>
      <c r="G48" s="43">
        <f t="shared" si="2"/>
        <v>18400000</v>
      </c>
      <c r="H48" s="43">
        <f>VLOOKUP(A48,Dashboard!A:G,7,FALSE)</f>
        <v>235864000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ht="22.5" customHeight="1">
      <c r="A49" s="37">
        <v>2463403.0</v>
      </c>
      <c r="B49" s="37" t="s">
        <v>15</v>
      </c>
      <c r="C49" s="5">
        <v>1840000.0</v>
      </c>
      <c r="D49" s="42">
        <v>2640000.0</v>
      </c>
      <c r="E49" s="42">
        <v>2760000.0</v>
      </c>
      <c r="F49" s="46">
        <v>2760000.0</v>
      </c>
      <c r="G49" s="43">
        <f t="shared" si="2"/>
        <v>10000000</v>
      </c>
      <c r="H49" s="43">
        <f>VLOOKUP(A49,Dashboard!A:G,7,FALSE)</f>
        <v>109999999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ht="22.5" customHeight="1">
      <c r="A50" s="37">
        <v>1.56479771E8</v>
      </c>
      <c r="B50" s="37" t="s">
        <v>165</v>
      </c>
      <c r="C50" s="5">
        <v>1840000.0</v>
      </c>
      <c r="D50" s="42">
        <v>1840000.0</v>
      </c>
      <c r="E50" s="42">
        <v>5520000.0</v>
      </c>
      <c r="F50" s="46"/>
      <c r="G50" s="43">
        <f t="shared" si="2"/>
        <v>9200000</v>
      </c>
      <c r="H50" s="43">
        <f>VLOOKUP(A50,Dashboard!A:G,7,FALSE)</f>
        <v>503120000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ht="22.5" customHeight="1">
      <c r="A51" s="37">
        <v>1.71927851E8</v>
      </c>
      <c r="B51" s="37" t="s">
        <v>71</v>
      </c>
      <c r="C51" s="5">
        <v>2024000.0</v>
      </c>
      <c r="D51" s="42">
        <v>2024000.0</v>
      </c>
      <c r="E51" s="42">
        <v>3036000.0</v>
      </c>
      <c r="F51" s="46">
        <v>3036000.0</v>
      </c>
      <c r="G51" s="43">
        <f t="shared" si="2"/>
        <v>10120000</v>
      </c>
      <c r="H51" s="43">
        <f>VLOOKUP(A51,Dashboard!A:G,7,FALSE)</f>
        <v>105384000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ht="22.5" customHeight="1">
      <c r="A52" s="37">
        <v>1.7160984E8</v>
      </c>
      <c r="B52" s="37" t="s">
        <v>77</v>
      </c>
      <c r="C52" s="5"/>
      <c r="D52" s="42"/>
      <c r="E52" s="42">
        <v>2.0E7</v>
      </c>
      <c r="F52" s="46"/>
      <c r="G52" s="43">
        <f t="shared" si="2"/>
        <v>20000000</v>
      </c>
      <c r="H52" s="43">
        <f>VLOOKUP(A52,Dashboard!A:G,7,FALSE)</f>
        <v>50000000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ht="22.5" customHeight="1">
      <c r="A53" s="37">
        <v>1.71830779E8</v>
      </c>
      <c r="B53" s="37" t="s">
        <v>151</v>
      </c>
      <c r="C53" s="5">
        <v>3.88741221E8</v>
      </c>
      <c r="D53" s="42">
        <v>6.276E7</v>
      </c>
      <c r="E53" s="42">
        <v>1.276E7</v>
      </c>
      <c r="F53" s="46">
        <v>8.172E7</v>
      </c>
      <c r="G53" s="43">
        <f t="shared" si="2"/>
        <v>545981221</v>
      </c>
      <c r="H53" s="43">
        <f>VLOOKUP(A53,Dashboard!A:G,7,FALSE)</f>
        <v>655180761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ht="22.5" customHeight="1">
      <c r="A54" s="37">
        <v>6.7071592E7</v>
      </c>
      <c r="B54" s="37" t="s">
        <v>171</v>
      </c>
      <c r="C54" s="5">
        <v>1.0E7</v>
      </c>
      <c r="D54" s="42">
        <v>1.0E7</v>
      </c>
      <c r="E54" s="42">
        <v>1.0E7</v>
      </c>
      <c r="F54" s="46">
        <v>1.0E7</v>
      </c>
      <c r="G54" s="43">
        <f t="shared" si="2"/>
        <v>40000000</v>
      </c>
      <c r="H54" s="43">
        <f>VLOOKUP(A54,Dashboard!A:G,7,FALSE)</f>
        <v>115640000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ht="22.5" customHeight="1">
      <c r="A55" s="39">
        <v>1.66497805E8</v>
      </c>
      <c r="B55" s="39" t="s">
        <v>56</v>
      </c>
      <c r="C55" s="5">
        <v>2024000.0</v>
      </c>
      <c r="D55" s="42">
        <v>2024000.0</v>
      </c>
      <c r="E55" s="42">
        <v>2990000.0</v>
      </c>
      <c r="F55" s="46">
        <v>2962000.0</v>
      </c>
      <c r="G55" s="43">
        <f t="shared" si="2"/>
        <v>10000000</v>
      </c>
      <c r="H55" s="43">
        <f>VLOOKUP(A55,Dashboard!A:G,7,FALSE)</f>
        <v>70000000</v>
      </c>
      <c r="I55" s="48"/>
      <c r="J55" s="48"/>
      <c r="K55" s="48"/>
      <c r="L55" s="48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ht="22.5" customHeight="1">
      <c r="A56" s="36">
        <v>1.68923934E8</v>
      </c>
      <c r="B56" s="36" t="s">
        <v>52</v>
      </c>
      <c r="C56" s="5">
        <v>3560000.0</v>
      </c>
      <c r="D56" s="42">
        <v>1840000.0</v>
      </c>
      <c r="E56" s="42">
        <v>2760000.0</v>
      </c>
      <c r="F56" s="46">
        <v>1840000.0</v>
      </c>
      <c r="G56" s="43">
        <f t="shared" si="2"/>
        <v>10000000</v>
      </c>
      <c r="H56" s="43">
        <f>VLOOKUP(A56,Dashboard!A:G,7,FALSE)</f>
        <v>49200000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ht="22.5" customHeight="1">
      <c r="A57" s="36">
        <v>1.71697263E8</v>
      </c>
      <c r="B57" s="36" t="s">
        <v>210</v>
      </c>
      <c r="C57" s="5"/>
      <c r="D57" s="5">
        <v>9.9968623E7</v>
      </c>
      <c r="E57" s="42"/>
      <c r="F57" s="46"/>
      <c r="G57" s="43">
        <f t="shared" si="2"/>
        <v>99968623</v>
      </c>
      <c r="H57" s="43">
        <f>VLOOKUP(A57,Dashboard!A:G,7,FALSE)</f>
        <v>606794789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ht="22.5" customHeight="1">
      <c r="A58" s="36">
        <v>1.72041454E8</v>
      </c>
      <c r="B58" s="36" t="s">
        <v>75</v>
      </c>
      <c r="C58" s="5">
        <v>2024000.0</v>
      </c>
      <c r="D58" s="5">
        <v>1.276E7</v>
      </c>
      <c r="E58" s="42">
        <v>2024000.0</v>
      </c>
      <c r="F58" s="46">
        <v>1012000.0</v>
      </c>
      <c r="G58" s="43">
        <f t="shared" si="2"/>
        <v>17820000</v>
      </c>
      <c r="H58" s="43">
        <f>VLOOKUP(A58,Dashboard!A:G,7,FALSE)</f>
        <v>208420000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ht="22.5" customHeight="1">
      <c r="A59" s="39">
        <v>1.69247313E8</v>
      </c>
      <c r="B59" s="39" t="s">
        <v>37</v>
      </c>
      <c r="C59" s="5">
        <v>1840000.0</v>
      </c>
      <c r="D59" s="5">
        <v>1840000.0</v>
      </c>
      <c r="E59" s="42">
        <v>2760000.0</v>
      </c>
      <c r="F59" s="46">
        <v>2760000.0</v>
      </c>
      <c r="G59" s="43">
        <f t="shared" si="2"/>
        <v>9200000</v>
      </c>
      <c r="H59" s="43">
        <f>VLOOKUP(A59,Dashboard!A:G,7,FALSE)</f>
        <v>75200000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ht="22.5" customHeight="1">
      <c r="A60" s="39">
        <v>1.55534128E8</v>
      </c>
      <c r="B60" s="39" t="s">
        <v>76</v>
      </c>
      <c r="C60" s="5">
        <v>1.06528E7</v>
      </c>
      <c r="D60" s="5">
        <v>9503600.0</v>
      </c>
      <c r="E60" s="42">
        <v>9503600.0</v>
      </c>
      <c r="F60" s="46">
        <v>340000.0</v>
      </c>
      <c r="G60" s="43">
        <f t="shared" si="2"/>
        <v>30000000</v>
      </c>
      <c r="H60" s="43">
        <f>VLOOKUP(A60,Dashboard!A:G,7,FALSE)</f>
        <v>49200000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ht="22.5" customHeight="1">
      <c r="A61" s="39">
        <v>1.1279231E8</v>
      </c>
      <c r="B61" s="39" t="s">
        <v>169</v>
      </c>
      <c r="C61" s="5">
        <v>4.0E7</v>
      </c>
      <c r="D61" s="5"/>
      <c r="E61" s="42">
        <v>4.0E7</v>
      </c>
      <c r="F61" s="46"/>
      <c r="G61" s="43">
        <f t="shared" si="2"/>
        <v>80000000</v>
      </c>
      <c r="H61" s="43">
        <f>VLOOKUP(A61,Dashboard!A:G,7,FALSE)</f>
        <v>390000000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ht="22.5" customHeight="1">
      <c r="A62" s="36">
        <v>1.53857025E8</v>
      </c>
      <c r="B62" s="36" t="s">
        <v>86</v>
      </c>
      <c r="C62" s="5">
        <v>1.0E7</v>
      </c>
      <c r="D62" s="5">
        <v>1.0E7</v>
      </c>
      <c r="E62" s="42">
        <v>1.0E7</v>
      </c>
      <c r="F62" s="46">
        <v>3220000.0</v>
      </c>
      <c r="G62" s="43">
        <f t="shared" si="2"/>
        <v>33220000</v>
      </c>
      <c r="H62" s="43">
        <f>VLOOKUP(A62,Dashboard!A:G,7,FALSE)</f>
        <v>381620000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ht="22.5" customHeight="1">
      <c r="A63" s="36">
        <v>1.61646318E8</v>
      </c>
      <c r="B63" s="36" t="s">
        <v>120</v>
      </c>
      <c r="C63" s="5">
        <v>2760000.0</v>
      </c>
      <c r="D63" s="5">
        <v>2760000.0</v>
      </c>
      <c r="E63" s="42">
        <v>3680000.0</v>
      </c>
      <c r="F63" s="46">
        <v>3036000.0</v>
      </c>
      <c r="G63" s="43">
        <f t="shared" si="2"/>
        <v>12236000</v>
      </c>
      <c r="H63" s="43">
        <f>VLOOKUP(A63,Dashboard!A:G,7,FALSE)</f>
        <v>150434400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9"/>
      <c r="AB63" s="49"/>
      <c r="AC63" s="49"/>
      <c r="AD63" s="49"/>
    </row>
    <row r="64" ht="22.5" customHeight="1">
      <c r="A64" s="36">
        <v>1.71753933E8</v>
      </c>
      <c r="B64" s="36" t="s">
        <v>87</v>
      </c>
      <c r="C64" s="5">
        <v>1840000.0</v>
      </c>
      <c r="D64" s="5">
        <v>2760000.0</v>
      </c>
      <c r="E64" s="42">
        <v>2760000.0</v>
      </c>
      <c r="F64" s="46">
        <v>2640000.0</v>
      </c>
      <c r="G64" s="43">
        <f t="shared" si="2"/>
        <v>10000000</v>
      </c>
      <c r="H64" s="43">
        <f>VLOOKUP(A64,Dashboard!A:G,7,FALSE)</f>
        <v>110211998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ht="22.5" customHeight="1">
      <c r="A65" s="36">
        <v>1.71910225E8</v>
      </c>
      <c r="B65" s="36" t="s">
        <v>100</v>
      </c>
      <c r="C65" s="5">
        <v>4600000.0</v>
      </c>
      <c r="D65" s="5">
        <v>4600000.0</v>
      </c>
      <c r="E65" s="42">
        <v>5400000.0</v>
      </c>
      <c r="F65" s="46">
        <v>5400000.0</v>
      </c>
      <c r="G65" s="43">
        <f t="shared" si="2"/>
        <v>20000000</v>
      </c>
      <c r="H65" s="43">
        <f>VLOOKUP(A65,Dashboard!A:G,7,FALSE)</f>
        <v>559467753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ht="22.5" customHeight="1">
      <c r="A66" s="36">
        <v>7.4556991E7</v>
      </c>
      <c r="B66" s="36" t="s">
        <v>183</v>
      </c>
      <c r="C66" s="5">
        <v>3680000.0</v>
      </c>
      <c r="D66" s="5">
        <v>3680000.0</v>
      </c>
      <c r="E66" s="42">
        <v>5520000.0</v>
      </c>
      <c r="F66" s="46">
        <v>5520000.0</v>
      </c>
      <c r="G66" s="43">
        <f t="shared" si="2"/>
        <v>18400000</v>
      </c>
      <c r="H66" s="43">
        <f>VLOOKUP(A66,Dashboard!A:G,7,FALSE)</f>
        <v>36800000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ht="22.5" customHeight="1">
      <c r="A67" s="36">
        <v>1.4461836E8</v>
      </c>
      <c r="B67" s="36" t="s">
        <v>112</v>
      </c>
      <c r="C67" s="5"/>
      <c r="D67" s="5">
        <v>1.0E7</v>
      </c>
      <c r="E67" s="42"/>
      <c r="F67" s="46"/>
      <c r="G67" s="43">
        <f t="shared" si="2"/>
        <v>10000000</v>
      </c>
      <c r="H67" s="43">
        <f>VLOOKUP(A67,Dashboard!A:G,7,FALSE)</f>
        <v>110000000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ht="22.5" customHeight="1">
      <c r="A68" s="36">
        <v>7.7394861E7</v>
      </c>
      <c r="B68" s="36" t="s">
        <v>178</v>
      </c>
      <c r="C68" s="5">
        <v>1840000.0</v>
      </c>
      <c r="D68" s="5">
        <v>1840000.0</v>
      </c>
      <c r="E68" s="42">
        <v>2760000.0</v>
      </c>
      <c r="F68" s="46">
        <v>2760000.0</v>
      </c>
      <c r="G68" s="43">
        <f t="shared" si="2"/>
        <v>9200000</v>
      </c>
      <c r="H68" s="43">
        <f>VLOOKUP(A68,Dashboard!A:G,7,FALSE)</f>
        <v>64400000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ht="22.5" customHeight="1">
      <c r="A69" s="36">
        <v>1.70728362E8</v>
      </c>
      <c r="B69" s="36" t="s">
        <v>99</v>
      </c>
      <c r="C69" s="5">
        <v>2.0E7</v>
      </c>
      <c r="D69" s="5">
        <v>1.0E7</v>
      </c>
      <c r="E69" s="42">
        <v>1.0E7</v>
      </c>
      <c r="F69" s="46"/>
      <c r="G69" s="43">
        <f t="shared" si="2"/>
        <v>40000000</v>
      </c>
      <c r="H69" s="43">
        <f>VLOOKUP(A69,Dashboard!A:G,7,FALSE)</f>
        <v>190000000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ht="22.5" customHeight="1">
      <c r="A70" s="36">
        <v>1.69326547E8</v>
      </c>
      <c r="B70" s="36" t="s">
        <v>174</v>
      </c>
      <c r="C70" s="5">
        <v>1.0E7</v>
      </c>
      <c r="D70" s="5">
        <v>2.0E7</v>
      </c>
      <c r="E70" s="42">
        <v>1.0E7</v>
      </c>
      <c r="F70" s="46">
        <v>1.0E7</v>
      </c>
      <c r="G70" s="43">
        <f t="shared" si="2"/>
        <v>50000000</v>
      </c>
      <c r="H70" s="43">
        <f>VLOOKUP(A70,Dashboard!A:G,7,FALSE)</f>
        <v>121840000</v>
      </c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ht="22.5" customHeight="1">
      <c r="A71" s="36">
        <v>2.7578537E7</v>
      </c>
      <c r="B71" s="36" t="s">
        <v>179</v>
      </c>
      <c r="C71" s="5">
        <v>1.0E7</v>
      </c>
      <c r="D71" s="5">
        <v>1.0E7</v>
      </c>
      <c r="E71" s="42">
        <v>1.0E7</v>
      </c>
      <c r="F71" s="46">
        <v>1.0E7</v>
      </c>
      <c r="G71" s="43">
        <f t="shared" si="2"/>
        <v>40000000</v>
      </c>
      <c r="H71" s="43">
        <f>VLOOKUP(A71,Dashboard!A:G,7,FALSE)</f>
        <v>946182150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ht="22.5" customHeight="1">
      <c r="A72" s="36">
        <v>1.4361245E8</v>
      </c>
      <c r="B72" s="36" t="s">
        <v>142</v>
      </c>
      <c r="C72" s="5">
        <v>4000000.0</v>
      </c>
      <c r="D72" s="5">
        <v>4000000.0</v>
      </c>
      <c r="E72" s="42"/>
      <c r="F72" s="46">
        <v>4000000.0</v>
      </c>
      <c r="G72" s="43">
        <f t="shared" si="2"/>
        <v>12000000</v>
      </c>
      <c r="H72" s="43">
        <f>VLOOKUP(A72,Dashboard!A:G,7,FALSE)</f>
        <v>108080000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ht="22.5" customHeight="1">
      <c r="A73" s="36">
        <v>1.67637163E8</v>
      </c>
      <c r="B73" s="36" t="s">
        <v>19</v>
      </c>
      <c r="C73" s="5">
        <v>2208000.0</v>
      </c>
      <c r="D73" s="5">
        <v>2208000.0</v>
      </c>
      <c r="E73" s="42">
        <v>3128000.0</v>
      </c>
      <c r="F73" s="46">
        <v>3128000.0</v>
      </c>
      <c r="G73" s="43">
        <f t="shared" si="2"/>
        <v>10672000</v>
      </c>
      <c r="H73" s="43">
        <f>VLOOKUP(A73,Dashboard!A:G,7,FALSE)</f>
        <v>231725200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ht="22.5" customHeight="1">
      <c r="A74" s="39">
        <v>1.44684719E8</v>
      </c>
      <c r="B74" s="39" t="s">
        <v>92</v>
      </c>
      <c r="C74" s="5">
        <v>7.0E7</v>
      </c>
      <c r="D74" s="5">
        <v>1.1E8</v>
      </c>
      <c r="E74" s="42"/>
      <c r="F74" s="46"/>
      <c r="G74" s="43">
        <f t="shared" si="2"/>
        <v>180000000</v>
      </c>
      <c r="H74" s="43">
        <f>VLOOKUP(A74,Dashboard!A:G,7,FALSE)</f>
        <v>875362125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ht="22.5" customHeight="1">
      <c r="A75" s="36">
        <v>1.72029365E8</v>
      </c>
      <c r="B75" s="36" t="s">
        <v>147</v>
      </c>
      <c r="C75" s="5"/>
      <c r="D75" s="5">
        <v>9.0E7</v>
      </c>
      <c r="E75" s="42"/>
      <c r="F75" s="46">
        <v>4.0E7</v>
      </c>
      <c r="G75" s="43">
        <f t="shared" si="2"/>
        <v>130000000</v>
      </c>
      <c r="H75" s="43">
        <f>VLOOKUP(A75,Dashboard!A:G,7,FALSE)</f>
        <v>850000000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ht="22.5" customHeight="1">
      <c r="A76" s="36">
        <v>1.72021868E8</v>
      </c>
      <c r="B76" s="36" t="s">
        <v>81</v>
      </c>
      <c r="C76" s="5">
        <v>1.0E7</v>
      </c>
      <c r="D76" s="5">
        <v>1.0E7</v>
      </c>
      <c r="E76" s="42">
        <v>1.0E7</v>
      </c>
      <c r="F76" s="46">
        <v>2.0E7</v>
      </c>
      <c r="G76" s="43">
        <f t="shared" si="2"/>
        <v>50000000</v>
      </c>
      <c r="H76" s="43">
        <f>VLOOKUP(A76,Dashboard!A:G,7,FALSE)</f>
        <v>284041640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ht="22.5" customHeight="1">
      <c r="A77" s="36">
        <v>1.69420296E8</v>
      </c>
      <c r="B77" s="36" t="s">
        <v>138</v>
      </c>
      <c r="C77" s="5">
        <v>1.0E7</v>
      </c>
      <c r="D77" s="5">
        <v>1.0E7</v>
      </c>
      <c r="E77" s="42">
        <v>1.0E7</v>
      </c>
      <c r="F77" s="46">
        <v>1.0E7</v>
      </c>
      <c r="G77" s="43">
        <f t="shared" si="2"/>
        <v>40000000</v>
      </c>
      <c r="H77" s="43">
        <f>VLOOKUP(A77,Dashboard!A:G,7,FALSE)</f>
        <v>361723910</v>
      </c>
      <c r="I77" s="45"/>
      <c r="J77" s="6"/>
      <c r="K77" s="6"/>
      <c r="L77" s="6"/>
      <c r="M77" s="6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ht="22.5" customHeight="1">
      <c r="A78" s="36">
        <v>1.36662717E8</v>
      </c>
      <c r="B78" s="36" t="s">
        <v>213</v>
      </c>
      <c r="C78" s="5"/>
      <c r="D78" s="5"/>
      <c r="E78" s="42"/>
      <c r="F78" s="46">
        <v>1.0E7</v>
      </c>
      <c r="G78" s="43">
        <f t="shared" si="2"/>
        <v>10000000</v>
      </c>
      <c r="H78" s="43">
        <f>VLOOKUP(A78,Dashboard!A:G,7,FALSE)</f>
        <v>30000000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ht="22.5" customHeight="1">
      <c r="A79" s="36">
        <v>1.71355737E8</v>
      </c>
      <c r="B79" s="36" t="s">
        <v>64</v>
      </c>
      <c r="C79" s="5">
        <v>3906784.0</v>
      </c>
      <c r="D79" s="5">
        <v>4025648.0</v>
      </c>
      <c r="E79" s="42">
        <v>5409120.0</v>
      </c>
      <c r="F79" s="46">
        <v>3145871.0</v>
      </c>
      <c r="G79" s="43">
        <f t="shared" si="2"/>
        <v>16487423</v>
      </c>
      <c r="H79" s="43">
        <f>VLOOKUP(A79,Dashboard!A:G,7,FALSE)</f>
        <v>38787422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ht="22.5" customHeight="1">
      <c r="A80" s="36">
        <v>1.81734011E8</v>
      </c>
      <c r="B80" s="36" t="s">
        <v>158</v>
      </c>
      <c r="C80" s="5">
        <v>1687192.0</v>
      </c>
      <c r="D80" s="5">
        <v>2345569.0</v>
      </c>
      <c r="E80" s="42">
        <v>1779501.0</v>
      </c>
      <c r="F80" s="46">
        <v>4187739.0</v>
      </c>
      <c r="G80" s="43">
        <f t="shared" si="2"/>
        <v>10000001</v>
      </c>
      <c r="H80" s="43">
        <f>VLOOKUP(A80,Dashboard!A:G,7,FALSE)</f>
        <v>60827999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ht="22.5" customHeight="1">
      <c r="A81" s="36">
        <v>1.20029911E8</v>
      </c>
      <c r="B81" s="36" t="s">
        <v>48</v>
      </c>
      <c r="C81" s="5">
        <v>2760000.0</v>
      </c>
      <c r="D81" s="5">
        <v>2760000.0</v>
      </c>
      <c r="E81" s="42">
        <v>3560000.0</v>
      </c>
      <c r="F81" s="46">
        <v>920000.0</v>
      </c>
      <c r="G81" s="43">
        <f t="shared" si="2"/>
        <v>10000000</v>
      </c>
      <c r="H81" s="43">
        <f>VLOOKUP(A81,Dashboard!A:G,7,FALSE)</f>
        <v>59200000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ht="22.5" customHeight="1">
      <c r="A82" s="44" t="str">
        <f>count(Week_9_15_Feb_2026[ID]) &amp; " Contributors"</f>
        <v>50 Contributors</v>
      </c>
      <c r="B82" s="44"/>
      <c r="C82" s="43">
        <f>sum(Week_9_15_Feb_2026[Food])</f>
        <v>808059693</v>
      </c>
      <c r="D82" s="43">
        <f>sum(Week_9_15_Feb_2026[Wood])</f>
        <v>805972576</v>
      </c>
      <c r="E82" s="43">
        <f>sum(Week_9_15_Feb_2026[Stone])</f>
        <v>297133917</v>
      </c>
      <c r="F82" s="43">
        <f>sum(Week_9_15_Feb_2026[Gold])</f>
        <v>320459306</v>
      </c>
      <c r="G82" s="43">
        <f>sum(Week_9_15_Feb_2026[Week Contribution])</f>
        <v>2231625492</v>
      </c>
      <c r="H82" s="43">
        <f>sum(Week_9_15_Feb_2026[Total Contribution])</f>
        <v>14626862532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>
      <c r="A83" s="40"/>
      <c r="B83" s="40"/>
      <c r="C83" s="40"/>
      <c r="D83" s="40"/>
      <c r="E83" s="40"/>
      <c r="F83" s="40"/>
      <c r="G83" s="40"/>
      <c r="H83" s="40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>
      <c r="A84" s="40"/>
      <c r="B84" s="40"/>
      <c r="C84" s="40"/>
      <c r="D84" s="40"/>
      <c r="E84" s="40"/>
      <c r="F84" s="40"/>
      <c r="G84" s="40"/>
      <c r="H84" s="40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>
      <c r="A85" s="40"/>
      <c r="B85" s="40"/>
      <c r="C85" s="40"/>
      <c r="D85" s="40"/>
      <c r="E85" s="40"/>
      <c r="F85" s="40"/>
      <c r="G85" s="40"/>
      <c r="H85" s="40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ht="22.5" customHeight="1">
      <c r="A86" s="37" t="s">
        <v>8</v>
      </c>
      <c r="B86" s="37" t="s">
        <v>207</v>
      </c>
      <c r="C86" s="37" t="s">
        <v>4</v>
      </c>
      <c r="D86" s="37" t="s">
        <v>5</v>
      </c>
      <c r="E86" s="37" t="s">
        <v>6</v>
      </c>
      <c r="F86" s="37" t="s">
        <v>7</v>
      </c>
      <c r="G86" s="37" t="s">
        <v>208</v>
      </c>
      <c r="H86" s="37" t="s">
        <v>209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ht="22.5" customHeight="1">
      <c r="A87" s="37">
        <v>1.20029911E8</v>
      </c>
      <c r="B87" s="37" t="s">
        <v>48</v>
      </c>
      <c r="C87" s="42">
        <v>6072000.0</v>
      </c>
      <c r="D87" s="42">
        <v>6072000.0</v>
      </c>
      <c r="E87" s="42">
        <v>4048000.0</v>
      </c>
      <c r="F87" s="42">
        <v>3808000.0</v>
      </c>
      <c r="G87" s="43">
        <f t="shared" ref="G87:G131" si="3">SUM(C87:F87)</f>
        <v>20000000</v>
      </c>
      <c r="H87" s="43">
        <f>VLOOKUP(A87,Dashboard!A:G,7,FALSE)</f>
        <v>59200000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ht="22.5" customHeight="1">
      <c r="A88" s="38">
        <v>1.6942777E8</v>
      </c>
      <c r="B88" s="38" t="s">
        <v>63</v>
      </c>
      <c r="C88" s="42">
        <v>2760000.0</v>
      </c>
      <c r="D88" s="42">
        <v>3220000.0</v>
      </c>
      <c r="E88" s="42">
        <v>2300000.0</v>
      </c>
      <c r="F88" s="42">
        <v>1720000.0</v>
      </c>
      <c r="G88" s="43">
        <f t="shared" si="3"/>
        <v>10000000</v>
      </c>
      <c r="H88" s="43">
        <f>VLOOKUP(A88,Dashboard!A:G,7,FALSE)</f>
        <v>278400000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ht="22.5" customHeight="1">
      <c r="A89" s="39">
        <v>6.496634E7</v>
      </c>
      <c r="B89" s="39" t="s">
        <v>173</v>
      </c>
      <c r="C89" s="42">
        <v>1.0E7</v>
      </c>
      <c r="D89" s="42">
        <v>1.0E7</v>
      </c>
      <c r="E89" s="42">
        <v>1.0E7</v>
      </c>
      <c r="F89" s="42">
        <v>1.0E7</v>
      </c>
      <c r="G89" s="43">
        <f t="shared" si="3"/>
        <v>40000000</v>
      </c>
      <c r="H89" s="43">
        <f>VLOOKUP(A89,Dashboard!A:G,7,FALSE)</f>
        <v>184600000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ht="22.5" customHeight="1">
      <c r="A90" s="39">
        <v>1.67614515E8</v>
      </c>
      <c r="B90" s="39" t="s">
        <v>93</v>
      </c>
      <c r="C90" s="42">
        <v>1840000.0</v>
      </c>
      <c r="D90" s="42">
        <v>3680000.0</v>
      </c>
      <c r="E90" s="42">
        <v>1840000.0</v>
      </c>
      <c r="F90" s="42">
        <v>1840000.0</v>
      </c>
      <c r="G90" s="43">
        <f t="shared" si="3"/>
        <v>9200000</v>
      </c>
      <c r="H90" s="43">
        <f>VLOOKUP(A90,Dashboard!A:G,7,FALSE)</f>
        <v>73600000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ht="22.5" customHeight="1">
      <c r="A91" s="39">
        <v>9.8107237E7</v>
      </c>
      <c r="B91" s="39" t="s">
        <v>184</v>
      </c>
      <c r="C91" s="42">
        <v>1.2E7</v>
      </c>
      <c r="D91" s="42">
        <v>1.2E7</v>
      </c>
      <c r="E91" s="42">
        <v>1.2E7</v>
      </c>
      <c r="F91" s="42">
        <v>1.2E7</v>
      </c>
      <c r="G91" s="43">
        <f t="shared" si="3"/>
        <v>48000000</v>
      </c>
      <c r="H91" s="43">
        <f>VLOOKUP(A91,Dashboard!A:G,7,FALSE)</f>
        <v>330000000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ht="22.5" customHeight="1">
      <c r="A92" s="39">
        <v>1.67637163E8</v>
      </c>
      <c r="B92" s="39" t="s">
        <v>19</v>
      </c>
      <c r="C92" s="42">
        <v>2300000.0</v>
      </c>
      <c r="D92" s="42">
        <v>2300000.0</v>
      </c>
      <c r="E92" s="42">
        <v>3220000.0</v>
      </c>
      <c r="F92" s="42">
        <v>3220000.0</v>
      </c>
      <c r="G92" s="43">
        <f t="shared" si="3"/>
        <v>11040000</v>
      </c>
      <c r="H92" s="43">
        <f>VLOOKUP(A92,Dashboard!A:G,7,FALSE)</f>
        <v>231725200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ht="22.5" customHeight="1">
      <c r="A93" s="39">
        <v>6.2576249E7</v>
      </c>
      <c r="B93" s="39" t="s">
        <v>29</v>
      </c>
      <c r="C93" s="42"/>
      <c r="D93" s="42"/>
      <c r="E93" s="42">
        <v>1.0E7</v>
      </c>
      <c r="F93" s="42"/>
      <c r="G93" s="43">
        <f t="shared" si="3"/>
        <v>10000000</v>
      </c>
      <c r="H93" s="43">
        <f>VLOOKUP(A93,Dashboard!A:G,7,FALSE)</f>
        <v>240000000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ht="22.5" customHeight="1">
      <c r="A94" s="36">
        <v>1.5633938E8</v>
      </c>
      <c r="B94" s="36" t="s">
        <v>18</v>
      </c>
      <c r="C94" s="42">
        <v>1.0E7</v>
      </c>
      <c r="D94" s="42">
        <v>1.0E7</v>
      </c>
      <c r="E94" s="42">
        <v>1.0E7</v>
      </c>
      <c r="F94" s="42">
        <v>1.0E7</v>
      </c>
      <c r="G94" s="43">
        <f t="shared" si="3"/>
        <v>40000000</v>
      </c>
      <c r="H94" s="43">
        <f>VLOOKUP(A94,Dashboard!A:G,7,FALSE)</f>
        <v>280000000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ht="22.5" customHeight="1">
      <c r="A95" s="39">
        <v>1.7160984E8</v>
      </c>
      <c r="B95" s="39" t="s">
        <v>77</v>
      </c>
      <c r="C95" s="42">
        <v>1840000.0</v>
      </c>
      <c r="D95" s="42">
        <v>1840000.0</v>
      </c>
      <c r="E95" s="42">
        <v>3560000.0</v>
      </c>
      <c r="F95" s="42">
        <v>2760000.0</v>
      </c>
      <c r="G95" s="43">
        <f t="shared" si="3"/>
        <v>10000000</v>
      </c>
      <c r="H95" s="43">
        <f>VLOOKUP(A95,Dashboard!A:G,7,FALSE)</f>
        <v>50000000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ht="22.5" customHeight="1">
      <c r="A96" s="39">
        <v>1.66497805E8</v>
      </c>
      <c r="B96" s="39" t="s">
        <v>56</v>
      </c>
      <c r="C96" s="42">
        <v>2024000.0</v>
      </c>
      <c r="D96" s="42">
        <v>2024000.0</v>
      </c>
      <c r="E96" s="42">
        <v>2990000.0</v>
      </c>
      <c r="F96" s="42">
        <v>2962000.0</v>
      </c>
      <c r="G96" s="43">
        <f t="shared" si="3"/>
        <v>10000000</v>
      </c>
      <c r="H96" s="43">
        <f>VLOOKUP(A96,Dashboard!A:G,7,FALSE)</f>
        <v>70000000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ht="22.5" customHeight="1">
      <c r="A97" s="36">
        <v>1.68455139E8</v>
      </c>
      <c r="B97" s="36" t="s">
        <v>175</v>
      </c>
      <c r="C97" s="42">
        <v>1.0E7</v>
      </c>
      <c r="D97" s="42">
        <v>1.0E7</v>
      </c>
      <c r="E97" s="42">
        <v>1.0E7</v>
      </c>
      <c r="F97" s="42">
        <v>1.0E7</v>
      </c>
      <c r="G97" s="43">
        <f t="shared" si="3"/>
        <v>40000000</v>
      </c>
      <c r="H97" s="43">
        <f>VLOOKUP(A97,Dashboard!A:G,7,FALSE)</f>
        <v>1510000000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ht="22.5" customHeight="1">
      <c r="A98" s="39">
        <v>1.71830779E8</v>
      </c>
      <c r="B98" s="39" t="s">
        <v>151</v>
      </c>
      <c r="C98" s="42">
        <v>2760000.0</v>
      </c>
      <c r="D98" s="42">
        <v>2760000.0</v>
      </c>
      <c r="E98" s="42">
        <v>2760000.0</v>
      </c>
      <c r="F98" s="42">
        <v>1720000.0</v>
      </c>
      <c r="G98" s="43">
        <f t="shared" si="3"/>
        <v>10000000</v>
      </c>
      <c r="H98" s="43">
        <f>VLOOKUP(A98,Dashboard!A:G,7,FALSE)</f>
        <v>655180761</v>
      </c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ht="22.5" customHeight="1">
      <c r="A99" s="36">
        <v>1.72029365E8</v>
      </c>
      <c r="B99" s="36" t="s">
        <v>147</v>
      </c>
      <c r="C99" s="42"/>
      <c r="D99" s="42">
        <v>5.0E7</v>
      </c>
      <c r="E99" s="42"/>
      <c r="F99" s="42">
        <v>5.0E7</v>
      </c>
      <c r="G99" s="43">
        <f t="shared" si="3"/>
        <v>100000000</v>
      </c>
      <c r="H99" s="43">
        <f>VLOOKUP(A99,Dashboard!A:G,7,FALSE)</f>
        <v>850000000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ht="22.5" customHeight="1">
      <c r="A100" s="36">
        <v>1.72033754E8</v>
      </c>
      <c r="B100" s="36" t="s">
        <v>79</v>
      </c>
      <c r="C100" s="42">
        <v>1840000.0</v>
      </c>
      <c r="D100" s="42">
        <v>3560000.0</v>
      </c>
      <c r="E100" s="42">
        <v>1840000.0</v>
      </c>
      <c r="F100" s="42">
        <v>2760000.0</v>
      </c>
      <c r="G100" s="43">
        <f t="shared" si="3"/>
        <v>10000000</v>
      </c>
      <c r="H100" s="43">
        <f>VLOOKUP(A100,Dashboard!A:G,7,FALSE)</f>
        <v>930794163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ht="22.5" customHeight="1">
      <c r="A101" s="36">
        <v>1.68091444E8</v>
      </c>
      <c r="B101" s="36" t="s">
        <v>211</v>
      </c>
      <c r="C101" s="42">
        <v>3864000.0</v>
      </c>
      <c r="D101" s="42">
        <v>3680000.0</v>
      </c>
      <c r="E101" s="42">
        <v>5520000.0</v>
      </c>
      <c r="F101" s="42">
        <v>5520000.0</v>
      </c>
      <c r="G101" s="43">
        <f t="shared" si="3"/>
        <v>18584000</v>
      </c>
      <c r="H101" s="43">
        <f>VLOOKUP(A101,Dashboard!A:G,7,FALSE)</f>
        <v>235864000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ht="22.5" customHeight="1">
      <c r="A102" s="36">
        <v>1.53857025E8</v>
      </c>
      <c r="B102" s="36" t="s">
        <v>86</v>
      </c>
      <c r="C102" s="42">
        <v>1.0E7</v>
      </c>
      <c r="D102" s="42">
        <v>1.0E7</v>
      </c>
      <c r="E102" s="42">
        <v>1.0E7</v>
      </c>
      <c r="F102" s="42">
        <v>4600000.0</v>
      </c>
      <c r="G102" s="43">
        <f t="shared" si="3"/>
        <v>34600000</v>
      </c>
      <c r="H102" s="43">
        <f>VLOOKUP(A102,Dashboard!A:G,7,FALSE)</f>
        <v>381620000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</row>
    <row r="103" ht="22.5" customHeight="1">
      <c r="A103" s="39">
        <v>1.69247313E8</v>
      </c>
      <c r="B103" s="39" t="s">
        <v>37</v>
      </c>
      <c r="C103" s="42">
        <v>1840000.0</v>
      </c>
      <c r="D103" s="42">
        <v>1840000.0</v>
      </c>
      <c r="E103" s="42">
        <v>2760000.0</v>
      </c>
      <c r="F103" s="42">
        <v>2760000.0</v>
      </c>
      <c r="G103" s="43">
        <f t="shared" si="3"/>
        <v>9200000</v>
      </c>
      <c r="H103" s="43">
        <f>VLOOKUP(A103,Dashboard!A:G,7,FALSE)</f>
        <v>75200000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</row>
    <row r="104" ht="22.5" customHeight="1">
      <c r="A104" s="36">
        <v>7.9650085E7</v>
      </c>
      <c r="B104" s="36" t="s">
        <v>182</v>
      </c>
      <c r="C104" s="42"/>
      <c r="D104" s="42">
        <v>1.0E7</v>
      </c>
      <c r="E104" s="42">
        <v>1.0E7</v>
      </c>
      <c r="F104" s="42">
        <v>1.0E7</v>
      </c>
      <c r="G104" s="43">
        <f t="shared" si="3"/>
        <v>30000000</v>
      </c>
      <c r="H104" s="43">
        <f>VLOOKUP(A104,Dashboard!A:G,7,FALSE)</f>
        <v>40000000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</row>
    <row r="105" ht="22.5" customHeight="1">
      <c r="A105" s="36">
        <v>7.7394861E7</v>
      </c>
      <c r="B105" s="36" t="s">
        <v>178</v>
      </c>
      <c r="C105" s="42">
        <v>1840000.0</v>
      </c>
      <c r="D105" s="42">
        <v>1840000.0</v>
      </c>
      <c r="E105" s="42">
        <v>2760000.0</v>
      </c>
      <c r="F105" s="42">
        <v>2760000.0</v>
      </c>
      <c r="G105" s="43">
        <f t="shared" si="3"/>
        <v>9200000</v>
      </c>
      <c r="H105" s="43">
        <f>VLOOKUP(A105,Dashboard!A:G,7,FALSE)</f>
        <v>64400000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</row>
    <row r="106" ht="22.5" customHeight="1">
      <c r="A106" s="36">
        <v>1.61646318E8</v>
      </c>
      <c r="B106" s="36" t="s">
        <v>120</v>
      </c>
      <c r="C106" s="42">
        <v>2.0E7</v>
      </c>
      <c r="D106" s="42">
        <v>1.0E7</v>
      </c>
      <c r="E106" s="42">
        <v>1.0E7</v>
      </c>
      <c r="F106" s="42">
        <v>4416000.0</v>
      </c>
      <c r="G106" s="43">
        <f t="shared" si="3"/>
        <v>44416000</v>
      </c>
      <c r="H106" s="43">
        <f>VLOOKUP(A106,Dashboard!A:G,7,FALSE)</f>
        <v>150434400</v>
      </c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</row>
    <row r="107" ht="22.5" customHeight="1">
      <c r="A107" s="39">
        <v>1.1279231E8</v>
      </c>
      <c r="B107" s="39" t="s">
        <v>169</v>
      </c>
      <c r="C107" s="42">
        <v>3.0E7</v>
      </c>
      <c r="D107" s="42">
        <v>3.0E7</v>
      </c>
      <c r="E107" s="42"/>
      <c r="F107" s="42"/>
      <c r="G107" s="43">
        <f t="shared" si="3"/>
        <v>60000000</v>
      </c>
      <c r="H107" s="43">
        <f>VLOOKUP(A107,Dashboard!A:G,7,FALSE)</f>
        <v>390000000</v>
      </c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ht="22.5" customHeight="1">
      <c r="A108" s="36">
        <v>1.44109282E8</v>
      </c>
      <c r="B108" s="36" t="s">
        <v>39</v>
      </c>
      <c r="C108" s="42">
        <v>1.6E7</v>
      </c>
      <c r="D108" s="42">
        <v>1.6E7</v>
      </c>
      <c r="E108" s="42">
        <v>2.0E7</v>
      </c>
      <c r="F108" s="42">
        <v>1.2E7</v>
      </c>
      <c r="G108" s="43">
        <f t="shared" si="3"/>
        <v>64000000</v>
      </c>
      <c r="H108" s="43">
        <f>VLOOKUP(A108,Dashboard!A:G,7,FALSE)</f>
        <v>1212400000</v>
      </c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ht="22.5" customHeight="1">
      <c r="A109" s="36">
        <v>1.41154852E8</v>
      </c>
      <c r="B109" s="36" t="s">
        <v>164</v>
      </c>
      <c r="C109" s="42">
        <v>2871579.0</v>
      </c>
      <c r="D109" s="42">
        <v>1.1719049E7</v>
      </c>
      <c r="E109" s="42">
        <v>2436239.0</v>
      </c>
      <c r="F109" s="42">
        <v>2973132.0</v>
      </c>
      <c r="G109" s="43">
        <f t="shared" si="3"/>
        <v>19999999</v>
      </c>
      <c r="H109" s="43">
        <f>VLOOKUP(A109,Dashboard!A:G,7,FALSE)</f>
        <v>79999997</v>
      </c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ht="22.5" customHeight="1">
      <c r="A110" s="36">
        <v>1.72021868E8</v>
      </c>
      <c r="B110" s="36" t="s">
        <v>81</v>
      </c>
      <c r="C110" s="42">
        <v>2.0E7</v>
      </c>
      <c r="D110" s="42">
        <v>2.0E7</v>
      </c>
      <c r="E110" s="42">
        <v>2.0E7</v>
      </c>
      <c r="F110" s="42">
        <v>2.0E7</v>
      </c>
      <c r="G110" s="43">
        <f t="shared" si="3"/>
        <v>80000000</v>
      </c>
      <c r="H110" s="43">
        <f>VLOOKUP(A110,Dashboard!A:G,7,FALSE)</f>
        <v>284041640</v>
      </c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ht="22.5" customHeight="1">
      <c r="A111" s="36">
        <v>1.76044158E8</v>
      </c>
      <c r="B111" s="36" t="s">
        <v>137</v>
      </c>
      <c r="C111" s="42">
        <v>1.0E7</v>
      </c>
      <c r="D111" s="42">
        <v>1.0E7</v>
      </c>
      <c r="E111" s="42">
        <v>1.0E7</v>
      </c>
      <c r="F111" s="42">
        <v>1.0E7</v>
      </c>
      <c r="G111" s="43">
        <f t="shared" si="3"/>
        <v>40000000</v>
      </c>
      <c r="H111" s="43">
        <f>VLOOKUP(A111,Dashboard!A:G,7,FALSE)</f>
        <v>480000000</v>
      </c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ht="22.5" customHeight="1">
      <c r="A112" s="36">
        <v>1.71503078E8</v>
      </c>
      <c r="B112" s="36" t="s">
        <v>43</v>
      </c>
      <c r="C112" s="42">
        <v>2.0E7</v>
      </c>
      <c r="D112" s="42">
        <v>1840000.0</v>
      </c>
      <c r="E112" s="42">
        <v>920000.0</v>
      </c>
      <c r="F112" s="42">
        <v>920000.0</v>
      </c>
      <c r="G112" s="43">
        <f t="shared" si="3"/>
        <v>23680000</v>
      </c>
      <c r="H112" s="43">
        <f>VLOOKUP(A112,Dashboard!A:G,7,FALSE)</f>
        <v>390959600</v>
      </c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ht="22.5" customHeight="1">
      <c r="A113" s="36">
        <v>1.71927851E8</v>
      </c>
      <c r="B113" s="36" t="s">
        <v>71</v>
      </c>
      <c r="C113" s="42">
        <v>2024000.0</v>
      </c>
      <c r="D113" s="42">
        <v>2024000.0</v>
      </c>
      <c r="E113" s="42">
        <v>3036000.0</v>
      </c>
      <c r="F113" s="42">
        <v>3036000.0</v>
      </c>
      <c r="G113" s="43">
        <f t="shared" si="3"/>
        <v>10120000</v>
      </c>
      <c r="H113" s="43">
        <f>VLOOKUP(A113,Dashboard!A:G,7,FALSE)</f>
        <v>105384000</v>
      </c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ht="22.5" customHeight="1">
      <c r="A114" s="36">
        <v>1.46428825E8</v>
      </c>
      <c r="B114" s="36" t="s">
        <v>172</v>
      </c>
      <c r="C114" s="42">
        <v>2070000.0</v>
      </c>
      <c r="D114" s="42">
        <v>2070000.0</v>
      </c>
      <c r="E114" s="42">
        <v>2990000.0</v>
      </c>
      <c r="F114" s="42">
        <v>2870000.0</v>
      </c>
      <c r="G114" s="43">
        <f t="shared" si="3"/>
        <v>10000000</v>
      </c>
      <c r="H114" s="43">
        <f>VLOOKUP(A114,Dashboard!A:G,7,FALSE)</f>
        <v>69320400</v>
      </c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ht="22.5" customHeight="1">
      <c r="A115" s="36">
        <v>6.7071592E7</v>
      </c>
      <c r="B115" s="36" t="s">
        <v>171</v>
      </c>
      <c r="C115" s="42">
        <v>1840000.0</v>
      </c>
      <c r="D115" s="42">
        <v>2760000.0</v>
      </c>
      <c r="E115" s="42">
        <v>1.0E7</v>
      </c>
      <c r="F115" s="42">
        <v>1840000.0</v>
      </c>
      <c r="G115" s="43">
        <f t="shared" si="3"/>
        <v>16440000</v>
      </c>
      <c r="H115" s="43">
        <f>VLOOKUP(A115,Dashboard!A:G,7,FALSE)</f>
        <v>115640000</v>
      </c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ht="22.5" customHeight="1">
      <c r="A116" s="39">
        <v>1.71697263E8</v>
      </c>
      <c r="B116" s="36" t="s">
        <v>210</v>
      </c>
      <c r="C116" s="42"/>
      <c r="D116" s="42">
        <v>2.0E7</v>
      </c>
      <c r="E116" s="42"/>
      <c r="F116" s="42"/>
      <c r="G116" s="43">
        <f t="shared" si="3"/>
        <v>20000000</v>
      </c>
      <c r="H116" s="43">
        <f>VLOOKUP(A116,Dashboard!A:G,7,FALSE)</f>
        <v>606794789</v>
      </c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ht="22.5" customHeight="1">
      <c r="A117" s="36">
        <v>2463403.0</v>
      </c>
      <c r="B117" s="36" t="s">
        <v>15</v>
      </c>
      <c r="C117" s="42">
        <v>2640000.0</v>
      </c>
      <c r="D117" s="42">
        <v>1840000.0</v>
      </c>
      <c r="E117" s="42">
        <v>2760000.0</v>
      </c>
      <c r="F117" s="42">
        <v>2760000.0</v>
      </c>
      <c r="G117" s="43">
        <f t="shared" si="3"/>
        <v>10000000</v>
      </c>
      <c r="H117" s="43">
        <f>VLOOKUP(A117,Dashboard!A:G,7,FALSE)</f>
        <v>109999999</v>
      </c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ht="22.5" customHeight="1">
      <c r="A118" s="36">
        <v>1.1726598E7</v>
      </c>
      <c r="B118" s="36" t="s">
        <v>16</v>
      </c>
      <c r="C118" s="42">
        <v>2640000.0</v>
      </c>
      <c r="D118" s="42">
        <v>1840000.0</v>
      </c>
      <c r="E118" s="42">
        <v>2760000.0</v>
      </c>
      <c r="F118" s="42">
        <v>2760000.0</v>
      </c>
      <c r="G118" s="43">
        <f t="shared" si="3"/>
        <v>10000000</v>
      </c>
      <c r="H118" s="43">
        <f>VLOOKUP(A118,Dashboard!A:G,7,FALSE)</f>
        <v>68280001</v>
      </c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ht="22.5" customHeight="1">
      <c r="A119" s="36">
        <v>1.71679053E8</v>
      </c>
      <c r="B119" s="36" t="s">
        <v>101</v>
      </c>
      <c r="C119" s="42">
        <v>3036000.0</v>
      </c>
      <c r="D119" s="42">
        <v>3036000.0</v>
      </c>
      <c r="E119" s="42">
        <v>3036000.0</v>
      </c>
      <c r="F119" s="42">
        <v>1012000.0</v>
      </c>
      <c r="G119" s="43">
        <f t="shared" si="3"/>
        <v>10120000</v>
      </c>
      <c r="H119" s="43">
        <f>VLOOKUP(A119,Dashboard!A:G,7,FALSE)</f>
        <v>102460000</v>
      </c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ht="22.5" customHeight="1">
      <c r="A120" s="24">
        <v>7.4556991E7</v>
      </c>
      <c r="B120" s="24" t="s">
        <v>183</v>
      </c>
      <c r="C120" s="5">
        <v>1840000.0</v>
      </c>
      <c r="D120" s="5">
        <v>1840000.0</v>
      </c>
      <c r="E120" s="5">
        <v>2760000.0</v>
      </c>
      <c r="F120" s="5">
        <v>2760000.0</v>
      </c>
      <c r="G120" s="43">
        <f t="shared" si="3"/>
        <v>9200000</v>
      </c>
      <c r="H120" s="43">
        <f>VLOOKUP(A120,Dashboard!A:G,7,FALSE)</f>
        <v>36800000</v>
      </c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ht="22.5" customHeight="1">
      <c r="A121" s="9">
        <v>1.71701107E8</v>
      </c>
      <c r="B121" s="9" t="s">
        <v>60</v>
      </c>
      <c r="C121" s="5">
        <v>1.0E7</v>
      </c>
      <c r="D121" s="5">
        <v>1.0E7</v>
      </c>
      <c r="E121" s="5">
        <v>1.0E7</v>
      </c>
      <c r="F121" s="5">
        <v>1.0E7</v>
      </c>
      <c r="G121" s="43">
        <f t="shared" si="3"/>
        <v>40000000</v>
      </c>
      <c r="H121" s="43">
        <f>VLOOKUP(A121,Dashboard!A:G,7,FALSE)</f>
        <v>170000000</v>
      </c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ht="22.5" customHeight="1">
      <c r="A122" s="9">
        <v>1.71934536E8</v>
      </c>
      <c r="B122" s="9" t="s">
        <v>25</v>
      </c>
      <c r="C122" s="5">
        <v>1.0E7</v>
      </c>
      <c r="D122" s="5">
        <v>1.0E7</v>
      </c>
      <c r="E122" s="5">
        <v>1.0E7</v>
      </c>
      <c r="F122" s="5">
        <v>1.0E7</v>
      </c>
      <c r="G122" s="43">
        <f t="shared" si="3"/>
        <v>40000000</v>
      </c>
      <c r="H122" s="43">
        <f>VLOOKUP(A122,Dashboard!A:G,7,FALSE)</f>
        <v>80000000</v>
      </c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ht="22.5" customHeight="1">
      <c r="A123" s="9">
        <v>1.81734011E8</v>
      </c>
      <c r="B123" s="9" t="s">
        <v>158</v>
      </c>
      <c r="C123" s="5">
        <v>2696981.0</v>
      </c>
      <c r="D123" s="5">
        <v>2581423.0</v>
      </c>
      <c r="E123" s="5">
        <v>2306263.0</v>
      </c>
      <c r="F123" s="5">
        <v>2415332.0</v>
      </c>
      <c r="G123" s="43">
        <f t="shared" si="3"/>
        <v>9999999</v>
      </c>
      <c r="H123" s="43">
        <f>VLOOKUP(A123,Dashboard!A:G,7,FALSE)</f>
        <v>60827999</v>
      </c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ht="22.5" customHeight="1">
      <c r="A124" s="9">
        <v>1.4461836E8</v>
      </c>
      <c r="B124" s="9" t="s">
        <v>112</v>
      </c>
      <c r="C124" s="5"/>
      <c r="D124" s="5">
        <v>1.0E7</v>
      </c>
      <c r="E124" s="5"/>
      <c r="F124" s="5"/>
      <c r="G124" s="43">
        <f t="shared" si="3"/>
        <v>10000000</v>
      </c>
      <c r="H124" s="43">
        <f>VLOOKUP(A124,Dashboard!A:G,7,FALSE)</f>
        <v>110000000</v>
      </c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ht="22.5" customHeight="1">
      <c r="A125" s="9">
        <v>1.39292614E8</v>
      </c>
      <c r="B125" s="9" t="s">
        <v>95</v>
      </c>
      <c r="C125" s="5">
        <v>1.0E7</v>
      </c>
      <c r="D125" s="5">
        <v>1.0E7</v>
      </c>
      <c r="E125" s="5">
        <v>1.0E7</v>
      </c>
      <c r="F125" s="5">
        <v>1.0E7</v>
      </c>
      <c r="G125" s="43">
        <f t="shared" si="3"/>
        <v>40000000</v>
      </c>
      <c r="H125" s="43">
        <f>VLOOKUP(A125,Dashboard!A:G,7,FALSE)</f>
        <v>70000000</v>
      </c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ht="22.5" customHeight="1">
      <c r="A126" s="9">
        <v>1.44684719E8</v>
      </c>
      <c r="B126" s="9" t="s">
        <v>92</v>
      </c>
      <c r="C126" s="5"/>
      <c r="D126" s="5">
        <v>3.0E7</v>
      </c>
      <c r="E126" s="5"/>
      <c r="F126" s="5"/>
      <c r="G126" s="43">
        <f t="shared" si="3"/>
        <v>30000000</v>
      </c>
      <c r="H126" s="43">
        <f>VLOOKUP(A126,Dashboard!A:G,7,FALSE)</f>
        <v>875362125</v>
      </c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ht="22.5" customHeight="1">
      <c r="A127" s="9">
        <v>1.36662717E8</v>
      </c>
      <c r="B127" s="9" t="s">
        <v>213</v>
      </c>
      <c r="C127" s="5"/>
      <c r="D127" s="5"/>
      <c r="E127" s="5"/>
      <c r="F127" s="5">
        <v>1.0E7</v>
      </c>
      <c r="G127" s="43">
        <f t="shared" si="3"/>
        <v>10000000</v>
      </c>
      <c r="H127" s="43">
        <f>VLOOKUP(A127,Dashboard!A:G,7,FALSE)</f>
        <v>30000000</v>
      </c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ht="22.5" customHeight="1">
      <c r="A128" s="9">
        <v>1.71910225E8</v>
      </c>
      <c r="B128" s="9" t="s">
        <v>100</v>
      </c>
      <c r="C128" s="5">
        <v>4600000.0</v>
      </c>
      <c r="D128" s="5">
        <v>4600000.0</v>
      </c>
      <c r="E128" s="5">
        <v>4600000.0</v>
      </c>
      <c r="F128" s="5">
        <v>4600000.0</v>
      </c>
      <c r="G128" s="43">
        <f t="shared" si="3"/>
        <v>18400000</v>
      </c>
      <c r="H128" s="43">
        <f>VLOOKUP(A128,Dashboard!A:G,7,FALSE)</f>
        <v>559467753</v>
      </c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ht="22.5" customHeight="1">
      <c r="A129" s="9">
        <v>1.69420296E8</v>
      </c>
      <c r="B129" s="9" t="s">
        <v>138</v>
      </c>
      <c r="C129" s="5">
        <v>1.0E7</v>
      </c>
      <c r="D129" s="5">
        <v>1.0E7</v>
      </c>
      <c r="E129" s="5">
        <v>1.0E7</v>
      </c>
      <c r="F129" s="5">
        <v>1.0E7</v>
      </c>
      <c r="G129" s="43">
        <f t="shared" si="3"/>
        <v>40000000</v>
      </c>
      <c r="H129" s="43">
        <f>VLOOKUP(A129,Dashboard!A:G,7,FALSE)</f>
        <v>361723910</v>
      </c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ht="22.5" customHeight="1">
      <c r="A130" s="9">
        <v>1.72041454E8</v>
      </c>
      <c r="B130" s="9" t="s">
        <v>75</v>
      </c>
      <c r="C130" s="5">
        <v>3036000.0</v>
      </c>
      <c r="D130" s="5">
        <v>3036000.0</v>
      </c>
      <c r="E130" s="5">
        <v>2024000.0</v>
      </c>
      <c r="F130" s="5">
        <v>1904000.0</v>
      </c>
      <c r="G130" s="43">
        <f t="shared" si="3"/>
        <v>10000000</v>
      </c>
      <c r="H130" s="43">
        <f>VLOOKUP(A130,Dashboard!A:G,7,FALSE)</f>
        <v>208420000</v>
      </c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ht="22.5" customHeight="1">
      <c r="A131" s="9">
        <v>1.71355737E8</v>
      </c>
      <c r="B131" s="9" t="s">
        <v>64</v>
      </c>
      <c r="C131" s="5">
        <v>2184972.0</v>
      </c>
      <c r="D131" s="5">
        <v>2116000.0</v>
      </c>
      <c r="E131" s="5">
        <v>5699027.0</v>
      </c>
      <c r="F131" s="5">
        <v>2300000.0</v>
      </c>
      <c r="G131" s="43">
        <f t="shared" si="3"/>
        <v>12299999</v>
      </c>
      <c r="H131" s="43">
        <f>VLOOKUP(A131,Dashboard!A:G,7,FALSE)</f>
        <v>38787422</v>
      </c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ht="22.5" customHeight="1">
      <c r="A132" s="44" t="str">
        <f>COUNT(Week_2_Feb_8_Feb_2026[ID]) &amp; " Contributors"</f>
        <v>45 Contributors</v>
      </c>
      <c r="B132" s="44"/>
      <c r="C132" s="43">
        <f>SUM(Week_2_Feb_8_Feb_2026[Food])</f>
        <v>268459532</v>
      </c>
      <c r="D132" s="43">
        <f>SUM(Week_2_Feb_8_Feb_2026[Wood])</f>
        <v>372118472</v>
      </c>
      <c r="E132" s="43">
        <f>SUM(Week_2_Feb_8_Feb_2026[Stone])</f>
        <v>250925529</v>
      </c>
      <c r="F132" s="43">
        <f>SUM(Week_2_Feb_8_Feb_2026[Gold])</f>
        <v>266996464</v>
      </c>
      <c r="G132" s="43">
        <f>SUM(Week_2_Feb_8_Feb_2026[Week Contribution])</f>
        <v>1158499997</v>
      </c>
      <c r="H132" s="43">
        <f>SUM(Week_2_Feb_8_Feb_2026[Total Contribution])</f>
        <v>13307688159</v>
      </c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>
      <c r="A133" s="40"/>
      <c r="B133" s="40"/>
      <c r="C133" s="40"/>
      <c r="D133" s="40"/>
      <c r="E133" s="40"/>
      <c r="F133" s="40"/>
      <c r="G133" s="40"/>
      <c r="H133" s="40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>
      <c r="A134" s="40"/>
      <c r="B134" s="40"/>
      <c r="C134" s="40"/>
      <c r="D134" s="40"/>
      <c r="E134" s="40"/>
      <c r="F134" s="40"/>
      <c r="G134" s="40"/>
      <c r="H134" s="40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>
      <c r="A135" s="40"/>
      <c r="B135" s="40"/>
      <c r="C135" s="40"/>
      <c r="D135" s="40"/>
      <c r="E135" s="40"/>
      <c r="F135" s="40"/>
      <c r="G135" s="40"/>
      <c r="H135" s="40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>
      <c r="A136" s="40"/>
      <c r="B136" s="40"/>
      <c r="C136" s="40"/>
      <c r="D136" s="40"/>
      <c r="E136" s="40"/>
      <c r="F136" s="40"/>
      <c r="G136" s="40"/>
      <c r="H136" s="40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ht="22.5" customHeight="1">
      <c r="A137" s="37" t="s">
        <v>8</v>
      </c>
      <c r="B137" s="37" t="s">
        <v>207</v>
      </c>
      <c r="C137" s="37" t="s">
        <v>4</v>
      </c>
      <c r="D137" s="37" t="s">
        <v>5</v>
      </c>
      <c r="E137" s="37" t="s">
        <v>6</v>
      </c>
      <c r="F137" s="37" t="s">
        <v>7</v>
      </c>
      <c r="G137" s="37" t="s">
        <v>208</v>
      </c>
      <c r="H137" s="37" t="s">
        <v>209</v>
      </c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ht="22.5" customHeight="1">
      <c r="A138" s="24">
        <v>1.72021868E8</v>
      </c>
      <c r="B138" s="24" t="s">
        <v>81</v>
      </c>
      <c r="C138" s="33">
        <v>1.0E7</v>
      </c>
      <c r="D138" s="33">
        <v>1.0E7</v>
      </c>
      <c r="E138" s="33">
        <v>1.0E7</v>
      </c>
      <c r="F138" s="33">
        <v>1.0E7</v>
      </c>
      <c r="G138" s="33">
        <f t="shared" ref="G138:G189" si="4">SUM(C138:F138)</f>
        <v>40000000</v>
      </c>
      <c r="H138" s="33">
        <f>VLOOKUP(A138,Dashboard!A:G,7,FALSE)</f>
        <v>284041640</v>
      </c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ht="22.5" customHeight="1">
      <c r="A139" s="24">
        <v>1.71697263E8</v>
      </c>
      <c r="B139" s="24" t="s">
        <v>214</v>
      </c>
      <c r="C139" s="33"/>
      <c r="D139" s="33">
        <v>1.2E8</v>
      </c>
      <c r="E139" s="33"/>
      <c r="F139" s="33"/>
      <c r="G139" s="33">
        <f t="shared" si="4"/>
        <v>120000000</v>
      </c>
      <c r="H139" s="33">
        <f>VLOOKUP(A139,Dashboard!A:G,7,FALSE)</f>
        <v>606794789</v>
      </c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ht="22.5" customHeight="1">
      <c r="A140" s="24">
        <v>6.496634E7</v>
      </c>
      <c r="B140" s="24" t="s">
        <v>173</v>
      </c>
      <c r="C140" s="33">
        <v>1.0E7</v>
      </c>
      <c r="D140" s="33">
        <v>1.0E7</v>
      </c>
      <c r="E140" s="33">
        <v>1.0E7</v>
      </c>
      <c r="F140" s="33">
        <v>4600000.0</v>
      </c>
      <c r="G140" s="33">
        <f t="shared" si="4"/>
        <v>34600000</v>
      </c>
      <c r="H140" s="33">
        <f>VLOOKUP(A140,Dashboard!A:G,7,FALSE)</f>
        <v>184600000</v>
      </c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ht="22.5" customHeight="1">
      <c r="A141" s="24">
        <v>6.2576249E7</v>
      </c>
      <c r="B141" s="24" t="s">
        <v>29</v>
      </c>
      <c r="C141" s="33"/>
      <c r="D141" s="33"/>
      <c r="E141" s="33">
        <v>1.0E7</v>
      </c>
      <c r="F141" s="33"/>
      <c r="G141" s="33">
        <f t="shared" si="4"/>
        <v>10000000</v>
      </c>
      <c r="H141" s="33">
        <f>VLOOKUP(A141,Dashboard!A:G,7,FALSE)</f>
        <v>240000000</v>
      </c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ht="22.5" customHeight="1">
      <c r="A142" s="32">
        <v>1.76044158E8</v>
      </c>
      <c r="B142" s="32" t="s">
        <v>137</v>
      </c>
      <c r="C142" s="33">
        <v>1.0E7</v>
      </c>
      <c r="D142" s="33">
        <v>1.0E7</v>
      </c>
      <c r="E142" s="33">
        <v>1.0E7</v>
      </c>
      <c r="F142" s="33">
        <v>1.0E7</v>
      </c>
      <c r="G142" s="33">
        <f t="shared" si="4"/>
        <v>40000000</v>
      </c>
      <c r="H142" s="33">
        <f>VLOOKUP(A142,Dashboard!A:G,7,FALSE)</f>
        <v>480000000</v>
      </c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ht="22.5" customHeight="1">
      <c r="A143" s="32">
        <v>1.67637163E8</v>
      </c>
      <c r="B143" s="32" t="s">
        <v>19</v>
      </c>
      <c r="C143" s="33">
        <v>2760000.0</v>
      </c>
      <c r="D143" s="33">
        <v>2760000.0</v>
      </c>
      <c r="E143" s="33">
        <v>3680000.0</v>
      </c>
      <c r="F143" s="33">
        <v>3680000.0</v>
      </c>
      <c r="G143" s="33">
        <f t="shared" si="4"/>
        <v>12880000</v>
      </c>
      <c r="H143" s="33">
        <f>VLOOKUP(A143,Dashboard!A:G,7,FALSE)</f>
        <v>231725200</v>
      </c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ht="22.5" customHeight="1">
      <c r="A144" s="32">
        <v>2463403.0</v>
      </c>
      <c r="B144" s="32" t="s">
        <v>15</v>
      </c>
      <c r="C144" s="33">
        <v>1840000.0</v>
      </c>
      <c r="D144" s="33">
        <v>1840000.0</v>
      </c>
      <c r="E144" s="33">
        <v>2760000.0</v>
      </c>
      <c r="F144" s="33">
        <v>3560000.0</v>
      </c>
      <c r="G144" s="33">
        <f t="shared" si="4"/>
        <v>10000000</v>
      </c>
      <c r="H144" s="33">
        <f>VLOOKUP(A144,Dashboard!A:G,7,FALSE)</f>
        <v>109999999</v>
      </c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ht="22.5" customHeight="1">
      <c r="A145" s="32">
        <v>1.6942777E8</v>
      </c>
      <c r="B145" s="32" t="s">
        <v>63</v>
      </c>
      <c r="C145" s="33">
        <v>2300000.0</v>
      </c>
      <c r="D145" s="33">
        <v>4020000.0</v>
      </c>
      <c r="E145" s="33">
        <v>1840000.0</v>
      </c>
      <c r="F145" s="33">
        <v>1840000.0</v>
      </c>
      <c r="G145" s="33">
        <f t="shared" si="4"/>
        <v>10000000</v>
      </c>
      <c r="H145" s="33">
        <f>VLOOKUP(A145,Dashboard!A:G,7,FALSE)</f>
        <v>278400000</v>
      </c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ht="22.5" customHeight="1">
      <c r="A146" s="34">
        <v>1.71830779E8</v>
      </c>
      <c r="B146" s="34" t="s">
        <v>151</v>
      </c>
      <c r="C146" s="33">
        <v>1840000.0</v>
      </c>
      <c r="D146" s="33">
        <v>1840000.0</v>
      </c>
      <c r="E146" s="33">
        <v>2760000.0</v>
      </c>
      <c r="F146" s="33">
        <v>2760000.0</v>
      </c>
      <c r="G146" s="33">
        <f t="shared" si="4"/>
        <v>9200000</v>
      </c>
      <c r="H146" s="33">
        <f>VLOOKUP(A146,Dashboard!A:G,7,FALSE)</f>
        <v>655180761</v>
      </c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ht="22.5" customHeight="1">
      <c r="A147" s="32">
        <v>1.68091444E8</v>
      </c>
      <c r="B147" s="32" t="s">
        <v>215</v>
      </c>
      <c r="C147" s="33">
        <v>1.276E7</v>
      </c>
      <c r="D147" s="33">
        <v>4600000.0</v>
      </c>
      <c r="E147" s="33">
        <v>7360000.0</v>
      </c>
      <c r="F147" s="33">
        <v>6440000.0</v>
      </c>
      <c r="G147" s="33">
        <f t="shared" si="4"/>
        <v>31160000</v>
      </c>
      <c r="H147" s="33">
        <f>VLOOKUP(A147,Dashboard!A:G,7,FALSE)</f>
        <v>235864000</v>
      </c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ht="22.5" customHeight="1">
      <c r="A148" s="32">
        <v>1.71491377E8</v>
      </c>
      <c r="B148" s="32" t="s">
        <v>59</v>
      </c>
      <c r="C148" s="33">
        <v>1.0E7</v>
      </c>
      <c r="D148" s="33">
        <v>1.0E7</v>
      </c>
      <c r="E148" s="33">
        <v>1.0E7</v>
      </c>
      <c r="F148" s="33">
        <v>1.0E7</v>
      </c>
      <c r="G148" s="33">
        <f t="shared" si="4"/>
        <v>40000000</v>
      </c>
      <c r="H148" s="33">
        <f>VLOOKUP(A148,Dashboard!A:G,7,FALSE)</f>
        <v>181132000</v>
      </c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ht="22.5" customHeight="1">
      <c r="A149" s="32">
        <v>1.72033754E8</v>
      </c>
      <c r="B149" s="32" t="s">
        <v>79</v>
      </c>
      <c r="C149" s="33">
        <v>1840000.0</v>
      </c>
      <c r="D149" s="33">
        <v>3560000.0</v>
      </c>
      <c r="E149" s="33">
        <v>1840000.0</v>
      </c>
      <c r="F149" s="33">
        <v>2760000.0</v>
      </c>
      <c r="G149" s="33">
        <f t="shared" si="4"/>
        <v>10000000</v>
      </c>
      <c r="H149" s="33">
        <f>VLOOKUP(A149,Dashboard!A:G,7,FALSE)</f>
        <v>930794163</v>
      </c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ht="22.5" customHeight="1">
      <c r="A150" s="34">
        <v>1.71355737E8</v>
      </c>
      <c r="B150" s="34" t="s">
        <v>64</v>
      </c>
      <c r="C150" s="33">
        <v>2009946.0</v>
      </c>
      <c r="D150" s="33">
        <v>2024000.0</v>
      </c>
      <c r="E150" s="33">
        <v>2930054.0</v>
      </c>
      <c r="F150" s="33">
        <v>3036000.0</v>
      </c>
      <c r="G150" s="33">
        <f t="shared" si="4"/>
        <v>10000000</v>
      </c>
      <c r="H150" s="33">
        <f>VLOOKUP(A150,Dashboard!A:G,7,FALSE)</f>
        <v>38787422</v>
      </c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ht="22.5" customHeight="1">
      <c r="A151" s="32">
        <v>1.70728362E8</v>
      </c>
      <c r="B151" s="32" t="s">
        <v>99</v>
      </c>
      <c r="C151" s="33">
        <v>1.0E7</v>
      </c>
      <c r="D151" s="33">
        <v>1.0E7</v>
      </c>
      <c r="E151" s="33">
        <v>1.0E7</v>
      </c>
      <c r="F151" s="33">
        <v>1.0E7</v>
      </c>
      <c r="G151" s="33">
        <f t="shared" si="4"/>
        <v>40000000</v>
      </c>
      <c r="H151" s="33">
        <f>VLOOKUP(A151,Dashboard!A:G,7,FALSE)</f>
        <v>190000000</v>
      </c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ht="22.5" customHeight="1">
      <c r="A152" s="32">
        <v>7.7394861E7</v>
      </c>
      <c r="B152" s="32" t="s">
        <v>178</v>
      </c>
      <c r="C152" s="33">
        <v>1840000.0</v>
      </c>
      <c r="D152" s="33">
        <v>1840000.0</v>
      </c>
      <c r="E152" s="33">
        <v>2760000.0</v>
      </c>
      <c r="F152" s="33">
        <v>2760000.0</v>
      </c>
      <c r="G152" s="33">
        <f t="shared" si="4"/>
        <v>9200000</v>
      </c>
      <c r="H152" s="33">
        <f>VLOOKUP(A152,Dashboard!A:G,7,FALSE)</f>
        <v>64400000</v>
      </c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ht="22.5" customHeight="1">
      <c r="A153" s="34">
        <v>1.1726598E7</v>
      </c>
      <c r="B153" s="34" t="s">
        <v>16</v>
      </c>
      <c r="C153" s="33">
        <v>1840000.0</v>
      </c>
      <c r="D153" s="33">
        <v>1840000.0</v>
      </c>
      <c r="E153" s="33">
        <v>1840000.0</v>
      </c>
      <c r="F153" s="33">
        <v>2760000.0</v>
      </c>
      <c r="G153" s="33">
        <f t="shared" si="4"/>
        <v>8280000</v>
      </c>
      <c r="H153" s="33">
        <f>VLOOKUP(A153,Dashboard!A:G,7,FALSE)</f>
        <v>68280001</v>
      </c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ht="22.5" customHeight="1">
      <c r="A154" s="34">
        <v>1.71604682E8</v>
      </c>
      <c r="B154" s="34" t="s">
        <v>216</v>
      </c>
      <c r="C154" s="33">
        <v>2024000.0</v>
      </c>
      <c r="D154" s="33">
        <v>2088000.0</v>
      </c>
      <c r="E154" s="33">
        <v>2944000.0</v>
      </c>
      <c r="F154" s="33">
        <v>2944000.0</v>
      </c>
      <c r="G154" s="33">
        <f t="shared" si="4"/>
        <v>10000000</v>
      </c>
      <c r="H154" s="33">
        <f>VLOOKUP(A154,Dashboard!A:G,7,FALSE)</f>
        <v>210800000</v>
      </c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ht="22.5" customHeight="1">
      <c r="A155" s="34">
        <v>1.5633938E8</v>
      </c>
      <c r="B155" s="34" t="s">
        <v>18</v>
      </c>
      <c r="C155" s="33">
        <v>1.0E7</v>
      </c>
      <c r="D155" s="33">
        <v>1.0E7</v>
      </c>
      <c r="E155" s="33">
        <v>1.0E7</v>
      </c>
      <c r="F155" s="33">
        <v>1.0E7</v>
      </c>
      <c r="G155" s="33">
        <f t="shared" si="4"/>
        <v>40000000</v>
      </c>
      <c r="H155" s="33">
        <f>VLOOKUP(A155,Dashboard!A:G,7,FALSE)</f>
        <v>280000000</v>
      </c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ht="22.5" customHeight="1">
      <c r="A156" s="32">
        <v>1.71927851E8</v>
      </c>
      <c r="B156" s="32" t="s">
        <v>71</v>
      </c>
      <c r="C156" s="33">
        <v>2024000.0</v>
      </c>
      <c r="D156" s="33">
        <v>2024000.0</v>
      </c>
      <c r="E156" s="33">
        <v>3036000.0</v>
      </c>
      <c r="F156" s="33">
        <v>3036000.0</v>
      </c>
      <c r="G156" s="33">
        <f t="shared" si="4"/>
        <v>10120000</v>
      </c>
      <c r="H156" s="33">
        <f>VLOOKUP(A156,Dashboard!A:G,7,FALSE)</f>
        <v>105384000</v>
      </c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ht="22.5" customHeight="1">
      <c r="A157" s="32">
        <v>1.53857025E8</v>
      </c>
      <c r="B157" s="32" t="s">
        <v>86</v>
      </c>
      <c r="C157" s="33">
        <v>1840000.0</v>
      </c>
      <c r="D157" s="33">
        <v>1840000.0</v>
      </c>
      <c r="E157" s="33">
        <v>5520000.0</v>
      </c>
      <c r="F157" s="33">
        <v>4600000.0</v>
      </c>
      <c r="G157" s="33">
        <f t="shared" si="4"/>
        <v>13800000</v>
      </c>
      <c r="H157" s="33">
        <f>VLOOKUP(A157,Dashboard!A:G,7,FALSE)</f>
        <v>381620000</v>
      </c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ht="22.5" customHeight="1">
      <c r="A158" s="32">
        <v>1.61646318E8</v>
      </c>
      <c r="B158" s="32" t="s">
        <v>120</v>
      </c>
      <c r="C158" s="50">
        <v>2760000.0</v>
      </c>
      <c r="D158" s="50">
        <v>2760000.0</v>
      </c>
      <c r="E158" s="50">
        <v>3680000.0</v>
      </c>
      <c r="F158" s="50">
        <v>3680000.0</v>
      </c>
      <c r="G158" s="33">
        <f t="shared" si="4"/>
        <v>12880000</v>
      </c>
      <c r="H158" s="33">
        <f>VLOOKUP(A158,Dashboard!A:G,7,FALSE)</f>
        <v>150434400</v>
      </c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ht="22.5" customHeight="1">
      <c r="A159" s="34">
        <v>1.69446444E8</v>
      </c>
      <c r="B159" s="34" t="s">
        <v>20</v>
      </c>
      <c r="C159" s="50">
        <v>2001920.0</v>
      </c>
      <c r="D159" s="50">
        <v>2001920.0</v>
      </c>
      <c r="E159" s="50">
        <v>3004720.0</v>
      </c>
      <c r="F159" s="50">
        <v>2991440.0</v>
      </c>
      <c r="G159" s="33">
        <f t="shared" si="4"/>
        <v>10000000</v>
      </c>
      <c r="H159" s="33">
        <f>VLOOKUP(A159,Dashboard!A:G,7,FALSE)</f>
        <v>62400224</v>
      </c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ht="22.5" customHeight="1">
      <c r="A160" s="32">
        <v>1.66497805E8</v>
      </c>
      <c r="B160" s="32" t="s">
        <v>56</v>
      </c>
      <c r="C160" s="50">
        <v>2024000.0</v>
      </c>
      <c r="D160" s="50">
        <v>2024000.0</v>
      </c>
      <c r="E160" s="50">
        <v>2990000.0</v>
      </c>
      <c r="F160" s="50">
        <v>2962000.0</v>
      </c>
      <c r="G160" s="33">
        <f t="shared" si="4"/>
        <v>10000000</v>
      </c>
      <c r="H160" s="33">
        <f>VLOOKUP(A160,Dashboard!A:G,7,FALSE)</f>
        <v>70000000</v>
      </c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ht="22.5" customHeight="1">
      <c r="A161" s="32">
        <v>1.46428825E8</v>
      </c>
      <c r="B161" s="32" t="s">
        <v>172</v>
      </c>
      <c r="C161" s="50">
        <v>2070000.0</v>
      </c>
      <c r="D161" s="50">
        <v>2070000.0</v>
      </c>
      <c r="E161" s="50">
        <v>2990000.0</v>
      </c>
      <c r="F161" s="50">
        <v>2990000.0</v>
      </c>
      <c r="G161" s="33">
        <f t="shared" si="4"/>
        <v>10120000</v>
      </c>
      <c r="H161" s="33">
        <f>VLOOKUP(A161,Dashboard!A:G,7,FALSE)</f>
        <v>69320400</v>
      </c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ht="22.5" customHeight="1">
      <c r="A162" s="32">
        <v>1.67614515E8</v>
      </c>
      <c r="B162" s="32" t="s">
        <v>93</v>
      </c>
      <c r="C162" s="50">
        <v>1840000.0</v>
      </c>
      <c r="D162" s="50">
        <v>3680000.0</v>
      </c>
      <c r="E162" s="50">
        <v>1840000.0</v>
      </c>
      <c r="F162" s="50">
        <v>1840000.0</v>
      </c>
      <c r="G162" s="33">
        <f t="shared" si="4"/>
        <v>9200000</v>
      </c>
      <c r="H162" s="33">
        <f>VLOOKUP(A162,Dashboard!A:G,7,FALSE)</f>
        <v>73600000</v>
      </c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ht="22.5" customHeight="1">
      <c r="A163" s="34">
        <v>1.69326547E8</v>
      </c>
      <c r="B163" s="34" t="s">
        <v>174</v>
      </c>
      <c r="C163" s="50">
        <v>1.0E7</v>
      </c>
      <c r="D163" s="50">
        <v>1.0E7</v>
      </c>
      <c r="E163" s="50">
        <v>1.0E7</v>
      </c>
      <c r="F163" s="50">
        <v>1.0E7</v>
      </c>
      <c r="G163" s="33">
        <f t="shared" si="4"/>
        <v>40000000</v>
      </c>
      <c r="H163" s="33">
        <f>VLOOKUP(A163,Dashboard!A:G,7,FALSE)</f>
        <v>121840000</v>
      </c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ht="22.5" customHeight="1">
      <c r="A164" s="32">
        <v>1.81734011E8</v>
      </c>
      <c r="B164" s="32" t="s">
        <v>158</v>
      </c>
      <c r="C164" s="50">
        <v>2034240.0</v>
      </c>
      <c r="D164" s="50">
        <v>2931404.0</v>
      </c>
      <c r="E164" s="50">
        <v>3209464.0</v>
      </c>
      <c r="F164" s="50">
        <v>1824892.0</v>
      </c>
      <c r="G164" s="33">
        <f t="shared" si="4"/>
        <v>10000000</v>
      </c>
      <c r="H164" s="33">
        <f>VLOOKUP(A164,Dashboard!A:G,7,FALSE)</f>
        <v>60827999</v>
      </c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ht="22.5" customHeight="1">
      <c r="A165" s="34">
        <v>7.9650085E7</v>
      </c>
      <c r="B165" s="34" t="s">
        <v>182</v>
      </c>
      <c r="C165" s="50">
        <v>1.0E7</v>
      </c>
      <c r="D165" s="50"/>
      <c r="E165" s="50"/>
      <c r="F165" s="50"/>
      <c r="G165" s="33">
        <f t="shared" si="4"/>
        <v>10000000</v>
      </c>
      <c r="H165" s="33">
        <f>VLOOKUP(A165,Dashboard!A:G,7,FALSE)</f>
        <v>40000000</v>
      </c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ht="22.5" customHeight="1">
      <c r="A166" s="32">
        <v>1.69247313E8</v>
      </c>
      <c r="B166" s="32" t="s">
        <v>37</v>
      </c>
      <c r="C166" s="50">
        <v>2760000.0</v>
      </c>
      <c r="D166" s="50">
        <v>2760000.0</v>
      </c>
      <c r="E166" s="50">
        <v>1840000.0</v>
      </c>
      <c r="F166" s="50">
        <v>1840000.0</v>
      </c>
      <c r="G166" s="33">
        <f t="shared" si="4"/>
        <v>9200000</v>
      </c>
      <c r="H166" s="33">
        <f>VLOOKUP(A166,Dashboard!A:G,7,FALSE)</f>
        <v>75200000</v>
      </c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ht="22.5" customHeight="1">
      <c r="A167" s="34">
        <v>7.4556991E7</v>
      </c>
      <c r="B167" s="34" t="s">
        <v>183</v>
      </c>
      <c r="C167" s="50">
        <v>1840000.0</v>
      </c>
      <c r="D167" s="50">
        <v>1840000.0</v>
      </c>
      <c r="E167" s="50">
        <v>2760000.0</v>
      </c>
      <c r="F167" s="50">
        <v>2760000.0</v>
      </c>
      <c r="G167" s="33">
        <f t="shared" si="4"/>
        <v>9200000</v>
      </c>
      <c r="H167" s="33">
        <f>VLOOKUP(A167,Dashboard!A:G,7,FALSE)</f>
        <v>36800000</v>
      </c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ht="22.5" customHeight="1">
      <c r="A168" s="32">
        <v>1.44684719E8</v>
      </c>
      <c r="B168" s="32" t="s">
        <v>92</v>
      </c>
      <c r="C168" s="50">
        <v>1.0E7</v>
      </c>
      <c r="D168" s="50"/>
      <c r="E168" s="50"/>
      <c r="F168" s="50"/>
      <c r="G168" s="33">
        <f t="shared" si="4"/>
        <v>10000000</v>
      </c>
      <c r="H168" s="33">
        <f>VLOOKUP(A168,Dashboard!A:G,7,FALSE)</f>
        <v>875362125</v>
      </c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ht="22.5" customHeight="1">
      <c r="A169" s="34">
        <v>1.44010731E8</v>
      </c>
      <c r="B169" s="34" t="s">
        <v>104</v>
      </c>
      <c r="C169" s="50">
        <v>4.0E7</v>
      </c>
      <c r="D169" s="50">
        <v>6.0E7</v>
      </c>
      <c r="E169" s="50">
        <v>2.0E7</v>
      </c>
      <c r="F169" s="50">
        <v>2.0E7</v>
      </c>
      <c r="G169" s="33">
        <f t="shared" si="4"/>
        <v>140000000</v>
      </c>
      <c r="H169" s="33">
        <f>VLOOKUP(A169,Dashboard!A:G,7,FALSE)</f>
        <v>400000000</v>
      </c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ht="22.5" customHeight="1">
      <c r="A170" s="32">
        <v>1.71503078E8</v>
      </c>
      <c r="B170" s="32" t="s">
        <v>43</v>
      </c>
      <c r="C170" s="50">
        <v>1.276E7</v>
      </c>
      <c r="D170" s="50">
        <v>920000.0</v>
      </c>
      <c r="E170" s="50">
        <v>920000.0</v>
      </c>
      <c r="F170" s="50">
        <v>920000.0</v>
      </c>
      <c r="G170" s="33">
        <f t="shared" si="4"/>
        <v>15520000</v>
      </c>
      <c r="H170" s="33">
        <f>VLOOKUP(A170,Dashboard!A:G,7,FALSE)</f>
        <v>390959600</v>
      </c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ht="22.5" customHeight="1">
      <c r="A171" s="32">
        <v>1.71753933E8</v>
      </c>
      <c r="B171" s="32" t="s">
        <v>87</v>
      </c>
      <c r="C171" s="50">
        <v>2640000.0</v>
      </c>
      <c r="D171" s="50">
        <v>1840000.0</v>
      </c>
      <c r="E171" s="50">
        <v>2760000.0</v>
      </c>
      <c r="F171" s="50">
        <v>2760000.0</v>
      </c>
      <c r="G171" s="33">
        <f t="shared" si="4"/>
        <v>10000000</v>
      </c>
      <c r="H171" s="33">
        <f>VLOOKUP(A171,Dashboard!A:G,7,FALSE)</f>
        <v>110211998</v>
      </c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ht="22.5" customHeight="1">
      <c r="A172" s="34">
        <v>5.524249E7</v>
      </c>
      <c r="B172" s="34" t="s">
        <v>78</v>
      </c>
      <c r="C172" s="50"/>
      <c r="D172" s="50">
        <v>4.0E7</v>
      </c>
      <c r="E172" s="50"/>
      <c r="F172" s="50"/>
      <c r="G172" s="33">
        <f t="shared" si="4"/>
        <v>40000000</v>
      </c>
      <c r="H172" s="33">
        <f>VLOOKUP(A172,Dashboard!A:G,7,FALSE)</f>
        <v>1420000000</v>
      </c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ht="22.5" customHeight="1">
      <c r="A173" s="34">
        <v>1.4461836E8</v>
      </c>
      <c r="B173" s="34" t="s">
        <v>112</v>
      </c>
      <c r="C173" s="50"/>
      <c r="D173" s="50">
        <v>1.0E7</v>
      </c>
      <c r="E173" s="50"/>
      <c r="F173" s="50"/>
      <c r="G173" s="33">
        <f t="shared" si="4"/>
        <v>10000000</v>
      </c>
      <c r="H173" s="33">
        <f>VLOOKUP(A173,Dashboard!A:G,7,FALSE)</f>
        <v>110000000</v>
      </c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ht="22.5" customHeight="1">
      <c r="A174" s="32">
        <v>1.71679053E8</v>
      </c>
      <c r="B174" s="32" t="s">
        <v>101</v>
      </c>
      <c r="C174" s="50">
        <v>3036000.0</v>
      </c>
      <c r="D174" s="50">
        <v>3036000.0</v>
      </c>
      <c r="E174" s="50">
        <v>3036000.0</v>
      </c>
      <c r="F174" s="50">
        <v>1012000.0</v>
      </c>
      <c r="G174" s="33">
        <f t="shared" si="4"/>
        <v>10120000</v>
      </c>
      <c r="H174" s="33">
        <f>VLOOKUP(A174,Dashboard!A:G,7,FALSE)</f>
        <v>102460000</v>
      </c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ht="22.5" customHeight="1">
      <c r="A175" s="34">
        <v>1.36662717E8</v>
      </c>
      <c r="B175" s="34" t="s">
        <v>185</v>
      </c>
      <c r="C175" s="50"/>
      <c r="D175" s="50"/>
      <c r="E175" s="50"/>
      <c r="F175" s="50">
        <v>1.0E7</v>
      </c>
      <c r="G175" s="33">
        <f t="shared" si="4"/>
        <v>10000000</v>
      </c>
      <c r="H175" s="33">
        <f>VLOOKUP(A175,Dashboard!A:G,7,FALSE)</f>
        <v>30000000</v>
      </c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ht="22.5" customHeight="1">
      <c r="A176" s="34">
        <v>6.7071592E7</v>
      </c>
      <c r="B176" s="34" t="s">
        <v>171</v>
      </c>
      <c r="C176" s="50">
        <v>1.0E7</v>
      </c>
      <c r="D176" s="50">
        <v>1.0E7</v>
      </c>
      <c r="E176" s="50">
        <v>1.0E7</v>
      </c>
      <c r="F176" s="50">
        <v>1.0E7</v>
      </c>
      <c r="G176" s="33">
        <f t="shared" si="4"/>
        <v>40000000</v>
      </c>
      <c r="H176" s="33">
        <f>VLOOKUP(A176,Dashboard!A:G,7,FALSE)</f>
        <v>115640000</v>
      </c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ht="22.5" customHeight="1">
      <c r="A177" s="32">
        <v>1.72041454E8</v>
      </c>
      <c r="B177" s="32" t="s">
        <v>75</v>
      </c>
      <c r="C177" s="50">
        <v>2024000.0</v>
      </c>
      <c r="D177" s="50">
        <v>4848000.0</v>
      </c>
      <c r="E177" s="50">
        <v>2024000.0</v>
      </c>
      <c r="F177" s="50">
        <v>1104000.0</v>
      </c>
      <c r="G177" s="33">
        <f t="shared" si="4"/>
        <v>10000000</v>
      </c>
      <c r="H177" s="33">
        <f>VLOOKUP(A177,Dashboard!A:G,7,FALSE)</f>
        <v>208420000</v>
      </c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ht="22.5" customHeight="1">
      <c r="A178" s="32">
        <v>1.71972257E8</v>
      </c>
      <c r="B178" s="32" t="s">
        <v>66</v>
      </c>
      <c r="C178" s="50">
        <v>1.0E7</v>
      </c>
      <c r="D178" s="50"/>
      <c r="E178" s="50">
        <v>1.0E7</v>
      </c>
      <c r="F178" s="50"/>
      <c r="G178" s="33">
        <f t="shared" si="4"/>
        <v>20000000</v>
      </c>
      <c r="H178" s="33">
        <f>VLOOKUP(A178,Dashboard!A:G,7,FALSE)</f>
        <v>163000000</v>
      </c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ht="22.5" customHeight="1">
      <c r="A179" s="32">
        <v>1.1279231E8</v>
      </c>
      <c r="B179" s="32" t="s">
        <v>169</v>
      </c>
      <c r="C179" s="50">
        <v>5.0E7</v>
      </c>
      <c r="D179" s="50">
        <v>5.0E7</v>
      </c>
      <c r="E179" s="50"/>
      <c r="F179" s="50"/>
      <c r="G179" s="33">
        <f t="shared" si="4"/>
        <v>100000000</v>
      </c>
      <c r="H179" s="33">
        <f>VLOOKUP(A179,Dashboard!A:G,7,FALSE)</f>
        <v>390000000</v>
      </c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ht="22.5" customHeight="1">
      <c r="A180" s="32">
        <v>1.68923934E8</v>
      </c>
      <c r="B180" s="32" t="s">
        <v>52</v>
      </c>
      <c r="C180" s="50">
        <v>1996000.0</v>
      </c>
      <c r="D180" s="50">
        <v>1996400.0</v>
      </c>
      <c r="E180" s="50">
        <v>3003800.0</v>
      </c>
      <c r="F180" s="50">
        <v>3003800.0</v>
      </c>
      <c r="G180" s="33">
        <f t="shared" si="4"/>
        <v>10000000</v>
      </c>
      <c r="H180" s="33">
        <f>VLOOKUP(A180,Dashboard!A:G,7,FALSE)</f>
        <v>49200000</v>
      </c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ht="22.5" customHeight="1">
      <c r="A181" s="32">
        <v>1.39292614E8</v>
      </c>
      <c r="B181" s="32" t="s">
        <v>95</v>
      </c>
      <c r="C181" s="50">
        <v>1919640.0</v>
      </c>
      <c r="D181" s="50">
        <v>2080120.0</v>
      </c>
      <c r="E181" s="50">
        <v>3000120.0</v>
      </c>
      <c r="F181" s="50">
        <v>3000120.0</v>
      </c>
      <c r="G181" s="33">
        <f t="shared" si="4"/>
        <v>10000000</v>
      </c>
      <c r="H181" s="33">
        <f>VLOOKUP(A181,Dashboard!A:G,7,FALSE)</f>
        <v>70000000</v>
      </c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ht="22.5" customHeight="1">
      <c r="A182" s="32">
        <v>1.4361245E8</v>
      </c>
      <c r="B182" s="32" t="s">
        <v>142</v>
      </c>
      <c r="C182" s="50">
        <v>4000000.0</v>
      </c>
      <c r="D182" s="50">
        <v>4000000.0</v>
      </c>
      <c r="E182" s="50">
        <v>4000000.0</v>
      </c>
      <c r="F182" s="50">
        <v>4000000.0</v>
      </c>
      <c r="G182" s="33">
        <f t="shared" si="4"/>
        <v>16000000</v>
      </c>
      <c r="H182" s="33">
        <f>VLOOKUP(A182,Dashboard!A:G,7,FALSE)</f>
        <v>108080000</v>
      </c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ht="22.5" customHeight="1">
      <c r="A183" s="12">
        <v>9.8107237E7</v>
      </c>
      <c r="B183" s="12" t="s">
        <v>184</v>
      </c>
      <c r="C183" s="5">
        <v>2000080.0</v>
      </c>
      <c r="D183" s="5">
        <v>2000080.0</v>
      </c>
      <c r="E183" s="5">
        <v>2999200.0</v>
      </c>
      <c r="F183" s="5">
        <v>3000640.0</v>
      </c>
      <c r="G183" s="33">
        <f t="shared" si="4"/>
        <v>10000000</v>
      </c>
      <c r="H183" s="33">
        <f>VLOOKUP(A183,Dashboard!A:G,7,FALSE)</f>
        <v>330000000</v>
      </c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ht="22.5" customHeight="1">
      <c r="A184" s="9">
        <v>1.71910225E8</v>
      </c>
      <c r="B184" s="9" t="s">
        <v>100</v>
      </c>
      <c r="C184" s="5">
        <v>2300000.0</v>
      </c>
      <c r="D184" s="5">
        <v>2300000.0</v>
      </c>
      <c r="E184" s="5">
        <v>3312000.0</v>
      </c>
      <c r="F184" s="5">
        <v>5400000.0</v>
      </c>
      <c r="G184" s="33">
        <f t="shared" si="4"/>
        <v>13312000</v>
      </c>
      <c r="H184" s="33">
        <f>VLOOKUP(A184,Dashboard!A:G,7,FALSE)</f>
        <v>559467753</v>
      </c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ht="22.5" customHeight="1">
      <c r="A185" s="35">
        <v>1.55534128E8</v>
      </c>
      <c r="B185" s="35" t="s">
        <v>76</v>
      </c>
      <c r="C185" s="5">
        <v>2760000.0</v>
      </c>
      <c r="D185" s="5">
        <v>2760000.0</v>
      </c>
      <c r="E185" s="5">
        <v>2760000.0</v>
      </c>
      <c r="F185" s="5">
        <v>920000.0</v>
      </c>
      <c r="G185" s="33">
        <f t="shared" si="4"/>
        <v>9200000</v>
      </c>
      <c r="H185" s="33">
        <f>VLOOKUP(A185,Dashboard!A:G,7,FALSE)</f>
        <v>49200000</v>
      </c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ht="22.5" customHeight="1">
      <c r="A186" s="35">
        <v>1.69420296E8</v>
      </c>
      <c r="B186" s="35" t="s">
        <v>138</v>
      </c>
      <c r="C186" s="5">
        <v>4658972.0</v>
      </c>
      <c r="D186" s="5">
        <v>5224938.0</v>
      </c>
      <c r="E186" s="5">
        <v>6163539.0</v>
      </c>
      <c r="F186" s="5">
        <v>3836461.0</v>
      </c>
      <c r="G186" s="33">
        <f t="shared" si="4"/>
        <v>19883910</v>
      </c>
      <c r="H186" s="33">
        <f>VLOOKUP(A186,Dashboard!A:G,7,FALSE)</f>
        <v>361723910</v>
      </c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ht="22.5" customHeight="1">
      <c r="A187" s="9">
        <v>2.7578537E7</v>
      </c>
      <c r="B187" s="9" t="s">
        <v>179</v>
      </c>
      <c r="C187" s="5">
        <v>1.0E7</v>
      </c>
      <c r="D187" s="5">
        <v>1.0E7</v>
      </c>
      <c r="E187" s="5">
        <v>1.0E7</v>
      </c>
      <c r="F187" s="5">
        <v>1.0E7</v>
      </c>
      <c r="G187" s="33">
        <f t="shared" si="4"/>
        <v>40000000</v>
      </c>
      <c r="H187" s="33">
        <f>VLOOKUP(A187,Dashboard!A:G,7,FALSE)</f>
        <v>946182150</v>
      </c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ht="22.5" customHeight="1">
      <c r="A188" s="35">
        <v>1.70708608E8</v>
      </c>
      <c r="B188" s="35" t="s">
        <v>84</v>
      </c>
      <c r="C188" s="5"/>
      <c r="D188" s="5">
        <v>1840000.0</v>
      </c>
      <c r="E188" s="5">
        <v>1.0E7</v>
      </c>
      <c r="F188" s="5"/>
      <c r="G188" s="33">
        <f t="shared" si="4"/>
        <v>11840000</v>
      </c>
      <c r="H188" s="33">
        <f>VLOOKUP(A188,Dashboard!A:G,7,FALSE)</f>
        <v>131840000</v>
      </c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 ht="22.5" customHeight="1">
      <c r="A189" s="35">
        <v>1.71879011E8</v>
      </c>
      <c r="B189" s="35" t="s">
        <v>33</v>
      </c>
      <c r="C189" s="5">
        <v>1.0E7</v>
      </c>
      <c r="D189" s="5">
        <v>1.0E7</v>
      </c>
      <c r="E189" s="5">
        <v>1.0E7</v>
      </c>
      <c r="F189" s="5">
        <v>1.0E7</v>
      </c>
      <c r="G189" s="33">
        <f t="shared" si="4"/>
        <v>40000000</v>
      </c>
      <c r="H189" s="33">
        <f>VLOOKUP(A189,Dashboard!A:G,7,FALSE)</f>
        <v>559999998</v>
      </c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 ht="22.5" customHeight="1">
      <c r="A190" s="51" t="str">
        <f>COUNT(Week_26_Jan_1_Feb_2026[ID]) &amp; " Contributors"</f>
        <v>52 Contributors</v>
      </c>
      <c r="B190" s="51"/>
      <c r="C190" s="52">
        <f>SUM(Week_26_Jan_1_Feb_2026[Food])</f>
        <v>312342798</v>
      </c>
      <c r="D190" s="52">
        <f>SUM(Week_26_Jan_1_Feb_2026[Wood])</f>
        <v>463188862</v>
      </c>
      <c r="E190" s="52">
        <f>SUM(Week_26_Jan_1_Feb_2026[Stone])</f>
        <v>245562897</v>
      </c>
      <c r="F190" s="52">
        <f>SUM(Week_26_Jan_1_Feb_2026[Gold])</f>
        <v>214621353</v>
      </c>
      <c r="G190" s="52">
        <f>SUM(Week_26_Jan_1_Feb_2026[Week Contribution])</f>
        <v>1235715910</v>
      </c>
      <c r="H190" s="52">
        <f>SUM(Week_26_Jan_1_Feb_2026[Total Contribution])</f>
        <v>13999974532</v>
      </c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>
      <c r="A191" s="53"/>
      <c r="B191" s="53"/>
      <c r="C191" s="53"/>
      <c r="D191" s="53"/>
      <c r="E191" s="53"/>
      <c r="F191" s="53"/>
      <c r="G191" s="53"/>
      <c r="H191" s="53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>
      <c r="A192" s="53"/>
      <c r="B192" s="53"/>
      <c r="C192" s="53"/>
      <c r="D192" s="53"/>
      <c r="E192" s="53"/>
      <c r="F192" s="53"/>
      <c r="G192" s="53"/>
      <c r="H192" s="53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>
      <c r="A193" s="53"/>
      <c r="B193" s="53"/>
      <c r="C193" s="53"/>
      <c r="D193" s="53"/>
      <c r="E193" s="53"/>
      <c r="F193" s="53"/>
      <c r="G193" s="53"/>
      <c r="H193" s="53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>
      <c r="A194" s="53"/>
      <c r="B194" s="53"/>
      <c r="C194" s="53"/>
      <c r="D194" s="53"/>
      <c r="E194" s="53"/>
      <c r="F194" s="53"/>
      <c r="G194" s="53"/>
      <c r="H194" s="53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>
      <c r="A195" s="53"/>
      <c r="B195" s="53"/>
      <c r="C195" s="53"/>
      <c r="D195" s="53"/>
      <c r="E195" s="53"/>
      <c r="F195" s="53"/>
      <c r="G195" s="53"/>
      <c r="H195" s="53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>
      <c r="A196" s="53"/>
      <c r="B196" s="53"/>
      <c r="C196" s="53"/>
      <c r="D196" s="53"/>
      <c r="E196" s="53"/>
      <c r="F196" s="53"/>
      <c r="G196" s="53"/>
      <c r="H196" s="53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>
      <c r="A197" s="53"/>
      <c r="B197" s="53"/>
      <c r="C197" s="53"/>
      <c r="D197" s="53"/>
      <c r="E197" s="53"/>
      <c r="F197" s="53"/>
      <c r="G197" s="53"/>
      <c r="H197" s="53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 ht="22.5" customHeight="1">
      <c r="A198" s="24" t="s">
        <v>8</v>
      </c>
      <c r="B198" s="24" t="s">
        <v>207</v>
      </c>
      <c r="C198" s="24" t="s">
        <v>4</v>
      </c>
      <c r="D198" s="24" t="s">
        <v>5</v>
      </c>
      <c r="E198" s="24" t="s">
        <v>6</v>
      </c>
      <c r="F198" s="24" t="s">
        <v>7</v>
      </c>
      <c r="G198" s="24" t="s">
        <v>208</v>
      </c>
      <c r="H198" s="24" t="s">
        <v>209</v>
      </c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 ht="22.5" customHeight="1">
      <c r="A199" s="9">
        <v>1.72029365E8</v>
      </c>
      <c r="B199" s="9" t="s">
        <v>147</v>
      </c>
      <c r="C199" s="5">
        <v>4.0E7</v>
      </c>
      <c r="D199" s="5">
        <v>4.0E7</v>
      </c>
      <c r="E199" s="5">
        <v>4.0E7</v>
      </c>
      <c r="F199" s="5">
        <v>4.0E7</v>
      </c>
      <c r="G199" s="54">
        <f t="shared" ref="G199:G254" si="5">SUM(C199:F199)</f>
        <v>160000000</v>
      </c>
      <c r="H199" s="54">
        <f>VLOOKUP(A199,Dashboard!A:G,7,FALSE)</f>
        <v>850000000</v>
      </c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 ht="22.5" customHeight="1">
      <c r="A200" s="9">
        <v>1.68839111E8</v>
      </c>
      <c r="B200" s="9" t="s">
        <v>69</v>
      </c>
      <c r="C200" s="5"/>
      <c r="D200" s="5">
        <v>1.5E8</v>
      </c>
      <c r="E200" s="5"/>
      <c r="F200" s="5"/>
      <c r="G200" s="54">
        <f t="shared" si="5"/>
        <v>150000000</v>
      </c>
      <c r="H200" s="54">
        <f>VLOOKUP(A200,Dashboard!A:G,7,FALSE)</f>
        <v>430000000</v>
      </c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 ht="22.5" customHeight="1">
      <c r="A201" s="9">
        <v>1.40009179E8</v>
      </c>
      <c r="B201" s="9" t="s">
        <v>45</v>
      </c>
      <c r="C201" s="5">
        <v>2.0E7</v>
      </c>
      <c r="D201" s="5">
        <v>3.0E7</v>
      </c>
      <c r="E201" s="5">
        <v>1.8210089E7</v>
      </c>
      <c r="F201" s="5">
        <v>5143595.0</v>
      </c>
      <c r="G201" s="54">
        <f t="shared" si="5"/>
        <v>73353684</v>
      </c>
      <c r="H201" s="54">
        <f>VLOOKUP(A201,Dashboard!A:G,7,FALSE)</f>
        <v>73353684</v>
      </c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 ht="22.5" customHeight="1">
      <c r="A202" s="27">
        <v>1.1279231E8</v>
      </c>
      <c r="B202" s="27" t="s">
        <v>169</v>
      </c>
      <c r="C202" s="5"/>
      <c r="D202" s="5">
        <v>3.0E7</v>
      </c>
      <c r="E202" s="5">
        <v>2.0E7</v>
      </c>
      <c r="F202" s="5"/>
      <c r="G202" s="54">
        <f t="shared" si="5"/>
        <v>50000000</v>
      </c>
      <c r="H202" s="54">
        <f>VLOOKUP(A202,Dashboard!A:G,7,FALSE)</f>
        <v>390000000</v>
      </c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 ht="22.5" customHeight="1">
      <c r="A203" s="9">
        <v>1.71983336E8</v>
      </c>
      <c r="B203" s="9" t="s">
        <v>46</v>
      </c>
      <c r="C203" s="5">
        <v>1.0E7</v>
      </c>
      <c r="D203" s="5">
        <v>1.0E7</v>
      </c>
      <c r="E203" s="5">
        <v>1.0E7</v>
      </c>
      <c r="F203" s="5">
        <v>1.0E7</v>
      </c>
      <c r="G203" s="54">
        <f t="shared" si="5"/>
        <v>40000000</v>
      </c>
      <c r="H203" s="54">
        <f>VLOOKUP(A203,Dashboard!A:G,7,FALSE)</f>
        <v>258400000</v>
      </c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 ht="22.5" customHeight="1">
      <c r="A204" s="9">
        <v>1.53857025E8</v>
      </c>
      <c r="B204" s="9" t="s">
        <v>86</v>
      </c>
      <c r="C204" s="5">
        <v>1.0E7</v>
      </c>
      <c r="D204" s="5">
        <v>1.0E7</v>
      </c>
      <c r="E204" s="5">
        <v>1.0E7</v>
      </c>
      <c r="F204" s="5">
        <v>1.0E7</v>
      </c>
      <c r="G204" s="54">
        <f t="shared" si="5"/>
        <v>40000000</v>
      </c>
      <c r="H204" s="54">
        <f>VLOOKUP(A204,Dashboard!A:G,7,FALSE)</f>
        <v>381620000</v>
      </c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 ht="22.5" customHeight="1">
      <c r="A205" s="9">
        <v>1.71879011E8</v>
      </c>
      <c r="B205" s="9" t="s">
        <v>33</v>
      </c>
      <c r="C205" s="5">
        <v>1.0E7</v>
      </c>
      <c r="D205" s="5">
        <v>1.0E7</v>
      </c>
      <c r="E205" s="5">
        <v>1.0E7</v>
      </c>
      <c r="F205" s="5">
        <v>1.0E7</v>
      </c>
      <c r="G205" s="54">
        <f t="shared" si="5"/>
        <v>40000000</v>
      </c>
      <c r="H205" s="54">
        <f>VLOOKUP(A205,Dashboard!A:G,7,FALSE)</f>
        <v>559999998</v>
      </c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 ht="22.5" customHeight="1">
      <c r="A206" s="9">
        <v>1.76044158E8</v>
      </c>
      <c r="B206" s="9" t="s">
        <v>137</v>
      </c>
      <c r="C206" s="5">
        <v>1.0E7</v>
      </c>
      <c r="D206" s="5">
        <v>1.0E7</v>
      </c>
      <c r="E206" s="5">
        <v>1.0E7</v>
      </c>
      <c r="F206" s="5">
        <v>1.0E7</v>
      </c>
      <c r="G206" s="54">
        <f t="shared" si="5"/>
        <v>40000000</v>
      </c>
      <c r="H206" s="54">
        <f>VLOOKUP(A206,Dashboard!A:G,7,FALSE)</f>
        <v>480000000</v>
      </c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 ht="22.5" customHeight="1">
      <c r="A207" s="9">
        <v>1.5633938E8</v>
      </c>
      <c r="B207" s="9" t="s">
        <v>18</v>
      </c>
      <c r="C207" s="5">
        <v>1.0E7</v>
      </c>
      <c r="D207" s="5">
        <v>1.0E7</v>
      </c>
      <c r="E207" s="5">
        <v>1.0E7</v>
      </c>
      <c r="F207" s="5">
        <v>1.0E7</v>
      </c>
      <c r="G207" s="54">
        <f t="shared" si="5"/>
        <v>40000000</v>
      </c>
      <c r="H207" s="54">
        <f>VLOOKUP(A207,Dashboard!A:G,7,FALSE)</f>
        <v>280000000</v>
      </c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 ht="22.5" customHeight="1">
      <c r="A208" s="9">
        <v>1.72041454E8</v>
      </c>
      <c r="B208" s="9" t="s">
        <v>75</v>
      </c>
      <c r="C208" s="5">
        <v>1.0E7</v>
      </c>
      <c r="D208" s="5">
        <v>1.0E7</v>
      </c>
      <c r="E208" s="5">
        <v>1.0E7</v>
      </c>
      <c r="F208" s="5">
        <v>1.0E7</v>
      </c>
      <c r="G208" s="54">
        <f t="shared" si="5"/>
        <v>40000000</v>
      </c>
      <c r="H208" s="54">
        <f>VLOOKUP(A208,Dashboard!A:G,7,FALSE)</f>
        <v>208420000</v>
      </c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 ht="22.5" customHeight="1">
      <c r="A209" s="9">
        <v>1.71697263E8</v>
      </c>
      <c r="B209" s="8" t="s">
        <v>214</v>
      </c>
      <c r="C209" s="5">
        <v>2760000.0</v>
      </c>
      <c r="D209" s="5">
        <v>3.448E7</v>
      </c>
      <c r="E209" s="5"/>
      <c r="F209" s="5">
        <v>2760000.0</v>
      </c>
      <c r="G209" s="54">
        <f t="shared" si="5"/>
        <v>40000000</v>
      </c>
      <c r="H209" s="54">
        <f>VLOOKUP(A209,Dashboard!A:G,7,FALSE)</f>
        <v>606794789</v>
      </c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 ht="22.5" customHeight="1">
      <c r="A210" s="9">
        <v>1.71910225E8</v>
      </c>
      <c r="B210" s="9" t="s">
        <v>100</v>
      </c>
      <c r="C210" s="5">
        <v>1.0E7</v>
      </c>
      <c r="D210" s="5">
        <v>1.0E7</v>
      </c>
      <c r="E210" s="5">
        <v>1.0E7</v>
      </c>
      <c r="F210" s="5">
        <v>4203753.0</v>
      </c>
      <c r="G210" s="54">
        <f t="shared" si="5"/>
        <v>34203753</v>
      </c>
      <c r="H210" s="54">
        <f>VLOOKUP(A210,Dashboard!A:G,7,FALSE)</f>
        <v>559467753</v>
      </c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 ht="22.5" customHeight="1">
      <c r="A211" s="9">
        <v>1.71503078E8</v>
      </c>
      <c r="B211" s="9" t="s">
        <v>43</v>
      </c>
      <c r="C211" s="5">
        <v>1.0E7</v>
      </c>
      <c r="D211" s="5">
        <v>1.0E7</v>
      </c>
      <c r="E211" s="5">
        <v>1.0E7</v>
      </c>
      <c r="F211" s="5">
        <v>3036000.0</v>
      </c>
      <c r="G211" s="54">
        <f t="shared" si="5"/>
        <v>33036000</v>
      </c>
      <c r="H211" s="54">
        <f>VLOOKUP(A211,Dashboard!A:G,7,FALSE)</f>
        <v>390959600</v>
      </c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 ht="22.5" customHeight="1">
      <c r="A212" s="9">
        <v>1.72021868E8</v>
      </c>
      <c r="B212" s="9" t="s">
        <v>81</v>
      </c>
      <c r="C212" s="5">
        <v>1.0E7</v>
      </c>
      <c r="D212" s="5">
        <v>1.0E7</v>
      </c>
      <c r="E212" s="4"/>
      <c r="F212" s="5">
        <v>1.0E7</v>
      </c>
      <c r="G212" s="54">
        <f t="shared" si="5"/>
        <v>30000000</v>
      </c>
      <c r="H212" s="54">
        <f>VLOOKUP(A212,Dashboard!A:G,7,FALSE)</f>
        <v>284041640</v>
      </c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 ht="22.5" customHeight="1">
      <c r="A213" s="9">
        <v>1.69446634E8</v>
      </c>
      <c r="B213" s="9" t="s">
        <v>49</v>
      </c>
      <c r="C213" s="5">
        <v>7680000.0</v>
      </c>
      <c r="D213" s="5">
        <v>7680000.0</v>
      </c>
      <c r="E213" s="5">
        <v>7744000.0</v>
      </c>
      <c r="F213" s="5">
        <v>5840000.0</v>
      </c>
      <c r="G213" s="54">
        <f t="shared" si="5"/>
        <v>28944000</v>
      </c>
      <c r="H213" s="54">
        <f>VLOOKUP(A213,Dashboard!A:G,7,FALSE)</f>
        <v>193604000</v>
      </c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 ht="22.5" customHeight="1">
      <c r="A214" s="9">
        <v>1.38752108E8</v>
      </c>
      <c r="B214" s="9" t="s">
        <v>74</v>
      </c>
      <c r="C214" s="5">
        <v>6256000.0</v>
      </c>
      <c r="D214" s="5">
        <v>6256000.0</v>
      </c>
      <c r="E214" s="5">
        <v>6256000.0</v>
      </c>
      <c r="F214" s="5">
        <v>2208000.0</v>
      </c>
      <c r="G214" s="54">
        <f t="shared" si="5"/>
        <v>20976000</v>
      </c>
      <c r="H214" s="54">
        <f>VLOOKUP(A214,Dashboard!A:G,7,FALSE)</f>
        <v>146769440</v>
      </c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 ht="22.5" customHeight="1">
      <c r="A215" s="9">
        <v>1.70708608E8</v>
      </c>
      <c r="B215" s="9" t="s">
        <v>84</v>
      </c>
      <c r="C215" s="5"/>
      <c r="D215" s="5">
        <v>1.0E7</v>
      </c>
      <c r="E215" s="5">
        <v>1.0E7</v>
      </c>
      <c r="F215" s="5"/>
      <c r="G215" s="54">
        <f t="shared" si="5"/>
        <v>20000000</v>
      </c>
      <c r="H215" s="54">
        <f>VLOOKUP(A215,Dashboard!A:G,7,FALSE)</f>
        <v>131840000</v>
      </c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 ht="22.5" customHeight="1">
      <c r="A216" s="9">
        <v>1.70728362E8</v>
      </c>
      <c r="B216" s="9" t="s">
        <v>99</v>
      </c>
      <c r="C216" s="5">
        <v>1.0E7</v>
      </c>
      <c r="D216" s="5">
        <v>1.0E7</v>
      </c>
      <c r="E216" s="5"/>
      <c r="F216" s="5"/>
      <c r="G216" s="54">
        <f t="shared" si="5"/>
        <v>20000000</v>
      </c>
      <c r="H216" s="54">
        <f>VLOOKUP(A216,Dashboard!A:G,7,FALSE)</f>
        <v>190000000</v>
      </c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 ht="22.5" customHeight="1">
      <c r="A217" s="9">
        <v>6.2576249E7</v>
      </c>
      <c r="B217" s="9" t="s">
        <v>29</v>
      </c>
      <c r="C217" s="5"/>
      <c r="D217" s="5"/>
      <c r="E217" s="5">
        <v>2.0E7</v>
      </c>
      <c r="F217" s="5"/>
      <c r="G217" s="54">
        <f t="shared" si="5"/>
        <v>20000000</v>
      </c>
      <c r="H217" s="54">
        <f>VLOOKUP(A217,Dashboard!A:G,7,FALSE)</f>
        <v>240000000</v>
      </c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 ht="22.5" customHeight="1">
      <c r="A218" s="9">
        <v>1.4406546E8</v>
      </c>
      <c r="B218" s="9" t="s">
        <v>68</v>
      </c>
      <c r="C218" s="5">
        <v>1.0E7</v>
      </c>
      <c r="D218" s="5">
        <v>1.0E7</v>
      </c>
      <c r="E218" s="5"/>
      <c r="F218" s="5"/>
      <c r="G218" s="54">
        <f t="shared" si="5"/>
        <v>20000000</v>
      </c>
      <c r="H218" s="54">
        <f>VLOOKUP(A218,Dashboard!A:G,7,FALSE)</f>
        <v>342104176</v>
      </c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ht="22.5" customHeight="1">
      <c r="A219" s="9">
        <v>1.20029911E8</v>
      </c>
      <c r="B219" s="9" t="s">
        <v>48</v>
      </c>
      <c r="C219" s="5">
        <v>5980000.0</v>
      </c>
      <c r="D219" s="5">
        <v>5980000.0</v>
      </c>
      <c r="E219" s="5">
        <v>5980000.0</v>
      </c>
      <c r="F219" s="5">
        <v>2060000.0</v>
      </c>
      <c r="G219" s="54">
        <f t="shared" si="5"/>
        <v>20000000</v>
      </c>
      <c r="H219" s="54">
        <f>VLOOKUP(A219,Dashboard!A:G,7,FALSE)</f>
        <v>59200000</v>
      </c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 ht="22.5" customHeight="1">
      <c r="A220" s="9">
        <v>1.44060837E8</v>
      </c>
      <c r="B220" s="9" t="s">
        <v>28</v>
      </c>
      <c r="C220" s="5">
        <v>4962467.0</v>
      </c>
      <c r="D220" s="5">
        <v>1969692.0</v>
      </c>
      <c r="E220" s="5">
        <v>1.306784E7</v>
      </c>
      <c r="F220" s="5"/>
      <c r="G220" s="54">
        <f t="shared" si="5"/>
        <v>19999999</v>
      </c>
      <c r="H220" s="54">
        <f>VLOOKUP(A220,Dashboard!A:G,7,FALSE)</f>
        <v>62759999</v>
      </c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 ht="22.5" customHeight="1">
      <c r="A221" s="9">
        <v>1.58817223E8</v>
      </c>
      <c r="B221" s="9" t="s">
        <v>140</v>
      </c>
      <c r="C221" s="5">
        <v>3680000.0</v>
      </c>
      <c r="D221" s="5">
        <v>3680000.0</v>
      </c>
      <c r="E221" s="5">
        <v>3680000.0</v>
      </c>
      <c r="F221" s="5">
        <v>3042659.0</v>
      </c>
      <c r="G221" s="54">
        <f t="shared" si="5"/>
        <v>14082659</v>
      </c>
      <c r="H221" s="54">
        <f>VLOOKUP(A221,Dashboard!A:G,7,FALSE)</f>
        <v>34690659</v>
      </c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 ht="22.5" customHeight="1">
      <c r="A222" s="9">
        <v>1.69420296E8</v>
      </c>
      <c r="B222" s="9" t="s">
        <v>138</v>
      </c>
      <c r="C222" s="5">
        <v>2760000.0</v>
      </c>
      <c r="D222" s="5">
        <v>2760000.0</v>
      </c>
      <c r="E222" s="5">
        <v>2760000.0</v>
      </c>
      <c r="F222" s="5">
        <v>3560000.0</v>
      </c>
      <c r="G222" s="54">
        <f t="shared" si="5"/>
        <v>11840000</v>
      </c>
      <c r="H222" s="54">
        <f>VLOOKUP(A222,Dashboard!A:G,7,FALSE)</f>
        <v>361723910</v>
      </c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 ht="22.5" customHeight="1">
      <c r="A223" s="9">
        <v>1.72033754E8</v>
      </c>
      <c r="B223" s="9" t="s">
        <v>79</v>
      </c>
      <c r="C223" s="5">
        <v>3220000.0</v>
      </c>
      <c r="D223" s="5">
        <v>3220000.0</v>
      </c>
      <c r="E223" s="5">
        <v>3220000.0</v>
      </c>
      <c r="F223" s="5">
        <v>1380000.0</v>
      </c>
      <c r="G223" s="54">
        <f t="shared" si="5"/>
        <v>11040000</v>
      </c>
      <c r="H223" s="54">
        <f>VLOOKUP(A223,Dashboard!A:G,7,FALSE)</f>
        <v>930794163</v>
      </c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 ht="22.5" customHeight="1">
      <c r="A224" s="9">
        <v>1.63138873E8</v>
      </c>
      <c r="B224" s="9" t="s">
        <v>116</v>
      </c>
      <c r="C224" s="5">
        <v>3000240.0</v>
      </c>
      <c r="D224" s="5">
        <v>3000240.0</v>
      </c>
      <c r="E224" s="5">
        <v>3000240.0</v>
      </c>
      <c r="F224" s="5">
        <v>1999280.0</v>
      </c>
      <c r="G224" s="54">
        <f t="shared" si="5"/>
        <v>11000000</v>
      </c>
      <c r="H224" s="54">
        <f>VLOOKUP(A224,Dashboard!A:G,7,FALSE)</f>
        <v>38600000</v>
      </c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 ht="22.5" customHeight="1">
      <c r="A225" s="9">
        <v>1.66807426E8</v>
      </c>
      <c r="B225" s="9" t="s">
        <v>181</v>
      </c>
      <c r="C225" s="5">
        <v>3025893.0</v>
      </c>
      <c r="D225" s="5">
        <v>3124633.0</v>
      </c>
      <c r="E225" s="5">
        <v>3008406.0</v>
      </c>
      <c r="F225" s="5">
        <v>1096350.0</v>
      </c>
      <c r="G225" s="54">
        <f t="shared" si="5"/>
        <v>10255282</v>
      </c>
      <c r="H225" s="54">
        <f>VLOOKUP(A225,Dashboard!A:G,7,FALSE)</f>
        <v>10255282</v>
      </c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 ht="22.5" customHeight="1">
      <c r="A226" s="9">
        <v>1.61646318E8</v>
      </c>
      <c r="B226" s="9" t="s">
        <v>120</v>
      </c>
      <c r="C226" s="5">
        <v>3036000.0</v>
      </c>
      <c r="D226" s="5">
        <v>3036000.0</v>
      </c>
      <c r="E226" s="5">
        <v>3036000.0</v>
      </c>
      <c r="F226" s="5">
        <v>1012000.0</v>
      </c>
      <c r="G226" s="54">
        <f t="shared" si="5"/>
        <v>10120000</v>
      </c>
      <c r="H226" s="54">
        <f>VLOOKUP(A226,Dashboard!A:G,7,FALSE)</f>
        <v>150434400</v>
      </c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 ht="22.5" customHeight="1">
      <c r="A227" s="9">
        <v>1.71679053E8</v>
      </c>
      <c r="B227" s="9" t="s">
        <v>101</v>
      </c>
      <c r="C227" s="55">
        <v>3036000.0</v>
      </c>
      <c r="D227" s="55">
        <v>3036000.0</v>
      </c>
      <c r="E227" s="55">
        <v>3036000.0</v>
      </c>
      <c r="F227" s="55">
        <v>1012000.0</v>
      </c>
      <c r="G227" s="54">
        <f t="shared" si="5"/>
        <v>10120000</v>
      </c>
      <c r="H227" s="54">
        <f>VLOOKUP(A227,Dashboard!A:G,7,FALSE)</f>
        <v>102460000</v>
      </c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 ht="22.5" customHeight="1">
      <c r="A228" s="9">
        <v>1.67637163E8</v>
      </c>
      <c r="B228" s="9" t="s">
        <v>19</v>
      </c>
      <c r="C228" s="5">
        <v>3017600.0</v>
      </c>
      <c r="D228" s="5">
        <v>3017600.0</v>
      </c>
      <c r="E228" s="5">
        <v>3017600.0</v>
      </c>
      <c r="F228" s="5">
        <v>1012000.0</v>
      </c>
      <c r="G228" s="54">
        <f t="shared" si="5"/>
        <v>10064800</v>
      </c>
      <c r="H228" s="54">
        <f>VLOOKUP(A228,Dashboard!A:G,7,FALSE)</f>
        <v>231725200</v>
      </c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 ht="22.5" customHeight="1">
      <c r="A229" s="9">
        <v>1915332.0</v>
      </c>
      <c r="B229" s="9" t="s">
        <v>72</v>
      </c>
      <c r="C229" s="5">
        <v>3000120.0</v>
      </c>
      <c r="D229" s="5">
        <v>3000120.0</v>
      </c>
      <c r="E229" s="5">
        <v>3000120.0</v>
      </c>
      <c r="F229" s="5">
        <v>1012000.0</v>
      </c>
      <c r="G229" s="54">
        <f t="shared" si="5"/>
        <v>10012360</v>
      </c>
      <c r="H229" s="54">
        <f>VLOOKUP(A229,Dashboard!A:G,7,FALSE)</f>
        <v>994815560</v>
      </c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 ht="22.5" customHeight="1">
      <c r="A230" s="9">
        <v>1.46428825E8</v>
      </c>
      <c r="B230" s="9" t="s">
        <v>172</v>
      </c>
      <c r="C230" s="5">
        <v>3008400.0</v>
      </c>
      <c r="D230" s="5">
        <v>3008400.0</v>
      </c>
      <c r="E230" s="5">
        <v>3008400.0</v>
      </c>
      <c r="F230" s="5">
        <v>975200.0</v>
      </c>
      <c r="G230" s="54">
        <f t="shared" si="5"/>
        <v>10000400</v>
      </c>
      <c r="H230" s="54">
        <f>VLOOKUP(A230,Dashboard!A:G,7,FALSE)</f>
        <v>69320400</v>
      </c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 ht="22.5" customHeight="1">
      <c r="A231" s="9">
        <v>1.71830779E8</v>
      </c>
      <c r="B231" s="9" t="s">
        <v>151</v>
      </c>
      <c r="C231" s="5">
        <v>2760460.0</v>
      </c>
      <c r="D231" s="5">
        <v>2760000.0</v>
      </c>
      <c r="E231" s="5">
        <v>2760000.0</v>
      </c>
      <c r="F231" s="5">
        <v>1719540.0</v>
      </c>
      <c r="G231" s="54">
        <f t="shared" si="5"/>
        <v>10000000</v>
      </c>
      <c r="H231" s="54">
        <f>VLOOKUP(A231,Dashboard!A:G,7,FALSE)</f>
        <v>655180761</v>
      </c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 ht="22.5" customHeight="1">
      <c r="A232" s="9">
        <v>1.66497805E8</v>
      </c>
      <c r="B232" s="9" t="s">
        <v>56</v>
      </c>
      <c r="C232" s="5">
        <v>2990000.0</v>
      </c>
      <c r="D232" s="5">
        <v>2990000.0</v>
      </c>
      <c r="E232" s="5">
        <v>2990000.0</v>
      </c>
      <c r="F232" s="5">
        <v>1030000.0</v>
      </c>
      <c r="G232" s="54">
        <f t="shared" si="5"/>
        <v>10000000</v>
      </c>
      <c r="H232" s="54">
        <f>VLOOKUP(A232,Dashboard!A:G,7,FALSE)</f>
        <v>70000000</v>
      </c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 ht="22.5" customHeight="1">
      <c r="A233" s="9">
        <v>1.69247313E8</v>
      </c>
      <c r="B233" s="9" t="s">
        <v>37</v>
      </c>
      <c r="C233" s="5">
        <v>3560000.0</v>
      </c>
      <c r="D233" s="5">
        <v>2760000.0</v>
      </c>
      <c r="E233" s="5">
        <v>2760000.0</v>
      </c>
      <c r="F233" s="5">
        <v>920000.0</v>
      </c>
      <c r="G233" s="54">
        <f t="shared" si="5"/>
        <v>10000000</v>
      </c>
      <c r="H233" s="54">
        <f>VLOOKUP(A233,Dashboard!A:G,7,FALSE)</f>
        <v>75200000</v>
      </c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 ht="22.5" customHeight="1">
      <c r="A234" s="12">
        <v>1.71345916E8</v>
      </c>
      <c r="B234" s="12" t="s">
        <v>180</v>
      </c>
      <c r="C234" s="5"/>
      <c r="D234" s="5">
        <v>5316556.0</v>
      </c>
      <c r="E234" s="5">
        <v>4683444.0</v>
      </c>
      <c r="F234" s="5"/>
      <c r="G234" s="54">
        <f t="shared" si="5"/>
        <v>10000000</v>
      </c>
      <c r="H234" s="54">
        <f>VLOOKUP(A234,Dashboard!A:G,7,FALSE)</f>
        <v>20000000</v>
      </c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 ht="22.5" customHeight="1">
      <c r="A235" s="9">
        <v>6.496634E7</v>
      </c>
      <c r="B235" s="9" t="s">
        <v>173</v>
      </c>
      <c r="C235" s="5">
        <v>2760000.0</v>
      </c>
      <c r="D235" s="5">
        <v>2760000.0</v>
      </c>
      <c r="E235" s="5">
        <v>3560000.0</v>
      </c>
      <c r="F235" s="5">
        <v>920000.0</v>
      </c>
      <c r="G235" s="54">
        <f t="shared" si="5"/>
        <v>10000000</v>
      </c>
      <c r="H235" s="54">
        <f>VLOOKUP(A235,Dashboard!A:G,7,FALSE)</f>
        <v>184600000</v>
      </c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 ht="22.5" customHeight="1">
      <c r="A236" s="9">
        <v>1.68923934E8</v>
      </c>
      <c r="B236" s="9" t="s">
        <v>52</v>
      </c>
      <c r="C236" s="5">
        <v>3003800.0</v>
      </c>
      <c r="D236" s="5">
        <v>3003800.0</v>
      </c>
      <c r="E236" s="5">
        <v>3003800.0</v>
      </c>
      <c r="F236" s="5">
        <v>988600.0</v>
      </c>
      <c r="G236" s="54">
        <f t="shared" si="5"/>
        <v>10000000</v>
      </c>
      <c r="H236" s="54">
        <f>VLOOKUP(A236,Dashboard!A:G,7,FALSE)</f>
        <v>49200000</v>
      </c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 ht="22.5" customHeight="1">
      <c r="A237" s="9">
        <v>1.71209025E8</v>
      </c>
      <c r="B237" s="9" t="s">
        <v>88</v>
      </c>
      <c r="C237" s="5">
        <v>1.0E7</v>
      </c>
      <c r="D237" s="5"/>
      <c r="E237" s="5"/>
      <c r="F237" s="5"/>
      <c r="G237" s="54">
        <f t="shared" si="5"/>
        <v>10000000</v>
      </c>
      <c r="H237" s="54">
        <f>VLOOKUP(A237,Dashboard!A:G,7,FALSE)</f>
        <v>90000000</v>
      </c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 ht="22.5" customHeight="1">
      <c r="A238" s="9">
        <v>2.7578537E7</v>
      </c>
      <c r="B238" s="9" t="s">
        <v>179</v>
      </c>
      <c r="C238" s="5">
        <v>2807939.0</v>
      </c>
      <c r="D238" s="5">
        <v>3356587.0</v>
      </c>
      <c r="E238" s="5">
        <v>3420985.0</v>
      </c>
      <c r="F238" s="5">
        <v>414489.0</v>
      </c>
      <c r="G238" s="54">
        <f t="shared" si="5"/>
        <v>10000000</v>
      </c>
      <c r="H238" s="54">
        <f>VLOOKUP(A238,Dashboard!A:G,7,FALSE)</f>
        <v>946182150</v>
      </c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 ht="22.5" customHeight="1">
      <c r="A239" s="9">
        <v>6.2691192E7</v>
      </c>
      <c r="B239" s="9" t="s">
        <v>27</v>
      </c>
      <c r="C239" s="5"/>
      <c r="D239" s="5"/>
      <c r="E239" s="5">
        <v>1.0E7</v>
      </c>
      <c r="F239" s="5"/>
      <c r="G239" s="54">
        <f t="shared" si="5"/>
        <v>10000000</v>
      </c>
      <c r="H239" s="54">
        <f>VLOOKUP(A239,Dashboard!A:G,7,FALSE)</f>
        <v>95194880</v>
      </c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 ht="22.5" customHeight="1">
      <c r="A240" s="9">
        <v>1.43457511E8</v>
      </c>
      <c r="B240" s="9" t="s">
        <v>103</v>
      </c>
      <c r="C240" s="5"/>
      <c r="D240" s="5"/>
      <c r="E240" s="5"/>
      <c r="F240" s="5">
        <v>1.0E7</v>
      </c>
      <c r="G240" s="54">
        <f t="shared" si="5"/>
        <v>10000000</v>
      </c>
      <c r="H240" s="54">
        <f>VLOOKUP(A240,Dashboard!A:G,7,FALSE)</f>
        <v>1080000000</v>
      </c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 ht="22.5" customHeight="1">
      <c r="A241" s="9">
        <v>1.72008118E8</v>
      </c>
      <c r="B241" s="9" t="s">
        <v>141</v>
      </c>
      <c r="C241" s="5"/>
      <c r="D241" s="5"/>
      <c r="E241" s="5">
        <v>5705151.0</v>
      </c>
      <c r="F241" s="5">
        <v>4294849.0</v>
      </c>
      <c r="G241" s="54">
        <f t="shared" si="5"/>
        <v>10000000</v>
      </c>
      <c r="H241" s="54">
        <f>VLOOKUP(A241,Dashboard!A:G,7,FALSE)</f>
        <v>179999999</v>
      </c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 ht="22.5" customHeight="1">
      <c r="A242" s="9">
        <v>1.6942777E8</v>
      </c>
      <c r="B242" s="9" t="s">
        <v>63</v>
      </c>
      <c r="C242" s="5">
        <v>2760000.0</v>
      </c>
      <c r="D242" s="5">
        <v>3560000.0</v>
      </c>
      <c r="E242" s="5">
        <v>2760000.0</v>
      </c>
      <c r="F242" s="5">
        <v>920000.0</v>
      </c>
      <c r="G242" s="54">
        <f t="shared" si="5"/>
        <v>10000000</v>
      </c>
      <c r="H242" s="54">
        <f>VLOOKUP(A242,Dashboard!A:G,7,FALSE)</f>
        <v>278400000</v>
      </c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 ht="22.5" customHeight="1">
      <c r="A243" s="9">
        <v>1.45008495E8</v>
      </c>
      <c r="B243" s="9" t="s">
        <v>108</v>
      </c>
      <c r="C243" s="56"/>
      <c r="D243" s="56"/>
      <c r="E243" s="56"/>
      <c r="F243" s="56">
        <v>1.0E7</v>
      </c>
      <c r="G243" s="54">
        <f t="shared" si="5"/>
        <v>10000000</v>
      </c>
      <c r="H243" s="54">
        <f>VLOOKUP(A243,Dashboard!A:G,7,FALSE)</f>
        <v>205816715</v>
      </c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 ht="22.5" customHeight="1">
      <c r="A244" s="9">
        <v>1.71604682E8</v>
      </c>
      <c r="B244" s="9" t="s">
        <v>216</v>
      </c>
      <c r="C244" s="5">
        <v>3036000.0</v>
      </c>
      <c r="D244" s="5">
        <v>3036000.0</v>
      </c>
      <c r="E244" s="5">
        <v>2944000.0</v>
      </c>
      <c r="F244" s="5">
        <v>984000.0</v>
      </c>
      <c r="G244" s="54">
        <f t="shared" si="5"/>
        <v>10000000</v>
      </c>
      <c r="H244" s="54">
        <f>VLOOKUP(A244,Dashboard!A:G,7,FALSE)</f>
        <v>210800000</v>
      </c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 ht="22.5" customHeight="1">
      <c r="A245" s="9">
        <v>1.66871338E8</v>
      </c>
      <c r="B245" s="9" t="s">
        <v>53</v>
      </c>
      <c r="C245" s="5"/>
      <c r="D245" s="5">
        <v>1.0E7</v>
      </c>
      <c r="E245" s="5"/>
      <c r="F245" s="5"/>
      <c r="G245" s="54">
        <f t="shared" si="5"/>
        <v>10000000</v>
      </c>
      <c r="H245" s="54">
        <f>VLOOKUP(A245,Dashboard!A:G,7,FALSE)</f>
        <v>320000000</v>
      </c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 ht="22.5" customHeight="1">
      <c r="A246" s="9">
        <v>1.71753933E8</v>
      </c>
      <c r="B246" s="9" t="s">
        <v>87</v>
      </c>
      <c r="C246" s="57">
        <v>5215016.0</v>
      </c>
      <c r="D246" s="57">
        <v>2744960.0</v>
      </c>
      <c r="E246" s="57">
        <v>2040024.0</v>
      </c>
      <c r="F246" s="5"/>
      <c r="G246" s="54">
        <f t="shared" si="5"/>
        <v>10000000</v>
      </c>
      <c r="H246" s="54">
        <f>VLOOKUP(A246,Dashboard!A:G,7,FALSE)</f>
        <v>110211998</v>
      </c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 ht="22.5" customHeight="1">
      <c r="A247" s="9">
        <v>1.41154852E8</v>
      </c>
      <c r="B247" s="9" t="s">
        <v>164</v>
      </c>
      <c r="C247" s="5">
        <v>1893331.0</v>
      </c>
      <c r="D247" s="5">
        <v>5493143.0</v>
      </c>
      <c r="E247" s="5">
        <v>2613525.0</v>
      </c>
      <c r="F247" s="5"/>
      <c r="G247" s="54">
        <f t="shared" si="5"/>
        <v>9999999</v>
      </c>
      <c r="H247" s="54">
        <f>VLOOKUP(A247,Dashboard!A:G,7,FALSE)</f>
        <v>79999997</v>
      </c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 ht="22.5" customHeight="1">
      <c r="A248" s="9">
        <v>1.44049878E8</v>
      </c>
      <c r="B248" s="9" t="s">
        <v>51</v>
      </c>
      <c r="C248" s="5">
        <v>2760000.0</v>
      </c>
      <c r="D248" s="5">
        <v>2760000.0</v>
      </c>
      <c r="E248" s="5">
        <v>2760000.0</v>
      </c>
      <c r="F248" s="5">
        <v>1656000.0</v>
      </c>
      <c r="G248" s="54">
        <f t="shared" si="5"/>
        <v>9936000</v>
      </c>
      <c r="H248" s="54">
        <f>VLOOKUP(A248,Dashboard!A:G,7,FALSE)</f>
        <v>179256000</v>
      </c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 ht="22.5" customHeight="1">
      <c r="A249" s="9">
        <v>1.6683283E8</v>
      </c>
      <c r="B249" s="9" t="s">
        <v>55</v>
      </c>
      <c r="C249" s="5">
        <v>2793120.0</v>
      </c>
      <c r="D249" s="5">
        <v>2793120.0</v>
      </c>
      <c r="E249" s="5">
        <v>2793120.0</v>
      </c>
      <c r="F249" s="5">
        <v>931040.0</v>
      </c>
      <c r="G249" s="54">
        <f t="shared" si="5"/>
        <v>9310400</v>
      </c>
      <c r="H249" s="54">
        <f>VLOOKUP(A249,Dashboard!A:G,7,FALSE)</f>
        <v>19430400</v>
      </c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 ht="22.5" customHeight="1">
      <c r="A250" s="23">
        <v>1.56007436E8</v>
      </c>
      <c r="B250" s="23" t="s">
        <v>133</v>
      </c>
      <c r="C250" s="54">
        <v>2760000.0</v>
      </c>
      <c r="D250" s="54">
        <v>2760000.0</v>
      </c>
      <c r="E250" s="54">
        <v>2760000.0</v>
      </c>
      <c r="F250" s="54">
        <v>920000.0</v>
      </c>
      <c r="G250" s="54">
        <f t="shared" si="5"/>
        <v>9200000</v>
      </c>
      <c r="H250" s="54">
        <f>VLOOKUP(A250,Dashboard!A:G,7,FALSE)</f>
        <v>55200000</v>
      </c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 ht="22.5" customHeight="1">
      <c r="A251" s="9">
        <v>1.67614515E8</v>
      </c>
      <c r="B251" s="9" t="s">
        <v>93</v>
      </c>
      <c r="C251" s="5">
        <v>1840000.0</v>
      </c>
      <c r="D251" s="5">
        <v>4600000.0</v>
      </c>
      <c r="E251" s="5">
        <v>1840000.0</v>
      </c>
      <c r="F251" s="5">
        <v>920000.0</v>
      </c>
      <c r="G251" s="54">
        <f t="shared" si="5"/>
        <v>9200000</v>
      </c>
      <c r="H251" s="54">
        <f>VLOOKUP(A251,Dashboard!A:G,7,FALSE)</f>
        <v>73600000</v>
      </c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 ht="22.5" customHeight="1">
      <c r="A252" s="9">
        <v>6.4010776E7</v>
      </c>
      <c r="B252" s="9" t="s">
        <v>24</v>
      </c>
      <c r="C252" s="58">
        <v>2760000.0</v>
      </c>
      <c r="D252" s="58">
        <v>2760000.0</v>
      </c>
      <c r="E252" s="58">
        <v>2760000.0</v>
      </c>
      <c r="F252" s="5">
        <v>920000.0</v>
      </c>
      <c r="G252" s="54">
        <f t="shared" si="5"/>
        <v>9200000</v>
      </c>
      <c r="H252" s="54">
        <f>VLOOKUP(A252,Dashboard!A:G,7,FALSE)</f>
        <v>92844800</v>
      </c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 ht="22.5" customHeight="1">
      <c r="A253" s="9">
        <v>1.60258193E8</v>
      </c>
      <c r="B253" s="9" t="s">
        <v>152</v>
      </c>
      <c r="C253" s="5">
        <v>2760000.0</v>
      </c>
      <c r="D253" s="5">
        <v>2760000.0</v>
      </c>
      <c r="E253" s="5">
        <v>2760000.0</v>
      </c>
      <c r="F253" s="5">
        <v>920000.0</v>
      </c>
      <c r="G253" s="54">
        <f t="shared" si="5"/>
        <v>9200000</v>
      </c>
      <c r="H253" s="54">
        <f>VLOOKUP(A253,Dashboard!A:G,7,FALSE)</f>
        <v>1237600000</v>
      </c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 ht="22.5" customHeight="1">
      <c r="A254" s="9">
        <v>1.71491377E8</v>
      </c>
      <c r="B254" s="9" t="s">
        <v>59</v>
      </c>
      <c r="C254" s="5">
        <v>2760000.0</v>
      </c>
      <c r="D254" s="5">
        <v>2760000.0</v>
      </c>
      <c r="E254" s="5">
        <v>2760000.0</v>
      </c>
      <c r="F254" s="5"/>
      <c r="G254" s="54">
        <f t="shared" si="5"/>
        <v>8280000</v>
      </c>
      <c r="H254" s="54">
        <f>VLOOKUP(A254,Dashboard!A:G,7,FALSE)</f>
        <v>181132000</v>
      </c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 ht="22.5" customHeight="1">
      <c r="A255" s="59" t="str">
        <f>COUNT(Week_24_30_November_2025[ID]) &amp; " Contributors"</f>
        <v>56 Contributors</v>
      </c>
      <c r="B255" s="59"/>
      <c r="C255" s="60">
        <f>SUM(Week_24_30_November_2025[Food])</f>
        <v>287642386</v>
      </c>
      <c r="D255" s="60">
        <f>SUM(Week_24_30_November_2025[Wood])</f>
        <v>526222851</v>
      </c>
      <c r="E255" s="60">
        <f>SUM(Week_24_30_November_2025[Stone])</f>
        <v>319698744</v>
      </c>
      <c r="F255" s="60">
        <f>SUM(Week_24_30_November_2025[Gold])</f>
        <v>189811355</v>
      </c>
      <c r="G255" s="60">
        <f>SUM(Week_24_30_November_2025[Week Contribution])</f>
        <v>1323375336</v>
      </c>
      <c r="H255" s="60">
        <f>SUM(Week_24_30_November_2025[Total Contribution])</f>
        <v>16534004353</v>
      </c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>
      <c r="A256" s="53"/>
      <c r="B256" s="53"/>
      <c r="C256" s="53"/>
      <c r="D256" s="53"/>
      <c r="E256" s="53"/>
      <c r="F256" s="53"/>
      <c r="G256" s="53"/>
      <c r="H256" s="53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>
      <c r="A257" s="53"/>
      <c r="B257" s="53"/>
      <c r="C257" s="53"/>
      <c r="D257" s="53"/>
      <c r="E257" s="53"/>
      <c r="F257" s="53"/>
      <c r="G257" s="53"/>
      <c r="H257" s="53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>
      <c r="A258" s="53"/>
      <c r="B258" s="53"/>
      <c r="C258" s="53"/>
      <c r="D258" s="53"/>
      <c r="E258" s="53"/>
      <c r="F258" s="53"/>
      <c r="G258" s="53"/>
      <c r="H258" s="53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>
      <c r="A259" s="53"/>
      <c r="B259" s="53"/>
      <c r="C259" s="53"/>
      <c r="D259" s="53"/>
      <c r="E259" s="53"/>
      <c r="F259" s="53"/>
      <c r="G259" s="53"/>
      <c r="H259" s="53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ht="22.5" customHeight="1">
      <c r="A260" s="24" t="s">
        <v>8</v>
      </c>
      <c r="B260" s="24" t="s">
        <v>207</v>
      </c>
      <c r="C260" s="24" t="s">
        <v>4</v>
      </c>
      <c r="D260" s="24" t="s">
        <v>5</v>
      </c>
      <c r="E260" s="24" t="s">
        <v>6</v>
      </c>
      <c r="F260" s="24" t="s">
        <v>7</v>
      </c>
      <c r="G260" s="24" t="s">
        <v>208</v>
      </c>
      <c r="H260" s="24" t="s">
        <v>209</v>
      </c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ht="22.5" customHeight="1">
      <c r="A261" s="9">
        <v>1.43457511E8</v>
      </c>
      <c r="B261" s="9" t="s">
        <v>103</v>
      </c>
      <c r="C261" s="5">
        <v>3.9E8</v>
      </c>
      <c r="D261" s="5">
        <v>1.6E8</v>
      </c>
      <c r="E261" s="5">
        <v>2.4E8</v>
      </c>
      <c r="F261" s="5">
        <v>2.8E8</v>
      </c>
      <c r="G261" s="22">
        <f t="shared" ref="G261:G338" si="6">SUM(C261:F261)</f>
        <v>1070000000</v>
      </c>
      <c r="H261" s="22">
        <f>VLOOKUP(A261,Dashboard!A:G,7,FALSE)</f>
        <v>1080000000</v>
      </c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ht="22.5" customHeight="1">
      <c r="A262" s="9">
        <v>1.71982346E8</v>
      </c>
      <c r="B262" s="9" t="s">
        <v>67</v>
      </c>
      <c r="C262" s="5">
        <v>1.7E8</v>
      </c>
      <c r="D262" s="5">
        <v>1.3E8</v>
      </c>
      <c r="E262" s="5">
        <v>1.0E8</v>
      </c>
      <c r="F262" s="5">
        <v>5.0E7</v>
      </c>
      <c r="G262" s="22">
        <f t="shared" si="6"/>
        <v>450000000</v>
      </c>
      <c r="H262" s="22">
        <f>VLOOKUP(A262,Dashboard!A:G,7,FALSE)</f>
        <v>747360000</v>
      </c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 ht="22.5" customHeight="1">
      <c r="A263" s="9">
        <v>1.72029365E8</v>
      </c>
      <c r="B263" s="9" t="s">
        <v>147</v>
      </c>
      <c r="C263" s="5">
        <v>6.0E7</v>
      </c>
      <c r="D263" s="5">
        <v>8.0E7</v>
      </c>
      <c r="E263" s="5">
        <v>8.0E7</v>
      </c>
      <c r="F263" s="5">
        <v>3.0E7</v>
      </c>
      <c r="G263" s="22">
        <f t="shared" si="6"/>
        <v>250000000</v>
      </c>
      <c r="H263" s="22">
        <f>VLOOKUP(A263,Dashboard!A:G,7,FALSE)</f>
        <v>850000000</v>
      </c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 ht="22.5" customHeight="1">
      <c r="A264" s="9">
        <v>1.68025153E8</v>
      </c>
      <c r="B264" s="9" t="s">
        <v>115</v>
      </c>
      <c r="C264" s="5">
        <v>2.0E7</v>
      </c>
      <c r="D264" s="5">
        <v>2.0E7</v>
      </c>
      <c r="E264" s="5">
        <v>1.0E7</v>
      </c>
      <c r="F264" s="5">
        <v>1.0E7</v>
      </c>
      <c r="G264" s="22">
        <f t="shared" si="6"/>
        <v>60000000</v>
      </c>
      <c r="H264" s="22">
        <f>VLOOKUP(A264,Dashboard!A:G,7,FALSE)</f>
        <v>3900000000</v>
      </c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 ht="22.5" customHeight="1">
      <c r="A265" s="12">
        <v>1.68455139E8</v>
      </c>
      <c r="B265" s="9" t="s">
        <v>175</v>
      </c>
      <c r="C265" s="5">
        <v>1.0E7</v>
      </c>
      <c r="D265" s="5">
        <v>3.0E7</v>
      </c>
      <c r="E265" s="5">
        <v>1.0E7</v>
      </c>
      <c r="F265" s="5">
        <v>1.0E7</v>
      </c>
      <c r="G265" s="22">
        <f t="shared" si="6"/>
        <v>60000000</v>
      </c>
      <c r="H265" s="22">
        <f>VLOOKUP(A265,Dashboard!A:G,7,FALSE)</f>
        <v>1510000000</v>
      </c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 ht="22.5" customHeight="1">
      <c r="A266" s="61">
        <v>1.68091444E8</v>
      </c>
      <c r="B266" s="61" t="s">
        <v>215</v>
      </c>
      <c r="C266" s="5">
        <v>1.0E7</v>
      </c>
      <c r="D266" s="5">
        <v>1.0E7</v>
      </c>
      <c r="E266" s="5">
        <v>1.0E7</v>
      </c>
      <c r="F266" s="5">
        <v>1.012E7</v>
      </c>
      <c r="G266" s="22">
        <f t="shared" si="6"/>
        <v>40120000</v>
      </c>
      <c r="H266" s="22">
        <f>VLOOKUP(A266,Dashboard!A:G,7,FALSE)</f>
        <v>235864000</v>
      </c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 ht="22.5" customHeight="1">
      <c r="A267" s="9">
        <v>1.68839111E8</v>
      </c>
      <c r="B267" s="9" t="s">
        <v>69</v>
      </c>
      <c r="C267" s="5">
        <v>4752836.0</v>
      </c>
      <c r="D267" s="5">
        <v>3.0E7</v>
      </c>
      <c r="E267" s="5">
        <v>2307941.0</v>
      </c>
      <c r="F267" s="5">
        <v>2939223.0</v>
      </c>
      <c r="G267" s="22">
        <f t="shared" si="6"/>
        <v>40000000</v>
      </c>
      <c r="H267" s="22">
        <f>VLOOKUP(A267,Dashboard!A:G,7,FALSE)</f>
        <v>430000000</v>
      </c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 ht="22.5" customHeight="1">
      <c r="A268" s="9">
        <v>1.53857025E8</v>
      </c>
      <c r="B268" s="9" t="s">
        <v>86</v>
      </c>
      <c r="C268" s="5">
        <v>1.0E7</v>
      </c>
      <c r="D268" s="5">
        <v>1.0E7</v>
      </c>
      <c r="E268" s="5">
        <v>1.0E7</v>
      </c>
      <c r="F268" s="5">
        <v>1.0E7</v>
      </c>
      <c r="G268" s="22">
        <f t="shared" si="6"/>
        <v>40000000</v>
      </c>
      <c r="H268" s="22">
        <f>VLOOKUP(A268,Dashboard!A:G,7,FALSE)</f>
        <v>381620000</v>
      </c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 ht="22.5" customHeight="1">
      <c r="A269" s="9">
        <v>4313627.0</v>
      </c>
      <c r="B269" s="9" t="s">
        <v>159</v>
      </c>
      <c r="C269" s="5">
        <v>1.0E7</v>
      </c>
      <c r="D269" s="5">
        <v>1.0E7</v>
      </c>
      <c r="E269" s="5">
        <v>1.0E7</v>
      </c>
      <c r="F269" s="5">
        <v>1.0E7</v>
      </c>
      <c r="G269" s="22">
        <f t="shared" si="6"/>
        <v>40000000</v>
      </c>
      <c r="H269" s="22">
        <f>VLOOKUP(A269,Dashboard!A:G,7,FALSE)</f>
        <v>113500000</v>
      </c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 ht="22.5" customHeight="1">
      <c r="A270" s="9">
        <v>1.5633938E8</v>
      </c>
      <c r="B270" s="9" t="s">
        <v>18</v>
      </c>
      <c r="C270" s="5">
        <v>1.0E7</v>
      </c>
      <c r="D270" s="5">
        <v>1.0E7</v>
      </c>
      <c r="E270" s="5">
        <v>1.0E7</v>
      </c>
      <c r="F270" s="5">
        <v>1.0E7</v>
      </c>
      <c r="G270" s="22">
        <f t="shared" si="6"/>
        <v>40000000</v>
      </c>
      <c r="H270" s="22">
        <f>VLOOKUP(A270,Dashboard!A:G,7,FALSE)</f>
        <v>280000000</v>
      </c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 ht="22.5" customHeight="1">
      <c r="A271" s="62">
        <v>1.76044158E8</v>
      </c>
      <c r="B271" s="63" t="s">
        <v>137</v>
      </c>
      <c r="C271" s="5">
        <v>1.0E7</v>
      </c>
      <c r="D271" s="5">
        <v>1.0E7</v>
      </c>
      <c r="E271" s="5">
        <v>1.0E7</v>
      </c>
      <c r="F271" s="5">
        <v>1.0E7</v>
      </c>
      <c r="G271" s="22">
        <f t="shared" si="6"/>
        <v>40000000</v>
      </c>
      <c r="H271" s="22">
        <f>VLOOKUP(A271,Dashboard!A:G,7,FALSE)</f>
        <v>480000000</v>
      </c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 ht="22.5" customHeight="1">
      <c r="A272" s="9">
        <v>1.71701107E8</v>
      </c>
      <c r="B272" s="9" t="s">
        <v>60</v>
      </c>
      <c r="C272" s="5">
        <v>1.0E7</v>
      </c>
      <c r="D272" s="5">
        <v>1.0E7</v>
      </c>
      <c r="E272" s="5">
        <v>1.0E7</v>
      </c>
      <c r="F272" s="5">
        <v>1.0E7</v>
      </c>
      <c r="G272" s="22">
        <f t="shared" si="6"/>
        <v>40000000</v>
      </c>
      <c r="H272" s="22">
        <f>VLOOKUP(A272,Dashboard!A:G,7,FALSE)</f>
        <v>170000000</v>
      </c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 ht="22.5" customHeight="1">
      <c r="A273" s="64">
        <v>1.66110884E8</v>
      </c>
      <c r="B273" s="64" t="s">
        <v>109</v>
      </c>
      <c r="C273" s="5">
        <v>1.0E7</v>
      </c>
      <c r="D273" s="5">
        <v>1.0E7</v>
      </c>
      <c r="E273" s="5">
        <v>1.0E7</v>
      </c>
      <c r="F273" s="5">
        <v>1.0E7</v>
      </c>
      <c r="G273" s="22">
        <f t="shared" si="6"/>
        <v>40000000</v>
      </c>
      <c r="H273" s="22">
        <f>VLOOKUP(A273,Dashboard!A:G,7,FALSE)</f>
        <v>140000000</v>
      </c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 ht="22.5" customHeight="1">
      <c r="A274" s="9">
        <v>1.71879011E8</v>
      </c>
      <c r="B274" s="9" t="s">
        <v>33</v>
      </c>
      <c r="C274" s="5">
        <v>1.0E7</v>
      </c>
      <c r="D274" s="5">
        <v>1.0E7</v>
      </c>
      <c r="E274" s="5">
        <v>1.0E7</v>
      </c>
      <c r="F274" s="5">
        <v>1.0E7</v>
      </c>
      <c r="G274" s="22">
        <f t="shared" si="6"/>
        <v>40000000</v>
      </c>
      <c r="H274" s="22">
        <f>VLOOKUP(A274,Dashboard!A:G,7,FALSE)</f>
        <v>559999998</v>
      </c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 ht="22.5" customHeight="1">
      <c r="A275" s="9">
        <v>1.72041454E8</v>
      </c>
      <c r="B275" s="9" t="s">
        <v>75</v>
      </c>
      <c r="C275" s="5">
        <v>1.0E7</v>
      </c>
      <c r="D275" s="5">
        <v>1.0E7</v>
      </c>
      <c r="E275" s="5">
        <v>1.0E7</v>
      </c>
      <c r="F275" s="5">
        <v>1.0E7</v>
      </c>
      <c r="G275" s="22">
        <f t="shared" si="6"/>
        <v>40000000</v>
      </c>
      <c r="H275" s="22">
        <f>VLOOKUP(A275,Dashboard!A:G,7,FALSE)</f>
        <v>208420000</v>
      </c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 ht="22.5" customHeight="1">
      <c r="A276" s="9">
        <v>1.71910225E8</v>
      </c>
      <c r="B276" s="9" t="s">
        <v>100</v>
      </c>
      <c r="C276" s="5">
        <v>1.0E7</v>
      </c>
      <c r="D276" s="5">
        <v>1.0E7</v>
      </c>
      <c r="E276" s="5">
        <v>1.0E7</v>
      </c>
      <c r="F276" s="5">
        <v>1.0E7</v>
      </c>
      <c r="G276" s="22">
        <f t="shared" si="6"/>
        <v>40000000</v>
      </c>
      <c r="H276" s="22">
        <f>VLOOKUP(A276,Dashboard!A:G,7,FALSE)</f>
        <v>559467753</v>
      </c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 ht="22.5" customHeight="1">
      <c r="A277" s="9">
        <v>1.71503078E8</v>
      </c>
      <c r="B277" s="9" t="s">
        <v>43</v>
      </c>
      <c r="C277" s="5">
        <v>1.0E7</v>
      </c>
      <c r="D277" s="5">
        <v>1.0E7</v>
      </c>
      <c r="E277" s="5">
        <v>1.0E7</v>
      </c>
      <c r="F277" s="5">
        <v>3036000.0</v>
      </c>
      <c r="G277" s="22">
        <f t="shared" si="6"/>
        <v>33036000</v>
      </c>
      <c r="H277" s="22">
        <f>VLOOKUP(A277,Dashboard!A:G,7,FALSE)</f>
        <v>390959600</v>
      </c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 ht="22.5" customHeight="1">
      <c r="A278" s="65">
        <v>1.44109282E8</v>
      </c>
      <c r="B278" s="66" t="s">
        <v>39</v>
      </c>
      <c r="C278" s="5">
        <v>1.0E7</v>
      </c>
      <c r="D278" s="9"/>
      <c r="E278" s="5">
        <v>1.0E7</v>
      </c>
      <c r="F278" s="5">
        <v>1.0E7</v>
      </c>
      <c r="G278" s="22">
        <f t="shared" si="6"/>
        <v>30000000</v>
      </c>
      <c r="H278" s="22">
        <f>VLOOKUP(A278,Dashboard!A:G,7,FALSE)</f>
        <v>1212400000</v>
      </c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 ht="22.5" customHeight="1">
      <c r="A279" s="9">
        <v>1.72021868E8</v>
      </c>
      <c r="B279" s="9" t="s">
        <v>81</v>
      </c>
      <c r="C279" s="5">
        <v>1.0E7</v>
      </c>
      <c r="D279" s="5">
        <v>1.0E7</v>
      </c>
      <c r="E279" s="13"/>
      <c r="F279" s="5">
        <v>1.0E7</v>
      </c>
      <c r="G279" s="22">
        <f t="shared" si="6"/>
        <v>30000000</v>
      </c>
      <c r="H279" s="22">
        <f>VLOOKUP(A279,Dashboard!A:G,7,FALSE)</f>
        <v>284041640</v>
      </c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 ht="22.5" customHeight="1">
      <c r="A280" s="9">
        <v>1.3871553E8</v>
      </c>
      <c r="B280" s="9" t="s">
        <v>31</v>
      </c>
      <c r="C280" s="5">
        <v>1.0E7</v>
      </c>
      <c r="D280" s="5">
        <v>1.0E7</v>
      </c>
      <c r="E280" s="5">
        <v>1.0E7</v>
      </c>
      <c r="F280" s="5"/>
      <c r="G280" s="22">
        <f t="shared" si="6"/>
        <v>30000000</v>
      </c>
      <c r="H280" s="22">
        <f>VLOOKUP(A280,Dashboard!A:G,7,FALSE)</f>
        <v>150000000</v>
      </c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 ht="22.5" customHeight="1">
      <c r="A281" s="9">
        <v>1.71697263E8</v>
      </c>
      <c r="B281" s="8" t="s">
        <v>214</v>
      </c>
      <c r="C281" s="58">
        <v>2760000.0</v>
      </c>
      <c r="D281" s="58">
        <v>2.448E7</v>
      </c>
      <c r="E281" s="58">
        <v>2760000.0</v>
      </c>
      <c r="F281" s="58"/>
      <c r="G281" s="22">
        <f t="shared" si="6"/>
        <v>30000000</v>
      </c>
      <c r="H281" s="22">
        <f>VLOOKUP(A281,Dashboard!A:G,7,FALSE)</f>
        <v>606794789</v>
      </c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 ht="22.5" customHeight="1">
      <c r="A282" s="9">
        <v>1.69446634E8</v>
      </c>
      <c r="B282" s="9" t="s">
        <v>49</v>
      </c>
      <c r="C282" s="5">
        <v>7680000.0</v>
      </c>
      <c r="D282" s="5">
        <v>7680000.0</v>
      </c>
      <c r="E282" s="5">
        <v>7680000.0</v>
      </c>
      <c r="F282" s="5">
        <v>5840000.0</v>
      </c>
      <c r="G282" s="22">
        <f t="shared" si="6"/>
        <v>28880000</v>
      </c>
      <c r="H282" s="22">
        <f>VLOOKUP(A282,Dashboard!A:G,7,FALSE)</f>
        <v>193604000</v>
      </c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 ht="22.5" customHeight="1">
      <c r="A283" s="9">
        <v>1.38752108E8</v>
      </c>
      <c r="B283" s="9" t="s">
        <v>74</v>
      </c>
      <c r="C283" s="5">
        <v>6444600.0</v>
      </c>
      <c r="D283" s="5">
        <v>6444600.0</v>
      </c>
      <c r="E283" s="5">
        <v>6444600.0</v>
      </c>
      <c r="F283" s="5">
        <v>2486760.0</v>
      </c>
      <c r="G283" s="22">
        <f t="shared" si="6"/>
        <v>21820560</v>
      </c>
      <c r="H283" s="22">
        <f>VLOOKUP(A283,Dashboard!A:G,7,FALSE)</f>
        <v>146769440</v>
      </c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 ht="22.5" customHeight="1">
      <c r="A284" s="9">
        <v>1.81734011E8</v>
      </c>
      <c r="B284" s="9" t="s">
        <v>158</v>
      </c>
      <c r="C284" s="5">
        <f>3987845+2107438</f>
        <v>6095283</v>
      </c>
      <c r="D284" s="5">
        <f>3801824+2771911</f>
        <v>6573735</v>
      </c>
      <c r="E284" s="5">
        <f>828000+2845442</f>
        <v>3673442</v>
      </c>
      <c r="F284" s="5">
        <f>2210331+2275208</f>
        <v>4485539</v>
      </c>
      <c r="G284" s="22">
        <f t="shared" si="6"/>
        <v>20827999</v>
      </c>
      <c r="H284" s="22">
        <f>VLOOKUP(A284,Dashboard!A:G,7,FALSE)</f>
        <v>60827999</v>
      </c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 ht="22.5" customHeight="1">
      <c r="A285" s="9">
        <v>1.1726598E7</v>
      </c>
      <c r="B285" s="9" t="s">
        <v>16</v>
      </c>
      <c r="C285" s="5">
        <v>2.0E7</v>
      </c>
      <c r="D285" s="9"/>
      <c r="E285" s="9"/>
      <c r="F285" s="9"/>
      <c r="G285" s="22">
        <f t="shared" si="6"/>
        <v>20000000</v>
      </c>
      <c r="H285" s="22">
        <f>VLOOKUP(A285,Dashboard!A:G,7,FALSE)</f>
        <v>68280001</v>
      </c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 ht="22.5" customHeight="1">
      <c r="A286" s="34">
        <v>1.70728362E8</v>
      </c>
      <c r="B286" s="24" t="s">
        <v>99</v>
      </c>
      <c r="C286" s="5">
        <v>1.0E7</v>
      </c>
      <c r="D286" s="5">
        <v>1.0E7</v>
      </c>
      <c r="E286" s="9"/>
      <c r="F286" s="9"/>
      <c r="G286" s="22">
        <f t="shared" si="6"/>
        <v>20000000</v>
      </c>
      <c r="H286" s="22">
        <f>VLOOKUP(A286,Dashboard!A:G,7,FALSE)</f>
        <v>190000000</v>
      </c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 ht="22.5" customHeight="1">
      <c r="A287" s="67">
        <v>6.2576249E7</v>
      </c>
      <c r="B287" s="67" t="s">
        <v>29</v>
      </c>
      <c r="C287" s="5">
        <v>5520000.0</v>
      </c>
      <c r="D287" s="5">
        <v>5520000.0</v>
      </c>
      <c r="E287" s="5">
        <v>7120000.0</v>
      </c>
      <c r="F287" s="5">
        <v>1840000.0</v>
      </c>
      <c r="G287" s="22">
        <f t="shared" si="6"/>
        <v>20000000</v>
      </c>
      <c r="H287" s="22">
        <f>VLOOKUP(A287,Dashboard!A:G,7,FALSE)</f>
        <v>240000000</v>
      </c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ht="22.5" customHeight="1">
      <c r="A288" s="9">
        <v>1.4406546E8</v>
      </c>
      <c r="B288" s="9" t="s">
        <v>68</v>
      </c>
      <c r="C288" s="5">
        <v>1.0E7</v>
      </c>
      <c r="D288" s="5">
        <v>1.0E7</v>
      </c>
      <c r="E288" s="5"/>
      <c r="F288" s="5"/>
      <c r="G288" s="22">
        <f t="shared" si="6"/>
        <v>20000000</v>
      </c>
      <c r="H288" s="22">
        <f>VLOOKUP(A288,Dashboard!A:G,7,FALSE)</f>
        <v>342104176</v>
      </c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ht="22.5" customHeight="1">
      <c r="A289" s="9">
        <v>1.69420296E8</v>
      </c>
      <c r="B289" s="9" t="s">
        <v>138</v>
      </c>
      <c r="C289" s="5">
        <v>1.184E7</v>
      </c>
      <c r="D289" s="5">
        <v>1840000.0</v>
      </c>
      <c r="E289" s="5">
        <v>1840000.0</v>
      </c>
      <c r="F289" s="5">
        <v>4480000.0</v>
      </c>
      <c r="G289" s="22">
        <f t="shared" si="6"/>
        <v>20000000</v>
      </c>
      <c r="H289" s="22">
        <f>VLOOKUP(A289,Dashboard!A:G,7,FALSE)</f>
        <v>361723910</v>
      </c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ht="22.5" customHeight="1">
      <c r="A290" s="9">
        <v>1.71927851E8</v>
      </c>
      <c r="B290" s="9" t="s">
        <v>71</v>
      </c>
      <c r="C290" s="5">
        <v>3864000.0</v>
      </c>
      <c r="D290" s="5">
        <v>3864000.0</v>
      </c>
      <c r="E290" s="5">
        <v>3928000.0</v>
      </c>
      <c r="F290" s="5">
        <v>1288000.0</v>
      </c>
      <c r="G290" s="22">
        <f t="shared" si="6"/>
        <v>12944000</v>
      </c>
      <c r="H290" s="22">
        <f>VLOOKUP(A290,Dashboard!A:G,7,FALSE)</f>
        <v>105384000</v>
      </c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ht="22.5" customHeight="1">
      <c r="A291" s="9">
        <v>1.71858863E8</v>
      </c>
      <c r="B291" s="9" t="s">
        <v>98</v>
      </c>
      <c r="C291" s="5">
        <v>3680000.0</v>
      </c>
      <c r="D291" s="5">
        <v>3680000.0</v>
      </c>
      <c r="E291" s="5">
        <v>3680000.0</v>
      </c>
      <c r="F291" s="5">
        <v>1840000.0</v>
      </c>
      <c r="G291" s="22">
        <f t="shared" si="6"/>
        <v>12880000</v>
      </c>
      <c r="H291" s="22">
        <f>VLOOKUP(A291,Dashboard!A:G,7,FALSE)</f>
        <v>327480000</v>
      </c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ht="22.5" customHeight="1">
      <c r="A292" s="12">
        <v>1.69326547E8</v>
      </c>
      <c r="B292" s="9" t="s">
        <v>174</v>
      </c>
      <c r="C292" s="5">
        <v>3220000.0</v>
      </c>
      <c r="D292" s="5">
        <v>3220000.0</v>
      </c>
      <c r="E292" s="5">
        <v>3560000.0</v>
      </c>
      <c r="F292" s="5">
        <v>1840000.0</v>
      </c>
      <c r="G292" s="22">
        <f t="shared" si="6"/>
        <v>11840000</v>
      </c>
      <c r="H292" s="22">
        <f>VLOOKUP(A292,Dashboard!A:G,7,FALSE)</f>
        <v>121840000</v>
      </c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ht="22.5" customHeight="1">
      <c r="A293" s="9">
        <v>1.58817223E8</v>
      </c>
      <c r="B293" s="9" t="s">
        <v>140</v>
      </c>
      <c r="C293" s="5">
        <v>3312000.0</v>
      </c>
      <c r="D293" s="5">
        <v>3312000.0</v>
      </c>
      <c r="E293" s="5">
        <v>3312000.0</v>
      </c>
      <c r="F293" s="5">
        <v>1472000.0</v>
      </c>
      <c r="G293" s="22">
        <f t="shared" si="6"/>
        <v>11408000</v>
      </c>
      <c r="H293" s="22">
        <f>VLOOKUP(A293,Dashboard!A:G,7,FALSE)</f>
        <v>34690659</v>
      </c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 ht="22.5" customHeight="1">
      <c r="A294" s="9">
        <v>1.71922856E8</v>
      </c>
      <c r="B294" s="9" t="s">
        <v>150</v>
      </c>
      <c r="C294" s="5">
        <v>2760000.0</v>
      </c>
      <c r="D294" s="5">
        <v>2760000.0</v>
      </c>
      <c r="E294" s="5">
        <v>2760000.0</v>
      </c>
      <c r="F294" s="5">
        <v>2981453.0</v>
      </c>
      <c r="G294" s="22">
        <f t="shared" si="6"/>
        <v>11261453</v>
      </c>
      <c r="H294" s="22">
        <f>VLOOKUP(A294,Dashboard!A:G,7,FALSE)</f>
        <v>206797565</v>
      </c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 ht="22.5" customHeight="1">
      <c r="A295" s="9">
        <v>1.72033754E8</v>
      </c>
      <c r="B295" s="9" t="s">
        <v>79</v>
      </c>
      <c r="C295" s="5">
        <v>3220000.0</v>
      </c>
      <c r="D295" s="5">
        <v>3220000.0</v>
      </c>
      <c r="E295" s="5">
        <v>3220000.0</v>
      </c>
      <c r="F295" s="5">
        <v>1380000.0</v>
      </c>
      <c r="G295" s="22">
        <f t="shared" si="6"/>
        <v>11040000</v>
      </c>
      <c r="H295" s="22">
        <f>VLOOKUP(A295,Dashboard!A:G,7,FALSE)</f>
        <v>930794163</v>
      </c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 ht="22.5" customHeight="1">
      <c r="A296" s="9">
        <v>1.67637163E8</v>
      </c>
      <c r="B296" s="9" t="s">
        <v>19</v>
      </c>
      <c r="C296" s="5">
        <v>3128000.0</v>
      </c>
      <c r="D296" s="5">
        <v>3128000.0</v>
      </c>
      <c r="E296" s="5">
        <v>3128000.0</v>
      </c>
      <c r="F296" s="5">
        <v>1012000.0</v>
      </c>
      <c r="G296" s="22">
        <f t="shared" si="6"/>
        <v>10396000</v>
      </c>
      <c r="H296" s="22">
        <f>VLOOKUP(A296,Dashboard!A:G,7,FALSE)</f>
        <v>231725200</v>
      </c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 ht="22.5" customHeight="1">
      <c r="A297" s="9">
        <v>1.6683283E8</v>
      </c>
      <c r="B297" s="9" t="s">
        <v>55</v>
      </c>
      <c r="C297" s="5">
        <v>3036000.0</v>
      </c>
      <c r="D297" s="5">
        <v>3036000.0</v>
      </c>
      <c r="E297" s="5">
        <v>3036000.0</v>
      </c>
      <c r="F297" s="5">
        <v>1012000.0</v>
      </c>
      <c r="G297" s="22">
        <f t="shared" si="6"/>
        <v>10120000</v>
      </c>
      <c r="H297" s="22">
        <f>VLOOKUP(A297,Dashboard!A:G,7,FALSE)</f>
        <v>19430400</v>
      </c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 ht="22.5" customHeight="1">
      <c r="A298" s="9">
        <v>1.71679053E8</v>
      </c>
      <c r="B298" s="9" t="s">
        <v>101</v>
      </c>
      <c r="C298" s="5">
        <v>3036000.0</v>
      </c>
      <c r="D298" s="5">
        <v>3036000.0</v>
      </c>
      <c r="E298" s="5">
        <v>3036000.0</v>
      </c>
      <c r="F298" s="5">
        <v>1012000.0</v>
      </c>
      <c r="G298" s="22">
        <f t="shared" si="6"/>
        <v>10120000</v>
      </c>
      <c r="H298" s="22">
        <f>VLOOKUP(A298,Dashboard!A:G,7,FALSE)</f>
        <v>102460000</v>
      </c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 ht="22.5" customHeight="1">
      <c r="A299" s="9">
        <v>1.44049878E8</v>
      </c>
      <c r="B299" s="9" t="s">
        <v>51</v>
      </c>
      <c r="C299" s="5">
        <v>2760000.0</v>
      </c>
      <c r="D299" s="5">
        <v>2760000.0</v>
      </c>
      <c r="E299" s="5">
        <v>2760000.0</v>
      </c>
      <c r="F299" s="5">
        <v>1840000.0</v>
      </c>
      <c r="G299" s="22">
        <f t="shared" si="6"/>
        <v>10120000</v>
      </c>
      <c r="H299" s="22">
        <f>VLOOKUP(A299,Dashboard!A:G,7,FALSE)</f>
        <v>179256000</v>
      </c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 ht="22.5" customHeight="1">
      <c r="A300" s="9">
        <v>1.70866748E8</v>
      </c>
      <c r="B300" s="9" t="s">
        <v>62</v>
      </c>
      <c r="C300" s="5">
        <v>3003800.0</v>
      </c>
      <c r="D300" s="5">
        <v>3003800.0</v>
      </c>
      <c r="E300" s="5">
        <v>3003800.0</v>
      </c>
      <c r="F300" s="5">
        <v>1002800.0</v>
      </c>
      <c r="G300" s="22">
        <f t="shared" si="6"/>
        <v>10014200</v>
      </c>
      <c r="H300" s="22">
        <f>VLOOKUP(A300,Dashboard!A:G,7,FALSE)</f>
        <v>60029200</v>
      </c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 ht="22.5" customHeight="1">
      <c r="A301" s="9">
        <v>1.70708608E8</v>
      </c>
      <c r="B301" s="9" t="s">
        <v>84</v>
      </c>
      <c r="C301" s="9"/>
      <c r="D301" s="9"/>
      <c r="E301" s="5">
        <v>1.0E7</v>
      </c>
      <c r="F301" s="9"/>
      <c r="G301" s="9">
        <f t="shared" si="6"/>
        <v>10000000</v>
      </c>
      <c r="H301" s="22">
        <f>VLOOKUP(A301,Dashboard!A:G,7,FALSE)</f>
        <v>131840000</v>
      </c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 ht="22.5" customHeight="1">
      <c r="A302" s="9">
        <v>1.66497805E8</v>
      </c>
      <c r="B302" s="9" t="s">
        <v>56</v>
      </c>
      <c r="C302" s="5">
        <v>2980800.0</v>
      </c>
      <c r="D302" s="5">
        <v>2980800.0</v>
      </c>
      <c r="E302" s="5">
        <v>3026400.0</v>
      </c>
      <c r="F302" s="5">
        <v>1012000.0</v>
      </c>
      <c r="G302" s="22">
        <f t="shared" si="6"/>
        <v>10000000</v>
      </c>
      <c r="H302" s="22">
        <f>VLOOKUP(A302,Dashboard!A:G,7,FALSE)</f>
        <v>70000000</v>
      </c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ht="22.5" customHeight="1">
      <c r="A303" s="9">
        <v>1.71604682E8</v>
      </c>
      <c r="B303" s="9" t="s">
        <v>216</v>
      </c>
      <c r="C303" s="57">
        <v>2484000.0</v>
      </c>
      <c r="D303" s="57">
        <v>3882000.0</v>
      </c>
      <c r="E303" s="57">
        <v>2530000.0</v>
      </c>
      <c r="F303" s="57">
        <v>1104000.0</v>
      </c>
      <c r="G303" s="22">
        <f t="shared" si="6"/>
        <v>10000000</v>
      </c>
      <c r="H303" s="22">
        <f>VLOOKUP(A303,Dashboard!A:G,7,FALSE)</f>
        <v>210800000</v>
      </c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ht="22.5" customHeight="1">
      <c r="A304" s="9">
        <v>1.46428825E8</v>
      </c>
      <c r="B304" s="9" t="s">
        <v>172</v>
      </c>
      <c r="C304" s="5">
        <v>2760000.0</v>
      </c>
      <c r="D304" s="5">
        <v>2760000.0</v>
      </c>
      <c r="E304" s="5">
        <v>2760000.0</v>
      </c>
      <c r="F304" s="5">
        <v>1720000.0</v>
      </c>
      <c r="G304" s="22">
        <f t="shared" si="6"/>
        <v>10000000</v>
      </c>
      <c r="H304" s="22">
        <f>VLOOKUP(A304,Dashboard!A:G,7,FALSE)</f>
        <v>69320400</v>
      </c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ht="22.5" customHeight="1">
      <c r="A305" s="65">
        <v>6.7071592E7</v>
      </c>
      <c r="B305" s="66" t="s">
        <v>171</v>
      </c>
      <c r="C305" s="5">
        <v>2640000.0</v>
      </c>
      <c r="D305" s="5">
        <v>3680000.0</v>
      </c>
      <c r="E305" s="5">
        <v>1840000.0</v>
      </c>
      <c r="F305" s="5">
        <v>1840000.0</v>
      </c>
      <c r="G305" s="22">
        <f t="shared" si="6"/>
        <v>10000000</v>
      </c>
      <c r="H305" s="22">
        <f>VLOOKUP(A305,Dashboard!A:G,7,FALSE)</f>
        <v>115640000</v>
      </c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ht="22.5" customHeight="1">
      <c r="A306" s="9">
        <v>1.41154852E8</v>
      </c>
      <c r="B306" s="9" t="s">
        <v>164</v>
      </c>
      <c r="C306" s="5">
        <v>1834085.0</v>
      </c>
      <c r="D306" s="5">
        <v>5306081.0</v>
      </c>
      <c r="E306" s="5">
        <v>1620819.0</v>
      </c>
      <c r="F306" s="5">
        <v>1239015.0</v>
      </c>
      <c r="G306" s="22">
        <f t="shared" si="6"/>
        <v>10000000</v>
      </c>
      <c r="H306" s="22">
        <f>VLOOKUP(A306,Dashboard!A:G,7,FALSE)</f>
        <v>79999997</v>
      </c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ht="22.5" customHeight="1">
      <c r="A307" s="12">
        <v>1.71345916E8</v>
      </c>
      <c r="B307" s="12" t="s">
        <v>180</v>
      </c>
      <c r="C307" s="5"/>
      <c r="D307" s="5">
        <v>5250533.0</v>
      </c>
      <c r="E307" s="5">
        <v>4749467.0</v>
      </c>
      <c r="F307" s="5"/>
      <c r="G307" s="22">
        <f t="shared" si="6"/>
        <v>10000000</v>
      </c>
      <c r="H307" s="22">
        <f>VLOOKUP(A307,Dashboard!A:G,7,FALSE)</f>
        <v>20000000</v>
      </c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ht="22.5" customHeight="1">
      <c r="A308" s="9">
        <v>1.55534128E8</v>
      </c>
      <c r="B308" s="9" t="s">
        <v>76</v>
      </c>
      <c r="C308" s="5">
        <v>7612980.0</v>
      </c>
      <c r="D308" s="5">
        <v>2387020.0</v>
      </c>
      <c r="E308" s="5"/>
      <c r="F308" s="5"/>
      <c r="G308" s="22">
        <f t="shared" si="6"/>
        <v>10000000</v>
      </c>
      <c r="H308" s="22">
        <f>VLOOKUP(A308,Dashboard!A:G,7,FALSE)</f>
        <v>49200000</v>
      </c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 ht="22.5" customHeight="1">
      <c r="A309" s="9">
        <v>1.68923934E8</v>
      </c>
      <c r="B309" s="9" t="s">
        <v>52</v>
      </c>
      <c r="C309" s="5">
        <v>2944000.0</v>
      </c>
      <c r="D309" s="5">
        <v>3036000.0</v>
      </c>
      <c r="E309" s="5">
        <v>3008000.0</v>
      </c>
      <c r="F309" s="5">
        <v>1012000.0</v>
      </c>
      <c r="G309" s="22">
        <f t="shared" si="6"/>
        <v>10000000</v>
      </c>
      <c r="H309" s="22">
        <f>VLOOKUP(A309,Dashboard!A:G,7,FALSE)</f>
        <v>49200000</v>
      </c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</row>
    <row r="310" ht="22.5" customHeight="1">
      <c r="A310" s="9">
        <v>1.71209025E8</v>
      </c>
      <c r="B310" s="9" t="s">
        <v>88</v>
      </c>
      <c r="C310" s="5">
        <v>1.0E7</v>
      </c>
      <c r="D310" s="5"/>
      <c r="E310" s="5"/>
      <c r="F310" s="5"/>
      <c r="G310" s="22">
        <f t="shared" si="6"/>
        <v>10000000</v>
      </c>
      <c r="H310" s="22">
        <f>VLOOKUP(A310,Dashboard!A:G,7,FALSE)</f>
        <v>90000000</v>
      </c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 ht="22.5" customHeight="1">
      <c r="A311" s="9">
        <v>6.2691192E7</v>
      </c>
      <c r="B311" s="9" t="s">
        <v>27</v>
      </c>
      <c r="C311" s="5"/>
      <c r="D311" s="5"/>
      <c r="E311" s="5">
        <v>1.0E7</v>
      </c>
      <c r="F311" s="5"/>
      <c r="G311" s="22">
        <f t="shared" si="6"/>
        <v>10000000</v>
      </c>
      <c r="H311" s="22">
        <f>VLOOKUP(A311,Dashboard!A:G,7,FALSE)</f>
        <v>95194880</v>
      </c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</row>
    <row r="312" ht="22.5" customHeight="1">
      <c r="A312" s="9">
        <v>1.71830779E8</v>
      </c>
      <c r="B312" s="9" t="s">
        <v>151</v>
      </c>
      <c r="C312" s="5">
        <v>2760000.0</v>
      </c>
      <c r="D312" s="5">
        <v>2760000.0</v>
      </c>
      <c r="E312" s="5">
        <v>2760000.0</v>
      </c>
      <c r="F312" s="5">
        <v>1720000.0</v>
      </c>
      <c r="G312" s="22">
        <f t="shared" si="6"/>
        <v>10000000</v>
      </c>
      <c r="H312" s="22">
        <f>VLOOKUP(A312,Dashboard!A:G,7,FALSE)</f>
        <v>655180761</v>
      </c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</row>
    <row r="313" ht="22.5" customHeight="1">
      <c r="A313" s="9">
        <v>1.45023737E8</v>
      </c>
      <c r="B313" s="9" t="s">
        <v>217</v>
      </c>
      <c r="C313" s="68">
        <v>3100000.0</v>
      </c>
      <c r="D313" s="68">
        <v>2300000.0</v>
      </c>
      <c r="E313" s="68">
        <v>2300000.0</v>
      </c>
      <c r="F313" s="68">
        <v>2300000.0</v>
      </c>
      <c r="G313" s="22">
        <f t="shared" si="6"/>
        <v>10000000</v>
      </c>
      <c r="H313" s="22">
        <f>VLOOKUP(A313,Dashboard!A:G,7,FALSE)</f>
        <v>180907087</v>
      </c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</row>
    <row r="314" ht="22.5" customHeight="1">
      <c r="A314" s="9">
        <v>6.496634E7</v>
      </c>
      <c r="B314" s="9" t="s">
        <v>173</v>
      </c>
      <c r="C314" s="5">
        <v>2760000.0</v>
      </c>
      <c r="D314" s="5">
        <v>2760000.0</v>
      </c>
      <c r="E314" s="5">
        <v>3560000.0</v>
      </c>
      <c r="F314" s="5">
        <v>920000.0</v>
      </c>
      <c r="G314" s="22">
        <f t="shared" si="6"/>
        <v>10000000</v>
      </c>
      <c r="H314" s="22">
        <f>VLOOKUP(A314,Dashboard!A:G,7,FALSE)</f>
        <v>184600000</v>
      </c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</row>
    <row r="315" ht="22.5" customHeight="1">
      <c r="A315" s="9">
        <v>1.44684719E8</v>
      </c>
      <c r="B315" s="9" t="s">
        <v>92</v>
      </c>
      <c r="C315" s="5"/>
      <c r="D315" s="5">
        <v>1.0E7</v>
      </c>
      <c r="E315" s="5"/>
      <c r="F315" s="5"/>
      <c r="G315" s="22">
        <f t="shared" si="6"/>
        <v>10000000</v>
      </c>
      <c r="H315" s="22">
        <f>VLOOKUP(A315,Dashboard!A:G,7,FALSE)</f>
        <v>875362125</v>
      </c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</row>
    <row r="316" ht="22.5" customHeight="1">
      <c r="A316" s="9">
        <v>1.77187021E8</v>
      </c>
      <c r="B316" s="9" t="s">
        <v>131</v>
      </c>
      <c r="C316" s="5"/>
      <c r="D316" s="5">
        <v>1.0E7</v>
      </c>
      <c r="E316" s="5"/>
      <c r="F316" s="5"/>
      <c r="G316" s="22">
        <f t="shared" si="6"/>
        <v>10000000</v>
      </c>
      <c r="H316" s="22">
        <f>VLOOKUP(A316,Dashboard!A:G,7,FALSE)</f>
        <v>90000000</v>
      </c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</row>
    <row r="317" ht="22.5" customHeight="1">
      <c r="A317" s="69">
        <v>1.59857111E8</v>
      </c>
      <c r="B317" s="69" t="s">
        <v>177</v>
      </c>
      <c r="C317" s="5">
        <v>2760000.0</v>
      </c>
      <c r="D317" s="5">
        <v>4480000.0</v>
      </c>
      <c r="E317" s="5">
        <v>1840000.0</v>
      </c>
      <c r="F317" s="5">
        <v>920000.0</v>
      </c>
      <c r="G317" s="22">
        <f t="shared" si="6"/>
        <v>10000000</v>
      </c>
      <c r="H317" s="22">
        <f>VLOOKUP(A317,Dashboard!A:G,7,FALSE)</f>
        <v>20000000</v>
      </c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</row>
    <row r="318" ht="22.5" customHeight="1">
      <c r="A318" s="9">
        <v>1.69953509E8</v>
      </c>
      <c r="B318" s="9" t="s">
        <v>154</v>
      </c>
      <c r="C318" s="5">
        <v>1.0E7</v>
      </c>
      <c r="D318" s="5"/>
      <c r="E318" s="5"/>
      <c r="F318" s="5"/>
      <c r="G318" s="22">
        <f t="shared" si="6"/>
        <v>10000000</v>
      </c>
      <c r="H318" s="22">
        <f>VLOOKUP(A318,Dashboard!A:G,7,FALSE)</f>
        <v>140000000</v>
      </c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</row>
    <row r="319" ht="22.5" customHeight="1">
      <c r="A319" s="9">
        <v>1.39292614E8</v>
      </c>
      <c r="B319" s="9" t="s">
        <v>95</v>
      </c>
      <c r="C319" s="5">
        <v>3008400.0</v>
      </c>
      <c r="D319" s="5">
        <v>3008400.0</v>
      </c>
      <c r="E319" s="5">
        <v>3008400.0</v>
      </c>
      <c r="F319" s="5">
        <v>974800.0</v>
      </c>
      <c r="G319" s="22">
        <f t="shared" si="6"/>
        <v>10000000</v>
      </c>
      <c r="H319" s="22">
        <f>VLOOKUP(A319,Dashboard!A:G,7,FALSE)</f>
        <v>70000000</v>
      </c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</row>
    <row r="320" ht="22.5" customHeight="1">
      <c r="A320" s="9">
        <v>1.4361245E8</v>
      </c>
      <c r="B320" s="9" t="s">
        <v>142</v>
      </c>
      <c r="C320" s="5">
        <v>2000000.0</v>
      </c>
      <c r="D320" s="5">
        <v>2000000.0</v>
      </c>
      <c r="E320" s="5">
        <v>4000000.0</v>
      </c>
      <c r="F320" s="5">
        <v>2000000.0</v>
      </c>
      <c r="G320" s="22">
        <f t="shared" si="6"/>
        <v>10000000</v>
      </c>
      <c r="H320" s="22">
        <f>VLOOKUP(A320,Dashboard!A:G,7,FALSE)</f>
        <v>108080000</v>
      </c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</row>
    <row r="321" ht="22.5" customHeight="1">
      <c r="A321" s="9">
        <v>1.7160984E8</v>
      </c>
      <c r="B321" s="9" t="s">
        <v>77</v>
      </c>
      <c r="C321" s="5">
        <v>1840000.0</v>
      </c>
      <c r="D321" s="5">
        <v>2300000.0</v>
      </c>
      <c r="E321" s="5">
        <v>5520000.0</v>
      </c>
      <c r="F321" s="5">
        <v>340000.0</v>
      </c>
      <c r="G321" s="22">
        <f t="shared" si="6"/>
        <v>10000000</v>
      </c>
      <c r="H321" s="22">
        <f>VLOOKUP(A321,Dashboard!A:G,7,FALSE)</f>
        <v>50000000</v>
      </c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</row>
    <row r="322" ht="22.5" customHeight="1">
      <c r="A322" s="9">
        <v>1.4461836E8</v>
      </c>
      <c r="B322" s="9" t="s">
        <v>112</v>
      </c>
      <c r="C322" s="5"/>
      <c r="D322" s="5">
        <v>1.0E7</v>
      </c>
      <c r="E322" s="5"/>
      <c r="F322" s="5"/>
      <c r="G322" s="22">
        <f t="shared" si="6"/>
        <v>10000000</v>
      </c>
      <c r="H322" s="22">
        <f>VLOOKUP(A322,Dashboard!A:G,7,FALSE)</f>
        <v>110000000</v>
      </c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</row>
    <row r="323" ht="22.5" customHeight="1">
      <c r="A323" s="9">
        <v>1.72008118E8</v>
      </c>
      <c r="B323" s="9" t="s">
        <v>141</v>
      </c>
      <c r="C323" s="5"/>
      <c r="D323" s="5">
        <v>3923934.0</v>
      </c>
      <c r="E323" s="5">
        <v>4722038.0</v>
      </c>
      <c r="F323" s="5">
        <v>1354027.0</v>
      </c>
      <c r="G323" s="22">
        <f t="shared" si="6"/>
        <v>9999999</v>
      </c>
      <c r="H323" s="22">
        <f>VLOOKUP(A323,Dashboard!A:G,7,FALSE)</f>
        <v>179999999</v>
      </c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</row>
    <row r="324" ht="22.5" customHeight="1">
      <c r="A324" s="9">
        <v>1.71753933E8</v>
      </c>
      <c r="B324" s="9" t="s">
        <v>87</v>
      </c>
      <c r="C324" s="5">
        <v>1348509.0</v>
      </c>
      <c r="D324" s="5">
        <v>6087717.0</v>
      </c>
      <c r="E324" s="5">
        <v>2071325.0</v>
      </c>
      <c r="F324" s="5">
        <v>492448.0</v>
      </c>
      <c r="G324" s="22">
        <f t="shared" si="6"/>
        <v>9999999</v>
      </c>
      <c r="H324" s="22">
        <f>VLOOKUP(A324,Dashboard!A:G,7,FALSE)</f>
        <v>110211998</v>
      </c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</row>
    <row r="325" ht="22.5" customHeight="1">
      <c r="A325" s="9">
        <v>1.45033056E8</v>
      </c>
      <c r="B325" s="9" t="s">
        <v>119</v>
      </c>
      <c r="C325" s="5">
        <v>3143025.0</v>
      </c>
      <c r="D325" s="5">
        <v>4560589.0</v>
      </c>
      <c r="E325" s="5">
        <v>2296385.0</v>
      </c>
      <c r="F325" s="5"/>
      <c r="G325" s="22">
        <f t="shared" si="6"/>
        <v>9999999</v>
      </c>
      <c r="H325" s="22">
        <f>VLOOKUP(A325,Dashboard!A:G,7,FALSE)</f>
        <v>89999999</v>
      </c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</row>
    <row r="326" ht="22.5" customHeight="1">
      <c r="A326" s="9">
        <v>2463403.0</v>
      </c>
      <c r="B326" s="9" t="s">
        <v>15</v>
      </c>
      <c r="C326" s="5">
        <v>3066666.0</v>
      </c>
      <c r="D326" s="5">
        <v>3066666.0</v>
      </c>
      <c r="E326" s="5">
        <v>3066666.0</v>
      </c>
      <c r="F326" s="5">
        <v>800001.0</v>
      </c>
      <c r="G326" s="22">
        <f t="shared" si="6"/>
        <v>9999999</v>
      </c>
      <c r="H326" s="22">
        <f>VLOOKUP(A326,Dashboard!A:G,7,FALSE)</f>
        <v>109999999</v>
      </c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</row>
    <row r="327" ht="22.5" customHeight="1">
      <c r="A327" s="9">
        <v>1.67614515E8</v>
      </c>
      <c r="B327" s="9" t="s">
        <v>93</v>
      </c>
      <c r="C327" s="5">
        <v>1840000.0</v>
      </c>
      <c r="D327" s="5">
        <v>4600000.0</v>
      </c>
      <c r="E327" s="5">
        <v>1840000.0</v>
      </c>
      <c r="F327" s="5">
        <v>920000.0</v>
      </c>
      <c r="G327" s="22">
        <f t="shared" si="6"/>
        <v>9200000</v>
      </c>
      <c r="H327" s="22">
        <f>VLOOKUP(A327,Dashboard!A:G,7,FALSE)</f>
        <v>73600000</v>
      </c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</row>
    <row r="328" ht="22.5" customHeight="1">
      <c r="A328" s="9">
        <v>1.56479771E8</v>
      </c>
      <c r="B328" s="9" t="s">
        <v>165</v>
      </c>
      <c r="C328" s="5">
        <v>2760000.0</v>
      </c>
      <c r="D328" s="5">
        <v>920000.0</v>
      </c>
      <c r="E328" s="5">
        <v>4600000.0</v>
      </c>
      <c r="F328" s="5">
        <v>920000.0</v>
      </c>
      <c r="G328" s="22">
        <f t="shared" si="6"/>
        <v>9200000</v>
      </c>
      <c r="H328" s="22">
        <f>VLOOKUP(A328,Dashboard!A:G,7,FALSE)</f>
        <v>503120000</v>
      </c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</row>
    <row r="329" ht="22.5" customHeight="1">
      <c r="A329" s="9">
        <v>1.6942777E8</v>
      </c>
      <c r="B329" s="9" t="s">
        <v>63</v>
      </c>
      <c r="C329" s="5">
        <v>2760000.0</v>
      </c>
      <c r="D329" s="5">
        <v>2760000.0</v>
      </c>
      <c r="E329" s="5">
        <v>2760000.0</v>
      </c>
      <c r="F329" s="5">
        <v>920000.0</v>
      </c>
      <c r="G329" s="22">
        <f t="shared" si="6"/>
        <v>9200000</v>
      </c>
      <c r="H329" s="22">
        <f>VLOOKUP(A329,Dashboard!A:G,7,FALSE)</f>
        <v>278400000</v>
      </c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</row>
    <row r="330" ht="22.5" customHeight="1">
      <c r="A330" s="9">
        <v>1.56007436E8</v>
      </c>
      <c r="B330" s="9" t="s">
        <v>133</v>
      </c>
      <c r="C330" s="5">
        <v>2760000.0</v>
      </c>
      <c r="D330" s="5">
        <v>2760000.0</v>
      </c>
      <c r="E330" s="5">
        <v>2760000.0</v>
      </c>
      <c r="F330" s="5">
        <v>920000.0</v>
      </c>
      <c r="G330" s="22">
        <f t="shared" si="6"/>
        <v>9200000</v>
      </c>
      <c r="H330" s="22">
        <f>VLOOKUP(A330,Dashboard!A:G,7,FALSE)</f>
        <v>55200000</v>
      </c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</row>
    <row r="331" ht="22.5" customHeight="1">
      <c r="A331" s="9">
        <v>1.69247313E8</v>
      </c>
      <c r="B331" s="9" t="s">
        <v>37</v>
      </c>
      <c r="C331" s="5">
        <v>2760000.0</v>
      </c>
      <c r="D331" s="5">
        <v>2760000.0</v>
      </c>
      <c r="E331" s="5">
        <v>2760000.0</v>
      </c>
      <c r="F331" s="5">
        <v>920000.0</v>
      </c>
      <c r="G331" s="22">
        <f t="shared" si="6"/>
        <v>9200000</v>
      </c>
      <c r="H331" s="22">
        <f>VLOOKUP(A331,Dashboard!A:G,7,FALSE)</f>
        <v>75200000</v>
      </c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</row>
    <row r="332" ht="22.5" customHeight="1">
      <c r="A332" s="9">
        <v>1.60258193E8</v>
      </c>
      <c r="B332" s="9" t="s">
        <v>152</v>
      </c>
      <c r="C332" s="5">
        <v>2760000.0</v>
      </c>
      <c r="D332" s="5">
        <v>2760000.0</v>
      </c>
      <c r="E332" s="5">
        <v>2760000.0</v>
      </c>
      <c r="F332" s="5">
        <v>920000.0</v>
      </c>
      <c r="G332" s="22">
        <f t="shared" si="6"/>
        <v>9200000</v>
      </c>
      <c r="H332" s="22">
        <f>VLOOKUP(A332,Dashboard!A:G,7,FALSE)</f>
        <v>1237600000</v>
      </c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</row>
    <row r="333" ht="22.5" customHeight="1">
      <c r="A333" s="9">
        <v>6.4010776E7</v>
      </c>
      <c r="B333" s="9" t="s">
        <v>24</v>
      </c>
      <c r="C333" s="5">
        <v>2760000.0</v>
      </c>
      <c r="D333" s="5">
        <v>2760000.0</v>
      </c>
      <c r="E333" s="5">
        <v>2760000.0</v>
      </c>
      <c r="F333" s="5">
        <v>920000.0</v>
      </c>
      <c r="G333" s="22">
        <f t="shared" si="6"/>
        <v>9200000</v>
      </c>
      <c r="H333" s="22">
        <f>VLOOKUP(A333,Dashboard!A:G,7,FALSE)</f>
        <v>92844800</v>
      </c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</row>
    <row r="334" ht="22.5" customHeight="1">
      <c r="A334" s="9">
        <v>1.63138873E8</v>
      </c>
      <c r="B334" s="9" t="s">
        <v>116</v>
      </c>
      <c r="C334" s="57">
        <v>2760000.0</v>
      </c>
      <c r="D334" s="57">
        <v>2760000.0</v>
      </c>
      <c r="E334" s="57">
        <v>2760000.0</v>
      </c>
      <c r="F334" s="57">
        <v>920000.0</v>
      </c>
      <c r="G334" s="22">
        <f t="shared" si="6"/>
        <v>9200000</v>
      </c>
      <c r="H334" s="22">
        <f>VLOOKUP(A334,Dashboard!A:G,7,FALSE)</f>
        <v>38600000</v>
      </c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</row>
    <row r="335" ht="22.5" customHeight="1">
      <c r="A335" s="9">
        <v>1915332.0</v>
      </c>
      <c r="B335" s="9" t="s">
        <v>72</v>
      </c>
      <c r="C335" s="5">
        <v>2760000.0</v>
      </c>
      <c r="D335" s="5">
        <v>2760000.0</v>
      </c>
      <c r="E335" s="5">
        <v>2760000.0</v>
      </c>
      <c r="F335" s="5">
        <v>920000.0</v>
      </c>
      <c r="G335" s="22">
        <f t="shared" si="6"/>
        <v>9200000</v>
      </c>
      <c r="H335" s="22">
        <f>VLOOKUP(A335,Dashboard!A:G,7,FALSE)</f>
        <v>994815560</v>
      </c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</row>
    <row r="336" ht="22.5" customHeight="1">
      <c r="A336" s="9">
        <v>1.4504414E8</v>
      </c>
      <c r="B336" s="9" t="s">
        <v>97</v>
      </c>
      <c r="C336" s="5">
        <v>2760000.0</v>
      </c>
      <c r="D336" s="5">
        <v>2760000.0</v>
      </c>
      <c r="E336" s="5">
        <v>2760000.0</v>
      </c>
      <c r="F336" s="5">
        <v>920000.0</v>
      </c>
      <c r="G336" s="22">
        <f t="shared" si="6"/>
        <v>9200000</v>
      </c>
      <c r="H336" s="22">
        <f>VLOOKUP(A336,Dashboard!A:G,7,FALSE)</f>
        <v>268400000</v>
      </c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</row>
    <row r="337" ht="22.5" customHeight="1">
      <c r="A337" s="9">
        <v>7.7394861E7</v>
      </c>
      <c r="B337" s="9" t="s">
        <v>178</v>
      </c>
      <c r="C337" s="5">
        <v>2760000.0</v>
      </c>
      <c r="D337" s="5">
        <v>2760000.0</v>
      </c>
      <c r="E337" s="5">
        <v>2760000.0</v>
      </c>
      <c r="F337" s="5">
        <v>920000.0</v>
      </c>
      <c r="G337" s="22">
        <f t="shared" si="6"/>
        <v>9200000</v>
      </c>
      <c r="H337" s="22">
        <f>VLOOKUP(A337,Dashboard!A:G,7,FALSE)</f>
        <v>64400000</v>
      </c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</row>
    <row r="338" ht="22.5" customHeight="1">
      <c r="A338" s="9">
        <v>1.61646318E8</v>
      </c>
      <c r="B338" s="9" t="s">
        <v>120</v>
      </c>
      <c r="C338" s="5">
        <v>322000.0</v>
      </c>
      <c r="D338" s="5">
        <v>3220000.0</v>
      </c>
      <c r="E338" s="5">
        <v>3220000.0</v>
      </c>
      <c r="F338" s="5">
        <v>1012000.0</v>
      </c>
      <c r="G338" s="22">
        <f t="shared" si="6"/>
        <v>7774000</v>
      </c>
      <c r="H338" s="22">
        <f>VLOOKUP(A338,Dashboard!A:G,7,FALSE)</f>
        <v>150434400</v>
      </c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</row>
    <row r="339" ht="22.5" customHeight="1">
      <c r="A339" s="70" t="str">
        <f>COUNT(Week_17_24_November_2025[ID]) &amp; " Contributors"</f>
        <v>78 Contributors</v>
      </c>
      <c r="B339" s="70"/>
      <c r="C339" s="71">
        <f>SUM(Week_17_24_November_2025[Food])</f>
        <v>1008916984</v>
      </c>
      <c r="D339" s="71">
        <f>SUM(Week_17_24_November_2025[Wood])</f>
        <v>817667875</v>
      </c>
      <c r="E339" s="71">
        <f>SUM(Week_17_24_November_2025[Stone])</f>
        <v>746429283</v>
      </c>
      <c r="F339" s="71">
        <f>SUM(Week_17_24_November_2025[Gold])</f>
        <v>572788066</v>
      </c>
      <c r="G339" s="71">
        <f>SUM(Week_17_24_November_2025[Week Contribution])</f>
        <v>3145802208</v>
      </c>
      <c r="H339" s="71">
        <f>SUM(Week_17_24_November_2025[Total Contribution])</f>
        <v>26001776498</v>
      </c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</row>
    <row r="340">
      <c r="A340" s="53"/>
      <c r="B340" s="53"/>
      <c r="C340" s="53"/>
      <c r="D340" s="53"/>
      <c r="E340" s="53"/>
      <c r="F340" s="53"/>
      <c r="G340" s="53"/>
      <c r="H340" s="53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</row>
    <row r="341">
      <c r="A341" s="53"/>
      <c r="B341" s="53"/>
      <c r="C341" s="53"/>
      <c r="D341" s="53"/>
      <c r="E341" s="53"/>
      <c r="F341" s="53"/>
      <c r="G341" s="53"/>
      <c r="H341" s="53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</row>
    <row r="342">
      <c r="A342" s="53"/>
      <c r="B342" s="53"/>
      <c r="C342" s="53"/>
      <c r="D342" s="53"/>
      <c r="E342" s="53"/>
      <c r="F342" s="53"/>
      <c r="G342" s="53"/>
      <c r="H342" s="53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</row>
    <row r="343">
      <c r="A343" s="53"/>
      <c r="B343" s="53"/>
      <c r="C343" s="53"/>
      <c r="D343" s="53"/>
      <c r="E343" s="53"/>
      <c r="F343" s="53"/>
      <c r="G343" s="53"/>
      <c r="H343" s="53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</row>
    <row r="344">
      <c r="A344" s="53"/>
      <c r="B344" s="53"/>
      <c r="C344" s="53"/>
      <c r="D344" s="53"/>
      <c r="E344" s="53"/>
      <c r="F344" s="53"/>
      <c r="G344" s="53"/>
      <c r="H344" s="53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</row>
    <row r="345" ht="22.5" customHeight="1">
      <c r="A345" s="24" t="s">
        <v>8</v>
      </c>
      <c r="B345" s="24" t="s">
        <v>207</v>
      </c>
      <c r="C345" s="24" t="s">
        <v>4</v>
      </c>
      <c r="D345" s="24" t="s">
        <v>5</v>
      </c>
      <c r="E345" s="24" t="s">
        <v>6</v>
      </c>
      <c r="F345" s="24" t="s">
        <v>7</v>
      </c>
      <c r="G345" s="24" t="s">
        <v>208</v>
      </c>
      <c r="H345" s="24" t="s">
        <v>209</v>
      </c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</row>
    <row r="346" ht="22.5" customHeight="1">
      <c r="A346" s="9">
        <v>1.72031022E8</v>
      </c>
      <c r="B346" s="9" t="s">
        <v>123</v>
      </c>
      <c r="C346" s="5"/>
      <c r="D346" s="5"/>
      <c r="E346" s="5">
        <v>8.8E8</v>
      </c>
      <c r="F346" s="5"/>
      <c r="G346" s="72">
        <f t="shared" ref="G346:G419" si="7">SUM(C346:F346)</f>
        <v>880000000</v>
      </c>
      <c r="H346" s="72">
        <f>VLOOKUP(A346,Dashboard!A:G,7,FALSE)</f>
        <v>930000000</v>
      </c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</row>
    <row r="347" ht="22.5" customHeight="1">
      <c r="A347" s="12">
        <v>1.42660926E8</v>
      </c>
      <c r="B347" s="12" t="s">
        <v>176</v>
      </c>
      <c r="C347" s="5">
        <v>2.8E8</v>
      </c>
      <c r="D347" s="5">
        <v>2.99244856E8</v>
      </c>
      <c r="E347" s="5">
        <v>1.9882696E8</v>
      </c>
      <c r="F347" s="5">
        <v>8.0E7</v>
      </c>
      <c r="G347" s="72">
        <f t="shared" si="7"/>
        <v>858071816</v>
      </c>
      <c r="H347" s="72">
        <f>VLOOKUP(A347,Dashboard!A:G,7,FALSE)</f>
        <v>858071816</v>
      </c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</row>
    <row r="348" ht="22.5" customHeight="1">
      <c r="A348" s="9">
        <v>1.70972148E8</v>
      </c>
      <c r="B348" s="9" t="s">
        <v>94</v>
      </c>
      <c r="C348" s="5">
        <v>5.0E7</v>
      </c>
      <c r="D348" s="5">
        <v>4.0E7</v>
      </c>
      <c r="E348" s="5">
        <v>4.0E7</v>
      </c>
      <c r="F348" s="5">
        <v>1.0E7</v>
      </c>
      <c r="G348" s="72">
        <f t="shared" si="7"/>
        <v>140000000</v>
      </c>
      <c r="H348" s="72">
        <f>VLOOKUP(A348,Dashboard!A:G,7,FALSE)</f>
        <v>330000000</v>
      </c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</row>
    <row r="349" ht="22.5" customHeight="1">
      <c r="A349" s="34">
        <v>1.71983336E8</v>
      </c>
      <c r="B349" s="24" t="s">
        <v>46</v>
      </c>
      <c r="C349" s="33">
        <v>2.0E7</v>
      </c>
      <c r="D349" s="33">
        <v>2.0E7</v>
      </c>
      <c r="E349" s="33">
        <v>2.0E7</v>
      </c>
      <c r="F349" s="33">
        <v>2.0E7</v>
      </c>
      <c r="G349" s="72">
        <f t="shared" si="7"/>
        <v>80000000</v>
      </c>
      <c r="H349" s="72">
        <f>VLOOKUP(A349,Dashboard!A:G,7,FALSE)</f>
        <v>258400000</v>
      </c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</row>
    <row r="350" ht="22.5" customHeight="1">
      <c r="A350" s="34">
        <v>1.71972257E8</v>
      </c>
      <c r="B350" s="24" t="s">
        <v>66</v>
      </c>
      <c r="C350" s="33">
        <v>1.0E7</v>
      </c>
      <c r="D350" s="33">
        <v>2.0E7</v>
      </c>
      <c r="E350" s="33">
        <v>3.0E7</v>
      </c>
      <c r="F350" s="72"/>
      <c r="G350" s="72">
        <f t="shared" si="7"/>
        <v>60000000</v>
      </c>
      <c r="H350" s="72">
        <f>VLOOKUP(A350,Dashboard!A:G,7,FALSE)</f>
        <v>163000000</v>
      </c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</row>
    <row r="351" ht="22.5" customHeight="1">
      <c r="A351" s="9">
        <v>1.68839111E8</v>
      </c>
      <c r="B351" s="9" t="s">
        <v>69</v>
      </c>
      <c r="C351" s="10"/>
      <c r="D351" s="5">
        <v>5.0E7</v>
      </c>
      <c r="E351" s="10"/>
      <c r="F351" s="10"/>
      <c r="G351" s="72">
        <f t="shared" si="7"/>
        <v>50000000</v>
      </c>
      <c r="H351" s="72">
        <f>VLOOKUP(A351,Dashboard!A:G,7,FALSE)</f>
        <v>430000000</v>
      </c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</row>
    <row r="352" ht="22.5" customHeight="1">
      <c r="A352" s="34">
        <v>1.71697263E8</v>
      </c>
      <c r="B352" s="8" t="s">
        <v>214</v>
      </c>
      <c r="C352" s="72"/>
      <c r="D352" s="33">
        <v>5.0E7</v>
      </c>
      <c r="E352" s="72"/>
      <c r="F352" s="72"/>
      <c r="G352" s="72">
        <f t="shared" si="7"/>
        <v>50000000</v>
      </c>
      <c r="H352" s="72">
        <f>VLOOKUP(A352,Dashboard!A:G,7,FALSE)</f>
        <v>606794789</v>
      </c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</row>
    <row r="353" ht="22.5" customHeight="1">
      <c r="A353" s="34">
        <v>1.61646318E8</v>
      </c>
      <c r="B353" s="24" t="s">
        <v>120</v>
      </c>
      <c r="C353" s="33">
        <v>1.30084E7</v>
      </c>
      <c r="D353" s="33">
        <v>1.0E7</v>
      </c>
      <c r="E353" s="33">
        <v>1.0E7</v>
      </c>
      <c r="F353" s="33">
        <v>1.0E7</v>
      </c>
      <c r="G353" s="72">
        <f t="shared" si="7"/>
        <v>43008400</v>
      </c>
      <c r="H353" s="72">
        <f>VLOOKUP(A353,Dashboard!A:G,7,FALSE)</f>
        <v>150434400</v>
      </c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</row>
    <row r="354" ht="22.5" customHeight="1">
      <c r="A354" s="34">
        <v>1.69446634E8</v>
      </c>
      <c r="B354" s="24" t="s">
        <v>49</v>
      </c>
      <c r="C354" s="33">
        <v>1.4E7</v>
      </c>
      <c r="D354" s="33">
        <v>1.4E7</v>
      </c>
      <c r="E354" s="33">
        <v>4000000.0</v>
      </c>
      <c r="F354" s="33">
        <v>1.09E7</v>
      </c>
      <c r="G354" s="72">
        <f t="shared" si="7"/>
        <v>42900000</v>
      </c>
      <c r="H354" s="72">
        <f>VLOOKUP(A354,Dashboard!A:G,7,FALSE)</f>
        <v>193604000</v>
      </c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</row>
    <row r="355" ht="22.5" customHeight="1">
      <c r="A355" s="34">
        <v>1.5633938E8</v>
      </c>
      <c r="B355" s="24" t="s">
        <v>18</v>
      </c>
      <c r="C355" s="33">
        <v>1.0E7</v>
      </c>
      <c r="D355" s="33">
        <v>1.0E7</v>
      </c>
      <c r="E355" s="33">
        <v>1.0E7</v>
      </c>
      <c r="F355" s="33">
        <v>1.0E7</v>
      </c>
      <c r="G355" s="72">
        <f t="shared" si="7"/>
        <v>40000000</v>
      </c>
      <c r="H355" s="72">
        <f>VLOOKUP(A355,Dashboard!A:G,7,FALSE)</f>
        <v>280000000</v>
      </c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</row>
    <row r="356" ht="22.5" customHeight="1">
      <c r="A356" s="34">
        <v>1.53857025E8</v>
      </c>
      <c r="B356" s="24" t="s">
        <v>86</v>
      </c>
      <c r="C356" s="33">
        <v>1.0E7</v>
      </c>
      <c r="D356" s="33">
        <v>1.0E7</v>
      </c>
      <c r="E356" s="33">
        <v>1.0E7</v>
      </c>
      <c r="F356" s="33">
        <v>1.0E7</v>
      </c>
      <c r="G356" s="72">
        <f t="shared" si="7"/>
        <v>40000000</v>
      </c>
      <c r="H356" s="72">
        <f>VLOOKUP(A356,Dashboard!A:G,7,FALSE)</f>
        <v>381620000</v>
      </c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</row>
    <row r="357" ht="22.5" customHeight="1">
      <c r="A357" s="34">
        <v>1.76044158E8</v>
      </c>
      <c r="B357" s="24" t="s">
        <v>137</v>
      </c>
      <c r="C357" s="33">
        <v>1.0E7</v>
      </c>
      <c r="D357" s="33">
        <v>1.0E7</v>
      </c>
      <c r="E357" s="33">
        <v>1.0E7</v>
      </c>
      <c r="F357" s="33">
        <v>1.0E7</v>
      </c>
      <c r="G357" s="72">
        <f t="shared" si="7"/>
        <v>40000000</v>
      </c>
      <c r="H357" s="72">
        <f>VLOOKUP(A357,Dashboard!A:G,7,FALSE)</f>
        <v>480000000</v>
      </c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</row>
    <row r="358" ht="22.5" customHeight="1">
      <c r="A358" s="34">
        <v>1.66110884E8</v>
      </c>
      <c r="B358" s="24" t="s">
        <v>109</v>
      </c>
      <c r="C358" s="33">
        <v>1.0E7</v>
      </c>
      <c r="D358" s="33">
        <v>1.0E7</v>
      </c>
      <c r="E358" s="33">
        <v>1.0E7</v>
      </c>
      <c r="F358" s="33">
        <v>1.0E7</v>
      </c>
      <c r="G358" s="72">
        <f t="shared" si="7"/>
        <v>40000000</v>
      </c>
      <c r="H358" s="72">
        <f>VLOOKUP(A358,Dashboard!A:G,7,FALSE)</f>
        <v>140000000</v>
      </c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</row>
    <row r="359" ht="22.5" customHeight="1">
      <c r="A359" s="12">
        <v>1.68455139E8</v>
      </c>
      <c r="B359" s="24" t="s">
        <v>175</v>
      </c>
      <c r="C359" s="33">
        <v>1.0E7</v>
      </c>
      <c r="D359" s="33">
        <v>1.0E7</v>
      </c>
      <c r="E359" s="33">
        <v>1.0E7</v>
      </c>
      <c r="F359" s="33">
        <v>1.0E7</v>
      </c>
      <c r="G359" s="72">
        <f t="shared" si="7"/>
        <v>40000000</v>
      </c>
      <c r="H359" s="72">
        <f>VLOOKUP(A359,Dashboard!A:G,7,FALSE)</f>
        <v>1510000000</v>
      </c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</row>
    <row r="360" ht="22.5" customHeight="1">
      <c r="A360" s="9">
        <v>1.68025153E8</v>
      </c>
      <c r="B360" s="9" t="s">
        <v>115</v>
      </c>
      <c r="C360" s="5">
        <v>1.0E7</v>
      </c>
      <c r="D360" s="5">
        <v>1.0E7</v>
      </c>
      <c r="E360" s="5">
        <v>1.0E7</v>
      </c>
      <c r="F360" s="5">
        <v>1.0E7</v>
      </c>
      <c r="G360" s="72">
        <f t="shared" si="7"/>
        <v>40000000</v>
      </c>
      <c r="H360" s="72">
        <f>VLOOKUP(A360,Dashboard!A:G,7,FALSE)</f>
        <v>3900000000</v>
      </c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</row>
    <row r="361" ht="22.5" customHeight="1">
      <c r="A361" s="9">
        <v>1.71922856E8</v>
      </c>
      <c r="B361" s="9" t="s">
        <v>150</v>
      </c>
      <c r="C361" s="5">
        <v>1.0E7</v>
      </c>
      <c r="D361" s="5">
        <v>1.0E7</v>
      </c>
      <c r="E361" s="5">
        <v>1.0E7</v>
      </c>
      <c r="F361" s="5">
        <v>1.0E7</v>
      </c>
      <c r="G361" s="72">
        <f t="shared" si="7"/>
        <v>40000000</v>
      </c>
      <c r="H361" s="72">
        <f>VLOOKUP(A361,Dashboard!A:G,7,FALSE)</f>
        <v>206797565</v>
      </c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</row>
    <row r="362" ht="22.5" customHeight="1">
      <c r="A362" s="9">
        <v>1.72021868E8</v>
      </c>
      <c r="B362" s="9" t="s">
        <v>81</v>
      </c>
      <c r="C362" s="5">
        <v>1.0E7</v>
      </c>
      <c r="D362" s="5">
        <v>1.0E7</v>
      </c>
      <c r="E362" s="5">
        <v>1.0E7</v>
      </c>
      <c r="F362" s="5">
        <v>1.0E7</v>
      </c>
      <c r="G362" s="72">
        <f t="shared" si="7"/>
        <v>40000000</v>
      </c>
      <c r="H362" s="72">
        <f>VLOOKUP(A362,Dashboard!A:G,7,FALSE)</f>
        <v>284041640</v>
      </c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</row>
    <row r="363" ht="22.5" customHeight="1">
      <c r="A363" s="9">
        <v>1.71879011E8</v>
      </c>
      <c r="B363" s="9" t="s">
        <v>33</v>
      </c>
      <c r="C363" s="5">
        <v>1.0E7</v>
      </c>
      <c r="D363" s="5">
        <v>1.0E7</v>
      </c>
      <c r="E363" s="5">
        <v>1.0E7</v>
      </c>
      <c r="F363" s="5">
        <v>1.0E7</v>
      </c>
      <c r="G363" s="72">
        <f t="shared" si="7"/>
        <v>40000000</v>
      </c>
      <c r="H363" s="72">
        <f>VLOOKUP(A363,Dashboard!A:G,7,FALSE)</f>
        <v>559999998</v>
      </c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</row>
    <row r="364" ht="22.5" customHeight="1">
      <c r="A364" s="9">
        <v>1.71858863E8</v>
      </c>
      <c r="B364" s="9" t="s">
        <v>98</v>
      </c>
      <c r="C364" s="5">
        <v>1.0E7</v>
      </c>
      <c r="D364" s="5">
        <v>1.0E7</v>
      </c>
      <c r="E364" s="5">
        <v>1.0E7</v>
      </c>
      <c r="F364" s="5">
        <v>4600000.0</v>
      </c>
      <c r="G364" s="72">
        <f t="shared" si="7"/>
        <v>34600000</v>
      </c>
      <c r="H364" s="72">
        <f>VLOOKUP(A364,Dashboard!A:G,7,FALSE)</f>
        <v>327480000</v>
      </c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</row>
    <row r="365" ht="22.5" customHeight="1">
      <c r="A365" s="9">
        <v>1.71910225E8</v>
      </c>
      <c r="B365" s="9" t="s">
        <v>100</v>
      </c>
      <c r="C365" s="5">
        <v>1.0E7</v>
      </c>
      <c r="D365" s="5">
        <v>1.0E7</v>
      </c>
      <c r="E365" s="5">
        <v>1.0E7</v>
      </c>
      <c r="F365" s="5">
        <v>3680000.0</v>
      </c>
      <c r="G365" s="72">
        <f t="shared" si="7"/>
        <v>33680000</v>
      </c>
      <c r="H365" s="72">
        <f>VLOOKUP(A365,Dashboard!A:G,7,FALSE)</f>
        <v>559467753</v>
      </c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</row>
    <row r="366" ht="22.5" customHeight="1">
      <c r="A366" s="9">
        <v>1.71503078E8</v>
      </c>
      <c r="B366" s="9" t="s">
        <v>43</v>
      </c>
      <c r="C366" s="5">
        <v>1.0E7</v>
      </c>
      <c r="D366" s="5">
        <v>1.0E7</v>
      </c>
      <c r="E366" s="5">
        <v>1.0E7</v>
      </c>
      <c r="F366" s="5">
        <v>3063600.0</v>
      </c>
      <c r="G366" s="72">
        <f t="shared" si="7"/>
        <v>33063600</v>
      </c>
      <c r="H366" s="72">
        <f>VLOOKUP(A366,Dashboard!A:G,7,FALSE)</f>
        <v>390959600</v>
      </c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</row>
    <row r="367" ht="22.5" customHeight="1">
      <c r="A367" s="34">
        <v>1.71491377E8</v>
      </c>
      <c r="B367" s="24" t="s">
        <v>59</v>
      </c>
      <c r="C367" s="33">
        <v>1.0E7</v>
      </c>
      <c r="D367" s="33">
        <v>1.0E7</v>
      </c>
      <c r="E367" s="33">
        <v>1.0E7</v>
      </c>
      <c r="F367" s="33">
        <v>2852000.0</v>
      </c>
      <c r="G367" s="72">
        <f t="shared" si="7"/>
        <v>32852000</v>
      </c>
      <c r="H367" s="72">
        <f>VLOOKUP(A367,Dashboard!A:G,7,FALSE)</f>
        <v>181132000</v>
      </c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</row>
    <row r="368" ht="22.5" customHeight="1">
      <c r="A368" s="34">
        <v>1.44109282E8</v>
      </c>
      <c r="B368" s="24" t="s">
        <v>39</v>
      </c>
      <c r="C368" s="5">
        <v>1.0E7</v>
      </c>
      <c r="D368" s="33">
        <v>1.0E7</v>
      </c>
      <c r="E368" s="33">
        <v>4000000.0</v>
      </c>
      <c r="F368" s="33">
        <v>400000.0</v>
      </c>
      <c r="G368" s="72">
        <f t="shared" si="7"/>
        <v>24400000</v>
      </c>
      <c r="H368" s="72">
        <f>VLOOKUP(A368,Dashboard!A:G,7,FALSE)</f>
        <v>1212400000</v>
      </c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</row>
    <row r="369" ht="22.5" customHeight="1">
      <c r="A369" s="34">
        <v>6.2576249E7</v>
      </c>
      <c r="B369" s="24" t="s">
        <v>29</v>
      </c>
      <c r="C369" s="33">
        <v>3680000.0</v>
      </c>
      <c r="D369" s="33">
        <v>3680000.0</v>
      </c>
      <c r="E369" s="33">
        <v>1.08E7</v>
      </c>
      <c r="F369" s="33">
        <v>1840000.0</v>
      </c>
      <c r="G369" s="72">
        <f t="shared" si="7"/>
        <v>20000000</v>
      </c>
      <c r="H369" s="72">
        <f>VLOOKUP(A369,Dashboard!A:G,7,FALSE)</f>
        <v>240000000</v>
      </c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</row>
    <row r="370" ht="22.5" customHeight="1">
      <c r="A370" s="34">
        <v>1.70728362E8</v>
      </c>
      <c r="B370" s="24" t="s">
        <v>99</v>
      </c>
      <c r="C370" s="33">
        <v>1.0E7</v>
      </c>
      <c r="D370" s="33">
        <v>1.0E7</v>
      </c>
      <c r="E370" s="72"/>
      <c r="F370" s="72"/>
      <c r="G370" s="72">
        <f t="shared" si="7"/>
        <v>20000000</v>
      </c>
      <c r="H370" s="72">
        <f>VLOOKUP(A370,Dashboard!A:G,7,FALSE)</f>
        <v>190000000</v>
      </c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</row>
    <row r="371" ht="22.5" customHeight="1">
      <c r="A371" s="34">
        <v>1.72008118E8</v>
      </c>
      <c r="B371" s="24" t="s">
        <v>141</v>
      </c>
      <c r="C371" s="33">
        <v>2760000.0</v>
      </c>
      <c r="D371" s="33">
        <v>2760000.0</v>
      </c>
      <c r="E371" s="33">
        <v>2760000.0</v>
      </c>
      <c r="F371" s="33">
        <v>1.172E7</v>
      </c>
      <c r="G371" s="72">
        <f t="shared" si="7"/>
        <v>20000000</v>
      </c>
      <c r="H371" s="72">
        <f>VLOOKUP(A371,Dashboard!A:G,7,FALSE)</f>
        <v>179999999</v>
      </c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</row>
    <row r="372" ht="22.5" customHeight="1">
      <c r="A372" s="12">
        <v>1.69326547E8</v>
      </c>
      <c r="B372" s="24" t="s">
        <v>174</v>
      </c>
      <c r="C372" s="33">
        <v>1.0E7</v>
      </c>
      <c r="D372" s="72"/>
      <c r="E372" s="33">
        <v>1.0E7</v>
      </c>
      <c r="F372" s="72"/>
      <c r="G372" s="72">
        <f t="shared" si="7"/>
        <v>20000000</v>
      </c>
      <c r="H372" s="72">
        <f>VLOOKUP(A372,Dashboard!A:G,7,FALSE)</f>
        <v>121840000</v>
      </c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</row>
    <row r="373" ht="22.5" customHeight="1">
      <c r="A373" s="9">
        <v>1.4461836E8</v>
      </c>
      <c r="B373" s="9" t="s">
        <v>112</v>
      </c>
      <c r="C373" s="5">
        <v>1.0E7</v>
      </c>
      <c r="D373" s="5">
        <v>1.0E7</v>
      </c>
      <c r="E373" s="10"/>
      <c r="F373" s="10"/>
      <c r="G373" s="72">
        <f t="shared" si="7"/>
        <v>20000000</v>
      </c>
      <c r="H373" s="72">
        <f>VLOOKUP(A373,Dashboard!A:G,7,FALSE)</f>
        <v>110000000</v>
      </c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</row>
    <row r="374" ht="22.5" customHeight="1">
      <c r="A374" s="9">
        <v>1.69446444E8</v>
      </c>
      <c r="B374" s="9" t="s">
        <v>20</v>
      </c>
      <c r="C374" s="5">
        <v>5520000.0</v>
      </c>
      <c r="D374" s="5">
        <v>5520000.0</v>
      </c>
      <c r="E374" s="5">
        <v>5520000.0</v>
      </c>
      <c r="F374" s="5">
        <v>1840000.0</v>
      </c>
      <c r="G374" s="72">
        <f t="shared" si="7"/>
        <v>18400000</v>
      </c>
      <c r="H374" s="72">
        <f>VLOOKUP(A374,Dashboard!A:G,7,FALSE)</f>
        <v>62400224</v>
      </c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</row>
    <row r="375" ht="22.5" customHeight="1">
      <c r="A375" s="9">
        <v>1.45008495E8</v>
      </c>
      <c r="B375" s="9" t="s">
        <v>108</v>
      </c>
      <c r="C375" s="5">
        <v>3880880.0</v>
      </c>
      <c r="D375" s="5">
        <v>3776010.0</v>
      </c>
      <c r="E375" s="5">
        <v>4200358.0</v>
      </c>
      <c r="F375" s="5">
        <v>3959467.0</v>
      </c>
      <c r="G375" s="72">
        <f t="shared" si="7"/>
        <v>15816715</v>
      </c>
      <c r="H375" s="72">
        <f>VLOOKUP(A375,Dashboard!A:G,7,FALSE)</f>
        <v>205816715</v>
      </c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</row>
    <row r="376" ht="22.5" customHeight="1">
      <c r="A376" s="9">
        <v>1.72041454E8</v>
      </c>
      <c r="B376" s="9" t="s">
        <v>75</v>
      </c>
      <c r="C376" s="5">
        <v>3036000.0</v>
      </c>
      <c r="D376" s="5">
        <v>3036000.0</v>
      </c>
      <c r="E376" s="5">
        <v>3036000.0</v>
      </c>
      <c r="F376" s="5">
        <v>1012000.0</v>
      </c>
      <c r="G376" s="72">
        <f t="shared" si="7"/>
        <v>10120000</v>
      </c>
      <c r="H376" s="72">
        <f>VLOOKUP(A376,Dashboard!A:G,7,FALSE)</f>
        <v>208420000</v>
      </c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</row>
    <row r="377" ht="22.5" customHeight="1">
      <c r="A377" s="34">
        <v>1.4361245E8</v>
      </c>
      <c r="B377" s="24" t="s">
        <v>142</v>
      </c>
      <c r="C377" s="33">
        <v>2970000.0</v>
      </c>
      <c r="D377" s="33">
        <v>3028000.0</v>
      </c>
      <c r="E377" s="33">
        <v>3002000.0</v>
      </c>
      <c r="F377" s="33">
        <v>1080000.0</v>
      </c>
      <c r="G377" s="72">
        <f t="shared" si="7"/>
        <v>10080000</v>
      </c>
      <c r="H377" s="72">
        <f>VLOOKUP(A377,Dashboard!A:G,7,FALSE)</f>
        <v>108080000</v>
      </c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</row>
    <row r="378" ht="22.5" customHeight="1">
      <c r="A378" s="34">
        <v>1.70866748E8</v>
      </c>
      <c r="B378" s="24" t="s">
        <v>62</v>
      </c>
      <c r="C378" s="33">
        <v>3003800.0</v>
      </c>
      <c r="D378" s="33">
        <v>3003800.0</v>
      </c>
      <c r="E378" s="33">
        <v>3003800.0</v>
      </c>
      <c r="F378" s="33">
        <v>1002800.0</v>
      </c>
      <c r="G378" s="72">
        <f t="shared" si="7"/>
        <v>10014200</v>
      </c>
      <c r="H378" s="72">
        <f>VLOOKUP(A378,Dashboard!A:G,7,FALSE)</f>
        <v>60029200</v>
      </c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</row>
    <row r="379" ht="22.5" customHeight="1">
      <c r="A379" s="34">
        <v>1.67637163E8</v>
      </c>
      <c r="B379" s="24" t="s">
        <v>19</v>
      </c>
      <c r="C379" s="33">
        <v>3000120.0</v>
      </c>
      <c r="D379" s="33">
        <v>3000120.0</v>
      </c>
      <c r="E379" s="33">
        <v>3000120.0</v>
      </c>
      <c r="F379" s="33">
        <v>1000040.0</v>
      </c>
      <c r="G379" s="72">
        <f t="shared" si="7"/>
        <v>10000400</v>
      </c>
      <c r="H379" s="72">
        <f>VLOOKUP(A379,Dashboard!A:G,7,FALSE)</f>
        <v>231725200</v>
      </c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</row>
    <row r="380" ht="22.5" customHeight="1">
      <c r="A380" s="34">
        <v>1.71209025E8</v>
      </c>
      <c r="B380" s="24" t="s">
        <v>88</v>
      </c>
      <c r="C380" s="33">
        <v>1.0E7</v>
      </c>
      <c r="D380" s="72"/>
      <c r="E380" s="72"/>
      <c r="F380" s="72"/>
      <c r="G380" s="72">
        <f t="shared" si="7"/>
        <v>10000000</v>
      </c>
      <c r="H380" s="72">
        <f>VLOOKUP(A380,Dashboard!A:G,7,FALSE)</f>
        <v>90000000</v>
      </c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</row>
    <row r="381" ht="22.5" customHeight="1">
      <c r="A381" s="34">
        <v>1.45023737E8</v>
      </c>
      <c r="B381" s="24" t="s">
        <v>136</v>
      </c>
      <c r="C381" s="33">
        <v>3067746.0</v>
      </c>
      <c r="D381" s="33">
        <v>3443600.0</v>
      </c>
      <c r="E381" s="33">
        <v>2713244.0</v>
      </c>
      <c r="F381" s="33">
        <v>775410.0</v>
      </c>
      <c r="G381" s="72">
        <f t="shared" si="7"/>
        <v>10000000</v>
      </c>
      <c r="H381" s="72">
        <f>VLOOKUP(A381,Dashboard!A:G,7,FALSE)</f>
        <v>180907087</v>
      </c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</row>
    <row r="382" ht="22.5" customHeight="1">
      <c r="A382" s="34">
        <v>1.71806191E8</v>
      </c>
      <c r="B382" s="24" t="s">
        <v>90</v>
      </c>
      <c r="C382" s="33">
        <v>3550608.0</v>
      </c>
      <c r="D382" s="33">
        <v>2908041.0</v>
      </c>
      <c r="E382" s="33">
        <v>2993243.0</v>
      </c>
      <c r="F382" s="33">
        <v>548108.0</v>
      </c>
      <c r="G382" s="72">
        <f t="shared" si="7"/>
        <v>10000000</v>
      </c>
      <c r="H382" s="72">
        <f>VLOOKUP(A382,Dashboard!A:G,7,FALSE)</f>
        <v>50000000</v>
      </c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</row>
    <row r="383" ht="22.5" customHeight="1">
      <c r="A383" s="34">
        <v>1.66497805E8</v>
      </c>
      <c r="B383" s="24" t="s">
        <v>56</v>
      </c>
      <c r="C383" s="33">
        <v>2760000.0</v>
      </c>
      <c r="D383" s="33">
        <v>2760000.0</v>
      </c>
      <c r="E383" s="33">
        <v>3560000.0</v>
      </c>
      <c r="F383" s="33">
        <v>920000.0</v>
      </c>
      <c r="G383" s="72">
        <f t="shared" si="7"/>
        <v>10000000</v>
      </c>
      <c r="H383" s="72">
        <f>VLOOKUP(A383,Dashboard!A:G,7,FALSE)</f>
        <v>70000000</v>
      </c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</row>
    <row r="384" ht="22.5" customHeight="1">
      <c r="A384" s="34">
        <v>1.45033056E8</v>
      </c>
      <c r="B384" s="24" t="s">
        <v>119</v>
      </c>
      <c r="C384" s="33">
        <v>1.0E7</v>
      </c>
      <c r="D384" s="72"/>
      <c r="E384" s="72"/>
      <c r="F384" s="72"/>
      <c r="G384" s="72">
        <f t="shared" si="7"/>
        <v>10000000</v>
      </c>
      <c r="H384" s="72">
        <f>VLOOKUP(A384,Dashboard!A:G,7,FALSE)</f>
        <v>89999999</v>
      </c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</row>
    <row r="385" ht="22.5" customHeight="1">
      <c r="A385" s="34">
        <v>6.496634E7</v>
      </c>
      <c r="B385" s="24" t="s">
        <v>173</v>
      </c>
      <c r="C385" s="33">
        <v>2760000.0</v>
      </c>
      <c r="D385" s="33">
        <v>2760000.0</v>
      </c>
      <c r="E385" s="33">
        <v>3560000.0</v>
      </c>
      <c r="F385" s="33">
        <v>920000.0</v>
      </c>
      <c r="G385" s="72">
        <f t="shared" si="7"/>
        <v>10000000</v>
      </c>
      <c r="H385" s="72">
        <f>VLOOKUP(A385,Dashboard!A:G,7,FALSE)</f>
        <v>184600000</v>
      </c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</row>
    <row r="386" ht="22.5" customHeight="1">
      <c r="A386" s="34">
        <v>1.69420296E8</v>
      </c>
      <c r="B386" s="24" t="s">
        <v>138</v>
      </c>
      <c r="C386" s="33">
        <v>2760000.0</v>
      </c>
      <c r="D386" s="33">
        <v>2760000.0</v>
      </c>
      <c r="E386" s="33">
        <v>2760000.0</v>
      </c>
      <c r="F386" s="33">
        <v>1720000.0</v>
      </c>
      <c r="G386" s="72">
        <f t="shared" si="7"/>
        <v>10000000</v>
      </c>
      <c r="H386" s="72">
        <f>VLOOKUP(A386,Dashboard!A:G,7,FALSE)</f>
        <v>361723910</v>
      </c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</row>
    <row r="387" ht="22.5" customHeight="1">
      <c r="A387" s="34">
        <v>1.71604682E8</v>
      </c>
      <c r="B387" s="24" t="s">
        <v>17</v>
      </c>
      <c r="C387" s="33">
        <v>2944000.0</v>
      </c>
      <c r="D387" s="33">
        <v>2944000.0</v>
      </c>
      <c r="E387" s="33">
        <v>2944000.0</v>
      </c>
      <c r="F387" s="33">
        <v>1168000.0</v>
      </c>
      <c r="G387" s="72">
        <f t="shared" si="7"/>
        <v>10000000</v>
      </c>
      <c r="H387" s="72">
        <f>VLOOKUP(A387,Dashboard!A:G,7,FALSE)</f>
        <v>210800000</v>
      </c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</row>
    <row r="388" ht="22.5" customHeight="1">
      <c r="A388" s="9">
        <v>1.68091444E8</v>
      </c>
      <c r="B388" s="9" t="s">
        <v>215</v>
      </c>
      <c r="C388" s="5">
        <v>2760000.0</v>
      </c>
      <c r="D388" s="5">
        <v>2760000.0</v>
      </c>
      <c r="E388" s="5">
        <v>2760000.0</v>
      </c>
      <c r="F388" s="5">
        <v>1720000.0</v>
      </c>
      <c r="G388" s="72">
        <f t="shared" si="7"/>
        <v>10000000</v>
      </c>
      <c r="H388" s="72">
        <f>VLOOKUP(A388,Dashboard!A:G,7,FALSE)</f>
        <v>235864000</v>
      </c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</row>
    <row r="389" ht="22.5" customHeight="1">
      <c r="A389" s="9">
        <v>1.7160984E8</v>
      </c>
      <c r="B389" s="9" t="s">
        <v>77</v>
      </c>
      <c r="C389" s="5">
        <v>1840000.0</v>
      </c>
      <c r="D389" s="5">
        <v>1840000.0</v>
      </c>
      <c r="E389" s="5">
        <v>5520000.0</v>
      </c>
      <c r="F389" s="5">
        <v>800000.0</v>
      </c>
      <c r="G389" s="72">
        <f t="shared" si="7"/>
        <v>10000000</v>
      </c>
      <c r="H389" s="72">
        <f>VLOOKUP(A389,Dashboard!A:G,7,FALSE)</f>
        <v>50000000</v>
      </c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</row>
    <row r="390" ht="22.5" customHeight="1">
      <c r="A390" s="9">
        <v>2463403.0</v>
      </c>
      <c r="B390" s="9" t="s">
        <v>15</v>
      </c>
      <c r="C390" s="5">
        <v>2760000.0</v>
      </c>
      <c r="D390" s="5">
        <v>3560000.0</v>
      </c>
      <c r="E390" s="5">
        <v>2760000.0</v>
      </c>
      <c r="F390" s="5">
        <v>920000.0</v>
      </c>
      <c r="G390" s="72">
        <f t="shared" si="7"/>
        <v>10000000</v>
      </c>
      <c r="H390" s="72">
        <f>VLOOKUP(A390,Dashboard!A:G,7,FALSE)</f>
        <v>109999999</v>
      </c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</row>
    <row r="391" ht="22.5" customHeight="1">
      <c r="A391" s="12">
        <v>1.59857111E8</v>
      </c>
      <c r="B391" s="12" t="s">
        <v>177</v>
      </c>
      <c r="C391" s="5">
        <v>2760000.0</v>
      </c>
      <c r="D391" s="5">
        <v>3560000.0</v>
      </c>
      <c r="E391" s="5">
        <v>2760000.0</v>
      </c>
      <c r="F391" s="5">
        <v>920000.0</v>
      </c>
      <c r="G391" s="72">
        <f t="shared" si="7"/>
        <v>10000000</v>
      </c>
      <c r="H391" s="72">
        <f>VLOOKUP(A391,Dashboard!A:G,7,FALSE)</f>
        <v>20000000</v>
      </c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</row>
    <row r="392" ht="22.5" customHeight="1">
      <c r="A392" s="9">
        <v>1.77187021E8</v>
      </c>
      <c r="B392" s="9" t="s">
        <v>131</v>
      </c>
      <c r="C392" s="33"/>
      <c r="D392" s="5">
        <v>1.0E7</v>
      </c>
      <c r="E392" s="33"/>
      <c r="F392" s="33"/>
      <c r="G392" s="72">
        <f t="shared" si="7"/>
        <v>10000000</v>
      </c>
      <c r="H392" s="72">
        <f>VLOOKUP(A392,Dashboard!A:G,7,FALSE)</f>
        <v>90000000</v>
      </c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 ht="22.5" customHeight="1">
      <c r="A393" s="9">
        <v>1.66871338E8</v>
      </c>
      <c r="B393" s="9" t="s">
        <v>53</v>
      </c>
      <c r="C393" s="5"/>
      <c r="D393" s="5">
        <v>1.0E7</v>
      </c>
      <c r="E393" s="5"/>
      <c r="F393" s="5"/>
      <c r="G393" s="72">
        <f t="shared" si="7"/>
        <v>10000000</v>
      </c>
      <c r="H393" s="72">
        <f>VLOOKUP(A393,Dashboard!A:G,7,FALSE)</f>
        <v>320000000</v>
      </c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 ht="22.5" customHeight="1">
      <c r="A394" s="9">
        <v>1.69953509E8</v>
      </c>
      <c r="B394" s="9" t="s">
        <v>154</v>
      </c>
      <c r="C394" s="5"/>
      <c r="D394" s="5">
        <v>1.0E7</v>
      </c>
      <c r="E394" s="5"/>
      <c r="F394" s="5"/>
      <c r="G394" s="72">
        <f t="shared" si="7"/>
        <v>10000000</v>
      </c>
      <c r="H394" s="72">
        <f>VLOOKUP(A394,Dashboard!A:G,7,FALSE)</f>
        <v>140000000</v>
      </c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 ht="22.5" customHeight="1">
      <c r="A395" s="9">
        <v>2.7578537E7</v>
      </c>
      <c r="B395" s="9" t="s">
        <v>179</v>
      </c>
      <c r="C395" s="5">
        <v>1.0E7</v>
      </c>
      <c r="D395" s="33"/>
      <c r="E395" s="33"/>
      <c r="F395" s="33"/>
      <c r="G395" s="72">
        <f t="shared" si="7"/>
        <v>10000000</v>
      </c>
      <c r="H395" s="72">
        <f>VLOOKUP(A395,Dashboard!A:G,7,FALSE)</f>
        <v>946182150</v>
      </c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 ht="22.5" customHeight="1">
      <c r="A396" s="9">
        <v>1.39292614E8</v>
      </c>
      <c r="B396" s="9" t="s">
        <v>95</v>
      </c>
      <c r="C396" s="5">
        <v>3003800.0</v>
      </c>
      <c r="D396" s="5">
        <v>3003800.0</v>
      </c>
      <c r="E396" s="5">
        <v>3003800.0</v>
      </c>
      <c r="F396" s="5">
        <v>988600.0</v>
      </c>
      <c r="G396" s="72">
        <f t="shared" si="7"/>
        <v>10000000</v>
      </c>
      <c r="H396" s="72">
        <f>VLOOKUP(A396,Dashboard!A:G,7,FALSE)</f>
        <v>70000000</v>
      </c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 ht="22.5" customHeight="1">
      <c r="A397" s="34">
        <v>1.41154852E8</v>
      </c>
      <c r="B397" s="24" t="s">
        <v>164</v>
      </c>
      <c r="C397" s="33">
        <v>2099125.0</v>
      </c>
      <c r="D397" s="33">
        <v>4382449.0</v>
      </c>
      <c r="E397" s="33">
        <v>3518425.0</v>
      </c>
      <c r="F397" s="33"/>
      <c r="G397" s="72">
        <f t="shared" si="7"/>
        <v>9999999</v>
      </c>
      <c r="H397" s="72">
        <f>VLOOKUP(A397,Dashboard!A:G,7,FALSE)</f>
        <v>79999997</v>
      </c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 ht="22.5" customHeight="1">
      <c r="A398" s="9">
        <v>1.71753933E8</v>
      </c>
      <c r="B398" s="9" t="s">
        <v>87</v>
      </c>
      <c r="C398" s="5">
        <v>3101651.0</v>
      </c>
      <c r="D398" s="5">
        <v>3736966.0</v>
      </c>
      <c r="E398" s="5">
        <v>3161382.0</v>
      </c>
      <c r="F398" s="10"/>
      <c r="G398" s="72">
        <f t="shared" si="7"/>
        <v>9999999</v>
      </c>
      <c r="H398" s="72">
        <f>VLOOKUP(A398,Dashboard!A:G,7,FALSE)</f>
        <v>110211998</v>
      </c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 ht="22.5" customHeight="1">
      <c r="A399" s="34">
        <v>1.71830779E8</v>
      </c>
      <c r="B399" s="24" t="s">
        <v>151</v>
      </c>
      <c r="C399" s="33">
        <v>2760000.0</v>
      </c>
      <c r="D399" s="33">
        <v>3467540.0</v>
      </c>
      <c r="E399" s="33">
        <v>2852000.0</v>
      </c>
      <c r="F399" s="33">
        <v>920000.0</v>
      </c>
      <c r="G399" s="72">
        <f t="shared" si="7"/>
        <v>9999540</v>
      </c>
      <c r="H399" s="72">
        <f>VLOOKUP(A399,Dashboard!A:G,7,FALSE)</f>
        <v>655180761</v>
      </c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</row>
    <row r="400" ht="22.5" customHeight="1">
      <c r="A400" s="34">
        <v>1.71679053E8</v>
      </c>
      <c r="B400" s="24" t="s">
        <v>101</v>
      </c>
      <c r="C400" s="33">
        <v>2760000.0</v>
      </c>
      <c r="D400" s="33">
        <v>2760000.0</v>
      </c>
      <c r="E400" s="33">
        <v>3220000.0</v>
      </c>
      <c r="F400" s="33">
        <v>920000.0</v>
      </c>
      <c r="G400" s="72">
        <f t="shared" si="7"/>
        <v>9660000</v>
      </c>
      <c r="H400" s="72">
        <f>VLOOKUP(A400,Dashboard!A:G,7,FALSE)</f>
        <v>102460000</v>
      </c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</row>
    <row r="401" ht="22.5" customHeight="1">
      <c r="A401" s="34">
        <v>1.58817223E8</v>
      </c>
      <c r="B401" s="24" t="s">
        <v>140</v>
      </c>
      <c r="C401" s="33">
        <v>2760000.0</v>
      </c>
      <c r="D401" s="33">
        <v>2760000.0</v>
      </c>
      <c r="E401" s="33">
        <v>2760000.0</v>
      </c>
      <c r="F401" s="33">
        <v>920000.0</v>
      </c>
      <c r="G401" s="72">
        <f t="shared" si="7"/>
        <v>9200000</v>
      </c>
      <c r="H401" s="72">
        <f>VLOOKUP(A401,Dashboard!A:G,7,FALSE)</f>
        <v>34690659</v>
      </c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</row>
    <row r="402" ht="22.5" customHeight="1">
      <c r="A402" s="34">
        <v>1.72033754E8</v>
      </c>
      <c r="B402" s="24" t="s">
        <v>79</v>
      </c>
      <c r="C402" s="33">
        <v>2760000.0</v>
      </c>
      <c r="D402" s="33">
        <v>2760000.0</v>
      </c>
      <c r="E402" s="33">
        <v>2760000.0</v>
      </c>
      <c r="F402" s="33">
        <v>920000.0</v>
      </c>
      <c r="G402" s="72">
        <f t="shared" si="7"/>
        <v>9200000</v>
      </c>
      <c r="H402" s="72">
        <f>VLOOKUP(A402,Dashboard!A:G,7,FALSE)</f>
        <v>930794163</v>
      </c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</row>
    <row r="403" ht="22.5" customHeight="1">
      <c r="A403" s="34">
        <v>1.67614515E8</v>
      </c>
      <c r="B403" s="24" t="s">
        <v>93</v>
      </c>
      <c r="C403" s="33">
        <v>2760000.0</v>
      </c>
      <c r="D403" s="33">
        <v>3680000.0</v>
      </c>
      <c r="E403" s="33">
        <v>1840000.0</v>
      </c>
      <c r="F403" s="33">
        <v>920000.0</v>
      </c>
      <c r="G403" s="72">
        <f t="shared" si="7"/>
        <v>9200000</v>
      </c>
      <c r="H403" s="72">
        <f>VLOOKUP(A403,Dashboard!A:G,7,FALSE)</f>
        <v>73600000</v>
      </c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</row>
    <row r="404" ht="22.5" customHeight="1">
      <c r="A404" s="34">
        <v>1.69247313E8</v>
      </c>
      <c r="B404" s="24" t="s">
        <v>37</v>
      </c>
      <c r="C404" s="33">
        <v>2760000.0</v>
      </c>
      <c r="D404" s="33">
        <v>2760000.0</v>
      </c>
      <c r="E404" s="33">
        <v>2760000.0</v>
      </c>
      <c r="F404" s="33">
        <v>920000.0</v>
      </c>
      <c r="G404" s="72">
        <f t="shared" si="7"/>
        <v>9200000</v>
      </c>
      <c r="H404" s="72">
        <f>VLOOKUP(A404,Dashboard!A:G,7,FALSE)</f>
        <v>75200000</v>
      </c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</row>
    <row r="405" ht="22.5" customHeight="1">
      <c r="A405" s="34">
        <v>1.20029911E8</v>
      </c>
      <c r="B405" s="24" t="s">
        <v>48</v>
      </c>
      <c r="C405" s="33">
        <v>2760000.0</v>
      </c>
      <c r="D405" s="33">
        <v>2760000.0</v>
      </c>
      <c r="E405" s="33">
        <v>2760000.0</v>
      </c>
      <c r="F405" s="33">
        <v>920000.0</v>
      </c>
      <c r="G405" s="72">
        <f t="shared" si="7"/>
        <v>9200000</v>
      </c>
      <c r="H405" s="72">
        <f>VLOOKUP(A405,Dashboard!A:G,7,FALSE)</f>
        <v>59200000</v>
      </c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 ht="22.5" customHeight="1">
      <c r="A406" s="34">
        <v>1.68923934E8</v>
      </c>
      <c r="B406" s="24" t="s">
        <v>52</v>
      </c>
      <c r="C406" s="33">
        <v>2760000.0</v>
      </c>
      <c r="D406" s="33">
        <v>2760000.0</v>
      </c>
      <c r="E406" s="33">
        <v>2760000.0</v>
      </c>
      <c r="F406" s="33">
        <v>920000.0</v>
      </c>
      <c r="G406" s="72">
        <f t="shared" si="7"/>
        <v>9200000</v>
      </c>
      <c r="H406" s="72">
        <f>VLOOKUP(A406,Dashboard!A:G,7,FALSE)</f>
        <v>49200000</v>
      </c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 ht="22.5" customHeight="1">
      <c r="A407" s="34">
        <v>1.6942777E8</v>
      </c>
      <c r="B407" s="24" t="s">
        <v>63</v>
      </c>
      <c r="C407" s="33">
        <v>2760000.0</v>
      </c>
      <c r="D407" s="33">
        <v>2760000.0</v>
      </c>
      <c r="E407" s="33">
        <v>2760000.0</v>
      </c>
      <c r="F407" s="33">
        <v>920000.0</v>
      </c>
      <c r="G407" s="72">
        <f t="shared" si="7"/>
        <v>9200000</v>
      </c>
      <c r="H407" s="72">
        <f>VLOOKUP(A407,Dashboard!A:G,7,FALSE)</f>
        <v>278400000</v>
      </c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 ht="22.5" customHeight="1">
      <c r="A408" s="34">
        <v>1.56479771E8</v>
      </c>
      <c r="B408" s="24" t="s">
        <v>165</v>
      </c>
      <c r="C408" s="33">
        <v>2760000.0</v>
      </c>
      <c r="D408" s="33">
        <v>1840000.0</v>
      </c>
      <c r="E408" s="33">
        <v>3680000.0</v>
      </c>
      <c r="F408" s="33">
        <v>920000.0</v>
      </c>
      <c r="G408" s="72">
        <f t="shared" si="7"/>
        <v>9200000</v>
      </c>
      <c r="H408" s="72">
        <f>VLOOKUP(A408,Dashboard!A:G,7,FALSE)</f>
        <v>503120000</v>
      </c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 ht="22.5" customHeight="1">
      <c r="A409" s="34">
        <v>1.46428825E8</v>
      </c>
      <c r="B409" s="24" t="s">
        <v>172</v>
      </c>
      <c r="C409" s="33">
        <v>2760000.0</v>
      </c>
      <c r="D409" s="33">
        <v>2760000.0</v>
      </c>
      <c r="E409" s="33">
        <v>2760000.0</v>
      </c>
      <c r="F409" s="33">
        <v>920000.0</v>
      </c>
      <c r="G409" s="72">
        <f t="shared" si="7"/>
        <v>9200000</v>
      </c>
      <c r="H409" s="72">
        <f>VLOOKUP(A409,Dashboard!A:G,7,FALSE)</f>
        <v>69320400</v>
      </c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</row>
    <row r="410" ht="22.5" customHeight="1">
      <c r="A410" s="34">
        <v>6.4010776E7</v>
      </c>
      <c r="B410" s="24" t="s">
        <v>24</v>
      </c>
      <c r="C410" s="33">
        <v>2760000.0</v>
      </c>
      <c r="D410" s="33">
        <v>2760000.0</v>
      </c>
      <c r="E410" s="33">
        <v>2760000.0</v>
      </c>
      <c r="F410" s="33">
        <v>920000.0</v>
      </c>
      <c r="G410" s="72">
        <f t="shared" si="7"/>
        <v>9200000</v>
      </c>
      <c r="H410" s="72">
        <f>VLOOKUP(A410,Dashboard!A:G,7,FALSE)</f>
        <v>92844800</v>
      </c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</row>
    <row r="411" ht="22.5" customHeight="1">
      <c r="A411" s="34">
        <v>6.7071592E7</v>
      </c>
      <c r="B411" s="24" t="s">
        <v>171</v>
      </c>
      <c r="C411" s="33">
        <v>2760000.0</v>
      </c>
      <c r="D411" s="33">
        <v>2760000.0</v>
      </c>
      <c r="E411" s="33">
        <v>2760000.0</v>
      </c>
      <c r="F411" s="33">
        <v>920000.0</v>
      </c>
      <c r="G411" s="72">
        <f t="shared" si="7"/>
        <v>9200000</v>
      </c>
      <c r="H411" s="72">
        <f>VLOOKUP(A411,Dashboard!A:G,7,FALSE)</f>
        <v>115640000</v>
      </c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</row>
    <row r="412" ht="22.5" customHeight="1">
      <c r="A412" s="34">
        <v>1.4504414E8</v>
      </c>
      <c r="B412" s="24" t="s">
        <v>97</v>
      </c>
      <c r="C412" s="33">
        <v>2760000.0</v>
      </c>
      <c r="D412" s="33">
        <v>2760000.0</v>
      </c>
      <c r="E412" s="33">
        <v>2760000.0</v>
      </c>
      <c r="F412" s="33">
        <v>920000.0</v>
      </c>
      <c r="G412" s="72">
        <f t="shared" si="7"/>
        <v>9200000</v>
      </c>
      <c r="H412" s="72">
        <f>VLOOKUP(A412,Dashboard!A:G,7,FALSE)</f>
        <v>268400000</v>
      </c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</row>
    <row r="413" ht="22.5" customHeight="1">
      <c r="A413" s="9">
        <v>1.44049878E8</v>
      </c>
      <c r="B413" s="9" t="s">
        <v>51</v>
      </c>
      <c r="C413" s="5">
        <v>2760000.0</v>
      </c>
      <c r="D413" s="5">
        <v>2760000.0</v>
      </c>
      <c r="E413" s="5">
        <v>2300000.0</v>
      </c>
      <c r="F413" s="5">
        <v>1380000.0</v>
      </c>
      <c r="G413" s="72">
        <f t="shared" si="7"/>
        <v>9200000</v>
      </c>
      <c r="H413" s="72">
        <f>VLOOKUP(A413,Dashboard!A:G,7,FALSE)</f>
        <v>179256000</v>
      </c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 ht="22.5" customHeight="1">
      <c r="A414" s="9">
        <v>1.69672885E8</v>
      </c>
      <c r="B414" s="9" t="s">
        <v>113</v>
      </c>
      <c r="C414" s="5">
        <v>2760000.0</v>
      </c>
      <c r="D414" s="5">
        <v>2760000.0</v>
      </c>
      <c r="E414" s="5">
        <v>2760000.0</v>
      </c>
      <c r="F414" s="5">
        <v>920000.0</v>
      </c>
      <c r="G414" s="72">
        <f t="shared" si="7"/>
        <v>9200000</v>
      </c>
      <c r="H414" s="72">
        <f>VLOOKUP(A414,Dashboard!A:G,7,FALSE)</f>
        <v>9200000</v>
      </c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</row>
    <row r="415" ht="22.5" customHeight="1">
      <c r="A415" s="9">
        <v>1915332.0</v>
      </c>
      <c r="B415" s="9" t="s">
        <v>72</v>
      </c>
      <c r="C415" s="5">
        <v>2760000.0</v>
      </c>
      <c r="D415" s="5">
        <v>2760000.0</v>
      </c>
      <c r="E415" s="5">
        <v>2760000.0</v>
      </c>
      <c r="F415" s="5">
        <v>920000.0</v>
      </c>
      <c r="G415" s="72">
        <f t="shared" si="7"/>
        <v>9200000</v>
      </c>
      <c r="H415" s="72">
        <f>VLOOKUP(A415,Dashboard!A:G,7,FALSE)</f>
        <v>994815560</v>
      </c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</row>
    <row r="416" ht="22.5" customHeight="1">
      <c r="A416" s="9">
        <v>1.44684719E8</v>
      </c>
      <c r="B416" s="9" t="s">
        <v>92</v>
      </c>
      <c r="C416" s="5">
        <v>920000.0</v>
      </c>
      <c r="D416" s="5">
        <v>6900000.0</v>
      </c>
      <c r="E416" s="5">
        <v>920000.0</v>
      </c>
      <c r="F416" s="5">
        <v>460000.0</v>
      </c>
      <c r="G416" s="72">
        <f t="shared" si="7"/>
        <v>9200000</v>
      </c>
      <c r="H416" s="72">
        <f>VLOOKUP(A416,Dashboard!A:G,7,FALSE)</f>
        <v>875362125</v>
      </c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</row>
    <row r="417" ht="22.5" customHeight="1">
      <c r="A417" s="9">
        <v>7.7394861E7</v>
      </c>
      <c r="B417" s="9" t="s">
        <v>178</v>
      </c>
      <c r="C417" s="5">
        <v>2760000.0</v>
      </c>
      <c r="D417" s="5">
        <v>2760000.0</v>
      </c>
      <c r="E417" s="5">
        <v>2760000.0</v>
      </c>
      <c r="F417" s="5">
        <v>920000.0</v>
      </c>
      <c r="G417" s="72">
        <f t="shared" si="7"/>
        <v>9200000</v>
      </c>
      <c r="H417" s="72">
        <f>VLOOKUP(A417,Dashboard!A:G,7,FALSE)</f>
        <v>64400000</v>
      </c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</row>
    <row r="418" ht="22.5" customHeight="1">
      <c r="A418" s="34">
        <v>1.44060837E8</v>
      </c>
      <c r="B418" s="24" t="s">
        <v>28</v>
      </c>
      <c r="C418" s="72"/>
      <c r="D418" s="72"/>
      <c r="E418" s="33">
        <v>2760000.0</v>
      </c>
      <c r="F418" s="72"/>
      <c r="G418" s="72">
        <f t="shared" si="7"/>
        <v>2760000</v>
      </c>
      <c r="H418" s="72">
        <f>VLOOKUP(A418,Dashboard!A:G,7,FALSE)</f>
        <v>62759999</v>
      </c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 ht="22.5" customHeight="1">
      <c r="A419" s="34">
        <v>1.38752108E8</v>
      </c>
      <c r="B419" s="24" t="s">
        <v>74</v>
      </c>
      <c r="C419" s="33">
        <v>3680.0</v>
      </c>
      <c r="D419" s="33">
        <v>3680.0</v>
      </c>
      <c r="E419" s="33">
        <v>3680.0</v>
      </c>
      <c r="F419" s="33">
        <v>1840.0</v>
      </c>
      <c r="G419" s="72">
        <f t="shared" si="7"/>
        <v>12880</v>
      </c>
      <c r="H419" s="72">
        <f>VLOOKUP(A419,Dashboard!A:G,7,FALSE)</f>
        <v>146769440</v>
      </c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 ht="22.5" customHeight="1">
      <c r="A420" s="35" t="str">
        <f>COUNT(Weekly_10_16_November_2025[ID]) &amp; " Contributors"</f>
        <v>74 Contributors</v>
      </c>
      <c r="B420" s="35"/>
      <c r="C420" s="10">
        <f>SUM(Weekly_10_16_November_2025[Food])</f>
        <v>701629810</v>
      </c>
      <c r="D420" s="10">
        <f>SUM(Weekly_10_16_November_2025[Wood])</f>
        <v>818758862</v>
      </c>
      <c r="E420" s="10">
        <f>SUM(Weekly_10_16_November_2025[Stone])</f>
        <v>1457619012</v>
      </c>
      <c r="F420" s="10">
        <f>SUM(Weekly_10_16_November_2025[Gold])</f>
        <v>287831865</v>
      </c>
      <c r="G420" s="10">
        <f>SUM(Weekly_10_16_November_2025[Week Contribution])</f>
        <v>3265839549</v>
      </c>
      <c r="H420" s="10">
        <f>SUM(Weekly_10_16_November_2025[Total Contribution])</f>
        <v>25103417946</v>
      </c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>
      <c r="A1002" s="45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>
      <c r="A1003" s="45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  <row r="1004">
      <c r="A1004" s="45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</row>
    <row r="1005">
      <c r="A1005" s="45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</row>
    <row r="1006">
      <c r="A1006" s="45"/>
      <c r="B1006" s="45"/>
      <c r="C1006" s="45"/>
      <c r="D1006" s="45"/>
      <c r="E1006" s="45"/>
      <c r="F1006" s="45"/>
      <c r="G1006" s="45"/>
      <c r="H1006" s="45"/>
      <c r="I1006" s="45"/>
      <c r="J1006" s="45"/>
      <c r="K1006" s="45"/>
      <c r="L1006" s="45"/>
      <c r="M1006" s="45"/>
      <c r="N1006" s="45"/>
      <c r="O1006" s="45"/>
      <c r="P1006" s="45"/>
      <c r="Q1006" s="45"/>
      <c r="R1006" s="45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5"/>
    </row>
    <row r="1007">
      <c r="A1007" s="45"/>
      <c r="B1007" s="45"/>
      <c r="C1007" s="45"/>
      <c r="D1007" s="45"/>
      <c r="E1007" s="45"/>
      <c r="F1007" s="45"/>
      <c r="G1007" s="45"/>
      <c r="H1007" s="45"/>
      <c r="I1007" s="45"/>
      <c r="J1007" s="45"/>
      <c r="K1007" s="45"/>
      <c r="L1007" s="45"/>
      <c r="M1007" s="45"/>
      <c r="N1007" s="45"/>
      <c r="O1007" s="45"/>
      <c r="P1007" s="45"/>
      <c r="Q1007" s="45"/>
      <c r="R1007" s="45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5"/>
    </row>
    <row r="1008">
      <c r="A1008" s="45"/>
      <c r="B1008" s="45"/>
      <c r="C1008" s="45"/>
      <c r="D1008" s="45"/>
      <c r="E1008" s="45"/>
      <c r="F1008" s="45"/>
      <c r="G1008" s="45"/>
      <c r="H1008" s="45"/>
      <c r="I1008" s="45"/>
      <c r="J1008" s="45"/>
      <c r="K1008" s="45"/>
      <c r="L1008" s="45"/>
      <c r="M1008" s="45"/>
      <c r="N1008" s="45"/>
      <c r="O1008" s="45"/>
      <c r="P1008" s="45"/>
      <c r="Q1008" s="45"/>
      <c r="R1008" s="45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5"/>
    </row>
    <row r="1009">
      <c r="A1009" s="45"/>
      <c r="B1009" s="45"/>
      <c r="C1009" s="45"/>
      <c r="D1009" s="45"/>
      <c r="E1009" s="45"/>
      <c r="F1009" s="45"/>
      <c r="G1009" s="45"/>
      <c r="H1009" s="45"/>
      <c r="I1009" s="45"/>
      <c r="J1009" s="45"/>
      <c r="K1009" s="45"/>
      <c r="L1009" s="45"/>
      <c r="M1009" s="45"/>
      <c r="N1009" s="45"/>
      <c r="O1009" s="45"/>
      <c r="P1009" s="45"/>
      <c r="Q1009" s="45"/>
      <c r="R1009" s="45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5"/>
    </row>
    <row r="1010">
      <c r="A1010" s="45"/>
      <c r="B1010" s="45"/>
      <c r="C1010" s="45"/>
      <c r="D1010" s="45"/>
      <c r="E1010" s="45"/>
      <c r="F1010" s="45"/>
      <c r="G1010" s="45"/>
      <c r="H1010" s="45"/>
      <c r="I1010" s="45"/>
      <c r="J1010" s="45"/>
      <c r="K1010" s="45"/>
      <c r="L1010" s="45"/>
      <c r="M1010" s="45"/>
      <c r="N1010" s="45"/>
      <c r="O1010" s="45"/>
      <c r="P1010" s="45"/>
      <c r="Q1010" s="45"/>
      <c r="R1010" s="45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5"/>
    </row>
    <row r="1011">
      <c r="A1011" s="45"/>
      <c r="B1011" s="45"/>
      <c r="C1011" s="45"/>
      <c r="D1011" s="45"/>
      <c r="E1011" s="45"/>
      <c r="F1011" s="45"/>
      <c r="G1011" s="45"/>
      <c r="H1011" s="45"/>
      <c r="I1011" s="45"/>
      <c r="J1011" s="45"/>
      <c r="K1011" s="45"/>
      <c r="L1011" s="45"/>
      <c r="M1011" s="45"/>
      <c r="N1011" s="45"/>
      <c r="O1011" s="45"/>
      <c r="P1011" s="45"/>
      <c r="Q1011" s="45"/>
      <c r="R1011" s="45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5"/>
    </row>
    <row r="1012">
      <c r="A1012" s="45"/>
      <c r="B1012" s="45"/>
      <c r="C1012" s="45"/>
      <c r="D1012" s="45"/>
      <c r="E1012" s="45"/>
      <c r="F1012" s="45"/>
      <c r="G1012" s="45"/>
      <c r="H1012" s="45"/>
      <c r="I1012" s="45"/>
      <c r="J1012" s="45"/>
      <c r="K1012" s="45"/>
      <c r="L1012" s="45"/>
      <c r="M1012" s="45"/>
      <c r="N1012" s="45"/>
      <c r="O1012" s="45"/>
      <c r="P1012" s="45"/>
      <c r="Q1012" s="45"/>
      <c r="R1012" s="45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5"/>
    </row>
    <row r="1013">
      <c r="A1013" s="45"/>
      <c r="B1013" s="45"/>
      <c r="C1013" s="45"/>
      <c r="D1013" s="45"/>
      <c r="E1013" s="45"/>
      <c r="F1013" s="45"/>
      <c r="G1013" s="45"/>
      <c r="H1013" s="45"/>
      <c r="I1013" s="45"/>
      <c r="J1013" s="45"/>
      <c r="K1013" s="45"/>
      <c r="L1013" s="45"/>
      <c r="M1013" s="45"/>
      <c r="N1013" s="45"/>
      <c r="O1013" s="45"/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</row>
    <row r="1014">
      <c r="A1014" s="45"/>
      <c r="B1014" s="45"/>
      <c r="C1014" s="45"/>
      <c r="D1014" s="45"/>
      <c r="E1014" s="45"/>
      <c r="F1014" s="45"/>
      <c r="G1014" s="45"/>
      <c r="H1014" s="45"/>
      <c r="I1014" s="45"/>
      <c r="J1014" s="45"/>
      <c r="K1014" s="45"/>
      <c r="L1014" s="45"/>
      <c r="M1014" s="45"/>
      <c r="N1014" s="45"/>
      <c r="O1014" s="45"/>
      <c r="P1014" s="45"/>
      <c r="Q1014" s="45"/>
      <c r="R1014" s="45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5"/>
    </row>
    <row r="1015">
      <c r="A1015" s="45"/>
      <c r="B1015" s="45"/>
      <c r="C1015" s="45"/>
      <c r="D1015" s="45"/>
      <c r="E1015" s="45"/>
      <c r="F1015" s="45"/>
      <c r="G1015" s="45"/>
      <c r="H1015" s="45"/>
      <c r="I1015" s="45"/>
      <c r="J1015" s="45"/>
      <c r="K1015" s="45"/>
      <c r="L1015" s="45"/>
      <c r="M1015" s="45"/>
      <c r="N1015" s="45"/>
      <c r="O1015" s="45"/>
      <c r="P1015" s="45"/>
      <c r="Q1015" s="45"/>
      <c r="R1015" s="45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5"/>
    </row>
    <row r="1016">
      <c r="A1016" s="45"/>
      <c r="B1016" s="45"/>
      <c r="C1016" s="45"/>
      <c r="D1016" s="45"/>
      <c r="E1016" s="45"/>
      <c r="F1016" s="45"/>
      <c r="G1016" s="45"/>
      <c r="H1016" s="45"/>
      <c r="I1016" s="45"/>
      <c r="J1016" s="45"/>
      <c r="K1016" s="45"/>
      <c r="L1016" s="45"/>
      <c r="M1016" s="45"/>
      <c r="N1016" s="45"/>
      <c r="O1016" s="45"/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</row>
    <row r="1017">
      <c r="A1017" s="45"/>
      <c r="B1017" s="45"/>
      <c r="C1017" s="45"/>
      <c r="D1017" s="45"/>
      <c r="E1017" s="45"/>
      <c r="F1017" s="45"/>
      <c r="G1017" s="45"/>
      <c r="H1017" s="45"/>
      <c r="I1017" s="45"/>
      <c r="J1017" s="45"/>
      <c r="K1017" s="45"/>
      <c r="L1017" s="45"/>
      <c r="M1017" s="45"/>
      <c r="N1017" s="45"/>
      <c r="O1017" s="45"/>
      <c r="P1017" s="45"/>
      <c r="Q1017" s="45"/>
      <c r="R1017" s="45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5"/>
    </row>
    <row r="1018">
      <c r="A1018" s="45"/>
      <c r="B1018" s="45"/>
      <c r="C1018" s="45"/>
      <c r="D1018" s="45"/>
      <c r="E1018" s="45"/>
      <c r="F1018" s="45"/>
      <c r="G1018" s="45"/>
      <c r="H1018" s="45"/>
      <c r="I1018" s="45"/>
      <c r="J1018" s="45"/>
      <c r="K1018" s="45"/>
      <c r="L1018" s="45"/>
      <c r="M1018" s="45"/>
      <c r="N1018" s="45"/>
      <c r="O1018" s="45"/>
      <c r="P1018" s="45"/>
      <c r="Q1018" s="45"/>
      <c r="R1018" s="45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5"/>
    </row>
    <row r="1019">
      <c r="A1019" s="45"/>
      <c r="B1019" s="45"/>
      <c r="C1019" s="45"/>
      <c r="D1019" s="45"/>
      <c r="E1019" s="45"/>
      <c r="F1019" s="45"/>
      <c r="G1019" s="45"/>
      <c r="H1019" s="45"/>
      <c r="I1019" s="45"/>
      <c r="J1019" s="45"/>
      <c r="K1019" s="45"/>
      <c r="L1019" s="45"/>
      <c r="M1019" s="45"/>
      <c r="N1019" s="45"/>
      <c r="O1019" s="45"/>
      <c r="P1019" s="45"/>
      <c r="Q1019" s="45"/>
      <c r="R1019" s="45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5"/>
    </row>
    <row r="1020">
      <c r="A1020" s="45"/>
      <c r="B1020" s="45"/>
      <c r="C1020" s="45"/>
      <c r="D1020" s="45"/>
      <c r="E1020" s="45"/>
      <c r="F1020" s="45"/>
      <c r="G1020" s="45"/>
      <c r="H1020" s="45"/>
      <c r="I1020" s="45"/>
      <c r="J1020" s="45"/>
      <c r="K1020" s="45"/>
      <c r="L1020" s="45"/>
      <c r="M1020" s="45"/>
      <c r="N1020" s="45"/>
      <c r="O1020" s="45"/>
      <c r="P1020" s="45"/>
      <c r="Q1020" s="45"/>
      <c r="R1020" s="45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5"/>
    </row>
    <row r="1021">
      <c r="A1021" s="45"/>
      <c r="B1021" s="45"/>
      <c r="C1021" s="45"/>
      <c r="D1021" s="45"/>
      <c r="E1021" s="45"/>
      <c r="F1021" s="45"/>
      <c r="G1021" s="45"/>
      <c r="H1021" s="45"/>
      <c r="I1021" s="45"/>
      <c r="J1021" s="45"/>
      <c r="K1021" s="45"/>
      <c r="L1021" s="45"/>
      <c r="M1021" s="45"/>
      <c r="N1021" s="45"/>
      <c r="O1021" s="45"/>
      <c r="P1021" s="45"/>
      <c r="Q1021" s="45"/>
      <c r="R1021" s="45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5"/>
    </row>
    <row r="1022">
      <c r="A1022" s="45"/>
      <c r="B1022" s="45"/>
      <c r="C1022" s="45"/>
      <c r="D1022" s="45"/>
      <c r="E1022" s="45"/>
      <c r="F1022" s="45"/>
      <c r="G1022" s="45"/>
      <c r="H1022" s="45"/>
      <c r="I1022" s="45"/>
      <c r="J1022" s="45"/>
      <c r="K1022" s="45"/>
      <c r="L1022" s="45"/>
      <c r="M1022" s="45"/>
      <c r="N1022" s="45"/>
      <c r="O1022" s="45"/>
      <c r="P1022" s="45"/>
      <c r="Q1022" s="45"/>
      <c r="R1022" s="45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5"/>
    </row>
    <row r="1023">
      <c r="A1023" s="45"/>
      <c r="B1023" s="45"/>
      <c r="C1023" s="45"/>
      <c r="D1023" s="45"/>
      <c r="E1023" s="45"/>
      <c r="F1023" s="45"/>
      <c r="G1023" s="45"/>
      <c r="H1023" s="45"/>
      <c r="I1023" s="45"/>
      <c r="J1023" s="45"/>
      <c r="K1023" s="45"/>
      <c r="L1023" s="45"/>
      <c r="M1023" s="45"/>
      <c r="N1023" s="45"/>
      <c r="O1023" s="45"/>
      <c r="P1023" s="45"/>
      <c r="Q1023" s="45"/>
      <c r="R1023" s="45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5"/>
    </row>
    <row r="1024">
      <c r="A1024" s="45"/>
      <c r="B1024" s="45"/>
      <c r="C1024" s="45"/>
      <c r="D1024" s="45"/>
      <c r="E1024" s="45"/>
      <c r="F1024" s="45"/>
      <c r="G1024" s="45"/>
      <c r="H1024" s="45"/>
      <c r="I1024" s="45"/>
      <c r="J1024" s="45"/>
      <c r="K1024" s="45"/>
      <c r="L1024" s="45"/>
      <c r="M1024" s="45"/>
      <c r="N1024" s="45"/>
      <c r="O1024" s="45"/>
      <c r="P1024" s="45"/>
      <c r="Q1024" s="45"/>
      <c r="R1024" s="45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5"/>
    </row>
    <row r="1025">
      <c r="A1025" s="45"/>
      <c r="B1025" s="45"/>
      <c r="C1025" s="45"/>
      <c r="D1025" s="45"/>
      <c r="E1025" s="45"/>
      <c r="F1025" s="45"/>
      <c r="G1025" s="45"/>
      <c r="H1025" s="45"/>
      <c r="I1025" s="45"/>
      <c r="J1025" s="45"/>
      <c r="K1025" s="45"/>
      <c r="L1025" s="45"/>
      <c r="M1025" s="45"/>
      <c r="N1025" s="45"/>
      <c r="O1025" s="45"/>
      <c r="P1025" s="45"/>
      <c r="Q1025" s="45"/>
      <c r="R1025" s="45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5"/>
    </row>
    <row r="1026">
      <c r="A1026" s="45"/>
      <c r="B1026" s="45"/>
      <c r="C1026" s="45"/>
      <c r="D1026" s="45"/>
      <c r="E1026" s="45"/>
      <c r="F1026" s="45"/>
      <c r="G1026" s="45"/>
      <c r="H1026" s="45"/>
      <c r="I1026" s="45"/>
      <c r="J1026" s="45"/>
      <c r="K1026" s="45"/>
      <c r="L1026" s="45"/>
      <c r="M1026" s="45"/>
      <c r="N1026" s="45"/>
      <c r="O1026" s="45"/>
      <c r="P1026" s="45"/>
      <c r="Q1026" s="45"/>
      <c r="R1026" s="45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5"/>
    </row>
    <row r="1027">
      <c r="A1027" s="45"/>
      <c r="B1027" s="45"/>
      <c r="C1027" s="45"/>
      <c r="D1027" s="45"/>
      <c r="E1027" s="45"/>
      <c r="F1027" s="45"/>
      <c r="G1027" s="45"/>
      <c r="H1027" s="45"/>
      <c r="I1027" s="45"/>
      <c r="J1027" s="45"/>
      <c r="K1027" s="45"/>
      <c r="L1027" s="45"/>
      <c r="M1027" s="45"/>
      <c r="N1027" s="45"/>
      <c r="O1027" s="45"/>
      <c r="P1027" s="45"/>
      <c r="Q1027" s="45"/>
      <c r="R1027" s="45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5"/>
    </row>
    <row r="1028">
      <c r="A1028" s="45"/>
      <c r="B1028" s="45"/>
      <c r="C1028" s="45"/>
      <c r="D1028" s="45"/>
      <c r="E1028" s="45"/>
      <c r="F1028" s="45"/>
      <c r="G1028" s="45"/>
      <c r="H1028" s="45"/>
      <c r="I1028" s="45"/>
      <c r="J1028" s="45"/>
      <c r="K1028" s="45"/>
      <c r="L1028" s="45"/>
      <c r="M1028" s="45"/>
      <c r="N1028" s="45"/>
      <c r="O1028" s="45"/>
      <c r="P1028" s="45"/>
      <c r="Q1028" s="45"/>
      <c r="R1028" s="45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5"/>
    </row>
    <row r="1029">
      <c r="A1029" s="45"/>
      <c r="B1029" s="45"/>
      <c r="C1029" s="45"/>
      <c r="D1029" s="45"/>
      <c r="E1029" s="45"/>
      <c r="F1029" s="45"/>
      <c r="G1029" s="45"/>
      <c r="H1029" s="45"/>
      <c r="I1029" s="45"/>
      <c r="J1029" s="45"/>
      <c r="K1029" s="45"/>
      <c r="L1029" s="45"/>
      <c r="M1029" s="45"/>
      <c r="N1029" s="45"/>
      <c r="O1029" s="45"/>
      <c r="P1029" s="45"/>
      <c r="Q1029" s="45"/>
      <c r="R1029" s="45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5"/>
    </row>
    <row r="1030">
      <c r="A1030" s="45"/>
      <c r="B1030" s="45"/>
      <c r="C1030" s="45"/>
      <c r="D1030" s="45"/>
      <c r="E1030" s="45"/>
      <c r="F1030" s="45"/>
      <c r="G1030" s="45"/>
      <c r="H1030" s="45"/>
      <c r="I1030" s="45"/>
      <c r="J1030" s="45"/>
      <c r="K1030" s="45"/>
      <c r="L1030" s="45"/>
      <c r="M1030" s="45"/>
      <c r="N1030" s="45"/>
      <c r="O1030" s="45"/>
      <c r="P1030" s="45"/>
      <c r="Q1030" s="45"/>
      <c r="R1030" s="45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5"/>
    </row>
    <row r="1031">
      <c r="A1031" s="45"/>
      <c r="B1031" s="45"/>
      <c r="C1031" s="45"/>
      <c r="D1031" s="45"/>
      <c r="E1031" s="45"/>
      <c r="F1031" s="45"/>
      <c r="G1031" s="45"/>
      <c r="H1031" s="45"/>
      <c r="I1031" s="45"/>
      <c r="J1031" s="45"/>
      <c r="K1031" s="45"/>
      <c r="L1031" s="45"/>
      <c r="M1031" s="45"/>
      <c r="N1031" s="45"/>
      <c r="O1031" s="45"/>
      <c r="P1031" s="45"/>
      <c r="Q1031" s="45"/>
      <c r="R1031" s="45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5"/>
    </row>
    <row r="1032">
      <c r="A1032" s="45"/>
      <c r="B1032" s="45"/>
      <c r="C1032" s="45"/>
      <c r="D1032" s="45"/>
      <c r="E1032" s="45"/>
      <c r="F1032" s="45"/>
      <c r="G1032" s="45"/>
      <c r="H1032" s="45"/>
      <c r="I1032" s="45"/>
      <c r="J1032" s="45"/>
      <c r="K1032" s="45"/>
      <c r="L1032" s="45"/>
      <c r="M1032" s="45"/>
      <c r="N1032" s="45"/>
      <c r="O1032" s="45"/>
      <c r="P1032" s="45"/>
      <c r="Q1032" s="45"/>
      <c r="R1032" s="45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5"/>
    </row>
    <row r="1033">
      <c r="A1033" s="45"/>
      <c r="B1033" s="45"/>
      <c r="C1033" s="45"/>
      <c r="D1033" s="45"/>
      <c r="E1033" s="45"/>
      <c r="F1033" s="45"/>
      <c r="G1033" s="45"/>
      <c r="H1033" s="45"/>
      <c r="I1033" s="45"/>
      <c r="J1033" s="45"/>
      <c r="K1033" s="45"/>
      <c r="L1033" s="45"/>
      <c r="M1033" s="45"/>
      <c r="N1033" s="45"/>
      <c r="O1033" s="45"/>
      <c r="P1033" s="45"/>
      <c r="Q1033" s="45"/>
      <c r="R1033" s="45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5"/>
    </row>
    <row r="1034">
      <c r="A1034" s="45"/>
      <c r="B1034" s="45"/>
      <c r="C1034" s="45"/>
      <c r="D1034" s="45"/>
      <c r="E1034" s="45"/>
      <c r="F1034" s="45"/>
      <c r="G1034" s="45"/>
      <c r="H1034" s="45"/>
      <c r="I1034" s="45"/>
      <c r="J1034" s="45"/>
      <c r="K1034" s="45"/>
      <c r="L1034" s="45"/>
      <c r="M1034" s="45"/>
      <c r="N1034" s="45"/>
      <c r="O1034" s="45"/>
      <c r="P1034" s="45"/>
      <c r="Q1034" s="45"/>
      <c r="R1034" s="45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5"/>
    </row>
    <row r="1035">
      <c r="A1035" s="45"/>
      <c r="B1035" s="45"/>
      <c r="C1035" s="45"/>
      <c r="D1035" s="45"/>
      <c r="E1035" s="45"/>
      <c r="F1035" s="45"/>
      <c r="G1035" s="45"/>
      <c r="H1035" s="45"/>
      <c r="I1035" s="45"/>
      <c r="J1035" s="45"/>
      <c r="K1035" s="45"/>
      <c r="L1035" s="45"/>
      <c r="M1035" s="45"/>
      <c r="N1035" s="45"/>
      <c r="O1035" s="45"/>
      <c r="P1035" s="45"/>
      <c r="Q1035" s="45"/>
      <c r="R1035" s="45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5"/>
    </row>
    <row r="1036">
      <c r="A1036" s="45"/>
      <c r="B1036" s="45"/>
      <c r="C1036" s="45"/>
      <c r="D1036" s="45"/>
      <c r="E1036" s="45"/>
      <c r="F1036" s="45"/>
      <c r="G1036" s="45"/>
      <c r="H1036" s="45"/>
      <c r="I1036" s="45"/>
      <c r="J1036" s="45"/>
      <c r="K1036" s="45"/>
      <c r="L1036" s="45"/>
      <c r="M1036" s="45"/>
      <c r="N1036" s="45"/>
      <c r="O1036" s="45"/>
      <c r="P1036" s="45"/>
      <c r="Q1036" s="45"/>
      <c r="R1036" s="45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5"/>
    </row>
    <row r="1037">
      <c r="A1037" s="45"/>
      <c r="B1037" s="45"/>
      <c r="C1037" s="45"/>
      <c r="D1037" s="45"/>
      <c r="E1037" s="45"/>
      <c r="F1037" s="45"/>
      <c r="G1037" s="45"/>
      <c r="H1037" s="45"/>
      <c r="I1037" s="45"/>
      <c r="J1037" s="45"/>
      <c r="K1037" s="45"/>
      <c r="L1037" s="45"/>
      <c r="M1037" s="45"/>
      <c r="N1037" s="45"/>
      <c r="O1037" s="45"/>
      <c r="P1037" s="45"/>
      <c r="Q1037" s="45"/>
      <c r="R1037" s="45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5"/>
    </row>
    <row r="1038">
      <c r="A1038" s="45"/>
      <c r="B1038" s="45"/>
      <c r="C1038" s="45"/>
      <c r="D1038" s="45"/>
      <c r="E1038" s="45"/>
      <c r="F1038" s="45"/>
      <c r="G1038" s="45"/>
      <c r="H1038" s="45"/>
      <c r="I1038" s="45"/>
      <c r="J1038" s="45"/>
      <c r="K1038" s="45"/>
      <c r="L1038" s="45"/>
      <c r="M1038" s="45"/>
      <c r="N1038" s="45"/>
      <c r="O1038" s="45"/>
      <c r="P1038" s="45"/>
      <c r="Q1038" s="45"/>
      <c r="R1038" s="45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5"/>
    </row>
    <row r="1039">
      <c r="A1039" s="45"/>
      <c r="B1039" s="45"/>
      <c r="C1039" s="45"/>
      <c r="D1039" s="45"/>
      <c r="E1039" s="45"/>
      <c r="F1039" s="45"/>
      <c r="G1039" s="45"/>
      <c r="H1039" s="45"/>
      <c r="I1039" s="45"/>
      <c r="J1039" s="45"/>
      <c r="K1039" s="45"/>
      <c r="L1039" s="45"/>
      <c r="M1039" s="45"/>
      <c r="N1039" s="45"/>
      <c r="O1039" s="45"/>
      <c r="P1039" s="45"/>
      <c r="Q1039" s="45"/>
      <c r="R1039" s="45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5"/>
    </row>
    <row r="1040">
      <c r="A1040" s="45"/>
      <c r="B1040" s="45"/>
      <c r="C1040" s="45"/>
      <c r="D1040" s="45"/>
      <c r="E1040" s="45"/>
      <c r="F1040" s="45"/>
      <c r="G1040" s="45"/>
      <c r="H1040" s="45"/>
      <c r="I1040" s="45"/>
      <c r="J1040" s="45"/>
      <c r="K1040" s="45"/>
      <c r="L1040" s="45"/>
      <c r="M1040" s="45"/>
      <c r="N1040" s="45"/>
      <c r="O1040" s="45"/>
      <c r="P1040" s="45"/>
      <c r="Q1040" s="45"/>
      <c r="R1040" s="45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5"/>
    </row>
    <row r="1041">
      <c r="A1041" s="45"/>
      <c r="B1041" s="45"/>
      <c r="C1041" s="45"/>
      <c r="D1041" s="45"/>
      <c r="E1041" s="45"/>
      <c r="F1041" s="45"/>
      <c r="G1041" s="45"/>
      <c r="H1041" s="45"/>
      <c r="I1041" s="45"/>
      <c r="J1041" s="45"/>
      <c r="K1041" s="45"/>
      <c r="L1041" s="45"/>
      <c r="M1041" s="45"/>
      <c r="N1041" s="45"/>
      <c r="O1041" s="45"/>
      <c r="P1041" s="45"/>
      <c r="Q1041" s="45"/>
      <c r="R1041" s="45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5"/>
    </row>
    <row r="1042">
      <c r="A1042" s="45"/>
      <c r="B1042" s="45"/>
      <c r="C1042" s="45"/>
      <c r="D1042" s="45"/>
      <c r="E1042" s="45"/>
      <c r="F1042" s="45"/>
      <c r="G1042" s="45"/>
      <c r="H1042" s="45"/>
      <c r="I1042" s="45"/>
      <c r="J1042" s="45"/>
      <c r="K1042" s="45"/>
      <c r="L1042" s="45"/>
      <c r="M1042" s="45"/>
      <c r="N1042" s="45"/>
      <c r="O1042" s="45"/>
      <c r="P1042" s="45"/>
      <c r="Q1042" s="45"/>
      <c r="R1042" s="45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</row>
    <row r="1043">
      <c r="A1043" s="45"/>
      <c r="B1043" s="45"/>
      <c r="C1043" s="45"/>
      <c r="D1043" s="45"/>
      <c r="E1043" s="45"/>
      <c r="F1043" s="45"/>
      <c r="G1043" s="45"/>
      <c r="H1043" s="45"/>
      <c r="I1043" s="45"/>
      <c r="J1043" s="45"/>
      <c r="K1043" s="45"/>
      <c r="L1043" s="45"/>
      <c r="M1043" s="45"/>
      <c r="N1043" s="45"/>
      <c r="O1043" s="45"/>
      <c r="P1043" s="45"/>
      <c r="Q1043" s="45"/>
      <c r="R1043" s="45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5"/>
    </row>
    <row r="1044">
      <c r="A1044" s="45"/>
      <c r="B1044" s="45"/>
      <c r="C1044" s="45"/>
      <c r="D1044" s="45"/>
      <c r="E1044" s="45"/>
      <c r="F1044" s="45"/>
      <c r="G1044" s="45"/>
      <c r="H1044" s="45"/>
      <c r="I1044" s="45"/>
      <c r="J1044" s="45"/>
      <c r="K1044" s="45"/>
      <c r="L1044" s="45"/>
      <c r="M1044" s="45"/>
      <c r="N1044" s="45"/>
      <c r="O1044" s="45"/>
      <c r="P1044" s="45"/>
      <c r="Q1044" s="45"/>
      <c r="R1044" s="45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5"/>
    </row>
    <row r="1045">
      <c r="A1045" s="45"/>
      <c r="B1045" s="45"/>
      <c r="C1045" s="45"/>
      <c r="D1045" s="45"/>
      <c r="E1045" s="45"/>
      <c r="F1045" s="45"/>
      <c r="G1045" s="45"/>
      <c r="H1045" s="45"/>
      <c r="I1045" s="45"/>
      <c r="J1045" s="45"/>
      <c r="K1045" s="45"/>
      <c r="L1045" s="45"/>
      <c r="M1045" s="45"/>
      <c r="N1045" s="45"/>
      <c r="O1045" s="45"/>
      <c r="P1045" s="45"/>
      <c r="Q1045" s="45"/>
      <c r="R1045" s="45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5"/>
    </row>
    <row r="1046">
      <c r="A1046" s="45"/>
      <c r="B1046" s="45"/>
      <c r="C1046" s="45"/>
      <c r="D1046" s="45"/>
      <c r="E1046" s="45"/>
      <c r="F1046" s="45"/>
      <c r="G1046" s="45"/>
      <c r="H1046" s="45"/>
      <c r="I1046" s="45"/>
      <c r="J1046" s="45"/>
      <c r="K1046" s="45"/>
      <c r="L1046" s="45"/>
      <c r="M1046" s="45"/>
      <c r="N1046" s="45"/>
      <c r="O1046" s="45"/>
      <c r="P1046" s="45"/>
      <c r="Q1046" s="45"/>
      <c r="R1046" s="45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5"/>
    </row>
    <row r="1047">
      <c r="A1047" s="45"/>
      <c r="B1047" s="45"/>
      <c r="C1047" s="45"/>
      <c r="D1047" s="45"/>
      <c r="E1047" s="45"/>
      <c r="F1047" s="45"/>
      <c r="G1047" s="45"/>
      <c r="H1047" s="45"/>
      <c r="I1047" s="45"/>
      <c r="J1047" s="45"/>
      <c r="K1047" s="45"/>
      <c r="L1047" s="45"/>
      <c r="M1047" s="45"/>
      <c r="N1047" s="45"/>
      <c r="O1047" s="45"/>
      <c r="P1047" s="45"/>
      <c r="Q1047" s="45"/>
      <c r="R1047" s="45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5"/>
    </row>
    <row r="1048">
      <c r="A1048" s="45"/>
      <c r="B1048" s="45"/>
      <c r="C1048" s="45"/>
      <c r="D1048" s="45"/>
      <c r="E1048" s="45"/>
      <c r="F1048" s="45"/>
      <c r="G1048" s="45"/>
      <c r="H1048" s="45"/>
      <c r="I1048" s="45"/>
      <c r="J1048" s="45"/>
      <c r="K1048" s="45"/>
      <c r="L1048" s="45"/>
      <c r="M1048" s="45"/>
      <c r="N1048" s="45"/>
      <c r="O1048" s="45"/>
      <c r="P1048" s="45"/>
      <c r="Q1048" s="45"/>
      <c r="R1048" s="45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5"/>
    </row>
    <row r="1049">
      <c r="A1049" s="45"/>
      <c r="B1049" s="45"/>
      <c r="C1049" s="45"/>
      <c r="D1049" s="45"/>
      <c r="E1049" s="45"/>
      <c r="F1049" s="45"/>
      <c r="G1049" s="45"/>
      <c r="H1049" s="45"/>
      <c r="I1049" s="45"/>
      <c r="J1049" s="45"/>
      <c r="K1049" s="45"/>
      <c r="L1049" s="45"/>
      <c r="M1049" s="45"/>
      <c r="N1049" s="45"/>
      <c r="O1049" s="45"/>
      <c r="P1049" s="45"/>
      <c r="Q1049" s="45"/>
      <c r="R1049" s="45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5"/>
    </row>
    <row r="1050">
      <c r="A1050" s="45"/>
      <c r="B1050" s="45"/>
      <c r="C1050" s="45"/>
      <c r="D1050" s="45"/>
      <c r="E1050" s="45"/>
      <c r="F1050" s="45"/>
      <c r="G1050" s="45"/>
      <c r="H1050" s="45"/>
      <c r="I1050" s="45"/>
      <c r="J1050" s="45"/>
      <c r="K1050" s="45"/>
      <c r="L1050" s="45"/>
      <c r="M1050" s="45"/>
      <c r="N1050" s="45"/>
      <c r="O1050" s="45"/>
      <c r="P1050" s="45"/>
      <c r="Q1050" s="45"/>
      <c r="R1050" s="45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5"/>
    </row>
    <row r="1051">
      <c r="A1051" s="45"/>
      <c r="B1051" s="45"/>
      <c r="C1051" s="45"/>
      <c r="D1051" s="45"/>
      <c r="E1051" s="45"/>
      <c r="F1051" s="45"/>
      <c r="G1051" s="45"/>
      <c r="H1051" s="45"/>
      <c r="I1051" s="45"/>
      <c r="J1051" s="45"/>
      <c r="K1051" s="45"/>
      <c r="L1051" s="45"/>
      <c r="M1051" s="45"/>
      <c r="N1051" s="45"/>
      <c r="O1051" s="45"/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</row>
    <row r="1052">
      <c r="A1052" s="45"/>
      <c r="B1052" s="45"/>
      <c r="C1052" s="45"/>
      <c r="D1052" s="45"/>
      <c r="E1052" s="45"/>
      <c r="F1052" s="45"/>
      <c r="G1052" s="45"/>
      <c r="H1052" s="45"/>
      <c r="I1052" s="45"/>
      <c r="J1052" s="45"/>
      <c r="K1052" s="45"/>
      <c r="L1052" s="45"/>
      <c r="M1052" s="45"/>
      <c r="N1052" s="45"/>
      <c r="O1052" s="45"/>
      <c r="P1052" s="45"/>
      <c r="Q1052" s="45"/>
      <c r="R1052" s="45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5"/>
    </row>
    <row r="1053">
      <c r="A1053" s="45"/>
      <c r="B1053" s="45"/>
      <c r="C1053" s="45"/>
      <c r="D1053" s="45"/>
      <c r="E1053" s="45"/>
      <c r="F1053" s="45"/>
      <c r="G1053" s="45"/>
      <c r="H1053" s="45"/>
      <c r="I1053" s="45"/>
      <c r="J1053" s="45"/>
      <c r="K1053" s="45"/>
      <c r="L1053" s="45"/>
      <c r="M1053" s="45"/>
      <c r="N1053" s="45"/>
      <c r="O1053" s="45"/>
      <c r="P1053" s="45"/>
      <c r="Q1053" s="45"/>
      <c r="R1053" s="45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5"/>
    </row>
    <row r="1054">
      <c r="A1054" s="45"/>
      <c r="B1054" s="45"/>
      <c r="C1054" s="45"/>
      <c r="D1054" s="45"/>
      <c r="E1054" s="45"/>
      <c r="F1054" s="45"/>
      <c r="G1054" s="45"/>
      <c r="H1054" s="45"/>
      <c r="I1054" s="45"/>
      <c r="J1054" s="45"/>
      <c r="K1054" s="45"/>
      <c r="L1054" s="45"/>
      <c r="M1054" s="45"/>
      <c r="N1054" s="45"/>
      <c r="O1054" s="45"/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</row>
    <row r="1055">
      <c r="A1055" s="45"/>
      <c r="B1055" s="45"/>
      <c r="C1055" s="45"/>
      <c r="D1055" s="45"/>
      <c r="E1055" s="45"/>
      <c r="F1055" s="45"/>
      <c r="G1055" s="45"/>
      <c r="H1055" s="45"/>
      <c r="I1055" s="45"/>
      <c r="J1055" s="45"/>
      <c r="K1055" s="45"/>
      <c r="L1055" s="45"/>
      <c r="M1055" s="45"/>
      <c r="N1055" s="45"/>
      <c r="O1055" s="45"/>
      <c r="P1055" s="45"/>
      <c r="Q1055" s="45"/>
      <c r="R1055" s="45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5"/>
    </row>
    <row r="1056">
      <c r="A1056" s="45"/>
      <c r="B1056" s="45"/>
      <c r="C1056" s="45"/>
      <c r="D1056" s="45"/>
      <c r="E1056" s="45"/>
      <c r="F1056" s="45"/>
      <c r="G1056" s="45"/>
      <c r="H1056" s="45"/>
      <c r="I1056" s="45"/>
      <c r="J1056" s="45"/>
      <c r="K1056" s="45"/>
      <c r="L1056" s="45"/>
      <c r="M1056" s="45"/>
      <c r="N1056" s="45"/>
      <c r="O1056" s="45"/>
      <c r="P1056" s="45"/>
      <c r="Q1056" s="45"/>
      <c r="R1056" s="45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5"/>
    </row>
    <row r="1057">
      <c r="A1057" s="45"/>
      <c r="B1057" s="45"/>
      <c r="C1057" s="45"/>
      <c r="D1057" s="45"/>
      <c r="E1057" s="45"/>
      <c r="F1057" s="45"/>
      <c r="G1057" s="45"/>
      <c r="H1057" s="45"/>
      <c r="I1057" s="45"/>
      <c r="J1057" s="45"/>
      <c r="K1057" s="45"/>
      <c r="L1057" s="45"/>
      <c r="M1057" s="45"/>
      <c r="N1057" s="45"/>
      <c r="O1057" s="45"/>
      <c r="P1057" s="45"/>
      <c r="Q1057" s="45"/>
      <c r="R1057" s="45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</row>
    <row r="1058">
      <c r="A1058" s="45"/>
      <c r="B1058" s="45"/>
      <c r="C1058" s="45"/>
      <c r="D1058" s="45"/>
      <c r="E1058" s="45"/>
      <c r="F1058" s="45"/>
      <c r="G1058" s="45"/>
      <c r="H1058" s="45"/>
      <c r="I1058" s="45"/>
      <c r="J1058" s="45"/>
      <c r="K1058" s="45"/>
      <c r="L1058" s="45"/>
      <c r="M1058" s="45"/>
      <c r="N1058" s="45"/>
      <c r="O1058" s="45"/>
      <c r="P1058" s="45"/>
      <c r="Q1058" s="45"/>
      <c r="R1058" s="45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5"/>
    </row>
    <row r="1059">
      <c r="A1059" s="45"/>
      <c r="B1059" s="45"/>
      <c r="C1059" s="45"/>
      <c r="D1059" s="45"/>
      <c r="E1059" s="45"/>
      <c r="F1059" s="45"/>
      <c r="G1059" s="45"/>
      <c r="H1059" s="45"/>
      <c r="I1059" s="45"/>
      <c r="J1059" s="45"/>
      <c r="K1059" s="45"/>
      <c r="L1059" s="45"/>
      <c r="M1059" s="45"/>
      <c r="N1059" s="45"/>
      <c r="O1059" s="45"/>
      <c r="P1059" s="45"/>
      <c r="Q1059" s="45"/>
      <c r="R1059" s="45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5"/>
    </row>
    <row r="1060">
      <c r="A1060" s="45"/>
      <c r="B1060" s="45"/>
      <c r="C1060" s="45"/>
      <c r="D1060" s="45"/>
      <c r="E1060" s="45"/>
      <c r="F1060" s="45"/>
      <c r="G1060" s="45"/>
      <c r="H1060" s="45"/>
      <c r="I1060" s="45"/>
      <c r="J1060" s="45"/>
      <c r="K1060" s="45"/>
      <c r="L1060" s="45"/>
      <c r="M1060" s="45"/>
      <c r="N1060" s="45"/>
      <c r="O1060" s="45"/>
      <c r="P1060" s="45"/>
      <c r="Q1060" s="45"/>
      <c r="R1060" s="45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</row>
    <row r="1061">
      <c r="A1061" s="45"/>
      <c r="B1061" s="45"/>
      <c r="C1061" s="45"/>
      <c r="D1061" s="45"/>
      <c r="E1061" s="45"/>
      <c r="F1061" s="45"/>
      <c r="G1061" s="45"/>
      <c r="H1061" s="45"/>
      <c r="I1061" s="45"/>
      <c r="J1061" s="45"/>
      <c r="K1061" s="45"/>
      <c r="L1061" s="45"/>
      <c r="M1061" s="45"/>
      <c r="N1061" s="45"/>
      <c r="O1061" s="45"/>
      <c r="P1061" s="45"/>
      <c r="Q1061" s="45"/>
      <c r="R1061" s="45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</row>
    <row r="1062">
      <c r="A1062" s="45"/>
      <c r="B1062" s="45"/>
      <c r="C1062" s="45"/>
      <c r="D1062" s="45"/>
      <c r="E1062" s="45"/>
      <c r="F1062" s="45"/>
      <c r="G1062" s="45"/>
      <c r="H1062" s="45"/>
      <c r="I1062" s="45"/>
      <c r="J1062" s="45"/>
      <c r="K1062" s="45"/>
      <c r="L1062" s="45"/>
      <c r="M1062" s="45"/>
      <c r="N1062" s="45"/>
      <c r="O1062" s="45"/>
      <c r="P1062" s="45"/>
      <c r="Q1062" s="45"/>
      <c r="R1062" s="45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5"/>
    </row>
    <row r="1063">
      <c r="A1063" s="45"/>
      <c r="B1063" s="45"/>
      <c r="C1063" s="45"/>
      <c r="D1063" s="45"/>
      <c r="E1063" s="45"/>
      <c r="F1063" s="45"/>
      <c r="G1063" s="45"/>
      <c r="H1063" s="45"/>
      <c r="I1063" s="45"/>
      <c r="J1063" s="45"/>
      <c r="K1063" s="45"/>
      <c r="L1063" s="45"/>
      <c r="M1063" s="45"/>
      <c r="N1063" s="45"/>
      <c r="O1063" s="45"/>
      <c r="P1063" s="45"/>
      <c r="Q1063" s="45"/>
      <c r="R1063" s="45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5"/>
    </row>
    <row r="1064">
      <c r="A1064" s="45"/>
      <c r="B1064" s="45"/>
      <c r="C1064" s="45"/>
      <c r="D1064" s="45"/>
      <c r="E1064" s="45"/>
      <c r="F1064" s="45"/>
      <c r="G1064" s="45"/>
      <c r="H1064" s="45"/>
      <c r="I1064" s="45"/>
      <c r="J1064" s="45"/>
      <c r="K1064" s="45"/>
      <c r="L1064" s="45"/>
      <c r="M1064" s="45"/>
      <c r="N1064" s="45"/>
      <c r="O1064" s="45"/>
      <c r="P1064" s="45"/>
      <c r="Q1064" s="45"/>
      <c r="R1064" s="45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5"/>
    </row>
    <row r="1065">
      <c r="A1065" s="45"/>
      <c r="B1065" s="45"/>
      <c r="C1065" s="45"/>
      <c r="D1065" s="45"/>
      <c r="E1065" s="45"/>
      <c r="F1065" s="45"/>
      <c r="G1065" s="45"/>
      <c r="H1065" s="45"/>
      <c r="I1065" s="45"/>
      <c r="J1065" s="45"/>
      <c r="K1065" s="45"/>
      <c r="L1065" s="45"/>
      <c r="M1065" s="45"/>
      <c r="N1065" s="45"/>
      <c r="O1065" s="45"/>
      <c r="P1065" s="45"/>
      <c r="Q1065" s="45"/>
      <c r="R1065" s="45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5"/>
    </row>
    <row r="1066">
      <c r="A1066" s="45"/>
      <c r="B1066" s="45"/>
      <c r="C1066" s="45"/>
      <c r="D1066" s="45"/>
      <c r="E1066" s="45"/>
      <c r="F1066" s="45"/>
      <c r="G1066" s="45"/>
      <c r="H1066" s="45"/>
      <c r="I1066" s="45"/>
      <c r="J1066" s="45"/>
      <c r="K1066" s="45"/>
      <c r="L1066" s="45"/>
      <c r="M1066" s="45"/>
      <c r="N1066" s="45"/>
      <c r="O1066" s="45"/>
      <c r="P1066" s="45"/>
      <c r="Q1066" s="45"/>
      <c r="R1066" s="45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5"/>
    </row>
    <row r="1067">
      <c r="A1067" s="45"/>
      <c r="B1067" s="45"/>
      <c r="C1067" s="45"/>
      <c r="D1067" s="45"/>
      <c r="E1067" s="45"/>
      <c r="F1067" s="45"/>
      <c r="G1067" s="45"/>
      <c r="H1067" s="45"/>
      <c r="I1067" s="45"/>
      <c r="J1067" s="45"/>
      <c r="K1067" s="45"/>
      <c r="L1067" s="45"/>
      <c r="M1067" s="45"/>
      <c r="N1067" s="45"/>
      <c r="O1067" s="45"/>
      <c r="P1067" s="45"/>
      <c r="Q1067" s="45"/>
      <c r="R1067" s="45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5"/>
    </row>
    <row r="1068">
      <c r="A1068" s="45"/>
      <c r="B1068" s="45"/>
      <c r="C1068" s="45"/>
      <c r="D1068" s="45"/>
      <c r="E1068" s="45"/>
      <c r="F1068" s="45"/>
      <c r="G1068" s="45"/>
      <c r="H1068" s="45"/>
      <c r="I1068" s="45"/>
      <c r="J1068" s="45"/>
      <c r="K1068" s="45"/>
      <c r="L1068" s="45"/>
      <c r="M1068" s="45"/>
      <c r="N1068" s="45"/>
      <c r="O1068" s="45"/>
      <c r="P1068" s="45"/>
      <c r="Q1068" s="45"/>
      <c r="R1068" s="45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5"/>
    </row>
    <row r="1069">
      <c r="A1069" s="45"/>
      <c r="B1069" s="45"/>
      <c r="C1069" s="45"/>
      <c r="D1069" s="45"/>
      <c r="E1069" s="45"/>
      <c r="F1069" s="45"/>
      <c r="G1069" s="45"/>
      <c r="H1069" s="45"/>
      <c r="I1069" s="45"/>
      <c r="J1069" s="45"/>
      <c r="K1069" s="45"/>
      <c r="L1069" s="45"/>
      <c r="M1069" s="45"/>
      <c r="N1069" s="45"/>
      <c r="O1069" s="45"/>
      <c r="P1069" s="45"/>
      <c r="Q1069" s="45"/>
      <c r="R1069" s="45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5"/>
    </row>
    <row r="1070">
      <c r="A1070" s="45"/>
      <c r="B1070" s="45"/>
      <c r="C1070" s="45"/>
      <c r="D1070" s="45"/>
      <c r="E1070" s="45"/>
      <c r="F1070" s="45"/>
      <c r="G1070" s="45"/>
      <c r="H1070" s="45"/>
      <c r="I1070" s="45"/>
      <c r="J1070" s="45"/>
      <c r="K1070" s="45"/>
      <c r="L1070" s="45"/>
      <c r="M1070" s="45"/>
      <c r="N1070" s="45"/>
      <c r="O1070" s="45"/>
      <c r="P1070" s="45"/>
      <c r="Q1070" s="45"/>
      <c r="R1070" s="45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5"/>
    </row>
    <row r="1071">
      <c r="A1071" s="45"/>
      <c r="B1071" s="45"/>
      <c r="C1071" s="45"/>
      <c r="D1071" s="45"/>
      <c r="E1071" s="45"/>
      <c r="F1071" s="45"/>
      <c r="G1071" s="45"/>
      <c r="H1071" s="45"/>
      <c r="I1071" s="45"/>
      <c r="J1071" s="45"/>
      <c r="K1071" s="45"/>
      <c r="L1071" s="45"/>
      <c r="M1071" s="45"/>
      <c r="N1071" s="45"/>
      <c r="O1071" s="45"/>
      <c r="P1071" s="45"/>
      <c r="Q1071" s="45"/>
      <c r="R1071" s="45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5"/>
    </row>
    <row r="1072">
      <c r="A1072" s="45"/>
      <c r="B1072" s="45"/>
      <c r="C1072" s="45"/>
      <c r="D1072" s="45"/>
      <c r="E1072" s="45"/>
      <c r="F1072" s="45"/>
      <c r="G1072" s="45"/>
      <c r="H1072" s="45"/>
      <c r="I1072" s="45"/>
      <c r="J1072" s="45"/>
      <c r="K1072" s="45"/>
      <c r="L1072" s="45"/>
      <c r="M1072" s="45"/>
      <c r="N1072" s="45"/>
      <c r="O1072" s="45"/>
      <c r="P1072" s="45"/>
      <c r="Q1072" s="45"/>
      <c r="R1072" s="45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5"/>
    </row>
    <row r="1073">
      <c r="A1073" s="45"/>
      <c r="B1073" s="45"/>
      <c r="C1073" s="45"/>
      <c r="D1073" s="45"/>
      <c r="E1073" s="45"/>
      <c r="F1073" s="45"/>
      <c r="G1073" s="45"/>
      <c r="H1073" s="45"/>
      <c r="I1073" s="45"/>
      <c r="J1073" s="45"/>
      <c r="K1073" s="45"/>
      <c r="L1073" s="45"/>
      <c r="M1073" s="45"/>
      <c r="N1073" s="45"/>
      <c r="O1073" s="45"/>
      <c r="P1073" s="45"/>
      <c r="Q1073" s="45"/>
      <c r="R1073" s="45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5"/>
    </row>
    <row r="1074">
      <c r="A1074" s="45"/>
      <c r="B1074" s="45"/>
      <c r="C1074" s="45"/>
      <c r="D1074" s="45"/>
      <c r="E1074" s="45"/>
      <c r="F1074" s="45"/>
      <c r="G1074" s="45"/>
      <c r="H1074" s="45"/>
      <c r="I1074" s="45"/>
      <c r="J1074" s="45"/>
      <c r="K1074" s="45"/>
      <c r="L1074" s="45"/>
      <c r="M1074" s="45"/>
      <c r="N1074" s="45"/>
      <c r="O1074" s="45"/>
      <c r="P1074" s="45"/>
      <c r="Q1074" s="45"/>
      <c r="R1074" s="45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5"/>
    </row>
    <row r="1075">
      <c r="A1075" s="45"/>
      <c r="B1075" s="45"/>
      <c r="C1075" s="45"/>
      <c r="D1075" s="45"/>
      <c r="E1075" s="45"/>
      <c r="F1075" s="45"/>
      <c r="G1075" s="45"/>
      <c r="H1075" s="45"/>
      <c r="I1075" s="45"/>
      <c r="J1075" s="45"/>
      <c r="K1075" s="45"/>
      <c r="L1075" s="45"/>
      <c r="M1075" s="45"/>
      <c r="N1075" s="45"/>
      <c r="O1075" s="45"/>
      <c r="P1075" s="45"/>
      <c r="Q1075" s="45"/>
      <c r="R1075" s="45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5"/>
    </row>
    <row r="1076">
      <c r="A1076" s="45"/>
      <c r="B1076" s="45"/>
      <c r="C1076" s="45"/>
      <c r="D1076" s="45"/>
      <c r="E1076" s="45"/>
      <c r="F1076" s="45"/>
      <c r="G1076" s="45"/>
      <c r="H1076" s="45"/>
      <c r="I1076" s="45"/>
      <c r="J1076" s="45"/>
      <c r="K1076" s="45"/>
      <c r="L1076" s="45"/>
      <c r="M1076" s="45"/>
      <c r="N1076" s="45"/>
      <c r="O1076" s="45"/>
      <c r="P1076" s="45"/>
      <c r="Q1076" s="45"/>
      <c r="R1076" s="45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5"/>
    </row>
    <row r="1077">
      <c r="A1077" s="45"/>
      <c r="B1077" s="45"/>
      <c r="C1077" s="45"/>
      <c r="D1077" s="45"/>
      <c r="E1077" s="45"/>
      <c r="F1077" s="45"/>
      <c r="G1077" s="45"/>
      <c r="H1077" s="45"/>
      <c r="I1077" s="45"/>
      <c r="J1077" s="45"/>
      <c r="K1077" s="45"/>
      <c r="L1077" s="45"/>
      <c r="M1077" s="45"/>
      <c r="N1077" s="45"/>
      <c r="O1077" s="45"/>
      <c r="P1077" s="45"/>
      <c r="Q1077" s="45"/>
      <c r="R1077" s="45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5"/>
    </row>
    <row r="1078">
      <c r="A1078" s="45"/>
      <c r="B1078" s="45"/>
      <c r="C1078" s="45"/>
      <c r="D1078" s="45"/>
      <c r="E1078" s="45"/>
      <c r="F1078" s="45"/>
      <c r="G1078" s="45"/>
      <c r="H1078" s="45"/>
      <c r="I1078" s="45"/>
      <c r="J1078" s="45"/>
      <c r="K1078" s="45"/>
      <c r="L1078" s="45"/>
      <c r="M1078" s="45"/>
      <c r="N1078" s="45"/>
      <c r="O1078" s="45"/>
      <c r="P1078" s="45"/>
      <c r="Q1078" s="45"/>
      <c r="R1078" s="45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5"/>
    </row>
    <row r="1079">
      <c r="A1079" s="45"/>
      <c r="B1079" s="45"/>
      <c r="C1079" s="45"/>
      <c r="D1079" s="45"/>
      <c r="E1079" s="45"/>
      <c r="F1079" s="45"/>
      <c r="G1079" s="45"/>
      <c r="H1079" s="45"/>
      <c r="I1079" s="45"/>
      <c r="J1079" s="45"/>
      <c r="K1079" s="45"/>
      <c r="L1079" s="45"/>
      <c r="M1079" s="45"/>
      <c r="N1079" s="45"/>
      <c r="O1079" s="45"/>
      <c r="P1079" s="45"/>
      <c r="Q1079" s="45"/>
      <c r="R1079" s="45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5"/>
    </row>
    <row r="1080">
      <c r="A1080" s="45"/>
      <c r="B1080" s="45"/>
      <c r="C1080" s="45"/>
      <c r="D1080" s="45"/>
      <c r="E1080" s="45"/>
      <c r="F1080" s="45"/>
      <c r="G1080" s="45"/>
      <c r="H1080" s="45"/>
      <c r="I1080" s="45"/>
      <c r="J1080" s="45"/>
      <c r="K1080" s="45"/>
      <c r="L1080" s="45"/>
      <c r="M1080" s="45"/>
      <c r="N1080" s="45"/>
      <c r="O1080" s="45"/>
      <c r="P1080" s="45"/>
      <c r="Q1080" s="45"/>
      <c r="R1080" s="45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5"/>
    </row>
    <row r="1081">
      <c r="A1081" s="45"/>
      <c r="B1081" s="45"/>
      <c r="C1081" s="45"/>
      <c r="D1081" s="45"/>
      <c r="E1081" s="45"/>
      <c r="F1081" s="45"/>
      <c r="G1081" s="45"/>
      <c r="H1081" s="45"/>
      <c r="I1081" s="45"/>
      <c r="J1081" s="45"/>
      <c r="K1081" s="45"/>
      <c r="L1081" s="45"/>
      <c r="M1081" s="45"/>
      <c r="N1081" s="45"/>
      <c r="O1081" s="45"/>
      <c r="P1081" s="45"/>
      <c r="Q1081" s="45"/>
      <c r="R1081" s="45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5"/>
    </row>
    <row r="1082">
      <c r="A1082" s="45"/>
      <c r="B1082" s="45"/>
      <c r="C1082" s="45"/>
      <c r="D1082" s="45"/>
      <c r="E1082" s="45"/>
      <c r="F1082" s="45"/>
      <c r="G1082" s="45"/>
      <c r="H1082" s="45"/>
      <c r="I1082" s="45"/>
      <c r="J1082" s="45"/>
      <c r="K1082" s="45"/>
      <c r="L1082" s="45"/>
      <c r="M1082" s="45"/>
      <c r="N1082" s="45"/>
      <c r="O1082" s="45"/>
      <c r="P1082" s="45"/>
      <c r="Q1082" s="45"/>
      <c r="R1082" s="45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</row>
    <row r="1083">
      <c r="A1083" s="45"/>
      <c r="B1083" s="45"/>
      <c r="C1083" s="45"/>
      <c r="D1083" s="45"/>
      <c r="E1083" s="45"/>
      <c r="F1083" s="45"/>
      <c r="G1083" s="45"/>
      <c r="H1083" s="45"/>
      <c r="I1083" s="45"/>
      <c r="J1083" s="45"/>
      <c r="K1083" s="45"/>
      <c r="L1083" s="45"/>
      <c r="M1083" s="45"/>
      <c r="N1083" s="45"/>
      <c r="O1083" s="45"/>
      <c r="P1083" s="45"/>
      <c r="Q1083" s="45"/>
      <c r="R1083" s="45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5"/>
    </row>
    <row r="1084">
      <c r="A1084" s="45"/>
      <c r="B1084" s="45"/>
      <c r="C1084" s="45"/>
      <c r="D1084" s="45"/>
      <c r="E1084" s="45"/>
      <c r="F1084" s="45"/>
      <c r="G1084" s="45"/>
      <c r="H1084" s="45"/>
      <c r="I1084" s="45"/>
      <c r="J1084" s="45"/>
      <c r="K1084" s="45"/>
      <c r="L1084" s="45"/>
      <c r="M1084" s="45"/>
      <c r="N1084" s="45"/>
      <c r="O1084" s="45"/>
      <c r="P1084" s="45"/>
      <c r="Q1084" s="45"/>
      <c r="R1084" s="45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5"/>
    </row>
    <row r="1085">
      <c r="A1085" s="45"/>
      <c r="B1085" s="45"/>
      <c r="C1085" s="45"/>
      <c r="D1085" s="45"/>
      <c r="E1085" s="45"/>
      <c r="F1085" s="45"/>
      <c r="G1085" s="45"/>
      <c r="H1085" s="45"/>
      <c r="I1085" s="45"/>
      <c r="J1085" s="45"/>
      <c r="K1085" s="45"/>
      <c r="L1085" s="45"/>
      <c r="M1085" s="45"/>
      <c r="N1085" s="45"/>
      <c r="O1085" s="45"/>
      <c r="P1085" s="45"/>
      <c r="Q1085" s="45"/>
      <c r="R1085" s="45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5"/>
    </row>
    <row r="1086">
      <c r="A1086" s="45"/>
      <c r="B1086" s="45"/>
      <c r="C1086" s="45"/>
      <c r="D1086" s="45"/>
      <c r="E1086" s="45"/>
      <c r="F1086" s="45"/>
      <c r="G1086" s="45"/>
      <c r="H1086" s="45"/>
      <c r="I1086" s="45"/>
      <c r="J1086" s="45"/>
      <c r="K1086" s="45"/>
      <c r="L1086" s="45"/>
      <c r="M1086" s="45"/>
      <c r="N1086" s="45"/>
      <c r="O1086" s="45"/>
      <c r="P1086" s="45"/>
      <c r="Q1086" s="45"/>
      <c r="R1086" s="45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</row>
    <row r="1087">
      <c r="A1087" s="45"/>
      <c r="B1087" s="45"/>
      <c r="C1087" s="45"/>
      <c r="D1087" s="45"/>
      <c r="E1087" s="45"/>
      <c r="F1087" s="45"/>
      <c r="G1087" s="45"/>
      <c r="H1087" s="45"/>
      <c r="I1087" s="45"/>
      <c r="J1087" s="45"/>
      <c r="K1087" s="45"/>
      <c r="L1087" s="45"/>
      <c r="M1087" s="45"/>
      <c r="N1087" s="45"/>
      <c r="O1087" s="45"/>
      <c r="P1087" s="45"/>
      <c r="Q1087" s="45"/>
      <c r="R1087" s="45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5"/>
    </row>
    <row r="1088">
      <c r="A1088" s="45"/>
      <c r="B1088" s="45"/>
      <c r="C1088" s="45"/>
      <c r="D1088" s="45"/>
      <c r="E1088" s="45"/>
      <c r="F1088" s="45"/>
      <c r="G1088" s="45"/>
      <c r="H1088" s="45"/>
      <c r="I1088" s="45"/>
      <c r="J1088" s="45"/>
      <c r="K1088" s="45"/>
      <c r="L1088" s="45"/>
      <c r="M1088" s="45"/>
      <c r="N1088" s="45"/>
      <c r="O1088" s="45"/>
      <c r="P1088" s="45"/>
      <c r="Q1088" s="45"/>
      <c r="R1088" s="45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5"/>
    </row>
    <row r="1089">
      <c r="A1089" s="45"/>
      <c r="B1089" s="45"/>
      <c r="C1089" s="45"/>
      <c r="D1089" s="45"/>
      <c r="E1089" s="45"/>
      <c r="F1089" s="45"/>
      <c r="G1089" s="45"/>
      <c r="H1089" s="45"/>
      <c r="I1089" s="45"/>
      <c r="J1089" s="45"/>
      <c r="K1089" s="45"/>
      <c r="L1089" s="45"/>
      <c r="M1089" s="45"/>
      <c r="N1089" s="45"/>
      <c r="O1089" s="45"/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</row>
    <row r="1090">
      <c r="A1090" s="45"/>
      <c r="B1090" s="45"/>
      <c r="C1090" s="45"/>
      <c r="D1090" s="45"/>
      <c r="E1090" s="45"/>
      <c r="F1090" s="45"/>
      <c r="G1090" s="45"/>
      <c r="H1090" s="45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5"/>
    </row>
    <row r="1091">
      <c r="A1091" s="45"/>
      <c r="B1091" s="45"/>
      <c r="C1091" s="45"/>
      <c r="D1091" s="45"/>
      <c r="E1091" s="45"/>
      <c r="F1091" s="45"/>
      <c r="G1091" s="45"/>
      <c r="H1091" s="45"/>
      <c r="I1091" s="45"/>
      <c r="J1091" s="45"/>
      <c r="K1091" s="45"/>
      <c r="L1091" s="45"/>
      <c r="M1091" s="45"/>
      <c r="N1091" s="45"/>
      <c r="O1091" s="45"/>
      <c r="P1091" s="45"/>
      <c r="Q1091" s="45"/>
      <c r="R1091" s="45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5"/>
    </row>
    <row r="1092">
      <c r="A1092" s="45"/>
      <c r="B1092" s="45"/>
      <c r="C1092" s="45"/>
      <c r="D1092" s="45"/>
      <c r="E1092" s="45"/>
      <c r="F1092" s="45"/>
      <c r="G1092" s="45"/>
      <c r="H1092" s="45"/>
      <c r="I1092" s="45"/>
      <c r="J1092" s="45"/>
      <c r="K1092" s="45"/>
      <c r="L1092" s="45"/>
      <c r="M1092" s="45"/>
      <c r="N1092" s="45"/>
      <c r="O1092" s="45"/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</row>
    <row r="1093">
      <c r="A1093" s="45"/>
      <c r="B1093" s="45"/>
      <c r="C1093" s="45"/>
      <c r="D1093" s="45"/>
      <c r="E1093" s="45"/>
      <c r="F1093" s="45"/>
      <c r="G1093" s="45"/>
      <c r="H1093" s="45"/>
      <c r="I1093" s="45"/>
      <c r="J1093" s="45"/>
      <c r="K1093" s="45"/>
      <c r="L1093" s="45"/>
      <c r="M1093" s="45"/>
      <c r="N1093" s="45"/>
      <c r="O1093" s="45"/>
      <c r="P1093" s="45"/>
      <c r="Q1093" s="45"/>
      <c r="R1093" s="45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5"/>
    </row>
    <row r="1094">
      <c r="A1094" s="45"/>
      <c r="B1094" s="45"/>
      <c r="C1094" s="45"/>
      <c r="D1094" s="45"/>
      <c r="E1094" s="45"/>
      <c r="F1094" s="45"/>
      <c r="G1094" s="45"/>
      <c r="H1094" s="45"/>
      <c r="I1094" s="45"/>
      <c r="J1094" s="45"/>
      <c r="K1094" s="45"/>
      <c r="L1094" s="45"/>
      <c r="M1094" s="45"/>
      <c r="N1094" s="45"/>
      <c r="O1094" s="45"/>
      <c r="P1094" s="45"/>
      <c r="Q1094" s="45"/>
      <c r="R1094" s="45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5"/>
    </row>
    <row r="1095">
      <c r="A1095" s="45"/>
      <c r="B1095" s="45"/>
      <c r="C1095" s="45"/>
      <c r="D1095" s="45"/>
      <c r="E1095" s="45"/>
      <c r="F1095" s="45"/>
      <c r="G1095" s="45"/>
      <c r="H1095" s="45"/>
      <c r="I1095" s="45"/>
      <c r="J1095" s="45"/>
      <c r="K1095" s="45"/>
      <c r="L1095" s="45"/>
      <c r="M1095" s="45"/>
      <c r="N1095" s="45"/>
      <c r="O1095" s="45"/>
      <c r="P1095" s="45"/>
      <c r="Q1095" s="45"/>
      <c r="R1095" s="45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5"/>
    </row>
    <row r="1096">
      <c r="A1096" s="45"/>
      <c r="B1096" s="45"/>
      <c r="C1096" s="45"/>
      <c r="D1096" s="45"/>
      <c r="E1096" s="45"/>
      <c r="F1096" s="45"/>
      <c r="G1096" s="45"/>
      <c r="H1096" s="45"/>
      <c r="I1096" s="45"/>
      <c r="J1096" s="45"/>
      <c r="K1096" s="45"/>
      <c r="L1096" s="45"/>
      <c r="M1096" s="45"/>
      <c r="N1096" s="45"/>
      <c r="O1096" s="45"/>
      <c r="P1096" s="45"/>
      <c r="Q1096" s="45"/>
      <c r="R1096" s="45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5"/>
    </row>
    <row r="1097">
      <c r="A1097" s="45"/>
      <c r="B1097" s="45"/>
      <c r="C1097" s="45"/>
      <c r="D1097" s="45"/>
      <c r="E1097" s="45"/>
      <c r="F1097" s="45"/>
      <c r="G1097" s="45"/>
      <c r="H1097" s="45"/>
      <c r="I1097" s="45"/>
      <c r="J1097" s="45"/>
      <c r="K1097" s="45"/>
      <c r="L1097" s="45"/>
      <c r="M1097" s="45"/>
      <c r="N1097" s="45"/>
      <c r="O1097" s="45"/>
      <c r="P1097" s="45"/>
      <c r="Q1097" s="45"/>
      <c r="R1097" s="45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5"/>
    </row>
    <row r="1098">
      <c r="A1098" s="45"/>
      <c r="B1098" s="45"/>
      <c r="C1098" s="45"/>
      <c r="D1098" s="45"/>
      <c r="E1098" s="45"/>
      <c r="F1098" s="45"/>
      <c r="G1098" s="45"/>
      <c r="H1098" s="45"/>
      <c r="I1098" s="45"/>
      <c r="J1098" s="45"/>
      <c r="K1098" s="45"/>
      <c r="L1098" s="45"/>
      <c r="M1098" s="45"/>
      <c r="N1098" s="45"/>
      <c r="O1098" s="45"/>
      <c r="P1098" s="45"/>
      <c r="Q1098" s="45"/>
      <c r="R1098" s="45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5"/>
    </row>
    <row r="1099">
      <c r="A1099" s="45"/>
      <c r="B1099" s="45"/>
      <c r="C1099" s="45"/>
      <c r="D1099" s="45"/>
      <c r="E1099" s="45"/>
      <c r="F1099" s="45"/>
      <c r="G1099" s="45"/>
      <c r="H1099" s="45"/>
      <c r="I1099" s="45"/>
      <c r="J1099" s="45"/>
      <c r="K1099" s="45"/>
      <c r="L1099" s="45"/>
      <c r="M1099" s="45"/>
      <c r="N1099" s="45"/>
      <c r="O1099" s="45"/>
      <c r="P1099" s="45"/>
      <c r="Q1099" s="45"/>
      <c r="R1099" s="45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5"/>
    </row>
    <row r="1100">
      <c r="A1100" s="45"/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</row>
    <row r="1101">
      <c r="A1101" s="45"/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</row>
    <row r="1102">
      <c r="A1102" s="45"/>
      <c r="B1102" s="45"/>
      <c r="C1102" s="45"/>
      <c r="D1102" s="45"/>
      <c r="E1102" s="45"/>
      <c r="F1102" s="45"/>
      <c r="G1102" s="45"/>
      <c r="H1102" s="45"/>
      <c r="I1102" s="45"/>
      <c r="J1102" s="45"/>
      <c r="K1102" s="45"/>
      <c r="L1102" s="45"/>
      <c r="M1102" s="45"/>
      <c r="N1102" s="45"/>
      <c r="O1102" s="45"/>
      <c r="P1102" s="45"/>
      <c r="Q1102" s="45"/>
      <c r="R1102" s="45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5"/>
    </row>
    <row r="1103">
      <c r="A1103" s="45"/>
      <c r="B1103" s="45"/>
      <c r="C1103" s="45"/>
      <c r="D1103" s="45"/>
      <c r="E1103" s="45"/>
      <c r="F1103" s="45"/>
      <c r="G1103" s="45"/>
      <c r="H1103" s="45"/>
      <c r="I1103" s="45"/>
      <c r="J1103" s="45"/>
      <c r="K1103" s="45"/>
      <c r="L1103" s="45"/>
      <c r="M1103" s="45"/>
      <c r="N1103" s="45"/>
      <c r="O1103" s="45"/>
      <c r="P1103" s="45"/>
      <c r="Q1103" s="45"/>
      <c r="R1103" s="45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5"/>
    </row>
    <row r="1104">
      <c r="A1104" s="45"/>
      <c r="B1104" s="45"/>
      <c r="C1104" s="45"/>
      <c r="D1104" s="45"/>
      <c r="E1104" s="45"/>
      <c r="F1104" s="45"/>
      <c r="G1104" s="45"/>
      <c r="H1104" s="45"/>
      <c r="I1104" s="45"/>
      <c r="J1104" s="45"/>
      <c r="K1104" s="45"/>
      <c r="L1104" s="45"/>
      <c r="M1104" s="45"/>
      <c r="N1104" s="45"/>
      <c r="O1104" s="45"/>
      <c r="P1104" s="45"/>
      <c r="Q1104" s="45"/>
      <c r="R1104" s="45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5"/>
    </row>
    <row r="1105">
      <c r="A1105" s="4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5"/>
    </row>
    <row r="1106">
      <c r="A1106" s="45"/>
      <c r="B1106" s="45"/>
      <c r="C1106" s="45"/>
      <c r="D1106" s="45"/>
      <c r="E1106" s="45"/>
      <c r="F1106" s="45"/>
      <c r="G1106" s="45"/>
      <c r="H1106" s="45"/>
      <c r="I1106" s="45"/>
      <c r="J1106" s="45"/>
      <c r="K1106" s="45"/>
      <c r="L1106" s="45"/>
      <c r="M1106" s="45"/>
      <c r="N1106" s="45"/>
      <c r="O1106" s="45"/>
      <c r="P1106" s="45"/>
      <c r="Q1106" s="45"/>
      <c r="R1106" s="45"/>
      <c r="S1106" s="45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5"/>
    </row>
    <row r="1107">
      <c r="A1107" s="45"/>
      <c r="B1107" s="45"/>
      <c r="C1107" s="45"/>
      <c r="D1107" s="45"/>
      <c r="E1107" s="45"/>
      <c r="F1107" s="45"/>
      <c r="G1107" s="45"/>
      <c r="H1107" s="45"/>
      <c r="I1107" s="45"/>
      <c r="J1107" s="45"/>
      <c r="K1107" s="45"/>
      <c r="L1107" s="45"/>
      <c r="M1107" s="45"/>
      <c r="N1107" s="45"/>
      <c r="O1107" s="45"/>
      <c r="P1107" s="45"/>
      <c r="Q1107" s="45"/>
      <c r="R1107" s="45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5"/>
    </row>
    <row r="1108">
      <c r="A1108" s="45"/>
      <c r="B1108" s="45"/>
      <c r="C1108" s="45"/>
      <c r="D1108" s="45"/>
      <c r="E1108" s="45"/>
      <c r="F1108" s="45"/>
      <c r="G1108" s="45"/>
      <c r="H1108" s="45"/>
      <c r="I1108" s="45"/>
      <c r="J1108" s="45"/>
      <c r="K1108" s="45"/>
      <c r="L1108" s="45"/>
      <c r="M1108" s="45"/>
      <c r="N1108" s="45"/>
      <c r="O1108" s="45"/>
      <c r="P1108" s="45"/>
      <c r="Q1108" s="45"/>
      <c r="R1108" s="45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5"/>
    </row>
    <row r="1109">
      <c r="A1109" s="45"/>
      <c r="B1109" s="45"/>
      <c r="C1109" s="45"/>
      <c r="D1109" s="45"/>
      <c r="E1109" s="45"/>
      <c r="F1109" s="45"/>
      <c r="G1109" s="45"/>
      <c r="H1109" s="45"/>
      <c r="I1109" s="45"/>
      <c r="J1109" s="45"/>
      <c r="K1109" s="45"/>
      <c r="L1109" s="45"/>
      <c r="M1109" s="45"/>
      <c r="N1109" s="45"/>
      <c r="O1109" s="45"/>
      <c r="P1109" s="45"/>
      <c r="Q1109" s="45"/>
      <c r="R1109" s="45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5"/>
    </row>
    <row r="1110">
      <c r="A1110" s="45"/>
      <c r="B1110" s="45"/>
      <c r="C1110" s="45"/>
      <c r="D1110" s="45"/>
      <c r="E1110" s="45"/>
      <c r="F1110" s="45"/>
      <c r="G1110" s="45"/>
      <c r="H1110" s="45"/>
      <c r="I1110" s="45"/>
      <c r="J1110" s="45"/>
      <c r="K1110" s="45"/>
      <c r="L1110" s="45"/>
      <c r="M1110" s="45"/>
      <c r="N1110" s="45"/>
      <c r="O1110" s="45"/>
      <c r="P1110" s="45"/>
      <c r="Q1110" s="45"/>
      <c r="R1110" s="45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5"/>
    </row>
    <row r="1111">
      <c r="A1111" s="45"/>
      <c r="B1111" s="45"/>
      <c r="C1111" s="45"/>
      <c r="D1111" s="45"/>
      <c r="E1111" s="45"/>
      <c r="F1111" s="45"/>
      <c r="G1111" s="45"/>
      <c r="H1111" s="45"/>
      <c r="I1111" s="45"/>
      <c r="J1111" s="45"/>
      <c r="K1111" s="45"/>
      <c r="L1111" s="45"/>
      <c r="M1111" s="45"/>
      <c r="N1111" s="45"/>
      <c r="O1111" s="45"/>
      <c r="P1111" s="45"/>
      <c r="Q1111" s="45"/>
      <c r="R1111" s="45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</row>
    <row r="1112">
      <c r="A1112" s="45"/>
      <c r="B1112" s="45"/>
      <c r="C1112" s="45"/>
      <c r="D1112" s="45"/>
      <c r="E1112" s="45"/>
      <c r="F1112" s="45"/>
      <c r="G1112" s="45"/>
      <c r="H1112" s="45"/>
      <c r="I1112" s="45"/>
      <c r="J1112" s="45"/>
      <c r="K1112" s="45"/>
      <c r="L1112" s="45"/>
      <c r="M1112" s="45"/>
      <c r="N1112" s="45"/>
      <c r="O1112" s="45"/>
      <c r="P1112" s="45"/>
      <c r="Q1112" s="45"/>
      <c r="R1112" s="45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</row>
    <row r="1113">
      <c r="A1113" s="45"/>
      <c r="B1113" s="45"/>
      <c r="C1113" s="45"/>
      <c r="D1113" s="45"/>
      <c r="E1113" s="45"/>
      <c r="F1113" s="45"/>
      <c r="G1113" s="45"/>
      <c r="H1113" s="45"/>
      <c r="I1113" s="45"/>
      <c r="J1113" s="45"/>
      <c r="K1113" s="45"/>
      <c r="L1113" s="45"/>
      <c r="M1113" s="45"/>
      <c r="N1113" s="45"/>
      <c r="O1113" s="45"/>
      <c r="P1113" s="45"/>
      <c r="Q1113" s="45"/>
      <c r="R1113" s="45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5"/>
    </row>
    <row r="1114">
      <c r="A1114" s="45"/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</row>
    <row r="1115">
      <c r="A1115" s="45"/>
      <c r="B1115" s="45"/>
      <c r="C1115" s="45"/>
      <c r="D1115" s="45"/>
      <c r="E1115" s="45"/>
      <c r="F1115" s="45"/>
      <c r="G1115" s="45"/>
      <c r="H1115" s="45"/>
      <c r="I1115" s="45"/>
      <c r="J1115" s="45"/>
      <c r="K1115" s="45"/>
      <c r="L1115" s="45"/>
      <c r="M1115" s="45"/>
      <c r="N1115" s="45"/>
      <c r="O1115" s="45"/>
      <c r="P1115" s="45"/>
      <c r="Q1115" s="45"/>
      <c r="R1115" s="45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5"/>
    </row>
    <row r="1116">
      <c r="A1116" s="45"/>
      <c r="B1116" s="45"/>
      <c r="C1116" s="45"/>
      <c r="D1116" s="45"/>
      <c r="E1116" s="45"/>
      <c r="F1116" s="45"/>
      <c r="G1116" s="45"/>
      <c r="H1116" s="45"/>
      <c r="I1116" s="45"/>
      <c r="J1116" s="45"/>
      <c r="K1116" s="45"/>
      <c r="L1116" s="45"/>
      <c r="M1116" s="45"/>
      <c r="N1116" s="45"/>
      <c r="O1116" s="45"/>
      <c r="P1116" s="45"/>
      <c r="Q1116" s="45"/>
      <c r="R1116" s="45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5"/>
    </row>
    <row r="1117">
      <c r="A1117" s="45"/>
      <c r="B1117" s="45"/>
      <c r="C1117" s="45"/>
      <c r="D1117" s="45"/>
      <c r="E1117" s="45"/>
      <c r="F1117" s="45"/>
      <c r="G1117" s="45"/>
      <c r="H1117" s="45"/>
      <c r="I1117" s="45"/>
      <c r="J1117" s="45"/>
      <c r="K1117" s="45"/>
      <c r="L1117" s="45"/>
      <c r="M1117" s="45"/>
      <c r="N1117" s="45"/>
      <c r="O1117" s="45"/>
      <c r="P1117" s="45"/>
      <c r="Q1117" s="45"/>
      <c r="R1117" s="45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5"/>
    </row>
    <row r="1118">
      <c r="A1118" s="45"/>
      <c r="B1118" s="45"/>
      <c r="C1118" s="45"/>
      <c r="D1118" s="45"/>
      <c r="E1118" s="45"/>
      <c r="F1118" s="45"/>
      <c r="G1118" s="45"/>
      <c r="H1118" s="45"/>
      <c r="I1118" s="45"/>
      <c r="J1118" s="45"/>
      <c r="K1118" s="45"/>
      <c r="L1118" s="45"/>
      <c r="M1118" s="45"/>
      <c r="N1118" s="45"/>
      <c r="O1118" s="45"/>
      <c r="P1118" s="45"/>
      <c r="Q1118" s="45"/>
      <c r="R1118" s="45"/>
      <c r="S1118" s="45"/>
      <c r="T1118" s="45"/>
      <c r="U1118" s="45"/>
      <c r="V1118" s="45"/>
      <c r="W1118" s="45"/>
      <c r="X1118" s="45"/>
      <c r="Y1118" s="45"/>
      <c r="Z1118" s="45"/>
      <c r="AA1118" s="45"/>
      <c r="AB1118" s="45"/>
      <c r="AC1118" s="45"/>
      <c r="AD1118" s="45"/>
    </row>
    <row r="1119">
      <c r="A1119" s="45"/>
      <c r="B1119" s="45"/>
      <c r="C1119" s="45"/>
      <c r="D1119" s="45"/>
      <c r="E1119" s="45"/>
      <c r="F1119" s="45"/>
      <c r="G1119" s="45"/>
      <c r="H1119" s="45"/>
      <c r="I1119" s="45"/>
      <c r="J1119" s="45"/>
      <c r="K1119" s="45"/>
      <c r="L1119" s="45"/>
      <c r="M1119" s="45"/>
      <c r="N1119" s="45"/>
      <c r="O1119" s="45"/>
      <c r="P1119" s="45"/>
      <c r="Q1119" s="45"/>
      <c r="R1119" s="45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5"/>
    </row>
    <row r="1120">
      <c r="A1120" s="45"/>
      <c r="B1120" s="45"/>
      <c r="C1120" s="45"/>
      <c r="D1120" s="45"/>
      <c r="E1120" s="45"/>
      <c r="F1120" s="45"/>
      <c r="G1120" s="45"/>
      <c r="H1120" s="45"/>
      <c r="I1120" s="45"/>
      <c r="J1120" s="45"/>
      <c r="K1120" s="45"/>
      <c r="L1120" s="45"/>
      <c r="M1120" s="45"/>
      <c r="N1120" s="45"/>
      <c r="O1120" s="45"/>
      <c r="P1120" s="45"/>
      <c r="Q1120" s="45"/>
      <c r="R1120" s="45"/>
      <c r="S1120" s="45"/>
      <c r="T1120" s="45"/>
      <c r="U1120" s="45"/>
      <c r="V1120" s="45"/>
      <c r="W1120" s="45"/>
      <c r="X1120" s="45"/>
      <c r="Y1120" s="45"/>
      <c r="Z1120" s="45"/>
      <c r="AA1120" s="45"/>
      <c r="AB1120" s="45"/>
      <c r="AC1120" s="45"/>
      <c r="AD1120" s="45"/>
    </row>
    <row r="1121">
      <c r="A1121" s="45"/>
      <c r="B1121" s="45"/>
      <c r="C1121" s="45"/>
      <c r="D1121" s="45"/>
      <c r="E1121" s="45"/>
      <c r="F1121" s="45"/>
      <c r="G1121" s="45"/>
      <c r="H1121" s="45"/>
      <c r="I1121" s="45"/>
      <c r="J1121" s="45"/>
      <c r="K1121" s="45"/>
      <c r="L1121" s="45"/>
      <c r="M1121" s="45"/>
      <c r="N1121" s="45"/>
      <c r="O1121" s="45"/>
      <c r="P1121" s="45"/>
      <c r="Q1121" s="45"/>
      <c r="R1121" s="45"/>
      <c r="S1121" s="45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5"/>
    </row>
    <row r="1122">
      <c r="A1122" s="45"/>
      <c r="B1122" s="45"/>
      <c r="C1122" s="45"/>
      <c r="D1122" s="45"/>
      <c r="E1122" s="45"/>
      <c r="F1122" s="45"/>
      <c r="G1122" s="45"/>
      <c r="H1122" s="45"/>
      <c r="I1122" s="45"/>
      <c r="J1122" s="45"/>
      <c r="K1122" s="45"/>
      <c r="L1122" s="45"/>
      <c r="M1122" s="45"/>
      <c r="N1122" s="45"/>
      <c r="O1122" s="45"/>
      <c r="P1122" s="45"/>
      <c r="Q1122" s="45"/>
      <c r="R1122" s="45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5"/>
    </row>
    <row r="1123">
      <c r="A1123" s="45"/>
      <c r="B1123" s="45"/>
      <c r="C1123" s="45"/>
      <c r="D1123" s="45"/>
      <c r="E1123" s="45"/>
      <c r="F1123" s="45"/>
      <c r="G1123" s="45"/>
      <c r="H1123" s="45"/>
      <c r="I1123" s="45"/>
      <c r="J1123" s="45"/>
      <c r="K1123" s="45"/>
      <c r="L1123" s="45"/>
      <c r="M1123" s="45"/>
      <c r="N1123" s="45"/>
      <c r="O1123" s="45"/>
      <c r="P1123" s="45"/>
      <c r="Q1123" s="45"/>
      <c r="R1123" s="45"/>
      <c r="S1123" s="45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5"/>
    </row>
    <row r="1124">
      <c r="A1124" s="45"/>
      <c r="B1124" s="45"/>
      <c r="C1124" s="45"/>
      <c r="D1124" s="45"/>
      <c r="E1124" s="45"/>
      <c r="F1124" s="45"/>
      <c r="G1124" s="45"/>
      <c r="H1124" s="45"/>
      <c r="I1124" s="45"/>
      <c r="J1124" s="45"/>
      <c r="K1124" s="45"/>
      <c r="L1124" s="45"/>
      <c r="M1124" s="45"/>
      <c r="N1124" s="45"/>
      <c r="O1124" s="45"/>
      <c r="P1124" s="45"/>
      <c r="Q1124" s="45"/>
      <c r="R1124" s="45"/>
      <c r="S1124" s="45"/>
      <c r="T1124" s="45"/>
      <c r="U1124" s="45"/>
      <c r="V1124" s="45"/>
      <c r="W1124" s="45"/>
      <c r="X1124" s="45"/>
      <c r="Y1124" s="45"/>
      <c r="Z1124" s="45"/>
      <c r="AA1124" s="45"/>
      <c r="AB1124" s="45"/>
      <c r="AC1124" s="45"/>
      <c r="AD1124" s="45"/>
    </row>
    <row r="1125">
      <c r="A1125" s="45"/>
      <c r="B1125" s="45"/>
      <c r="C1125" s="45"/>
      <c r="D1125" s="45"/>
      <c r="E1125" s="45"/>
      <c r="F1125" s="45"/>
      <c r="G1125" s="45"/>
      <c r="H1125" s="45"/>
      <c r="I1125" s="45"/>
      <c r="J1125" s="45"/>
      <c r="K1125" s="45"/>
      <c r="L1125" s="45"/>
      <c r="M1125" s="45"/>
      <c r="N1125" s="45"/>
      <c r="O1125" s="45"/>
      <c r="P1125" s="45"/>
      <c r="Q1125" s="45"/>
      <c r="R1125" s="45"/>
      <c r="S1125" s="45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5"/>
    </row>
    <row r="1126">
      <c r="A1126" s="45"/>
      <c r="B1126" s="45"/>
      <c r="C1126" s="45"/>
      <c r="D1126" s="45"/>
      <c r="E1126" s="45"/>
      <c r="F1126" s="45"/>
      <c r="G1126" s="45"/>
      <c r="H1126" s="45"/>
      <c r="I1126" s="45"/>
      <c r="J1126" s="45"/>
      <c r="K1126" s="45"/>
      <c r="L1126" s="45"/>
      <c r="M1126" s="45"/>
      <c r="N1126" s="45"/>
      <c r="O1126" s="45"/>
      <c r="P1126" s="45"/>
      <c r="Q1126" s="45"/>
      <c r="R1126" s="45"/>
      <c r="S1126" s="45"/>
      <c r="T1126" s="45"/>
      <c r="U1126" s="45"/>
      <c r="V1126" s="45"/>
      <c r="W1126" s="45"/>
      <c r="X1126" s="45"/>
      <c r="Y1126" s="45"/>
      <c r="Z1126" s="45"/>
      <c r="AA1126" s="45"/>
      <c r="AB1126" s="45"/>
      <c r="AC1126" s="45"/>
      <c r="AD1126" s="45"/>
    </row>
    <row r="1127">
      <c r="A1127" s="45"/>
      <c r="B1127" s="45"/>
      <c r="C1127" s="45"/>
      <c r="D1127" s="45"/>
      <c r="E1127" s="45"/>
      <c r="F1127" s="45"/>
      <c r="G1127" s="45"/>
      <c r="H1127" s="45"/>
      <c r="I1127" s="45"/>
      <c r="J1127" s="45"/>
      <c r="K1127" s="45"/>
      <c r="L1127" s="45"/>
      <c r="M1127" s="45"/>
      <c r="N1127" s="45"/>
      <c r="O1127" s="45"/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</row>
    <row r="1128">
      <c r="A1128" s="45"/>
      <c r="B1128" s="45"/>
      <c r="C1128" s="45"/>
      <c r="D1128" s="45"/>
      <c r="E1128" s="45"/>
      <c r="F1128" s="45"/>
      <c r="G1128" s="45"/>
      <c r="H1128" s="45"/>
      <c r="I1128" s="45"/>
      <c r="J1128" s="45"/>
      <c r="K1128" s="45"/>
      <c r="L1128" s="45"/>
      <c r="M1128" s="45"/>
      <c r="N1128" s="45"/>
      <c r="O1128" s="45"/>
      <c r="P1128" s="45"/>
      <c r="Q1128" s="45"/>
      <c r="R1128" s="45"/>
      <c r="S1128" s="45"/>
      <c r="T1128" s="45"/>
      <c r="U1128" s="45"/>
      <c r="V1128" s="45"/>
      <c r="W1128" s="45"/>
      <c r="X1128" s="45"/>
      <c r="Y1128" s="45"/>
      <c r="Z1128" s="45"/>
      <c r="AA1128" s="45"/>
      <c r="AB1128" s="45"/>
      <c r="AC1128" s="45"/>
      <c r="AD1128" s="45"/>
    </row>
    <row r="1129">
      <c r="A1129" s="45"/>
      <c r="B1129" s="45"/>
      <c r="C1129" s="45"/>
      <c r="D1129" s="45"/>
      <c r="E1129" s="45"/>
      <c r="F1129" s="45"/>
      <c r="G1129" s="45"/>
      <c r="H1129" s="45"/>
      <c r="I1129" s="45"/>
      <c r="J1129" s="45"/>
      <c r="K1129" s="45"/>
      <c r="L1129" s="45"/>
      <c r="M1129" s="45"/>
      <c r="N1129" s="45"/>
      <c r="O1129" s="45"/>
      <c r="P1129" s="45"/>
      <c r="Q1129" s="45"/>
      <c r="R1129" s="45"/>
      <c r="S1129" s="45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5"/>
    </row>
    <row r="1130">
      <c r="A1130" s="45"/>
      <c r="B1130" s="45"/>
      <c r="C1130" s="45"/>
      <c r="D1130" s="45"/>
      <c r="E1130" s="45"/>
      <c r="F1130" s="45"/>
      <c r="G1130" s="45"/>
      <c r="H1130" s="45"/>
      <c r="I1130" s="45"/>
      <c r="J1130" s="45"/>
      <c r="K1130" s="45"/>
      <c r="L1130" s="45"/>
      <c r="M1130" s="45"/>
      <c r="N1130" s="45"/>
      <c r="O1130" s="45"/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</row>
    <row r="1131">
      <c r="A1131" s="45"/>
      <c r="B1131" s="45"/>
      <c r="C1131" s="45"/>
      <c r="D1131" s="45"/>
      <c r="E1131" s="45"/>
      <c r="F1131" s="45"/>
      <c r="G1131" s="45"/>
      <c r="H1131" s="45"/>
      <c r="I1131" s="45"/>
      <c r="J1131" s="45"/>
      <c r="K1131" s="45"/>
      <c r="L1131" s="45"/>
      <c r="M1131" s="45"/>
      <c r="N1131" s="45"/>
      <c r="O1131" s="45"/>
      <c r="P1131" s="45"/>
      <c r="Q1131" s="45"/>
      <c r="R1131" s="45"/>
      <c r="S1131" s="45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5"/>
    </row>
    <row r="1132">
      <c r="A1132" s="45"/>
      <c r="B1132" s="45"/>
      <c r="C1132" s="45"/>
      <c r="D1132" s="45"/>
      <c r="E1132" s="45"/>
      <c r="F1132" s="45"/>
      <c r="G1132" s="45"/>
      <c r="H1132" s="45"/>
      <c r="I1132" s="45"/>
      <c r="J1132" s="45"/>
      <c r="K1132" s="45"/>
      <c r="L1132" s="45"/>
      <c r="M1132" s="45"/>
      <c r="N1132" s="45"/>
      <c r="O1132" s="45"/>
      <c r="P1132" s="45"/>
      <c r="Q1132" s="45"/>
      <c r="R1132" s="45"/>
      <c r="S1132" s="45"/>
      <c r="T1132" s="45"/>
      <c r="U1132" s="45"/>
      <c r="V1132" s="45"/>
      <c r="W1132" s="45"/>
      <c r="X1132" s="45"/>
      <c r="Y1132" s="45"/>
      <c r="Z1132" s="45"/>
      <c r="AA1132" s="45"/>
      <c r="AB1132" s="45"/>
      <c r="AC1132" s="45"/>
      <c r="AD1132" s="45"/>
    </row>
    <row r="1133">
      <c r="A1133" s="45"/>
      <c r="B1133" s="45"/>
      <c r="C1133" s="45"/>
      <c r="D1133" s="45"/>
      <c r="E1133" s="45"/>
      <c r="F1133" s="45"/>
      <c r="G1133" s="45"/>
      <c r="H1133" s="45"/>
      <c r="I1133" s="45"/>
      <c r="J1133" s="45"/>
      <c r="K1133" s="45"/>
      <c r="L1133" s="45"/>
      <c r="M1133" s="45"/>
      <c r="N1133" s="45"/>
      <c r="O1133" s="45"/>
      <c r="P1133" s="45"/>
      <c r="Q1133" s="45"/>
      <c r="R1133" s="45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5"/>
    </row>
    <row r="1134">
      <c r="A1134" s="45"/>
      <c r="B1134" s="45"/>
      <c r="C1134" s="45"/>
      <c r="D1134" s="45"/>
      <c r="E1134" s="45"/>
      <c r="F1134" s="45"/>
      <c r="G1134" s="45"/>
      <c r="H1134" s="45"/>
      <c r="I1134" s="45"/>
      <c r="J1134" s="45"/>
      <c r="K1134" s="45"/>
      <c r="L1134" s="45"/>
      <c r="M1134" s="45"/>
      <c r="N1134" s="45"/>
      <c r="O1134" s="45"/>
      <c r="P1134" s="45"/>
      <c r="Q1134" s="45"/>
      <c r="R1134" s="45"/>
      <c r="S1134" s="45"/>
      <c r="T1134" s="45"/>
      <c r="U1134" s="45"/>
      <c r="V1134" s="45"/>
      <c r="W1134" s="45"/>
      <c r="X1134" s="45"/>
      <c r="Y1134" s="45"/>
      <c r="Z1134" s="45"/>
      <c r="AA1134" s="45"/>
      <c r="AB1134" s="45"/>
      <c r="AC1134" s="45"/>
      <c r="AD1134" s="45"/>
    </row>
    <row r="1135">
      <c r="A1135" s="45"/>
      <c r="B1135" s="45"/>
      <c r="C1135" s="45"/>
      <c r="D1135" s="45"/>
      <c r="E1135" s="45"/>
      <c r="F1135" s="45"/>
      <c r="G1135" s="45"/>
      <c r="H1135" s="45"/>
      <c r="I1135" s="45"/>
      <c r="J1135" s="45"/>
      <c r="K1135" s="45"/>
      <c r="L1135" s="45"/>
      <c r="M1135" s="45"/>
      <c r="N1135" s="45"/>
      <c r="O1135" s="45"/>
      <c r="P1135" s="45"/>
      <c r="Q1135" s="45"/>
      <c r="R1135" s="45"/>
      <c r="S1135" s="45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5"/>
    </row>
    <row r="1136">
      <c r="A1136" s="45"/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</row>
    <row r="1137">
      <c r="A1137" s="45"/>
      <c r="B1137" s="45"/>
      <c r="C1137" s="45"/>
      <c r="D1137" s="45"/>
      <c r="E1137" s="45"/>
      <c r="F1137" s="45"/>
      <c r="G1137" s="45"/>
      <c r="H1137" s="45"/>
      <c r="I1137" s="45"/>
      <c r="J1137" s="45"/>
      <c r="K1137" s="45"/>
      <c r="L1137" s="45"/>
      <c r="M1137" s="45"/>
      <c r="N1137" s="45"/>
      <c r="O1137" s="45"/>
      <c r="P1137" s="45"/>
      <c r="Q1137" s="45"/>
      <c r="R1137" s="45"/>
      <c r="S1137" s="45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5"/>
    </row>
    <row r="1138">
      <c r="A1138" s="45"/>
      <c r="B1138" s="45"/>
      <c r="C1138" s="45"/>
      <c r="D1138" s="45"/>
      <c r="E1138" s="45"/>
      <c r="F1138" s="45"/>
      <c r="G1138" s="45"/>
      <c r="H1138" s="45"/>
      <c r="I1138" s="45"/>
      <c r="J1138" s="45"/>
      <c r="K1138" s="45"/>
      <c r="L1138" s="45"/>
      <c r="M1138" s="45"/>
      <c r="N1138" s="45"/>
      <c r="O1138" s="45"/>
      <c r="P1138" s="45"/>
      <c r="Q1138" s="45"/>
      <c r="R1138" s="45"/>
      <c r="S1138" s="45"/>
      <c r="T1138" s="45"/>
      <c r="U1138" s="45"/>
      <c r="V1138" s="45"/>
      <c r="W1138" s="45"/>
      <c r="X1138" s="45"/>
      <c r="Y1138" s="45"/>
      <c r="Z1138" s="45"/>
      <c r="AA1138" s="45"/>
      <c r="AB1138" s="45"/>
      <c r="AC1138" s="45"/>
      <c r="AD1138" s="45"/>
    </row>
    <row r="1139">
      <c r="A1139" s="45"/>
      <c r="B1139" s="45"/>
      <c r="C1139" s="45"/>
      <c r="D1139" s="45"/>
      <c r="E1139" s="45"/>
      <c r="F1139" s="45"/>
      <c r="G1139" s="45"/>
      <c r="H1139" s="45"/>
      <c r="I1139" s="45"/>
      <c r="J1139" s="45"/>
      <c r="K1139" s="45"/>
      <c r="L1139" s="45"/>
      <c r="M1139" s="45"/>
      <c r="N1139" s="45"/>
      <c r="O1139" s="45"/>
      <c r="P1139" s="45"/>
      <c r="Q1139" s="45"/>
      <c r="R1139" s="45"/>
      <c r="S1139" s="45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5"/>
    </row>
    <row r="1140">
      <c r="A1140" s="45"/>
      <c r="B1140" s="45"/>
      <c r="C1140" s="45"/>
      <c r="D1140" s="45"/>
      <c r="E1140" s="45"/>
      <c r="F1140" s="45"/>
      <c r="G1140" s="45"/>
      <c r="H1140" s="45"/>
      <c r="I1140" s="45"/>
      <c r="J1140" s="45"/>
      <c r="K1140" s="45"/>
      <c r="L1140" s="45"/>
      <c r="M1140" s="45"/>
      <c r="N1140" s="45"/>
      <c r="O1140" s="45"/>
      <c r="P1140" s="45"/>
      <c r="Q1140" s="45"/>
      <c r="R1140" s="45"/>
      <c r="S1140" s="45"/>
      <c r="T1140" s="45"/>
      <c r="U1140" s="45"/>
      <c r="V1140" s="45"/>
      <c r="W1140" s="45"/>
      <c r="X1140" s="45"/>
      <c r="Y1140" s="45"/>
      <c r="Z1140" s="45"/>
      <c r="AA1140" s="45"/>
      <c r="AB1140" s="45"/>
      <c r="AC1140" s="45"/>
      <c r="AD1140" s="45"/>
    </row>
    <row r="1141">
      <c r="A1141" s="45"/>
      <c r="B1141" s="45"/>
      <c r="C1141" s="45"/>
      <c r="D1141" s="45"/>
      <c r="E1141" s="45"/>
      <c r="F1141" s="45"/>
      <c r="G1141" s="45"/>
      <c r="H1141" s="45"/>
      <c r="I1141" s="45"/>
      <c r="J1141" s="45"/>
      <c r="K1141" s="45"/>
      <c r="L1141" s="45"/>
      <c r="M1141" s="45"/>
      <c r="N1141" s="45"/>
      <c r="O1141" s="45"/>
      <c r="P1141" s="45"/>
      <c r="Q1141" s="45"/>
      <c r="R1141" s="45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5"/>
    </row>
    <row r="1142">
      <c r="A1142" s="45"/>
      <c r="B1142" s="45"/>
      <c r="C1142" s="45"/>
      <c r="D1142" s="45"/>
      <c r="E1142" s="45"/>
      <c r="F1142" s="45"/>
      <c r="G1142" s="45"/>
      <c r="H1142" s="45"/>
      <c r="I1142" s="45"/>
      <c r="J1142" s="45"/>
      <c r="K1142" s="45"/>
      <c r="L1142" s="45"/>
      <c r="M1142" s="45"/>
      <c r="N1142" s="45"/>
      <c r="O1142" s="45"/>
      <c r="P1142" s="45"/>
      <c r="Q1142" s="45"/>
      <c r="R1142" s="45"/>
      <c r="S1142" s="45"/>
      <c r="T1142" s="45"/>
      <c r="U1142" s="45"/>
      <c r="V1142" s="45"/>
      <c r="W1142" s="45"/>
      <c r="X1142" s="45"/>
      <c r="Y1142" s="45"/>
      <c r="Z1142" s="45"/>
      <c r="AA1142" s="45"/>
      <c r="AB1142" s="45"/>
      <c r="AC1142" s="45"/>
      <c r="AD1142" s="45"/>
    </row>
    <row r="1143">
      <c r="A1143" s="45"/>
      <c r="B1143" s="45"/>
      <c r="C1143" s="45"/>
      <c r="D1143" s="45"/>
      <c r="E1143" s="45"/>
      <c r="F1143" s="45"/>
      <c r="G1143" s="45"/>
      <c r="H1143" s="45"/>
      <c r="I1143" s="45"/>
      <c r="J1143" s="45"/>
      <c r="K1143" s="45"/>
      <c r="L1143" s="45"/>
      <c r="M1143" s="45"/>
      <c r="N1143" s="45"/>
      <c r="O1143" s="45"/>
      <c r="P1143" s="45"/>
      <c r="Q1143" s="45"/>
      <c r="R1143" s="45"/>
      <c r="S1143" s="45"/>
      <c r="T1143" s="45"/>
      <c r="U1143" s="45"/>
      <c r="V1143" s="45"/>
      <c r="W1143" s="45"/>
      <c r="X1143" s="45"/>
      <c r="Y1143" s="45"/>
      <c r="Z1143" s="45"/>
      <c r="AA1143" s="45"/>
      <c r="AB1143" s="45"/>
      <c r="AC1143" s="45"/>
      <c r="AD1143" s="45"/>
    </row>
    <row r="1144">
      <c r="A1144" s="45"/>
      <c r="B1144" s="45"/>
      <c r="C1144" s="45"/>
      <c r="D1144" s="45"/>
      <c r="E1144" s="45"/>
      <c r="F1144" s="45"/>
      <c r="G1144" s="45"/>
      <c r="H1144" s="45"/>
      <c r="I1144" s="45"/>
      <c r="J1144" s="45"/>
      <c r="K1144" s="45"/>
      <c r="L1144" s="45"/>
      <c r="M1144" s="45"/>
      <c r="N1144" s="45"/>
      <c r="O1144" s="45"/>
      <c r="P1144" s="45"/>
      <c r="Q1144" s="45"/>
      <c r="R1144" s="45"/>
      <c r="S1144" s="45"/>
      <c r="T1144" s="45"/>
      <c r="U1144" s="45"/>
      <c r="V1144" s="45"/>
      <c r="W1144" s="45"/>
      <c r="X1144" s="45"/>
      <c r="Y1144" s="45"/>
      <c r="Z1144" s="45"/>
      <c r="AA1144" s="45"/>
      <c r="AB1144" s="45"/>
      <c r="AC1144" s="45"/>
      <c r="AD1144" s="45"/>
    </row>
    <row r="1145">
      <c r="A1145" s="45"/>
      <c r="B1145" s="45"/>
      <c r="C1145" s="45"/>
      <c r="D1145" s="45"/>
      <c r="E1145" s="45"/>
      <c r="F1145" s="45"/>
      <c r="G1145" s="45"/>
      <c r="H1145" s="45"/>
      <c r="I1145" s="45"/>
      <c r="J1145" s="45"/>
      <c r="K1145" s="45"/>
      <c r="L1145" s="45"/>
      <c r="M1145" s="45"/>
      <c r="N1145" s="45"/>
      <c r="O1145" s="45"/>
      <c r="P1145" s="45"/>
      <c r="Q1145" s="45"/>
      <c r="R1145" s="45"/>
      <c r="S1145" s="45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5"/>
    </row>
    <row r="1146">
      <c r="A1146" s="45"/>
      <c r="B1146" s="45"/>
      <c r="C1146" s="45"/>
      <c r="D1146" s="45"/>
      <c r="E1146" s="45"/>
      <c r="F1146" s="45"/>
      <c r="G1146" s="45"/>
      <c r="H1146" s="45"/>
      <c r="I1146" s="45"/>
      <c r="J1146" s="45"/>
      <c r="K1146" s="45"/>
      <c r="L1146" s="45"/>
      <c r="M1146" s="45"/>
      <c r="N1146" s="45"/>
      <c r="O1146" s="45"/>
      <c r="P1146" s="45"/>
      <c r="Q1146" s="45"/>
      <c r="R1146" s="45"/>
      <c r="S1146" s="45"/>
      <c r="T1146" s="45"/>
      <c r="U1146" s="45"/>
      <c r="V1146" s="45"/>
      <c r="W1146" s="45"/>
      <c r="X1146" s="45"/>
      <c r="Y1146" s="45"/>
      <c r="Z1146" s="45"/>
      <c r="AA1146" s="45"/>
      <c r="AB1146" s="45"/>
      <c r="AC1146" s="45"/>
      <c r="AD1146" s="45"/>
    </row>
    <row r="1147">
      <c r="A1147" s="45"/>
      <c r="B1147" s="45"/>
      <c r="C1147" s="45"/>
      <c r="D1147" s="45"/>
      <c r="E1147" s="45"/>
      <c r="F1147" s="45"/>
      <c r="G1147" s="45"/>
      <c r="H1147" s="45"/>
      <c r="I1147" s="45"/>
      <c r="J1147" s="45"/>
      <c r="K1147" s="45"/>
      <c r="L1147" s="45"/>
      <c r="M1147" s="45"/>
      <c r="N1147" s="45"/>
      <c r="O1147" s="45"/>
      <c r="P1147" s="45"/>
      <c r="Q1147" s="45"/>
      <c r="R1147" s="45"/>
      <c r="S1147" s="45"/>
      <c r="T1147" s="45"/>
      <c r="U1147" s="45"/>
      <c r="V1147" s="45"/>
      <c r="W1147" s="45"/>
      <c r="X1147" s="45"/>
      <c r="Y1147" s="45"/>
      <c r="Z1147" s="45"/>
      <c r="AA1147" s="45"/>
      <c r="AB1147" s="45"/>
      <c r="AC1147" s="45"/>
      <c r="AD1147" s="45"/>
    </row>
    <row r="1148">
      <c r="A1148" s="45"/>
      <c r="B1148" s="45"/>
      <c r="C1148" s="45"/>
      <c r="D1148" s="45"/>
      <c r="E1148" s="45"/>
      <c r="F1148" s="45"/>
      <c r="G1148" s="45"/>
      <c r="H1148" s="45"/>
      <c r="I1148" s="45"/>
      <c r="J1148" s="45"/>
      <c r="K1148" s="45"/>
      <c r="L1148" s="45"/>
      <c r="M1148" s="45"/>
      <c r="N1148" s="45"/>
      <c r="O1148" s="45"/>
      <c r="P1148" s="45"/>
      <c r="Q1148" s="45"/>
      <c r="R1148" s="45"/>
      <c r="S1148" s="45"/>
      <c r="T1148" s="45"/>
      <c r="U1148" s="45"/>
      <c r="V1148" s="45"/>
      <c r="W1148" s="45"/>
      <c r="X1148" s="45"/>
      <c r="Y1148" s="45"/>
      <c r="Z1148" s="45"/>
      <c r="AA1148" s="45"/>
      <c r="AB1148" s="45"/>
      <c r="AC1148" s="45"/>
      <c r="AD1148" s="45"/>
    </row>
    <row r="1149">
      <c r="A1149" s="45"/>
      <c r="B1149" s="45"/>
      <c r="C1149" s="45"/>
      <c r="D1149" s="45"/>
      <c r="E1149" s="45"/>
      <c r="F1149" s="45"/>
      <c r="G1149" s="45"/>
      <c r="H1149" s="45"/>
      <c r="I1149" s="45"/>
      <c r="J1149" s="45"/>
      <c r="K1149" s="45"/>
      <c r="L1149" s="45"/>
      <c r="M1149" s="45"/>
      <c r="N1149" s="45"/>
      <c r="O1149" s="45"/>
      <c r="P1149" s="45"/>
      <c r="Q1149" s="45"/>
      <c r="R1149" s="45"/>
      <c r="S1149" s="45"/>
      <c r="T1149" s="45"/>
      <c r="U1149" s="45"/>
      <c r="V1149" s="45"/>
      <c r="W1149" s="45"/>
      <c r="X1149" s="45"/>
      <c r="Y1149" s="45"/>
      <c r="Z1149" s="45"/>
      <c r="AA1149" s="45"/>
      <c r="AB1149" s="45"/>
      <c r="AC1149" s="45"/>
      <c r="AD1149" s="45"/>
    </row>
    <row r="1150">
      <c r="A1150" s="45"/>
      <c r="B1150" s="45"/>
      <c r="C1150" s="45"/>
      <c r="D1150" s="45"/>
      <c r="E1150" s="45"/>
      <c r="F1150" s="45"/>
      <c r="G1150" s="45"/>
      <c r="H1150" s="45"/>
      <c r="I1150" s="45"/>
      <c r="J1150" s="45"/>
      <c r="K1150" s="45"/>
      <c r="L1150" s="45"/>
      <c r="M1150" s="45"/>
      <c r="N1150" s="45"/>
      <c r="O1150" s="45"/>
      <c r="P1150" s="45"/>
      <c r="Q1150" s="45"/>
      <c r="R1150" s="45"/>
      <c r="S1150" s="45"/>
      <c r="T1150" s="45"/>
      <c r="U1150" s="45"/>
      <c r="V1150" s="45"/>
      <c r="W1150" s="45"/>
      <c r="X1150" s="45"/>
      <c r="Y1150" s="45"/>
      <c r="Z1150" s="45"/>
      <c r="AA1150" s="45"/>
      <c r="AB1150" s="45"/>
      <c r="AC1150" s="45"/>
      <c r="AD1150" s="45"/>
    </row>
    <row r="1151">
      <c r="A1151" s="45"/>
      <c r="B1151" s="45"/>
      <c r="C1151" s="45"/>
      <c r="D1151" s="45"/>
      <c r="E1151" s="45"/>
      <c r="F1151" s="45"/>
      <c r="G1151" s="45"/>
      <c r="H1151" s="45"/>
      <c r="I1151" s="45"/>
      <c r="J1151" s="45"/>
      <c r="K1151" s="45"/>
      <c r="L1151" s="45"/>
      <c r="M1151" s="45"/>
      <c r="N1151" s="45"/>
      <c r="O1151" s="45"/>
      <c r="P1151" s="45"/>
      <c r="Q1151" s="45"/>
      <c r="R1151" s="45"/>
      <c r="S1151" s="45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5"/>
    </row>
    <row r="1152">
      <c r="A1152" s="45"/>
      <c r="B1152" s="45"/>
      <c r="C1152" s="45"/>
      <c r="D1152" s="45"/>
      <c r="E1152" s="45"/>
      <c r="F1152" s="45"/>
      <c r="G1152" s="45"/>
      <c r="H1152" s="45"/>
      <c r="I1152" s="45"/>
      <c r="J1152" s="45"/>
      <c r="K1152" s="45"/>
      <c r="L1152" s="45"/>
      <c r="M1152" s="45"/>
      <c r="N1152" s="45"/>
      <c r="O1152" s="45"/>
      <c r="P1152" s="45"/>
      <c r="Q1152" s="45"/>
      <c r="R1152" s="45"/>
      <c r="S1152" s="45"/>
      <c r="T1152" s="45"/>
      <c r="U1152" s="45"/>
      <c r="V1152" s="45"/>
      <c r="W1152" s="45"/>
      <c r="X1152" s="45"/>
      <c r="Y1152" s="45"/>
      <c r="Z1152" s="45"/>
      <c r="AA1152" s="45"/>
      <c r="AB1152" s="45"/>
      <c r="AC1152" s="45"/>
      <c r="AD1152" s="45"/>
    </row>
    <row r="1153">
      <c r="A1153" s="45"/>
      <c r="B1153" s="45"/>
      <c r="C1153" s="45"/>
      <c r="D1153" s="45"/>
      <c r="E1153" s="45"/>
      <c r="F1153" s="45"/>
      <c r="G1153" s="45"/>
      <c r="H1153" s="45"/>
      <c r="I1153" s="45"/>
      <c r="J1153" s="45"/>
      <c r="K1153" s="45"/>
      <c r="L1153" s="45"/>
      <c r="M1153" s="45"/>
      <c r="N1153" s="45"/>
      <c r="O1153" s="45"/>
      <c r="P1153" s="45"/>
      <c r="Q1153" s="45"/>
      <c r="R1153" s="45"/>
      <c r="S1153" s="45"/>
      <c r="T1153" s="45"/>
      <c r="U1153" s="45"/>
      <c r="V1153" s="45"/>
      <c r="W1153" s="45"/>
      <c r="X1153" s="45"/>
      <c r="Y1153" s="45"/>
      <c r="Z1153" s="45"/>
      <c r="AA1153" s="45"/>
      <c r="AB1153" s="45"/>
      <c r="AC1153" s="45"/>
      <c r="AD1153" s="45"/>
    </row>
    <row r="1154">
      <c r="A1154" s="45"/>
      <c r="B1154" s="45"/>
      <c r="C1154" s="45"/>
      <c r="D1154" s="45"/>
      <c r="E1154" s="45"/>
      <c r="F1154" s="45"/>
      <c r="G1154" s="45"/>
      <c r="H1154" s="45"/>
      <c r="I1154" s="45"/>
      <c r="J1154" s="45"/>
      <c r="K1154" s="45"/>
      <c r="L1154" s="45"/>
      <c r="M1154" s="45"/>
      <c r="N1154" s="45"/>
      <c r="O1154" s="45"/>
      <c r="P1154" s="45"/>
      <c r="Q1154" s="45"/>
      <c r="R1154" s="45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5"/>
    </row>
    <row r="1155">
      <c r="A1155" s="45"/>
      <c r="B1155" s="45"/>
      <c r="C1155" s="45"/>
      <c r="D1155" s="45"/>
      <c r="E1155" s="45"/>
      <c r="F1155" s="45"/>
      <c r="G1155" s="45"/>
      <c r="H1155" s="45"/>
      <c r="I1155" s="45"/>
      <c r="J1155" s="45"/>
      <c r="K1155" s="45"/>
      <c r="L1155" s="45"/>
      <c r="M1155" s="45"/>
      <c r="N1155" s="45"/>
      <c r="O1155" s="45"/>
      <c r="P1155" s="45"/>
      <c r="Q1155" s="45"/>
      <c r="R1155" s="45"/>
      <c r="S1155" s="45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5"/>
    </row>
    <row r="1156">
      <c r="A1156" s="45"/>
      <c r="B1156" s="45"/>
      <c r="C1156" s="45"/>
      <c r="D1156" s="45"/>
      <c r="E1156" s="45"/>
      <c r="F1156" s="45"/>
      <c r="G1156" s="45"/>
      <c r="H1156" s="45"/>
      <c r="I1156" s="45"/>
      <c r="J1156" s="45"/>
      <c r="K1156" s="45"/>
      <c r="L1156" s="45"/>
      <c r="M1156" s="45"/>
      <c r="N1156" s="45"/>
      <c r="O1156" s="45"/>
      <c r="P1156" s="45"/>
      <c r="Q1156" s="45"/>
      <c r="R1156" s="45"/>
      <c r="S1156" s="45"/>
      <c r="T1156" s="45"/>
      <c r="U1156" s="45"/>
      <c r="V1156" s="45"/>
      <c r="W1156" s="45"/>
      <c r="X1156" s="45"/>
      <c r="Y1156" s="45"/>
      <c r="Z1156" s="45"/>
      <c r="AA1156" s="45"/>
      <c r="AB1156" s="45"/>
      <c r="AC1156" s="45"/>
      <c r="AD1156" s="45"/>
    </row>
    <row r="1157">
      <c r="A1157" s="45"/>
      <c r="B1157" s="45"/>
      <c r="C1157" s="45"/>
      <c r="D1157" s="45"/>
      <c r="E1157" s="45"/>
      <c r="F1157" s="45"/>
      <c r="G1157" s="45"/>
      <c r="H1157" s="45"/>
      <c r="I1157" s="45"/>
      <c r="J1157" s="45"/>
      <c r="K1157" s="45"/>
      <c r="L1157" s="45"/>
      <c r="M1157" s="45"/>
      <c r="N1157" s="45"/>
      <c r="O1157" s="45"/>
      <c r="P1157" s="45"/>
      <c r="Q1157" s="45"/>
      <c r="R1157" s="45"/>
      <c r="S1157" s="45"/>
      <c r="T1157" s="45"/>
      <c r="U1157" s="45"/>
      <c r="V1157" s="45"/>
      <c r="W1157" s="45"/>
      <c r="X1157" s="45"/>
      <c r="Y1157" s="45"/>
      <c r="Z1157" s="45"/>
      <c r="AA1157" s="45"/>
      <c r="AB1157" s="45"/>
      <c r="AC1157" s="45"/>
      <c r="AD1157" s="45"/>
    </row>
    <row r="1158">
      <c r="A1158" s="45"/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5"/>
    </row>
    <row r="1159">
      <c r="A1159" s="45"/>
      <c r="B1159" s="45"/>
      <c r="C1159" s="45"/>
      <c r="D1159" s="45"/>
      <c r="E1159" s="45"/>
      <c r="F1159" s="45"/>
      <c r="G1159" s="45"/>
      <c r="H1159" s="45"/>
      <c r="I1159" s="45"/>
      <c r="J1159" s="45"/>
      <c r="K1159" s="45"/>
      <c r="L1159" s="45"/>
      <c r="M1159" s="45"/>
      <c r="N1159" s="45"/>
      <c r="O1159" s="45"/>
      <c r="P1159" s="45"/>
      <c r="Q1159" s="45"/>
      <c r="R1159" s="45"/>
      <c r="S1159" s="45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5"/>
    </row>
    <row r="1160">
      <c r="A1160" s="45"/>
      <c r="B1160" s="45"/>
      <c r="C1160" s="45"/>
      <c r="D1160" s="45"/>
      <c r="E1160" s="45"/>
      <c r="F1160" s="45"/>
      <c r="G1160" s="45"/>
      <c r="H1160" s="45"/>
      <c r="I1160" s="45"/>
      <c r="J1160" s="45"/>
      <c r="K1160" s="45"/>
      <c r="L1160" s="45"/>
      <c r="M1160" s="45"/>
      <c r="N1160" s="45"/>
      <c r="O1160" s="45"/>
      <c r="P1160" s="45"/>
      <c r="Q1160" s="45"/>
      <c r="R1160" s="45"/>
      <c r="S1160" s="45"/>
      <c r="T1160" s="45"/>
      <c r="U1160" s="45"/>
      <c r="V1160" s="45"/>
      <c r="W1160" s="45"/>
      <c r="X1160" s="45"/>
      <c r="Y1160" s="45"/>
      <c r="Z1160" s="45"/>
      <c r="AA1160" s="45"/>
      <c r="AB1160" s="45"/>
      <c r="AC1160" s="45"/>
      <c r="AD1160" s="45"/>
    </row>
    <row r="1161">
      <c r="A1161" s="45"/>
      <c r="B1161" s="45"/>
      <c r="C1161" s="45"/>
      <c r="D1161" s="45"/>
      <c r="E1161" s="45"/>
      <c r="F1161" s="45"/>
      <c r="G1161" s="45"/>
      <c r="H1161" s="45"/>
      <c r="I1161" s="45"/>
      <c r="J1161" s="45"/>
      <c r="K1161" s="45"/>
      <c r="L1161" s="45"/>
      <c r="M1161" s="45"/>
      <c r="N1161" s="45"/>
      <c r="O1161" s="45"/>
      <c r="P1161" s="45"/>
      <c r="Q1161" s="45"/>
      <c r="R1161" s="45"/>
      <c r="S1161" s="45"/>
      <c r="T1161" s="45"/>
      <c r="U1161" s="45"/>
      <c r="V1161" s="45"/>
      <c r="W1161" s="45"/>
      <c r="X1161" s="45"/>
      <c r="Y1161" s="45"/>
      <c r="Z1161" s="45"/>
      <c r="AA1161" s="45"/>
      <c r="AB1161" s="45"/>
      <c r="AC1161" s="45"/>
      <c r="AD1161" s="45"/>
    </row>
    <row r="1162">
      <c r="A1162" s="45"/>
      <c r="B1162" s="45"/>
      <c r="C1162" s="45"/>
      <c r="D1162" s="45"/>
      <c r="E1162" s="45"/>
      <c r="F1162" s="45"/>
      <c r="G1162" s="45"/>
      <c r="H1162" s="45"/>
      <c r="I1162" s="45"/>
      <c r="J1162" s="45"/>
      <c r="K1162" s="45"/>
      <c r="L1162" s="45"/>
      <c r="M1162" s="45"/>
      <c r="N1162" s="45"/>
      <c r="O1162" s="45"/>
      <c r="P1162" s="45"/>
      <c r="Q1162" s="45"/>
      <c r="R1162" s="45"/>
      <c r="S1162" s="45"/>
      <c r="T1162" s="45"/>
      <c r="U1162" s="45"/>
      <c r="V1162" s="45"/>
      <c r="W1162" s="45"/>
      <c r="X1162" s="45"/>
      <c r="Y1162" s="45"/>
      <c r="Z1162" s="45"/>
      <c r="AA1162" s="45"/>
      <c r="AB1162" s="45"/>
      <c r="AC1162" s="45"/>
      <c r="AD1162" s="45"/>
    </row>
    <row r="1163">
      <c r="A1163" s="45"/>
      <c r="B1163" s="45"/>
      <c r="C1163" s="45"/>
      <c r="D1163" s="45"/>
      <c r="E1163" s="45"/>
      <c r="F1163" s="45"/>
      <c r="G1163" s="45"/>
      <c r="H1163" s="45"/>
      <c r="I1163" s="45"/>
      <c r="J1163" s="45"/>
      <c r="K1163" s="45"/>
      <c r="L1163" s="45"/>
      <c r="M1163" s="45"/>
      <c r="N1163" s="45"/>
      <c r="O1163" s="45"/>
      <c r="P1163" s="45"/>
      <c r="Q1163" s="45"/>
      <c r="R1163" s="45"/>
      <c r="S1163" s="45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5"/>
    </row>
    <row r="1164">
      <c r="A1164" s="45"/>
      <c r="B1164" s="45"/>
      <c r="C1164" s="45"/>
      <c r="D1164" s="45"/>
      <c r="E1164" s="45"/>
      <c r="F1164" s="45"/>
      <c r="G1164" s="45"/>
      <c r="H1164" s="45"/>
      <c r="I1164" s="45"/>
      <c r="J1164" s="45"/>
      <c r="K1164" s="45"/>
      <c r="L1164" s="45"/>
      <c r="M1164" s="45"/>
      <c r="N1164" s="45"/>
      <c r="O1164" s="45"/>
      <c r="P1164" s="45"/>
      <c r="Q1164" s="45"/>
      <c r="R1164" s="45"/>
      <c r="S1164" s="45"/>
      <c r="T1164" s="45"/>
      <c r="U1164" s="45"/>
      <c r="V1164" s="45"/>
      <c r="W1164" s="45"/>
      <c r="X1164" s="45"/>
      <c r="Y1164" s="45"/>
      <c r="Z1164" s="45"/>
      <c r="AA1164" s="45"/>
      <c r="AB1164" s="45"/>
      <c r="AC1164" s="45"/>
      <c r="AD1164" s="45"/>
    </row>
    <row r="1165">
      <c r="A1165" s="45"/>
      <c r="B1165" s="45"/>
      <c r="C1165" s="45"/>
      <c r="D1165" s="45"/>
      <c r="E1165" s="45"/>
      <c r="F1165" s="45"/>
      <c r="G1165" s="45"/>
      <c r="H1165" s="45"/>
      <c r="I1165" s="45"/>
      <c r="J1165" s="45"/>
      <c r="K1165" s="45"/>
      <c r="L1165" s="45"/>
      <c r="M1165" s="45"/>
      <c r="N1165" s="45"/>
      <c r="O1165" s="45"/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</row>
    <row r="1166">
      <c r="A1166" s="45"/>
      <c r="B1166" s="45"/>
      <c r="C1166" s="45"/>
      <c r="D1166" s="45"/>
      <c r="E1166" s="45"/>
      <c r="F1166" s="45"/>
      <c r="G1166" s="45"/>
      <c r="H1166" s="45"/>
      <c r="I1166" s="45"/>
      <c r="J1166" s="45"/>
      <c r="K1166" s="45"/>
      <c r="L1166" s="45"/>
      <c r="M1166" s="45"/>
      <c r="N1166" s="45"/>
      <c r="O1166" s="45"/>
      <c r="P1166" s="45"/>
      <c r="Q1166" s="45"/>
      <c r="R1166" s="45"/>
      <c r="S1166" s="45"/>
      <c r="T1166" s="45"/>
      <c r="U1166" s="45"/>
      <c r="V1166" s="45"/>
      <c r="W1166" s="45"/>
      <c r="X1166" s="45"/>
      <c r="Y1166" s="45"/>
      <c r="Z1166" s="45"/>
      <c r="AA1166" s="45"/>
      <c r="AB1166" s="45"/>
      <c r="AC1166" s="45"/>
      <c r="AD1166" s="45"/>
    </row>
    <row r="1167">
      <c r="A1167" s="45"/>
      <c r="B1167" s="45"/>
      <c r="C1167" s="45"/>
      <c r="D1167" s="45"/>
      <c r="E1167" s="45"/>
      <c r="F1167" s="45"/>
      <c r="G1167" s="45"/>
      <c r="H1167" s="45"/>
      <c r="I1167" s="45"/>
      <c r="J1167" s="45"/>
      <c r="K1167" s="45"/>
      <c r="L1167" s="45"/>
      <c r="M1167" s="45"/>
      <c r="N1167" s="45"/>
      <c r="O1167" s="45"/>
      <c r="P1167" s="45"/>
      <c r="Q1167" s="45"/>
      <c r="R1167" s="45"/>
      <c r="S1167" s="45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5"/>
    </row>
    <row r="1168">
      <c r="A1168" s="45"/>
      <c r="B1168" s="45"/>
      <c r="C1168" s="45"/>
      <c r="D1168" s="45"/>
      <c r="E1168" s="45"/>
      <c r="F1168" s="45"/>
      <c r="G1168" s="45"/>
      <c r="H1168" s="45"/>
      <c r="I1168" s="45"/>
      <c r="J1168" s="45"/>
      <c r="K1168" s="45"/>
      <c r="L1168" s="45"/>
      <c r="M1168" s="45"/>
      <c r="N1168" s="45"/>
      <c r="O1168" s="45"/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</row>
    <row r="1169">
      <c r="A1169" s="45"/>
      <c r="B1169" s="45"/>
      <c r="C1169" s="45"/>
      <c r="D1169" s="45"/>
      <c r="E1169" s="45"/>
      <c r="F1169" s="45"/>
      <c r="G1169" s="45"/>
      <c r="H1169" s="45"/>
      <c r="I1169" s="45"/>
      <c r="J1169" s="45"/>
      <c r="K1169" s="45"/>
      <c r="L1169" s="45"/>
      <c r="M1169" s="45"/>
      <c r="N1169" s="45"/>
      <c r="O1169" s="45"/>
      <c r="P1169" s="45"/>
      <c r="Q1169" s="45"/>
      <c r="R1169" s="45"/>
      <c r="S1169" s="45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5"/>
    </row>
    <row r="1170">
      <c r="A1170" s="45"/>
      <c r="B1170" s="45"/>
      <c r="C1170" s="45"/>
      <c r="D1170" s="45"/>
      <c r="E1170" s="45"/>
      <c r="F1170" s="45"/>
      <c r="G1170" s="45"/>
      <c r="H1170" s="45"/>
      <c r="I1170" s="45"/>
      <c r="J1170" s="45"/>
      <c r="K1170" s="45"/>
      <c r="L1170" s="45"/>
      <c r="M1170" s="45"/>
      <c r="N1170" s="45"/>
      <c r="O1170" s="45"/>
      <c r="P1170" s="45"/>
      <c r="Q1170" s="45"/>
      <c r="R1170" s="45"/>
      <c r="S1170" s="45"/>
      <c r="T1170" s="45"/>
      <c r="U1170" s="45"/>
      <c r="V1170" s="45"/>
      <c r="W1170" s="45"/>
      <c r="X1170" s="45"/>
      <c r="Y1170" s="45"/>
      <c r="Z1170" s="45"/>
      <c r="AA1170" s="45"/>
      <c r="AB1170" s="45"/>
      <c r="AC1170" s="45"/>
      <c r="AD1170" s="45"/>
    </row>
    <row r="1171">
      <c r="A1171" s="45"/>
      <c r="B1171" s="45"/>
      <c r="C1171" s="45"/>
      <c r="D1171" s="45"/>
      <c r="E1171" s="45"/>
      <c r="F1171" s="45"/>
      <c r="G1171" s="45"/>
      <c r="H1171" s="45"/>
      <c r="I1171" s="45"/>
      <c r="J1171" s="45"/>
      <c r="K1171" s="45"/>
      <c r="L1171" s="45"/>
      <c r="M1171" s="45"/>
      <c r="N1171" s="45"/>
      <c r="O1171" s="45"/>
      <c r="P1171" s="45"/>
      <c r="Q1171" s="45"/>
      <c r="R1171" s="45"/>
      <c r="S1171" s="45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5"/>
    </row>
    <row r="1172">
      <c r="A1172" s="45"/>
      <c r="B1172" s="45"/>
      <c r="C1172" s="45"/>
      <c r="D1172" s="45"/>
      <c r="E1172" s="45"/>
      <c r="F1172" s="45"/>
      <c r="G1172" s="45"/>
      <c r="H1172" s="45"/>
      <c r="I1172" s="45"/>
      <c r="J1172" s="45"/>
      <c r="K1172" s="45"/>
      <c r="L1172" s="45"/>
      <c r="M1172" s="45"/>
      <c r="N1172" s="45"/>
      <c r="O1172" s="45"/>
      <c r="P1172" s="45"/>
      <c r="Q1172" s="45"/>
      <c r="R1172" s="45"/>
      <c r="S1172" s="45"/>
      <c r="T1172" s="45"/>
      <c r="U1172" s="45"/>
      <c r="V1172" s="45"/>
      <c r="W1172" s="45"/>
      <c r="X1172" s="45"/>
      <c r="Y1172" s="45"/>
      <c r="Z1172" s="45"/>
      <c r="AA1172" s="45"/>
      <c r="AB1172" s="45"/>
      <c r="AC1172" s="45"/>
      <c r="AD1172" s="45"/>
    </row>
    <row r="1173">
      <c r="A1173" s="45"/>
      <c r="B1173" s="45"/>
      <c r="C1173" s="45"/>
      <c r="D1173" s="45"/>
      <c r="E1173" s="45"/>
      <c r="F1173" s="45"/>
      <c r="G1173" s="45"/>
      <c r="H1173" s="45"/>
      <c r="I1173" s="45"/>
      <c r="J1173" s="45"/>
      <c r="K1173" s="45"/>
      <c r="L1173" s="45"/>
      <c r="M1173" s="45"/>
      <c r="N1173" s="45"/>
      <c r="O1173" s="45"/>
      <c r="P1173" s="45"/>
      <c r="Q1173" s="45"/>
      <c r="R1173" s="45"/>
      <c r="S1173" s="45"/>
      <c r="T1173" s="45"/>
      <c r="U1173" s="45"/>
      <c r="V1173" s="45"/>
      <c r="W1173" s="45"/>
      <c r="X1173" s="45"/>
      <c r="Y1173" s="45"/>
      <c r="Z1173" s="45"/>
      <c r="AA1173" s="45"/>
      <c r="AB1173" s="45"/>
      <c r="AC1173" s="45"/>
      <c r="AD1173" s="45"/>
    </row>
    <row r="1174">
      <c r="A1174" s="45"/>
      <c r="B1174" s="45"/>
      <c r="C1174" s="45"/>
      <c r="D1174" s="45"/>
      <c r="E1174" s="45"/>
      <c r="F1174" s="45"/>
      <c r="G1174" s="45"/>
      <c r="H1174" s="45"/>
      <c r="I1174" s="45"/>
      <c r="J1174" s="45"/>
      <c r="K1174" s="45"/>
      <c r="L1174" s="45"/>
      <c r="M1174" s="45"/>
      <c r="N1174" s="45"/>
      <c r="O1174" s="45"/>
      <c r="P1174" s="45"/>
      <c r="Q1174" s="45"/>
      <c r="R1174" s="45"/>
      <c r="S1174" s="45"/>
      <c r="T1174" s="45"/>
      <c r="U1174" s="45"/>
      <c r="V1174" s="45"/>
      <c r="W1174" s="45"/>
      <c r="X1174" s="45"/>
      <c r="Y1174" s="45"/>
      <c r="Z1174" s="45"/>
      <c r="AA1174" s="45"/>
      <c r="AB1174" s="45"/>
      <c r="AC1174" s="45"/>
      <c r="AD1174" s="45"/>
    </row>
    <row r="1175">
      <c r="A1175" s="45"/>
      <c r="B1175" s="45"/>
      <c r="C1175" s="45"/>
      <c r="D1175" s="45"/>
      <c r="E1175" s="45"/>
      <c r="F1175" s="45"/>
      <c r="G1175" s="45"/>
      <c r="H1175" s="45"/>
      <c r="I1175" s="45"/>
      <c r="J1175" s="45"/>
      <c r="K1175" s="45"/>
      <c r="L1175" s="45"/>
      <c r="M1175" s="45"/>
      <c r="N1175" s="45"/>
      <c r="O1175" s="45"/>
      <c r="P1175" s="45"/>
      <c r="Q1175" s="45"/>
      <c r="R1175" s="45"/>
      <c r="S1175" s="45"/>
      <c r="T1175" s="45"/>
      <c r="U1175" s="45"/>
      <c r="V1175" s="45"/>
      <c r="W1175" s="45"/>
      <c r="X1175" s="45"/>
      <c r="Y1175" s="45"/>
      <c r="Z1175" s="45"/>
      <c r="AA1175" s="45"/>
      <c r="AB1175" s="45"/>
      <c r="AC1175" s="45"/>
      <c r="AD1175" s="45"/>
    </row>
    <row r="1176">
      <c r="A1176" s="45"/>
      <c r="B1176" s="45"/>
      <c r="C1176" s="45"/>
      <c r="D1176" s="45"/>
      <c r="E1176" s="45"/>
      <c r="F1176" s="45"/>
      <c r="G1176" s="45"/>
      <c r="H1176" s="45"/>
      <c r="I1176" s="45"/>
      <c r="J1176" s="45"/>
      <c r="K1176" s="45"/>
      <c r="L1176" s="45"/>
      <c r="M1176" s="45"/>
      <c r="N1176" s="45"/>
      <c r="O1176" s="45"/>
      <c r="P1176" s="45"/>
      <c r="Q1176" s="45"/>
      <c r="R1176" s="45"/>
      <c r="S1176" s="45"/>
      <c r="T1176" s="45"/>
      <c r="U1176" s="45"/>
      <c r="V1176" s="45"/>
      <c r="W1176" s="45"/>
      <c r="X1176" s="45"/>
      <c r="Y1176" s="45"/>
      <c r="Z1176" s="45"/>
      <c r="AA1176" s="45"/>
      <c r="AB1176" s="45"/>
      <c r="AC1176" s="45"/>
      <c r="AD1176" s="45"/>
    </row>
    <row r="1177">
      <c r="A1177" s="45"/>
      <c r="B1177" s="45"/>
      <c r="C1177" s="45"/>
      <c r="D1177" s="45"/>
      <c r="E1177" s="45"/>
      <c r="F1177" s="45"/>
      <c r="G1177" s="45"/>
      <c r="H1177" s="45"/>
      <c r="I1177" s="45"/>
      <c r="J1177" s="45"/>
      <c r="K1177" s="45"/>
      <c r="L1177" s="45"/>
      <c r="M1177" s="45"/>
      <c r="N1177" s="45"/>
      <c r="O1177" s="45"/>
      <c r="P1177" s="45"/>
      <c r="Q1177" s="45"/>
      <c r="R1177" s="45"/>
      <c r="S1177" s="45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5"/>
    </row>
    <row r="1178">
      <c r="A1178" s="45"/>
      <c r="B1178" s="45"/>
      <c r="C1178" s="45"/>
      <c r="D1178" s="45"/>
      <c r="E1178" s="45"/>
      <c r="F1178" s="45"/>
      <c r="G1178" s="45"/>
      <c r="H1178" s="45"/>
      <c r="I1178" s="45"/>
      <c r="J1178" s="45"/>
      <c r="K1178" s="45"/>
      <c r="L1178" s="45"/>
      <c r="M1178" s="45"/>
      <c r="N1178" s="45"/>
      <c r="O1178" s="45"/>
      <c r="P1178" s="45"/>
      <c r="Q1178" s="45"/>
      <c r="R1178" s="45"/>
      <c r="S1178" s="45"/>
      <c r="T1178" s="45"/>
      <c r="U1178" s="45"/>
      <c r="V1178" s="45"/>
      <c r="W1178" s="45"/>
      <c r="X1178" s="45"/>
      <c r="Y1178" s="45"/>
      <c r="Z1178" s="45"/>
      <c r="AA1178" s="45"/>
      <c r="AB1178" s="45"/>
      <c r="AC1178" s="45"/>
      <c r="AD1178" s="45"/>
    </row>
    <row r="1179">
      <c r="A1179" s="45"/>
      <c r="B1179" s="45"/>
      <c r="C1179" s="45"/>
      <c r="D1179" s="45"/>
      <c r="E1179" s="45"/>
      <c r="F1179" s="45"/>
      <c r="G1179" s="45"/>
      <c r="H1179" s="45"/>
      <c r="I1179" s="45"/>
      <c r="J1179" s="45"/>
      <c r="K1179" s="45"/>
      <c r="L1179" s="45"/>
      <c r="M1179" s="45"/>
      <c r="N1179" s="45"/>
      <c r="O1179" s="45"/>
      <c r="P1179" s="45"/>
      <c r="Q1179" s="45"/>
      <c r="R1179" s="45"/>
      <c r="S1179" s="45"/>
      <c r="T1179" s="45"/>
      <c r="U1179" s="45"/>
      <c r="V1179" s="45"/>
      <c r="W1179" s="45"/>
      <c r="X1179" s="45"/>
      <c r="Y1179" s="45"/>
      <c r="Z1179" s="45"/>
      <c r="AA1179" s="45"/>
      <c r="AB1179" s="45"/>
      <c r="AC1179" s="45"/>
      <c r="AD1179" s="45"/>
    </row>
    <row r="1180">
      <c r="A1180" s="45"/>
      <c r="B1180" s="45"/>
      <c r="C1180" s="45"/>
      <c r="D1180" s="45"/>
      <c r="E1180" s="45"/>
      <c r="F1180" s="45"/>
      <c r="G1180" s="45"/>
      <c r="H1180" s="45"/>
      <c r="I1180" s="45"/>
      <c r="J1180" s="45"/>
      <c r="K1180" s="45"/>
      <c r="L1180" s="45"/>
      <c r="M1180" s="45"/>
      <c r="N1180" s="45"/>
      <c r="O1180" s="45"/>
      <c r="P1180" s="45"/>
      <c r="Q1180" s="45"/>
      <c r="R1180" s="45"/>
      <c r="S1180" s="45"/>
      <c r="T1180" s="45"/>
      <c r="U1180" s="45"/>
      <c r="V1180" s="45"/>
      <c r="W1180" s="45"/>
      <c r="X1180" s="45"/>
      <c r="Y1180" s="45"/>
      <c r="Z1180" s="45"/>
      <c r="AA1180" s="45"/>
      <c r="AB1180" s="45"/>
      <c r="AC1180" s="45"/>
      <c r="AD1180" s="45"/>
    </row>
    <row r="1181">
      <c r="A1181" s="45"/>
      <c r="B1181" s="45"/>
      <c r="C1181" s="45"/>
      <c r="D1181" s="45"/>
      <c r="E1181" s="45"/>
      <c r="F1181" s="45"/>
      <c r="G1181" s="45"/>
      <c r="H1181" s="45"/>
      <c r="I1181" s="45"/>
      <c r="J1181" s="45"/>
      <c r="K1181" s="45"/>
      <c r="L1181" s="45"/>
      <c r="M1181" s="45"/>
      <c r="N1181" s="45"/>
      <c r="O1181" s="45"/>
      <c r="P1181" s="45"/>
      <c r="Q1181" s="45"/>
      <c r="R1181" s="45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5"/>
    </row>
    <row r="1182">
      <c r="A1182" s="45"/>
      <c r="B1182" s="45"/>
      <c r="C1182" s="45"/>
      <c r="D1182" s="45"/>
      <c r="E1182" s="45"/>
      <c r="F1182" s="45"/>
      <c r="G1182" s="45"/>
      <c r="H1182" s="45"/>
      <c r="I1182" s="45"/>
      <c r="J1182" s="45"/>
      <c r="K1182" s="45"/>
      <c r="L1182" s="45"/>
      <c r="M1182" s="45"/>
      <c r="N1182" s="45"/>
      <c r="O1182" s="45"/>
      <c r="P1182" s="45"/>
      <c r="Q1182" s="45"/>
      <c r="R1182" s="45"/>
      <c r="S1182" s="45"/>
      <c r="T1182" s="45"/>
      <c r="U1182" s="45"/>
      <c r="V1182" s="45"/>
      <c r="W1182" s="45"/>
      <c r="X1182" s="45"/>
      <c r="Y1182" s="45"/>
      <c r="Z1182" s="45"/>
      <c r="AA1182" s="45"/>
      <c r="AB1182" s="45"/>
      <c r="AC1182" s="45"/>
      <c r="AD1182" s="45"/>
    </row>
    <row r="1183">
      <c r="A1183" s="45"/>
      <c r="B1183" s="45"/>
      <c r="C1183" s="45"/>
      <c r="D1183" s="45"/>
      <c r="E1183" s="45"/>
      <c r="F1183" s="45"/>
      <c r="G1183" s="45"/>
      <c r="H1183" s="45"/>
      <c r="I1183" s="45"/>
      <c r="J1183" s="45"/>
      <c r="K1183" s="45"/>
      <c r="L1183" s="45"/>
      <c r="M1183" s="45"/>
      <c r="N1183" s="45"/>
      <c r="O1183" s="45"/>
      <c r="P1183" s="45"/>
      <c r="Q1183" s="45"/>
      <c r="R1183" s="45"/>
      <c r="S1183" s="45"/>
      <c r="T1183" s="45"/>
      <c r="U1183" s="45"/>
      <c r="V1183" s="45"/>
      <c r="W1183" s="45"/>
      <c r="X1183" s="45"/>
      <c r="Y1183" s="45"/>
      <c r="Z1183" s="45"/>
      <c r="AA1183" s="45"/>
      <c r="AB1183" s="45"/>
      <c r="AC1183" s="45"/>
      <c r="AD1183" s="45"/>
    </row>
    <row r="1184">
      <c r="A1184" s="45"/>
      <c r="B1184" s="45"/>
      <c r="C1184" s="45"/>
      <c r="D1184" s="45"/>
      <c r="E1184" s="45"/>
      <c r="F1184" s="45"/>
      <c r="G1184" s="45"/>
      <c r="H1184" s="45"/>
      <c r="I1184" s="45"/>
      <c r="J1184" s="45"/>
      <c r="K1184" s="45"/>
      <c r="L1184" s="45"/>
      <c r="M1184" s="45"/>
      <c r="N1184" s="45"/>
      <c r="O1184" s="45"/>
      <c r="P1184" s="45"/>
      <c r="Q1184" s="45"/>
      <c r="R1184" s="45"/>
      <c r="S1184" s="45"/>
      <c r="T1184" s="45"/>
      <c r="U1184" s="45"/>
      <c r="V1184" s="45"/>
      <c r="W1184" s="45"/>
      <c r="X1184" s="45"/>
      <c r="Y1184" s="45"/>
      <c r="Z1184" s="45"/>
      <c r="AA1184" s="45"/>
      <c r="AB1184" s="45"/>
      <c r="AC1184" s="45"/>
      <c r="AD1184" s="45"/>
    </row>
    <row r="1185">
      <c r="A1185" s="45"/>
      <c r="B1185" s="45"/>
      <c r="C1185" s="45"/>
      <c r="D1185" s="45"/>
      <c r="E1185" s="45"/>
      <c r="F1185" s="45"/>
      <c r="G1185" s="45"/>
      <c r="H1185" s="45"/>
      <c r="I1185" s="45"/>
      <c r="J1185" s="45"/>
      <c r="K1185" s="45"/>
      <c r="L1185" s="45"/>
      <c r="M1185" s="45"/>
      <c r="N1185" s="45"/>
      <c r="O1185" s="45"/>
      <c r="P1185" s="45"/>
      <c r="Q1185" s="45"/>
      <c r="R1185" s="45"/>
      <c r="S1185" s="45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5"/>
    </row>
    <row r="1186">
      <c r="A1186" s="45"/>
      <c r="B1186" s="45"/>
      <c r="C1186" s="45"/>
      <c r="D1186" s="45"/>
      <c r="E1186" s="45"/>
      <c r="F1186" s="45"/>
      <c r="G1186" s="45"/>
      <c r="H1186" s="45"/>
      <c r="I1186" s="45"/>
      <c r="J1186" s="45"/>
      <c r="K1186" s="45"/>
      <c r="L1186" s="45"/>
      <c r="M1186" s="45"/>
      <c r="N1186" s="45"/>
      <c r="O1186" s="45"/>
      <c r="P1186" s="45"/>
      <c r="Q1186" s="45"/>
      <c r="R1186" s="45"/>
      <c r="S1186" s="45"/>
      <c r="T1186" s="45"/>
      <c r="U1186" s="45"/>
      <c r="V1186" s="45"/>
      <c r="W1186" s="45"/>
      <c r="X1186" s="45"/>
      <c r="Y1186" s="45"/>
      <c r="Z1186" s="45"/>
      <c r="AA1186" s="45"/>
      <c r="AB1186" s="45"/>
      <c r="AC1186" s="45"/>
      <c r="AD1186" s="45"/>
    </row>
    <row r="1187">
      <c r="A1187" s="45"/>
      <c r="B1187" s="45"/>
      <c r="C1187" s="45"/>
      <c r="D1187" s="45"/>
      <c r="E1187" s="45"/>
      <c r="F1187" s="45"/>
      <c r="G1187" s="45"/>
      <c r="H1187" s="45"/>
      <c r="I1187" s="45"/>
      <c r="J1187" s="45"/>
      <c r="K1187" s="45"/>
      <c r="L1187" s="45"/>
      <c r="M1187" s="45"/>
      <c r="N1187" s="45"/>
      <c r="O1187" s="45"/>
      <c r="P1187" s="45"/>
      <c r="Q1187" s="45"/>
      <c r="R1187" s="45"/>
      <c r="S1187" s="45"/>
      <c r="T1187" s="45"/>
      <c r="U1187" s="45"/>
      <c r="V1187" s="45"/>
      <c r="W1187" s="45"/>
      <c r="X1187" s="45"/>
      <c r="Y1187" s="45"/>
      <c r="Z1187" s="45"/>
      <c r="AA1187" s="45"/>
      <c r="AB1187" s="45"/>
      <c r="AC1187" s="45"/>
      <c r="AD1187" s="45"/>
    </row>
    <row r="1188">
      <c r="A1188" s="4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45"/>
      <c r="P1188" s="45"/>
      <c r="Q1188" s="45"/>
      <c r="R1188" s="45"/>
      <c r="S1188" s="45"/>
      <c r="T1188" s="45"/>
      <c r="U1188" s="45"/>
      <c r="V1188" s="45"/>
      <c r="W1188" s="45"/>
      <c r="X1188" s="45"/>
      <c r="Y1188" s="45"/>
      <c r="Z1188" s="45"/>
      <c r="AA1188" s="45"/>
      <c r="AB1188" s="45"/>
      <c r="AC1188" s="45"/>
      <c r="AD1188" s="45"/>
    </row>
    <row r="1189">
      <c r="A1189" s="45"/>
      <c r="B1189" s="45"/>
      <c r="C1189" s="45"/>
      <c r="D1189" s="45"/>
      <c r="E1189" s="45"/>
      <c r="F1189" s="45"/>
      <c r="G1189" s="45"/>
      <c r="H1189" s="45"/>
      <c r="I1189" s="45"/>
      <c r="J1189" s="45"/>
      <c r="K1189" s="45"/>
      <c r="L1189" s="45"/>
      <c r="M1189" s="45"/>
      <c r="N1189" s="45"/>
      <c r="O1189" s="45"/>
      <c r="P1189" s="45"/>
      <c r="Q1189" s="45"/>
      <c r="R1189" s="45"/>
      <c r="S1189" s="45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5"/>
    </row>
    <row r="1190">
      <c r="A1190" s="45"/>
      <c r="B1190" s="45"/>
      <c r="C1190" s="45"/>
      <c r="D1190" s="45"/>
      <c r="E1190" s="45"/>
      <c r="F1190" s="45"/>
      <c r="G1190" s="45"/>
      <c r="H1190" s="45"/>
      <c r="I1190" s="45"/>
      <c r="J1190" s="45"/>
      <c r="K1190" s="45"/>
      <c r="L1190" s="45"/>
      <c r="M1190" s="45"/>
      <c r="N1190" s="45"/>
      <c r="O1190" s="45"/>
      <c r="P1190" s="45"/>
      <c r="Q1190" s="45"/>
      <c r="R1190" s="45"/>
      <c r="S1190" s="45"/>
      <c r="T1190" s="45"/>
      <c r="U1190" s="45"/>
      <c r="V1190" s="45"/>
      <c r="W1190" s="45"/>
      <c r="X1190" s="45"/>
      <c r="Y1190" s="45"/>
      <c r="Z1190" s="45"/>
      <c r="AA1190" s="45"/>
      <c r="AB1190" s="45"/>
      <c r="AC1190" s="45"/>
      <c r="AD1190" s="45"/>
    </row>
    <row r="1191">
      <c r="A1191" s="45"/>
      <c r="B1191" s="45"/>
      <c r="C1191" s="45"/>
      <c r="D1191" s="45"/>
      <c r="E1191" s="45"/>
      <c r="F1191" s="45"/>
      <c r="G1191" s="45"/>
      <c r="H1191" s="45"/>
      <c r="I1191" s="45"/>
      <c r="J1191" s="45"/>
      <c r="K1191" s="45"/>
      <c r="L1191" s="45"/>
      <c r="M1191" s="45"/>
      <c r="N1191" s="45"/>
      <c r="O1191" s="45"/>
      <c r="P1191" s="45"/>
      <c r="Q1191" s="45"/>
      <c r="R1191" s="45"/>
      <c r="S1191" s="45"/>
      <c r="T1191" s="45"/>
      <c r="U1191" s="45"/>
      <c r="V1191" s="45"/>
      <c r="W1191" s="45"/>
      <c r="X1191" s="45"/>
      <c r="Y1191" s="45"/>
      <c r="Z1191" s="45"/>
      <c r="AA1191" s="45"/>
      <c r="AB1191" s="45"/>
      <c r="AC1191" s="45"/>
      <c r="AD1191" s="45"/>
    </row>
    <row r="1192">
      <c r="A1192" s="45"/>
      <c r="B1192" s="45"/>
      <c r="C1192" s="45"/>
      <c r="D1192" s="45"/>
      <c r="E1192" s="45"/>
      <c r="F1192" s="45"/>
      <c r="G1192" s="45"/>
      <c r="H1192" s="45"/>
      <c r="I1192" s="45"/>
      <c r="J1192" s="45"/>
      <c r="K1192" s="45"/>
      <c r="L1192" s="45"/>
      <c r="M1192" s="45"/>
      <c r="N1192" s="45"/>
      <c r="O1192" s="45"/>
      <c r="P1192" s="45"/>
      <c r="Q1192" s="45"/>
      <c r="R1192" s="45"/>
      <c r="S1192" s="45"/>
      <c r="T1192" s="45"/>
      <c r="U1192" s="45"/>
      <c r="V1192" s="45"/>
      <c r="W1192" s="45"/>
      <c r="X1192" s="45"/>
      <c r="Y1192" s="45"/>
      <c r="Z1192" s="45"/>
      <c r="AA1192" s="45"/>
      <c r="AB1192" s="45"/>
      <c r="AC1192" s="45"/>
      <c r="AD1192" s="45"/>
    </row>
    <row r="1193">
      <c r="A1193" s="4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5"/>
    </row>
    <row r="1194">
      <c r="A1194" s="45"/>
      <c r="B1194" s="45"/>
      <c r="C1194" s="45"/>
      <c r="D1194" s="45"/>
      <c r="E1194" s="45"/>
      <c r="F1194" s="45"/>
      <c r="G1194" s="45"/>
      <c r="H1194" s="45"/>
      <c r="I1194" s="45"/>
      <c r="J1194" s="45"/>
      <c r="K1194" s="45"/>
      <c r="L1194" s="45"/>
      <c r="M1194" s="45"/>
      <c r="N1194" s="45"/>
      <c r="O1194" s="45"/>
      <c r="P1194" s="45"/>
      <c r="Q1194" s="45"/>
      <c r="R1194" s="45"/>
      <c r="S1194" s="45"/>
      <c r="T1194" s="45"/>
      <c r="U1194" s="45"/>
      <c r="V1194" s="45"/>
      <c r="W1194" s="45"/>
      <c r="X1194" s="45"/>
      <c r="Y1194" s="45"/>
      <c r="Z1194" s="45"/>
      <c r="AA1194" s="45"/>
      <c r="AB1194" s="45"/>
      <c r="AC1194" s="45"/>
      <c r="AD1194" s="45"/>
    </row>
    <row r="1195">
      <c r="A1195" s="45"/>
      <c r="B1195" s="45"/>
      <c r="C1195" s="45"/>
      <c r="D1195" s="45"/>
      <c r="E1195" s="45"/>
      <c r="F1195" s="45"/>
      <c r="G1195" s="45"/>
      <c r="H1195" s="45"/>
      <c r="I1195" s="45"/>
      <c r="J1195" s="45"/>
      <c r="K1195" s="45"/>
      <c r="L1195" s="45"/>
      <c r="M1195" s="45"/>
      <c r="N1195" s="45"/>
      <c r="O1195" s="45"/>
      <c r="P1195" s="45"/>
      <c r="Q1195" s="45"/>
      <c r="R1195" s="45"/>
      <c r="S1195" s="45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5"/>
    </row>
    <row r="1196">
      <c r="A1196" s="45"/>
      <c r="B1196" s="45"/>
      <c r="C1196" s="45"/>
      <c r="D1196" s="45"/>
      <c r="E1196" s="45"/>
      <c r="F1196" s="45"/>
      <c r="G1196" s="45"/>
      <c r="H1196" s="45"/>
      <c r="I1196" s="45"/>
      <c r="J1196" s="45"/>
      <c r="K1196" s="45"/>
      <c r="L1196" s="45"/>
      <c r="M1196" s="45"/>
      <c r="N1196" s="45"/>
      <c r="O1196" s="45"/>
      <c r="P1196" s="45"/>
      <c r="Q1196" s="45"/>
      <c r="R1196" s="45"/>
      <c r="S1196" s="45"/>
      <c r="T1196" s="45"/>
      <c r="U1196" s="45"/>
      <c r="V1196" s="45"/>
      <c r="W1196" s="45"/>
      <c r="X1196" s="45"/>
      <c r="Y1196" s="45"/>
      <c r="Z1196" s="45"/>
      <c r="AA1196" s="45"/>
      <c r="AB1196" s="45"/>
      <c r="AC1196" s="45"/>
      <c r="AD1196" s="45"/>
    </row>
    <row r="1197">
      <c r="A1197" s="45"/>
      <c r="B1197" s="45"/>
      <c r="C1197" s="45"/>
      <c r="D1197" s="45"/>
      <c r="E1197" s="45"/>
      <c r="F1197" s="45"/>
      <c r="G1197" s="45"/>
      <c r="H1197" s="45"/>
      <c r="I1197" s="45"/>
      <c r="J1197" s="45"/>
      <c r="K1197" s="45"/>
      <c r="L1197" s="45"/>
      <c r="M1197" s="45"/>
      <c r="N1197" s="45"/>
      <c r="O1197" s="45"/>
      <c r="P1197" s="45"/>
      <c r="Q1197" s="45"/>
      <c r="R1197" s="45"/>
      <c r="S1197" s="45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5"/>
    </row>
    <row r="1198">
      <c r="A1198" s="45"/>
      <c r="B1198" s="45"/>
      <c r="C1198" s="45"/>
      <c r="D1198" s="45"/>
      <c r="E1198" s="45"/>
      <c r="F1198" s="45"/>
      <c r="G1198" s="45"/>
      <c r="H1198" s="45"/>
      <c r="I1198" s="45"/>
      <c r="J1198" s="45"/>
      <c r="K1198" s="45"/>
      <c r="L1198" s="45"/>
      <c r="M1198" s="45"/>
      <c r="N1198" s="45"/>
      <c r="O1198" s="45"/>
      <c r="P1198" s="45"/>
      <c r="Q1198" s="45"/>
      <c r="R1198" s="45"/>
      <c r="S1198" s="45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5"/>
    </row>
    <row r="1199">
      <c r="A1199" s="45"/>
      <c r="B1199" s="45"/>
      <c r="C1199" s="45"/>
      <c r="D1199" s="45"/>
      <c r="E1199" s="45"/>
      <c r="F1199" s="45"/>
      <c r="G1199" s="45"/>
      <c r="H1199" s="45"/>
      <c r="I1199" s="45"/>
      <c r="J1199" s="45"/>
      <c r="K1199" s="45"/>
      <c r="L1199" s="45"/>
      <c r="M1199" s="45"/>
      <c r="N1199" s="45"/>
      <c r="O1199" s="45"/>
      <c r="P1199" s="45"/>
      <c r="Q1199" s="45"/>
      <c r="R1199" s="45"/>
      <c r="S1199" s="45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5"/>
    </row>
    <row r="1200">
      <c r="A1200" s="45"/>
      <c r="B1200" s="45"/>
      <c r="C1200" s="45"/>
      <c r="D1200" s="45"/>
      <c r="E1200" s="45"/>
      <c r="F1200" s="45"/>
      <c r="G1200" s="45"/>
      <c r="H1200" s="45"/>
      <c r="I1200" s="45"/>
      <c r="J1200" s="45"/>
      <c r="K1200" s="45"/>
      <c r="L1200" s="45"/>
      <c r="M1200" s="45"/>
      <c r="N1200" s="45"/>
      <c r="O1200" s="45"/>
      <c r="P1200" s="45"/>
      <c r="Q1200" s="45"/>
      <c r="R1200" s="45"/>
      <c r="S1200" s="45"/>
      <c r="T1200" s="45"/>
      <c r="U1200" s="45"/>
      <c r="V1200" s="45"/>
      <c r="W1200" s="45"/>
      <c r="X1200" s="45"/>
      <c r="Y1200" s="45"/>
      <c r="Z1200" s="45"/>
      <c r="AA1200" s="45"/>
      <c r="AB1200" s="45"/>
      <c r="AC1200" s="45"/>
      <c r="AD1200" s="45"/>
    </row>
    <row r="1201">
      <c r="A1201" s="45"/>
      <c r="B1201" s="45"/>
      <c r="C1201" s="45"/>
      <c r="D1201" s="45"/>
      <c r="E1201" s="45"/>
      <c r="F1201" s="45"/>
      <c r="G1201" s="45"/>
      <c r="H1201" s="45"/>
      <c r="I1201" s="45"/>
      <c r="J1201" s="45"/>
      <c r="K1201" s="45"/>
      <c r="L1201" s="45"/>
      <c r="M1201" s="45"/>
      <c r="N1201" s="45"/>
      <c r="O1201" s="45"/>
      <c r="P1201" s="45"/>
      <c r="Q1201" s="45"/>
      <c r="R1201" s="45"/>
      <c r="S1201" s="45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5"/>
    </row>
    <row r="1202">
      <c r="A1202" s="45"/>
      <c r="B1202" s="45"/>
      <c r="C1202" s="45"/>
      <c r="D1202" s="45"/>
      <c r="E1202" s="45"/>
      <c r="F1202" s="45"/>
      <c r="G1202" s="45"/>
      <c r="H1202" s="45"/>
      <c r="I1202" s="45"/>
      <c r="J1202" s="45"/>
      <c r="K1202" s="45"/>
      <c r="L1202" s="45"/>
      <c r="M1202" s="45"/>
      <c r="N1202" s="45"/>
      <c r="O1202" s="45"/>
      <c r="P1202" s="45"/>
      <c r="Q1202" s="45"/>
      <c r="R1202" s="45"/>
      <c r="S1202" s="45"/>
      <c r="T1202" s="45"/>
      <c r="U1202" s="45"/>
      <c r="V1202" s="45"/>
      <c r="W1202" s="45"/>
      <c r="X1202" s="45"/>
      <c r="Y1202" s="45"/>
      <c r="Z1202" s="45"/>
      <c r="AA1202" s="45"/>
      <c r="AB1202" s="45"/>
      <c r="AC1202" s="45"/>
      <c r="AD1202" s="45"/>
    </row>
    <row r="1203">
      <c r="A1203" s="45"/>
      <c r="B1203" s="45"/>
      <c r="C1203" s="45"/>
      <c r="D1203" s="45"/>
      <c r="E1203" s="45"/>
      <c r="F1203" s="45"/>
      <c r="G1203" s="45"/>
      <c r="H1203" s="45"/>
      <c r="I1203" s="45"/>
      <c r="J1203" s="45"/>
      <c r="K1203" s="45"/>
      <c r="L1203" s="45"/>
      <c r="M1203" s="45"/>
      <c r="N1203" s="45"/>
      <c r="O1203" s="45"/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</row>
    <row r="1204">
      <c r="A1204" s="45"/>
      <c r="B1204" s="45"/>
      <c r="C1204" s="45"/>
      <c r="D1204" s="45"/>
      <c r="E1204" s="45"/>
      <c r="F1204" s="45"/>
      <c r="G1204" s="45"/>
      <c r="H1204" s="45"/>
      <c r="I1204" s="45"/>
      <c r="J1204" s="45"/>
      <c r="K1204" s="45"/>
      <c r="L1204" s="45"/>
      <c r="M1204" s="45"/>
      <c r="N1204" s="45"/>
      <c r="O1204" s="45"/>
      <c r="P1204" s="45"/>
      <c r="Q1204" s="45"/>
      <c r="R1204" s="45"/>
      <c r="S1204" s="45"/>
      <c r="T1204" s="45"/>
      <c r="U1204" s="45"/>
      <c r="V1204" s="45"/>
      <c r="W1204" s="45"/>
      <c r="X1204" s="45"/>
      <c r="Y1204" s="45"/>
      <c r="Z1204" s="45"/>
      <c r="AA1204" s="45"/>
      <c r="AB1204" s="45"/>
      <c r="AC1204" s="45"/>
      <c r="AD1204" s="45"/>
    </row>
    <row r="1205">
      <c r="A1205" s="45"/>
      <c r="B1205" s="45"/>
      <c r="C1205" s="45"/>
      <c r="D1205" s="45"/>
      <c r="E1205" s="45"/>
      <c r="F1205" s="45"/>
      <c r="G1205" s="45"/>
      <c r="H1205" s="45"/>
      <c r="I1205" s="45"/>
      <c r="J1205" s="45"/>
      <c r="K1205" s="45"/>
      <c r="L1205" s="45"/>
      <c r="M1205" s="45"/>
      <c r="N1205" s="45"/>
      <c r="O1205" s="45"/>
      <c r="P1205" s="45"/>
      <c r="Q1205" s="45"/>
      <c r="R1205" s="45"/>
      <c r="S1205" s="45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5"/>
    </row>
    <row r="1206">
      <c r="A1206" s="45"/>
      <c r="B1206" s="45"/>
      <c r="C1206" s="45"/>
      <c r="D1206" s="45"/>
      <c r="E1206" s="45"/>
      <c r="F1206" s="45"/>
      <c r="G1206" s="45"/>
      <c r="H1206" s="45"/>
      <c r="I1206" s="45"/>
      <c r="J1206" s="45"/>
      <c r="K1206" s="45"/>
      <c r="L1206" s="45"/>
      <c r="M1206" s="45"/>
      <c r="N1206" s="45"/>
      <c r="O1206" s="45"/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</row>
    <row r="1207">
      <c r="A1207" s="45"/>
      <c r="B1207" s="45"/>
      <c r="C1207" s="45"/>
      <c r="D1207" s="45"/>
      <c r="E1207" s="45"/>
      <c r="F1207" s="45"/>
      <c r="G1207" s="45"/>
      <c r="H1207" s="45"/>
      <c r="I1207" s="45"/>
      <c r="J1207" s="45"/>
      <c r="K1207" s="45"/>
      <c r="L1207" s="45"/>
      <c r="M1207" s="45"/>
      <c r="N1207" s="45"/>
      <c r="O1207" s="45"/>
      <c r="P1207" s="45"/>
      <c r="Q1207" s="45"/>
      <c r="R1207" s="45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5"/>
    </row>
    <row r="1208">
      <c r="A1208" s="45"/>
      <c r="B1208" s="45"/>
      <c r="C1208" s="45"/>
      <c r="D1208" s="45"/>
      <c r="E1208" s="45"/>
      <c r="F1208" s="45"/>
      <c r="G1208" s="45"/>
      <c r="H1208" s="45"/>
      <c r="I1208" s="45"/>
      <c r="J1208" s="45"/>
      <c r="K1208" s="45"/>
      <c r="L1208" s="45"/>
      <c r="M1208" s="45"/>
      <c r="N1208" s="45"/>
      <c r="O1208" s="45"/>
      <c r="P1208" s="45"/>
      <c r="Q1208" s="45"/>
      <c r="R1208" s="45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5"/>
    </row>
    <row r="1209">
      <c r="A1209" s="45"/>
      <c r="B1209" s="45"/>
      <c r="C1209" s="45"/>
      <c r="D1209" s="45"/>
      <c r="E1209" s="45"/>
      <c r="F1209" s="45"/>
      <c r="G1209" s="45"/>
      <c r="H1209" s="45"/>
      <c r="I1209" s="45"/>
      <c r="J1209" s="45"/>
      <c r="K1209" s="45"/>
      <c r="L1209" s="45"/>
      <c r="M1209" s="45"/>
      <c r="N1209" s="45"/>
      <c r="O1209" s="45"/>
      <c r="P1209" s="45"/>
      <c r="Q1209" s="45"/>
      <c r="R1209" s="45"/>
      <c r="S1209" s="45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5"/>
    </row>
    <row r="1210">
      <c r="A1210" s="45"/>
      <c r="B1210" s="45"/>
      <c r="C1210" s="45"/>
      <c r="D1210" s="45"/>
      <c r="E1210" s="45"/>
      <c r="F1210" s="45"/>
      <c r="G1210" s="45"/>
      <c r="H1210" s="45"/>
      <c r="I1210" s="45"/>
      <c r="J1210" s="45"/>
      <c r="K1210" s="45"/>
      <c r="L1210" s="45"/>
      <c r="M1210" s="45"/>
      <c r="N1210" s="45"/>
      <c r="O1210" s="45"/>
      <c r="P1210" s="45"/>
      <c r="Q1210" s="45"/>
      <c r="R1210" s="45"/>
      <c r="S1210" s="45"/>
      <c r="T1210" s="45"/>
      <c r="U1210" s="45"/>
      <c r="V1210" s="45"/>
      <c r="W1210" s="45"/>
      <c r="X1210" s="45"/>
      <c r="Y1210" s="45"/>
      <c r="Z1210" s="45"/>
      <c r="AA1210" s="45"/>
      <c r="AB1210" s="45"/>
      <c r="AC1210" s="45"/>
      <c r="AD1210" s="45"/>
    </row>
    <row r="1211">
      <c r="A1211" s="45"/>
      <c r="B1211" s="45"/>
      <c r="C1211" s="45"/>
      <c r="D1211" s="45"/>
      <c r="E1211" s="45"/>
      <c r="F1211" s="45"/>
      <c r="G1211" s="45"/>
      <c r="H1211" s="45"/>
      <c r="I1211" s="45"/>
      <c r="J1211" s="45"/>
      <c r="K1211" s="45"/>
      <c r="L1211" s="45"/>
      <c r="M1211" s="45"/>
      <c r="N1211" s="45"/>
      <c r="O1211" s="45"/>
      <c r="P1211" s="45"/>
      <c r="Q1211" s="45"/>
      <c r="R1211" s="45"/>
      <c r="S1211" s="45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5"/>
    </row>
    <row r="1212">
      <c r="A1212" s="45"/>
      <c r="B1212" s="45"/>
      <c r="C1212" s="45"/>
      <c r="D1212" s="45"/>
      <c r="E1212" s="45"/>
      <c r="F1212" s="45"/>
      <c r="G1212" s="45"/>
      <c r="H1212" s="45"/>
      <c r="I1212" s="45"/>
      <c r="J1212" s="45"/>
      <c r="K1212" s="45"/>
      <c r="L1212" s="45"/>
      <c r="M1212" s="45"/>
      <c r="N1212" s="45"/>
      <c r="O1212" s="45"/>
      <c r="P1212" s="45"/>
      <c r="Q1212" s="45"/>
      <c r="R1212" s="45"/>
      <c r="S1212" s="45"/>
      <c r="T1212" s="45"/>
      <c r="U1212" s="45"/>
      <c r="V1212" s="45"/>
      <c r="W1212" s="45"/>
      <c r="X1212" s="45"/>
      <c r="Y1212" s="45"/>
      <c r="Z1212" s="45"/>
      <c r="AA1212" s="45"/>
      <c r="AB1212" s="45"/>
      <c r="AC1212" s="45"/>
      <c r="AD1212" s="45"/>
    </row>
    <row r="1213">
      <c r="A1213" s="45"/>
      <c r="B1213" s="45"/>
      <c r="C1213" s="45"/>
      <c r="D1213" s="45"/>
      <c r="E1213" s="45"/>
      <c r="F1213" s="45"/>
      <c r="G1213" s="45"/>
      <c r="H1213" s="45"/>
      <c r="I1213" s="45"/>
      <c r="J1213" s="45"/>
      <c r="K1213" s="45"/>
      <c r="L1213" s="45"/>
      <c r="M1213" s="45"/>
      <c r="N1213" s="45"/>
      <c r="O1213" s="45"/>
      <c r="P1213" s="45"/>
      <c r="Q1213" s="45"/>
      <c r="R1213" s="45"/>
      <c r="S1213" s="45"/>
      <c r="T1213" s="45"/>
      <c r="U1213" s="45"/>
      <c r="V1213" s="45"/>
      <c r="W1213" s="45"/>
      <c r="X1213" s="45"/>
      <c r="Y1213" s="45"/>
      <c r="Z1213" s="45"/>
      <c r="AA1213" s="45"/>
      <c r="AB1213" s="45"/>
      <c r="AC1213" s="45"/>
      <c r="AD1213" s="45"/>
    </row>
    <row r="1214">
      <c r="A1214" s="45"/>
      <c r="B1214" s="45"/>
      <c r="C1214" s="45"/>
      <c r="D1214" s="45"/>
      <c r="E1214" s="45"/>
      <c r="F1214" s="45"/>
      <c r="G1214" s="45"/>
      <c r="H1214" s="45"/>
      <c r="I1214" s="45"/>
      <c r="J1214" s="45"/>
      <c r="K1214" s="45"/>
      <c r="L1214" s="45"/>
      <c r="M1214" s="45"/>
      <c r="N1214" s="45"/>
      <c r="O1214" s="45"/>
      <c r="P1214" s="45"/>
      <c r="Q1214" s="45"/>
      <c r="R1214" s="45"/>
      <c r="S1214" s="45"/>
      <c r="T1214" s="45"/>
      <c r="U1214" s="45"/>
      <c r="V1214" s="45"/>
      <c r="W1214" s="45"/>
      <c r="X1214" s="45"/>
      <c r="Y1214" s="45"/>
      <c r="Z1214" s="45"/>
      <c r="AA1214" s="45"/>
      <c r="AB1214" s="45"/>
      <c r="AC1214" s="45"/>
      <c r="AD1214" s="45"/>
    </row>
    <row r="1215">
      <c r="A1215" s="45"/>
      <c r="B1215" s="45"/>
      <c r="C1215" s="45"/>
      <c r="D1215" s="45"/>
      <c r="E1215" s="45"/>
      <c r="F1215" s="45"/>
      <c r="G1215" s="45"/>
      <c r="H1215" s="45"/>
      <c r="I1215" s="45"/>
      <c r="J1215" s="45"/>
      <c r="K1215" s="45"/>
      <c r="L1215" s="45"/>
      <c r="M1215" s="45"/>
      <c r="N1215" s="45"/>
      <c r="O1215" s="45"/>
      <c r="P1215" s="45"/>
      <c r="Q1215" s="45"/>
      <c r="R1215" s="45"/>
      <c r="S1215" s="45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5"/>
    </row>
    <row r="1216">
      <c r="A1216" s="45"/>
      <c r="B1216" s="45"/>
      <c r="C1216" s="45"/>
      <c r="D1216" s="45"/>
      <c r="E1216" s="45"/>
      <c r="F1216" s="45"/>
      <c r="G1216" s="45"/>
      <c r="H1216" s="45"/>
      <c r="I1216" s="45"/>
      <c r="J1216" s="45"/>
      <c r="K1216" s="45"/>
      <c r="L1216" s="45"/>
      <c r="M1216" s="45"/>
      <c r="N1216" s="45"/>
      <c r="O1216" s="45"/>
      <c r="P1216" s="45"/>
      <c r="Q1216" s="45"/>
      <c r="R1216" s="45"/>
      <c r="S1216" s="45"/>
      <c r="T1216" s="45"/>
      <c r="U1216" s="45"/>
      <c r="V1216" s="45"/>
      <c r="W1216" s="45"/>
      <c r="X1216" s="45"/>
      <c r="Y1216" s="45"/>
      <c r="Z1216" s="45"/>
      <c r="AA1216" s="45"/>
      <c r="AB1216" s="45"/>
      <c r="AC1216" s="45"/>
      <c r="AD1216" s="45"/>
    </row>
    <row r="1217">
      <c r="A1217" s="45"/>
      <c r="B1217" s="45"/>
      <c r="C1217" s="45"/>
      <c r="D1217" s="45"/>
      <c r="E1217" s="45"/>
      <c r="F1217" s="45"/>
      <c r="G1217" s="45"/>
      <c r="H1217" s="45"/>
      <c r="I1217" s="45"/>
      <c r="J1217" s="45"/>
      <c r="K1217" s="45"/>
      <c r="L1217" s="45"/>
      <c r="M1217" s="45"/>
      <c r="N1217" s="45"/>
      <c r="O1217" s="45"/>
      <c r="P1217" s="45"/>
      <c r="Q1217" s="45"/>
      <c r="R1217" s="45"/>
      <c r="S1217" s="45"/>
      <c r="T1217" s="45"/>
      <c r="U1217" s="45"/>
      <c r="V1217" s="45"/>
      <c r="W1217" s="45"/>
      <c r="X1217" s="45"/>
      <c r="Y1217" s="45"/>
      <c r="Z1217" s="45"/>
      <c r="AA1217" s="45"/>
      <c r="AB1217" s="45"/>
      <c r="AC1217" s="45"/>
      <c r="AD1217" s="45"/>
    </row>
    <row r="1218">
      <c r="A1218" s="45"/>
      <c r="B1218" s="45"/>
      <c r="C1218" s="45"/>
      <c r="D1218" s="45"/>
      <c r="E1218" s="45"/>
      <c r="F1218" s="45"/>
      <c r="G1218" s="45"/>
      <c r="H1218" s="45"/>
      <c r="I1218" s="45"/>
      <c r="J1218" s="45"/>
      <c r="K1218" s="45"/>
      <c r="L1218" s="45"/>
      <c r="M1218" s="45"/>
      <c r="N1218" s="45"/>
      <c r="O1218" s="45"/>
      <c r="P1218" s="45"/>
      <c r="Q1218" s="45"/>
      <c r="R1218" s="45"/>
      <c r="S1218" s="45"/>
      <c r="T1218" s="45"/>
      <c r="U1218" s="45"/>
      <c r="V1218" s="45"/>
      <c r="W1218" s="45"/>
      <c r="X1218" s="45"/>
      <c r="Y1218" s="45"/>
      <c r="Z1218" s="45"/>
      <c r="AA1218" s="45"/>
      <c r="AB1218" s="45"/>
      <c r="AC1218" s="45"/>
      <c r="AD1218" s="45"/>
    </row>
    <row r="1219">
      <c r="A1219" s="45"/>
      <c r="B1219" s="45"/>
      <c r="C1219" s="45"/>
      <c r="D1219" s="45"/>
      <c r="E1219" s="45"/>
      <c r="F1219" s="45"/>
      <c r="G1219" s="45"/>
      <c r="H1219" s="45"/>
      <c r="I1219" s="45"/>
      <c r="J1219" s="45"/>
      <c r="K1219" s="45"/>
      <c r="L1219" s="45"/>
      <c r="M1219" s="45"/>
      <c r="N1219" s="45"/>
      <c r="O1219" s="45"/>
      <c r="P1219" s="45"/>
      <c r="Q1219" s="45"/>
      <c r="R1219" s="45"/>
      <c r="S1219" s="45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5"/>
    </row>
    <row r="1220">
      <c r="A1220" s="45"/>
      <c r="B1220" s="45"/>
      <c r="C1220" s="45"/>
      <c r="D1220" s="45"/>
      <c r="E1220" s="45"/>
      <c r="F1220" s="45"/>
      <c r="G1220" s="45"/>
      <c r="H1220" s="45"/>
      <c r="I1220" s="45"/>
      <c r="J1220" s="45"/>
      <c r="K1220" s="45"/>
      <c r="L1220" s="45"/>
      <c r="M1220" s="45"/>
      <c r="N1220" s="45"/>
      <c r="O1220" s="45"/>
      <c r="P1220" s="45"/>
      <c r="Q1220" s="45"/>
      <c r="R1220" s="45"/>
      <c r="S1220" s="45"/>
      <c r="T1220" s="45"/>
      <c r="U1220" s="45"/>
      <c r="V1220" s="45"/>
      <c r="W1220" s="45"/>
      <c r="X1220" s="45"/>
      <c r="Y1220" s="45"/>
      <c r="Z1220" s="45"/>
      <c r="AA1220" s="45"/>
      <c r="AB1220" s="45"/>
      <c r="AC1220" s="45"/>
      <c r="AD1220" s="45"/>
    </row>
    <row r="1221">
      <c r="A1221" s="45"/>
      <c r="B1221" s="45"/>
      <c r="C1221" s="45"/>
      <c r="D1221" s="45"/>
      <c r="E1221" s="45"/>
      <c r="F1221" s="45"/>
      <c r="G1221" s="45"/>
      <c r="H1221" s="45"/>
      <c r="I1221" s="45"/>
      <c r="J1221" s="45"/>
      <c r="K1221" s="45"/>
      <c r="L1221" s="45"/>
      <c r="M1221" s="45"/>
      <c r="N1221" s="45"/>
      <c r="O1221" s="45"/>
      <c r="P1221" s="45"/>
      <c r="Q1221" s="45"/>
      <c r="R1221" s="45"/>
      <c r="S1221" s="45"/>
      <c r="T1221" s="45"/>
      <c r="U1221" s="45"/>
      <c r="V1221" s="45"/>
      <c r="W1221" s="45"/>
      <c r="X1221" s="45"/>
      <c r="Y1221" s="45"/>
      <c r="Z1221" s="45"/>
      <c r="AA1221" s="45"/>
      <c r="AB1221" s="45"/>
      <c r="AC1221" s="45"/>
      <c r="AD1221" s="45"/>
    </row>
    <row r="1222">
      <c r="A1222" s="45"/>
      <c r="B1222" s="45"/>
      <c r="C1222" s="45"/>
      <c r="D1222" s="45"/>
      <c r="E1222" s="45"/>
      <c r="F1222" s="45"/>
      <c r="G1222" s="45"/>
      <c r="H1222" s="45"/>
      <c r="I1222" s="45"/>
      <c r="J1222" s="45"/>
      <c r="K1222" s="45"/>
      <c r="L1222" s="45"/>
      <c r="M1222" s="45"/>
      <c r="N1222" s="45"/>
      <c r="O1222" s="45"/>
      <c r="P1222" s="45"/>
      <c r="Q1222" s="45"/>
      <c r="R1222" s="45"/>
      <c r="S1222" s="45"/>
      <c r="T1222" s="45"/>
      <c r="U1222" s="45"/>
      <c r="V1222" s="45"/>
      <c r="W1222" s="45"/>
      <c r="X1222" s="45"/>
      <c r="Y1222" s="45"/>
      <c r="Z1222" s="45"/>
      <c r="AA1222" s="45"/>
      <c r="AB1222" s="45"/>
      <c r="AC1222" s="45"/>
      <c r="AD1222" s="45"/>
    </row>
    <row r="1223">
      <c r="A1223" s="45"/>
      <c r="B1223" s="45"/>
      <c r="C1223" s="45"/>
      <c r="D1223" s="45"/>
      <c r="E1223" s="45"/>
      <c r="F1223" s="45"/>
      <c r="G1223" s="45"/>
      <c r="H1223" s="45"/>
      <c r="I1223" s="45"/>
      <c r="J1223" s="45"/>
      <c r="K1223" s="45"/>
      <c r="L1223" s="45"/>
      <c r="M1223" s="45"/>
      <c r="N1223" s="45"/>
      <c r="O1223" s="45"/>
      <c r="P1223" s="45"/>
      <c r="Q1223" s="45"/>
      <c r="R1223" s="45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5"/>
    </row>
    <row r="1224">
      <c r="A1224" s="45"/>
      <c r="B1224" s="45"/>
      <c r="C1224" s="45"/>
      <c r="D1224" s="45"/>
      <c r="E1224" s="45"/>
      <c r="F1224" s="45"/>
      <c r="G1224" s="45"/>
      <c r="H1224" s="45"/>
      <c r="I1224" s="45"/>
      <c r="J1224" s="45"/>
      <c r="K1224" s="45"/>
      <c r="L1224" s="45"/>
      <c r="M1224" s="45"/>
      <c r="N1224" s="45"/>
      <c r="O1224" s="45"/>
      <c r="P1224" s="45"/>
      <c r="Q1224" s="45"/>
      <c r="R1224" s="45"/>
      <c r="S1224" s="45"/>
      <c r="T1224" s="45"/>
      <c r="U1224" s="45"/>
      <c r="V1224" s="45"/>
      <c r="W1224" s="45"/>
      <c r="X1224" s="45"/>
      <c r="Y1224" s="45"/>
      <c r="Z1224" s="45"/>
      <c r="AA1224" s="45"/>
      <c r="AB1224" s="45"/>
      <c r="AC1224" s="45"/>
      <c r="AD1224" s="45"/>
    </row>
    <row r="1225">
      <c r="A1225" s="45"/>
      <c r="B1225" s="45"/>
      <c r="C1225" s="45"/>
      <c r="D1225" s="45"/>
      <c r="E1225" s="45"/>
      <c r="F1225" s="45"/>
      <c r="G1225" s="45"/>
      <c r="H1225" s="45"/>
      <c r="I1225" s="45"/>
      <c r="J1225" s="45"/>
      <c r="K1225" s="45"/>
      <c r="L1225" s="45"/>
      <c r="M1225" s="45"/>
      <c r="N1225" s="45"/>
      <c r="O1225" s="45"/>
      <c r="P1225" s="45"/>
      <c r="Q1225" s="45"/>
      <c r="R1225" s="45"/>
      <c r="S1225" s="45"/>
      <c r="T1225" s="45"/>
      <c r="U1225" s="45"/>
      <c r="V1225" s="45"/>
      <c r="W1225" s="45"/>
      <c r="X1225" s="45"/>
      <c r="Y1225" s="45"/>
      <c r="Z1225" s="45"/>
      <c r="AA1225" s="45"/>
      <c r="AB1225" s="45"/>
      <c r="AC1225" s="45"/>
      <c r="AD1225" s="45"/>
    </row>
    <row r="1226">
      <c r="A1226" s="45"/>
      <c r="B1226" s="45"/>
      <c r="C1226" s="45"/>
      <c r="D1226" s="45"/>
      <c r="E1226" s="45"/>
      <c r="F1226" s="45"/>
      <c r="G1226" s="45"/>
      <c r="H1226" s="45"/>
      <c r="I1226" s="45"/>
      <c r="J1226" s="45"/>
      <c r="K1226" s="45"/>
      <c r="L1226" s="45"/>
      <c r="M1226" s="45"/>
      <c r="N1226" s="45"/>
      <c r="O1226" s="45"/>
      <c r="P1226" s="45"/>
      <c r="Q1226" s="45"/>
      <c r="R1226" s="45"/>
      <c r="S1226" s="45"/>
      <c r="T1226" s="45"/>
      <c r="U1226" s="45"/>
      <c r="V1226" s="45"/>
      <c r="W1226" s="45"/>
      <c r="X1226" s="45"/>
      <c r="Y1226" s="45"/>
      <c r="Z1226" s="45"/>
      <c r="AA1226" s="45"/>
      <c r="AB1226" s="45"/>
      <c r="AC1226" s="45"/>
      <c r="AD1226" s="45"/>
    </row>
    <row r="1227">
      <c r="A1227" s="45"/>
      <c r="B1227" s="45"/>
      <c r="C1227" s="45"/>
      <c r="D1227" s="45"/>
      <c r="E1227" s="45"/>
      <c r="F1227" s="45"/>
      <c r="G1227" s="45"/>
      <c r="H1227" s="45"/>
      <c r="I1227" s="45"/>
      <c r="J1227" s="45"/>
      <c r="K1227" s="45"/>
      <c r="L1227" s="45"/>
      <c r="M1227" s="45"/>
      <c r="N1227" s="45"/>
      <c r="O1227" s="45"/>
      <c r="P1227" s="45"/>
      <c r="Q1227" s="45"/>
      <c r="R1227" s="45"/>
      <c r="S1227" s="45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5"/>
    </row>
    <row r="1228">
      <c r="A1228" s="45"/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</row>
    <row r="1229">
      <c r="A1229" s="4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</row>
    <row r="1230">
      <c r="A1230" s="45"/>
      <c r="B1230" s="45"/>
      <c r="C1230" s="45"/>
      <c r="D1230" s="45"/>
      <c r="E1230" s="45"/>
      <c r="F1230" s="45"/>
      <c r="G1230" s="45"/>
      <c r="H1230" s="45"/>
      <c r="I1230" s="45"/>
      <c r="J1230" s="45"/>
      <c r="K1230" s="45"/>
      <c r="L1230" s="45"/>
      <c r="M1230" s="45"/>
      <c r="N1230" s="45"/>
      <c r="O1230" s="45"/>
      <c r="P1230" s="45"/>
      <c r="Q1230" s="45"/>
      <c r="R1230" s="45"/>
      <c r="S1230" s="45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5"/>
    </row>
    <row r="1231">
      <c r="A1231" s="45"/>
      <c r="B1231" s="45"/>
      <c r="C1231" s="45"/>
      <c r="D1231" s="45"/>
      <c r="E1231" s="45"/>
      <c r="F1231" s="45"/>
      <c r="G1231" s="45"/>
      <c r="H1231" s="45"/>
      <c r="I1231" s="45"/>
      <c r="J1231" s="45"/>
      <c r="K1231" s="45"/>
      <c r="L1231" s="45"/>
      <c r="M1231" s="45"/>
      <c r="N1231" s="45"/>
      <c r="O1231" s="45"/>
      <c r="P1231" s="45"/>
      <c r="Q1231" s="45"/>
      <c r="R1231" s="45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5"/>
    </row>
    <row r="1232">
      <c r="A1232" s="45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  <c r="U1232" s="45"/>
      <c r="V1232" s="45"/>
      <c r="W1232" s="45"/>
      <c r="X1232" s="45"/>
      <c r="Y1232" s="45"/>
      <c r="Z1232" s="45"/>
      <c r="AA1232" s="45"/>
      <c r="AB1232" s="45"/>
      <c r="AC1232" s="45"/>
      <c r="AD1232" s="45"/>
    </row>
    <row r="1233">
      <c r="A1233" s="45"/>
      <c r="B1233" s="45"/>
      <c r="C1233" s="45"/>
      <c r="D1233" s="45"/>
      <c r="E1233" s="45"/>
      <c r="F1233" s="45"/>
      <c r="G1233" s="45"/>
      <c r="H1233" s="45"/>
      <c r="I1233" s="45"/>
      <c r="J1233" s="45"/>
      <c r="K1233" s="45"/>
      <c r="L1233" s="45"/>
      <c r="M1233" s="45"/>
      <c r="N1233" s="45"/>
      <c r="O1233" s="45"/>
      <c r="P1233" s="45"/>
      <c r="Q1233" s="45"/>
      <c r="R1233" s="45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5"/>
    </row>
    <row r="1234">
      <c r="A1234" s="45"/>
      <c r="B1234" s="45"/>
      <c r="C1234" s="45"/>
      <c r="D1234" s="45"/>
      <c r="E1234" s="45"/>
      <c r="F1234" s="45"/>
      <c r="G1234" s="45"/>
      <c r="H1234" s="45"/>
      <c r="I1234" s="45"/>
      <c r="J1234" s="45"/>
      <c r="K1234" s="45"/>
      <c r="L1234" s="45"/>
      <c r="M1234" s="45"/>
      <c r="N1234" s="45"/>
      <c r="O1234" s="45"/>
      <c r="P1234" s="45"/>
      <c r="Q1234" s="45"/>
      <c r="R1234" s="45"/>
      <c r="S1234" s="45"/>
      <c r="T1234" s="45"/>
      <c r="U1234" s="45"/>
      <c r="V1234" s="45"/>
      <c r="W1234" s="45"/>
      <c r="X1234" s="45"/>
      <c r="Y1234" s="45"/>
      <c r="Z1234" s="45"/>
      <c r="AA1234" s="45"/>
      <c r="AB1234" s="45"/>
      <c r="AC1234" s="45"/>
      <c r="AD1234" s="45"/>
    </row>
    <row r="1235">
      <c r="A1235" s="45"/>
      <c r="B1235" s="45"/>
      <c r="C1235" s="45"/>
      <c r="D1235" s="45"/>
      <c r="E1235" s="45"/>
      <c r="F1235" s="45"/>
      <c r="G1235" s="45"/>
      <c r="H1235" s="45"/>
      <c r="I1235" s="45"/>
      <c r="J1235" s="45"/>
      <c r="K1235" s="45"/>
      <c r="L1235" s="45"/>
      <c r="M1235" s="45"/>
      <c r="N1235" s="45"/>
      <c r="O1235" s="45"/>
      <c r="P1235" s="45"/>
      <c r="Q1235" s="45"/>
      <c r="R1235" s="45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5"/>
    </row>
    <row r="1236">
      <c r="A1236" s="45"/>
      <c r="B1236" s="45"/>
      <c r="C1236" s="45"/>
      <c r="D1236" s="45"/>
      <c r="E1236" s="45"/>
      <c r="F1236" s="45"/>
      <c r="G1236" s="45"/>
      <c r="H1236" s="45"/>
      <c r="I1236" s="45"/>
      <c r="J1236" s="45"/>
      <c r="K1236" s="45"/>
      <c r="L1236" s="45"/>
      <c r="M1236" s="45"/>
      <c r="N1236" s="45"/>
      <c r="O1236" s="45"/>
      <c r="P1236" s="45"/>
      <c r="Q1236" s="45"/>
      <c r="R1236" s="45"/>
      <c r="S1236" s="45"/>
      <c r="T1236" s="45"/>
      <c r="U1236" s="45"/>
      <c r="V1236" s="45"/>
      <c r="W1236" s="45"/>
      <c r="X1236" s="45"/>
      <c r="Y1236" s="45"/>
      <c r="Z1236" s="45"/>
      <c r="AA1236" s="45"/>
      <c r="AB1236" s="45"/>
      <c r="AC1236" s="45"/>
      <c r="AD1236" s="45"/>
    </row>
    <row r="1237">
      <c r="A1237" s="45"/>
      <c r="B1237" s="45"/>
      <c r="C1237" s="45"/>
      <c r="D1237" s="45"/>
      <c r="E1237" s="45"/>
      <c r="F1237" s="45"/>
      <c r="G1237" s="45"/>
      <c r="H1237" s="45"/>
      <c r="I1237" s="45"/>
      <c r="J1237" s="45"/>
      <c r="K1237" s="45"/>
      <c r="L1237" s="45"/>
      <c r="M1237" s="45"/>
      <c r="N1237" s="45"/>
      <c r="O1237" s="45"/>
      <c r="P1237" s="45"/>
      <c r="Q1237" s="45"/>
      <c r="R1237" s="45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5"/>
    </row>
    <row r="1238">
      <c r="A1238" s="45"/>
      <c r="B1238" s="45"/>
      <c r="C1238" s="45"/>
      <c r="D1238" s="45"/>
      <c r="E1238" s="45"/>
      <c r="F1238" s="45"/>
      <c r="G1238" s="45"/>
      <c r="H1238" s="45"/>
      <c r="I1238" s="45"/>
      <c r="J1238" s="45"/>
      <c r="K1238" s="45"/>
      <c r="L1238" s="45"/>
      <c r="M1238" s="45"/>
      <c r="N1238" s="45"/>
      <c r="O1238" s="45"/>
      <c r="P1238" s="45"/>
      <c r="Q1238" s="45"/>
      <c r="R1238" s="45"/>
      <c r="S1238" s="45"/>
      <c r="T1238" s="45"/>
      <c r="U1238" s="45"/>
      <c r="V1238" s="45"/>
      <c r="W1238" s="45"/>
      <c r="X1238" s="45"/>
      <c r="Y1238" s="45"/>
      <c r="Z1238" s="45"/>
      <c r="AA1238" s="45"/>
      <c r="AB1238" s="45"/>
      <c r="AC1238" s="45"/>
      <c r="AD1238" s="45"/>
    </row>
    <row r="1239">
      <c r="A1239" s="45"/>
      <c r="B1239" s="45"/>
      <c r="C1239" s="45"/>
      <c r="D1239" s="45"/>
      <c r="E1239" s="45"/>
      <c r="F1239" s="45"/>
      <c r="G1239" s="45"/>
      <c r="H1239" s="45"/>
      <c r="I1239" s="45"/>
      <c r="J1239" s="45"/>
      <c r="K1239" s="45"/>
      <c r="L1239" s="45"/>
      <c r="M1239" s="45"/>
      <c r="N1239" s="45"/>
      <c r="O1239" s="45"/>
      <c r="P1239" s="45"/>
      <c r="Q1239" s="45"/>
      <c r="R1239" s="45"/>
      <c r="S1239" s="45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5"/>
    </row>
    <row r="1240">
      <c r="A1240" s="45"/>
      <c r="B1240" s="45"/>
      <c r="C1240" s="45"/>
      <c r="D1240" s="45"/>
      <c r="E1240" s="45"/>
      <c r="F1240" s="45"/>
      <c r="G1240" s="45"/>
      <c r="H1240" s="45"/>
      <c r="I1240" s="45"/>
      <c r="J1240" s="45"/>
      <c r="K1240" s="45"/>
      <c r="L1240" s="45"/>
      <c r="M1240" s="45"/>
      <c r="N1240" s="45"/>
      <c r="O1240" s="45"/>
      <c r="P1240" s="45"/>
      <c r="Q1240" s="45"/>
      <c r="R1240" s="45"/>
      <c r="S1240" s="45"/>
      <c r="T1240" s="45"/>
      <c r="U1240" s="45"/>
      <c r="V1240" s="45"/>
      <c r="W1240" s="45"/>
      <c r="X1240" s="45"/>
      <c r="Y1240" s="45"/>
      <c r="Z1240" s="45"/>
      <c r="AA1240" s="45"/>
      <c r="AB1240" s="45"/>
      <c r="AC1240" s="45"/>
      <c r="AD1240" s="45"/>
    </row>
    <row r="1241">
      <c r="A1241" s="45"/>
      <c r="B1241" s="45"/>
      <c r="C1241" s="45"/>
      <c r="D1241" s="45"/>
      <c r="E1241" s="45"/>
      <c r="F1241" s="45"/>
      <c r="G1241" s="45"/>
      <c r="H1241" s="45"/>
      <c r="I1241" s="45"/>
      <c r="J1241" s="45"/>
      <c r="K1241" s="45"/>
      <c r="L1241" s="45"/>
      <c r="M1241" s="45"/>
      <c r="N1241" s="45"/>
      <c r="O1241" s="45"/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</row>
    <row r="1242">
      <c r="A1242" s="45"/>
      <c r="B1242" s="45"/>
      <c r="C1242" s="45"/>
      <c r="D1242" s="45"/>
      <c r="E1242" s="45"/>
      <c r="F1242" s="45"/>
      <c r="G1242" s="45"/>
      <c r="H1242" s="45"/>
      <c r="I1242" s="45"/>
      <c r="J1242" s="45"/>
      <c r="K1242" s="45"/>
      <c r="L1242" s="45"/>
      <c r="M1242" s="45"/>
      <c r="N1242" s="45"/>
      <c r="O1242" s="45"/>
      <c r="P1242" s="45"/>
      <c r="Q1242" s="45"/>
      <c r="R1242" s="45"/>
      <c r="S1242" s="45"/>
      <c r="T1242" s="45"/>
      <c r="U1242" s="45"/>
      <c r="V1242" s="45"/>
      <c r="W1242" s="45"/>
      <c r="X1242" s="45"/>
      <c r="Y1242" s="45"/>
      <c r="Z1242" s="45"/>
      <c r="AA1242" s="45"/>
      <c r="AB1242" s="45"/>
      <c r="AC1242" s="45"/>
      <c r="AD1242" s="45"/>
    </row>
    <row r="1243">
      <c r="A1243" s="45"/>
      <c r="B1243" s="45"/>
      <c r="C1243" s="45"/>
      <c r="D1243" s="45"/>
      <c r="E1243" s="45"/>
      <c r="F1243" s="45"/>
      <c r="G1243" s="45"/>
      <c r="H1243" s="45"/>
      <c r="I1243" s="45"/>
      <c r="J1243" s="45"/>
      <c r="K1243" s="45"/>
      <c r="L1243" s="45"/>
      <c r="M1243" s="45"/>
      <c r="N1243" s="45"/>
      <c r="O1243" s="45"/>
      <c r="P1243" s="45"/>
      <c r="Q1243" s="45"/>
      <c r="R1243" s="45"/>
      <c r="S1243" s="45"/>
      <c r="T1243" s="45"/>
      <c r="U1243" s="45"/>
      <c r="V1243" s="45"/>
      <c r="W1243" s="45"/>
      <c r="X1243" s="45"/>
      <c r="Y1243" s="45"/>
      <c r="Z1243" s="45"/>
      <c r="AA1243" s="45"/>
      <c r="AB1243" s="45"/>
      <c r="AC1243" s="45"/>
      <c r="AD1243" s="45"/>
    </row>
    <row r="1244">
      <c r="A1244" s="45"/>
      <c r="B1244" s="45"/>
      <c r="C1244" s="45"/>
      <c r="D1244" s="45"/>
      <c r="E1244" s="45"/>
      <c r="F1244" s="45"/>
      <c r="G1244" s="45"/>
      <c r="H1244" s="45"/>
      <c r="I1244" s="45"/>
      <c r="J1244" s="45"/>
      <c r="K1244" s="45"/>
      <c r="L1244" s="45"/>
      <c r="M1244" s="45"/>
      <c r="N1244" s="45"/>
      <c r="O1244" s="45"/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</row>
    <row r="1245">
      <c r="A1245" s="45"/>
      <c r="B1245" s="45"/>
      <c r="C1245" s="45"/>
      <c r="D1245" s="45"/>
      <c r="E1245" s="45"/>
      <c r="F1245" s="45"/>
      <c r="G1245" s="45"/>
      <c r="H1245" s="45"/>
      <c r="I1245" s="45"/>
      <c r="J1245" s="45"/>
      <c r="K1245" s="45"/>
      <c r="L1245" s="45"/>
      <c r="M1245" s="45"/>
      <c r="N1245" s="45"/>
      <c r="O1245" s="45"/>
      <c r="P1245" s="45"/>
      <c r="Q1245" s="45"/>
      <c r="R1245" s="45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5"/>
    </row>
    <row r="1246">
      <c r="A1246" s="45"/>
      <c r="B1246" s="45"/>
      <c r="C1246" s="45"/>
      <c r="D1246" s="45"/>
      <c r="E1246" s="45"/>
      <c r="F1246" s="45"/>
      <c r="G1246" s="45"/>
      <c r="H1246" s="45"/>
      <c r="I1246" s="45"/>
      <c r="J1246" s="45"/>
      <c r="K1246" s="45"/>
      <c r="L1246" s="45"/>
      <c r="M1246" s="45"/>
      <c r="N1246" s="45"/>
      <c r="O1246" s="45"/>
      <c r="P1246" s="45"/>
      <c r="Q1246" s="45"/>
      <c r="R1246" s="45"/>
      <c r="S1246" s="45"/>
      <c r="T1246" s="45"/>
      <c r="U1246" s="45"/>
      <c r="V1246" s="45"/>
      <c r="W1246" s="45"/>
      <c r="X1246" s="45"/>
      <c r="Y1246" s="45"/>
      <c r="Z1246" s="45"/>
      <c r="AA1246" s="45"/>
      <c r="AB1246" s="45"/>
      <c r="AC1246" s="45"/>
      <c r="AD1246" s="45"/>
    </row>
    <row r="1247">
      <c r="A1247" s="45"/>
      <c r="B1247" s="45"/>
      <c r="C1247" s="45"/>
      <c r="D1247" s="45"/>
      <c r="E1247" s="45"/>
      <c r="F1247" s="45"/>
      <c r="G1247" s="45"/>
      <c r="H1247" s="45"/>
      <c r="I1247" s="45"/>
      <c r="J1247" s="45"/>
      <c r="K1247" s="45"/>
      <c r="L1247" s="45"/>
      <c r="M1247" s="45"/>
      <c r="N1247" s="45"/>
      <c r="O1247" s="45"/>
      <c r="P1247" s="45"/>
      <c r="Q1247" s="45"/>
      <c r="R1247" s="45"/>
      <c r="S1247" s="45"/>
      <c r="T1247" s="45"/>
      <c r="U1247" s="45"/>
      <c r="V1247" s="45"/>
      <c r="W1247" s="45"/>
      <c r="X1247" s="45"/>
      <c r="Y1247" s="45"/>
      <c r="Z1247" s="45"/>
      <c r="AA1247" s="45"/>
      <c r="AB1247" s="45"/>
      <c r="AC1247" s="45"/>
      <c r="AD1247" s="45"/>
    </row>
    <row r="1248">
      <c r="A1248" s="45"/>
      <c r="B1248" s="45"/>
      <c r="C1248" s="45"/>
      <c r="D1248" s="45"/>
      <c r="E1248" s="45"/>
      <c r="F1248" s="45"/>
      <c r="G1248" s="45"/>
      <c r="H1248" s="45"/>
      <c r="I1248" s="45"/>
      <c r="J1248" s="45"/>
      <c r="K1248" s="45"/>
      <c r="L1248" s="45"/>
      <c r="M1248" s="45"/>
      <c r="N1248" s="45"/>
      <c r="O1248" s="45"/>
      <c r="P1248" s="45"/>
      <c r="Q1248" s="45"/>
      <c r="R1248" s="45"/>
      <c r="S1248" s="45"/>
      <c r="T1248" s="45"/>
      <c r="U1248" s="45"/>
      <c r="V1248" s="45"/>
      <c r="W1248" s="45"/>
      <c r="X1248" s="45"/>
      <c r="Y1248" s="45"/>
      <c r="Z1248" s="45"/>
      <c r="AA1248" s="45"/>
      <c r="AB1248" s="45"/>
      <c r="AC1248" s="45"/>
      <c r="AD1248" s="45"/>
    </row>
    <row r="1249">
      <c r="A1249" s="45"/>
      <c r="B1249" s="45"/>
      <c r="C1249" s="45"/>
      <c r="D1249" s="45"/>
      <c r="E1249" s="45"/>
      <c r="F1249" s="45"/>
      <c r="G1249" s="45"/>
      <c r="H1249" s="45"/>
      <c r="I1249" s="45"/>
      <c r="J1249" s="45"/>
      <c r="K1249" s="45"/>
      <c r="L1249" s="45"/>
      <c r="M1249" s="45"/>
      <c r="N1249" s="45"/>
      <c r="O1249" s="45"/>
      <c r="P1249" s="45"/>
      <c r="Q1249" s="45"/>
      <c r="R1249" s="45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5"/>
    </row>
    <row r="1250">
      <c r="A1250" s="45"/>
      <c r="B1250" s="45"/>
      <c r="C1250" s="45"/>
      <c r="D1250" s="45"/>
      <c r="E1250" s="45"/>
      <c r="F1250" s="45"/>
      <c r="G1250" s="45"/>
      <c r="H1250" s="45"/>
      <c r="I1250" s="45"/>
      <c r="J1250" s="45"/>
      <c r="K1250" s="45"/>
      <c r="L1250" s="45"/>
      <c r="M1250" s="45"/>
      <c r="N1250" s="45"/>
      <c r="O1250" s="45"/>
      <c r="P1250" s="45"/>
      <c r="Q1250" s="45"/>
      <c r="R1250" s="45"/>
      <c r="S1250" s="45"/>
      <c r="T1250" s="45"/>
      <c r="U1250" s="45"/>
      <c r="V1250" s="45"/>
      <c r="W1250" s="45"/>
      <c r="X1250" s="45"/>
      <c r="Y1250" s="45"/>
      <c r="Z1250" s="45"/>
      <c r="AA1250" s="45"/>
      <c r="AB1250" s="45"/>
      <c r="AC1250" s="45"/>
      <c r="AD1250" s="45"/>
    </row>
    <row r="1251">
      <c r="A1251" s="45"/>
      <c r="B1251" s="45"/>
      <c r="C1251" s="45"/>
      <c r="D1251" s="45"/>
      <c r="E1251" s="45"/>
      <c r="F1251" s="45"/>
      <c r="G1251" s="45"/>
      <c r="H1251" s="45"/>
      <c r="I1251" s="45"/>
      <c r="J1251" s="45"/>
      <c r="K1251" s="45"/>
      <c r="L1251" s="45"/>
      <c r="M1251" s="45"/>
      <c r="N1251" s="45"/>
      <c r="O1251" s="45"/>
      <c r="P1251" s="45"/>
      <c r="Q1251" s="45"/>
      <c r="R1251" s="45"/>
      <c r="S1251" s="45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5"/>
    </row>
    <row r="1252">
      <c r="A1252" s="45"/>
      <c r="B1252" s="45"/>
      <c r="C1252" s="45"/>
      <c r="D1252" s="45"/>
      <c r="E1252" s="45"/>
      <c r="F1252" s="45"/>
      <c r="G1252" s="45"/>
      <c r="H1252" s="45"/>
      <c r="I1252" s="45"/>
      <c r="J1252" s="45"/>
      <c r="K1252" s="45"/>
      <c r="L1252" s="45"/>
      <c r="M1252" s="45"/>
      <c r="N1252" s="45"/>
      <c r="O1252" s="45"/>
      <c r="P1252" s="45"/>
      <c r="Q1252" s="45"/>
      <c r="R1252" s="45"/>
      <c r="S1252" s="45"/>
      <c r="T1252" s="45"/>
      <c r="U1252" s="45"/>
      <c r="V1252" s="45"/>
      <c r="W1252" s="45"/>
      <c r="X1252" s="45"/>
      <c r="Y1252" s="45"/>
      <c r="Z1252" s="45"/>
      <c r="AA1252" s="45"/>
      <c r="AB1252" s="45"/>
      <c r="AC1252" s="45"/>
      <c r="AD1252" s="45"/>
    </row>
    <row r="1253">
      <c r="A1253" s="45"/>
      <c r="B1253" s="45"/>
      <c r="C1253" s="45"/>
      <c r="D1253" s="45"/>
      <c r="E1253" s="45"/>
      <c r="F1253" s="45"/>
      <c r="G1253" s="45"/>
      <c r="H1253" s="45"/>
      <c r="I1253" s="45"/>
      <c r="J1253" s="45"/>
      <c r="K1253" s="45"/>
      <c r="L1253" s="45"/>
      <c r="M1253" s="45"/>
      <c r="N1253" s="45"/>
      <c r="O1253" s="45"/>
      <c r="P1253" s="45"/>
      <c r="Q1253" s="45"/>
      <c r="R1253" s="45"/>
      <c r="S1253" s="45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5"/>
    </row>
    <row r="1254">
      <c r="A1254" s="45"/>
      <c r="B1254" s="45"/>
      <c r="C1254" s="45"/>
      <c r="D1254" s="45"/>
      <c r="E1254" s="45"/>
      <c r="F1254" s="45"/>
      <c r="G1254" s="45"/>
      <c r="H1254" s="45"/>
      <c r="I1254" s="45"/>
      <c r="J1254" s="45"/>
      <c r="K1254" s="45"/>
      <c r="L1254" s="45"/>
      <c r="M1254" s="45"/>
      <c r="N1254" s="45"/>
      <c r="O1254" s="45"/>
      <c r="P1254" s="45"/>
      <c r="Q1254" s="45"/>
      <c r="R1254" s="45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5"/>
    </row>
    <row r="1255">
      <c r="A1255" s="45"/>
      <c r="B1255" s="45"/>
      <c r="C1255" s="45"/>
      <c r="D1255" s="45"/>
      <c r="E1255" s="45"/>
      <c r="F1255" s="45"/>
      <c r="G1255" s="45"/>
      <c r="H1255" s="45"/>
      <c r="I1255" s="45"/>
      <c r="J1255" s="45"/>
      <c r="K1255" s="45"/>
      <c r="L1255" s="45"/>
      <c r="M1255" s="45"/>
      <c r="N1255" s="45"/>
      <c r="O1255" s="45"/>
      <c r="P1255" s="45"/>
      <c r="Q1255" s="45"/>
      <c r="R1255" s="45"/>
      <c r="S1255" s="45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5"/>
    </row>
    <row r="1256">
      <c r="A1256" s="45"/>
      <c r="B1256" s="45"/>
      <c r="C1256" s="45"/>
      <c r="D1256" s="45"/>
      <c r="E1256" s="45"/>
      <c r="F1256" s="45"/>
      <c r="G1256" s="45"/>
      <c r="H1256" s="45"/>
      <c r="I1256" s="45"/>
      <c r="J1256" s="45"/>
      <c r="K1256" s="45"/>
      <c r="L1256" s="45"/>
      <c r="M1256" s="45"/>
      <c r="N1256" s="45"/>
      <c r="O1256" s="45"/>
      <c r="P1256" s="45"/>
      <c r="Q1256" s="45"/>
      <c r="R1256" s="45"/>
      <c r="S1256" s="45"/>
      <c r="T1256" s="45"/>
      <c r="U1256" s="45"/>
      <c r="V1256" s="45"/>
      <c r="W1256" s="45"/>
      <c r="X1256" s="45"/>
      <c r="Y1256" s="45"/>
      <c r="Z1256" s="45"/>
      <c r="AA1256" s="45"/>
      <c r="AB1256" s="45"/>
      <c r="AC1256" s="45"/>
      <c r="AD1256" s="45"/>
    </row>
    <row r="1257">
      <c r="A1257" s="45"/>
      <c r="B1257" s="45"/>
      <c r="C1257" s="45"/>
      <c r="D1257" s="45"/>
      <c r="E1257" s="45"/>
      <c r="F1257" s="45"/>
      <c r="G1257" s="45"/>
      <c r="H1257" s="45"/>
      <c r="I1257" s="45"/>
      <c r="J1257" s="45"/>
      <c r="K1257" s="45"/>
      <c r="L1257" s="45"/>
      <c r="M1257" s="45"/>
      <c r="N1257" s="45"/>
      <c r="O1257" s="45"/>
      <c r="P1257" s="45"/>
      <c r="Q1257" s="45"/>
      <c r="R1257" s="45"/>
      <c r="S1257" s="45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5"/>
    </row>
    <row r="1258">
      <c r="A1258" s="45"/>
      <c r="B1258" s="45"/>
      <c r="C1258" s="45"/>
      <c r="D1258" s="45"/>
      <c r="E1258" s="45"/>
      <c r="F1258" s="45"/>
      <c r="G1258" s="45"/>
      <c r="H1258" s="45"/>
      <c r="I1258" s="45"/>
      <c r="J1258" s="45"/>
      <c r="K1258" s="45"/>
      <c r="L1258" s="45"/>
      <c r="M1258" s="45"/>
      <c r="N1258" s="45"/>
      <c r="O1258" s="45"/>
      <c r="P1258" s="45"/>
      <c r="Q1258" s="45"/>
      <c r="R1258" s="45"/>
      <c r="S1258" s="45"/>
      <c r="T1258" s="45"/>
      <c r="U1258" s="45"/>
      <c r="V1258" s="45"/>
      <c r="W1258" s="45"/>
      <c r="X1258" s="45"/>
      <c r="Y1258" s="45"/>
      <c r="Z1258" s="45"/>
      <c r="AA1258" s="45"/>
      <c r="AB1258" s="45"/>
      <c r="AC1258" s="45"/>
      <c r="AD1258" s="45"/>
    </row>
    <row r="1259">
      <c r="A1259" s="45"/>
      <c r="B1259" s="45"/>
      <c r="C1259" s="45"/>
      <c r="D1259" s="45"/>
      <c r="E1259" s="45"/>
      <c r="F1259" s="45"/>
      <c r="G1259" s="45"/>
      <c r="H1259" s="45"/>
      <c r="I1259" s="45"/>
      <c r="J1259" s="45"/>
      <c r="K1259" s="45"/>
      <c r="L1259" s="45"/>
      <c r="M1259" s="45"/>
      <c r="N1259" s="45"/>
      <c r="O1259" s="45"/>
      <c r="P1259" s="45"/>
      <c r="Q1259" s="45"/>
      <c r="R1259" s="45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5"/>
    </row>
    <row r="1260">
      <c r="A1260" s="45"/>
      <c r="B1260" s="45"/>
      <c r="C1260" s="45"/>
      <c r="D1260" s="45"/>
      <c r="E1260" s="45"/>
      <c r="F1260" s="45"/>
      <c r="G1260" s="45"/>
      <c r="H1260" s="45"/>
      <c r="I1260" s="45"/>
      <c r="J1260" s="45"/>
      <c r="K1260" s="45"/>
      <c r="L1260" s="45"/>
      <c r="M1260" s="45"/>
      <c r="N1260" s="45"/>
      <c r="O1260" s="45"/>
      <c r="P1260" s="45"/>
      <c r="Q1260" s="45"/>
      <c r="R1260" s="45"/>
      <c r="S1260" s="45"/>
      <c r="T1260" s="45"/>
      <c r="U1260" s="45"/>
      <c r="V1260" s="45"/>
      <c r="W1260" s="45"/>
      <c r="X1260" s="45"/>
      <c r="Y1260" s="45"/>
      <c r="Z1260" s="45"/>
      <c r="AA1260" s="45"/>
      <c r="AB1260" s="45"/>
      <c r="AC1260" s="45"/>
      <c r="AD1260" s="45"/>
    </row>
    <row r="1261">
      <c r="A1261" s="45"/>
      <c r="B1261" s="45"/>
      <c r="C1261" s="45"/>
      <c r="D1261" s="45"/>
      <c r="E1261" s="45"/>
      <c r="F1261" s="45"/>
      <c r="G1261" s="45"/>
      <c r="H1261" s="45"/>
      <c r="I1261" s="45"/>
      <c r="J1261" s="45"/>
      <c r="K1261" s="45"/>
      <c r="L1261" s="45"/>
      <c r="M1261" s="45"/>
      <c r="N1261" s="45"/>
      <c r="O1261" s="45"/>
      <c r="P1261" s="45"/>
      <c r="Q1261" s="45"/>
      <c r="R1261" s="45"/>
      <c r="S1261" s="45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5"/>
    </row>
    <row r="1262">
      <c r="A1262" s="45"/>
      <c r="B1262" s="45"/>
      <c r="C1262" s="45"/>
      <c r="D1262" s="45"/>
      <c r="E1262" s="45"/>
      <c r="F1262" s="45"/>
      <c r="G1262" s="45"/>
      <c r="H1262" s="45"/>
      <c r="I1262" s="45"/>
      <c r="J1262" s="45"/>
      <c r="K1262" s="45"/>
      <c r="L1262" s="45"/>
      <c r="M1262" s="45"/>
      <c r="N1262" s="45"/>
      <c r="O1262" s="45"/>
      <c r="P1262" s="45"/>
      <c r="Q1262" s="45"/>
      <c r="R1262" s="45"/>
      <c r="S1262" s="45"/>
      <c r="T1262" s="45"/>
      <c r="U1262" s="45"/>
      <c r="V1262" s="45"/>
      <c r="W1262" s="45"/>
      <c r="X1262" s="45"/>
      <c r="Y1262" s="45"/>
      <c r="Z1262" s="45"/>
      <c r="AA1262" s="45"/>
      <c r="AB1262" s="45"/>
      <c r="AC1262" s="45"/>
      <c r="AD1262" s="45"/>
    </row>
    <row r="1263">
      <c r="A1263" s="45"/>
      <c r="B1263" s="45"/>
      <c r="C1263" s="45"/>
      <c r="D1263" s="45"/>
      <c r="E1263" s="45"/>
      <c r="F1263" s="45"/>
      <c r="G1263" s="45"/>
      <c r="H1263" s="45"/>
      <c r="I1263" s="45"/>
      <c r="J1263" s="45"/>
      <c r="K1263" s="45"/>
      <c r="L1263" s="45"/>
      <c r="M1263" s="45"/>
      <c r="N1263" s="45"/>
      <c r="O1263" s="45"/>
      <c r="P1263" s="45"/>
      <c r="Q1263" s="45"/>
      <c r="R1263" s="45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5"/>
    </row>
    <row r="1264">
      <c r="A1264" s="45"/>
      <c r="B1264" s="45"/>
      <c r="C1264" s="45"/>
      <c r="D1264" s="45"/>
      <c r="E1264" s="45"/>
      <c r="F1264" s="45"/>
      <c r="G1264" s="45"/>
      <c r="H1264" s="45"/>
      <c r="I1264" s="45"/>
      <c r="J1264" s="45"/>
      <c r="K1264" s="45"/>
      <c r="L1264" s="45"/>
      <c r="M1264" s="45"/>
      <c r="N1264" s="45"/>
      <c r="O1264" s="45"/>
      <c r="P1264" s="45"/>
      <c r="Q1264" s="45"/>
      <c r="R1264" s="45"/>
      <c r="S1264" s="45"/>
      <c r="T1264" s="45"/>
      <c r="U1264" s="45"/>
      <c r="V1264" s="45"/>
      <c r="W1264" s="45"/>
      <c r="X1264" s="45"/>
      <c r="Y1264" s="45"/>
      <c r="Z1264" s="45"/>
      <c r="AA1264" s="45"/>
      <c r="AB1264" s="45"/>
      <c r="AC1264" s="45"/>
      <c r="AD1264" s="45"/>
    </row>
    <row r="1265">
      <c r="A1265" s="45"/>
      <c r="B1265" s="45"/>
      <c r="C1265" s="45"/>
      <c r="D1265" s="45"/>
      <c r="E1265" s="45"/>
      <c r="F1265" s="45"/>
      <c r="G1265" s="45"/>
      <c r="H1265" s="45"/>
      <c r="I1265" s="45"/>
      <c r="J1265" s="45"/>
      <c r="K1265" s="45"/>
      <c r="L1265" s="45"/>
      <c r="M1265" s="45"/>
      <c r="N1265" s="45"/>
      <c r="O1265" s="45"/>
      <c r="P1265" s="45"/>
      <c r="Q1265" s="45"/>
      <c r="R1265" s="45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5"/>
    </row>
    <row r="1266">
      <c r="A1266" s="45"/>
      <c r="B1266" s="45"/>
      <c r="C1266" s="45"/>
      <c r="D1266" s="45"/>
      <c r="E1266" s="45"/>
      <c r="F1266" s="45"/>
      <c r="G1266" s="45"/>
      <c r="H1266" s="45"/>
      <c r="I1266" s="45"/>
      <c r="J1266" s="45"/>
      <c r="K1266" s="45"/>
      <c r="L1266" s="45"/>
      <c r="M1266" s="45"/>
      <c r="N1266" s="45"/>
      <c r="O1266" s="45"/>
      <c r="P1266" s="45"/>
      <c r="Q1266" s="45"/>
      <c r="R1266" s="45"/>
      <c r="S1266" s="45"/>
      <c r="T1266" s="45"/>
      <c r="U1266" s="45"/>
      <c r="V1266" s="45"/>
      <c r="W1266" s="45"/>
      <c r="X1266" s="45"/>
      <c r="Y1266" s="45"/>
      <c r="Z1266" s="45"/>
      <c r="AA1266" s="45"/>
      <c r="AB1266" s="45"/>
      <c r="AC1266" s="45"/>
      <c r="AD1266" s="45"/>
    </row>
    <row r="1267">
      <c r="A1267" s="45"/>
      <c r="B1267" s="45"/>
      <c r="C1267" s="45"/>
      <c r="D1267" s="45"/>
      <c r="E1267" s="45"/>
      <c r="F1267" s="45"/>
      <c r="G1267" s="45"/>
      <c r="H1267" s="45"/>
      <c r="I1267" s="45"/>
      <c r="J1267" s="45"/>
      <c r="K1267" s="45"/>
      <c r="L1267" s="45"/>
      <c r="M1267" s="45"/>
      <c r="N1267" s="45"/>
      <c r="O1267" s="45"/>
      <c r="P1267" s="45"/>
      <c r="Q1267" s="45"/>
      <c r="R1267" s="45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5"/>
    </row>
    <row r="1268">
      <c r="A1268" s="45"/>
      <c r="B1268" s="45"/>
      <c r="C1268" s="45"/>
      <c r="D1268" s="45"/>
      <c r="E1268" s="45"/>
      <c r="F1268" s="45"/>
      <c r="G1268" s="45"/>
      <c r="H1268" s="45"/>
      <c r="I1268" s="45"/>
      <c r="J1268" s="45"/>
      <c r="K1268" s="45"/>
      <c r="L1268" s="45"/>
      <c r="M1268" s="45"/>
      <c r="N1268" s="45"/>
      <c r="O1268" s="45"/>
      <c r="P1268" s="45"/>
      <c r="Q1268" s="45"/>
      <c r="R1268" s="45"/>
      <c r="S1268" s="45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5"/>
    </row>
    <row r="1269">
      <c r="A1269" s="45"/>
      <c r="B1269" s="45"/>
      <c r="C1269" s="45"/>
      <c r="D1269" s="45"/>
      <c r="E1269" s="45"/>
      <c r="F1269" s="45"/>
      <c r="G1269" s="45"/>
      <c r="H1269" s="45"/>
      <c r="I1269" s="45"/>
      <c r="J1269" s="45"/>
      <c r="K1269" s="45"/>
      <c r="L1269" s="45"/>
      <c r="M1269" s="45"/>
      <c r="N1269" s="45"/>
      <c r="O1269" s="45"/>
      <c r="P1269" s="45"/>
      <c r="Q1269" s="45"/>
      <c r="R1269" s="45"/>
      <c r="S1269" s="45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5"/>
    </row>
    <row r="1270">
      <c r="A1270" s="45"/>
      <c r="B1270" s="45"/>
      <c r="C1270" s="45"/>
      <c r="D1270" s="45"/>
      <c r="E1270" s="45"/>
      <c r="F1270" s="45"/>
      <c r="G1270" s="45"/>
      <c r="H1270" s="45"/>
      <c r="I1270" s="45"/>
      <c r="J1270" s="45"/>
      <c r="K1270" s="45"/>
      <c r="L1270" s="45"/>
      <c r="M1270" s="45"/>
      <c r="N1270" s="45"/>
      <c r="O1270" s="45"/>
      <c r="P1270" s="45"/>
      <c r="Q1270" s="45"/>
      <c r="R1270" s="45"/>
      <c r="S1270" s="45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5"/>
    </row>
    <row r="1271">
      <c r="A1271" s="45"/>
      <c r="B1271" s="45"/>
      <c r="C1271" s="45"/>
      <c r="D1271" s="45"/>
      <c r="E1271" s="45"/>
      <c r="F1271" s="45"/>
      <c r="G1271" s="45"/>
      <c r="H1271" s="45"/>
      <c r="I1271" s="45"/>
      <c r="J1271" s="45"/>
      <c r="K1271" s="45"/>
      <c r="L1271" s="45"/>
      <c r="M1271" s="45"/>
      <c r="N1271" s="45"/>
      <c r="O1271" s="45"/>
      <c r="P1271" s="45"/>
      <c r="Q1271" s="45"/>
      <c r="R1271" s="45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5"/>
    </row>
    <row r="1272">
      <c r="A1272" s="45"/>
      <c r="B1272" s="45"/>
      <c r="C1272" s="45"/>
      <c r="D1272" s="45"/>
      <c r="E1272" s="45"/>
      <c r="F1272" s="45"/>
      <c r="G1272" s="45"/>
      <c r="H1272" s="45"/>
      <c r="I1272" s="45"/>
      <c r="J1272" s="45"/>
      <c r="K1272" s="45"/>
      <c r="L1272" s="45"/>
      <c r="M1272" s="45"/>
      <c r="N1272" s="45"/>
      <c r="O1272" s="45"/>
      <c r="P1272" s="45"/>
      <c r="Q1272" s="45"/>
      <c r="R1272" s="45"/>
      <c r="S1272" s="45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5"/>
    </row>
    <row r="1273">
      <c r="A1273" s="45"/>
      <c r="B1273" s="45"/>
      <c r="C1273" s="45"/>
      <c r="D1273" s="45"/>
      <c r="E1273" s="45"/>
      <c r="F1273" s="45"/>
      <c r="G1273" s="45"/>
      <c r="H1273" s="45"/>
      <c r="I1273" s="45"/>
      <c r="J1273" s="45"/>
      <c r="K1273" s="45"/>
      <c r="L1273" s="45"/>
      <c r="M1273" s="45"/>
      <c r="N1273" s="45"/>
      <c r="O1273" s="45"/>
      <c r="P1273" s="45"/>
      <c r="Q1273" s="45"/>
      <c r="R1273" s="45"/>
      <c r="S1273" s="45"/>
      <c r="T1273" s="45"/>
      <c r="U1273" s="45"/>
      <c r="V1273" s="45"/>
      <c r="W1273" s="45"/>
      <c r="X1273" s="45"/>
      <c r="Y1273" s="45"/>
      <c r="Z1273" s="45"/>
      <c r="AA1273" s="45"/>
      <c r="AB1273" s="45"/>
      <c r="AC1273" s="45"/>
      <c r="AD1273" s="45"/>
    </row>
    <row r="1274">
      <c r="A1274" s="45"/>
      <c r="B1274" s="45"/>
      <c r="C1274" s="45"/>
      <c r="D1274" s="45"/>
      <c r="E1274" s="45"/>
      <c r="F1274" s="45"/>
      <c r="G1274" s="45"/>
      <c r="H1274" s="45"/>
      <c r="I1274" s="45"/>
      <c r="J1274" s="45"/>
      <c r="K1274" s="45"/>
      <c r="L1274" s="45"/>
      <c r="M1274" s="45"/>
      <c r="N1274" s="45"/>
      <c r="O1274" s="45"/>
      <c r="P1274" s="45"/>
      <c r="Q1274" s="45"/>
      <c r="R1274" s="45"/>
      <c r="S1274" s="45"/>
      <c r="T1274" s="45"/>
      <c r="U1274" s="45"/>
      <c r="V1274" s="45"/>
      <c r="W1274" s="45"/>
      <c r="X1274" s="45"/>
      <c r="Y1274" s="45"/>
      <c r="Z1274" s="45"/>
      <c r="AA1274" s="45"/>
      <c r="AB1274" s="45"/>
      <c r="AC1274" s="45"/>
      <c r="AD1274" s="45"/>
    </row>
    <row r="1275">
      <c r="A1275" s="45"/>
      <c r="B1275" s="45"/>
      <c r="C1275" s="45"/>
      <c r="D1275" s="45"/>
      <c r="E1275" s="45"/>
      <c r="F1275" s="45"/>
      <c r="G1275" s="45"/>
      <c r="H1275" s="45"/>
      <c r="I1275" s="45"/>
      <c r="J1275" s="45"/>
      <c r="K1275" s="45"/>
      <c r="L1275" s="45"/>
      <c r="M1275" s="45"/>
      <c r="N1275" s="45"/>
      <c r="O1275" s="45"/>
      <c r="P1275" s="45"/>
      <c r="Q1275" s="45"/>
      <c r="R1275" s="45"/>
      <c r="S1275" s="45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5"/>
    </row>
    <row r="1276">
      <c r="A1276" s="45"/>
      <c r="B1276" s="45"/>
      <c r="C1276" s="45"/>
      <c r="D1276" s="45"/>
      <c r="E1276" s="45"/>
      <c r="F1276" s="45"/>
      <c r="G1276" s="45"/>
      <c r="H1276" s="45"/>
      <c r="I1276" s="45"/>
      <c r="J1276" s="45"/>
      <c r="K1276" s="45"/>
      <c r="L1276" s="45"/>
      <c r="M1276" s="45"/>
      <c r="N1276" s="45"/>
      <c r="O1276" s="45"/>
      <c r="P1276" s="45"/>
      <c r="Q1276" s="45"/>
      <c r="R1276" s="45"/>
      <c r="S1276" s="45"/>
      <c r="T1276" s="45"/>
      <c r="U1276" s="45"/>
      <c r="V1276" s="45"/>
      <c r="W1276" s="45"/>
      <c r="X1276" s="45"/>
      <c r="Y1276" s="45"/>
      <c r="Z1276" s="45"/>
      <c r="AA1276" s="45"/>
      <c r="AB1276" s="45"/>
      <c r="AC1276" s="45"/>
      <c r="AD1276" s="45"/>
    </row>
    <row r="1277">
      <c r="A1277" s="45"/>
      <c r="B1277" s="45"/>
      <c r="C1277" s="45"/>
      <c r="D1277" s="45"/>
      <c r="E1277" s="45"/>
      <c r="F1277" s="45"/>
      <c r="G1277" s="45"/>
      <c r="H1277" s="45"/>
      <c r="I1277" s="45"/>
      <c r="J1277" s="45"/>
      <c r="K1277" s="45"/>
      <c r="L1277" s="45"/>
      <c r="M1277" s="45"/>
      <c r="N1277" s="45"/>
      <c r="O1277" s="45"/>
      <c r="P1277" s="45"/>
      <c r="Q1277" s="45"/>
      <c r="R1277" s="45"/>
      <c r="S1277" s="45"/>
      <c r="T1277" s="45"/>
      <c r="U1277" s="45"/>
      <c r="V1277" s="45"/>
      <c r="W1277" s="45"/>
      <c r="X1277" s="45"/>
      <c r="Y1277" s="45"/>
      <c r="Z1277" s="45"/>
      <c r="AA1277" s="45"/>
      <c r="AB1277" s="45"/>
      <c r="AC1277" s="45"/>
      <c r="AD1277" s="45"/>
    </row>
    <row r="1278">
      <c r="A1278" s="45"/>
      <c r="B1278" s="45"/>
      <c r="C1278" s="45"/>
      <c r="D1278" s="45"/>
      <c r="E1278" s="45"/>
      <c r="F1278" s="45"/>
      <c r="G1278" s="45"/>
      <c r="H1278" s="45"/>
      <c r="I1278" s="45"/>
      <c r="J1278" s="45"/>
      <c r="K1278" s="45"/>
      <c r="L1278" s="45"/>
      <c r="M1278" s="45"/>
      <c r="N1278" s="45"/>
      <c r="O1278" s="45"/>
      <c r="P1278" s="45"/>
      <c r="Q1278" s="45"/>
      <c r="R1278" s="45"/>
      <c r="S1278" s="45"/>
      <c r="T1278" s="45"/>
      <c r="U1278" s="45"/>
      <c r="V1278" s="45"/>
      <c r="W1278" s="45"/>
      <c r="X1278" s="45"/>
      <c r="Y1278" s="45"/>
      <c r="Z1278" s="45"/>
      <c r="AA1278" s="45"/>
      <c r="AB1278" s="45"/>
      <c r="AC1278" s="45"/>
      <c r="AD1278" s="45"/>
    </row>
    <row r="1279">
      <c r="A1279" s="45"/>
      <c r="B1279" s="45"/>
      <c r="C1279" s="45"/>
      <c r="D1279" s="45"/>
      <c r="E1279" s="45"/>
      <c r="F1279" s="45"/>
      <c r="G1279" s="45"/>
      <c r="H1279" s="45"/>
      <c r="I1279" s="45"/>
      <c r="J1279" s="45"/>
      <c r="K1279" s="45"/>
      <c r="L1279" s="45"/>
      <c r="M1279" s="45"/>
      <c r="N1279" s="45"/>
      <c r="O1279" s="45"/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</row>
    <row r="1280">
      <c r="A1280" s="45"/>
      <c r="B1280" s="45"/>
      <c r="C1280" s="45"/>
      <c r="D1280" s="45"/>
      <c r="E1280" s="45"/>
      <c r="F1280" s="45"/>
      <c r="G1280" s="45"/>
      <c r="H1280" s="45"/>
      <c r="I1280" s="45"/>
      <c r="J1280" s="45"/>
      <c r="K1280" s="45"/>
      <c r="L1280" s="45"/>
      <c r="M1280" s="45"/>
      <c r="N1280" s="45"/>
      <c r="O1280" s="45"/>
      <c r="P1280" s="45"/>
      <c r="Q1280" s="45"/>
      <c r="R1280" s="45"/>
      <c r="S1280" s="45"/>
      <c r="T1280" s="45"/>
      <c r="U1280" s="45"/>
      <c r="V1280" s="45"/>
      <c r="W1280" s="45"/>
      <c r="X1280" s="45"/>
      <c r="Y1280" s="45"/>
      <c r="Z1280" s="45"/>
      <c r="AA1280" s="45"/>
      <c r="AB1280" s="45"/>
      <c r="AC1280" s="45"/>
      <c r="AD1280" s="45"/>
    </row>
    <row r="1281">
      <c r="A1281" s="45"/>
      <c r="B1281" s="45"/>
      <c r="C1281" s="45"/>
      <c r="D1281" s="45"/>
      <c r="E1281" s="45"/>
      <c r="F1281" s="45"/>
      <c r="G1281" s="45"/>
      <c r="H1281" s="45"/>
      <c r="I1281" s="45"/>
      <c r="J1281" s="45"/>
      <c r="K1281" s="45"/>
      <c r="L1281" s="45"/>
      <c r="M1281" s="45"/>
      <c r="N1281" s="45"/>
      <c r="O1281" s="45"/>
      <c r="P1281" s="45"/>
      <c r="Q1281" s="45"/>
      <c r="R1281" s="45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5"/>
    </row>
    <row r="1282">
      <c r="A1282" s="45"/>
      <c r="B1282" s="45"/>
      <c r="C1282" s="45"/>
      <c r="D1282" s="45"/>
      <c r="E1282" s="45"/>
      <c r="F1282" s="45"/>
      <c r="G1282" s="45"/>
      <c r="H1282" s="45"/>
      <c r="I1282" s="45"/>
      <c r="J1282" s="45"/>
      <c r="K1282" s="45"/>
      <c r="L1282" s="45"/>
      <c r="M1282" s="45"/>
      <c r="N1282" s="45"/>
      <c r="O1282" s="45"/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</row>
    <row r="1283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5"/>
    </row>
    <row r="1284">
      <c r="A1284" s="45"/>
      <c r="B1284" s="45"/>
      <c r="C1284" s="45"/>
      <c r="D1284" s="45"/>
      <c r="E1284" s="45"/>
      <c r="F1284" s="45"/>
      <c r="G1284" s="45"/>
      <c r="H1284" s="45"/>
      <c r="I1284" s="45"/>
      <c r="J1284" s="45"/>
      <c r="K1284" s="45"/>
      <c r="L1284" s="45"/>
      <c r="M1284" s="45"/>
      <c r="N1284" s="45"/>
      <c r="O1284" s="45"/>
      <c r="P1284" s="45"/>
      <c r="Q1284" s="45"/>
      <c r="R1284" s="45"/>
      <c r="S1284" s="45"/>
      <c r="T1284" s="45"/>
      <c r="U1284" s="45"/>
      <c r="V1284" s="45"/>
      <c r="W1284" s="45"/>
      <c r="X1284" s="45"/>
      <c r="Y1284" s="45"/>
      <c r="Z1284" s="45"/>
      <c r="AA1284" s="45"/>
      <c r="AB1284" s="45"/>
      <c r="AC1284" s="45"/>
      <c r="AD1284" s="45"/>
    </row>
    <row r="1285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5"/>
    </row>
    <row r="1286">
      <c r="A1286" s="45"/>
      <c r="B1286" s="45"/>
      <c r="C1286" s="45"/>
      <c r="D1286" s="45"/>
      <c r="E1286" s="45"/>
      <c r="F1286" s="45"/>
      <c r="G1286" s="45"/>
      <c r="H1286" s="45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  <c r="U1286" s="45"/>
      <c r="V1286" s="45"/>
      <c r="W1286" s="45"/>
      <c r="X1286" s="45"/>
      <c r="Y1286" s="45"/>
      <c r="Z1286" s="45"/>
      <c r="AA1286" s="45"/>
      <c r="AB1286" s="45"/>
      <c r="AC1286" s="45"/>
      <c r="AD1286" s="45"/>
    </row>
    <row r="1287">
      <c r="A1287" s="45"/>
      <c r="B1287" s="45"/>
      <c r="C1287" s="45"/>
      <c r="D1287" s="45"/>
      <c r="E1287" s="45"/>
      <c r="F1287" s="45"/>
      <c r="G1287" s="45"/>
      <c r="H1287" s="45"/>
      <c r="I1287" s="45"/>
      <c r="J1287" s="45"/>
      <c r="K1287" s="45"/>
      <c r="L1287" s="45"/>
      <c r="M1287" s="45"/>
      <c r="N1287" s="45"/>
      <c r="O1287" s="45"/>
      <c r="P1287" s="45"/>
      <c r="Q1287" s="45"/>
      <c r="R1287" s="45"/>
      <c r="S1287" s="45"/>
      <c r="T1287" s="45"/>
      <c r="U1287" s="45"/>
      <c r="V1287" s="45"/>
      <c r="W1287" s="45"/>
      <c r="X1287" s="45"/>
      <c r="Y1287" s="45"/>
      <c r="Z1287" s="45"/>
      <c r="AA1287" s="45"/>
      <c r="AB1287" s="45"/>
      <c r="AC1287" s="45"/>
      <c r="AD1287" s="45"/>
    </row>
    <row r="1288">
      <c r="A1288" s="45"/>
      <c r="B1288" s="45"/>
      <c r="C1288" s="45"/>
      <c r="D1288" s="45"/>
      <c r="E1288" s="45"/>
      <c r="F1288" s="45"/>
      <c r="G1288" s="45"/>
      <c r="H1288" s="45"/>
      <c r="I1288" s="45"/>
      <c r="J1288" s="45"/>
      <c r="K1288" s="45"/>
      <c r="L1288" s="45"/>
      <c r="M1288" s="45"/>
      <c r="N1288" s="45"/>
      <c r="O1288" s="45"/>
      <c r="P1288" s="45"/>
      <c r="Q1288" s="45"/>
      <c r="R1288" s="45"/>
      <c r="S1288" s="45"/>
      <c r="T1288" s="45"/>
      <c r="U1288" s="45"/>
      <c r="V1288" s="45"/>
      <c r="W1288" s="45"/>
      <c r="X1288" s="45"/>
      <c r="Y1288" s="45"/>
      <c r="Z1288" s="45"/>
      <c r="AA1288" s="45"/>
      <c r="AB1288" s="45"/>
      <c r="AC1288" s="45"/>
      <c r="AD1288" s="45"/>
    </row>
    <row r="1289">
      <c r="A1289" s="45"/>
      <c r="B1289" s="45"/>
      <c r="C1289" s="45"/>
      <c r="D1289" s="45"/>
      <c r="E1289" s="45"/>
      <c r="F1289" s="45"/>
      <c r="G1289" s="45"/>
      <c r="H1289" s="45"/>
      <c r="I1289" s="45"/>
      <c r="J1289" s="45"/>
      <c r="K1289" s="45"/>
      <c r="L1289" s="45"/>
      <c r="M1289" s="45"/>
      <c r="N1289" s="45"/>
      <c r="O1289" s="45"/>
      <c r="P1289" s="45"/>
      <c r="Q1289" s="45"/>
      <c r="R1289" s="45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5"/>
    </row>
    <row r="1290">
      <c r="A1290" s="45"/>
      <c r="B1290" s="45"/>
      <c r="C1290" s="45"/>
      <c r="D1290" s="45"/>
      <c r="E1290" s="45"/>
      <c r="F1290" s="45"/>
      <c r="G1290" s="45"/>
      <c r="H1290" s="45"/>
      <c r="I1290" s="45"/>
      <c r="J1290" s="45"/>
      <c r="K1290" s="45"/>
      <c r="L1290" s="45"/>
      <c r="M1290" s="45"/>
      <c r="N1290" s="45"/>
      <c r="O1290" s="45"/>
      <c r="P1290" s="45"/>
      <c r="Q1290" s="45"/>
      <c r="R1290" s="45"/>
      <c r="S1290" s="45"/>
      <c r="T1290" s="45"/>
      <c r="U1290" s="45"/>
      <c r="V1290" s="45"/>
      <c r="W1290" s="45"/>
      <c r="X1290" s="45"/>
      <c r="Y1290" s="45"/>
      <c r="Z1290" s="45"/>
      <c r="AA1290" s="45"/>
      <c r="AB1290" s="45"/>
      <c r="AC1290" s="45"/>
      <c r="AD1290" s="45"/>
    </row>
    <row r="1291">
      <c r="A1291" s="45"/>
      <c r="B1291" s="45"/>
      <c r="C1291" s="45"/>
      <c r="D1291" s="45"/>
      <c r="E1291" s="45"/>
      <c r="F1291" s="45"/>
      <c r="G1291" s="45"/>
      <c r="H1291" s="45"/>
      <c r="I1291" s="45"/>
      <c r="J1291" s="45"/>
      <c r="K1291" s="45"/>
      <c r="L1291" s="45"/>
      <c r="M1291" s="45"/>
      <c r="N1291" s="45"/>
      <c r="O1291" s="45"/>
      <c r="P1291" s="45"/>
      <c r="Q1291" s="45"/>
      <c r="R1291" s="45"/>
      <c r="S1291" s="45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5"/>
    </row>
    <row r="1292">
      <c r="A1292" s="45"/>
      <c r="B1292" s="45"/>
      <c r="C1292" s="45"/>
      <c r="D1292" s="45"/>
      <c r="E1292" s="45"/>
      <c r="F1292" s="45"/>
      <c r="G1292" s="45"/>
      <c r="H1292" s="45"/>
      <c r="I1292" s="45"/>
      <c r="J1292" s="45"/>
      <c r="K1292" s="45"/>
      <c r="L1292" s="45"/>
      <c r="M1292" s="45"/>
      <c r="N1292" s="45"/>
      <c r="O1292" s="45"/>
      <c r="P1292" s="45"/>
      <c r="Q1292" s="45"/>
      <c r="R1292" s="45"/>
      <c r="S1292" s="45"/>
      <c r="T1292" s="45"/>
      <c r="U1292" s="45"/>
      <c r="V1292" s="45"/>
      <c r="W1292" s="45"/>
      <c r="X1292" s="45"/>
      <c r="Y1292" s="45"/>
      <c r="Z1292" s="45"/>
      <c r="AA1292" s="45"/>
      <c r="AB1292" s="45"/>
      <c r="AC1292" s="45"/>
      <c r="AD1292" s="45"/>
    </row>
    <row r="1293">
      <c r="A1293" s="45"/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</row>
    <row r="1294">
      <c r="A1294" s="45"/>
      <c r="B1294" s="45"/>
      <c r="C1294" s="45"/>
      <c r="D1294" s="45"/>
      <c r="E1294" s="45"/>
      <c r="F1294" s="45"/>
      <c r="G1294" s="45"/>
      <c r="H1294" s="45"/>
      <c r="I1294" s="45"/>
      <c r="J1294" s="45"/>
      <c r="K1294" s="45"/>
      <c r="L1294" s="45"/>
      <c r="M1294" s="45"/>
      <c r="N1294" s="45"/>
      <c r="O1294" s="45"/>
      <c r="P1294" s="45"/>
      <c r="Q1294" s="45"/>
      <c r="R1294" s="45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5"/>
    </row>
    <row r="1295">
      <c r="A1295" s="45"/>
      <c r="B1295" s="45"/>
      <c r="C1295" s="45"/>
      <c r="D1295" s="45"/>
      <c r="E1295" s="45"/>
      <c r="F1295" s="45"/>
      <c r="G1295" s="45"/>
      <c r="H1295" s="45"/>
      <c r="I1295" s="45"/>
      <c r="J1295" s="45"/>
      <c r="K1295" s="45"/>
      <c r="L1295" s="45"/>
      <c r="M1295" s="45"/>
      <c r="N1295" s="45"/>
      <c r="O1295" s="45"/>
      <c r="P1295" s="45"/>
      <c r="Q1295" s="45"/>
      <c r="R1295" s="45"/>
      <c r="S1295" s="45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5"/>
    </row>
    <row r="1296">
      <c r="A1296" s="45"/>
      <c r="B1296" s="45"/>
      <c r="C1296" s="45"/>
      <c r="D1296" s="45"/>
      <c r="E1296" s="45"/>
      <c r="F1296" s="45"/>
      <c r="G1296" s="45"/>
      <c r="H1296" s="45"/>
      <c r="I1296" s="45"/>
      <c r="J1296" s="45"/>
      <c r="K1296" s="45"/>
      <c r="L1296" s="45"/>
      <c r="M1296" s="45"/>
      <c r="N1296" s="45"/>
      <c r="O1296" s="45"/>
      <c r="P1296" s="45"/>
      <c r="Q1296" s="45"/>
      <c r="R1296" s="45"/>
      <c r="S1296" s="45"/>
      <c r="T1296" s="45"/>
      <c r="U1296" s="45"/>
      <c r="V1296" s="45"/>
      <c r="W1296" s="45"/>
      <c r="X1296" s="45"/>
      <c r="Y1296" s="45"/>
      <c r="Z1296" s="45"/>
      <c r="AA1296" s="45"/>
      <c r="AB1296" s="45"/>
      <c r="AC1296" s="45"/>
      <c r="AD1296" s="45"/>
    </row>
    <row r="1297">
      <c r="A1297" s="45"/>
      <c r="B1297" s="45"/>
      <c r="C1297" s="45"/>
      <c r="D1297" s="45"/>
      <c r="E1297" s="45"/>
      <c r="F1297" s="45"/>
      <c r="G1297" s="45"/>
      <c r="H1297" s="45"/>
      <c r="I1297" s="45"/>
      <c r="J1297" s="45"/>
      <c r="K1297" s="45"/>
      <c r="L1297" s="45"/>
      <c r="M1297" s="45"/>
      <c r="N1297" s="45"/>
      <c r="O1297" s="45"/>
      <c r="P1297" s="45"/>
      <c r="Q1297" s="45"/>
      <c r="R1297" s="45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5"/>
    </row>
    <row r="1298">
      <c r="A1298" s="45"/>
      <c r="B1298" s="45"/>
      <c r="C1298" s="45"/>
      <c r="D1298" s="45"/>
      <c r="E1298" s="45"/>
      <c r="F1298" s="45"/>
      <c r="G1298" s="45"/>
      <c r="H1298" s="45"/>
      <c r="I1298" s="45"/>
      <c r="J1298" s="45"/>
      <c r="K1298" s="45"/>
      <c r="L1298" s="45"/>
      <c r="M1298" s="45"/>
      <c r="N1298" s="45"/>
      <c r="O1298" s="45"/>
      <c r="P1298" s="45"/>
      <c r="Q1298" s="45"/>
      <c r="R1298" s="45"/>
      <c r="S1298" s="45"/>
      <c r="T1298" s="45"/>
      <c r="U1298" s="45"/>
      <c r="V1298" s="45"/>
      <c r="W1298" s="45"/>
      <c r="X1298" s="45"/>
      <c r="Y1298" s="45"/>
      <c r="Z1298" s="45"/>
      <c r="AA1298" s="45"/>
      <c r="AB1298" s="45"/>
      <c r="AC1298" s="45"/>
      <c r="AD1298" s="45"/>
    </row>
    <row r="1299">
      <c r="A1299" s="45"/>
      <c r="B1299" s="45"/>
      <c r="C1299" s="45"/>
      <c r="D1299" s="45"/>
      <c r="E1299" s="45"/>
      <c r="F1299" s="45"/>
      <c r="G1299" s="45"/>
      <c r="H1299" s="45"/>
      <c r="I1299" s="45"/>
      <c r="J1299" s="45"/>
      <c r="K1299" s="45"/>
      <c r="L1299" s="45"/>
      <c r="M1299" s="45"/>
      <c r="N1299" s="45"/>
      <c r="O1299" s="45"/>
      <c r="P1299" s="45"/>
      <c r="Q1299" s="45"/>
      <c r="R1299" s="45"/>
      <c r="S1299" s="45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5"/>
    </row>
    <row r="1300">
      <c r="A1300" s="45"/>
      <c r="B1300" s="45"/>
      <c r="C1300" s="45"/>
      <c r="D1300" s="45"/>
      <c r="E1300" s="45"/>
      <c r="F1300" s="45"/>
      <c r="G1300" s="45"/>
      <c r="H1300" s="45"/>
      <c r="I1300" s="45"/>
      <c r="J1300" s="45"/>
      <c r="K1300" s="45"/>
      <c r="L1300" s="45"/>
      <c r="M1300" s="45"/>
      <c r="N1300" s="45"/>
      <c r="O1300" s="45"/>
      <c r="P1300" s="45"/>
      <c r="Q1300" s="45"/>
      <c r="R1300" s="45"/>
      <c r="S1300" s="45"/>
      <c r="T1300" s="45"/>
      <c r="U1300" s="45"/>
      <c r="V1300" s="45"/>
      <c r="W1300" s="45"/>
      <c r="X1300" s="45"/>
      <c r="Y1300" s="45"/>
      <c r="Z1300" s="45"/>
      <c r="AA1300" s="45"/>
      <c r="AB1300" s="45"/>
      <c r="AC1300" s="45"/>
      <c r="AD1300" s="45"/>
    </row>
    <row r="1301">
      <c r="A1301" s="45"/>
      <c r="B1301" s="45"/>
      <c r="C1301" s="45"/>
      <c r="D1301" s="45"/>
      <c r="E1301" s="45"/>
      <c r="F1301" s="45"/>
      <c r="G1301" s="45"/>
      <c r="H1301" s="45"/>
      <c r="I1301" s="45"/>
      <c r="J1301" s="45"/>
      <c r="K1301" s="45"/>
      <c r="L1301" s="45"/>
      <c r="M1301" s="45"/>
      <c r="N1301" s="45"/>
      <c r="O1301" s="45"/>
      <c r="P1301" s="45"/>
      <c r="Q1301" s="45"/>
      <c r="R1301" s="45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5"/>
    </row>
    <row r="1302">
      <c r="A1302" s="45"/>
      <c r="B1302" s="45"/>
      <c r="C1302" s="45"/>
      <c r="D1302" s="45"/>
      <c r="E1302" s="45"/>
      <c r="F1302" s="45"/>
      <c r="G1302" s="45"/>
      <c r="H1302" s="45"/>
      <c r="I1302" s="45"/>
      <c r="J1302" s="45"/>
      <c r="K1302" s="45"/>
      <c r="L1302" s="45"/>
      <c r="M1302" s="45"/>
      <c r="N1302" s="45"/>
      <c r="O1302" s="45"/>
      <c r="P1302" s="45"/>
      <c r="Q1302" s="45"/>
      <c r="R1302" s="45"/>
      <c r="S1302" s="45"/>
      <c r="T1302" s="45"/>
      <c r="U1302" s="45"/>
      <c r="V1302" s="45"/>
      <c r="W1302" s="45"/>
      <c r="X1302" s="45"/>
      <c r="Y1302" s="45"/>
      <c r="Z1302" s="45"/>
      <c r="AA1302" s="45"/>
      <c r="AB1302" s="45"/>
      <c r="AC1302" s="45"/>
      <c r="AD1302" s="45"/>
    </row>
    <row r="1303">
      <c r="A1303" s="45"/>
      <c r="B1303" s="45"/>
      <c r="C1303" s="45"/>
      <c r="D1303" s="45"/>
      <c r="E1303" s="45"/>
      <c r="F1303" s="45"/>
      <c r="G1303" s="45"/>
      <c r="H1303" s="45"/>
      <c r="I1303" s="45"/>
      <c r="J1303" s="45"/>
      <c r="K1303" s="45"/>
      <c r="L1303" s="45"/>
      <c r="M1303" s="45"/>
      <c r="N1303" s="45"/>
      <c r="O1303" s="45"/>
      <c r="P1303" s="45"/>
      <c r="Q1303" s="45"/>
      <c r="R1303" s="45"/>
      <c r="S1303" s="45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5"/>
    </row>
    <row r="1304">
      <c r="A1304" s="45"/>
      <c r="B1304" s="45"/>
      <c r="C1304" s="45"/>
      <c r="D1304" s="45"/>
      <c r="E1304" s="45"/>
      <c r="F1304" s="45"/>
      <c r="G1304" s="45"/>
      <c r="H1304" s="45"/>
      <c r="I1304" s="45"/>
      <c r="J1304" s="45"/>
      <c r="K1304" s="45"/>
      <c r="L1304" s="45"/>
      <c r="M1304" s="45"/>
      <c r="N1304" s="45"/>
      <c r="O1304" s="45"/>
      <c r="P1304" s="45"/>
      <c r="Q1304" s="45"/>
      <c r="R1304" s="45"/>
      <c r="S1304" s="45"/>
      <c r="T1304" s="45"/>
      <c r="U1304" s="45"/>
      <c r="V1304" s="45"/>
      <c r="W1304" s="45"/>
      <c r="X1304" s="45"/>
      <c r="Y1304" s="45"/>
      <c r="Z1304" s="45"/>
      <c r="AA1304" s="45"/>
      <c r="AB1304" s="45"/>
      <c r="AC1304" s="45"/>
      <c r="AD1304" s="45"/>
    </row>
    <row r="1305">
      <c r="A1305" s="45"/>
      <c r="B1305" s="45"/>
      <c r="C1305" s="45"/>
      <c r="D1305" s="45"/>
      <c r="E1305" s="45"/>
      <c r="F1305" s="45"/>
      <c r="G1305" s="45"/>
      <c r="H1305" s="45"/>
      <c r="I1305" s="45"/>
      <c r="J1305" s="45"/>
      <c r="K1305" s="45"/>
      <c r="L1305" s="45"/>
      <c r="M1305" s="45"/>
      <c r="N1305" s="45"/>
      <c r="O1305" s="45"/>
      <c r="P1305" s="45"/>
      <c r="Q1305" s="45"/>
      <c r="R1305" s="45"/>
      <c r="S1305" s="45"/>
      <c r="T1305" s="45"/>
      <c r="U1305" s="45"/>
      <c r="V1305" s="45"/>
      <c r="W1305" s="45"/>
      <c r="X1305" s="45"/>
      <c r="Y1305" s="45"/>
      <c r="Z1305" s="45"/>
      <c r="AA1305" s="45"/>
      <c r="AB1305" s="45"/>
      <c r="AC1305" s="45"/>
      <c r="AD1305" s="45"/>
    </row>
    <row r="1306">
      <c r="A1306" s="45"/>
      <c r="B1306" s="45"/>
      <c r="C1306" s="45"/>
      <c r="D1306" s="45"/>
      <c r="E1306" s="45"/>
      <c r="F1306" s="45"/>
      <c r="G1306" s="45"/>
      <c r="H1306" s="45"/>
      <c r="I1306" s="45"/>
      <c r="J1306" s="45"/>
      <c r="K1306" s="45"/>
      <c r="L1306" s="45"/>
      <c r="M1306" s="45"/>
      <c r="N1306" s="45"/>
      <c r="O1306" s="45"/>
      <c r="P1306" s="45"/>
      <c r="Q1306" s="45"/>
      <c r="R1306" s="45"/>
      <c r="S1306" s="45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5"/>
    </row>
    <row r="1307">
      <c r="A1307" s="45"/>
      <c r="B1307" s="45"/>
      <c r="C1307" s="45"/>
      <c r="D1307" s="45"/>
      <c r="E1307" s="45"/>
      <c r="F1307" s="45"/>
      <c r="G1307" s="45"/>
      <c r="H1307" s="45"/>
      <c r="I1307" s="45"/>
      <c r="J1307" s="45"/>
      <c r="K1307" s="45"/>
      <c r="L1307" s="45"/>
      <c r="M1307" s="45"/>
      <c r="N1307" s="45"/>
      <c r="O1307" s="45"/>
      <c r="P1307" s="45"/>
      <c r="Q1307" s="45"/>
      <c r="R1307" s="45"/>
      <c r="S1307" s="45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5"/>
    </row>
    <row r="1308">
      <c r="A1308" s="45"/>
      <c r="B1308" s="45"/>
      <c r="C1308" s="45"/>
      <c r="D1308" s="45"/>
      <c r="E1308" s="45"/>
      <c r="F1308" s="45"/>
      <c r="G1308" s="45"/>
      <c r="H1308" s="45"/>
      <c r="I1308" s="45"/>
      <c r="J1308" s="45"/>
      <c r="K1308" s="45"/>
      <c r="L1308" s="45"/>
      <c r="M1308" s="45"/>
      <c r="N1308" s="45"/>
      <c r="O1308" s="45"/>
      <c r="P1308" s="45"/>
      <c r="Q1308" s="45"/>
      <c r="R1308" s="45"/>
      <c r="S1308" s="45"/>
      <c r="T1308" s="45"/>
      <c r="U1308" s="45"/>
      <c r="V1308" s="45"/>
      <c r="W1308" s="45"/>
      <c r="X1308" s="45"/>
      <c r="Y1308" s="45"/>
      <c r="Z1308" s="45"/>
      <c r="AA1308" s="45"/>
      <c r="AB1308" s="45"/>
      <c r="AC1308" s="45"/>
      <c r="AD1308" s="45"/>
    </row>
    <row r="1309">
      <c r="A1309" s="45"/>
      <c r="B1309" s="45"/>
      <c r="C1309" s="45"/>
      <c r="D1309" s="45"/>
      <c r="E1309" s="45"/>
      <c r="F1309" s="45"/>
      <c r="G1309" s="45"/>
      <c r="H1309" s="45"/>
      <c r="I1309" s="45"/>
      <c r="J1309" s="45"/>
      <c r="K1309" s="45"/>
      <c r="L1309" s="45"/>
      <c r="M1309" s="45"/>
      <c r="N1309" s="45"/>
      <c r="O1309" s="45"/>
      <c r="P1309" s="45"/>
      <c r="Q1309" s="45"/>
      <c r="R1309" s="45"/>
      <c r="S1309" s="45"/>
      <c r="T1309" s="45"/>
      <c r="U1309" s="45"/>
      <c r="V1309" s="45"/>
      <c r="W1309" s="45"/>
      <c r="X1309" s="45"/>
      <c r="Y1309" s="45"/>
      <c r="Z1309" s="45"/>
      <c r="AA1309" s="45"/>
      <c r="AB1309" s="45"/>
      <c r="AC1309" s="45"/>
      <c r="AD1309" s="45"/>
    </row>
    <row r="1310">
      <c r="A1310" s="45"/>
      <c r="B1310" s="45"/>
      <c r="C1310" s="45"/>
      <c r="D1310" s="45"/>
      <c r="E1310" s="45"/>
      <c r="F1310" s="45"/>
      <c r="G1310" s="45"/>
      <c r="H1310" s="45"/>
      <c r="I1310" s="45"/>
      <c r="J1310" s="45"/>
      <c r="K1310" s="45"/>
      <c r="L1310" s="45"/>
      <c r="M1310" s="45"/>
      <c r="N1310" s="45"/>
      <c r="O1310" s="45"/>
      <c r="P1310" s="45"/>
      <c r="Q1310" s="45"/>
      <c r="R1310" s="45"/>
      <c r="S1310" s="45"/>
      <c r="T1310" s="45"/>
      <c r="U1310" s="45"/>
      <c r="V1310" s="45"/>
      <c r="W1310" s="45"/>
      <c r="X1310" s="45"/>
      <c r="Y1310" s="45"/>
      <c r="Z1310" s="45"/>
      <c r="AA1310" s="45"/>
      <c r="AB1310" s="45"/>
      <c r="AC1310" s="45"/>
      <c r="AD1310" s="45"/>
    </row>
    <row r="1311">
      <c r="A1311" s="45"/>
      <c r="B1311" s="45"/>
      <c r="C1311" s="45"/>
      <c r="D1311" s="45"/>
      <c r="E1311" s="45"/>
      <c r="F1311" s="45"/>
      <c r="G1311" s="45"/>
      <c r="H1311" s="45"/>
      <c r="I1311" s="45"/>
      <c r="J1311" s="45"/>
      <c r="K1311" s="45"/>
      <c r="L1311" s="45"/>
      <c r="M1311" s="45"/>
      <c r="N1311" s="45"/>
      <c r="O1311" s="45"/>
      <c r="P1311" s="45"/>
      <c r="Q1311" s="45"/>
      <c r="R1311" s="45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5"/>
    </row>
    <row r="1312">
      <c r="A1312" s="45"/>
      <c r="B1312" s="45"/>
      <c r="C1312" s="45"/>
      <c r="D1312" s="45"/>
      <c r="E1312" s="45"/>
      <c r="F1312" s="45"/>
      <c r="G1312" s="45"/>
      <c r="H1312" s="45"/>
      <c r="I1312" s="45"/>
      <c r="J1312" s="45"/>
      <c r="K1312" s="45"/>
      <c r="L1312" s="45"/>
      <c r="M1312" s="45"/>
      <c r="N1312" s="45"/>
      <c r="O1312" s="45"/>
      <c r="P1312" s="45"/>
      <c r="Q1312" s="45"/>
      <c r="R1312" s="45"/>
      <c r="S1312" s="45"/>
      <c r="T1312" s="45"/>
      <c r="U1312" s="45"/>
      <c r="V1312" s="45"/>
      <c r="W1312" s="45"/>
      <c r="X1312" s="45"/>
      <c r="Y1312" s="45"/>
      <c r="Z1312" s="45"/>
      <c r="AA1312" s="45"/>
      <c r="AB1312" s="45"/>
      <c r="AC1312" s="45"/>
      <c r="AD1312" s="45"/>
    </row>
    <row r="1313">
      <c r="A1313" s="45"/>
      <c r="B1313" s="45"/>
      <c r="C1313" s="45"/>
      <c r="D1313" s="45"/>
      <c r="E1313" s="45"/>
      <c r="F1313" s="45"/>
      <c r="G1313" s="45"/>
      <c r="H1313" s="45"/>
      <c r="I1313" s="45"/>
      <c r="J1313" s="45"/>
      <c r="K1313" s="45"/>
      <c r="L1313" s="45"/>
      <c r="M1313" s="45"/>
      <c r="N1313" s="45"/>
      <c r="O1313" s="45"/>
      <c r="P1313" s="45"/>
      <c r="Q1313" s="45"/>
      <c r="R1313" s="45"/>
      <c r="S1313" s="45"/>
      <c r="T1313" s="45"/>
      <c r="U1313" s="45"/>
      <c r="V1313" s="45"/>
      <c r="W1313" s="45"/>
      <c r="X1313" s="45"/>
      <c r="Y1313" s="45"/>
      <c r="Z1313" s="45"/>
      <c r="AA1313" s="45"/>
      <c r="AB1313" s="45"/>
      <c r="AC1313" s="45"/>
      <c r="AD1313" s="45"/>
    </row>
    <row r="1314">
      <c r="A1314" s="45"/>
      <c r="B1314" s="45"/>
      <c r="C1314" s="45"/>
      <c r="D1314" s="45"/>
      <c r="E1314" s="45"/>
      <c r="F1314" s="45"/>
      <c r="G1314" s="45"/>
      <c r="H1314" s="45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  <c r="U1314" s="45"/>
      <c r="V1314" s="45"/>
      <c r="W1314" s="45"/>
      <c r="X1314" s="45"/>
      <c r="Y1314" s="45"/>
      <c r="Z1314" s="45"/>
      <c r="AA1314" s="45"/>
      <c r="AB1314" s="45"/>
      <c r="AC1314" s="45"/>
      <c r="AD1314" s="45"/>
    </row>
    <row r="1315">
      <c r="A1315" s="45"/>
      <c r="B1315" s="45"/>
      <c r="C1315" s="45"/>
      <c r="D1315" s="45"/>
      <c r="E1315" s="45"/>
      <c r="F1315" s="45"/>
      <c r="G1315" s="45"/>
      <c r="H1315" s="45"/>
      <c r="I1315" s="45"/>
      <c r="J1315" s="45"/>
      <c r="K1315" s="45"/>
      <c r="L1315" s="45"/>
      <c r="M1315" s="45"/>
      <c r="N1315" s="45"/>
      <c r="O1315" s="45"/>
      <c r="P1315" s="45"/>
      <c r="Q1315" s="45"/>
      <c r="R1315" s="45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5"/>
    </row>
    <row r="1316">
      <c r="A1316" s="45"/>
      <c r="B1316" s="45"/>
      <c r="C1316" s="45"/>
      <c r="D1316" s="45"/>
      <c r="E1316" s="45"/>
      <c r="F1316" s="45"/>
      <c r="G1316" s="45"/>
      <c r="H1316" s="45"/>
      <c r="I1316" s="45"/>
      <c r="J1316" s="45"/>
      <c r="K1316" s="45"/>
      <c r="L1316" s="45"/>
      <c r="M1316" s="45"/>
      <c r="N1316" s="45"/>
      <c r="O1316" s="45"/>
      <c r="P1316" s="45"/>
      <c r="Q1316" s="45"/>
      <c r="R1316" s="45"/>
      <c r="S1316" s="45"/>
      <c r="T1316" s="45"/>
      <c r="U1316" s="45"/>
      <c r="V1316" s="45"/>
      <c r="W1316" s="45"/>
      <c r="X1316" s="45"/>
      <c r="Y1316" s="45"/>
      <c r="Z1316" s="45"/>
      <c r="AA1316" s="45"/>
      <c r="AB1316" s="45"/>
      <c r="AC1316" s="45"/>
      <c r="AD1316" s="45"/>
    </row>
    <row r="1317">
      <c r="A1317" s="45"/>
      <c r="B1317" s="45"/>
      <c r="C1317" s="45"/>
      <c r="D1317" s="45"/>
      <c r="E1317" s="45"/>
      <c r="F1317" s="45"/>
      <c r="G1317" s="45"/>
      <c r="H1317" s="45"/>
      <c r="I1317" s="45"/>
      <c r="J1317" s="45"/>
      <c r="K1317" s="45"/>
      <c r="L1317" s="45"/>
      <c r="M1317" s="45"/>
      <c r="N1317" s="45"/>
      <c r="O1317" s="45"/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</row>
    <row r="1318">
      <c r="A1318" s="45"/>
      <c r="B1318" s="45"/>
      <c r="C1318" s="45"/>
      <c r="D1318" s="45"/>
      <c r="E1318" s="45"/>
      <c r="F1318" s="45"/>
      <c r="G1318" s="45"/>
      <c r="H1318" s="45"/>
      <c r="I1318" s="45"/>
      <c r="J1318" s="45"/>
      <c r="K1318" s="45"/>
      <c r="L1318" s="45"/>
      <c r="M1318" s="45"/>
      <c r="N1318" s="45"/>
      <c r="O1318" s="45"/>
      <c r="P1318" s="45"/>
      <c r="Q1318" s="45"/>
      <c r="R1318" s="45"/>
      <c r="S1318" s="45"/>
      <c r="T1318" s="45"/>
      <c r="U1318" s="45"/>
      <c r="V1318" s="45"/>
      <c r="W1318" s="45"/>
      <c r="X1318" s="45"/>
      <c r="Y1318" s="45"/>
      <c r="Z1318" s="45"/>
      <c r="AA1318" s="45"/>
      <c r="AB1318" s="45"/>
      <c r="AC1318" s="45"/>
      <c r="AD1318" s="45"/>
    </row>
    <row r="1319">
      <c r="A1319" s="45"/>
      <c r="B1319" s="45"/>
      <c r="C1319" s="45"/>
      <c r="D1319" s="45"/>
      <c r="E1319" s="45"/>
      <c r="F1319" s="45"/>
      <c r="G1319" s="45"/>
      <c r="H1319" s="45"/>
      <c r="I1319" s="45"/>
      <c r="J1319" s="45"/>
      <c r="K1319" s="45"/>
      <c r="L1319" s="45"/>
      <c r="M1319" s="45"/>
      <c r="N1319" s="45"/>
      <c r="O1319" s="45"/>
      <c r="P1319" s="45"/>
      <c r="Q1319" s="45"/>
      <c r="R1319" s="45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5"/>
    </row>
    <row r="1320">
      <c r="A1320" s="45"/>
      <c r="B1320" s="45"/>
      <c r="C1320" s="45"/>
      <c r="D1320" s="45"/>
      <c r="E1320" s="45"/>
      <c r="F1320" s="45"/>
      <c r="G1320" s="45"/>
      <c r="H1320" s="45"/>
      <c r="I1320" s="45"/>
      <c r="J1320" s="45"/>
      <c r="K1320" s="45"/>
      <c r="L1320" s="45"/>
      <c r="M1320" s="45"/>
      <c r="N1320" s="45"/>
      <c r="O1320" s="45"/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</row>
    <row r="1321">
      <c r="A1321" s="45"/>
      <c r="B1321" s="45"/>
      <c r="C1321" s="45"/>
      <c r="D1321" s="45"/>
      <c r="E1321" s="45"/>
      <c r="F1321" s="45"/>
      <c r="G1321" s="45"/>
      <c r="H1321" s="45"/>
      <c r="I1321" s="45"/>
      <c r="J1321" s="45"/>
      <c r="K1321" s="45"/>
      <c r="L1321" s="45"/>
      <c r="M1321" s="45"/>
      <c r="N1321" s="45"/>
      <c r="O1321" s="45"/>
      <c r="P1321" s="45"/>
      <c r="Q1321" s="45"/>
      <c r="R1321" s="45"/>
      <c r="S1321" s="45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5"/>
    </row>
    <row r="1322">
      <c r="A1322" s="45"/>
      <c r="B1322" s="45"/>
      <c r="C1322" s="45"/>
      <c r="D1322" s="45"/>
      <c r="E1322" s="45"/>
      <c r="F1322" s="45"/>
      <c r="G1322" s="45"/>
      <c r="H1322" s="45"/>
      <c r="I1322" s="45"/>
      <c r="J1322" s="45"/>
      <c r="K1322" s="45"/>
      <c r="L1322" s="45"/>
      <c r="M1322" s="45"/>
      <c r="N1322" s="45"/>
      <c r="O1322" s="45"/>
      <c r="P1322" s="45"/>
      <c r="Q1322" s="45"/>
      <c r="R1322" s="45"/>
      <c r="S1322" s="45"/>
      <c r="T1322" s="45"/>
      <c r="U1322" s="45"/>
      <c r="V1322" s="45"/>
      <c r="W1322" s="45"/>
      <c r="X1322" s="45"/>
      <c r="Y1322" s="45"/>
      <c r="Z1322" s="45"/>
      <c r="AA1322" s="45"/>
      <c r="AB1322" s="45"/>
      <c r="AC1322" s="45"/>
      <c r="AD1322" s="45"/>
    </row>
    <row r="1323">
      <c r="A1323" s="45"/>
      <c r="B1323" s="45"/>
      <c r="C1323" s="45"/>
      <c r="D1323" s="45"/>
      <c r="E1323" s="45"/>
      <c r="F1323" s="45"/>
      <c r="G1323" s="45"/>
      <c r="H1323" s="45"/>
      <c r="I1323" s="45"/>
      <c r="J1323" s="45"/>
      <c r="K1323" s="45"/>
      <c r="L1323" s="45"/>
      <c r="M1323" s="45"/>
      <c r="N1323" s="45"/>
      <c r="O1323" s="45"/>
      <c r="P1323" s="45"/>
      <c r="Q1323" s="45"/>
      <c r="R1323" s="45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5"/>
    </row>
    <row r="1324">
      <c r="A1324" s="45"/>
      <c r="B1324" s="45"/>
      <c r="C1324" s="45"/>
      <c r="D1324" s="45"/>
      <c r="E1324" s="45"/>
      <c r="F1324" s="45"/>
      <c r="G1324" s="45"/>
      <c r="H1324" s="45"/>
      <c r="I1324" s="45"/>
      <c r="J1324" s="45"/>
      <c r="K1324" s="45"/>
      <c r="L1324" s="45"/>
      <c r="M1324" s="45"/>
      <c r="N1324" s="45"/>
      <c r="O1324" s="45"/>
      <c r="P1324" s="45"/>
      <c r="Q1324" s="45"/>
      <c r="R1324" s="45"/>
      <c r="S1324" s="45"/>
      <c r="T1324" s="45"/>
      <c r="U1324" s="45"/>
      <c r="V1324" s="45"/>
      <c r="W1324" s="45"/>
      <c r="X1324" s="45"/>
      <c r="Y1324" s="45"/>
      <c r="Z1324" s="45"/>
      <c r="AA1324" s="45"/>
      <c r="AB1324" s="45"/>
      <c r="AC1324" s="45"/>
      <c r="AD1324" s="45"/>
    </row>
    <row r="1325">
      <c r="A1325" s="45"/>
      <c r="B1325" s="45"/>
      <c r="C1325" s="45"/>
      <c r="D1325" s="45"/>
      <c r="E1325" s="45"/>
      <c r="F1325" s="45"/>
      <c r="G1325" s="45"/>
      <c r="H1325" s="45"/>
      <c r="I1325" s="45"/>
      <c r="J1325" s="45"/>
      <c r="K1325" s="45"/>
      <c r="L1325" s="45"/>
      <c r="M1325" s="45"/>
      <c r="N1325" s="45"/>
      <c r="O1325" s="45"/>
      <c r="P1325" s="45"/>
      <c r="Q1325" s="45"/>
      <c r="R1325" s="45"/>
      <c r="S1325" s="45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5"/>
    </row>
    <row r="1326">
      <c r="A1326" s="45"/>
      <c r="B1326" s="45"/>
      <c r="C1326" s="45"/>
      <c r="D1326" s="45"/>
      <c r="E1326" s="45"/>
      <c r="F1326" s="45"/>
      <c r="G1326" s="45"/>
      <c r="H1326" s="45"/>
      <c r="I1326" s="45"/>
      <c r="J1326" s="45"/>
      <c r="K1326" s="45"/>
      <c r="L1326" s="45"/>
      <c r="M1326" s="45"/>
      <c r="N1326" s="45"/>
      <c r="O1326" s="45"/>
      <c r="P1326" s="45"/>
      <c r="Q1326" s="45"/>
      <c r="R1326" s="45"/>
      <c r="S1326" s="45"/>
      <c r="T1326" s="45"/>
      <c r="U1326" s="45"/>
      <c r="V1326" s="45"/>
      <c r="W1326" s="45"/>
      <c r="X1326" s="45"/>
      <c r="Y1326" s="45"/>
      <c r="Z1326" s="45"/>
      <c r="AA1326" s="45"/>
      <c r="AB1326" s="45"/>
      <c r="AC1326" s="45"/>
      <c r="AD1326" s="45"/>
    </row>
    <row r="1327">
      <c r="A1327" s="45"/>
      <c r="B1327" s="45"/>
      <c r="C1327" s="45"/>
      <c r="D1327" s="45"/>
      <c r="E1327" s="45"/>
      <c r="F1327" s="45"/>
      <c r="G1327" s="45"/>
      <c r="H1327" s="45"/>
      <c r="I1327" s="45"/>
      <c r="J1327" s="45"/>
      <c r="K1327" s="45"/>
      <c r="L1327" s="45"/>
      <c r="M1327" s="45"/>
      <c r="N1327" s="45"/>
      <c r="O1327" s="45"/>
      <c r="P1327" s="45"/>
      <c r="Q1327" s="45"/>
      <c r="R1327" s="45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5"/>
    </row>
    <row r="1328">
      <c r="A1328" s="45"/>
      <c r="B1328" s="45"/>
      <c r="C1328" s="45"/>
      <c r="D1328" s="45"/>
      <c r="E1328" s="45"/>
      <c r="F1328" s="45"/>
      <c r="G1328" s="45"/>
      <c r="H1328" s="45"/>
      <c r="I1328" s="45"/>
      <c r="J1328" s="45"/>
      <c r="K1328" s="45"/>
      <c r="L1328" s="45"/>
      <c r="M1328" s="45"/>
      <c r="N1328" s="45"/>
      <c r="O1328" s="45"/>
      <c r="P1328" s="45"/>
      <c r="Q1328" s="45"/>
      <c r="R1328" s="45"/>
      <c r="S1328" s="45"/>
      <c r="T1328" s="45"/>
      <c r="U1328" s="45"/>
      <c r="V1328" s="45"/>
      <c r="W1328" s="45"/>
      <c r="X1328" s="45"/>
      <c r="Y1328" s="45"/>
      <c r="Z1328" s="45"/>
      <c r="AA1328" s="45"/>
      <c r="AB1328" s="45"/>
      <c r="AC1328" s="45"/>
      <c r="AD1328" s="45"/>
    </row>
    <row r="1329">
      <c r="A1329" s="45"/>
      <c r="B1329" s="45"/>
      <c r="C1329" s="45"/>
      <c r="D1329" s="45"/>
      <c r="E1329" s="45"/>
      <c r="F1329" s="45"/>
      <c r="G1329" s="45"/>
      <c r="H1329" s="45"/>
      <c r="I1329" s="45"/>
      <c r="J1329" s="45"/>
      <c r="K1329" s="45"/>
      <c r="L1329" s="45"/>
      <c r="M1329" s="45"/>
      <c r="N1329" s="45"/>
      <c r="O1329" s="45"/>
      <c r="P1329" s="45"/>
      <c r="Q1329" s="45"/>
      <c r="R1329" s="45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5"/>
    </row>
    <row r="1330">
      <c r="A1330" s="45"/>
      <c r="B1330" s="45"/>
      <c r="C1330" s="45"/>
      <c r="D1330" s="45"/>
      <c r="E1330" s="45"/>
      <c r="F1330" s="45"/>
      <c r="G1330" s="45"/>
      <c r="H1330" s="45"/>
      <c r="I1330" s="45"/>
      <c r="J1330" s="45"/>
      <c r="K1330" s="45"/>
      <c r="L1330" s="45"/>
      <c r="M1330" s="45"/>
      <c r="N1330" s="45"/>
      <c r="O1330" s="45"/>
      <c r="P1330" s="45"/>
      <c r="Q1330" s="45"/>
      <c r="R1330" s="45"/>
      <c r="S1330" s="45"/>
      <c r="T1330" s="45"/>
      <c r="U1330" s="45"/>
      <c r="V1330" s="45"/>
      <c r="W1330" s="45"/>
      <c r="X1330" s="45"/>
      <c r="Y1330" s="45"/>
      <c r="Z1330" s="45"/>
      <c r="AA1330" s="45"/>
      <c r="AB1330" s="45"/>
      <c r="AC1330" s="45"/>
      <c r="AD1330" s="45"/>
    </row>
    <row r="1331">
      <c r="A1331" s="45"/>
      <c r="B1331" s="45"/>
      <c r="C1331" s="45"/>
      <c r="D1331" s="45"/>
      <c r="E1331" s="45"/>
      <c r="F1331" s="45"/>
      <c r="G1331" s="45"/>
      <c r="H1331" s="45"/>
      <c r="I1331" s="45"/>
      <c r="J1331" s="45"/>
      <c r="K1331" s="45"/>
      <c r="L1331" s="45"/>
      <c r="M1331" s="45"/>
      <c r="N1331" s="45"/>
      <c r="O1331" s="45"/>
      <c r="P1331" s="45"/>
      <c r="Q1331" s="45"/>
      <c r="R1331" s="45"/>
      <c r="S1331" s="45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5"/>
    </row>
    <row r="1332">
      <c r="A1332" s="45"/>
      <c r="B1332" s="45"/>
      <c r="C1332" s="45"/>
      <c r="D1332" s="45"/>
      <c r="E1332" s="45"/>
      <c r="F1332" s="45"/>
      <c r="G1332" s="45"/>
      <c r="H1332" s="45"/>
      <c r="I1332" s="45"/>
      <c r="J1332" s="45"/>
      <c r="K1332" s="45"/>
      <c r="L1332" s="45"/>
      <c r="M1332" s="45"/>
      <c r="N1332" s="45"/>
      <c r="O1332" s="45"/>
      <c r="P1332" s="45"/>
      <c r="Q1332" s="45"/>
      <c r="R1332" s="45"/>
      <c r="S1332" s="45"/>
      <c r="T1332" s="45"/>
      <c r="U1332" s="45"/>
      <c r="V1332" s="45"/>
      <c r="W1332" s="45"/>
      <c r="X1332" s="45"/>
      <c r="Y1332" s="45"/>
      <c r="Z1332" s="45"/>
      <c r="AA1332" s="45"/>
      <c r="AB1332" s="45"/>
      <c r="AC1332" s="45"/>
      <c r="AD1332" s="45"/>
    </row>
    <row r="1333">
      <c r="A1333" s="45"/>
      <c r="B1333" s="45"/>
      <c r="C1333" s="45"/>
      <c r="D1333" s="45"/>
      <c r="E1333" s="45"/>
      <c r="F1333" s="45"/>
      <c r="G1333" s="45"/>
      <c r="H1333" s="45"/>
      <c r="I1333" s="45"/>
      <c r="J1333" s="45"/>
      <c r="K1333" s="45"/>
      <c r="L1333" s="45"/>
      <c r="M1333" s="45"/>
      <c r="N1333" s="45"/>
      <c r="O1333" s="45"/>
      <c r="P1333" s="45"/>
      <c r="Q1333" s="45"/>
      <c r="R1333" s="45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5"/>
    </row>
    <row r="1334">
      <c r="A1334" s="45"/>
      <c r="B1334" s="45"/>
      <c r="C1334" s="45"/>
      <c r="D1334" s="45"/>
      <c r="E1334" s="45"/>
      <c r="F1334" s="45"/>
      <c r="G1334" s="45"/>
      <c r="H1334" s="45"/>
      <c r="I1334" s="45"/>
      <c r="J1334" s="45"/>
      <c r="K1334" s="45"/>
      <c r="L1334" s="45"/>
      <c r="M1334" s="45"/>
      <c r="N1334" s="45"/>
      <c r="O1334" s="45"/>
      <c r="P1334" s="45"/>
      <c r="Q1334" s="45"/>
      <c r="R1334" s="45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5"/>
    </row>
    <row r="1335">
      <c r="A1335" s="45"/>
      <c r="B1335" s="45"/>
      <c r="C1335" s="45"/>
      <c r="D1335" s="45"/>
      <c r="E1335" s="45"/>
      <c r="F1335" s="45"/>
      <c r="G1335" s="45"/>
      <c r="H1335" s="45"/>
      <c r="I1335" s="45"/>
      <c r="J1335" s="45"/>
      <c r="K1335" s="45"/>
      <c r="L1335" s="45"/>
      <c r="M1335" s="45"/>
      <c r="N1335" s="45"/>
      <c r="O1335" s="45"/>
      <c r="P1335" s="45"/>
      <c r="Q1335" s="45"/>
      <c r="R1335" s="45"/>
      <c r="S1335" s="45"/>
      <c r="T1335" s="45"/>
      <c r="U1335" s="45"/>
      <c r="V1335" s="45"/>
      <c r="W1335" s="45"/>
      <c r="X1335" s="45"/>
      <c r="Y1335" s="45"/>
      <c r="Z1335" s="45"/>
      <c r="AA1335" s="45"/>
      <c r="AB1335" s="45"/>
      <c r="AC1335" s="45"/>
      <c r="AD1335" s="45"/>
    </row>
    <row r="1336">
      <c r="A1336" s="45"/>
      <c r="B1336" s="45"/>
      <c r="C1336" s="45"/>
      <c r="D1336" s="45"/>
      <c r="E1336" s="45"/>
      <c r="F1336" s="45"/>
      <c r="G1336" s="45"/>
      <c r="H1336" s="45"/>
      <c r="I1336" s="45"/>
      <c r="J1336" s="45"/>
      <c r="K1336" s="45"/>
      <c r="L1336" s="45"/>
      <c r="M1336" s="45"/>
      <c r="N1336" s="45"/>
      <c r="O1336" s="45"/>
      <c r="P1336" s="45"/>
      <c r="Q1336" s="45"/>
      <c r="R1336" s="45"/>
      <c r="S1336" s="45"/>
      <c r="T1336" s="45"/>
      <c r="U1336" s="45"/>
      <c r="V1336" s="45"/>
      <c r="W1336" s="45"/>
      <c r="X1336" s="45"/>
      <c r="Y1336" s="45"/>
      <c r="Z1336" s="45"/>
      <c r="AA1336" s="45"/>
      <c r="AB1336" s="45"/>
      <c r="AC1336" s="45"/>
      <c r="AD1336" s="45"/>
    </row>
    <row r="1337">
      <c r="A1337" s="45"/>
      <c r="B1337" s="45"/>
      <c r="C1337" s="45"/>
      <c r="D1337" s="45"/>
      <c r="E1337" s="45"/>
      <c r="F1337" s="45"/>
      <c r="G1337" s="45"/>
      <c r="H1337" s="45"/>
      <c r="I1337" s="45"/>
      <c r="J1337" s="45"/>
      <c r="K1337" s="45"/>
      <c r="L1337" s="45"/>
      <c r="M1337" s="45"/>
      <c r="N1337" s="45"/>
      <c r="O1337" s="45"/>
      <c r="P1337" s="45"/>
      <c r="Q1337" s="45"/>
      <c r="R1337" s="45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5"/>
    </row>
    <row r="1338">
      <c r="A1338" s="45"/>
      <c r="B1338" s="45"/>
      <c r="C1338" s="45"/>
      <c r="D1338" s="45"/>
      <c r="E1338" s="45"/>
      <c r="F1338" s="45"/>
      <c r="G1338" s="45"/>
      <c r="H1338" s="45"/>
      <c r="I1338" s="45"/>
      <c r="J1338" s="45"/>
      <c r="K1338" s="45"/>
      <c r="L1338" s="45"/>
      <c r="M1338" s="45"/>
      <c r="N1338" s="45"/>
      <c r="O1338" s="45"/>
      <c r="P1338" s="45"/>
      <c r="Q1338" s="45"/>
      <c r="R1338" s="45"/>
      <c r="S1338" s="45"/>
      <c r="T1338" s="45"/>
      <c r="U1338" s="45"/>
      <c r="V1338" s="45"/>
      <c r="W1338" s="45"/>
      <c r="X1338" s="45"/>
      <c r="Y1338" s="45"/>
      <c r="Z1338" s="45"/>
      <c r="AA1338" s="45"/>
      <c r="AB1338" s="45"/>
      <c r="AC1338" s="45"/>
      <c r="AD1338" s="45"/>
    </row>
    <row r="1339">
      <c r="A1339" s="45"/>
      <c r="B1339" s="45"/>
      <c r="C1339" s="45"/>
      <c r="D1339" s="45"/>
      <c r="E1339" s="45"/>
      <c r="F1339" s="45"/>
      <c r="G1339" s="45"/>
      <c r="H1339" s="45"/>
      <c r="I1339" s="45"/>
      <c r="J1339" s="45"/>
      <c r="K1339" s="45"/>
      <c r="L1339" s="45"/>
      <c r="M1339" s="45"/>
      <c r="N1339" s="45"/>
      <c r="O1339" s="45"/>
      <c r="P1339" s="45"/>
      <c r="Q1339" s="45"/>
      <c r="R1339" s="45"/>
      <c r="S1339" s="45"/>
      <c r="T1339" s="45"/>
      <c r="U1339" s="45"/>
      <c r="V1339" s="45"/>
      <c r="W1339" s="45"/>
      <c r="X1339" s="45"/>
      <c r="Y1339" s="45"/>
      <c r="Z1339" s="45"/>
      <c r="AA1339" s="45"/>
      <c r="AB1339" s="45"/>
      <c r="AC1339" s="45"/>
      <c r="AD1339" s="45"/>
    </row>
    <row r="1340">
      <c r="A1340" s="45"/>
      <c r="B1340" s="45"/>
      <c r="C1340" s="45"/>
      <c r="D1340" s="45"/>
      <c r="E1340" s="45"/>
      <c r="F1340" s="45"/>
      <c r="G1340" s="45"/>
      <c r="H1340" s="45"/>
      <c r="I1340" s="45"/>
      <c r="J1340" s="45"/>
      <c r="K1340" s="45"/>
      <c r="L1340" s="45"/>
      <c r="M1340" s="45"/>
      <c r="N1340" s="45"/>
      <c r="O1340" s="45"/>
      <c r="P1340" s="45"/>
      <c r="Q1340" s="45"/>
      <c r="R1340" s="45"/>
      <c r="S1340" s="45"/>
      <c r="T1340" s="45"/>
      <c r="U1340" s="45"/>
      <c r="V1340" s="45"/>
      <c r="W1340" s="45"/>
      <c r="X1340" s="45"/>
      <c r="Y1340" s="45"/>
      <c r="Z1340" s="45"/>
      <c r="AA1340" s="45"/>
      <c r="AB1340" s="45"/>
      <c r="AC1340" s="45"/>
      <c r="AD1340" s="45"/>
    </row>
    <row r="1341">
      <c r="A1341" s="45"/>
      <c r="B1341" s="45"/>
      <c r="C1341" s="45"/>
      <c r="D1341" s="45"/>
      <c r="E1341" s="45"/>
      <c r="F1341" s="45"/>
      <c r="G1341" s="45"/>
      <c r="H1341" s="45"/>
      <c r="I1341" s="45"/>
      <c r="J1341" s="45"/>
      <c r="K1341" s="45"/>
      <c r="L1341" s="45"/>
      <c r="M1341" s="45"/>
      <c r="N1341" s="45"/>
      <c r="O1341" s="45"/>
      <c r="P1341" s="45"/>
      <c r="Q1341" s="45"/>
      <c r="R1341" s="45"/>
      <c r="S1341" s="45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5"/>
    </row>
    <row r="1342">
      <c r="A1342" s="45"/>
      <c r="B1342" s="45"/>
      <c r="C1342" s="45"/>
      <c r="D1342" s="45"/>
      <c r="E1342" s="45"/>
      <c r="F1342" s="45"/>
      <c r="G1342" s="45"/>
      <c r="H1342" s="45"/>
      <c r="I1342" s="45"/>
      <c r="J1342" s="45"/>
      <c r="K1342" s="45"/>
      <c r="L1342" s="45"/>
      <c r="M1342" s="45"/>
      <c r="N1342" s="45"/>
      <c r="O1342" s="45"/>
      <c r="P1342" s="45"/>
      <c r="Q1342" s="45"/>
      <c r="R1342" s="45"/>
      <c r="S1342" s="45"/>
      <c r="T1342" s="45"/>
      <c r="U1342" s="45"/>
      <c r="V1342" s="45"/>
      <c r="W1342" s="45"/>
      <c r="X1342" s="45"/>
      <c r="Y1342" s="45"/>
      <c r="Z1342" s="45"/>
      <c r="AA1342" s="45"/>
      <c r="AB1342" s="45"/>
      <c r="AC1342" s="45"/>
      <c r="AD1342" s="45"/>
    </row>
    <row r="1343">
      <c r="A1343" s="45"/>
      <c r="B1343" s="45"/>
      <c r="C1343" s="45"/>
      <c r="D1343" s="45"/>
      <c r="E1343" s="45"/>
      <c r="F1343" s="45"/>
      <c r="G1343" s="45"/>
      <c r="H1343" s="45"/>
      <c r="I1343" s="45"/>
      <c r="J1343" s="45"/>
      <c r="K1343" s="45"/>
      <c r="L1343" s="45"/>
      <c r="M1343" s="45"/>
      <c r="N1343" s="45"/>
      <c r="O1343" s="45"/>
      <c r="P1343" s="45"/>
      <c r="Q1343" s="45"/>
      <c r="R1343" s="45"/>
      <c r="S1343" s="45"/>
      <c r="T1343" s="45"/>
      <c r="U1343" s="45"/>
      <c r="V1343" s="45"/>
      <c r="W1343" s="45"/>
      <c r="X1343" s="45"/>
      <c r="Y1343" s="45"/>
      <c r="Z1343" s="45"/>
      <c r="AA1343" s="45"/>
      <c r="AB1343" s="45"/>
      <c r="AC1343" s="45"/>
      <c r="AD1343" s="45"/>
    </row>
    <row r="1344">
      <c r="A1344" s="45"/>
      <c r="B1344" s="45"/>
      <c r="C1344" s="45"/>
      <c r="D1344" s="45"/>
      <c r="E1344" s="45"/>
      <c r="F1344" s="45"/>
      <c r="G1344" s="45"/>
      <c r="H1344" s="45"/>
      <c r="I1344" s="45"/>
      <c r="J1344" s="45"/>
      <c r="K1344" s="45"/>
      <c r="L1344" s="45"/>
      <c r="M1344" s="45"/>
      <c r="N1344" s="45"/>
      <c r="O1344" s="45"/>
      <c r="P1344" s="45"/>
      <c r="Q1344" s="45"/>
      <c r="R1344" s="45"/>
      <c r="S1344" s="45"/>
      <c r="T1344" s="45"/>
      <c r="U1344" s="45"/>
      <c r="V1344" s="45"/>
      <c r="W1344" s="45"/>
      <c r="X1344" s="45"/>
      <c r="Y1344" s="45"/>
      <c r="Z1344" s="45"/>
      <c r="AA1344" s="45"/>
      <c r="AB1344" s="45"/>
      <c r="AC1344" s="45"/>
      <c r="AD1344" s="45"/>
    </row>
    <row r="1345">
      <c r="A1345" s="45"/>
      <c r="B1345" s="45"/>
      <c r="C1345" s="45"/>
      <c r="D1345" s="45"/>
      <c r="E1345" s="45"/>
      <c r="F1345" s="45"/>
      <c r="G1345" s="45"/>
      <c r="H1345" s="45"/>
      <c r="I1345" s="45"/>
      <c r="J1345" s="45"/>
      <c r="K1345" s="45"/>
      <c r="L1345" s="45"/>
      <c r="M1345" s="45"/>
      <c r="N1345" s="45"/>
      <c r="O1345" s="45"/>
      <c r="P1345" s="45"/>
      <c r="Q1345" s="45"/>
      <c r="R1345" s="45"/>
      <c r="S1345" s="45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5"/>
    </row>
    <row r="1346">
      <c r="A1346" s="45"/>
      <c r="B1346" s="45"/>
      <c r="C1346" s="45"/>
      <c r="D1346" s="45"/>
      <c r="E1346" s="45"/>
      <c r="F1346" s="45"/>
      <c r="G1346" s="45"/>
      <c r="H1346" s="45"/>
      <c r="I1346" s="45"/>
      <c r="J1346" s="45"/>
      <c r="K1346" s="45"/>
      <c r="L1346" s="45"/>
      <c r="M1346" s="45"/>
      <c r="N1346" s="45"/>
      <c r="O1346" s="45"/>
      <c r="P1346" s="45"/>
      <c r="Q1346" s="45"/>
      <c r="R1346" s="45"/>
      <c r="S1346" s="45"/>
      <c r="T1346" s="45"/>
      <c r="U1346" s="45"/>
      <c r="V1346" s="45"/>
      <c r="W1346" s="45"/>
      <c r="X1346" s="45"/>
      <c r="Y1346" s="45"/>
      <c r="Z1346" s="45"/>
      <c r="AA1346" s="45"/>
      <c r="AB1346" s="45"/>
      <c r="AC1346" s="45"/>
      <c r="AD1346" s="45"/>
    </row>
    <row r="1347">
      <c r="A1347" s="45"/>
      <c r="B1347" s="45"/>
      <c r="C1347" s="45"/>
      <c r="D1347" s="45"/>
      <c r="E1347" s="45"/>
      <c r="F1347" s="45"/>
      <c r="G1347" s="45"/>
      <c r="H1347" s="45"/>
      <c r="I1347" s="45"/>
      <c r="J1347" s="45"/>
      <c r="K1347" s="45"/>
      <c r="L1347" s="45"/>
      <c r="M1347" s="45"/>
      <c r="N1347" s="45"/>
      <c r="O1347" s="45"/>
      <c r="P1347" s="45"/>
      <c r="Q1347" s="45"/>
      <c r="R1347" s="45"/>
      <c r="S1347" s="45"/>
      <c r="T1347" s="45"/>
      <c r="U1347" s="45"/>
      <c r="V1347" s="45"/>
      <c r="W1347" s="45"/>
      <c r="X1347" s="45"/>
      <c r="Y1347" s="45"/>
      <c r="Z1347" s="45"/>
      <c r="AA1347" s="45"/>
      <c r="AB1347" s="45"/>
      <c r="AC1347" s="45"/>
      <c r="AD1347" s="45"/>
    </row>
    <row r="1348">
      <c r="A1348" s="45"/>
      <c r="B1348" s="45"/>
      <c r="C1348" s="45"/>
      <c r="D1348" s="45"/>
      <c r="E1348" s="45"/>
      <c r="F1348" s="45"/>
      <c r="G1348" s="45"/>
      <c r="H1348" s="45"/>
      <c r="I1348" s="45"/>
      <c r="J1348" s="45"/>
      <c r="K1348" s="45"/>
      <c r="L1348" s="45"/>
      <c r="M1348" s="45"/>
      <c r="N1348" s="45"/>
      <c r="O1348" s="45"/>
      <c r="P1348" s="45"/>
      <c r="Q1348" s="45"/>
      <c r="R1348" s="45"/>
      <c r="S1348" s="45"/>
      <c r="T1348" s="45"/>
      <c r="U1348" s="45"/>
      <c r="V1348" s="45"/>
      <c r="W1348" s="45"/>
      <c r="X1348" s="45"/>
      <c r="Y1348" s="45"/>
      <c r="Z1348" s="45"/>
      <c r="AA1348" s="45"/>
      <c r="AB1348" s="45"/>
      <c r="AC1348" s="45"/>
      <c r="AD1348" s="45"/>
    </row>
    <row r="1349">
      <c r="A1349" s="45"/>
      <c r="B1349" s="45"/>
      <c r="C1349" s="45"/>
      <c r="D1349" s="45"/>
      <c r="E1349" s="45"/>
      <c r="F1349" s="45"/>
      <c r="G1349" s="45"/>
      <c r="H1349" s="45"/>
      <c r="I1349" s="45"/>
      <c r="J1349" s="45"/>
      <c r="K1349" s="45"/>
      <c r="L1349" s="45"/>
      <c r="M1349" s="45"/>
      <c r="N1349" s="45"/>
      <c r="O1349" s="45"/>
      <c r="P1349" s="45"/>
      <c r="Q1349" s="45"/>
      <c r="R1349" s="45"/>
      <c r="S1349" s="45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5"/>
    </row>
    <row r="1350">
      <c r="A1350" s="45"/>
      <c r="B1350" s="45"/>
      <c r="C1350" s="45"/>
      <c r="D1350" s="45"/>
      <c r="E1350" s="45"/>
      <c r="F1350" s="45"/>
      <c r="G1350" s="45"/>
      <c r="H1350" s="45"/>
      <c r="I1350" s="45"/>
      <c r="J1350" s="45"/>
      <c r="K1350" s="45"/>
      <c r="L1350" s="45"/>
      <c r="M1350" s="45"/>
      <c r="N1350" s="45"/>
      <c r="O1350" s="45"/>
      <c r="P1350" s="45"/>
      <c r="Q1350" s="45"/>
      <c r="R1350" s="45"/>
      <c r="S1350" s="45"/>
      <c r="T1350" s="45"/>
      <c r="U1350" s="45"/>
      <c r="V1350" s="45"/>
      <c r="W1350" s="45"/>
      <c r="X1350" s="45"/>
      <c r="Y1350" s="45"/>
      <c r="Z1350" s="45"/>
      <c r="AA1350" s="45"/>
      <c r="AB1350" s="45"/>
      <c r="AC1350" s="45"/>
      <c r="AD1350" s="45"/>
    </row>
    <row r="1351">
      <c r="A1351" s="45"/>
      <c r="B1351" s="45"/>
      <c r="C1351" s="45"/>
      <c r="D1351" s="45"/>
      <c r="E1351" s="45"/>
      <c r="F1351" s="45"/>
      <c r="G1351" s="45"/>
      <c r="H1351" s="45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  <c r="U1351" s="45"/>
      <c r="V1351" s="45"/>
      <c r="W1351" s="45"/>
      <c r="X1351" s="45"/>
      <c r="Y1351" s="45"/>
      <c r="Z1351" s="45"/>
      <c r="AA1351" s="45"/>
      <c r="AB1351" s="45"/>
      <c r="AC1351" s="45"/>
      <c r="AD1351" s="45"/>
    </row>
    <row r="1352">
      <c r="A1352" s="45"/>
      <c r="B1352" s="45"/>
      <c r="C1352" s="45"/>
      <c r="D1352" s="45"/>
      <c r="E1352" s="45"/>
      <c r="F1352" s="45"/>
      <c r="G1352" s="45"/>
      <c r="H1352" s="45"/>
      <c r="I1352" s="45"/>
      <c r="J1352" s="45"/>
      <c r="K1352" s="45"/>
      <c r="L1352" s="45"/>
      <c r="M1352" s="45"/>
      <c r="N1352" s="45"/>
      <c r="O1352" s="45"/>
      <c r="P1352" s="45"/>
      <c r="Q1352" s="45"/>
      <c r="R1352" s="45"/>
      <c r="S1352" s="45"/>
      <c r="T1352" s="45"/>
      <c r="U1352" s="45"/>
      <c r="V1352" s="45"/>
      <c r="W1352" s="45"/>
      <c r="X1352" s="45"/>
      <c r="Y1352" s="45"/>
      <c r="Z1352" s="45"/>
      <c r="AA1352" s="45"/>
      <c r="AB1352" s="45"/>
      <c r="AC1352" s="45"/>
      <c r="AD1352" s="45"/>
    </row>
    <row r="1353">
      <c r="A1353" s="45"/>
      <c r="B1353" s="45"/>
      <c r="C1353" s="45"/>
      <c r="D1353" s="45"/>
      <c r="E1353" s="45"/>
      <c r="F1353" s="45"/>
      <c r="G1353" s="45"/>
      <c r="H1353" s="45"/>
      <c r="I1353" s="45"/>
      <c r="J1353" s="45"/>
      <c r="K1353" s="45"/>
      <c r="L1353" s="45"/>
      <c r="M1353" s="45"/>
      <c r="N1353" s="45"/>
      <c r="O1353" s="45"/>
      <c r="P1353" s="45"/>
      <c r="Q1353" s="45"/>
      <c r="R1353" s="45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5"/>
    </row>
    <row r="1354">
      <c r="A1354" s="45"/>
      <c r="B1354" s="45"/>
      <c r="C1354" s="45"/>
      <c r="D1354" s="45"/>
      <c r="E1354" s="45"/>
      <c r="F1354" s="45"/>
      <c r="G1354" s="45"/>
      <c r="H1354" s="45"/>
      <c r="I1354" s="45"/>
      <c r="J1354" s="45"/>
      <c r="K1354" s="45"/>
      <c r="L1354" s="45"/>
      <c r="M1354" s="45"/>
      <c r="N1354" s="45"/>
      <c r="O1354" s="45"/>
      <c r="P1354" s="45"/>
      <c r="Q1354" s="45"/>
      <c r="R1354" s="45"/>
      <c r="S1354" s="45"/>
      <c r="T1354" s="45"/>
      <c r="U1354" s="45"/>
      <c r="V1354" s="45"/>
      <c r="W1354" s="45"/>
      <c r="X1354" s="45"/>
      <c r="Y1354" s="45"/>
      <c r="Z1354" s="45"/>
      <c r="AA1354" s="45"/>
      <c r="AB1354" s="45"/>
      <c r="AC1354" s="45"/>
      <c r="AD1354" s="45"/>
    </row>
    <row r="1355">
      <c r="A1355" s="45"/>
      <c r="B1355" s="45"/>
      <c r="C1355" s="45"/>
      <c r="D1355" s="45"/>
      <c r="E1355" s="45"/>
      <c r="F1355" s="45"/>
      <c r="G1355" s="45"/>
      <c r="H1355" s="45"/>
      <c r="I1355" s="45"/>
      <c r="J1355" s="45"/>
      <c r="K1355" s="45"/>
      <c r="L1355" s="45"/>
      <c r="M1355" s="45"/>
      <c r="N1355" s="45"/>
      <c r="O1355" s="45"/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</row>
    <row r="1356">
      <c r="A1356" s="45"/>
      <c r="B1356" s="45"/>
      <c r="C1356" s="45"/>
      <c r="D1356" s="45"/>
      <c r="E1356" s="45"/>
      <c r="F1356" s="45"/>
      <c r="G1356" s="45"/>
      <c r="H1356" s="45"/>
      <c r="I1356" s="45"/>
      <c r="J1356" s="45"/>
      <c r="K1356" s="45"/>
      <c r="L1356" s="45"/>
      <c r="M1356" s="45"/>
      <c r="N1356" s="45"/>
      <c r="O1356" s="45"/>
      <c r="P1356" s="45"/>
      <c r="Q1356" s="45"/>
      <c r="R1356" s="45"/>
      <c r="S1356" s="45"/>
      <c r="T1356" s="45"/>
      <c r="U1356" s="45"/>
      <c r="V1356" s="45"/>
      <c r="W1356" s="45"/>
      <c r="X1356" s="45"/>
      <c r="Y1356" s="45"/>
      <c r="Z1356" s="45"/>
      <c r="AA1356" s="45"/>
      <c r="AB1356" s="45"/>
      <c r="AC1356" s="45"/>
      <c r="AD1356" s="45"/>
    </row>
  </sheetData>
  <dataValidations>
    <dataValidation type="custom" allowBlank="1" showDropDown="1" sqref="G138:G189">
      <formula1>AND(ISNUMBER(G138),(NOT(OR(NOT(ISERROR(DATEVALUE(G138))), AND(ISNUMBER(G138), LEFT(CELL("format", G138))="D")))))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5.57"/>
    <col customWidth="1" min="3" max="3" width="17.43"/>
    <col customWidth="1" min="4" max="4" width="22.0"/>
    <col customWidth="1" min="5" max="5" width="29.57"/>
    <col customWidth="1" min="6" max="6" width="23.0"/>
    <col customWidth="1" min="7" max="7" width="56.14"/>
    <col customWidth="1" min="8" max="27" width="8.71"/>
  </cols>
  <sheetData>
    <row r="1" ht="22.5" customHeight="1">
      <c r="A1" s="1" t="s">
        <v>8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190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9">
        <v>2463403.0</v>
      </c>
      <c r="B2" s="9" t="s">
        <v>15</v>
      </c>
      <c r="C2" s="15" t="s">
        <v>223</v>
      </c>
      <c r="D2" s="8" t="s">
        <v>224</v>
      </c>
      <c r="E2" s="9" t="b">
        <v>0</v>
      </c>
      <c r="F2" s="18"/>
      <c r="G2" s="1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9">
        <v>1.1726598E7</v>
      </c>
      <c r="B3" s="9" t="s">
        <v>16</v>
      </c>
      <c r="C3" s="15" t="s">
        <v>223</v>
      </c>
      <c r="D3" s="8" t="s">
        <v>224</v>
      </c>
      <c r="E3" s="9" t="b">
        <v>0</v>
      </c>
      <c r="F3" s="18"/>
      <c r="G3" s="1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9">
        <v>6.496634E7</v>
      </c>
      <c r="B4" s="9" t="s">
        <v>173</v>
      </c>
      <c r="C4" s="15" t="s">
        <v>223</v>
      </c>
      <c r="D4" s="8" t="s">
        <v>224</v>
      </c>
      <c r="E4" s="9" t="b">
        <v>1</v>
      </c>
      <c r="F4" s="18"/>
      <c r="G4" s="1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9">
        <v>1.71604682E8</v>
      </c>
      <c r="B5" s="9" t="s">
        <v>216</v>
      </c>
      <c r="C5" s="19" t="s">
        <v>223</v>
      </c>
      <c r="D5" s="9" t="s">
        <v>224</v>
      </c>
      <c r="E5" s="9" t="b">
        <v>1</v>
      </c>
      <c r="F5" s="18"/>
      <c r="G5" s="9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22.5" customHeight="1">
      <c r="A6" s="9">
        <v>6.7071592E7</v>
      </c>
      <c r="B6" s="9" t="s">
        <v>171</v>
      </c>
      <c r="C6" s="19" t="s">
        <v>223</v>
      </c>
      <c r="D6" s="9" t="s">
        <v>224</v>
      </c>
      <c r="E6" s="9" t="b">
        <v>0</v>
      </c>
      <c r="F6" s="18"/>
      <c r="G6" s="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12">
        <v>1.69326547E8</v>
      </c>
      <c r="B7" s="9" t="s">
        <v>174</v>
      </c>
      <c r="C7" s="19" t="s">
        <v>223</v>
      </c>
      <c r="D7" s="9" t="s">
        <v>224</v>
      </c>
      <c r="E7" s="9" t="b">
        <v>0</v>
      </c>
      <c r="F7" s="18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22.5" customHeight="1">
      <c r="A8" s="9">
        <v>1.5633938E8</v>
      </c>
      <c r="B8" s="9" t="s">
        <v>18</v>
      </c>
      <c r="C8" s="19" t="s">
        <v>223</v>
      </c>
      <c r="D8" s="9" t="s">
        <v>224</v>
      </c>
      <c r="E8" s="9" t="b">
        <v>1</v>
      </c>
      <c r="F8" s="18"/>
      <c r="G8" s="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22.5" customHeight="1">
      <c r="A9" s="9">
        <v>1.67637163E8</v>
      </c>
      <c r="B9" s="9" t="s">
        <v>19</v>
      </c>
      <c r="C9" s="19" t="s">
        <v>223</v>
      </c>
      <c r="D9" s="9" t="s">
        <v>224</v>
      </c>
      <c r="E9" s="9" t="b">
        <v>1</v>
      </c>
      <c r="F9" s="18"/>
      <c r="G9" s="1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22.5" customHeight="1">
      <c r="A10" s="9">
        <v>1.69446444E8</v>
      </c>
      <c r="B10" s="9" t="s">
        <v>20</v>
      </c>
      <c r="C10" s="19" t="s">
        <v>223</v>
      </c>
      <c r="D10" s="9" t="s">
        <v>224</v>
      </c>
      <c r="E10" s="9" t="b">
        <v>1</v>
      </c>
      <c r="F10" s="18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22.5" customHeight="1">
      <c r="A11" s="9">
        <v>1.69461237E8</v>
      </c>
      <c r="B11" s="9" t="s">
        <v>21</v>
      </c>
      <c r="C11" s="15" t="s">
        <v>223</v>
      </c>
      <c r="D11" s="9" t="s">
        <v>224</v>
      </c>
      <c r="E11" s="9" t="b">
        <v>1</v>
      </c>
      <c r="F11" s="18"/>
      <c r="G11" s="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22.5" customHeight="1">
      <c r="A12" s="8">
        <v>1.45408006E8</v>
      </c>
      <c r="B12" s="8" t="s">
        <v>22</v>
      </c>
      <c r="C12" s="15" t="s">
        <v>223</v>
      </c>
      <c r="D12" s="9" t="s">
        <v>225</v>
      </c>
      <c r="E12" s="9" t="b">
        <v>0</v>
      </c>
      <c r="F12" s="14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22.5" customHeight="1">
      <c r="A13" s="9">
        <v>6.3222201E7</v>
      </c>
      <c r="B13" s="9" t="s">
        <v>23</v>
      </c>
      <c r="C13" s="15" t="s">
        <v>223</v>
      </c>
      <c r="D13" s="9" t="s">
        <v>225</v>
      </c>
      <c r="E13" s="9" t="b">
        <v>0</v>
      </c>
      <c r="F13" s="18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22.5" customHeight="1">
      <c r="A14" s="9">
        <v>6.4010776E7</v>
      </c>
      <c r="B14" s="9" t="s">
        <v>24</v>
      </c>
      <c r="C14" s="15" t="s">
        <v>223</v>
      </c>
      <c r="D14" s="9" t="s">
        <v>225</v>
      </c>
      <c r="E14" s="9" t="b">
        <v>0</v>
      </c>
      <c r="F14" s="18"/>
      <c r="G14" s="1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22.5" customHeight="1">
      <c r="A15" s="9">
        <v>1.71934536E8</v>
      </c>
      <c r="B15" s="9" t="s">
        <v>25</v>
      </c>
      <c r="C15" s="15" t="s">
        <v>223</v>
      </c>
      <c r="D15" s="9" t="s">
        <v>225</v>
      </c>
      <c r="E15" s="9" t="b">
        <v>0</v>
      </c>
      <c r="F15" s="18"/>
      <c r="G15" s="1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2.5" customHeight="1">
      <c r="A16" s="9">
        <v>6.2691192E7</v>
      </c>
      <c r="B16" s="9" t="s">
        <v>27</v>
      </c>
      <c r="C16" s="15" t="s">
        <v>223</v>
      </c>
      <c r="D16" s="9" t="s">
        <v>225</v>
      </c>
      <c r="E16" s="9" t="b">
        <v>0</v>
      </c>
      <c r="F16" s="18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22.5" customHeight="1">
      <c r="A17" s="9">
        <v>6.2576249E7</v>
      </c>
      <c r="B17" s="9" t="s">
        <v>29</v>
      </c>
      <c r="C17" s="15" t="s">
        <v>223</v>
      </c>
      <c r="D17" s="9" t="s">
        <v>225</v>
      </c>
      <c r="E17" s="9" t="b">
        <v>1</v>
      </c>
      <c r="F17" s="18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9">
        <v>1.71879011E8</v>
      </c>
      <c r="B18" s="9" t="s">
        <v>33</v>
      </c>
      <c r="C18" s="15" t="s">
        <v>223</v>
      </c>
      <c r="D18" s="9" t="s">
        <v>225</v>
      </c>
      <c r="E18" s="9" t="b">
        <v>0</v>
      </c>
      <c r="F18" s="73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9">
        <v>7.1152824E7</v>
      </c>
      <c r="B19" s="9" t="s">
        <v>35</v>
      </c>
      <c r="C19" s="19" t="s">
        <v>223</v>
      </c>
      <c r="D19" s="9" t="s">
        <v>225</v>
      </c>
      <c r="E19" s="9" t="b">
        <v>0</v>
      </c>
      <c r="F19" s="18"/>
      <c r="G19" s="1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9">
        <v>1.1409556E7</v>
      </c>
      <c r="B20" s="9" t="s">
        <v>36</v>
      </c>
      <c r="C20" s="19" t="s">
        <v>223</v>
      </c>
      <c r="D20" s="9" t="s">
        <v>225</v>
      </c>
      <c r="E20" s="9" t="b">
        <v>0</v>
      </c>
      <c r="F20" s="18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9">
        <v>1.69247313E8</v>
      </c>
      <c r="B21" s="9" t="s">
        <v>37</v>
      </c>
      <c r="C21" s="19" t="s">
        <v>223</v>
      </c>
      <c r="D21" s="9" t="s">
        <v>225</v>
      </c>
      <c r="E21" s="9" t="b">
        <v>1</v>
      </c>
      <c r="F21" s="18"/>
      <c r="G21" s="1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9">
        <v>1.4572491E7</v>
      </c>
      <c r="B22" s="9" t="s">
        <v>38</v>
      </c>
      <c r="C22" s="19" t="s">
        <v>223</v>
      </c>
      <c r="D22" s="9" t="s">
        <v>225</v>
      </c>
      <c r="E22" s="9" t="b">
        <v>0</v>
      </c>
      <c r="F22" s="18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9">
        <v>1.71827401E8</v>
      </c>
      <c r="B23" s="9" t="s">
        <v>42</v>
      </c>
      <c r="C23" s="19" t="s">
        <v>226</v>
      </c>
      <c r="D23" s="9" t="s">
        <v>225</v>
      </c>
      <c r="E23" s="9" t="b">
        <v>0</v>
      </c>
      <c r="F23" s="18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9">
        <v>1.71503078E8</v>
      </c>
      <c r="B24" s="9" t="s">
        <v>43</v>
      </c>
      <c r="C24" s="19" t="s">
        <v>223</v>
      </c>
      <c r="D24" s="9" t="s">
        <v>225</v>
      </c>
      <c r="E24" s="9" t="b">
        <v>1</v>
      </c>
      <c r="F24" s="18"/>
      <c r="G24" s="1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9">
        <v>1.40009179E8</v>
      </c>
      <c r="B25" s="9" t="s">
        <v>45</v>
      </c>
      <c r="C25" s="19" t="s">
        <v>227</v>
      </c>
      <c r="D25" s="9" t="s">
        <v>225</v>
      </c>
      <c r="E25" s="9" t="b">
        <v>0</v>
      </c>
      <c r="F25" s="18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9">
        <v>1.20029911E8</v>
      </c>
      <c r="B26" s="9" t="s">
        <v>48</v>
      </c>
      <c r="C26" s="19" t="s">
        <v>223</v>
      </c>
      <c r="D26" s="9" t="s">
        <v>225</v>
      </c>
      <c r="E26" s="9" t="b">
        <v>0</v>
      </c>
      <c r="F26" s="18"/>
      <c r="G26" s="1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2">
        <v>1.68455139E8</v>
      </c>
      <c r="B27" s="9" t="s">
        <v>175</v>
      </c>
      <c r="C27" s="19" t="s">
        <v>223</v>
      </c>
      <c r="D27" s="9" t="s">
        <v>225</v>
      </c>
      <c r="E27" s="9" t="b">
        <v>0</v>
      </c>
      <c r="F27" s="73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9">
        <v>1.44049878E8</v>
      </c>
      <c r="B28" s="9" t="s">
        <v>51</v>
      </c>
      <c r="C28" s="19" t="s">
        <v>223</v>
      </c>
      <c r="D28" s="9" t="s">
        <v>225</v>
      </c>
      <c r="E28" s="9" t="b">
        <v>0</v>
      </c>
      <c r="F28" s="18"/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9">
        <v>1.68923934E8</v>
      </c>
      <c r="B29" s="9" t="s">
        <v>52</v>
      </c>
      <c r="C29" s="19" t="s">
        <v>223</v>
      </c>
      <c r="D29" s="9" t="s">
        <v>225</v>
      </c>
      <c r="E29" s="9" t="b">
        <v>0</v>
      </c>
      <c r="F29" s="18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9">
        <v>1.66871338E8</v>
      </c>
      <c r="B30" s="9" t="s">
        <v>53</v>
      </c>
      <c r="C30" s="19" t="s">
        <v>223</v>
      </c>
      <c r="D30" s="9" t="s">
        <v>225</v>
      </c>
      <c r="E30" s="9" t="b">
        <v>0</v>
      </c>
      <c r="F30" s="18"/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9">
        <v>1.6683283E8</v>
      </c>
      <c r="B31" s="9" t="s">
        <v>55</v>
      </c>
      <c r="C31" s="19" t="s">
        <v>223</v>
      </c>
      <c r="D31" s="9" t="s">
        <v>225</v>
      </c>
      <c r="E31" s="9" t="b">
        <v>0</v>
      </c>
      <c r="F31" s="18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9">
        <v>1.66497805E8</v>
      </c>
      <c r="B32" s="9" t="s">
        <v>56</v>
      </c>
      <c r="C32" s="19" t="s">
        <v>223</v>
      </c>
      <c r="D32" s="9" t="s">
        <v>225</v>
      </c>
      <c r="E32" s="9" t="b">
        <v>0</v>
      </c>
      <c r="F32" s="18"/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9">
        <v>1.71574321E8</v>
      </c>
      <c r="B33" s="9" t="s">
        <v>57</v>
      </c>
      <c r="C33" s="19" t="s">
        <v>226</v>
      </c>
      <c r="D33" s="9" t="s">
        <v>225</v>
      </c>
      <c r="E33" s="9" t="b">
        <v>0</v>
      </c>
      <c r="F33" s="18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9">
        <v>1.72078991E8</v>
      </c>
      <c r="B34" s="9" t="s">
        <v>58</v>
      </c>
      <c r="C34" s="19" t="s">
        <v>226</v>
      </c>
      <c r="D34" s="9" t="s">
        <v>225</v>
      </c>
      <c r="E34" s="9" t="b">
        <v>0</v>
      </c>
      <c r="F34" s="18"/>
      <c r="G34" s="1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9">
        <v>1.71491377E8</v>
      </c>
      <c r="B35" s="9" t="s">
        <v>59</v>
      </c>
      <c r="C35" s="19" t="s">
        <v>223</v>
      </c>
      <c r="D35" s="9" t="s">
        <v>225</v>
      </c>
      <c r="E35" s="9" t="b">
        <v>1</v>
      </c>
      <c r="F35" s="18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9">
        <v>1.71701107E8</v>
      </c>
      <c r="B36" s="9" t="s">
        <v>60</v>
      </c>
      <c r="C36" s="19" t="s">
        <v>223</v>
      </c>
      <c r="D36" s="9" t="s">
        <v>225</v>
      </c>
      <c r="E36" s="9" t="b">
        <v>0</v>
      </c>
      <c r="F36" s="18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9">
        <v>1.70866748E8</v>
      </c>
      <c r="B37" s="9" t="s">
        <v>62</v>
      </c>
      <c r="C37" s="19" t="s">
        <v>223</v>
      </c>
      <c r="D37" s="9" t="s">
        <v>225</v>
      </c>
      <c r="E37" s="9" t="b">
        <v>0</v>
      </c>
      <c r="F37" s="18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9">
        <v>1.6942777E8</v>
      </c>
      <c r="B38" s="9" t="s">
        <v>63</v>
      </c>
      <c r="C38" s="19" t="s">
        <v>223</v>
      </c>
      <c r="D38" s="9" t="s">
        <v>225</v>
      </c>
      <c r="E38" s="9" t="b">
        <v>1</v>
      </c>
      <c r="F38" s="18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9">
        <v>1.43088559E8</v>
      </c>
      <c r="B39" s="9" t="s">
        <v>65</v>
      </c>
      <c r="C39" s="19" t="s">
        <v>223</v>
      </c>
      <c r="D39" s="9" t="s">
        <v>225</v>
      </c>
      <c r="E39" s="9" t="b">
        <v>0</v>
      </c>
      <c r="F39" s="18"/>
      <c r="G39" s="1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9">
        <v>1.71972257E8</v>
      </c>
      <c r="B40" s="9" t="s">
        <v>66</v>
      </c>
      <c r="C40" s="19" t="s">
        <v>223</v>
      </c>
      <c r="D40" s="9" t="s">
        <v>225</v>
      </c>
      <c r="E40" s="9" t="b">
        <v>0</v>
      </c>
      <c r="F40" s="18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9">
        <v>1.68839111E8</v>
      </c>
      <c r="B41" s="9" t="s">
        <v>69</v>
      </c>
      <c r="C41" s="19" t="s">
        <v>223</v>
      </c>
      <c r="D41" s="9" t="s">
        <v>225</v>
      </c>
      <c r="E41" s="9" t="b">
        <v>0</v>
      </c>
      <c r="F41" s="73"/>
      <c r="G41" s="1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9">
        <v>1.71799293E8</v>
      </c>
      <c r="B42" s="9" t="s">
        <v>70</v>
      </c>
      <c r="C42" s="19" t="s">
        <v>223</v>
      </c>
      <c r="D42" s="9" t="s">
        <v>225</v>
      </c>
      <c r="E42" s="9" t="b">
        <v>0</v>
      </c>
      <c r="F42" s="18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9">
        <v>1.71927851E8</v>
      </c>
      <c r="B43" s="9" t="s">
        <v>71</v>
      </c>
      <c r="C43" s="19" t="s">
        <v>223</v>
      </c>
      <c r="D43" s="9" t="s">
        <v>225</v>
      </c>
      <c r="E43" s="9" t="b">
        <v>0</v>
      </c>
      <c r="F43" s="73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9">
        <v>1915332.0</v>
      </c>
      <c r="B44" s="9" t="s">
        <v>72</v>
      </c>
      <c r="C44" s="19" t="s">
        <v>223</v>
      </c>
      <c r="D44" s="9" t="s">
        <v>225</v>
      </c>
      <c r="E44" s="9" t="b">
        <v>0</v>
      </c>
      <c r="F44" s="73"/>
      <c r="G44" s="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9">
        <v>1.38752108E8</v>
      </c>
      <c r="B45" s="9" t="s">
        <v>74</v>
      </c>
      <c r="C45" s="19" t="s">
        <v>223</v>
      </c>
      <c r="D45" s="9" t="s">
        <v>225</v>
      </c>
      <c r="E45" s="9" t="b">
        <v>0</v>
      </c>
      <c r="F45" s="18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9">
        <v>1.72041454E8</v>
      </c>
      <c r="B46" s="9" t="s">
        <v>75</v>
      </c>
      <c r="C46" s="19" t="s">
        <v>223</v>
      </c>
      <c r="D46" s="9" t="s">
        <v>225</v>
      </c>
      <c r="E46" s="9" t="b">
        <v>0</v>
      </c>
      <c r="F46" s="18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9">
        <v>1.55534128E8</v>
      </c>
      <c r="B47" s="9" t="s">
        <v>76</v>
      </c>
      <c r="C47" s="19" t="s">
        <v>223</v>
      </c>
      <c r="D47" s="9" t="s">
        <v>225</v>
      </c>
      <c r="E47" s="9" t="b">
        <v>0</v>
      </c>
      <c r="F47" s="18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9">
        <v>1.7160984E8</v>
      </c>
      <c r="B48" s="9" t="s">
        <v>77</v>
      </c>
      <c r="C48" s="19" t="s">
        <v>223</v>
      </c>
      <c r="D48" s="9" t="s">
        <v>225</v>
      </c>
      <c r="E48" s="9" t="b">
        <v>0</v>
      </c>
      <c r="F48" s="73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9">
        <v>5.524249E7</v>
      </c>
      <c r="B49" s="9" t="s">
        <v>78</v>
      </c>
      <c r="C49" s="19" t="s">
        <v>223</v>
      </c>
      <c r="D49" s="9" t="s">
        <v>225</v>
      </c>
      <c r="E49" s="9" t="b">
        <v>0</v>
      </c>
      <c r="F49" s="18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9">
        <v>1.72033754E8</v>
      </c>
      <c r="B50" s="9" t="s">
        <v>79</v>
      </c>
      <c r="C50" s="19" t="s">
        <v>223</v>
      </c>
      <c r="D50" s="9" t="s">
        <v>225</v>
      </c>
      <c r="E50" s="9" t="b">
        <v>1</v>
      </c>
      <c r="F50" s="18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9">
        <v>1.72021868E8</v>
      </c>
      <c r="B51" s="9" t="s">
        <v>81</v>
      </c>
      <c r="C51" s="19" t="s">
        <v>223</v>
      </c>
      <c r="D51" s="9" t="s">
        <v>225</v>
      </c>
      <c r="E51" s="9" t="b">
        <v>0</v>
      </c>
      <c r="F51" s="18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9">
        <v>1.70708608E8</v>
      </c>
      <c r="B52" s="9" t="s">
        <v>84</v>
      </c>
      <c r="C52" s="19" t="s">
        <v>223</v>
      </c>
      <c r="D52" s="9" t="s">
        <v>225</v>
      </c>
      <c r="E52" s="9" t="b">
        <v>1</v>
      </c>
      <c r="F52" s="73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9">
        <v>1.71358436E8</v>
      </c>
      <c r="B53" s="9" t="s">
        <v>85</v>
      </c>
      <c r="C53" s="19" t="s">
        <v>223</v>
      </c>
      <c r="D53" s="9" t="s">
        <v>225</v>
      </c>
      <c r="E53" s="9" t="b">
        <v>0</v>
      </c>
      <c r="F53" s="18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9">
        <v>1.53857025E8</v>
      </c>
      <c r="B54" s="9" t="s">
        <v>86</v>
      </c>
      <c r="C54" s="19" t="s">
        <v>223</v>
      </c>
      <c r="D54" s="9" t="s">
        <v>225</v>
      </c>
      <c r="E54" s="9" t="b">
        <v>0</v>
      </c>
      <c r="F54" s="18"/>
      <c r="G54" s="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9">
        <v>1.71753933E8</v>
      </c>
      <c r="B55" s="9" t="s">
        <v>87</v>
      </c>
      <c r="C55" s="19" t="s">
        <v>223</v>
      </c>
      <c r="D55" s="9" t="s">
        <v>225</v>
      </c>
      <c r="E55" s="9" t="b">
        <v>0</v>
      </c>
      <c r="F55" s="18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9">
        <v>1.71209025E8</v>
      </c>
      <c r="B56" s="9" t="s">
        <v>88</v>
      </c>
      <c r="C56" s="19" t="s">
        <v>223</v>
      </c>
      <c r="D56" s="9" t="s">
        <v>225</v>
      </c>
      <c r="E56" s="9" t="b">
        <v>0</v>
      </c>
      <c r="F56" s="18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9">
        <v>1.19051033E8</v>
      </c>
      <c r="B57" s="9" t="s">
        <v>89</v>
      </c>
      <c r="C57" s="19" t="s">
        <v>223</v>
      </c>
      <c r="D57" s="9" t="s">
        <v>225</v>
      </c>
      <c r="E57" s="9" t="b">
        <v>0</v>
      </c>
      <c r="F57" s="18"/>
      <c r="G57" s="1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9">
        <v>1.71537317E8</v>
      </c>
      <c r="B58" s="9" t="s">
        <v>91</v>
      </c>
      <c r="C58" s="19" t="s">
        <v>227</v>
      </c>
      <c r="D58" s="9" t="s">
        <v>225</v>
      </c>
      <c r="E58" s="9" t="b">
        <v>0</v>
      </c>
      <c r="F58" s="18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9">
        <v>1.67614515E8</v>
      </c>
      <c r="B59" s="35" t="s">
        <v>93</v>
      </c>
      <c r="C59" s="19" t="s">
        <v>223</v>
      </c>
      <c r="D59" s="9" t="s">
        <v>225</v>
      </c>
      <c r="E59" s="9" t="b">
        <v>1</v>
      </c>
      <c r="F59" s="18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9">
        <v>1.39292614E8</v>
      </c>
      <c r="B60" s="9" t="s">
        <v>95</v>
      </c>
      <c r="C60" s="19" t="s">
        <v>223</v>
      </c>
      <c r="D60" s="9" t="s">
        <v>225</v>
      </c>
      <c r="E60" s="9" t="b">
        <v>0</v>
      </c>
      <c r="F60" s="73"/>
      <c r="G60" s="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9">
        <v>1.71858863E8</v>
      </c>
      <c r="B61" s="9" t="s">
        <v>98</v>
      </c>
      <c r="C61" s="19" t="s">
        <v>227</v>
      </c>
      <c r="D61" s="9" t="s">
        <v>225</v>
      </c>
      <c r="E61" s="9" t="b">
        <v>0</v>
      </c>
      <c r="F61" s="18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9">
        <v>1.70728362E8</v>
      </c>
      <c r="B62" s="9" t="s">
        <v>99</v>
      </c>
      <c r="C62" s="19" t="s">
        <v>223</v>
      </c>
      <c r="D62" s="9" t="s">
        <v>225</v>
      </c>
      <c r="E62" s="9" t="b">
        <v>0</v>
      </c>
      <c r="F62" s="73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9">
        <v>1.71910225E8</v>
      </c>
      <c r="B63" s="9" t="s">
        <v>100</v>
      </c>
      <c r="C63" s="19" t="s">
        <v>223</v>
      </c>
      <c r="D63" s="9" t="s">
        <v>225</v>
      </c>
      <c r="E63" s="9" t="b">
        <v>0</v>
      </c>
      <c r="F63" s="18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9">
        <v>1.71679053E8</v>
      </c>
      <c r="B64" s="9" t="s">
        <v>101</v>
      </c>
      <c r="C64" s="19" t="s">
        <v>223</v>
      </c>
      <c r="D64" s="9" t="s">
        <v>225</v>
      </c>
      <c r="E64" s="9" t="b">
        <v>1</v>
      </c>
      <c r="F64" s="73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9">
        <v>6.7873337E7</v>
      </c>
      <c r="B65" s="9" t="s">
        <v>228</v>
      </c>
      <c r="C65" s="15" t="s">
        <v>223</v>
      </c>
      <c r="D65" s="9" t="s">
        <v>225</v>
      </c>
      <c r="E65" s="9" t="b">
        <v>0</v>
      </c>
      <c r="F65" s="18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9">
        <v>1.66110884E8</v>
      </c>
      <c r="B66" s="9" t="s">
        <v>109</v>
      </c>
      <c r="C66" s="19" t="s">
        <v>223</v>
      </c>
      <c r="D66" s="9" t="s">
        <v>225</v>
      </c>
      <c r="E66" s="9" t="b">
        <v>0</v>
      </c>
      <c r="F66" s="18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9">
        <v>1.4461836E8</v>
      </c>
      <c r="B67" s="9" t="s">
        <v>112</v>
      </c>
      <c r="C67" s="19" t="s">
        <v>227</v>
      </c>
      <c r="D67" s="9" t="s">
        <v>225</v>
      </c>
      <c r="E67" s="9" t="b">
        <v>0</v>
      </c>
      <c r="F67" s="18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9">
        <v>1.69672885E8</v>
      </c>
      <c r="B68" s="9" t="s">
        <v>113</v>
      </c>
      <c r="C68" s="19" t="s">
        <v>223</v>
      </c>
      <c r="D68" s="9" t="s">
        <v>225</v>
      </c>
      <c r="E68" s="9" t="b">
        <v>0</v>
      </c>
      <c r="F68" s="18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9">
        <v>1.68025153E8</v>
      </c>
      <c r="B69" s="9" t="s">
        <v>115</v>
      </c>
      <c r="C69" s="19" t="s">
        <v>226</v>
      </c>
      <c r="D69" s="9" t="s">
        <v>225</v>
      </c>
      <c r="E69" s="9" t="b">
        <v>0</v>
      </c>
      <c r="F69" s="18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9">
        <v>1.71828804E8</v>
      </c>
      <c r="B70" s="9" t="s">
        <v>118</v>
      </c>
      <c r="C70" s="19" t="s">
        <v>223</v>
      </c>
      <c r="D70" s="9" t="s">
        <v>225</v>
      </c>
      <c r="E70" s="9" t="b">
        <v>0</v>
      </c>
      <c r="F70" s="18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9">
        <v>1.61646318E8</v>
      </c>
      <c r="B71" s="9" t="s">
        <v>120</v>
      </c>
      <c r="C71" s="19" t="s">
        <v>223</v>
      </c>
      <c r="D71" s="9" t="s">
        <v>225</v>
      </c>
      <c r="E71" s="9" t="b">
        <v>0</v>
      </c>
      <c r="F71" s="18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9">
        <v>1.66234202E8</v>
      </c>
      <c r="B72" s="9" t="s">
        <v>124</v>
      </c>
      <c r="C72" s="19" t="s">
        <v>223</v>
      </c>
      <c r="D72" s="9" t="s">
        <v>225</v>
      </c>
      <c r="E72" s="9" t="b">
        <v>0</v>
      </c>
      <c r="F72" s="18"/>
      <c r="G72" s="1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9">
        <v>1.44088316E8</v>
      </c>
      <c r="B73" s="9" t="s">
        <v>125</v>
      </c>
      <c r="C73" s="19" t="s">
        <v>227</v>
      </c>
      <c r="D73" s="9" t="s">
        <v>225</v>
      </c>
      <c r="E73" s="9" t="b">
        <v>0</v>
      </c>
      <c r="F73" s="18"/>
      <c r="G73" s="1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9">
        <v>1.67863288E8</v>
      </c>
      <c r="B74" s="9" t="s">
        <v>126</v>
      </c>
      <c r="C74" s="19" t="s">
        <v>223</v>
      </c>
      <c r="D74" s="9" t="s">
        <v>225</v>
      </c>
      <c r="E74" s="9" t="b">
        <v>0</v>
      </c>
      <c r="F74" s="18"/>
      <c r="G74" s="1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9">
        <v>1.71654758E8</v>
      </c>
      <c r="B75" s="9" t="s">
        <v>128</v>
      </c>
      <c r="C75" s="19" t="s">
        <v>223</v>
      </c>
      <c r="D75" s="9" t="s">
        <v>225</v>
      </c>
      <c r="E75" s="9" t="b">
        <v>0</v>
      </c>
      <c r="F75" s="18"/>
      <c r="G75" s="1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9">
        <v>1.68091444E8</v>
      </c>
      <c r="B76" s="9" t="s">
        <v>215</v>
      </c>
      <c r="C76" s="19" t="s">
        <v>223</v>
      </c>
      <c r="D76" s="9" t="s">
        <v>225</v>
      </c>
      <c r="E76" s="9" t="b">
        <v>1</v>
      </c>
      <c r="F76" s="18"/>
      <c r="G76" s="1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9">
        <v>1.75551858E8</v>
      </c>
      <c r="B77" s="9" t="s">
        <v>132</v>
      </c>
      <c r="C77" s="19" t="s">
        <v>223</v>
      </c>
      <c r="D77" s="9" t="s">
        <v>225</v>
      </c>
      <c r="E77" s="9" t="b">
        <v>0</v>
      </c>
      <c r="F77" s="18"/>
      <c r="G77" s="1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9">
        <v>1.4405151E8</v>
      </c>
      <c r="B78" s="9" t="s">
        <v>134</v>
      </c>
      <c r="C78" s="19" t="s">
        <v>223</v>
      </c>
      <c r="D78" s="9" t="s">
        <v>225</v>
      </c>
      <c r="E78" s="9" t="b">
        <v>0</v>
      </c>
      <c r="F78" s="18"/>
      <c r="G78" s="1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9">
        <v>1.45023737E8</v>
      </c>
      <c r="B79" s="9" t="s">
        <v>217</v>
      </c>
      <c r="C79" s="19" t="s">
        <v>227</v>
      </c>
      <c r="D79" s="9" t="s">
        <v>225</v>
      </c>
      <c r="E79" s="9" t="b">
        <v>0</v>
      </c>
      <c r="F79" s="18"/>
      <c r="G79" s="1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9">
        <v>1.76044158E8</v>
      </c>
      <c r="B80" s="9" t="s">
        <v>137</v>
      </c>
      <c r="C80" s="19" t="s">
        <v>223</v>
      </c>
      <c r="D80" s="9" t="s">
        <v>225</v>
      </c>
      <c r="E80" s="9" t="b">
        <v>1</v>
      </c>
      <c r="F80" s="18"/>
      <c r="G80" s="1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9">
        <v>1.69420296E8</v>
      </c>
      <c r="B81" s="9" t="s">
        <v>138</v>
      </c>
      <c r="C81" s="19" t="s">
        <v>223</v>
      </c>
      <c r="D81" s="9" t="s">
        <v>225</v>
      </c>
      <c r="E81" s="9" t="b">
        <v>0</v>
      </c>
      <c r="F81" s="18"/>
      <c r="G81" s="1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9">
        <v>1.58817223E8</v>
      </c>
      <c r="B82" s="9" t="s">
        <v>140</v>
      </c>
      <c r="C82" s="19" t="s">
        <v>223</v>
      </c>
      <c r="D82" s="9" t="s">
        <v>225</v>
      </c>
      <c r="E82" s="9" t="b">
        <v>0</v>
      </c>
      <c r="F82" s="18"/>
      <c r="G82" s="1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9">
        <v>1.4361245E8</v>
      </c>
      <c r="B83" s="9" t="s">
        <v>142</v>
      </c>
      <c r="C83" s="19" t="s">
        <v>223</v>
      </c>
      <c r="D83" s="9" t="s">
        <v>225</v>
      </c>
      <c r="E83" s="9" t="b">
        <v>0</v>
      </c>
      <c r="F83" s="18"/>
      <c r="G83" s="1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9">
        <v>1.71697263E8</v>
      </c>
      <c r="B84" s="8" t="s">
        <v>214</v>
      </c>
      <c r="C84" s="19" t="s">
        <v>223</v>
      </c>
      <c r="D84" s="9" t="s">
        <v>225</v>
      </c>
      <c r="E84" s="9" t="b">
        <v>1</v>
      </c>
      <c r="F84" s="18"/>
      <c r="G84" s="1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9">
        <v>1.44094763E8</v>
      </c>
      <c r="B85" s="9" t="s">
        <v>144</v>
      </c>
      <c r="C85" s="19" t="s">
        <v>227</v>
      </c>
      <c r="D85" s="9" t="s">
        <v>225</v>
      </c>
      <c r="E85" s="9" t="b">
        <v>0</v>
      </c>
      <c r="F85" s="18"/>
      <c r="G85" s="1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9">
        <v>1.72029365E8</v>
      </c>
      <c r="B86" s="9" t="s">
        <v>147</v>
      </c>
      <c r="C86" s="19" t="s">
        <v>223</v>
      </c>
      <c r="D86" s="9" t="s">
        <v>225</v>
      </c>
      <c r="E86" s="9" t="b">
        <v>0</v>
      </c>
      <c r="F86" s="18"/>
      <c r="G86" s="1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9">
        <v>1.81527216E8</v>
      </c>
      <c r="B87" s="9" t="s">
        <v>149</v>
      </c>
      <c r="C87" s="19" t="s">
        <v>226</v>
      </c>
      <c r="D87" s="9" t="s">
        <v>225</v>
      </c>
      <c r="E87" s="9" t="b">
        <v>0</v>
      </c>
      <c r="F87" s="18"/>
      <c r="G87" s="1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9">
        <v>1.71830779E8</v>
      </c>
      <c r="B88" s="9" t="s">
        <v>151</v>
      </c>
      <c r="C88" s="19" t="s">
        <v>223</v>
      </c>
      <c r="D88" s="9" t="s">
        <v>225</v>
      </c>
      <c r="E88" s="9" t="b">
        <v>0</v>
      </c>
      <c r="F88" s="18"/>
      <c r="G88" s="1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9">
        <v>1.60258193E8</v>
      </c>
      <c r="B89" s="9" t="s">
        <v>152</v>
      </c>
      <c r="C89" s="19" t="s">
        <v>227</v>
      </c>
      <c r="D89" s="9" t="s">
        <v>225</v>
      </c>
      <c r="E89" s="9" t="b">
        <v>0</v>
      </c>
      <c r="F89" s="18"/>
      <c r="G89" s="1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9">
        <v>1.73454044E8</v>
      </c>
      <c r="B90" s="9" t="s">
        <v>157</v>
      </c>
      <c r="C90" s="19" t="s">
        <v>223</v>
      </c>
      <c r="D90" s="9" t="s">
        <v>225</v>
      </c>
      <c r="E90" s="9" t="b">
        <v>0</v>
      </c>
      <c r="F90" s="18"/>
      <c r="G90" s="1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9">
        <v>1.81734011E8</v>
      </c>
      <c r="B91" s="9" t="s">
        <v>158</v>
      </c>
      <c r="C91" s="19" t="s">
        <v>223</v>
      </c>
      <c r="D91" s="9" t="s">
        <v>225</v>
      </c>
      <c r="E91" s="9" t="b">
        <v>0</v>
      </c>
      <c r="F91" s="18"/>
      <c r="G91" s="1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9">
        <v>4313627.0</v>
      </c>
      <c r="B92" s="9" t="s">
        <v>159</v>
      </c>
      <c r="C92" s="19" t="s">
        <v>223</v>
      </c>
      <c r="D92" s="9" t="s">
        <v>225</v>
      </c>
      <c r="E92" s="9" t="b">
        <v>0</v>
      </c>
      <c r="F92" s="73"/>
      <c r="G92" s="1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9">
        <v>7.1613822E7</v>
      </c>
      <c r="B93" s="9" t="s">
        <v>162</v>
      </c>
      <c r="C93" s="19" t="s">
        <v>223</v>
      </c>
      <c r="D93" s="9" t="s">
        <v>225</v>
      </c>
      <c r="E93" s="9" t="b">
        <v>0</v>
      </c>
      <c r="F93" s="73"/>
      <c r="G93" s="1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22.5" customHeight="1">
      <c r="A94" s="9">
        <v>1.41154852E8</v>
      </c>
      <c r="B94" s="9" t="s">
        <v>164</v>
      </c>
      <c r="C94" s="19" t="s">
        <v>223</v>
      </c>
      <c r="D94" s="9" t="s">
        <v>225</v>
      </c>
      <c r="E94" s="9" t="b">
        <v>0</v>
      </c>
      <c r="F94" s="73"/>
      <c r="G94" s="1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22.5" customHeight="1">
      <c r="A95" s="9">
        <v>1.56479771E8</v>
      </c>
      <c r="B95" s="9" t="s">
        <v>165</v>
      </c>
      <c r="C95" s="19" t="s">
        <v>223</v>
      </c>
      <c r="D95" s="9" t="s">
        <v>225</v>
      </c>
      <c r="E95" s="9" t="b">
        <v>0</v>
      </c>
      <c r="F95" s="73"/>
      <c r="G95" s="1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22.5" customHeight="1">
      <c r="A96" s="9">
        <v>1.4359506E8</v>
      </c>
      <c r="B96" s="9" t="s">
        <v>168</v>
      </c>
      <c r="C96" s="19" t="s">
        <v>226</v>
      </c>
      <c r="D96" s="9" t="s">
        <v>225</v>
      </c>
      <c r="E96" s="9" t="b">
        <v>0</v>
      </c>
      <c r="F96" s="73"/>
      <c r="G96" s="1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22.5" customHeight="1">
      <c r="A97" s="9">
        <v>1.61551529E8</v>
      </c>
      <c r="B97" s="9" t="s">
        <v>135</v>
      </c>
      <c r="C97" s="19" t="s">
        <v>227</v>
      </c>
      <c r="D97" s="9" t="s">
        <v>225</v>
      </c>
      <c r="E97" s="9" t="b">
        <v>0</v>
      </c>
      <c r="F97" s="18"/>
      <c r="G97" s="1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22.5" customHeight="1">
      <c r="A98" s="27">
        <v>1.1279231E8</v>
      </c>
      <c r="B98" s="27" t="s">
        <v>169</v>
      </c>
      <c r="C98" s="19" t="s">
        <v>223</v>
      </c>
      <c r="D98" s="9" t="s">
        <v>225</v>
      </c>
      <c r="E98" s="9" t="b">
        <v>0</v>
      </c>
      <c r="F98" s="18"/>
      <c r="G98" s="1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22.5" customHeight="1">
      <c r="A99" s="9">
        <v>1.46428825E8</v>
      </c>
      <c r="B99" s="9" t="s">
        <v>172</v>
      </c>
      <c r="C99" s="19" t="s">
        <v>223</v>
      </c>
      <c r="D99" s="9" t="s">
        <v>225</v>
      </c>
      <c r="E99" s="9" t="b">
        <v>1</v>
      </c>
      <c r="F99" s="18"/>
      <c r="G99" s="1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22.5" customHeight="1">
      <c r="A100" s="12">
        <v>1.42660926E8</v>
      </c>
      <c r="B100" s="12" t="s">
        <v>176</v>
      </c>
      <c r="C100" s="19" t="s">
        <v>226</v>
      </c>
      <c r="D100" s="9" t="s">
        <v>225</v>
      </c>
      <c r="E100" s="9" t="b">
        <v>0</v>
      </c>
      <c r="F100" s="18"/>
      <c r="G100" s="1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22.5" customHeight="1">
      <c r="A101" s="9">
        <v>7.7394861E7</v>
      </c>
      <c r="B101" s="9" t="s">
        <v>178</v>
      </c>
      <c r="C101" s="19" t="s">
        <v>223</v>
      </c>
      <c r="D101" s="9" t="s">
        <v>225</v>
      </c>
      <c r="E101" s="9" t="b">
        <v>1</v>
      </c>
      <c r="F101" s="18"/>
      <c r="G101" s="1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22.5" customHeight="1">
      <c r="A102" s="9">
        <v>2.7578537E7</v>
      </c>
      <c r="B102" s="9" t="s">
        <v>179</v>
      </c>
      <c r="C102" s="19" t="s">
        <v>223</v>
      </c>
      <c r="D102" s="9" t="s">
        <v>225</v>
      </c>
      <c r="E102" s="9" t="b">
        <v>0</v>
      </c>
      <c r="F102" s="18"/>
      <c r="G102" s="1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22.5" customHeight="1">
      <c r="A103" s="12">
        <v>7.9650085E7</v>
      </c>
      <c r="B103" s="12" t="s">
        <v>182</v>
      </c>
      <c r="C103" s="15" t="s">
        <v>223</v>
      </c>
      <c r="D103" s="9" t="s">
        <v>225</v>
      </c>
      <c r="E103" s="9" t="b">
        <v>0</v>
      </c>
      <c r="F103" s="74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22.5" customHeight="1">
      <c r="A104" s="24">
        <v>7.4556991E7</v>
      </c>
      <c r="B104" s="24" t="s">
        <v>183</v>
      </c>
      <c r="C104" s="15" t="s">
        <v>223</v>
      </c>
      <c r="D104" s="9" t="s">
        <v>225</v>
      </c>
      <c r="E104" s="9" t="b">
        <v>0</v>
      </c>
      <c r="F104" s="74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22.5" customHeight="1">
      <c r="A105" s="12">
        <v>9.8107237E7</v>
      </c>
      <c r="B105" s="12" t="s">
        <v>184</v>
      </c>
      <c r="C105" s="75" t="s">
        <v>223</v>
      </c>
      <c r="D105" s="9" t="s">
        <v>225</v>
      </c>
      <c r="E105" s="9" t="b">
        <v>1</v>
      </c>
      <c r="F105" s="76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22.5" customHeight="1">
      <c r="A106" s="77">
        <v>1.71355737E8</v>
      </c>
      <c r="B106" s="77" t="s">
        <v>64</v>
      </c>
      <c r="C106" s="78" t="s">
        <v>223</v>
      </c>
      <c r="D106" s="9" t="s">
        <v>225</v>
      </c>
      <c r="E106" s="9" t="b">
        <v>0</v>
      </c>
      <c r="F106" s="79"/>
      <c r="G106" s="11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22.5" customHeight="1">
      <c r="A107" s="77">
        <v>1.36662717E8</v>
      </c>
      <c r="B107" s="77" t="s">
        <v>185</v>
      </c>
      <c r="C107" s="78" t="s">
        <v>223</v>
      </c>
      <c r="D107" s="9" t="s">
        <v>225</v>
      </c>
      <c r="E107" s="9" t="b">
        <v>0</v>
      </c>
      <c r="F107" s="81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34.5" customHeight="1">
      <c r="A108" s="82"/>
      <c r="B108" s="82"/>
      <c r="C108" s="2"/>
      <c r="D108" s="2"/>
      <c r="E108" s="82"/>
      <c r="F108" s="8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34.5" customHeight="1">
      <c r="A109" s="82"/>
      <c r="B109" s="82"/>
      <c r="C109" s="2"/>
      <c r="D109" s="2"/>
      <c r="E109" s="82"/>
      <c r="F109" s="8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34.5" customHeight="1">
      <c r="A110" s="83" t="s">
        <v>229</v>
      </c>
      <c r="C110" s="2"/>
      <c r="D110" s="2"/>
      <c r="E110" s="82"/>
      <c r="F110" s="8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34.5" customHeight="1">
      <c r="A111" s="82"/>
      <c r="B111" s="82"/>
      <c r="C111" s="2"/>
      <c r="D111" s="2"/>
      <c r="E111" s="82"/>
      <c r="F111" s="8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34.5" customHeight="1">
      <c r="A112" s="84" t="s">
        <v>8</v>
      </c>
      <c r="B112" s="84" t="s">
        <v>207</v>
      </c>
      <c r="C112" s="2"/>
      <c r="D112" s="2"/>
      <c r="E112" s="82"/>
      <c r="F112" s="8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34.5" customHeight="1">
      <c r="A113" s="85">
        <v>1.45408006E8</v>
      </c>
      <c r="B113" s="85" t="s">
        <v>22</v>
      </c>
      <c r="C113" s="2"/>
      <c r="D113" s="2"/>
      <c r="E113" s="82"/>
      <c r="F113" s="8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34.5" customHeight="1">
      <c r="A114" s="85">
        <v>6.3222201E7</v>
      </c>
      <c r="B114" s="85" t="s">
        <v>23</v>
      </c>
      <c r="C114" s="2"/>
      <c r="D114" s="2"/>
      <c r="E114" s="82"/>
      <c r="F114" s="8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34.5" customHeight="1">
      <c r="A115" s="85">
        <v>6.4010776E7</v>
      </c>
      <c r="B115" s="85" t="s">
        <v>24</v>
      </c>
      <c r="C115" s="2"/>
      <c r="D115" s="2"/>
      <c r="E115" s="82"/>
      <c r="F115" s="8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34.5" customHeight="1">
      <c r="A116" s="85">
        <v>1.71934536E8</v>
      </c>
      <c r="B116" s="85" t="s">
        <v>25</v>
      </c>
      <c r="C116" s="2"/>
      <c r="D116" s="2"/>
      <c r="E116" s="82"/>
      <c r="F116" s="8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34.5" customHeight="1">
      <c r="A117" s="85">
        <v>6.2691192E7</v>
      </c>
      <c r="B117" s="85" t="s">
        <v>27</v>
      </c>
      <c r="C117" s="2"/>
      <c r="D117" s="2"/>
      <c r="E117" s="82"/>
      <c r="F117" s="8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34.5" customHeight="1">
      <c r="A118" s="85">
        <v>7.1152824E7</v>
      </c>
      <c r="B118" s="85" t="s">
        <v>35</v>
      </c>
      <c r="C118" s="2"/>
      <c r="D118" s="2"/>
      <c r="E118" s="82"/>
      <c r="F118" s="8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34.5" customHeight="1">
      <c r="A119" s="85">
        <v>1.1409556E7</v>
      </c>
      <c r="B119" s="85" t="s">
        <v>36</v>
      </c>
      <c r="C119" s="2"/>
      <c r="D119" s="2"/>
      <c r="E119" s="82"/>
      <c r="F119" s="8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34.5" customHeight="1">
      <c r="A120" s="85">
        <v>1.4572491E7</v>
      </c>
      <c r="B120" s="85" t="s">
        <v>38</v>
      </c>
      <c r="C120" s="2"/>
      <c r="D120" s="2"/>
      <c r="E120" s="82"/>
      <c r="F120" s="8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34.5" customHeight="1">
      <c r="A121" s="85">
        <v>1.71827401E8</v>
      </c>
      <c r="B121" s="85" t="s">
        <v>42</v>
      </c>
      <c r="C121" s="2"/>
      <c r="D121" s="2"/>
      <c r="E121" s="82"/>
      <c r="F121" s="8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34.5" customHeight="1">
      <c r="A122" s="85">
        <v>1.40009179E8</v>
      </c>
      <c r="B122" s="85" t="s">
        <v>45</v>
      </c>
      <c r="C122" s="2"/>
      <c r="D122" s="2"/>
      <c r="E122" s="82"/>
      <c r="F122" s="8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34.5" customHeight="1">
      <c r="A123" s="85">
        <v>1.44049878E8</v>
      </c>
      <c r="B123" s="85" t="s">
        <v>51</v>
      </c>
      <c r="C123" s="2"/>
      <c r="D123" s="2"/>
      <c r="E123" s="82"/>
      <c r="F123" s="8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34.5" customHeight="1">
      <c r="A124" s="85">
        <v>1.66871338E8</v>
      </c>
      <c r="B124" s="85" t="s">
        <v>53</v>
      </c>
      <c r="C124" s="2"/>
      <c r="D124" s="2"/>
      <c r="E124" s="82"/>
      <c r="F124" s="8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34.5" customHeight="1">
      <c r="A125" s="85">
        <v>1.6683283E8</v>
      </c>
      <c r="B125" s="85" t="s">
        <v>55</v>
      </c>
      <c r="C125" s="2"/>
      <c r="D125" s="2"/>
      <c r="E125" s="82"/>
      <c r="F125" s="8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34.5" customHeight="1">
      <c r="A126" s="85">
        <v>1.71574321E8</v>
      </c>
      <c r="B126" s="85" t="s">
        <v>57</v>
      </c>
      <c r="C126" s="2"/>
      <c r="D126" s="2"/>
      <c r="E126" s="82"/>
      <c r="F126" s="8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34.5" customHeight="1">
      <c r="A127" s="85">
        <v>1.72078991E8</v>
      </c>
      <c r="B127" s="85" t="s">
        <v>58</v>
      </c>
      <c r="C127" s="2"/>
      <c r="D127" s="2"/>
      <c r="E127" s="82"/>
      <c r="F127" s="8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34.5" customHeight="1">
      <c r="A128" s="85">
        <v>1.71491377E8</v>
      </c>
      <c r="B128" s="85" t="s">
        <v>59</v>
      </c>
      <c r="C128" s="2"/>
      <c r="D128" s="2"/>
      <c r="E128" s="82"/>
      <c r="F128" s="8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34.5" customHeight="1">
      <c r="A129" s="85">
        <v>1.71701107E8</v>
      </c>
      <c r="B129" s="85" t="s">
        <v>60</v>
      </c>
      <c r="C129" s="2"/>
      <c r="D129" s="2"/>
      <c r="E129" s="82"/>
      <c r="F129" s="8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34.5" customHeight="1">
      <c r="A130" s="85">
        <v>1.70866748E8</v>
      </c>
      <c r="B130" s="85" t="s">
        <v>62</v>
      </c>
      <c r="C130" s="2"/>
      <c r="D130" s="2"/>
      <c r="E130" s="82"/>
      <c r="F130" s="8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34.5" customHeight="1">
      <c r="A131" s="85">
        <v>1.43088559E8</v>
      </c>
      <c r="B131" s="85" t="s">
        <v>65</v>
      </c>
      <c r="C131" s="2"/>
      <c r="D131" s="2"/>
      <c r="E131" s="82"/>
      <c r="F131" s="8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34.5" customHeight="1">
      <c r="A132" s="85">
        <v>1.68839111E8</v>
      </c>
      <c r="B132" s="85" t="s">
        <v>69</v>
      </c>
      <c r="C132" s="2"/>
      <c r="D132" s="2"/>
      <c r="E132" s="82"/>
      <c r="F132" s="8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34.5" customHeight="1">
      <c r="A133" s="85">
        <v>1.71799293E8</v>
      </c>
      <c r="B133" s="85" t="s">
        <v>70</v>
      </c>
      <c r="C133" s="2"/>
      <c r="D133" s="2"/>
      <c r="E133" s="82"/>
      <c r="F133" s="8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34.5" customHeight="1">
      <c r="A134" s="85">
        <v>1915332.0</v>
      </c>
      <c r="B134" s="85" t="s">
        <v>72</v>
      </c>
      <c r="C134" s="2"/>
      <c r="D134" s="2"/>
      <c r="E134" s="82"/>
      <c r="F134" s="8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34.5" customHeight="1">
      <c r="A135" s="85">
        <v>1.38752108E8</v>
      </c>
      <c r="B135" s="85" t="s">
        <v>74</v>
      </c>
      <c r="C135" s="2"/>
      <c r="D135" s="2"/>
      <c r="E135" s="82"/>
      <c r="F135" s="8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34.5" customHeight="1">
      <c r="A136" s="85">
        <v>5.524249E7</v>
      </c>
      <c r="B136" s="85" t="s">
        <v>78</v>
      </c>
      <c r="C136" s="2"/>
      <c r="D136" s="2"/>
      <c r="E136" s="82"/>
      <c r="F136" s="8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34.5" customHeight="1">
      <c r="A137" s="85">
        <v>1.70708608E8</v>
      </c>
      <c r="B137" s="85" t="s">
        <v>84</v>
      </c>
      <c r="C137" s="2"/>
      <c r="D137" s="2"/>
      <c r="E137" s="82"/>
      <c r="F137" s="8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34.5" customHeight="1">
      <c r="A138" s="85">
        <v>1.71358436E8</v>
      </c>
      <c r="B138" s="85" t="s">
        <v>85</v>
      </c>
      <c r="C138" s="2"/>
      <c r="D138" s="2"/>
      <c r="E138" s="82"/>
      <c r="F138" s="8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34.5" customHeight="1">
      <c r="A139" s="85">
        <v>1.71209025E8</v>
      </c>
      <c r="B139" s="85" t="s">
        <v>88</v>
      </c>
      <c r="C139" s="2"/>
      <c r="D139" s="2"/>
      <c r="E139" s="82"/>
      <c r="F139" s="8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34.5" customHeight="1">
      <c r="A140" s="85">
        <v>1.19051033E8</v>
      </c>
      <c r="B140" s="85" t="s">
        <v>89</v>
      </c>
      <c r="C140" s="2"/>
      <c r="D140" s="2"/>
      <c r="E140" s="82"/>
      <c r="F140" s="8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34.5" customHeight="1">
      <c r="A141" s="85">
        <v>1.71537317E8</v>
      </c>
      <c r="B141" s="85" t="s">
        <v>91</v>
      </c>
      <c r="C141" s="2"/>
      <c r="D141" s="2"/>
      <c r="E141" s="82"/>
      <c r="F141" s="8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34.5" customHeight="1">
      <c r="A142" s="85">
        <v>1.39292614E8</v>
      </c>
      <c r="B142" s="85" t="s">
        <v>95</v>
      </c>
      <c r="C142" s="2"/>
      <c r="D142" s="2"/>
      <c r="E142" s="82"/>
      <c r="F142" s="8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34.5" customHeight="1">
      <c r="A143" s="85">
        <v>1.71858863E8</v>
      </c>
      <c r="B143" s="85" t="s">
        <v>98</v>
      </c>
      <c r="C143" s="2"/>
      <c r="D143" s="2"/>
      <c r="E143" s="82"/>
      <c r="F143" s="8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34.5" customHeight="1">
      <c r="A144" s="85">
        <v>1.71679053E8</v>
      </c>
      <c r="B144" s="85" t="s">
        <v>101</v>
      </c>
      <c r="C144" s="2"/>
      <c r="D144" s="2"/>
      <c r="E144" s="82"/>
      <c r="F144" s="8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34.5" customHeight="1">
      <c r="A145" s="85">
        <v>6.7873337E7</v>
      </c>
      <c r="B145" s="85" t="s">
        <v>228</v>
      </c>
      <c r="C145" s="2"/>
      <c r="D145" s="2"/>
      <c r="E145" s="82"/>
      <c r="F145" s="8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34.5" customHeight="1">
      <c r="A146" s="85">
        <v>1.66110884E8</v>
      </c>
      <c r="B146" s="85" t="s">
        <v>109</v>
      </c>
      <c r="C146" s="2"/>
      <c r="D146" s="2"/>
      <c r="E146" s="82"/>
      <c r="F146" s="8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34.5" customHeight="1">
      <c r="A147" s="85">
        <v>1.69672885E8</v>
      </c>
      <c r="B147" s="85" t="s">
        <v>113</v>
      </c>
      <c r="C147" s="2"/>
      <c r="D147" s="2"/>
      <c r="E147" s="82"/>
      <c r="F147" s="8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34.5" customHeight="1">
      <c r="A148" s="85">
        <v>1.68025153E8</v>
      </c>
      <c r="B148" s="85" t="s">
        <v>115</v>
      </c>
      <c r="C148" s="2"/>
      <c r="D148" s="2"/>
      <c r="E148" s="82"/>
      <c r="F148" s="8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34.5" customHeight="1">
      <c r="A149" s="85">
        <v>1.71828804E8</v>
      </c>
      <c r="B149" s="85" t="s">
        <v>118</v>
      </c>
      <c r="C149" s="2"/>
      <c r="D149" s="2"/>
      <c r="E149" s="82"/>
      <c r="F149" s="8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34.5" customHeight="1">
      <c r="A150" s="85">
        <v>1.66234202E8</v>
      </c>
      <c r="B150" s="85" t="s">
        <v>124</v>
      </c>
      <c r="C150" s="2"/>
      <c r="D150" s="2"/>
      <c r="E150" s="82"/>
      <c r="F150" s="8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34.5" customHeight="1">
      <c r="A151" s="85">
        <v>1.44088316E8</v>
      </c>
      <c r="B151" s="85" t="s">
        <v>125</v>
      </c>
      <c r="C151" s="2"/>
      <c r="D151" s="2"/>
      <c r="E151" s="82"/>
      <c r="F151" s="8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34.5" customHeight="1">
      <c r="A152" s="85">
        <v>1.67863288E8</v>
      </c>
      <c r="B152" s="85" t="s">
        <v>126</v>
      </c>
      <c r="C152" s="2"/>
      <c r="D152" s="2"/>
      <c r="E152" s="82"/>
      <c r="F152" s="8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34.5" customHeight="1">
      <c r="A153" s="85">
        <v>1.71654758E8</v>
      </c>
      <c r="B153" s="85" t="s">
        <v>128</v>
      </c>
      <c r="C153" s="2"/>
      <c r="D153" s="2"/>
      <c r="E153" s="82"/>
      <c r="F153" s="8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34.5" customHeight="1">
      <c r="A154" s="85">
        <v>1.75551858E8</v>
      </c>
      <c r="B154" s="85" t="s">
        <v>132</v>
      </c>
      <c r="C154" s="2"/>
      <c r="D154" s="2"/>
      <c r="E154" s="82"/>
      <c r="F154" s="8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34.5" customHeight="1">
      <c r="A155" s="85">
        <v>1.4405151E8</v>
      </c>
      <c r="B155" s="85" t="s">
        <v>134</v>
      </c>
      <c r="C155" s="2"/>
      <c r="D155" s="2"/>
      <c r="E155" s="82"/>
      <c r="F155" s="8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34.5" customHeight="1">
      <c r="A156" s="85">
        <v>1.45023737E8</v>
      </c>
      <c r="B156" s="85" t="s">
        <v>217</v>
      </c>
      <c r="C156" s="2"/>
      <c r="D156" s="2"/>
      <c r="E156" s="82"/>
      <c r="F156" s="8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34.5" customHeight="1">
      <c r="A157" s="85">
        <v>1.58817223E8</v>
      </c>
      <c r="B157" s="85" t="s">
        <v>140</v>
      </c>
      <c r="C157" s="2"/>
      <c r="D157" s="2"/>
      <c r="E157" s="82"/>
      <c r="F157" s="8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34.5" customHeight="1">
      <c r="A158" s="85">
        <v>1.44094763E8</v>
      </c>
      <c r="B158" s="85" t="s">
        <v>144</v>
      </c>
      <c r="C158" s="2"/>
      <c r="D158" s="2"/>
      <c r="E158" s="82"/>
      <c r="F158" s="8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34.5" customHeight="1">
      <c r="A159" s="85">
        <v>1.81527216E8</v>
      </c>
      <c r="B159" s="85" t="s">
        <v>149</v>
      </c>
      <c r="C159" s="2"/>
      <c r="D159" s="2"/>
      <c r="E159" s="82"/>
      <c r="F159" s="8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34.5" customHeight="1">
      <c r="A160" s="85">
        <v>1.60258193E8</v>
      </c>
      <c r="B160" s="85" t="s">
        <v>152</v>
      </c>
      <c r="C160" s="2"/>
      <c r="D160" s="2"/>
      <c r="E160" s="82"/>
      <c r="F160" s="8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34.5" customHeight="1">
      <c r="A161" s="85">
        <v>1.73454044E8</v>
      </c>
      <c r="B161" s="85" t="s">
        <v>157</v>
      </c>
      <c r="C161" s="2"/>
      <c r="D161" s="2"/>
      <c r="E161" s="82"/>
      <c r="F161" s="8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34.5" customHeight="1">
      <c r="A162" s="85">
        <v>4313627.0</v>
      </c>
      <c r="B162" s="85" t="s">
        <v>159</v>
      </c>
      <c r="C162" s="2"/>
      <c r="D162" s="2"/>
      <c r="E162" s="82"/>
      <c r="F162" s="8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34.5" customHeight="1">
      <c r="A163" s="85">
        <v>7.1613822E7</v>
      </c>
      <c r="B163" s="85" t="s">
        <v>162</v>
      </c>
      <c r="C163" s="2"/>
      <c r="D163" s="2"/>
      <c r="E163" s="82"/>
      <c r="F163" s="8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34.5" customHeight="1">
      <c r="A164" s="85">
        <v>1.41154852E8</v>
      </c>
      <c r="B164" s="85" t="s">
        <v>164</v>
      </c>
      <c r="C164" s="2"/>
      <c r="D164" s="2"/>
      <c r="E164" s="82"/>
      <c r="F164" s="8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34.5" customHeight="1">
      <c r="A165" s="85">
        <v>1.4359506E8</v>
      </c>
      <c r="B165" s="85" t="s">
        <v>168</v>
      </c>
      <c r="C165" s="2"/>
      <c r="D165" s="2"/>
      <c r="E165" s="82"/>
      <c r="F165" s="8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34.5" customHeight="1">
      <c r="A166" s="85">
        <v>1.61551529E8</v>
      </c>
      <c r="B166" s="85" t="s">
        <v>135</v>
      </c>
      <c r="C166" s="2"/>
      <c r="D166" s="2"/>
      <c r="E166" s="82"/>
      <c r="F166" s="8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34.5" customHeight="1">
      <c r="A167" s="85">
        <v>1.42660926E8</v>
      </c>
      <c r="B167" s="85" t="s">
        <v>176</v>
      </c>
      <c r="C167" s="2"/>
      <c r="D167" s="2"/>
      <c r="E167" s="82"/>
      <c r="F167" s="8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34.5" customHeight="1">
      <c r="A168" s="85">
        <v>7.9650085E7</v>
      </c>
      <c r="B168" s="85" t="s">
        <v>182</v>
      </c>
      <c r="C168" s="2"/>
      <c r="D168" s="2"/>
      <c r="E168" s="82"/>
      <c r="F168" s="8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34.5" customHeight="1">
      <c r="A169" s="82"/>
      <c r="B169" s="82"/>
      <c r="C169" s="2"/>
      <c r="D169" s="2"/>
      <c r="E169" s="82"/>
      <c r="F169" s="8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34.5" customHeight="1">
      <c r="A170" s="83" t="s">
        <v>230</v>
      </c>
      <c r="C170" s="2"/>
      <c r="D170" s="2"/>
      <c r="E170" s="82"/>
      <c r="F170" s="8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34.5" customHeight="1">
      <c r="A171" s="82"/>
      <c r="B171" s="82"/>
      <c r="C171" s="2"/>
      <c r="D171" s="2"/>
      <c r="E171" s="82"/>
      <c r="F171" s="8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34.5" customHeight="1">
      <c r="A172" s="84" t="s">
        <v>8</v>
      </c>
      <c r="B172" s="84" t="s">
        <v>207</v>
      </c>
      <c r="C172" s="2"/>
      <c r="D172" s="2"/>
      <c r="E172" s="82"/>
      <c r="F172" s="8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34.5" customHeight="1">
      <c r="A173" s="24">
        <v>1.71604682E8</v>
      </c>
      <c r="B173" s="24" t="s">
        <v>216</v>
      </c>
      <c r="C173" s="2"/>
      <c r="D173" s="2"/>
      <c r="E173" s="82"/>
      <c r="F173" s="8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34.5" customHeight="1">
      <c r="A174" s="24">
        <v>1.69326547E8</v>
      </c>
      <c r="B174" s="24" t="s">
        <v>174</v>
      </c>
      <c r="C174" s="2"/>
      <c r="D174" s="2"/>
      <c r="E174" s="82"/>
      <c r="F174" s="8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34.5" customHeight="1">
      <c r="A175" s="24">
        <v>1.69446444E8</v>
      </c>
      <c r="B175" s="24" t="s">
        <v>20</v>
      </c>
      <c r="C175" s="2"/>
      <c r="D175" s="2"/>
      <c r="E175" s="82"/>
      <c r="F175" s="8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34.5" customHeight="1">
      <c r="A176" s="24">
        <v>1.45408006E8</v>
      </c>
      <c r="B176" s="24" t="s">
        <v>22</v>
      </c>
      <c r="C176" s="2"/>
      <c r="D176" s="2"/>
      <c r="E176" s="82"/>
      <c r="F176" s="8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34.5" customHeight="1">
      <c r="A177" s="24">
        <v>6.3222201E7</v>
      </c>
      <c r="B177" s="24" t="s">
        <v>23</v>
      </c>
      <c r="C177" s="2"/>
      <c r="D177" s="2"/>
      <c r="E177" s="82"/>
      <c r="F177" s="8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34.5" customHeight="1">
      <c r="A178" s="24">
        <v>6.4010776E7</v>
      </c>
      <c r="B178" s="24" t="s">
        <v>24</v>
      </c>
      <c r="C178" s="2"/>
      <c r="D178" s="2"/>
      <c r="E178" s="82"/>
      <c r="F178" s="8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34.5" customHeight="1">
      <c r="A179" s="24">
        <v>1.15125159E8</v>
      </c>
      <c r="B179" s="24" t="s">
        <v>26</v>
      </c>
      <c r="C179" s="2"/>
      <c r="D179" s="2"/>
      <c r="E179" s="82"/>
      <c r="F179" s="8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34.5" customHeight="1">
      <c r="A180" s="24">
        <v>6.2691192E7</v>
      </c>
      <c r="B180" s="24" t="s">
        <v>27</v>
      </c>
      <c r="C180" s="2"/>
      <c r="D180" s="2"/>
      <c r="E180" s="82"/>
      <c r="F180" s="8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34.5" customHeight="1">
      <c r="A181" s="24">
        <v>1.44060837E8</v>
      </c>
      <c r="B181" s="24" t="s">
        <v>28</v>
      </c>
      <c r="C181" s="2"/>
      <c r="D181" s="2"/>
      <c r="E181" s="82"/>
      <c r="F181" s="8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34.5" customHeight="1">
      <c r="A182" s="24">
        <v>1.3871553E8</v>
      </c>
      <c r="B182" s="24" t="s">
        <v>31</v>
      </c>
      <c r="C182" s="2"/>
      <c r="D182" s="2"/>
      <c r="E182" s="82"/>
      <c r="F182" s="8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34.5" customHeight="1">
      <c r="A183" s="24">
        <v>1.71879011E8</v>
      </c>
      <c r="B183" s="24" t="s">
        <v>33</v>
      </c>
      <c r="C183" s="2"/>
      <c r="D183" s="2"/>
      <c r="E183" s="82"/>
      <c r="F183" s="8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34.5" customHeight="1">
      <c r="A184" s="24">
        <v>7.1152824E7</v>
      </c>
      <c r="B184" s="24" t="s">
        <v>35</v>
      </c>
      <c r="C184" s="2"/>
      <c r="D184" s="2"/>
      <c r="E184" s="82"/>
      <c r="F184" s="8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34.5" customHeight="1">
      <c r="A185" s="24">
        <v>1.1409556E7</v>
      </c>
      <c r="B185" s="24" t="s">
        <v>36</v>
      </c>
      <c r="C185" s="2"/>
      <c r="D185" s="2"/>
      <c r="E185" s="82"/>
      <c r="F185" s="8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34.5" customHeight="1">
      <c r="A186" s="24">
        <v>1.4572491E7</v>
      </c>
      <c r="B186" s="24" t="s">
        <v>38</v>
      </c>
      <c r="C186" s="2"/>
      <c r="D186" s="2"/>
      <c r="E186" s="82"/>
      <c r="F186" s="8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34.5" customHeight="1">
      <c r="A187" s="24">
        <v>1.44048157E8</v>
      </c>
      <c r="B187" s="24" t="s">
        <v>40</v>
      </c>
      <c r="C187" s="2"/>
      <c r="D187" s="2"/>
      <c r="E187" s="82"/>
      <c r="F187" s="8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34.5" customHeight="1">
      <c r="A188" s="24">
        <v>1.44102873E8</v>
      </c>
      <c r="B188" s="24" t="s">
        <v>50</v>
      </c>
      <c r="C188" s="2"/>
      <c r="D188" s="2"/>
      <c r="E188" s="82"/>
      <c r="F188" s="8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34.5" customHeight="1">
      <c r="A189" s="24">
        <v>1.68923934E8</v>
      </c>
      <c r="B189" s="24" t="s">
        <v>52</v>
      </c>
      <c r="C189" s="2"/>
      <c r="D189" s="2"/>
      <c r="E189" s="82"/>
      <c r="F189" s="8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34.5" customHeight="1">
      <c r="A190" s="24">
        <v>1.66871338E8</v>
      </c>
      <c r="B190" s="24" t="s">
        <v>53</v>
      </c>
      <c r="C190" s="2"/>
      <c r="D190" s="2"/>
      <c r="E190" s="82"/>
      <c r="F190" s="8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34.5" customHeight="1">
      <c r="A191" s="24">
        <v>1.71491377E8</v>
      </c>
      <c r="B191" s="24" t="s">
        <v>59</v>
      </c>
      <c r="C191" s="2"/>
      <c r="D191" s="2"/>
      <c r="E191" s="82"/>
      <c r="F191" s="8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34.5" customHeight="1">
      <c r="A192" s="24">
        <v>1.70866748E8</v>
      </c>
      <c r="B192" s="24" t="s">
        <v>62</v>
      </c>
      <c r="C192" s="2"/>
      <c r="D192" s="2"/>
      <c r="E192" s="82"/>
      <c r="F192" s="8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34.5" customHeight="1">
      <c r="A193" s="24">
        <v>1.71972257E8</v>
      </c>
      <c r="B193" s="24" t="s">
        <v>66</v>
      </c>
      <c r="C193" s="2"/>
      <c r="D193" s="2"/>
      <c r="E193" s="82"/>
      <c r="F193" s="8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34.5" customHeight="1">
      <c r="A194" s="24">
        <v>1.4406546E8</v>
      </c>
      <c r="B194" s="24" t="s">
        <v>68</v>
      </c>
      <c r="C194" s="2"/>
      <c r="D194" s="2"/>
      <c r="E194" s="82"/>
      <c r="F194" s="8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34.5" customHeight="1">
      <c r="A195" s="24">
        <v>1.71799293E8</v>
      </c>
      <c r="B195" s="24" t="s">
        <v>70</v>
      </c>
      <c r="C195" s="2"/>
      <c r="D195" s="2"/>
      <c r="E195" s="82"/>
      <c r="F195" s="8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34.5" customHeight="1">
      <c r="A196" s="24">
        <v>1915332.0</v>
      </c>
      <c r="B196" s="24" t="s">
        <v>72</v>
      </c>
      <c r="C196" s="2"/>
      <c r="D196" s="2"/>
      <c r="E196" s="82"/>
      <c r="F196" s="8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34.5" customHeight="1">
      <c r="A197" s="24">
        <v>1.55534128E8</v>
      </c>
      <c r="B197" s="24" t="s">
        <v>76</v>
      </c>
      <c r="C197" s="2"/>
      <c r="D197" s="2"/>
      <c r="E197" s="82"/>
      <c r="F197" s="8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34.5" customHeight="1">
      <c r="A198" s="24">
        <v>5.524249E7</v>
      </c>
      <c r="B198" s="24" t="s">
        <v>78</v>
      </c>
      <c r="C198" s="2"/>
      <c r="D198" s="2"/>
      <c r="E198" s="82"/>
      <c r="F198" s="8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34.5" customHeight="1">
      <c r="A199" s="24">
        <v>1.71753933E8</v>
      </c>
      <c r="B199" s="24" t="s">
        <v>87</v>
      </c>
      <c r="C199" s="2"/>
      <c r="D199" s="2"/>
      <c r="E199" s="82"/>
      <c r="F199" s="8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34.5" customHeight="1">
      <c r="A200" s="24">
        <v>1.19051033E8</v>
      </c>
      <c r="B200" s="24" t="s">
        <v>89</v>
      </c>
      <c r="C200" s="2"/>
      <c r="D200" s="2"/>
      <c r="E200" s="82"/>
      <c r="F200" s="8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34.5" customHeight="1">
      <c r="A201" s="24">
        <v>1.71806191E8</v>
      </c>
      <c r="B201" s="24" t="s">
        <v>90</v>
      </c>
      <c r="C201" s="2"/>
      <c r="D201" s="2"/>
      <c r="E201" s="82"/>
      <c r="F201" s="8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34.5" customHeight="1">
      <c r="A202" s="24">
        <v>1.71858863E8</v>
      </c>
      <c r="B202" s="24" t="s">
        <v>98</v>
      </c>
      <c r="C202" s="2"/>
      <c r="D202" s="2"/>
      <c r="E202" s="82"/>
      <c r="F202" s="8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34.5" customHeight="1">
      <c r="A203" s="24">
        <v>1.70728362E8</v>
      </c>
      <c r="B203" s="24" t="s">
        <v>99</v>
      </c>
      <c r="C203" s="2"/>
      <c r="D203" s="2"/>
      <c r="E203" s="82"/>
      <c r="F203" s="8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34.5" customHeight="1">
      <c r="A204" s="24">
        <v>1.44010731E8</v>
      </c>
      <c r="B204" s="24" t="s">
        <v>104</v>
      </c>
      <c r="C204" s="2"/>
      <c r="D204" s="2"/>
      <c r="E204" s="82"/>
      <c r="F204" s="8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34.5" customHeight="1">
      <c r="A205" s="24">
        <v>1.45008495E8</v>
      </c>
      <c r="B205" s="24" t="s">
        <v>108</v>
      </c>
      <c r="C205" s="2"/>
      <c r="D205" s="2"/>
      <c r="E205" s="82"/>
      <c r="F205" s="8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34.5" customHeight="1">
      <c r="A206" s="24">
        <v>1.66110884E8</v>
      </c>
      <c r="B206" s="24" t="s">
        <v>109</v>
      </c>
      <c r="C206" s="2"/>
      <c r="D206" s="2"/>
      <c r="E206" s="82"/>
      <c r="F206" s="8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34.5" customHeight="1">
      <c r="A207" s="24">
        <v>1.69672885E8</v>
      </c>
      <c r="B207" s="24" t="s">
        <v>113</v>
      </c>
      <c r="C207" s="2"/>
      <c r="D207" s="2"/>
      <c r="E207" s="82"/>
      <c r="F207" s="8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34.5" customHeight="1">
      <c r="A208" s="24">
        <v>1.66234202E8</v>
      </c>
      <c r="B208" s="24" t="s">
        <v>124</v>
      </c>
      <c r="C208" s="2"/>
      <c r="D208" s="2"/>
      <c r="E208" s="82"/>
      <c r="F208" s="8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34.5" customHeight="1">
      <c r="A209" s="24">
        <v>1.71654758E8</v>
      </c>
      <c r="B209" s="24" t="s">
        <v>128</v>
      </c>
      <c r="C209" s="2"/>
      <c r="D209" s="2"/>
      <c r="E209" s="82"/>
      <c r="F209" s="8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34.5" customHeight="1">
      <c r="A210" s="24">
        <v>1.58817223E8</v>
      </c>
      <c r="B210" s="24" t="s">
        <v>140</v>
      </c>
      <c r="C210" s="2"/>
      <c r="D210" s="2"/>
      <c r="E210" s="82"/>
      <c r="F210" s="8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34.5" customHeight="1">
      <c r="A211" s="24">
        <v>1.4361245E8</v>
      </c>
      <c r="B211" s="24" t="s">
        <v>142</v>
      </c>
      <c r="C211" s="2"/>
      <c r="D211" s="2"/>
      <c r="E211" s="82"/>
      <c r="F211" s="8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34.5" customHeight="1">
      <c r="A212" s="24">
        <v>1.69953509E8</v>
      </c>
      <c r="B212" s="24" t="s">
        <v>154</v>
      </c>
      <c r="C212" s="2"/>
      <c r="D212" s="2"/>
      <c r="E212" s="82"/>
      <c r="F212" s="8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34.5" customHeight="1">
      <c r="A213" s="24">
        <v>4313627.0</v>
      </c>
      <c r="B213" s="24" t="s">
        <v>159</v>
      </c>
      <c r="C213" s="2"/>
      <c r="D213" s="2"/>
      <c r="E213" s="82"/>
      <c r="F213" s="8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34.5" customHeight="1">
      <c r="A214" s="24">
        <v>7.1613822E7</v>
      </c>
      <c r="B214" s="24" t="s">
        <v>162</v>
      </c>
      <c r="C214" s="2"/>
      <c r="D214" s="2"/>
      <c r="E214" s="82"/>
      <c r="F214" s="8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34.5" customHeight="1">
      <c r="A215" s="24">
        <v>1.56479771E8</v>
      </c>
      <c r="B215" s="24" t="s">
        <v>165</v>
      </c>
      <c r="C215" s="2"/>
      <c r="D215" s="2"/>
      <c r="E215" s="82"/>
      <c r="F215" s="8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34.5" customHeight="1">
      <c r="A216" s="24">
        <v>2.9902904E7</v>
      </c>
      <c r="B216" s="24" t="s">
        <v>167</v>
      </c>
      <c r="C216" s="2"/>
      <c r="D216" s="2"/>
      <c r="E216" s="82"/>
      <c r="F216" s="8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34.5" customHeight="1">
      <c r="A217" s="24">
        <v>1.4359506E8</v>
      </c>
      <c r="B217" s="24" t="s">
        <v>168</v>
      </c>
      <c r="C217" s="2"/>
      <c r="D217" s="2"/>
      <c r="E217" s="82"/>
      <c r="F217" s="8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34.5" customHeight="1">
      <c r="A218" s="24">
        <v>1.61551529E8</v>
      </c>
      <c r="B218" s="24" t="s">
        <v>135</v>
      </c>
      <c r="C218" s="2"/>
      <c r="D218" s="2"/>
      <c r="E218" s="82"/>
      <c r="F218" s="8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34.5" customHeight="1">
      <c r="A219" s="24">
        <v>1.59857111E8</v>
      </c>
      <c r="B219" s="24" t="s">
        <v>177</v>
      </c>
      <c r="C219" s="2"/>
      <c r="D219" s="2"/>
      <c r="E219" s="82"/>
      <c r="F219" s="8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34.5" customHeight="1">
      <c r="A220" s="24">
        <v>2.7578537E7</v>
      </c>
      <c r="B220" s="24" t="s">
        <v>179</v>
      </c>
      <c r="C220" s="2"/>
      <c r="D220" s="2"/>
      <c r="E220" s="82"/>
      <c r="F220" s="8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34.5" customHeight="1">
      <c r="A221" s="24">
        <v>1.71345916E8</v>
      </c>
      <c r="B221" s="24" t="s">
        <v>180</v>
      </c>
      <c r="C221" s="2"/>
      <c r="D221" s="2"/>
      <c r="E221" s="82"/>
      <c r="F221" s="8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34.5" customHeight="1">
      <c r="A222" s="82"/>
      <c r="B222" s="82"/>
      <c r="C222" s="2"/>
      <c r="D222" s="2"/>
      <c r="E222" s="82"/>
      <c r="F222" s="8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34.5" customHeight="1">
      <c r="A223" s="83" t="s">
        <v>231</v>
      </c>
      <c r="C223" s="2"/>
      <c r="D223" s="2"/>
      <c r="E223" s="82"/>
      <c r="F223" s="8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34.5" customHeight="1">
      <c r="A224" s="82"/>
      <c r="B224" s="82"/>
      <c r="C224" s="2"/>
      <c r="D224" s="2"/>
      <c r="E224" s="82"/>
      <c r="F224" s="8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34.5" customHeight="1">
      <c r="A225" s="23" t="s">
        <v>8</v>
      </c>
      <c r="B225" s="23" t="s">
        <v>207</v>
      </c>
      <c r="C225" s="2"/>
      <c r="D225" s="2"/>
      <c r="E225" s="82"/>
      <c r="F225" s="8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34.5" customHeight="1">
      <c r="A226" s="23">
        <v>6.4010776E7</v>
      </c>
      <c r="B226" s="23" t="s">
        <v>24</v>
      </c>
      <c r="C226" s="2"/>
      <c r="D226" s="2"/>
      <c r="E226" s="82"/>
      <c r="F226" s="8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34.5" customHeight="1">
      <c r="A227" s="23">
        <v>1.71934536E8</v>
      </c>
      <c r="B227" s="23" t="s">
        <v>25</v>
      </c>
      <c r="C227" s="2"/>
      <c r="D227" s="2"/>
      <c r="E227" s="82"/>
      <c r="F227" s="8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34.5" customHeight="1">
      <c r="A228" s="23">
        <v>7.1152824E7</v>
      </c>
      <c r="B228" s="23" t="s">
        <v>35</v>
      </c>
      <c r="C228" s="2"/>
      <c r="D228" s="2"/>
      <c r="E228" s="82"/>
      <c r="F228" s="8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34.5" customHeight="1">
      <c r="A229" s="23">
        <v>1.44109282E8</v>
      </c>
      <c r="B229" s="23" t="s">
        <v>39</v>
      </c>
      <c r="C229" s="2"/>
      <c r="D229" s="2"/>
      <c r="E229" s="82"/>
      <c r="F229" s="8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34.5" customHeight="1">
      <c r="A230" s="23">
        <v>1.68455139E8</v>
      </c>
      <c r="B230" s="23" t="s">
        <v>175</v>
      </c>
      <c r="C230" s="2"/>
      <c r="D230" s="2"/>
      <c r="E230" s="82"/>
      <c r="F230" s="8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34.5" customHeight="1">
      <c r="A231" s="23">
        <v>1.66871338E8</v>
      </c>
      <c r="B231" s="23" t="s">
        <v>53</v>
      </c>
      <c r="C231" s="2"/>
      <c r="D231" s="2"/>
      <c r="E231" s="82"/>
      <c r="F231" s="8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34.5" customHeight="1">
      <c r="A232" s="23">
        <v>1.70866748E8</v>
      </c>
      <c r="B232" s="23" t="s">
        <v>62</v>
      </c>
      <c r="C232" s="2"/>
      <c r="D232" s="2"/>
      <c r="E232" s="82"/>
      <c r="F232" s="8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34.5" customHeight="1">
      <c r="A233" s="23">
        <v>1.7160984E8</v>
      </c>
      <c r="B233" s="23" t="s">
        <v>77</v>
      </c>
      <c r="C233" s="2"/>
      <c r="D233" s="2"/>
      <c r="E233" s="82"/>
      <c r="F233" s="8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34.5" customHeight="1">
      <c r="A234" s="23">
        <v>1.4504414E8</v>
      </c>
      <c r="B234" s="23" t="s">
        <v>97</v>
      </c>
      <c r="C234" s="2"/>
      <c r="D234" s="2"/>
      <c r="E234" s="82"/>
      <c r="F234" s="8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34.5" customHeight="1">
      <c r="A235" s="23">
        <v>1.45008495E8</v>
      </c>
      <c r="B235" s="23" t="s">
        <v>108</v>
      </c>
      <c r="C235" s="2"/>
      <c r="D235" s="2"/>
      <c r="E235" s="82"/>
      <c r="F235" s="8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34.5" customHeight="1">
      <c r="A236" s="23">
        <v>1.66110884E8</v>
      </c>
      <c r="B236" s="23" t="s">
        <v>109</v>
      </c>
      <c r="C236" s="2"/>
      <c r="D236" s="2"/>
      <c r="E236" s="82"/>
      <c r="F236" s="8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34.5" customHeight="1">
      <c r="A237" s="23">
        <v>1.69672885E8</v>
      </c>
      <c r="B237" s="23" t="s">
        <v>113</v>
      </c>
      <c r="C237" s="2"/>
      <c r="D237" s="2"/>
      <c r="E237" s="82"/>
      <c r="F237" s="8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34.5" customHeight="1">
      <c r="A238" s="23">
        <v>1.66234202E8</v>
      </c>
      <c r="B238" s="23" t="s">
        <v>124</v>
      </c>
      <c r="C238" s="2"/>
      <c r="D238" s="2"/>
      <c r="E238" s="82"/>
      <c r="F238" s="8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34.5" customHeight="1">
      <c r="A239" s="23">
        <v>4313627.0</v>
      </c>
      <c r="B239" s="23" t="s">
        <v>159</v>
      </c>
      <c r="C239" s="2"/>
      <c r="D239" s="2"/>
      <c r="E239" s="82"/>
      <c r="F239" s="8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34.5" customHeight="1">
      <c r="A240" s="23">
        <v>7.1613822E7</v>
      </c>
      <c r="B240" s="23" t="s">
        <v>162</v>
      </c>
      <c r="C240" s="2"/>
      <c r="D240" s="2"/>
      <c r="E240" s="82"/>
      <c r="F240" s="8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34.5" customHeight="1">
      <c r="A241" s="23">
        <v>1.56479771E8</v>
      </c>
      <c r="B241" s="23" t="s">
        <v>165</v>
      </c>
      <c r="C241" s="2"/>
      <c r="D241" s="2"/>
      <c r="E241" s="82"/>
      <c r="F241" s="8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34.5" customHeight="1">
      <c r="A242" s="23">
        <v>2.9902904E7</v>
      </c>
      <c r="B242" s="23" t="s">
        <v>167</v>
      </c>
      <c r="C242" s="2"/>
      <c r="D242" s="2"/>
      <c r="E242" s="82"/>
      <c r="F242" s="8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34.5" customHeight="1">
      <c r="A243" s="23">
        <v>1.4359506E8</v>
      </c>
      <c r="B243" s="23" t="s">
        <v>168</v>
      </c>
      <c r="C243" s="2"/>
      <c r="D243" s="2"/>
      <c r="E243" s="82"/>
      <c r="F243" s="8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34.5" customHeight="1">
      <c r="A244" s="23">
        <v>1.42660926E8</v>
      </c>
      <c r="B244" s="23" t="s">
        <v>176</v>
      </c>
      <c r="C244" s="2"/>
      <c r="D244" s="2"/>
      <c r="E244" s="82"/>
      <c r="F244" s="8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34.5" customHeight="1">
      <c r="A245" s="23">
        <v>1.66807426E8</v>
      </c>
      <c r="B245" s="23" t="s">
        <v>181</v>
      </c>
      <c r="C245" s="2"/>
      <c r="D245" s="2"/>
      <c r="E245" s="82"/>
      <c r="F245" s="8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34.5" customHeight="1">
      <c r="A246" s="82"/>
      <c r="B246" s="82"/>
      <c r="C246" s="2"/>
      <c r="D246" s="2"/>
      <c r="E246" s="82"/>
      <c r="F246" s="8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34.5" customHeight="1">
      <c r="A247" s="82"/>
      <c r="B247" s="82"/>
      <c r="C247" s="2"/>
      <c r="D247" s="2"/>
      <c r="E247" s="82"/>
      <c r="F247" s="8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34.5" customHeight="1">
      <c r="A248" s="83" t="s">
        <v>232</v>
      </c>
      <c r="C248" s="2"/>
      <c r="D248" s="2"/>
      <c r="E248" s="82"/>
      <c r="F248" s="8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34.5" customHeight="1">
      <c r="A249" s="82"/>
      <c r="B249" s="82"/>
      <c r="C249" s="2"/>
      <c r="D249" s="2"/>
      <c r="E249" s="82"/>
      <c r="F249" s="8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34.5" customHeight="1">
      <c r="A250" s="86" t="s">
        <v>8</v>
      </c>
      <c r="B250" s="86" t="s">
        <v>207</v>
      </c>
      <c r="C250" s="2"/>
      <c r="D250" s="2"/>
      <c r="E250" s="82"/>
      <c r="F250" s="8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22.5" customHeight="1">
      <c r="A251" s="85">
        <v>2463403.0</v>
      </c>
      <c r="B251" s="85" t="s">
        <v>15</v>
      </c>
      <c r="C251" s="2"/>
      <c r="D251" s="2"/>
      <c r="E251" s="87"/>
      <c r="F251" s="8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22.5" customHeight="1">
      <c r="A252" s="85">
        <v>1.1726598E7</v>
      </c>
      <c r="B252" s="85" t="s">
        <v>16</v>
      </c>
      <c r="C252" s="2"/>
      <c r="D252" s="2"/>
      <c r="E252" s="87"/>
      <c r="F252" s="8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22.5" customHeight="1">
      <c r="A253" s="85">
        <v>6.7071592E7</v>
      </c>
      <c r="B253" s="85" t="s">
        <v>171</v>
      </c>
      <c r="C253" s="2"/>
      <c r="D253" s="2"/>
      <c r="E253" s="87"/>
      <c r="F253" s="8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22.5" customHeight="1">
      <c r="A254" s="85">
        <v>1.69326547E8</v>
      </c>
      <c r="B254" s="85" t="s">
        <v>174</v>
      </c>
      <c r="C254" s="2"/>
      <c r="D254" s="2"/>
      <c r="E254" s="87"/>
      <c r="F254" s="8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22.5" customHeight="1">
      <c r="A255" s="85">
        <v>1.69446444E8</v>
      </c>
      <c r="B255" s="85" t="s">
        <v>20</v>
      </c>
      <c r="C255" s="2"/>
      <c r="D255" s="2"/>
      <c r="E255" s="87"/>
      <c r="F255" s="8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22.5" customHeight="1">
      <c r="A256" s="85">
        <v>1.45408006E8</v>
      </c>
      <c r="B256" s="85" t="s">
        <v>22</v>
      </c>
      <c r="C256" s="2"/>
      <c r="D256" s="2"/>
      <c r="E256" s="87"/>
      <c r="F256" s="8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22.5" customHeight="1">
      <c r="A257" s="85">
        <v>6.3222201E7</v>
      </c>
      <c r="B257" s="85" t="s">
        <v>23</v>
      </c>
      <c r="C257" s="2"/>
      <c r="D257" s="2"/>
      <c r="E257" s="87"/>
      <c r="F257" s="8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22.5" customHeight="1">
      <c r="A258" s="85">
        <v>1.71934536E8</v>
      </c>
      <c r="B258" s="85" t="s">
        <v>25</v>
      </c>
      <c r="C258" s="2"/>
      <c r="D258" s="2"/>
      <c r="E258" s="87"/>
      <c r="F258" s="8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22.5" customHeight="1">
      <c r="A259" s="85">
        <v>1.15125159E8</v>
      </c>
      <c r="B259" s="85" t="s">
        <v>26</v>
      </c>
      <c r="C259" s="2"/>
      <c r="D259" s="2"/>
      <c r="E259" s="87"/>
      <c r="F259" s="8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22.5" customHeight="1">
      <c r="A260" s="85">
        <v>1.3871553E8</v>
      </c>
      <c r="B260" s="85" t="s">
        <v>31</v>
      </c>
      <c r="C260" s="2"/>
      <c r="D260" s="2"/>
      <c r="E260" s="87"/>
      <c r="F260" s="8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22.5" customHeight="1">
      <c r="A261" s="85">
        <v>7.1152824E7</v>
      </c>
      <c r="B261" s="85" t="s">
        <v>35</v>
      </c>
      <c r="C261" s="2"/>
      <c r="D261" s="2"/>
      <c r="E261" s="87"/>
      <c r="F261" s="8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22.5" customHeight="1">
      <c r="A262" s="85">
        <v>1.1409556E7</v>
      </c>
      <c r="B262" s="85" t="s">
        <v>36</v>
      </c>
      <c r="C262" s="2"/>
      <c r="D262" s="2"/>
      <c r="E262" s="87"/>
      <c r="F262" s="8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22.5" customHeight="1">
      <c r="A263" s="85">
        <v>1.4572491E7</v>
      </c>
      <c r="B263" s="85" t="s">
        <v>38</v>
      </c>
      <c r="C263" s="2"/>
      <c r="D263" s="2"/>
      <c r="E263" s="87"/>
      <c r="F263" s="8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22.5" customHeight="1">
      <c r="A264" s="85">
        <v>1.44109282E8</v>
      </c>
      <c r="B264" s="85" t="s">
        <v>39</v>
      </c>
      <c r="C264" s="2"/>
      <c r="D264" s="2"/>
      <c r="E264" s="87"/>
      <c r="F264" s="8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22.5" customHeight="1">
      <c r="A265" s="85">
        <v>1.44048157E8</v>
      </c>
      <c r="B265" s="85" t="s">
        <v>40</v>
      </c>
      <c r="C265" s="2"/>
      <c r="D265" s="2"/>
      <c r="E265" s="87"/>
      <c r="F265" s="8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22.5" customHeight="1">
      <c r="A266" s="85">
        <v>1.36378574E8</v>
      </c>
      <c r="B266" s="85" t="s">
        <v>41</v>
      </c>
      <c r="C266" s="2"/>
      <c r="D266" s="2"/>
      <c r="E266" s="87"/>
      <c r="F266" s="8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22.5" customHeight="1">
      <c r="A267" s="85">
        <v>1.71798243E8</v>
      </c>
      <c r="B267" s="85" t="s">
        <v>44</v>
      </c>
      <c r="C267" s="2"/>
      <c r="D267" s="2"/>
      <c r="E267" s="87"/>
      <c r="F267" s="8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22.5" customHeight="1">
      <c r="A268" s="85">
        <v>1.68455139E8</v>
      </c>
      <c r="B268" s="85" t="s">
        <v>175</v>
      </c>
      <c r="C268" s="2"/>
      <c r="D268" s="2"/>
      <c r="E268" s="87"/>
      <c r="F268" s="8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22.5" customHeight="1">
      <c r="A269" s="85">
        <v>1.44102873E8</v>
      </c>
      <c r="B269" s="85" t="s">
        <v>50</v>
      </c>
      <c r="C269" s="2"/>
      <c r="D269" s="2"/>
      <c r="E269" s="87"/>
      <c r="F269" s="8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22.5" customHeight="1">
      <c r="A270" s="85">
        <v>2.989016E7</v>
      </c>
      <c r="B270" s="85" t="s">
        <v>54</v>
      </c>
      <c r="C270" s="2"/>
      <c r="D270" s="2"/>
      <c r="E270" s="87"/>
      <c r="F270" s="8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22.5" customHeight="1">
      <c r="A271" s="85">
        <v>1.71574321E8</v>
      </c>
      <c r="B271" s="85" t="s">
        <v>57</v>
      </c>
      <c r="C271" s="2"/>
      <c r="D271" s="2"/>
      <c r="E271" s="87"/>
      <c r="F271" s="8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22.5" customHeight="1">
      <c r="A272" s="85">
        <v>1.72078991E8</v>
      </c>
      <c r="B272" s="85" t="s">
        <v>58</v>
      </c>
      <c r="C272" s="2"/>
      <c r="D272" s="2"/>
      <c r="E272" s="87"/>
      <c r="F272" s="8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22.5" customHeight="1">
      <c r="A273" s="85">
        <v>1.71701107E8</v>
      </c>
      <c r="B273" s="85" t="s">
        <v>60</v>
      </c>
      <c r="C273" s="2"/>
      <c r="D273" s="2"/>
      <c r="E273" s="87"/>
      <c r="F273" s="8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22.5" customHeight="1">
      <c r="A274" s="85">
        <v>1.70866748E8</v>
      </c>
      <c r="B274" s="85" t="s">
        <v>62</v>
      </c>
      <c r="C274" s="2"/>
      <c r="D274" s="2"/>
      <c r="E274" s="87"/>
      <c r="F274" s="8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22.5" customHeight="1">
      <c r="A275" s="85">
        <v>1.6942777E8</v>
      </c>
      <c r="B275" s="85" t="s">
        <v>63</v>
      </c>
      <c r="C275" s="2"/>
      <c r="D275" s="2"/>
      <c r="E275" s="87"/>
      <c r="F275" s="8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22.5" customHeight="1">
      <c r="A276" s="85">
        <v>1.43088559E8</v>
      </c>
      <c r="B276" s="85" t="s">
        <v>65</v>
      </c>
      <c r="C276" s="2"/>
      <c r="D276" s="2"/>
      <c r="E276" s="87"/>
      <c r="F276" s="8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22.5" customHeight="1">
      <c r="A277" s="85">
        <v>1.71972257E8</v>
      </c>
      <c r="B277" s="85" t="s">
        <v>66</v>
      </c>
      <c r="C277" s="2"/>
      <c r="D277" s="2"/>
      <c r="E277" s="87"/>
      <c r="F277" s="8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22.5" customHeight="1">
      <c r="A278" s="85">
        <v>1.71982346E8</v>
      </c>
      <c r="B278" s="85" t="s">
        <v>67</v>
      </c>
      <c r="C278" s="2"/>
      <c r="D278" s="2"/>
      <c r="E278" s="87"/>
      <c r="F278" s="8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22.5" customHeight="1">
      <c r="A279" s="85">
        <v>1.71799293E8</v>
      </c>
      <c r="B279" s="85" t="s">
        <v>70</v>
      </c>
      <c r="C279" s="2"/>
      <c r="D279" s="2"/>
      <c r="E279" s="87"/>
      <c r="F279" s="8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22.5" customHeight="1">
      <c r="A280" s="85">
        <v>1.71927851E8</v>
      </c>
      <c r="B280" s="85" t="s">
        <v>71</v>
      </c>
      <c r="C280" s="2"/>
      <c r="D280" s="2"/>
      <c r="E280" s="87"/>
      <c r="F280" s="8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22.5" customHeight="1">
      <c r="A281" s="85">
        <v>1.55534128E8</v>
      </c>
      <c r="B281" s="85" t="s">
        <v>76</v>
      </c>
      <c r="C281" s="2"/>
      <c r="D281" s="2"/>
      <c r="E281" s="87"/>
      <c r="F281" s="8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22.5" customHeight="1">
      <c r="A282" s="85">
        <v>1.7160984E8</v>
      </c>
      <c r="B282" s="85" t="s">
        <v>77</v>
      </c>
      <c r="C282" s="2"/>
      <c r="D282" s="2"/>
      <c r="E282" s="87"/>
      <c r="F282" s="8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22.5" customHeight="1">
      <c r="A283" s="85">
        <v>5.524249E7</v>
      </c>
      <c r="B283" s="85" t="s">
        <v>78</v>
      </c>
      <c r="C283" s="2"/>
      <c r="D283" s="2"/>
      <c r="E283" s="87"/>
      <c r="F283" s="8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22.5" customHeight="1">
      <c r="A284" s="85">
        <v>1.69494917E8</v>
      </c>
      <c r="B284" s="85" t="s">
        <v>82</v>
      </c>
      <c r="C284" s="2"/>
      <c r="D284" s="2"/>
      <c r="E284" s="87"/>
      <c r="F284" s="8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22.5" customHeight="1">
      <c r="A285" s="85">
        <v>1.71358436E8</v>
      </c>
      <c r="B285" s="85" t="s">
        <v>85</v>
      </c>
      <c r="C285" s="2"/>
      <c r="D285" s="2"/>
      <c r="E285" s="87"/>
      <c r="F285" s="8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22.5" customHeight="1">
      <c r="A286" s="85">
        <v>1.19051033E8</v>
      </c>
      <c r="B286" s="85" t="s">
        <v>89</v>
      </c>
      <c r="C286" s="2"/>
      <c r="D286" s="2"/>
      <c r="E286" s="87"/>
      <c r="F286" s="8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22.5" customHeight="1">
      <c r="A287" s="85">
        <v>1.71806191E8</v>
      </c>
      <c r="B287" s="85" t="s">
        <v>90</v>
      </c>
      <c r="C287" s="2"/>
      <c r="D287" s="2"/>
      <c r="E287" s="87"/>
      <c r="F287" s="8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22.5" customHeight="1">
      <c r="A288" s="85">
        <v>1.71537317E8</v>
      </c>
      <c r="B288" s="85" t="s">
        <v>91</v>
      </c>
      <c r="C288" s="2"/>
      <c r="D288" s="2"/>
      <c r="E288" s="87"/>
      <c r="F288" s="8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22.5" customHeight="1">
      <c r="A289" s="85">
        <v>1.44684719E8</v>
      </c>
      <c r="B289" s="85" t="s">
        <v>92</v>
      </c>
      <c r="C289" s="2"/>
      <c r="D289" s="2"/>
      <c r="E289" s="87"/>
      <c r="F289" s="8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22.5" customHeight="1">
      <c r="A290" s="85">
        <v>1.70972148E8</v>
      </c>
      <c r="B290" s="85" t="s">
        <v>94</v>
      </c>
      <c r="C290" s="2"/>
      <c r="D290" s="2"/>
      <c r="E290" s="87"/>
      <c r="F290" s="8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22.5" customHeight="1">
      <c r="A291" s="85">
        <v>1.39292614E8</v>
      </c>
      <c r="B291" s="85" t="s">
        <v>95</v>
      </c>
      <c r="C291" s="2"/>
      <c r="D291" s="2"/>
      <c r="E291" s="87"/>
      <c r="F291" s="8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22.5" customHeight="1">
      <c r="A292" s="85">
        <v>1.4504414E8</v>
      </c>
      <c r="B292" s="85" t="s">
        <v>97</v>
      </c>
      <c r="C292" s="2"/>
      <c r="D292" s="2"/>
      <c r="E292" s="87"/>
      <c r="F292" s="8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22.5" customHeight="1">
      <c r="A293" s="85">
        <v>1.71858863E8</v>
      </c>
      <c r="B293" s="85" t="s">
        <v>98</v>
      </c>
      <c r="C293" s="2"/>
      <c r="D293" s="2"/>
      <c r="E293" s="87"/>
      <c r="F293" s="8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22.5" customHeight="1">
      <c r="A294" s="85">
        <v>6.7873337E7</v>
      </c>
      <c r="B294" s="85" t="s">
        <v>102</v>
      </c>
      <c r="C294" s="2"/>
      <c r="D294" s="2"/>
      <c r="E294" s="87"/>
      <c r="F294" s="8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22.5" customHeight="1">
      <c r="A295" s="85">
        <v>1.44010731E8</v>
      </c>
      <c r="B295" s="85" t="s">
        <v>104</v>
      </c>
      <c r="C295" s="2"/>
      <c r="D295" s="2"/>
      <c r="E295" s="87"/>
      <c r="F295" s="8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22.5" customHeight="1">
      <c r="A296" s="85">
        <v>1.66110884E8</v>
      </c>
      <c r="B296" s="85" t="s">
        <v>109</v>
      </c>
      <c r="C296" s="2"/>
      <c r="D296" s="2"/>
      <c r="E296" s="87"/>
      <c r="F296" s="8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22.5" customHeight="1">
      <c r="A297" s="85">
        <v>1.4461836E8</v>
      </c>
      <c r="B297" s="85" t="s">
        <v>112</v>
      </c>
      <c r="C297" s="2"/>
      <c r="D297" s="2"/>
      <c r="E297" s="87"/>
      <c r="F297" s="8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22.5" customHeight="1">
      <c r="A298" s="85">
        <v>1.69672885E8</v>
      </c>
      <c r="B298" s="85" t="s">
        <v>113</v>
      </c>
      <c r="C298" s="2"/>
      <c r="D298" s="2"/>
      <c r="E298" s="87"/>
      <c r="F298" s="8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22.5" customHeight="1">
      <c r="A299" s="85">
        <v>1.68025153E8</v>
      </c>
      <c r="B299" s="85" t="s">
        <v>115</v>
      </c>
      <c r="C299" s="2"/>
      <c r="D299" s="2"/>
      <c r="E299" s="87"/>
      <c r="F299" s="8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22.5" customHeight="1">
      <c r="A300" s="85">
        <v>1.71828804E8</v>
      </c>
      <c r="B300" s="85" t="s">
        <v>118</v>
      </c>
      <c r="C300" s="2"/>
      <c r="D300" s="2"/>
      <c r="E300" s="87"/>
      <c r="F300" s="8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22.5" customHeight="1">
      <c r="A301" s="85">
        <v>1.45033056E8</v>
      </c>
      <c r="B301" s="85" t="s">
        <v>119</v>
      </c>
      <c r="C301" s="2"/>
      <c r="D301" s="2"/>
      <c r="E301" s="87"/>
      <c r="F301" s="8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22.5" customHeight="1">
      <c r="A302" s="85">
        <v>1.72031022E8</v>
      </c>
      <c r="B302" s="85" t="s">
        <v>123</v>
      </c>
      <c r="C302" s="2"/>
      <c r="D302" s="2"/>
      <c r="E302" s="87"/>
      <c r="F302" s="8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22.5" customHeight="1">
      <c r="A303" s="85">
        <v>1.66234202E8</v>
      </c>
      <c r="B303" s="85" t="s">
        <v>124</v>
      </c>
      <c r="C303" s="2"/>
      <c r="D303" s="2"/>
      <c r="E303" s="87"/>
      <c r="F303" s="8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22.5" customHeight="1">
      <c r="A304" s="85">
        <v>1.44088316E8</v>
      </c>
      <c r="B304" s="85" t="s">
        <v>125</v>
      </c>
      <c r="C304" s="2"/>
      <c r="D304" s="2"/>
      <c r="E304" s="87"/>
      <c r="F304" s="8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22.5" customHeight="1">
      <c r="A305" s="85">
        <v>1.67863288E8</v>
      </c>
      <c r="B305" s="85" t="s">
        <v>126</v>
      </c>
      <c r="C305" s="2"/>
      <c r="D305" s="2"/>
      <c r="E305" s="87"/>
      <c r="F305" s="8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22.5" customHeight="1">
      <c r="A306" s="85">
        <v>1.70028719E8</v>
      </c>
      <c r="B306" s="85" t="s">
        <v>127</v>
      </c>
      <c r="C306" s="2"/>
      <c r="D306" s="2"/>
      <c r="E306" s="87"/>
      <c r="F306" s="8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22.5" customHeight="1">
      <c r="A307" s="85">
        <v>1.71654758E8</v>
      </c>
      <c r="B307" s="85" t="s">
        <v>128</v>
      </c>
      <c r="C307" s="2"/>
      <c r="D307" s="2"/>
      <c r="E307" s="87"/>
      <c r="F307" s="8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22.5" customHeight="1">
      <c r="A308" s="85">
        <v>1.68091444E8</v>
      </c>
      <c r="B308" s="85" t="s">
        <v>215</v>
      </c>
      <c r="C308" s="2"/>
      <c r="D308" s="2"/>
      <c r="E308" s="87"/>
      <c r="F308" s="8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22.5" customHeight="1">
      <c r="A309" s="85">
        <v>1.77187021E8</v>
      </c>
      <c r="B309" s="85" t="s">
        <v>131</v>
      </c>
      <c r="C309" s="2"/>
      <c r="D309" s="2"/>
      <c r="E309" s="87"/>
      <c r="F309" s="8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22.5" customHeight="1">
      <c r="A310" s="85">
        <v>1.75551858E8</v>
      </c>
      <c r="B310" s="85" t="s">
        <v>132</v>
      </c>
      <c r="C310" s="2"/>
      <c r="D310" s="2"/>
      <c r="E310" s="87"/>
      <c r="F310" s="8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22.5" customHeight="1">
      <c r="A311" s="85">
        <v>1.4405151E8</v>
      </c>
      <c r="B311" s="85" t="s">
        <v>134</v>
      </c>
      <c r="C311" s="2"/>
      <c r="D311" s="2"/>
      <c r="E311" s="87"/>
      <c r="F311" s="8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22.5" customHeight="1">
      <c r="A312" s="85">
        <v>1.45023737E8</v>
      </c>
      <c r="B312" s="85" t="s">
        <v>217</v>
      </c>
      <c r="C312" s="2"/>
      <c r="D312" s="2"/>
      <c r="E312" s="87"/>
      <c r="F312" s="8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22.5" customHeight="1">
      <c r="A313" s="85">
        <v>1.6901814E8</v>
      </c>
      <c r="B313" s="85" t="s">
        <v>139</v>
      </c>
      <c r="C313" s="2"/>
      <c r="D313" s="2"/>
      <c r="E313" s="87"/>
      <c r="F313" s="8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22.5" customHeight="1">
      <c r="A314" s="85">
        <v>1.4361245E8</v>
      </c>
      <c r="B314" s="85" t="s">
        <v>142</v>
      </c>
      <c r="C314" s="2"/>
      <c r="D314" s="2"/>
      <c r="E314" s="87"/>
      <c r="F314" s="8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22.5" customHeight="1">
      <c r="A315" s="85">
        <v>1.44094763E8</v>
      </c>
      <c r="B315" s="85" t="s">
        <v>144</v>
      </c>
      <c r="C315" s="2"/>
      <c r="D315" s="2"/>
      <c r="E315" s="87"/>
      <c r="F315" s="8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22.5" customHeight="1">
      <c r="A316" s="85">
        <v>1.67701301E8</v>
      </c>
      <c r="B316" s="85" t="s">
        <v>146</v>
      </c>
      <c r="C316" s="2"/>
      <c r="D316" s="2"/>
      <c r="E316" s="87"/>
      <c r="F316" s="8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22.5" customHeight="1">
      <c r="A317" s="85">
        <v>1.68206434E8</v>
      </c>
      <c r="B317" s="85" t="s">
        <v>148</v>
      </c>
      <c r="C317" s="2"/>
      <c r="D317" s="2"/>
      <c r="E317" s="87"/>
      <c r="F317" s="8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22.5" customHeight="1">
      <c r="A318" s="85">
        <v>1.81527216E8</v>
      </c>
      <c r="B318" s="85" t="s">
        <v>149</v>
      </c>
      <c r="C318" s="2"/>
      <c r="D318" s="2"/>
      <c r="E318" s="87"/>
      <c r="F318" s="8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22.5" customHeight="1">
      <c r="A319" s="85">
        <v>1.71922856E8</v>
      </c>
      <c r="B319" s="85" t="s">
        <v>150</v>
      </c>
      <c r="C319" s="2"/>
      <c r="D319" s="2"/>
      <c r="E319" s="87"/>
      <c r="F319" s="8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22.5" customHeight="1">
      <c r="A320" s="85">
        <v>1.69953509E8</v>
      </c>
      <c r="B320" s="85" t="s">
        <v>154</v>
      </c>
      <c r="C320" s="2"/>
      <c r="D320" s="2"/>
      <c r="E320" s="87"/>
      <c r="F320" s="8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22.5" customHeight="1">
      <c r="A321" s="85">
        <v>1.73454044E8</v>
      </c>
      <c r="B321" s="85" t="s">
        <v>157</v>
      </c>
      <c r="C321" s="2"/>
      <c r="D321" s="2"/>
      <c r="E321" s="87"/>
      <c r="F321" s="8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22.5" customHeight="1">
      <c r="A322" s="85">
        <v>1.81734011E8</v>
      </c>
      <c r="B322" s="85" t="s">
        <v>158</v>
      </c>
      <c r="C322" s="2"/>
      <c r="D322" s="2"/>
      <c r="E322" s="87"/>
      <c r="F322" s="8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22.5" customHeight="1">
      <c r="A323" s="85">
        <v>4313627.0</v>
      </c>
      <c r="B323" s="85" t="s">
        <v>159</v>
      </c>
      <c r="C323" s="2"/>
      <c r="D323" s="2"/>
      <c r="E323" s="87"/>
      <c r="F323" s="8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22.5" customHeight="1">
      <c r="A324" s="85">
        <v>1.79033453E8</v>
      </c>
      <c r="B324" s="85" t="s">
        <v>160</v>
      </c>
      <c r="C324" s="2"/>
      <c r="D324" s="2"/>
      <c r="E324" s="87"/>
      <c r="F324" s="8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22.5" customHeight="1">
      <c r="A325" s="85">
        <v>7.1613822E7</v>
      </c>
      <c r="B325" s="85" t="s">
        <v>162</v>
      </c>
      <c r="C325" s="2"/>
      <c r="D325" s="2"/>
      <c r="E325" s="87"/>
      <c r="F325" s="8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22.5" customHeight="1">
      <c r="A326" s="85">
        <v>1.56479771E8</v>
      </c>
      <c r="B326" s="85" t="s">
        <v>165</v>
      </c>
      <c r="C326" s="2"/>
      <c r="D326" s="2"/>
      <c r="E326" s="87"/>
      <c r="F326" s="8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22.5" customHeight="1">
      <c r="A327" s="85">
        <v>2.9902904E7</v>
      </c>
      <c r="B327" s="85" t="s">
        <v>167</v>
      </c>
      <c r="C327" s="2"/>
      <c r="D327" s="2"/>
      <c r="E327" s="87"/>
      <c r="F327" s="8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22.5" customHeight="1">
      <c r="A328" s="85">
        <v>1.4359506E8</v>
      </c>
      <c r="B328" s="85" t="s">
        <v>168</v>
      </c>
      <c r="C328" s="2"/>
      <c r="D328" s="2"/>
      <c r="E328" s="87"/>
      <c r="F328" s="8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22.5" customHeight="1">
      <c r="A329" s="85">
        <v>1.61551529E8</v>
      </c>
      <c r="B329" s="85" t="s">
        <v>135</v>
      </c>
      <c r="C329" s="2"/>
      <c r="D329" s="2"/>
      <c r="E329" s="87"/>
      <c r="F329" s="8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22.5" customHeight="1">
      <c r="A330" s="85">
        <v>1.42660926E8</v>
      </c>
      <c r="B330" s="85" t="s">
        <v>176</v>
      </c>
      <c r="C330" s="2"/>
      <c r="D330" s="2"/>
      <c r="E330" s="87"/>
      <c r="F330" s="8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22.5" customHeight="1">
      <c r="A331" s="85">
        <v>1.59857111E8</v>
      </c>
      <c r="B331" s="85" t="s">
        <v>177</v>
      </c>
      <c r="C331" s="2"/>
      <c r="D331" s="2"/>
      <c r="E331" s="87"/>
      <c r="F331" s="8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22.5" customHeight="1">
      <c r="A332" s="85">
        <v>7.7394861E7</v>
      </c>
      <c r="B332" s="85" t="s">
        <v>178</v>
      </c>
      <c r="C332" s="2"/>
      <c r="D332" s="2"/>
      <c r="E332" s="87"/>
      <c r="F332" s="8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34.5" customHeight="1">
      <c r="A333" s="82"/>
      <c r="B333" s="82"/>
      <c r="C333" s="2"/>
      <c r="D333" s="2"/>
      <c r="E333" s="82"/>
      <c r="F333" s="8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34.5" customHeight="1">
      <c r="A334" s="82"/>
      <c r="B334" s="82"/>
      <c r="C334" s="2"/>
      <c r="D334" s="2"/>
      <c r="E334" s="82"/>
      <c r="F334" s="8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34.5" customHeight="1">
      <c r="A335" s="83" t="s">
        <v>233</v>
      </c>
      <c r="C335" s="2"/>
      <c r="D335" s="2"/>
      <c r="E335" s="82"/>
      <c r="F335" s="8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34.5" customHeight="1">
      <c r="A336" s="82"/>
      <c r="B336" s="82"/>
      <c r="C336" s="2"/>
      <c r="D336" s="2"/>
      <c r="E336" s="82"/>
      <c r="F336" s="8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22.5" customHeight="1">
      <c r="A337" s="88" t="s">
        <v>8</v>
      </c>
      <c r="B337" s="88" t="s">
        <v>218</v>
      </c>
      <c r="C337" s="2"/>
      <c r="D337" s="2"/>
      <c r="E337" s="82"/>
      <c r="F337" s="8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22.5" customHeight="1">
      <c r="A338" s="23">
        <v>1.69446444E8</v>
      </c>
      <c r="B338" s="23" t="s">
        <v>20</v>
      </c>
      <c r="C338" s="2"/>
      <c r="D338" s="2"/>
      <c r="E338" s="82"/>
      <c r="F338" s="8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22.5" customHeight="1">
      <c r="A339" s="23">
        <v>1.45408006E8</v>
      </c>
      <c r="B339" s="23" t="s">
        <v>22</v>
      </c>
      <c r="C339" s="2"/>
      <c r="D339" s="2"/>
      <c r="E339" s="82"/>
      <c r="F339" s="8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22.5" customHeight="1">
      <c r="A340" s="23">
        <v>6.3222201E7</v>
      </c>
      <c r="B340" s="23" t="s">
        <v>23</v>
      </c>
      <c r="C340" s="2"/>
      <c r="D340" s="2"/>
      <c r="E340" s="82"/>
      <c r="F340" s="8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22.5" customHeight="1">
      <c r="A341" s="23">
        <v>1.71934536E8</v>
      </c>
      <c r="B341" s="23" t="s">
        <v>25</v>
      </c>
      <c r="C341" s="2"/>
      <c r="D341" s="2"/>
      <c r="E341" s="82"/>
      <c r="F341" s="8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22.5" customHeight="1">
      <c r="A342" s="23">
        <v>1.15125159E8</v>
      </c>
      <c r="B342" s="23" t="s">
        <v>26</v>
      </c>
      <c r="C342" s="2"/>
      <c r="D342" s="2"/>
      <c r="E342" s="82"/>
      <c r="F342" s="8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22.5" customHeight="1">
      <c r="A343" s="23">
        <v>1.44060837E8</v>
      </c>
      <c r="B343" s="23" t="s">
        <v>28</v>
      </c>
      <c r="C343" s="2"/>
      <c r="D343" s="2"/>
      <c r="E343" s="82"/>
      <c r="F343" s="8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22.5" customHeight="1">
      <c r="A344" s="23">
        <v>7.1152824E7</v>
      </c>
      <c r="B344" s="23" t="s">
        <v>35</v>
      </c>
      <c r="C344" s="2"/>
      <c r="D344" s="2"/>
      <c r="E344" s="82"/>
      <c r="F344" s="8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22.5" customHeight="1">
      <c r="A345" s="23">
        <v>1.1409556E7</v>
      </c>
      <c r="B345" s="23" t="s">
        <v>36</v>
      </c>
      <c r="C345" s="2"/>
      <c r="D345" s="2"/>
      <c r="E345" s="82"/>
      <c r="F345" s="8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22.5" customHeight="1">
      <c r="A346" s="23">
        <v>1.4572491E7</v>
      </c>
      <c r="B346" s="23" t="s">
        <v>38</v>
      </c>
      <c r="C346" s="2"/>
      <c r="D346" s="2"/>
      <c r="E346" s="82"/>
      <c r="F346" s="8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22.5" customHeight="1">
      <c r="A347" s="23">
        <v>1.44048157E8</v>
      </c>
      <c r="B347" s="23" t="s">
        <v>40</v>
      </c>
      <c r="C347" s="2"/>
      <c r="D347" s="2"/>
      <c r="E347" s="82"/>
      <c r="F347" s="8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22.5" customHeight="1">
      <c r="A348" s="23">
        <v>1.36378574E8</v>
      </c>
      <c r="B348" s="23" t="s">
        <v>41</v>
      </c>
      <c r="C348" s="2"/>
      <c r="D348" s="2"/>
      <c r="E348" s="82"/>
      <c r="F348" s="8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22.5" customHeight="1">
      <c r="A349" s="23">
        <v>1.71827401E8</v>
      </c>
      <c r="B349" s="23" t="s">
        <v>42</v>
      </c>
      <c r="C349" s="2"/>
      <c r="D349" s="2"/>
      <c r="E349" s="82"/>
      <c r="F349" s="8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22.5" customHeight="1">
      <c r="A350" s="23">
        <v>1.71798243E8</v>
      </c>
      <c r="B350" s="23" t="s">
        <v>44</v>
      </c>
      <c r="C350" s="2"/>
      <c r="D350" s="2"/>
      <c r="E350" s="82"/>
      <c r="F350" s="8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22.5" customHeight="1">
      <c r="A351" s="23">
        <v>1.40009179E8</v>
      </c>
      <c r="B351" s="23" t="s">
        <v>45</v>
      </c>
      <c r="C351" s="2"/>
      <c r="D351" s="2"/>
      <c r="E351" s="82"/>
      <c r="F351" s="8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22.5" customHeight="1">
      <c r="A352" s="23">
        <v>1.71983336E8</v>
      </c>
      <c r="B352" s="23" t="s">
        <v>46</v>
      </c>
      <c r="C352" s="2"/>
      <c r="D352" s="2"/>
      <c r="E352" s="82"/>
      <c r="F352" s="8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22.5" customHeight="1">
      <c r="A353" s="23">
        <v>1.20029911E8</v>
      </c>
      <c r="B353" s="23" t="s">
        <v>48</v>
      </c>
      <c r="C353" s="2"/>
      <c r="D353" s="2"/>
      <c r="E353" s="82"/>
      <c r="F353" s="8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22.5" customHeight="1">
      <c r="A354" s="23">
        <v>1.44102873E8</v>
      </c>
      <c r="B354" s="23" t="s">
        <v>50</v>
      </c>
      <c r="C354" s="2"/>
      <c r="D354" s="2"/>
      <c r="E354" s="82"/>
      <c r="F354" s="8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22.5" customHeight="1">
      <c r="A355" s="23">
        <v>1.66871338E8</v>
      </c>
      <c r="B355" s="23" t="s">
        <v>53</v>
      </c>
      <c r="C355" s="2"/>
      <c r="D355" s="2"/>
      <c r="E355" s="82"/>
      <c r="F355" s="8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22.5" customHeight="1">
      <c r="A356" s="23">
        <v>2.989016E7</v>
      </c>
      <c r="B356" s="23" t="s">
        <v>54</v>
      </c>
      <c r="C356" s="2"/>
      <c r="D356" s="2"/>
      <c r="E356" s="82"/>
      <c r="F356" s="8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22.5" customHeight="1">
      <c r="A357" s="23">
        <v>1.71574321E8</v>
      </c>
      <c r="B357" s="23" t="s">
        <v>57</v>
      </c>
      <c r="C357" s="2"/>
      <c r="D357" s="2"/>
      <c r="E357" s="82"/>
      <c r="F357" s="8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22.5" customHeight="1">
      <c r="A358" s="23">
        <v>1.72078991E8</v>
      </c>
      <c r="B358" s="23" t="s">
        <v>58</v>
      </c>
      <c r="C358" s="2"/>
      <c r="D358" s="2"/>
      <c r="E358" s="82"/>
      <c r="F358" s="8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22.5" customHeight="1">
      <c r="A359" s="23">
        <v>1.71491377E8</v>
      </c>
      <c r="B359" s="23" t="s">
        <v>59</v>
      </c>
      <c r="C359" s="2"/>
      <c r="D359" s="2"/>
      <c r="E359" s="82"/>
      <c r="F359" s="8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22.5" customHeight="1">
      <c r="A360" s="23">
        <v>1.43088559E8</v>
      </c>
      <c r="B360" s="23" t="s">
        <v>65</v>
      </c>
      <c r="C360" s="2"/>
      <c r="D360" s="2"/>
      <c r="E360" s="82"/>
      <c r="F360" s="8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22.5" customHeight="1">
      <c r="A361" s="23">
        <v>1.71972257E8</v>
      </c>
      <c r="B361" s="23" t="s">
        <v>66</v>
      </c>
      <c r="C361" s="2"/>
      <c r="D361" s="2"/>
      <c r="E361" s="82"/>
      <c r="F361" s="8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22.5" customHeight="1">
      <c r="A362" s="23">
        <v>1.71799293E8</v>
      </c>
      <c r="B362" s="23" t="s">
        <v>70</v>
      </c>
      <c r="C362" s="2"/>
      <c r="D362" s="2"/>
      <c r="E362" s="82"/>
      <c r="F362" s="8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22.5" customHeight="1">
      <c r="A363" s="23">
        <v>5.524249E7</v>
      </c>
      <c r="B363" s="23" t="s">
        <v>78</v>
      </c>
      <c r="C363" s="2"/>
      <c r="D363" s="2"/>
      <c r="E363" s="82"/>
      <c r="F363" s="8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22.5" customHeight="1">
      <c r="A364" s="23">
        <v>1.69494917E8</v>
      </c>
      <c r="B364" s="23" t="s">
        <v>82</v>
      </c>
      <c r="C364" s="2"/>
      <c r="D364" s="2"/>
      <c r="E364" s="82"/>
      <c r="F364" s="8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22.5" customHeight="1">
      <c r="A365" s="23">
        <v>1.71358436E8</v>
      </c>
      <c r="B365" s="23" t="s">
        <v>85</v>
      </c>
      <c r="C365" s="2"/>
      <c r="D365" s="2"/>
      <c r="E365" s="82"/>
      <c r="F365" s="8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22.5" customHeight="1">
      <c r="A366" s="23">
        <v>1.19051033E8</v>
      </c>
      <c r="B366" s="23" t="s">
        <v>89</v>
      </c>
      <c r="C366" s="2"/>
      <c r="D366" s="2"/>
      <c r="E366" s="82"/>
      <c r="F366" s="8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22.5" customHeight="1">
      <c r="A367" s="23">
        <v>1.71806191E8</v>
      </c>
      <c r="B367" s="23" t="s">
        <v>90</v>
      </c>
      <c r="C367" s="2"/>
      <c r="D367" s="2"/>
      <c r="E367" s="82"/>
      <c r="F367" s="8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22.5" customHeight="1">
      <c r="A368" s="23">
        <v>1.71537317E8</v>
      </c>
      <c r="B368" s="23" t="s">
        <v>91</v>
      </c>
      <c r="C368" s="2"/>
      <c r="D368" s="2"/>
      <c r="E368" s="82"/>
      <c r="F368" s="8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22.5" customHeight="1">
      <c r="A369" s="23">
        <v>1.70972148E8</v>
      </c>
      <c r="B369" s="23" t="s">
        <v>94</v>
      </c>
      <c r="C369" s="2"/>
      <c r="D369" s="2"/>
      <c r="E369" s="82"/>
      <c r="F369" s="8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22.5" customHeight="1">
      <c r="A370" s="23">
        <v>6.7873337E7</v>
      </c>
      <c r="B370" s="23" t="s">
        <v>102</v>
      </c>
      <c r="C370" s="2"/>
      <c r="D370" s="2"/>
      <c r="E370" s="82"/>
      <c r="F370" s="8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22.5" customHeight="1">
      <c r="A371" s="23">
        <v>1.44010731E8</v>
      </c>
      <c r="B371" s="23" t="s">
        <v>104</v>
      </c>
      <c r="C371" s="2"/>
      <c r="D371" s="2"/>
      <c r="E371" s="82"/>
      <c r="F371" s="8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22.5" customHeight="1">
      <c r="A372" s="23">
        <v>1.45008495E8</v>
      </c>
      <c r="B372" s="23" t="s">
        <v>108</v>
      </c>
      <c r="C372" s="2"/>
      <c r="D372" s="2"/>
      <c r="E372" s="82"/>
      <c r="F372" s="8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22.5" customHeight="1">
      <c r="A373" s="23">
        <v>1.69672885E8</v>
      </c>
      <c r="B373" s="23" t="s">
        <v>113</v>
      </c>
      <c r="C373" s="2"/>
      <c r="D373" s="2"/>
      <c r="E373" s="82"/>
      <c r="F373" s="8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22.5" customHeight="1">
      <c r="A374" s="23">
        <v>1.71825014E8</v>
      </c>
      <c r="B374" s="23" t="s">
        <v>117</v>
      </c>
      <c r="C374" s="2"/>
      <c r="D374" s="2"/>
      <c r="E374" s="82"/>
      <c r="F374" s="8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22.5" customHeight="1">
      <c r="A375" s="23">
        <v>1.71828804E8</v>
      </c>
      <c r="B375" s="23" t="s">
        <v>118</v>
      </c>
      <c r="C375" s="2"/>
      <c r="D375" s="2"/>
      <c r="E375" s="82"/>
      <c r="F375" s="8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22.5" customHeight="1">
      <c r="A376" s="23">
        <v>1.72031022E8</v>
      </c>
      <c r="B376" s="23" t="s">
        <v>123</v>
      </c>
      <c r="C376" s="2"/>
      <c r="D376" s="2"/>
      <c r="E376" s="82"/>
      <c r="F376" s="8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22.5" customHeight="1">
      <c r="A377" s="23">
        <v>1.66234202E8</v>
      </c>
      <c r="B377" s="23" t="s">
        <v>124</v>
      </c>
      <c r="C377" s="2"/>
      <c r="D377" s="2"/>
      <c r="E377" s="82"/>
      <c r="F377" s="8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22.5" customHeight="1">
      <c r="A378" s="23">
        <v>1.44088316E8</v>
      </c>
      <c r="B378" s="23" t="s">
        <v>125</v>
      </c>
      <c r="C378" s="2"/>
      <c r="D378" s="2"/>
      <c r="E378" s="82"/>
      <c r="F378" s="8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22.5" customHeight="1">
      <c r="A379" s="23">
        <v>1.67863288E8</v>
      </c>
      <c r="B379" s="23" t="s">
        <v>126</v>
      </c>
      <c r="C379" s="2"/>
      <c r="D379" s="2"/>
      <c r="E379" s="82"/>
      <c r="F379" s="8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22.5" customHeight="1">
      <c r="A380" s="23">
        <v>1.70028719E8</v>
      </c>
      <c r="B380" s="23" t="s">
        <v>127</v>
      </c>
      <c r="C380" s="2"/>
      <c r="D380" s="2"/>
      <c r="E380" s="82"/>
      <c r="F380" s="8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22.5" customHeight="1">
      <c r="A381" s="23">
        <v>1.71654758E8</v>
      </c>
      <c r="B381" s="23" t="s">
        <v>128</v>
      </c>
      <c r="C381" s="2"/>
      <c r="D381" s="2"/>
      <c r="E381" s="82"/>
      <c r="F381" s="8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22.5" customHeight="1">
      <c r="A382" s="23">
        <v>1.75551858E8</v>
      </c>
      <c r="B382" s="23" t="s">
        <v>132</v>
      </c>
      <c r="C382" s="2"/>
      <c r="D382" s="2"/>
      <c r="E382" s="82"/>
      <c r="F382" s="8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22.5" customHeight="1">
      <c r="A383" s="23">
        <v>1.4405151E8</v>
      </c>
      <c r="B383" s="23" t="s">
        <v>134</v>
      </c>
      <c r="C383" s="2"/>
      <c r="D383" s="2"/>
      <c r="E383" s="82"/>
      <c r="F383" s="8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22.5" customHeight="1">
      <c r="A384" s="23">
        <v>1.6901814E8</v>
      </c>
      <c r="B384" s="23" t="s">
        <v>139</v>
      </c>
      <c r="C384" s="2"/>
      <c r="D384" s="2"/>
      <c r="E384" s="82"/>
      <c r="F384" s="8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22.5" customHeight="1">
      <c r="A385" s="23">
        <v>1.44094763E8</v>
      </c>
      <c r="B385" s="23" t="s">
        <v>144</v>
      </c>
      <c r="C385" s="2"/>
      <c r="D385" s="2"/>
      <c r="E385" s="82"/>
      <c r="F385" s="8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22.5" customHeight="1">
      <c r="A386" s="23">
        <v>1.67701301E8</v>
      </c>
      <c r="B386" s="23" t="s">
        <v>146</v>
      </c>
      <c r="C386" s="2"/>
      <c r="D386" s="2"/>
      <c r="E386" s="82"/>
      <c r="F386" s="8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22.5" customHeight="1">
      <c r="A387" s="23">
        <v>1.68206434E8</v>
      </c>
      <c r="B387" s="23" t="s">
        <v>148</v>
      </c>
      <c r="C387" s="2"/>
      <c r="D387" s="2"/>
      <c r="E387" s="82"/>
      <c r="F387" s="8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22.5" customHeight="1">
      <c r="A388" s="23">
        <v>1.81527216E8</v>
      </c>
      <c r="B388" s="23" t="s">
        <v>149</v>
      </c>
      <c r="C388" s="2"/>
      <c r="D388" s="2"/>
      <c r="E388" s="82"/>
      <c r="F388" s="8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22.5" customHeight="1">
      <c r="A389" s="23">
        <v>1.30281353E8</v>
      </c>
      <c r="B389" s="23" t="s">
        <v>156</v>
      </c>
      <c r="C389" s="2"/>
      <c r="D389" s="2"/>
      <c r="E389" s="82"/>
      <c r="F389" s="8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22.5" customHeight="1">
      <c r="A390" s="23">
        <v>1.73454044E8</v>
      </c>
      <c r="B390" s="23" t="s">
        <v>157</v>
      </c>
      <c r="C390" s="2"/>
      <c r="D390" s="2"/>
      <c r="E390" s="82"/>
      <c r="F390" s="8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22.5" customHeight="1">
      <c r="A391" s="23">
        <v>1.79033453E8</v>
      </c>
      <c r="B391" s="23" t="s">
        <v>160</v>
      </c>
      <c r="C391" s="2"/>
      <c r="D391" s="2"/>
      <c r="E391" s="82"/>
      <c r="F391" s="8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22.5" customHeight="1">
      <c r="A392" s="23">
        <v>7.1613822E7</v>
      </c>
      <c r="B392" s="23" t="s">
        <v>162</v>
      </c>
      <c r="C392" s="2"/>
      <c r="D392" s="2"/>
      <c r="E392" s="82"/>
      <c r="F392" s="8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22.5" customHeight="1">
      <c r="A393" s="23">
        <v>2.9902904E7</v>
      </c>
      <c r="B393" s="23" t="s">
        <v>167</v>
      </c>
      <c r="C393" s="2"/>
      <c r="D393" s="2"/>
      <c r="E393" s="82"/>
      <c r="F393" s="8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22.5" customHeight="1">
      <c r="A394" s="23">
        <v>1.4359506E8</v>
      </c>
      <c r="B394" s="23" t="s">
        <v>168</v>
      </c>
      <c r="C394" s="2"/>
      <c r="D394" s="2"/>
      <c r="E394" s="82"/>
      <c r="F394" s="8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22.5" customHeight="1">
      <c r="A395" s="23">
        <v>1.61551529E8</v>
      </c>
      <c r="B395" s="23" t="s">
        <v>135</v>
      </c>
      <c r="C395" s="2"/>
      <c r="D395" s="2"/>
      <c r="E395" s="82"/>
      <c r="F395" s="8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22.5" customHeight="1">
      <c r="A396" s="89">
        <v>1.1279231E8</v>
      </c>
      <c r="B396" s="89" t="s">
        <v>169</v>
      </c>
      <c r="C396" s="2"/>
      <c r="D396" s="2"/>
      <c r="E396" s="82"/>
      <c r="F396" s="8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22.5" customHeight="1">
      <c r="A397" s="23">
        <v>1.42660926E8</v>
      </c>
      <c r="B397" s="23" t="s">
        <v>176</v>
      </c>
      <c r="C397" s="2"/>
      <c r="D397" s="2"/>
      <c r="E397" s="82"/>
      <c r="F397" s="8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22.5" customHeight="1">
      <c r="A398" s="23">
        <v>2.7578537E7</v>
      </c>
      <c r="B398" s="23" t="s">
        <v>179</v>
      </c>
      <c r="C398" s="2"/>
      <c r="D398" s="2"/>
      <c r="E398" s="82"/>
      <c r="F398" s="8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34.5" customHeight="1">
      <c r="A399" s="82"/>
      <c r="B399" s="82"/>
      <c r="C399" s="2"/>
      <c r="D399" s="2"/>
      <c r="E399" s="82"/>
      <c r="F399" s="8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34.5" customHeight="1">
      <c r="A400" s="82"/>
      <c r="B400" s="82"/>
      <c r="C400" s="2"/>
      <c r="D400" s="2"/>
      <c r="E400" s="82"/>
      <c r="F400" s="8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34.5" customHeight="1">
      <c r="A401" s="83" t="s">
        <v>234</v>
      </c>
      <c r="C401" s="2"/>
      <c r="D401" s="2"/>
      <c r="E401" s="82"/>
      <c r="F401" s="8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34.5" customHeight="1">
      <c r="A402" s="82"/>
      <c r="B402" s="82"/>
      <c r="C402" s="2"/>
      <c r="D402" s="2"/>
      <c r="E402" s="82"/>
      <c r="F402" s="8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34.5" customHeight="1">
      <c r="A403" s="84" t="s">
        <v>8</v>
      </c>
      <c r="B403" s="84" t="s">
        <v>207</v>
      </c>
      <c r="C403" s="2"/>
      <c r="D403" s="2"/>
      <c r="E403" s="82"/>
      <c r="F403" s="8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34.5" customHeight="1">
      <c r="A404" s="24">
        <v>1.45408006E8</v>
      </c>
      <c r="B404" s="24" t="s">
        <v>22</v>
      </c>
      <c r="C404" s="2"/>
      <c r="D404" s="2"/>
      <c r="E404" s="82"/>
      <c r="F404" s="8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34.5" customHeight="1">
      <c r="A405" s="9">
        <v>6.3222201E7</v>
      </c>
      <c r="B405" s="9" t="s">
        <v>23</v>
      </c>
      <c r="C405" s="2"/>
      <c r="D405" s="2"/>
      <c r="E405" s="82"/>
      <c r="F405" s="8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34.5" customHeight="1">
      <c r="A406" s="9">
        <v>1.71934536E8</v>
      </c>
      <c r="B406" s="9" t="s">
        <v>25</v>
      </c>
      <c r="C406" s="2"/>
      <c r="D406" s="2"/>
      <c r="E406" s="82"/>
      <c r="F406" s="8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34.5" customHeight="1">
      <c r="A407" s="9">
        <v>1.15125159E8</v>
      </c>
      <c r="B407" s="9" t="s">
        <v>26</v>
      </c>
      <c r="C407" s="2"/>
      <c r="D407" s="2"/>
      <c r="E407" s="82"/>
      <c r="F407" s="8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34.5" customHeight="1">
      <c r="A408" s="9">
        <v>6.2691192E7</v>
      </c>
      <c r="B408" s="9" t="s">
        <v>27</v>
      </c>
      <c r="C408" s="2"/>
      <c r="D408" s="2"/>
      <c r="E408" s="82"/>
      <c r="F408" s="8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34.5" customHeight="1">
      <c r="A409" s="9">
        <v>8.693627E7</v>
      </c>
      <c r="B409" s="9" t="s">
        <v>30</v>
      </c>
      <c r="C409" s="2"/>
      <c r="D409" s="2"/>
      <c r="E409" s="82"/>
      <c r="F409" s="8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34.5" customHeight="1">
      <c r="A410" s="9">
        <v>1.3871553E8</v>
      </c>
      <c r="B410" s="9" t="s">
        <v>31</v>
      </c>
      <c r="C410" s="2"/>
      <c r="D410" s="2"/>
      <c r="E410" s="82"/>
      <c r="F410" s="8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34.5" customHeight="1">
      <c r="A411" s="9">
        <v>7.1152824E7</v>
      </c>
      <c r="B411" s="9" t="s">
        <v>35</v>
      </c>
      <c r="C411" s="2"/>
      <c r="D411" s="2"/>
      <c r="E411" s="82"/>
      <c r="F411" s="8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34.5" customHeight="1">
      <c r="A412" s="9">
        <v>1.1409556E7</v>
      </c>
      <c r="B412" s="9" t="s">
        <v>36</v>
      </c>
      <c r="C412" s="2"/>
      <c r="D412" s="2"/>
      <c r="E412" s="82"/>
      <c r="F412" s="8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34.5" customHeight="1">
      <c r="A413" s="9">
        <v>1.4572491E7</v>
      </c>
      <c r="B413" s="9" t="s">
        <v>38</v>
      </c>
      <c r="C413" s="2"/>
      <c r="D413" s="2"/>
      <c r="E413" s="82"/>
      <c r="F413" s="8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34.5" customHeight="1">
      <c r="A414" s="9">
        <v>1.44048157E8</v>
      </c>
      <c r="B414" s="9" t="s">
        <v>40</v>
      </c>
      <c r="C414" s="2"/>
      <c r="D414" s="2"/>
      <c r="E414" s="82"/>
      <c r="F414" s="8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34.5" customHeight="1">
      <c r="A415" s="9">
        <v>1.36378574E8</v>
      </c>
      <c r="B415" s="9" t="s">
        <v>41</v>
      </c>
      <c r="C415" s="2"/>
      <c r="D415" s="2"/>
      <c r="E415" s="82"/>
      <c r="F415" s="8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34.5" customHeight="1">
      <c r="A416" s="9">
        <v>1.44102873E8</v>
      </c>
      <c r="B416" s="9" t="s">
        <v>50</v>
      </c>
      <c r="C416" s="2"/>
      <c r="D416" s="2"/>
      <c r="E416" s="82"/>
      <c r="F416" s="8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34.5" customHeight="1">
      <c r="A417" s="9">
        <v>2.989016E7</v>
      </c>
      <c r="B417" s="9" t="s">
        <v>54</v>
      </c>
      <c r="C417" s="2"/>
      <c r="D417" s="2"/>
      <c r="E417" s="82"/>
      <c r="F417" s="8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34.5" customHeight="1">
      <c r="A418" s="9">
        <v>1.6683283E8</v>
      </c>
      <c r="B418" s="9" t="s">
        <v>235</v>
      </c>
      <c r="C418" s="2"/>
      <c r="D418" s="2"/>
      <c r="E418" s="82"/>
      <c r="F418" s="8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34.5" customHeight="1">
      <c r="A419" s="9">
        <v>1.71574321E8</v>
      </c>
      <c r="B419" s="9" t="s">
        <v>57</v>
      </c>
      <c r="C419" s="2"/>
      <c r="D419" s="2"/>
      <c r="E419" s="82"/>
      <c r="F419" s="8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34.5" customHeight="1">
      <c r="A420" s="9">
        <v>1.72078991E8</v>
      </c>
      <c r="B420" s="9" t="s">
        <v>58</v>
      </c>
      <c r="C420" s="2"/>
      <c r="D420" s="2"/>
      <c r="E420" s="82"/>
      <c r="F420" s="8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34.5" customHeight="1">
      <c r="A421" s="9">
        <v>1.71701107E8</v>
      </c>
      <c r="B421" s="9" t="s">
        <v>60</v>
      </c>
      <c r="C421" s="2"/>
      <c r="D421" s="2"/>
      <c r="E421" s="82"/>
      <c r="F421" s="8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34.5" customHeight="1">
      <c r="A422" s="9">
        <v>1.43088559E8</v>
      </c>
      <c r="B422" s="9" t="s">
        <v>65</v>
      </c>
      <c r="C422" s="2"/>
      <c r="D422" s="2"/>
      <c r="E422" s="82"/>
      <c r="F422" s="8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34.5" customHeight="1">
      <c r="A423" s="9">
        <v>1.71982346E8</v>
      </c>
      <c r="B423" s="9" t="s">
        <v>67</v>
      </c>
      <c r="C423" s="2"/>
      <c r="D423" s="2"/>
      <c r="E423" s="82"/>
      <c r="F423" s="8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34.5" customHeight="1">
      <c r="A424" s="9">
        <v>1.4406546E8</v>
      </c>
      <c r="B424" s="9" t="s">
        <v>68</v>
      </c>
      <c r="C424" s="2"/>
      <c r="D424" s="2"/>
      <c r="E424" s="82"/>
      <c r="F424" s="8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34.5" customHeight="1">
      <c r="A425" s="9">
        <v>1.71799293E8</v>
      </c>
      <c r="B425" s="9" t="s">
        <v>70</v>
      </c>
      <c r="C425" s="2"/>
      <c r="D425" s="2"/>
      <c r="E425" s="82"/>
      <c r="F425" s="8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34.5" customHeight="1">
      <c r="A426" s="9">
        <v>1.71927851E8</v>
      </c>
      <c r="B426" s="9" t="s">
        <v>71</v>
      </c>
      <c r="C426" s="2"/>
      <c r="D426" s="2"/>
      <c r="E426" s="82"/>
      <c r="F426" s="8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34.5" customHeight="1">
      <c r="A427" s="9">
        <v>1.55534128E8</v>
      </c>
      <c r="B427" s="9" t="s">
        <v>76</v>
      </c>
      <c r="C427" s="2"/>
      <c r="D427" s="2"/>
      <c r="E427" s="82"/>
      <c r="F427" s="8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34.5" customHeight="1">
      <c r="A428" s="9">
        <v>5.524249E7</v>
      </c>
      <c r="B428" s="9" t="s">
        <v>78</v>
      </c>
      <c r="C428" s="2"/>
      <c r="D428" s="2"/>
      <c r="E428" s="82"/>
      <c r="F428" s="8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34.5" customHeight="1">
      <c r="A429" s="9">
        <v>1.69494917E8</v>
      </c>
      <c r="B429" s="9" t="s">
        <v>82</v>
      </c>
      <c r="C429" s="2"/>
      <c r="D429" s="2"/>
      <c r="E429" s="82"/>
      <c r="F429" s="8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34.5" customHeight="1">
      <c r="A430" s="9">
        <v>1.70708608E8</v>
      </c>
      <c r="B430" s="9" t="s">
        <v>84</v>
      </c>
      <c r="C430" s="2"/>
      <c r="D430" s="2"/>
      <c r="E430" s="82"/>
      <c r="F430" s="8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34.5" customHeight="1">
      <c r="A431" s="9">
        <v>1.19051033E8</v>
      </c>
      <c r="B431" s="9" t="s">
        <v>89</v>
      </c>
      <c r="C431" s="2"/>
      <c r="D431" s="2"/>
      <c r="E431" s="82"/>
      <c r="F431" s="8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34.5" customHeight="1">
      <c r="A432" s="9">
        <v>1.71537317E8</v>
      </c>
      <c r="B432" s="9" t="s">
        <v>91</v>
      </c>
      <c r="C432" s="2"/>
      <c r="D432" s="2"/>
      <c r="E432" s="82"/>
      <c r="F432" s="8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34.5" customHeight="1">
      <c r="A433" s="9">
        <v>1.43457511E8</v>
      </c>
      <c r="B433" s="9" t="s">
        <v>103</v>
      </c>
      <c r="C433" s="2"/>
      <c r="D433" s="2"/>
      <c r="E433" s="82"/>
      <c r="F433" s="8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34.5" customHeight="1">
      <c r="A434" s="9">
        <v>1.44010731E8</v>
      </c>
      <c r="B434" s="9" t="s">
        <v>104</v>
      </c>
      <c r="C434" s="2"/>
      <c r="D434" s="2"/>
      <c r="E434" s="82"/>
      <c r="F434" s="8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34.5" customHeight="1">
      <c r="A435" s="9">
        <v>1.63138873E8</v>
      </c>
      <c r="B435" s="9" t="s">
        <v>116</v>
      </c>
      <c r="C435" s="2"/>
      <c r="D435" s="2"/>
      <c r="E435" s="82"/>
      <c r="F435" s="8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34.5" customHeight="1">
      <c r="A436" s="9">
        <v>1.71828804E8</v>
      </c>
      <c r="B436" s="9" t="s">
        <v>118</v>
      </c>
      <c r="C436" s="2"/>
      <c r="D436" s="2"/>
      <c r="E436" s="82"/>
      <c r="F436" s="8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34.5" customHeight="1">
      <c r="A437" s="9">
        <v>1.24796617E8</v>
      </c>
      <c r="B437" s="9" t="s">
        <v>121</v>
      </c>
      <c r="C437" s="2"/>
      <c r="D437" s="2"/>
      <c r="E437" s="82"/>
      <c r="F437" s="8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34.5" customHeight="1">
      <c r="A438" s="9">
        <v>1.66234202E8</v>
      </c>
      <c r="B438" s="9" t="s">
        <v>124</v>
      </c>
      <c r="C438" s="2"/>
      <c r="D438" s="2"/>
      <c r="E438" s="82"/>
      <c r="F438" s="8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34.5" customHeight="1">
      <c r="A439" s="9">
        <v>1.44088316E8</v>
      </c>
      <c r="B439" s="9" t="s">
        <v>125</v>
      </c>
      <c r="C439" s="2"/>
      <c r="D439" s="2"/>
      <c r="E439" s="82"/>
      <c r="F439" s="8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34.5" customHeight="1">
      <c r="A440" s="9">
        <v>1.67863288E8</v>
      </c>
      <c r="B440" s="9" t="s">
        <v>126</v>
      </c>
      <c r="C440" s="2"/>
      <c r="D440" s="2"/>
      <c r="E440" s="82"/>
      <c r="F440" s="8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34.5" customHeight="1">
      <c r="A441" s="9">
        <v>1.70028719E8</v>
      </c>
      <c r="B441" s="9" t="s">
        <v>127</v>
      </c>
      <c r="C441" s="2"/>
      <c r="D441" s="2"/>
      <c r="E441" s="82"/>
      <c r="F441" s="8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34.5" customHeight="1">
      <c r="A442" s="9">
        <v>1.71654758E8</v>
      </c>
      <c r="B442" s="9" t="s">
        <v>128</v>
      </c>
      <c r="C442" s="2"/>
      <c r="D442" s="2"/>
      <c r="E442" s="82"/>
      <c r="F442" s="8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34.5" customHeight="1">
      <c r="A443" s="9">
        <v>1.56007436E8</v>
      </c>
      <c r="B443" s="9" t="s">
        <v>133</v>
      </c>
      <c r="C443" s="2"/>
      <c r="D443" s="2"/>
      <c r="E443" s="82"/>
      <c r="F443" s="8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34.5" customHeight="1">
      <c r="A444" s="9">
        <v>1.44094763E8</v>
      </c>
      <c r="B444" s="9" t="s">
        <v>144</v>
      </c>
      <c r="C444" s="2"/>
      <c r="D444" s="2"/>
      <c r="E444" s="82"/>
      <c r="F444" s="8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34.5" customHeight="1">
      <c r="A445" s="9">
        <v>1.67701301E8</v>
      </c>
      <c r="B445" s="9" t="s">
        <v>146</v>
      </c>
      <c r="C445" s="2"/>
      <c r="D445" s="2"/>
      <c r="E445" s="82"/>
      <c r="F445" s="8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34.5" customHeight="1">
      <c r="A446" s="9">
        <v>1.72029365E8</v>
      </c>
      <c r="B446" s="9" t="s">
        <v>147</v>
      </c>
      <c r="C446" s="2"/>
      <c r="D446" s="2"/>
      <c r="E446" s="82"/>
      <c r="F446" s="8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34.5" customHeight="1">
      <c r="A447" s="9">
        <v>1.68206434E8</v>
      </c>
      <c r="B447" s="9" t="s">
        <v>148</v>
      </c>
      <c r="C447" s="2"/>
      <c r="D447" s="2"/>
      <c r="E447" s="82"/>
      <c r="F447" s="8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34.5" customHeight="1">
      <c r="A448" s="9">
        <v>1.81527216E8</v>
      </c>
      <c r="B448" s="9" t="s">
        <v>149</v>
      </c>
      <c r="C448" s="2"/>
      <c r="D448" s="2"/>
      <c r="E448" s="82"/>
      <c r="F448" s="8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34.5" customHeight="1">
      <c r="A449" s="9">
        <v>1.30281353E8</v>
      </c>
      <c r="B449" s="9" t="s">
        <v>156</v>
      </c>
      <c r="C449" s="2"/>
      <c r="D449" s="2"/>
      <c r="E449" s="82"/>
      <c r="F449" s="8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34.5" customHeight="1">
      <c r="A450" s="9">
        <v>1.73454044E8</v>
      </c>
      <c r="B450" s="9" t="s">
        <v>157</v>
      </c>
      <c r="C450" s="2"/>
      <c r="D450" s="2"/>
      <c r="E450" s="82"/>
      <c r="F450" s="8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34.5" customHeight="1">
      <c r="A451" s="9">
        <v>1.81734011E8</v>
      </c>
      <c r="B451" s="9" t="s">
        <v>158</v>
      </c>
      <c r="C451" s="2"/>
      <c r="D451" s="2"/>
      <c r="E451" s="82"/>
      <c r="F451" s="8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34.5" customHeight="1">
      <c r="A452" s="9">
        <v>4313627.0</v>
      </c>
      <c r="B452" s="9" t="s">
        <v>159</v>
      </c>
      <c r="C452" s="2"/>
      <c r="D452" s="2"/>
      <c r="E452" s="82"/>
      <c r="F452" s="8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34.5" customHeight="1">
      <c r="A453" s="9">
        <v>1.79033453E8</v>
      </c>
      <c r="B453" s="9" t="s">
        <v>160</v>
      </c>
      <c r="C453" s="2"/>
      <c r="D453" s="2"/>
      <c r="E453" s="82"/>
      <c r="F453" s="8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34.5" customHeight="1">
      <c r="A454" s="9">
        <v>1.45815623E8</v>
      </c>
      <c r="B454" s="9" t="s">
        <v>161</v>
      </c>
      <c r="C454" s="2"/>
      <c r="D454" s="2"/>
      <c r="E454" s="82"/>
      <c r="F454" s="8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34.5" customHeight="1">
      <c r="A455" s="9">
        <v>2.9902904E7</v>
      </c>
      <c r="B455" s="9" t="s">
        <v>167</v>
      </c>
      <c r="C455" s="2"/>
      <c r="D455" s="2"/>
      <c r="E455" s="82"/>
      <c r="F455" s="8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34.5" customHeight="1">
      <c r="A456" s="9">
        <v>1.4359506E8</v>
      </c>
      <c r="B456" s="9" t="s">
        <v>168</v>
      </c>
      <c r="C456" s="2"/>
      <c r="D456" s="2"/>
      <c r="E456" s="82"/>
      <c r="F456" s="8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34.5" customHeight="1">
      <c r="A457" s="9">
        <v>1.61551529E8</v>
      </c>
      <c r="B457" s="9" t="s">
        <v>135</v>
      </c>
      <c r="C457" s="2"/>
      <c r="D457" s="2"/>
      <c r="E457" s="82"/>
      <c r="F457" s="8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34.5" customHeight="1">
      <c r="A458" s="35">
        <v>1.1279231E8</v>
      </c>
      <c r="B458" s="35" t="s">
        <v>169</v>
      </c>
      <c r="C458" s="2"/>
      <c r="D458" s="2"/>
      <c r="E458" s="82"/>
      <c r="F458" s="8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34.5" customHeight="1">
      <c r="A459" s="82"/>
      <c r="B459" s="82"/>
      <c r="C459" s="2"/>
      <c r="D459" s="2"/>
      <c r="E459" s="82"/>
      <c r="F459" s="8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34.5" customHeight="1">
      <c r="A460" s="82"/>
      <c r="B460" s="82"/>
      <c r="C460" s="2"/>
      <c r="D460" s="2"/>
      <c r="E460" s="82"/>
      <c r="F460" s="8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34.5" customHeight="1">
      <c r="A461" s="83" t="s">
        <v>236</v>
      </c>
      <c r="C461" s="2"/>
      <c r="D461" s="2"/>
      <c r="E461" s="90" t="s">
        <v>237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34.5" customHeight="1">
      <c r="A462" s="82"/>
      <c r="B462" s="82"/>
      <c r="C462" s="2"/>
      <c r="D462" s="2"/>
      <c r="E462" s="82"/>
      <c r="F462" s="8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34.5" customHeight="1">
      <c r="A463" s="82"/>
      <c r="B463" s="82"/>
      <c r="C463" s="2"/>
      <c r="D463" s="2"/>
      <c r="E463" s="23" t="s">
        <v>8</v>
      </c>
      <c r="F463" s="23" t="s">
        <v>207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34.5" customHeight="1">
      <c r="A464" s="23" t="s">
        <v>8</v>
      </c>
      <c r="B464" s="23" t="s">
        <v>207</v>
      </c>
      <c r="C464" s="2"/>
      <c r="D464" s="2"/>
      <c r="E464" s="23">
        <v>1.71604682E8</v>
      </c>
      <c r="F464" s="23" t="s">
        <v>17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34.5" customHeight="1">
      <c r="A465" s="23">
        <v>1.45408006E8</v>
      </c>
      <c r="B465" s="23" t="s">
        <v>22</v>
      </c>
      <c r="C465" s="2"/>
      <c r="D465" s="2"/>
      <c r="E465" s="23">
        <v>1.71934536E8</v>
      </c>
      <c r="F465" s="23" t="s">
        <v>25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34.5" customHeight="1">
      <c r="A466" s="23">
        <v>6.3222201E7</v>
      </c>
      <c r="B466" s="23" t="s">
        <v>23</v>
      </c>
      <c r="C466" s="2"/>
      <c r="D466" s="2"/>
      <c r="E466" s="23">
        <v>6.2691192E7</v>
      </c>
      <c r="F466" s="23" t="s">
        <v>27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34.5" customHeight="1">
      <c r="A467" s="23">
        <v>6.4010776E7</v>
      </c>
      <c r="B467" s="23" t="s">
        <v>24</v>
      </c>
      <c r="C467" s="2"/>
      <c r="D467" s="2"/>
      <c r="E467" s="23">
        <v>6.2576249E7</v>
      </c>
      <c r="F467" s="23" t="s">
        <v>29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34.5" customHeight="1">
      <c r="A468" s="23">
        <v>1.15125159E8</v>
      </c>
      <c r="B468" s="23" t="s">
        <v>26</v>
      </c>
      <c r="C468" s="2"/>
      <c r="D468" s="2"/>
      <c r="E468" s="23">
        <v>1.71879011E8</v>
      </c>
      <c r="F468" s="23" t="s">
        <v>33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34.5" customHeight="1">
      <c r="A469" s="23">
        <v>1.44060837E8</v>
      </c>
      <c r="B469" s="23" t="s">
        <v>28</v>
      </c>
      <c r="C469" s="2"/>
      <c r="D469" s="2"/>
      <c r="E469" s="23">
        <v>1.71503078E8</v>
      </c>
      <c r="F469" s="23" t="s">
        <v>43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34.5" customHeight="1">
      <c r="A470" s="23">
        <v>8.693627E7</v>
      </c>
      <c r="B470" s="23" t="s">
        <v>30</v>
      </c>
      <c r="C470" s="2"/>
      <c r="D470" s="2"/>
      <c r="E470" s="23">
        <v>1.71798243E8</v>
      </c>
      <c r="F470" s="23" t="s">
        <v>44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34.5" customHeight="1">
      <c r="A471" s="23">
        <v>1.3871553E8</v>
      </c>
      <c r="B471" s="23" t="s">
        <v>31</v>
      </c>
      <c r="C471" s="2"/>
      <c r="D471" s="2"/>
      <c r="E471" s="23">
        <v>1.71983336E8</v>
      </c>
      <c r="F471" s="23" t="s">
        <v>46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34.5" customHeight="1">
      <c r="A472" s="23">
        <v>6.3168658E7</v>
      </c>
      <c r="B472" s="23" t="s">
        <v>32</v>
      </c>
      <c r="C472" s="2"/>
      <c r="D472" s="2"/>
      <c r="E472" s="23">
        <v>1.45056169E8</v>
      </c>
      <c r="F472" s="23" t="s">
        <v>47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34.5" customHeight="1">
      <c r="A473" s="23">
        <v>1.46164713E8</v>
      </c>
      <c r="B473" s="23" t="s">
        <v>34</v>
      </c>
      <c r="C473" s="2"/>
      <c r="D473" s="2"/>
      <c r="E473" s="23">
        <v>1.69446634E8</v>
      </c>
      <c r="F473" s="23" t="s">
        <v>49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34.5" customHeight="1">
      <c r="A474" s="23">
        <v>7.1152824E7</v>
      </c>
      <c r="B474" s="23" t="s">
        <v>35</v>
      </c>
      <c r="C474" s="2"/>
      <c r="D474" s="2"/>
      <c r="E474" s="23">
        <v>1.44102873E8</v>
      </c>
      <c r="F474" s="23" t="s">
        <v>50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34.5" customHeight="1">
      <c r="A475" s="23">
        <v>1.1409556E7</v>
      </c>
      <c r="B475" s="23" t="s">
        <v>36</v>
      </c>
      <c r="C475" s="2"/>
      <c r="D475" s="2"/>
      <c r="E475" s="23">
        <v>1.44049878E8</v>
      </c>
      <c r="F475" s="23" t="s">
        <v>51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34.5" customHeight="1">
      <c r="A476" s="23">
        <v>1.44109282E8</v>
      </c>
      <c r="B476" s="23" t="s">
        <v>39</v>
      </c>
      <c r="C476" s="2"/>
      <c r="D476" s="2"/>
      <c r="E476" s="23">
        <v>2.989016E7</v>
      </c>
      <c r="F476" s="23" t="s">
        <v>54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34.5" customHeight="1">
      <c r="A477" s="23">
        <v>1.44048157E8</v>
      </c>
      <c r="B477" s="23" t="s">
        <v>40</v>
      </c>
      <c r="C477" s="2"/>
      <c r="D477" s="2"/>
      <c r="E477" s="23">
        <v>1.71491377E8</v>
      </c>
      <c r="F477" s="23" t="s">
        <v>59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34.5" customHeight="1">
      <c r="A478" s="23">
        <v>1.36378574E8</v>
      </c>
      <c r="B478" s="23" t="s">
        <v>41</v>
      </c>
      <c r="C478" s="2"/>
      <c r="D478" s="2"/>
      <c r="E478" s="23">
        <v>1.4406546E8</v>
      </c>
      <c r="F478" s="23" t="s">
        <v>68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34.5" customHeight="1">
      <c r="A479" s="23">
        <v>1.71827401E8</v>
      </c>
      <c r="B479" s="23" t="s">
        <v>42</v>
      </c>
      <c r="C479" s="2"/>
      <c r="D479" s="2"/>
      <c r="E479" s="23">
        <v>1.71799293E8</v>
      </c>
      <c r="F479" s="23" t="s">
        <v>70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34.5" customHeight="1">
      <c r="A480" s="23">
        <v>1.40009179E8</v>
      </c>
      <c r="B480" s="23" t="s">
        <v>45</v>
      </c>
      <c r="C480" s="2"/>
      <c r="D480" s="2"/>
      <c r="E480" s="23">
        <v>1.71927851E8</v>
      </c>
      <c r="F480" s="23" t="s">
        <v>71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34.5" customHeight="1">
      <c r="A481" s="23">
        <v>1.71574321E8</v>
      </c>
      <c r="B481" s="23" t="s">
        <v>57</v>
      </c>
      <c r="C481" s="2"/>
      <c r="D481" s="2"/>
      <c r="E481" s="23">
        <v>1915332.0</v>
      </c>
      <c r="F481" s="23" t="s">
        <v>72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34.5" customHeight="1">
      <c r="A482" s="23">
        <v>1.72078991E8</v>
      </c>
      <c r="B482" s="23" t="s">
        <v>58</v>
      </c>
      <c r="C482" s="2"/>
      <c r="D482" s="2"/>
      <c r="E482" s="23">
        <v>1.55415774E8</v>
      </c>
      <c r="F482" s="23" t="s">
        <v>73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34.5" customHeight="1">
      <c r="A483" s="23">
        <v>1.71701107E8</v>
      </c>
      <c r="B483" s="23" t="s">
        <v>60</v>
      </c>
      <c r="C483" s="2"/>
      <c r="D483" s="2"/>
      <c r="E483" s="23">
        <v>1.38752108E8</v>
      </c>
      <c r="F483" s="23" t="s">
        <v>74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34.5" customHeight="1">
      <c r="A484" s="23">
        <v>1.4499E8</v>
      </c>
      <c r="B484" s="23" t="s">
        <v>61</v>
      </c>
      <c r="C484" s="2"/>
      <c r="D484" s="2"/>
      <c r="E484" s="23">
        <v>1.72041454E8</v>
      </c>
      <c r="F484" s="23" t="s">
        <v>75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34.5" customHeight="1">
      <c r="A485" s="23">
        <v>1.70866748E8</v>
      </c>
      <c r="B485" s="23" t="s">
        <v>62</v>
      </c>
      <c r="C485" s="2"/>
      <c r="D485" s="2"/>
      <c r="E485" s="23">
        <v>1.72033754E8</v>
      </c>
      <c r="F485" s="23" t="s">
        <v>79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34.5" customHeight="1">
      <c r="A486" s="23">
        <v>1.71355737E8</v>
      </c>
      <c r="B486" s="23" t="s">
        <v>238</v>
      </c>
      <c r="C486" s="2"/>
      <c r="D486" s="2"/>
      <c r="E486" s="23">
        <v>1.14506674E8</v>
      </c>
      <c r="F486" s="23" t="s">
        <v>80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34.5" customHeight="1">
      <c r="A487" s="23">
        <v>1.71972257E8</v>
      </c>
      <c r="B487" s="23" t="s">
        <v>66</v>
      </c>
      <c r="C487" s="2"/>
      <c r="D487" s="2"/>
      <c r="E487" s="23">
        <v>1.69494917E8</v>
      </c>
      <c r="F487" s="23" t="s">
        <v>82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34.5" customHeight="1">
      <c r="A488" s="23">
        <v>1.71982346E8</v>
      </c>
      <c r="B488" s="23" t="s">
        <v>67</v>
      </c>
      <c r="C488" s="2"/>
      <c r="D488" s="2"/>
      <c r="E488" s="23">
        <v>1.70708608E8</v>
      </c>
      <c r="F488" s="23" t="s">
        <v>84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34.5" customHeight="1">
      <c r="A489" s="23">
        <v>1.68839111E8</v>
      </c>
      <c r="B489" s="23" t="s">
        <v>69</v>
      </c>
      <c r="C489" s="2"/>
      <c r="D489" s="2"/>
      <c r="E489" s="23">
        <v>1.53857025E8</v>
      </c>
      <c r="F489" s="23" t="s">
        <v>86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34.5" customHeight="1">
      <c r="A490" s="23">
        <v>1.7160984E8</v>
      </c>
      <c r="B490" s="23" t="s">
        <v>77</v>
      </c>
      <c r="C490" s="2"/>
      <c r="D490" s="2"/>
      <c r="E490" s="23">
        <v>1.71753933E8</v>
      </c>
      <c r="F490" s="23" t="s">
        <v>87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34.5" customHeight="1">
      <c r="A491" s="23">
        <v>5.524249E7</v>
      </c>
      <c r="B491" s="23" t="s">
        <v>78</v>
      </c>
      <c r="C491" s="2"/>
      <c r="D491" s="2"/>
      <c r="E491" s="23">
        <v>1.71209025E8</v>
      </c>
      <c r="F491" s="23" t="s">
        <v>88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34.5" customHeight="1">
      <c r="A492" s="23">
        <v>1.72021868E8</v>
      </c>
      <c r="B492" s="23" t="s">
        <v>81</v>
      </c>
      <c r="C492" s="2"/>
      <c r="D492" s="2"/>
      <c r="E492" s="23">
        <v>1.19051033E8</v>
      </c>
      <c r="F492" s="23" t="s">
        <v>89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34.5" customHeight="1">
      <c r="A493" s="23">
        <v>1.71358436E8</v>
      </c>
      <c r="B493" s="23" t="s">
        <v>85</v>
      </c>
      <c r="C493" s="2"/>
      <c r="D493" s="2"/>
      <c r="E493" s="23">
        <v>1.70972148E8</v>
      </c>
      <c r="F493" s="23" t="s">
        <v>94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34.5" customHeight="1">
      <c r="A494" s="23">
        <v>1.71806191E8</v>
      </c>
      <c r="B494" s="23" t="s">
        <v>90</v>
      </c>
      <c r="C494" s="2"/>
      <c r="D494" s="2"/>
      <c r="E494" s="23">
        <v>1.51360763E8</v>
      </c>
      <c r="F494" s="23" t="s">
        <v>96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34.5" customHeight="1">
      <c r="A495" s="23">
        <v>1.71537317E8</v>
      </c>
      <c r="B495" s="23" t="s">
        <v>91</v>
      </c>
      <c r="C495" s="2"/>
      <c r="D495" s="2"/>
      <c r="E495" s="23">
        <v>1.4504414E8</v>
      </c>
      <c r="F495" s="23" t="s">
        <v>97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34.5" customHeight="1">
      <c r="A496" s="23">
        <v>1.44684719E8</v>
      </c>
      <c r="B496" s="23" t="s">
        <v>92</v>
      </c>
      <c r="C496" s="2"/>
      <c r="D496" s="2"/>
      <c r="E496" s="23">
        <v>1.71858863E8</v>
      </c>
      <c r="F496" s="23" t="s">
        <v>98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34.5" customHeight="1">
      <c r="A497" s="23">
        <v>1.39292614E8</v>
      </c>
      <c r="B497" s="23" t="s">
        <v>239</v>
      </c>
      <c r="C497" s="2"/>
      <c r="D497" s="2"/>
      <c r="E497" s="23">
        <v>1.70728362E8</v>
      </c>
      <c r="F497" s="23" t="s">
        <v>99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34.5" customHeight="1">
      <c r="A498" s="23">
        <v>1.71679053E8</v>
      </c>
      <c r="B498" s="23" t="s">
        <v>101</v>
      </c>
      <c r="C498" s="2"/>
      <c r="D498" s="2"/>
      <c r="E498" s="23">
        <v>1.71910225E8</v>
      </c>
      <c r="F498" s="23" t="s">
        <v>100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34.5" customHeight="1">
      <c r="A499" s="23">
        <v>1.43457511E8</v>
      </c>
      <c r="B499" s="23" t="s">
        <v>103</v>
      </c>
      <c r="C499" s="2"/>
      <c r="D499" s="2"/>
      <c r="E499" s="23">
        <v>1.66110884E8</v>
      </c>
      <c r="F499" s="23" t="s">
        <v>109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34.5" customHeight="1">
      <c r="A500" s="23">
        <v>1.44010731E8</v>
      </c>
      <c r="B500" s="23" t="s">
        <v>104</v>
      </c>
      <c r="C500" s="2"/>
      <c r="D500" s="2"/>
      <c r="E500" s="23">
        <v>1.4461836E8</v>
      </c>
      <c r="F500" s="23" t="s">
        <v>112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34.5" customHeight="1">
      <c r="A501" s="23">
        <v>4.9509851E7</v>
      </c>
      <c r="B501" s="23" t="s">
        <v>105</v>
      </c>
      <c r="C501" s="2"/>
      <c r="D501" s="2"/>
      <c r="E501" s="23">
        <v>1.68025153E8</v>
      </c>
      <c r="F501" s="23" t="s">
        <v>115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34.5" customHeight="1">
      <c r="A502" s="23">
        <v>1.44064126E8</v>
      </c>
      <c r="B502" s="23" t="s">
        <v>106</v>
      </c>
      <c r="C502" s="2"/>
      <c r="D502" s="2"/>
      <c r="E502" s="23">
        <v>1.71828804E8</v>
      </c>
      <c r="F502" s="23" t="s">
        <v>118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34.5" customHeight="1">
      <c r="A503" s="23">
        <v>1.71805508E8</v>
      </c>
      <c r="B503" s="23" t="s">
        <v>107</v>
      </c>
      <c r="C503" s="2"/>
      <c r="D503" s="2"/>
      <c r="E503" s="23">
        <v>1.45033056E8</v>
      </c>
      <c r="F503" s="23" t="s">
        <v>119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34.5" customHeight="1">
      <c r="A504" s="23">
        <v>1.45008495E8</v>
      </c>
      <c r="B504" s="23" t="s">
        <v>108</v>
      </c>
      <c r="C504" s="2"/>
      <c r="D504" s="2"/>
      <c r="E504" s="23">
        <v>1.24796617E8</v>
      </c>
      <c r="F504" s="23" t="s">
        <v>121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34.5" customHeight="1">
      <c r="A505" s="23">
        <v>1.71807229E8</v>
      </c>
      <c r="B505" s="23" t="s">
        <v>110</v>
      </c>
      <c r="C505" s="2"/>
      <c r="D505" s="2"/>
      <c r="E505" s="23">
        <v>1.72015122E8</v>
      </c>
      <c r="F505" s="23" t="s">
        <v>240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34.5" customHeight="1">
      <c r="A506" s="23">
        <v>1.44043573E8</v>
      </c>
      <c r="B506" s="23" t="s">
        <v>111</v>
      </c>
      <c r="C506" s="2"/>
      <c r="D506" s="2"/>
      <c r="E506" s="23">
        <v>1.44088316E8</v>
      </c>
      <c r="F506" s="23" t="s">
        <v>125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34.5" customHeight="1">
      <c r="A507" s="23">
        <v>8.8110635E7</v>
      </c>
      <c r="B507" s="23" t="s">
        <v>114</v>
      </c>
      <c r="C507" s="2"/>
      <c r="D507" s="2"/>
      <c r="E507" s="23">
        <v>1.71654758E8</v>
      </c>
      <c r="F507" s="23" t="s">
        <v>128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34.5" customHeight="1">
      <c r="A508" s="23">
        <v>1.63138873E8</v>
      </c>
      <c r="B508" s="23" t="s">
        <v>116</v>
      </c>
      <c r="C508" s="2"/>
      <c r="D508" s="2"/>
      <c r="E508" s="23">
        <v>1.77187021E8</v>
      </c>
      <c r="F508" s="23" t="s">
        <v>131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34.5" customHeight="1">
      <c r="A509" s="23">
        <v>1.71825014E8</v>
      </c>
      <c r="B509" s="23" t="s">
        <v>117</v>
      </c>
      <c r="C509" s="2"/>
      <c r="D509" s="2"/>
      <c r="E509" s="23">
        <v>1.75551858E8</v>
      </c>
      <c r="F509" s="23" t="s">
        <v>132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34.5" customHeight="1">
      <c r="A510" s="23">
        <v>1.72031022E8</v>
      </c>
      <c r="B510" s="23" t="s">
        <v>123</v>
      </c>
      <c r="C510" s="2"/>
      <c r="D510" s="2"/>
      <c r="E510" s="23">
        <v>1.4405151E8</v>
      </c>
      <c r="F510" s="23" t="s">
        <v>134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34.5" customHeight="1">
      <c r="A511" s="23">
        <v>1.70028719E8</v>
      </c>
      <c r="B511" s="23" t="s">
        <v>127</v>
      </c>
      <c r="C511" s="2"/>
      <c r="D511" s="2"/>
      <c r="E511" s="23">
        <v>1.45023737E8</v>
      </c>
      <c r="F511" s="23" t="s">
        <v>136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34.5" customHeight="1">
      <c r="A512" s="23">
        <v>1.71985458E8</v>
      </c>
      <c r="B512" s="23" t="s">
        <v>129</v>
      </c>
      <c r="C512" s="2"/>
      <c r="D512" s="2"/>
      <c r="E512" s="23">
        <v>1.76044158E8</v>
      </c>
      <c r="F512" s="23" t="s">
        <v>137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34.5" customHeight="1">
      <c r="A513" s="23">
        <v>1.68091444E8</v>
      </c>
      <c r="B513" s="23" t="s">
        <v>130</v>
      </c>
      <c r="C513" s="2"/>
      <c r="D513" s="2"/>
      <c r="E513" s="23">
        <v>1.72008118E8</v>
      </c>
      <c r="F513" s="23" t="s">
        <v>141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34.5" customHeight="1">
      <c r="A514" s="23">
        <v>1.56007436E8</v>
      </c>
      <c r="B514" s="23" t="s">
        <v>133</v>
      </c>
      <c r="C514" s="2"/>
      <c r="D514" s="2"/>
      <c r="E514" s="23">
        <v>1.4361245E8</v>
      </c>
      <c r="F514" s="23" t="s">
        <v>142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34.5" customHeight="1">
      <c r="A515" s="23">
        <v>1.44094763E8</v>
      </c>
      <c r="B515" s="23" t="s">
        <v>144</v>
      </c>
      <c r="C515" s="2"/>
      <c r="D515" s="2"/>
      <c r="E515" s="23">
        <v>1.71697263E8</v>
      </c>
      <c r="F515" s="23" t="s">
        <v>143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34.5" customHeight="1">
      <c r="A516" s="23">
        <v>6.2125268E7</v>
      </c>
      <c r="B516" s="23" t="s">
        <v>145</v>
      </c>
      <c r="C516" s="2"/>
      <c r="D516" s="2"/>
      <c r="E516" s="23">
        <v>1.67701301E8</v>
      </c>
      <c r="F516" s="23" t="s">
        <v>146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34.5" customHeight="1">
      <c r="A517" s="23">
        <v>1.81527216E8</v>
      </c>
      <c r="B517" s="23" t="s">
        <v>149</v>
      </c>
      <c r="C517" s="2"/>
      <c r="D517" s="2"/>
      <c r="E517" s="23">
        <v>1.72029365E8</v>
      </c>
      <c r="F517" s="23" t="s">
        <v>147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34.5" customHeight="1">
      <c r="A518" s="23">
        <v>1.60258193E8</v>
      </c>
      <c r="B518" s="23" t="s">
        <v>152</v>
      </c>
      <c r="C518" s="2"/>
      <c r="D518" s="2"/>
      <c r="E518" s="23">
        <v>1.68206434E8</v>
      </c>
      <c r="F518" s="23" t="s">
        <v>148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34.5" customHeight="1">
      <c r="A519" s="23">
        <v>1.72219261E8</v>
      </c>
      <c r="B519" s="23" t="s">
        <v>153</v>
      </c>
      <c r="C519" s="2"/>
      <c r="D519" s="2"/>
      <c r="E519" s="23">
        <v>1.71922856E8</v>
      </c>
      <c r="F519" s="23" t="s">
        <v>150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34.5" customHeight="1">
      <c r="A520" s="23">
        <v>1.69953509E8</v>
      </c>
      <c r="B520" s="23" t="s">
        <v>154</v>
      </c>
      <c r="C520" s="2"/>
      <c r="D520" s="2"/>
      <c r="E520" s="23">
        <v>1.71830779E8</v>
      </c>
      <c r="F520" s="23" t="s">
        <v>151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34.5" customHeight="1">
      <c r="A521" s="23">
        <v>1.75314255E8</v>
      </c>
      <c r="B521" s="23" t="s">
        <v>155</v>
      </c>
      <c r="C521" s="2"/>
      <c r="D521" s="2"/>
      <c r="E521" s="23">
        <v>1.30281353E8</v>
      </c>
      <c r="F521" s="23" t="s">
        <v>156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34.5" customHeight="1">
      <c r="A522" s="23">
        <v>1.73454044E8</v>
      </c>
      <c r="B522" s="23" t="s">
        <v>157</v>
      </c>
      <c r="C522" s="2"/>
      <c r="D522" s="2"/>
      <c r="E522" s="23">
        <v>1.45815623E8</v>
      </c>
      <c r="F522" s="23" t="s">
        <v>161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34.5" customHeight="1">
      <c r="A523" s="23">
        <v>1.81734011E8</v>
      </c>
      <c r="B523" s="23" t="s">
        <v>158</v>
      </c>
      <c r="C523" s="2"/>
      <c r="D523" s="2"/>
      <c r="E523" s="23">
        <v>7.1613822E7</v>
      </c>
      <c r="F523" s="23" t="s">
        <v>162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34.5" customHeight="1">
      <c r="A524" s="23">
        <v>1.79033453E8</v>
      </c>
      <c r="B524" s="23" t="s">
        <v>160</v>
      </c>
      <c r="C524" s="2"/>
      <c r="D524" s="2"/>
      <c r="E524" s="23">
        <v>2.9902904E7</v>
      </c>
      <c r="F524" s="23" t="s">
        <v>167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34.5" customHeight="1">
      <c r="A525" s="23">
        <v>1.50027113E8</v>
      </c>
      <c r="B525" s="23" t="s">
        <v>163</v>
      </c>
      <c r="C525" s="2"/>
      <c r="D525" s="2"/>
      <c r="E525" s="89">
        <v>1.1279231E8</v>
      </c>
      <c r="F525" s="89" t="s">
        <v>169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91">
        <v>1.43328412E8</v>
      </c>
      <c r="B526" s="91" t="s">
        <v>166</v>
      </c>
      <c r="C526" s="2"/>
      <c r="D526" s="2"/>
      <c r="E526" s="82"/>
      <c r="F526" s="8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3">
        <v>1.4359506E8</v>
      </c>
      <c r="B527" s="23" t="s">
        <v>168</v>
      </c>
      <c r="C527" s="2"/>
      <c r="D527" s="2"/>
      <c r="E527" s="82"/>
      <c r="F527" s="8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82"/>
      <c r="B528" s="82"/>
      <c r="C528" s="2"/>
      <c r="D528" s="2"/>
      <c r="E528" s="82"/>
      <c r="F528" s="8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82"/>
      <c r="B529" s="82"/>
      <c r="C529" s="2"/>
      <c r="D529" s="2"/>
      <c r="E529" s="90" t="s">
        <v>241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83" t="s">
        <v>242</v>
      </c>
      <c r="C530" s="2"/>
      <c r="D530" s="2"/>
      <c r="E530" s="92"/>
      <c r="F530" s="9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92"/>
      <c r="B531" s="92"/>
      <c r="C531" s="2"/>
      <c r="D531" s="2"/>
      <c r="E531" s="8" t="s">
        <v>8</v>
      </c>
      <c r="F531" s="8" t="s">
        <v>207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92"/>
      <c r="B532" s="92"/>
      <c r="C532" s="2"/>
      <c r="D532" s="2"/>
      <c r="E532" s="8">
        <v>1.71604682E8</v>
      </c>
      <c r="F532" s="8" t="s">
        <v>17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8" t="s">
        <v>8</v>
      </c>
      <c r="B533" s="8" t="s">
        <v>207</v>
      </c>
      <c r="C533" s="2"/>
      <c r="D533" s="2"/>
      <c r="E533" s="8">
        <v>1.67637163E8</v>
      </c>
      <c r="F533" s="8" t="s">
        <v>19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8">
        <v>1.45408006E8</v>
      </c>
      <c r="B534" s="8" t="s">
        <v>22</v>
      </c>
      <c r="C534" s="2"/>
      <c r="D534" s="2"/>
      <c r="E534" s="8">
        <v>6.2691192E7</v>
      </c>
      <c r="F534" s="8" t="s">
        <v>27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8">
        <v>6.3222201E7</v>
      </c>
      <c r="B535" s="8" t="s">
        <v>23</v>
      </c>
      <c r="C535" s="2"/>
      <c r="D535" s="2"/>
      <c r="E535" s="8">
        <v>1.44060837E8</v>
      </c>
      <c r="F535" s="8" t="s">
        <v>28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8">
        <v>6.4010776E7</v>
      </c>
      <c r="B536" s="8" t="s">
        <v>24</v>
      </c>
      <c r="C536" s="2"/>
      <c r="D536" s="2"/>
      <c r="E536" s="8">
        <v>6.2576249E7</v>
      </c>
      <c r="F536" s="8" t="s">
        <v>29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8">
        <v>1.71934536E8</v>
      </c>
      <c r="B537" s="8" t="s">
        <v>25</v>
      </c>
      <c r="C537" s="2"/>
      <c r="D537" s="2"/>
      <c r="E537" s="8">
        <v>1.3871553E8</v>
      </c>
      <c r="F537" s="8" t="s">
        <v>31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8">
        <v>1.15125159E8</v>
      </c>
      <c r="B538" s="8" t="s">
        <v>26</v>
      </c>
      <c r="C538" s="2"/>
      <c r="D538" s="2"/>
      <c r="E538" s="8">
        <v>1.71879011E8</v>
      </c>
      <c r="F538" s="8" t="s">
        <v>33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8">
        <v>8.693627E7</v>
      </c>
      <c r="B539" s="8" t="s">
        <v>30</v>
      </c>
      <c r="C539" s="2"/>
      <c r="D539" s="2"/>
      <c r="E539" s="8">
        <v>1.44109282E8</v>
      </c>
      <c r="F539" s="8" t="s">
        <v>39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8">
        <v>6.3168658E7</v>
      </c>
      <c r="B540" s="8" t="s">
        <v>32</v>
      </c>
      <c r="C540" s="2"/>
      <c r="D540" s="2"/>
      <c r="E540" s="8">
        <v>1.71503078E8</v>
      </c>
      <c r="F540" s="8" t="s">
        <v>43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8">
        <v>1.46164713E8</v>
      </c>
      <c r="B541" s="8" t="s">
        <v>34</v>
      </c>
      <c r="C541" s="2"/>
      <c r="D541" s="2"/>
      <c r="E541" s="8">
        <v>1.71798243E8</v>
      </c>
      <c r="F541" s="8" t="s">
        <v>44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8">
        <v>1.1409556E7</v>
      </c>
      <c r="B542" s="8" t="s">
        <v>36</v>
      </c>
      <c r="C542" s="2"/>
      <c r="D542" s="2"/>
      <c r="E542" s="8">
        <v>1.71983336E8</v>
      </c>
      <c r="F542" s="8" t="s">
        <v>46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8">
        <v>1.44048157E8</v>
      </c>
      <c r="B543" s="8" t="s">
        <v>40</v>
      </c>
      <c r="C543" s="2"/>
      <c r="D543" s="2"/>
      <c r="E543" s="8">
        <v>1.45056169E8</v>
      </c>
      <c r="F543" s="8" t="s">
        <v>47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8">
        <v>1.36378574E8</v>
      </c>
      <c r="B544" s="8" t="s">
        <v>41</v>
      </c>
      <c r="C544" s="2"/>
      <c r="D544" s="2"/>
      <c r="E544" s="8">
        <v>1.20029911E8</v>
      </c>
      <c r="F544" s="8" t="s">
        <v>200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8">
        <v>1.71827401E8</v>
      </c>
      <c r="B545" s="8" t="s">
        <v>42</v>
      </c>
      <c r="C545" s="2"/>
      <c r="D545" s="2"/>
      <c r="E545" s="8">
        <v>1.44102873E8</v>
      </c>
      <c r="F545" s="8" t="s">
        <v>50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8">
        <v>1.40009179E8</v>
      </c>
      <c r="B546" s="8" t="s">
        <v>45</v>
      </c>
      <c r="C546" s="2"/>
      <c r="D546" s="2"/>
      <c r="E546" s="8">
        <v>1.44049878E8</v>
      </c>
      <c r="F546" s="8" t="s">
        <v>51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8">
        <v>2.989016E7</v>
      </c>
      <c r="B547" s="8" t="s">
        <v>54</v>
      </c>
      <c r="C547" s="2"/>
      <c r="D547" s="2"/>
      <c r="E547" s="8">
        <v>1.71491377E8</v>
      </c>
      <c r="F547" s="8" t="s">
        <v>59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8">
        <v>1.6683283E8</v>
      </c>
      <c r="B548" s="8" t="s">
        <v>235</v>
      </c>
      <c r="C548" s="2"/>
      <c r="D548" s="2"/>
      <c r="E548" s="8">
        <v>1.71701107E8</v>
      </c>
      <c r="F548" s="8" t="s">
        <v>60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8">
        <v>1.71574321E8</v>
      </c>
      <c r="B549" s="8" t="s">
        <v>57</v>
      </c>
      <c r="C549" s="2"/>
      <c r="D549" s="2"/>
      <c r="E549" s="8">
        <v>1.4499E8</v>
      </c>
      <c r="F549" s="8" t="s">
        <v>61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8">
        <v>1.72078991E8</v>
      </c>
      <c r="B550" s="8" t="s">
        <v>58</v>
      </c>
      <c r="C550" s="2"/>
      <c r="D550" s="2"/>
      <c r="E550" s="8">
        <v>1.70866748E8</v>
      </c>
      <c r="F550" s="8" t="s">
        <v>62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8">
        <v>1.71355737E8</v>
      </c>
      <c r="B551" s="8" t="s">
        <v>238</v>
      </c>
      <c r="C551" s="2"/>
      <c r="D551" s="2"/>
      <c r="E551" s="8">
        <v>1.43088559E8</v>
      </c>
      <c r="F551" s="8" t="s">
        <v>65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8">
        <v>1.71972257E8</v>
      </c>
      <c r="B552" s="8" t="s">
        <v>66</v>
      </c>
      <c r="C552" s="2"/>
      <c r="D552" s="2"/>
      <c r="E552" s="8">
        <v>1.4406546E8</v>
      </c>
      <c r="F552" s="8" t="s">
        <v>68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8">
        <v>1.71982346E8</v>
      </c>
      <c r="B553" s="8" t="s">
        <v>67</v>
      </c>
      <c r="C553" s="2"/>
      <c r="D553" s="2"/>
      <c r="E553" s="8">
        <v>1.71927851E8</v>
      </c>
      <c r="F553" s="8" t="s">
        <v>71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8">
        <v>1.68839111E8</v>
      </c>
      <c r="B554" s="8" t="s">
        <v>69</v>
      </c>
      <c r="C554" s="2"/>
      <c r="D554" s="2"/>
      <c r="E554" s="8">
        <v>1915332.0</v>
      </c>
      <c r="F554" s="8" t="s">
        <v>72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8">
        <v>1.71799293E8</v>
      </c>
      <c r="B555" s="8" t="s">
        <v>70</v>
      </c>
      <c r="C555" s="2"/>
      <c r="D555" s="2"/>
      <c r="E555" s="8">
        <v>1.55415774E8</v>
      </c>
      <c r="F555" s="8" t="s">
        <v>73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8">
        <v>1.7160984E8</v>
      </c>
      <c r="B556" s="8" t="s">
        <v>77</v>
      </c>
      <c r="C556" s="2"/>
      <c r="D556" s="2"/>
      <c r="E556" s="8">
        <v>1.38752108E8</v>
      </c>
      <c r="F556" s="8" t="s">
        <v>74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8">
        <v>1.71537317E8</v>
      </c>
      <c r="B557" s="8" t="s">
        <v>91</v>
      </c>
      <c r="C557" s="2"/>
      <c r="D557" s="2"/>
      <c r="E557" s="8">
        <v>1.72041454E8</v>
      </c>
      <c r="F557" s="8" t="s">
        <v>75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8">
        <v>1.39292614E8</v>
      </c>
      <c r="B558" s="8" t="s">
        <v>239</v>
      </c>
      <c r="C558" s="2"/>
      <c r="D558" s="2"/>
      <c r="E558" s="8">
        <v>5.524249E7</v>
      </c>
      <c r="F558" s="8" t="s">
        <v>78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8">
        <v>1.43457511E8</v>
      </c>
      <c r="B559" s="8" t="s">
        <v>103</v>
      </c>
      <c r="C559" s="2"/>
      <c r="D559" s="2"/>
      <c r="E559" s="8">
        <v>1.72033754E8</v>
      </c>
      <c r="F559" s="8" t="s">
        <v>79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8">
        <v>4.9509851E7</v>
      </c>
      <c r="B560" s="8" t="s">
        <v>105</v>
      </c>
      <c r="C560" s="2"/>
      <c r="D560" s="2"/>
      <c r="E560" s="8">
        <v>1.14506674E8</v>
      </c>
      <c r="F560" s="8" t="s">
        <v>80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8">
        <v>1.44064126E8</v>
      </c>
      <c r="B561" s="8" t="s">
        <v>106</v>
      </c>
      <c r="C561" s="2"/>
      <c r="D561" s="2"/>
      <c r="E561" s="8">
        <v>1.72021868E8</v>
      </c>
      <c r="F561" s="8" t="s">
        <v>81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8">
        <v>1.71805508E8</v>
      </c>
      <c r="B562" s="8" t="s">
        <v>107</v>
      </c>
      <c r="C562" s="2"/>
      <c r="D562" s="2"/>
      <c r="E562" s="8">
        <v>1.70708608E8</v>
      </c>
      <c r="F562" s="8" t="s">
        <v>84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8">
        <v>1.45008495E8</v>
      </c>
      <c r="B563" s="8" t="s">
        <v>108</v>
      </c>
      <c r="C563" s="2"/>
      <c r="D563" s="2"/>
      <c r="E563" s="8">
        <v>1.71358436E8</v>
      </c>
      <c r="F563" s="8" t="s">
        <v>85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8">
        <v>1.44043573E8</v>
      </c>
      <c r="B564" s="8" t="s">
        <v>111</v>
      </c>
      <c r="C564" s="2"/>
      <c r="D564" s="2"/>
      <c r="E564" s="8">
        <v>1.53857025E8</v>
      </c>
      <c r="F564" s="8" t="s">
        <v>86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8">
        <v>8.8110635E7</v>
      </c>
      <c r="B565" s="8" t="s">
        <v>114</v>
      </c>
      <c r="C565" s="2"/>
      <c r="D565" s="2"/>
      <c r="E565" s="8">
        <v>1.71753933E8</v>
      </c>
      <c r="F565" s="8" t="s">
        <v>87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8">
        <v>1.63138873E8</v>
      </c>
      <c r="B566" s="8" t="s">
        <v>116</v>
      </c>
      <c r="C566" s="2"/>
      <c r="D566" s="2"/>
      <c r="E566" s="8">
        <v>1.71209025E8</v>
      </c>
      <c r="F566" s="8" t="s">
        <v>88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8">
        <v>1.72031022E8</v>
      </c>
      <c r="B567" s="8" t="s">
        <v>123</v>
      </c>
      <c r="C567" s="2"/>
      <c r="D567" s="2"/>
      <c r="E567" s="8">
        <v>1.19051033E8</v>
      </c>
      <c r="F567" s="8" t="s">
        <v>89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8">
        <v>1.70028719E8</v>
      </c>
      <c r="B568" s="8" t="s">
        <v>127</v>
      </c>
      <c r="C568" s="2"/>
      <c r="D568" s="2"/>
      <c r="E568" s="8">
        <v>1.71806191E8</v>
      </c>
      <c r="F568" s="8" t="s">
        <v>90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8">
        <v>1.71654758E8</v>
      </c>
      <c r="B569" s="8" t="s">
        <v>128</v>
      </c>
      <c r="C569" s="2"/>
      <c r="D569" s="2"/>
      <c r="E569" s="8">
        <v>1.44684719E8</v>
      </c>
      <c r="F569" s="8" t="s">
        <v>92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8">
        <v>1.71985458E8</v>
      </c>
      <c r="B570" s="8" t="s">
        <v>129</v>
      </c>
      <c r="C570" s="2"/>
      <c r="D570" s="2"/>
      <c r="E570" s="8">
        <v>1.70972148E8</v>
      </c>
      <c r="F570" s="8" t="s">
        <v>94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8">
        <v>1.4405151E8</v>
      </c>
      <c r="B571" s="8" t="s">
        <v>134</v>
      </c>
      <c r="C571" s="2"/>
      <c r="D571" s="2"/>
      <c r="E571" s="8">
        <v>1.51360763E8</v>
      </c>
      <c r="F571" s="8" t="s">
        <v>96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8">
        <v>1.44094763E8</v>
      </c>
      <c r="B572" s="8" t="s">
        <v>144</v>
      </c>
      <c r="C572" s="2"/>
      <c r="D572" s="2"/>
      <c r="E572" s="8">
        <v>1.4504414E8</v>
      </c>
      <c r="F572" s="8" t="s">
        <v>97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8">
        <v>6.2125268E7</v>
      </c>
      <c r="B573" s="8" t="s">
        <v>145</v>
      </c>
      <c r="C573" s="2"/>
      <c r="D573" s="2"/>
      <c r="E573" s="8">
        <v>1.71858863E8</v>
      </c>
      <c r="F573" s="8" t="s">
        <v>98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8">
        <v>1.72029365E8</v>
      </c>
      <c r="B574" s="8" t="s">
        <v>147</v>
      </c>
      <c r="C574" s="2"/>
      <c r="D574" s="2"/>
      <c r="E574" s="8">
        <v>1.70728362E8</v>
      </c>
      <c r="F574" s="8" t="s">
        <v>99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8">
        <v>1.68206434E8</v>
      </c>
      <c r="B575" s="8" t="s">
        <v>148</v>
      </c>
      <c r="C575" s="2"/>
      <c r="D575" s="2"/>
      <c r="E575" s="8">
        <v>1.71910225E8</v>
      </c>
      <c r="F575" s="8" t="s">
        <v>100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8">
        <v>1.81527216E8</v>
      </c>
      <c r="B576" s="8" t="s">
        <v>149</v>
      </c>
      <c r="C576" s="2"/>
      <c r="D576" s="2"/>
      <c r="E576" s="8">
        <v>1.71679053E8</v>
      </c>
      <c r="F576" s="8" t="s">
        <v>101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8">
        <v>1.71922856E8</v>
      </c>
      <c r="B577" s="8" t="s">
        <v>150</v>
      </c>
      <c r="C577" s="2"/>
      <c r="D577" s="2"/>
      <c r="E577" s="8">
        <v>1.44010731E8</v>
      </c>
      <c r="F577" s="8" t="s">
        <v>104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8">
        <v>1.60258193E8</v>
      </c>
      <c r="B578" s="8" t="s">
        <v>152</v>
      </c>
      <c r="C578" s="2"/>
      <c r="D578" s="2"/>
      <c r="E578" s="8">
        <v>1.66110884E8</v>
      </c>
      <c r="F578" s="8" t="s">
        <v>109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8">
        <v>1.72219261E8</v>
      </c>
      <c r="B579" s="8" t="s">
        <v>153</v>
      </c>
      <c r="C579" s="2"/>
      <c r="D579" s="2"/>
      <c r="E579" s="8">
        <v>1.71807229E8</v>
      </c>
      <c r="F579" s="8" t="s">
        <v>110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8">
        <v>1.75314255E8</v>
      </c>
      <c r="B580" s="8" t="s">
        <v>155</v>
      </c>
      <c r="C580" s="2"/>
      <c r="D580" s="2"/>
      <c r="E580" s="8">
        <v>1.4461836E8</v>
      </c>
      <c r="F580" s="8" t="s">
        <v>112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8">
        <v>1.73454044E8</v>
      </c>
      <c r="B581" s="8" t="s">
        <v>157</v>
      </c>
      <c r="C581" s="2"/>
      <c r="D581" s="2"/>
      <c r="E581" s="8">
        <v>1.68025153E8</v>
      </c>
      <c r="F581" s="8" t="s">
        <v>115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8">
        <v>1.81734011E8</v>
      </c>
      <c r="B582" s="8" t="s">
        <v>158</v>
      </c>
      <c r="C582" s="2"/>
      <c r="D582" s="2"/>
      <c r="E582" s="8">
        <v>1.71825014E8</v>
      </c>
      <c r="F582" s="8" t="s">
        <v>117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8">
        <v>1.79033453E8</v>
      </c>
      <c r="B583" s="8" t="s">
        <v>160</v>
      </c>
      <c r="C583" s="2"/>
      <c r="D583" s="2"/>
      <c r="E583" s="8">
        <v>1.71828804E8</v>
      </c>
      <c r="F583" s="8" t="s">
        <v>118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8">
        <v>7.1613822E7</v>
      </c>
      <c r="B584" s="8" t="s">
        <v>162</v>
      </c>
      <c r="C584" s="2"/>
      <c r="D584" s="2"/>
      <c r="E584" s="8">
        <v>1.45033056E8</v>
      </c>
      <c r="F584" s="8" t="s">
        <v>119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8">
        <v>1.50027113E8</v>
      </c>
      <c r="B585" s="8" t="s">
        <v>163</v>
      </c>
      <c r="C585" s="2"/>
      <c r="D585" s="2"/>
      <c r="E585" s="8">
        <v>1.24796617E8</v>
      </c>
      <c r="F585" s="8" t="s">
        <v>121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8">
        <v>1.72015122E8</v>
      </c>
      <c r="F586" s="8" t="s">
        <v>240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8">
        <v>1.44088316E8</v>
      </c>
      <c r="F587" s="8" t="s">
        <v>125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8">
        <v>1.68091444E8</v>
      </c>
      <c r="F588" s="8" t="s">
        <v>130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8">
        <v>1.77187021E8</v>
      </c>
      <c r="F589" s="8" t="s">
        <v>131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8">
        <v>1.75551858E8</v>
      </c>
      <c r="F590" s="8" t="s">
        <v>132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8">
        <v>1.56007436E8</v>
      </c>
      <c r="F591" s="8" t="s">
        <v>133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8">
        <v>1.45023737E8</v>
      </c>
      <c r="F592" s="8" t="s">
        <v>136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8">
        <v>1.76044158E8</v>
      </c>
      <c r="F593" s="8" t="s">
        <v>137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8">
        <v>1.72008118E8</v>
      </c>
      <c r="F594" s="8" t="s">
        <v>141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8">
        <v>1.4361245E8</v>
      </c>
      <c r="F595" s="8" t="s">
        <v>142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8">
        <v>1.71697263E8</v>
      </c>
      <c r="F596" s="8" t="s">
        <v>143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8">
        <v>1.67701301E8</v>
      </c>
      <c r="F597" s="8" t="s">
        <v>146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8">
        <v>1.71830779E8</v>
      </c>
      <c r="F598" s="8" t="s">
        <v>151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8">
        <v>1.69953509E8</v>
      </c>
      <c r="F599" s="8" t="s">
        <v>154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8">
        <v>1.30281353E8</v>
      </c>
      <c r="F600" s="8" t="s">
        <v>156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8">
        <v>1.45815623E8</v>
      </c>
      <c r="F601" s="8" t="s">
        <v>161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32.25" customHeight="1">
      <c r="A602" s="2"/>
      <c r="B602" s="2"/>
      <c r="C602" s="2"/>
      <c r="D602" s="2"/>
      <c r="E602" s="3">
        <v>1.43328412E8</v>
      </c>
      <c r="F602" s="3" t="s">
        <v>166</v>
      </c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8">
        <v>2.9902904E7</v>
      </c>
      <c r="F603" s="8" t="s">
        <v>167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90" t="s">
        <v>243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83" t="s">
        <v>244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92"/>
      <c r="B608" s="92"/>
      <c r="C608" s="92"/>
      <c r="D608" s="2"/>
      <c r="E608" s="8" t="s">
        <v>8</v>
      </c>
      <c r="F608" s="8" t="s">
        <v>207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8" t="s">
        <v>8</v>
      </c>
      <c r="B609" s="8" t="s">
        <v>207</v>
      </c>
      <c r="C609" s="8" t="s">
        <v>245</v>
      </c>
      <c r="D609" s="2"/>
      <c r="E609" s="8">
        <v>1.71753933E8</v>
      </c>
      <c r="F609" s="8" t="s">
        <v>87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8">
        <v>6.3222201E7</v>
      </c>
      <c r="B610" s="8" t="s">
        <v>23</v>
      </c>
      <c r="C610" s="3"/>
      <c r="D610" s="2"/>
      <c r="E610" s="8">
        <v>1.71209025E8</v>
      </c>
      <c r="F610" s="8" t="s">
        <v>88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8">
        <v>6.4010776E7</v>
      </c>
      <c r="B611" s="8" t="s">
        <v>24</v>
      </c>
      <c r="C611" s="3"/>
      <c r="D611" s="2"/>
      <c r="E611" s="8">
        <v>1.19051033E8</v>
      </c>
      <c r="F611" s="8" t="s">
        <v>89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8">
        <v>1.15125159E8</v>
      </c>
      <c r="B612" s="8" t="s">
        <v>26</v>
      </c>
      <c r="C612" s="3"/>
      <c r="D612" s="2"/>
      <c r="E612" s="8">
        <v>1.44684719E8</v>
      </c>
      <c r="F612" s="8" t="s">
        <v>92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8">
        <v>8.693627E7</v>
      </c>
      <c r="B613" s="8" t="s">
        <v>30</v>
      </c>
      <c r="C613" s="3"/>
      <c r="D613" s="2"/>
      <c r="E613" s="8">
        <v>1.70972148E8</v>
      </c>
      <c r="F613" s="8" t="s">
        <v>94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8">
        <v>1.3871553E8</v>
      </c>
      <c r="B614" s="8" t="s">
        <v>31</v>
      </c>
      <c r="C614" s="3"/>
      <c r="D614" s="2"/>
      <c r="E614" s="8">
        <v>1.51360763E8</v>
      </c>
      <c r="F614" s="8" t="s">
        <v>96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8">
        <v>6.3168658E7</v>
      </c>
      <c r="B615" s="8" t="s">
        <v>32</v>
      </c>
      <c r="C615" s="3"/>
      <c r="D615" s="2"/>
      <c r="E615" s="8">
        <v>1.4504414E8</v>
      </c>
      <c r="F615" s="8" t="s">
        <v>97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8">
        <v>1.46164713E8</v>
      </c>
      <c r="B616" s="8" t="s">
        <v>34</v>
      </c>
      <c r="C616" s="3"/>
      <c r="D616" s="2"/>
      <c r="E616" s="8">
        <v>1.70728362E8</v>
      </c>
      <c r="F616" s="8" t="s">
        <v>99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8">
        <v>1.1409556E7</v>
      </c>
      <c r="B617" s="8" t="s">
        <v>36</v>
      </c>
      <c r="C617" s="3"/>
      <c r="D617" s="2"/>
      <c r="E617" s="8">
        <v>1.71910225E8</v>
      </c>
      <c r="F617" s="8" t="s">
        <v>100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8">
        <v>1.44048157E8</v>
      </c>
      <c r="B618" s="8" t="s">
        <v>40</v>
      </c>
      <c r="C618" s="3"/>
      <c r="D618" s="2"/>
      <c r="E618" s="8">
        <v>1.71679053E8</v>
      </c>
      <c r="F618" s="8" t="s">
        <v>101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8">
        <v>1.36378574E8</v>
      </c>
      <c r="B619" s="8" t="s">
        <v>41</v>
      </c>
      <c r="C619" s="3"/>
      <c r="D619" s="2"/>
      <c r="E619" s="8">
        <v>1.44010731E8</v>
      </c>
      <c r="F619" s="8" t="s">
        <v>104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8">
        <v>1.71827401E8</v>
      </c>
      <c r="B620" s="8" t="s">
        <v>42</v>
      </c>
      <c r="C620" s="3"/>
      <c r="D620" s="2"/>
      <c r="E620" s="8">
        <v>1.45008495E8</v>
      </c>
      <c r="F620" s="8" t="s">
        <v>108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8">
        <v>1.71798243E8</v>
      </c>
      <c r="B621" s="8" t="s">
        <v>44</v>
      </c>
      <c r="C621" s="3"/>
      <c r="D621" s="2"/>
      <c r="E621" s="8">
        <v>1.63138873E8</v>
      </c>
      <c r="F621" s="8" t="s">
        <v>116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8">
        <v>1.40009179E8</v>
      </c>
      <c r="B622" s="8" t="s">
        <v>45</v>
      </c>
      <c r="C622" s="3"/>
      <c r="D622" s="2"/>
      <c r="E622" s="8">
        <v>1.45033056E8</v>
      </c>
      <c r="F622" s="8" t="s">
        <v>119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8">
        <v>1.20029911E8</v>
      </c>
      <c r="B623" s="8" t="s">
        <v>200</v>
      </c>
      <c r="C623" s="3"/>
      <c r="D623" s="2"/>
      <c r="E623" s="8">
        <v>1.61646318E8</v>
      </c>
      <c r="F623" s="8" t="s">
        <v>120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8">
        <v>1.71574321E8</v>
      </c>
      <c r="B624" s="8" t="s">
        <v>57</v>
      </c>
      <c r="C624" s="3"/>
      <c r="D624" s="2"/>
      <c r="E624" s="8">
        <v>1.24796617E8</v>
      </c>
      <c r="F624" s="8" t="s">
        <v>121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8">
        <v>1.72078991E8</v>
      </c>
      <c r="B625" s="8" t="s">
        <v>58</v>
      </c>
      <c r="C625" s="3"/>
      <c r="D625" s="2"/>
      <c r="E625" s="8">
        <v>1.72015122E8</v>
      </c>
      <c r="F625" s="8" t="s">
        <v>240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8">
        <v>1.70866748E8</v>
      </c>
      <c r="B626" s="8" t="s">
        <v>62</v>
      </c>
      <c r="C626" s="3"/>
      <c r="D626" s="2"/>
      <c r="E626" s="8">
        <v>1.71654758E8</v>
      </c>
      <c r="F626" s="8" t="s">
        <v>128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8">
        <v>1.71355737E8</v>
      </c>
      <c r="B627" s="8" t="s">
        <v>238</v>
      </c>
      <c r="C627" s="3"/>
      <c r="D627" s="2"/>
      <c r="E627" s="8">
        <v>1.71985458E8</v>
      </c>
      <c r="F627" s="8" t="s">
        <v>129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8">
        <v>1.71982346E8</v>
      </c>
      <c r="B628" s="8" t="s">
        <v>67</v>
      </c>
      <c r="C628" s="3"/>
      <c r="D628" s="2"/>
      <c r="E628" s="8">
        <v>1.68091444E8</v>
      </c>
      <c r="F628" s="8" t="s">
        <v>130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8">
        <v>1.71799293E8</v>
      </c>
      <c r="B629" s="8" t="s">
        <v>70</v>
      </c>
      <c r="C629" s="3"/>
      <c r="D629" s="2"/>
      <c r="E629" s="8">
        <v>1.77187021E8</v>
      </c>
      <c r="F629" s="8" t="s">
        <v>131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8">
        <v>1.7160984E8</v>
      </c>
      <c r="B630" s="8" t="s">
        <v>77</v>
      </c>
      <c r="C630" s="3"/>
      <c r="D630" s="2"/>
      <c r="E630" s="8">
        <v>1.75551858E8</v>
      </c>
      <c r="F630" s="8" t="s">
        <v>132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8">
        <v>5.524249E7</v>
      </c>
      <c r="B631" s="8" t="s">
        <v>78</v>
      </c>
      <c r="C631" s="3"/>
      <c r="D631" s="2"/>
      <c r="E631" s="8">
        <v>1.56007436E8</v>
      </c>
      <c r="F631" s="8" t="s">
        <v>133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8">
        <v>1.14506674E8</v>
      </c>
      <c r="B632" s="8" t="s">
        <v>80</v>
      </c>
      <c r="C632" s="3"/>
      <c r="D632" s="2"/>
      <c r="E632" s="8">
        <v>1.45023737E8</v>
      </c>
      <c r="F632" s="8" t="s">
        <v>136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8">
        <v>1.71358436E8</v>
      </c>
      <c r="B633" s="8" t="s">
        <v>85</v>
      </c>
      <c r="C633" s="3"/>
      <c r="D633" s="2"/>
      <c r="E633" s="8">
        <v>1.76044158E8</v>
      </c>
      <c r="F633" s="8" t="s">
        <v>137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8">
        <v>1.71806191E8</v>
      </c>
      <c r="B634" s="8" t="s">
        <v>90</v>
      </c>
      <c r="C634" s="3"/>
      <c r="D634" s="2"/>
      <c r="E634" s="8">
        <v>1.72008118E8</v>
      </c>
      <c r="F634" s="8" t="s">
        <v>141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8">
        <v>1.71537317E8</v>
      </c>
      <c r="B635" s="8" t="s">
        <v>91</v>
      </c>
      <c r="C635" s="3"/>
      <c r="D635" s="2"/>
      <c r="E635" s="8">
        <v>1.4361245E8</v>
      </c>
      <c r="F635" s="8" t="s">
        <v>142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8">
        <v>1.39292614E8</v>
      </c>
      <c r="B636" s="8" t="s">
        <v>239</v>
      </c>
      <c r="C636" s="3"/>
      <c r="D636" s="2"/>
      <c r="E636" s="8">
        <v>1.71697263E8</v>
      </c>
      <c r="F636" s="8" t="s">
        <v>143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8">
        <v>1.71858863E8</v>
      </c>
      <c r="B637" s="8" t="s">
        <v>98</v>
      </c>
      <c r="C637" s="3"/>
      <c r="D637" s="2"/>
      <c r="E637" s="8">
        <v>1.67701301E8</v>
      </c>
      <c r="F637" s="8" t="s">
        <v>146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8">
        <v>1.43457511E8</v>
      </c>
      <c r="B638" s="8" t="s">
        <v>103</v>
      </c>
      <c r="C638" s="3"/>
      <c r="D638" s="2"/>
      <c r="E638" s="8">
        <v>1.71922856E8</v>
      </c>
      <c r="F638" s="8" t="s">
        <v>150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8">
        <v>4.9509851E7</v>
      </c>
      <c r="B639" s="8" t="s">
        <v>105</v>
      </c>
      <c r="C639" s="3"/>
      <c r="D639" s="2"/>
      <c r="E639" s="8">
        <v>1.69953509E8</v>
      </c>
      <c r="F639" s="8" t="s">
        <v>154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8">
        <v>1.44064126E8</v>
      </c>
      <c r="B640" s="8" t="s">
        <v>106</v>
      </c>
      <c r="C640" s="3"/>
      <c r="D640" s="2"/>
      <c r="E640" s="8">
        <v>1.30281353E8</v>
      </c>
      <c r="F640" s="8" t="s">
        <v>156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8">
        <v>1.71805508E8</v>
      </c>
      <c r="B641" s="8" t="s">
        <v>107</v>
      </c>
      <c r="C641" s="3"/>
      <c r="D641" s="2"/>
      <c r="E641" s="8">
        <v>4313627.0</v>
      </c>
      <c r="F641" s="8" t="s">
        <v>159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8">
        <v>1.71807229E8</v>
      </c>
      <c r="B642" s="8" t="s">
        <v>110</v>
      </c>
      <c r="C642" s="3"/>
      <c r="D642" s="2"/>
      <c r="E642" s="8">
        <v>1.79033453E8</v>
      </c>
      <c r="F642" s="8" t="s">
        <v>160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8">
        <v>1.44043573E8</v>
      </c>
      <c r="B643" s="8" t="s">
        <v>111</v>
      </c>
      <c r="C643" s="3"/>
      <c r="D643" s="2"/>
      <c r="E643" s="8">
        <v>1.45815623E8</v>
      </c>
      <c r="F643" s="8" t="s">
        <v>161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8">
        <v>1.4461836E8</v>
      </c>
      <c r="B644" s="8" t="s">
        <v>112</v>
      </c>
      <c r="C644" s="3"/>
      <c r="D644" s="2"/>
      <c r="E644" s="8">
        <v>7.1613822E7</v>
      </c>
      <c r="F644" s="8" t="s">
        <v>162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8">
        <v>8.8110635E7</v>
      </c>
      <c r="B645" s="8" t="s">
        <v>114</v>
      </c>
      <c r="C645" s="3"/>
      <c r="D645" s="2"/>
      <c r="E645" s="8">
        <v>1.50027113E8</v>
      </c>
      <c r="F645" s="8" t="s">
        <v>163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8">
        <v>1.68025153E8</v>
      </c>
      <c r="B646" s="8" t="s">
        <v>115</v>
      </c>
      <c r="C646" s="3"/>
      <c r="D646" s="2"/>
      <c r="E646" s="8">
        <v>1.41154852E8</v>
      </c>
      <c r="F646" s="8" t="s">
        <v>164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8">
        <v>1.71825014E8</v>
      </c>
      <c r="B647" s="8" t="s">
        <v>117</v>
      </c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8">
        <v>1.71828804E8</v>
      </c>
      <c r="B648" s="8" t="s">
        <v>118</v>
      </c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8">
        <v>1.72031022E8</v>
      </c>
      <c r="B649" s="8" t="s">
        <v>123</v>
      </c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8">
        <v>1.44088316E8</v>
      </c>
      <c r="B650" s="8" t="s">
        <v>125</v>
      </c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8">
        <v>1.70028719E8</v>
      </c>
      <c r="B651" s="8" t="s">
        <v>127</v>
      </c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8">
        <v>1.4405151E8</v>
      </c>
      <c r="B652" s="8" t="s">
        <v>134</v>
      </c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8">
        <v>1.44094763E8</v>
      </c>
      <c r="B653" s="8" t="s">
        <v>144</v>
      </c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8">
        <v>6.2125268E7</v>
      </c>
      <c r="B654" s="8" t="s">
        <v>145</v>
      </c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8">
        <v>1.72029365E8</v>
      </c>
      <c r="B655" s="8" t="s">
        <v>147</v>
      </c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8">
        <v>1.68206434E8</v>
      </c>
      <c r="B656" s="8" t="s">
        <v>148</v>
      </c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8">
        <v>1.81527216E8</v>
      </c>
      <c r="B657" s="8" t="s">
        <v>149</v>
      </c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8">
        <v>1.71830779E8</v>
      </c>
      <c r="B658" s="8" t="s">
        <v>151</v>
      </c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8">
        <v>1.60258193E8</v>
      </c>
      <c r="B659" s="8" t="s">
        <v>152</v>
      </c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8">
        <v>1.72219261E8</v>
      </c>
      <c r="B660" s="8" t="s">
        <v>153</v>
      </c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8">
        <v>1.75314255E8</v>
      </c>
      <c r="B661" s="8" t="s">
        <v>155</v>
      </c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8">
        <v>1.73454044E8</v>
      </c>
      <c r="B662" s="8" t="s">
        <v>157</v>
      </c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8">
        <v>1.81734011E8</v>
      </c>
      <c r="B663" s="8" t="s">
        <v>158</v>
      </c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 ht="15.75" customHeight="1">
      <c r="A1370" s="2"/>
      <c r="B1370" s="2"/>
      <c r="C1370" s="2"/>
      <c r="D1370" s="2"/>
      <c r="E1370" s="49"/>
      <c r="F1370" s="49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</sheetData>
  <mergeCells count="12">
    <mergeCell ref="E461:F461"/>
    <mergeCell ref="E529:F529"/>
    <mergeCell ref="E606:F606"/>
    <mergeCell ref="A530:B530"/>
    <mergeCell ref="A607:B607"/>
    <mergeCell ref="A110:B110"/>
    <mergeCell ref="A170:B170"/>
    <mergeCell ref="A223:B223"/>
    <mergeCell ref="A248:B248"/>
    <mergeCell ref="A335:B335"/>
    <mergeCell ref="A401:B401"/>
    <mergeCell ref="A461:B461"/>
  </mergeCells>
  <dataValidations>
    <dataValidation type="list" allowBlank="1" sqref="C2:C107">
      <formula1>"U97,C97,A97,-"</formula1>
    </dataValidation>
    <dataValidation type="custom" allowBlank="1" showDropDown="1" sqref="F2:F107">
      <formula1>OR(NOT(ISERROR(DATEVALUE(F2))), AND(ISNUMBER(F2), LEFT(CELL("format", F2))="D"))</formula1>
    </dataValidation>
  </dataValidations>
  <printOptions/>
  <pageMargins bottom="0.75" footer="0.0" header="0.0" left="0.7" right="0.7" top="0.75"/>
  <pageSetup orientation="landscape"/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43"/>
    <col customWidth="1" min="2" max="2" width="18.43"/>
    <col customWidth="1" min="3" max="3" width="36.57"/>
    <col customWidth="1" min="4" max="5" width="18.43"/>
    <col customWidth="1" min="6" max="6" width="62.14"/>
    <col customWidth="1" min="7" max="26" width="8.71"/>
  </cols>
  <sheetData>
    <row r="1" ht="22.5" customHeight="1">
      <c r="A1" s="1" t="s">
        <v>218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190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8" t="s">
        <v>22</v>
      </c>
      <c r="B2" s="15" t="s">
        <v>250</v>
      </c>
      <c r="C2" s="8" t="s">
        <v>251</v>
      </c>
      <c r="D2" s="15" t="s">
        <v>252</v>
      </c>
      <c r="E2" s="14">
        <v>45886.0</v>
      </c>
      <c r="F2" s="8" t="s">
        <v>253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9" t="s">
        <v>92</v>
      </c>
      <c r="B3" s="15" t="s">
        <v>250</v>
      </c>
      <c r="C3" s="8" t="s">
        <v>254</v>
      </c>
      <c r="D3" s="15" t="s">
        <v>255</v>
      </c>
      <c r="E3" s="14">
        <v>45886.0</v>
      </c>
      <c r="F3" s="8" t="s">
        <v>256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9" t="s">
        <v>134</v>
      </c>
      <c r="B4" s="15" t="s">
        <v>250</v>
      </c>
      <c r="C4" s="8" t="s">
        <v>257</v>
      </c>
      <c r="D4" s="15" t="s">
        <v>255</v>
      </c>
      <c r="E4" s="14">
        <v>45886.0</v>
      </c>
      <c r="F4" s="8" t="s">
        <v>258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9" t="s">
        <v>116</v>
      </c>
      <c r="B5" s="19" t="s">
        <v>250</v>
      </c>
      <c r="C5" s="9" t="s">
        <v>259</v>
      </c>
      <c r="D5" s="19" t="s">
        <v>255</v>
      </c>
      <c r="E5" s="14">
        <v>45886.0</v>
      </c>
      <c r="F5" s="9" t="s">
        <v>260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9" t="s">
        <v>126</v>
      </c>
      <c r="B6" s="19" t="s">
        <v>250</v>
      </c>
      <c r="C6" s="9" t="s">
        <v>261</v>
      </c>
      <c r="D6" s="19" t="s">
        <v>255</v>
      </c>
      <c r="E6" s="14">
        <v>45886.0</v>
      </c>
      <c r="F6" s="9" t="s">
        <v>262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" t="s">
        <v>132</v>
      </c>
      <c r="B7" s="19" t="s">
        <v>250</v>
      </c>
      <c r="C7" s="9" t="s">
        <v>263</v>
      </c>
      <c r="D7" s="19" t="s">
        <v>255</v>
      </c>
      <c r="E7" s="14">
        <v>45886.0</v>
      </c>
      <c r="F7" s="9" t="s">
        <v>264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" t="s">
        <v>118</v>
      </c>
      <c r="B8" s="19" t="s">
        <v>250</v>
      </c>
      <c r="C8" s="9" t="s">
        <v>265</v>
      </c>
      <c r="D8" s="19" t="s">
        <v>255</v>
      </c>
      <c r="E8" s="14">
        <v>45886.0</v>
      </c>
      <c r="F8" s="9" t="s">
        <v>266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" t="s">
        <v>197</v>
      </c>
      <c r="B9" s="19" t="s">
        <v>250</v>
      </c>
      <c r="C9" s="9" t="s">
        <v>267</v>
      </c>
      <c r="D9" s="19" t="s">
        <v>255</v>
      </c>
      <c r="E9" s="14">
        <v>45886.0</v>
      </c>
      <c r="F9" s="9" t="s">
        <v>268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9" t="s">
        <v>150</v>
      </c>
      <c r="B10" s="19" t="s">
        <v>250</v>
      </c>
      <c r="C10" s="9" t="s">
        <v>269</v>
      </c>
      <c r="D10" s="19" t="s">
        <v>255</v>
      </c>
      <c r="E10" s="14">
        <v>45886.0</v>
      </c>
      <c r="F10" s="9" t="s">
        <v>270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9" t="s">
        <v>68</v>
      </c>
      <c r="B11" s="19" t="s">
        <v>250</v>
      </c>
      <c r="C11" s="9" t="s">
        <v>271</v>
      </c>
      <c r="D11" s="19" t="s">
        <v>255</v>
      </c>
      <c r="E11" s="14">
        <v>45886.0</v>
      </c>
      <c r="F11" s="9" t="s">
        <v>272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" t="s">
        <v>69</v>
      </c>
      <c r="B12" s="19" t="s">
        <v>250</v>
      </c>
      <c r="C12" s="9" t="s">
        <v>273</v>
      </c>
      <c r="D12" s="19" t="s">
        <v>255</v>
      </c>
      <c r="E12" s="14">
        <v>45886.0</v>
      </c>
      <c r="F12" s="9" t="s">
        <v>274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" t="s">
        <v>148</v>
      </c>
      <c r="B13" s="19" t="s">
        <v>250</v>
      </c>
      <c r="C13" s="9" t="s">
        <v>275</v>
      </c>
      <c r="D13" s="19" t="s">
        <v>255</v>
      </c>
      <c r="E13" s="14">
        <v>45886.0</v>
      </c>
      <c r="F13" s="9" t="s">
        <v>276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9" t="s">
        <v>35</v>
      </c>
      <c r="B14" s="19" t="s">
        <v>277</v>
      </c>
      <c r="C14" s="9" t="s">
        <v>278</v>
      </c>
      <c r="D14" s="19" t="s">
        <v>255</v>
      </c>
      <c r="E14" s="18">
        <v>45890.0</v>
      </c>
      <c r="F14" s="9" t="s">
        <v>279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9" t="s">
        <v>53</v>
      </c>
      <c r="B15" s="19" t="s">
        <v>277</v>
      </c>
      <c r="C15" s="9" t="s">
        <v>280</v>
      </c>
      <c r="D15" s="19" t="s">
        <v>255</v>
      </c>
      <c r="E15" s="18">
        <v>45890.0</v>
      </c>
      <c r="F15" s="9" t="s">
        <v>281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9" t="s">
        <v>15</v>
      </c>
      <c r="B16" s="19" t="s">
        <v>277</v>
      </c>
      <c r="C16" s="9" t="s">
        <v>282</v>
      </c>
      <c r="D16" s="19" t="s">
        <v>255</v>
      </c>
      <c r="E16" s="18">
        <v>45890.0</v>
      </c>
      <c r="F16" s="9" t="s">
        <v>283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9" t="s">
        <v>47</v>
      </c>
      <c r="B17" s="19" t="s">
        <v>284</v>
      </c>
      <c r="C17" s="9" t="s">
        <v>285</v>
      </c>
      <c r="D17" s="19" t="s">
        <v>255</v>
      </c>
      <c r="E17" s="18">
        <v>45892.0</v>
      </c>
      <c r="F17" s="1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9" t="s">
        <v>165</v>
      </c>
      <c r="B18" s="19" t="s">
        <v>284</v>
      </c>
      <c r="C18" s="9" t="s">
        <v>286</v>
      </c>
      <c r="D18" s="19" t="s">
        <v>255</v>
      </c>
      <c r="E18" s="18">
        <v>45893.0</v>
      </c>
      <c r="F18" s="1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9" t="s">
        <v>117</v>
      </c>
      <c r="B19" s="19" t="s">
        <v>287</v>
      </c>
      <c r="C19" s="9" t="s">
        <v>288</v>
      </c>
      <c r="D19" s="19" t="s">
        <v>252</v>
      </c>
      <c r="E19" s="73"/>
      <c r="F19" s="9" t="s">
        <v>289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 t="s">
        <v>110</v>
      </c>
      <c r="B20" s="19" t="s">
        <v>287</v>
      </c>
      <c r="C20" s="9" t="s">
        <v>290</v>
      </c>
      <c r="D20" s="19" t="s">
        <v>252</v>
      </c>
      <c r="E20" s="73"/>
      <c r="F20" s="9" t="s">
        <v>291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 t="s">
        <v>240</v>
      </c>
      <c r="B21" s="19" t="s">
        <v>284</v>
      </c>
      <c r="C21" s="9" t="s">
        <v>292</v>
      </c>
      <c r="D21" s="19" t="s">
        <v>255</v>
      </c>
      <c r="E21" s="73"/>
      <c r="F21" s="9" t="s">
        <v>293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 t="s">
        <v>78</v>
      </c>
      <c r="B22" s="19" t="s">
        <v>284</v>
      </c>
      <c r="C22" s="9" t="s">
        <v>294</v>
      </c>
      <c r="D22" s="19" t="s">
        <v>255</v>
      </c>
      <c r="E22" s="73"/>
      <c r="F22" s="9" t="s">
        <v>295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 t="s">
        <v>134</v>
      </c>
      <c r="B23" s="19" t="s">
        <v>284</v>
      </c>
      <c r="C23" s="9" t="s">
        <v>296</v>
      </c>
      <c r="D23" s="19" t="s">
        <v>252</v>
      </c>
      <c r="E23" s="73"/>
      <c r="F23" s="9" t="s">
        <v>297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 t="s">
        <v>40</v>
      </c>
      <c r="B24" s="19" t="s">
        <v>284</v>
      </c>
      <c r="C24" s="13"/>
      <c r="D24" s="19" t="s">
        <v>252</v>
      </c>
      <c r="E24" s="73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 t="s">
        <v>72</v>
      </c>
      <c r="B25" s="19" t="s">
        <v>284</v>
      </c>
      <c r="C25" s="9" t="s">
        <v>298</v>
      </c>
      <c r="D25" s="19" t="s">
        <v>255</v>
      </c>
      <c r="E25" s="73"/>
      <c r="F25" s="9" t="s">
        <v>299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 t="s">
        <v>156</v>
      </c>
      <c r="B26" s="19" t="s">
        <v>284</v>
      </c>
      <c r="C26" s="13"/>
      <c r="D26" s="19" t="s">
        <v>252</v>
      </c>
      <c r="E26" s="73"/>
      <c r="F26" s="9" t="s">
        <v>300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 t="s">
        <v>107</v>
      </c>
      <c r="B27" s="19" t="s">
        <v>250</v>
      </c>
      <c r="C27" s="9" t="s">
        <v>301</v>
      </c>
      <c r="D27" s="19" t="s">
        <v>252</v>
      </c>
      <c r="E27" s="18">
        <v>45922.0</v>
      </c>
      <c r="F27" s="9" t="s">
        <v>302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 t="s">
        <v>117</v>
      </c>
      <c r="B28" s="19" t="s">
        <v>250</v>
      </c>
      <c r="C28" s="9" t="s">
        <v>303</v>
      </c>
      <c r="D28" s="19" t="s">
        <v>252</v>
      </c>
      <c r="E28" s="18">
        <v>45922.0</v>
      </c>
      <c r="F28" s="9" t="s">
        <v>304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 t="s">
        <v>146</v>
      </c>
      <c r="B29" s="19" t="s">
        <v>250</v>
      </c>
      <c r="C29" s="9" t="s">
        <v>305</v>
      </c>
      <c r="D29" s="19" t="s">
        <v>252</v>
      </c>
      <c r="E29" s="18">
        <v>45922.0</v>
      </c>
      <c r="F29" s="9" t="s">
        <v>306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 t="s">
        <v>170</v>
      </c>
      <c r="B30" s="19" t="s">
        <v>250</v>
      </c>
      <c r="C30" s="9" t="s">
        <v>307</v>
      </c>
      <c r="D30" s="19" t="s">
        <v>252</v>
      </c>
      <c r="E30" s="18">
        <v>45922.0</v>
      </c>
      <c r="F30" s="9" t="s">
        <v>308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3" t="s">
        <v>88</v>
      </c>
      <c r="B31" s="19" t="s">
        <v>250</v>
      </c>
      <c r="C31" s="9" t="s">
        <v>309</v>
      </c>
      <c r="D31" s="19" t="s">
        <v>252</v>
      </c>
      <c r="E31" s="18">
        <v>45922.0</v>
      </c>
      <c r="F31" s="9" t="s">
        <v>310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3" t="s">
        <v>148</v>
      </c>
      <c r="B32" s="19" t="s">
        <v>250</v>
      </c>
      <c r="C32" s="9" t="s">
        <v>311</v>
      </c>
      <c r="D32" s="19" t="s">
        <v>255</v>
      </c>
      <c r="E32" s="18">
        <v>45922.0</v>
      </c>
      <c r="F32" s="9" t="s">
        <v>312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 t="s">
        <v>123</v>
      </c>
      <c r="B33" s="19" t="s">
        <v>250</v>
      </c>
      <c r="C33" s="9" t="s">
        <v>313</v>
      </c>
      <c r="D33" s="19" t="s">
        <v>252</v>
      </c>
      <c r="E33" s="18">
        <v>45950.0</v>
      </c>
      <c r="F33" s="9" t="s">
        <v>314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 t="s">
        <v>154</v>
      </c>
      <c r="B34" s="19" t="s">
        <v>250</v>
      </c>
      <c r="C34" s="9" t="s">
        <v>315</v>
      </c>
      <c r="D34" s="19" t="s">
        <v>255</v>
      </c>
      <c r="E34" s="18">
        <v>45950.0</v>
      </c>
      <c r="F34" s="9" t="s">
        <v>316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3" t="s">
        <v>67</v>
      </c>
      <c r="B35" s="19" t="s">
        <v>250</v>
      </c>
      <c r="C35" s="9" t="s">
        <v>317</v>
      </c>
      <c r="D35" s="19" t="s">
        <v>255</v>
      </c>
      <c r="E35" s="18">
        <v>45950.0</v>
      </c>
      <c r="F35" s="9" t="s">
        <v>318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 t="s">
        <v>39</v>
      </c>
      <c r="B36" s="19" t="s">
        <v>277</v>
      </c>
      <c r="C36" s="9" t="s">
        <v>319</v>
      </c>
      <c r="D36" s="19" t="s">
        <v>255</v>
      </c>
      <c r="E36" s="18">
        <v>45974.0</v>
      </c>
      <c r="F36" s="9" t="s">
        <v>320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 t="s">
        <v>165</v>
      </c>
      <c r="B37" s="15" t="s">
        <v>284</v>
      </c>
      <c r="C37" s="8" t="s">
        <v>321</v>
      </c>
      <c r="D37" s="15" t="s">
        <v>322</v>
      </c>
      <c r="E37" s="14">
        <v>46055.0</v>
      </c>
      <c r="F37" s="8" t="s">
        <v>323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 t="s">
        <v>16</v>
      </c>
      <c r="B38" s="15" t="s">
        <v>284</v>
      </c>
      <c r="C38" s="8" t="s">
        <v>324</v>
      </c>
      <c r="D38" s="15" t="s">
        <v>322</v>
      </c>
      <c r="E38" s="14">
        <v>46055.0</v>
      </c>
      <c r="F38" s="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8" t="s">
        <v>22</v>
      </c>
      <c r="B39" s="15" t="s">
        <v>284</v>
      </c>
      <c r="C39" s="8" t="s">
        <v>325</v>
      </c>
      <c r="D39" s="15" t="s">
        <v>252</v>
      </c>
      <c r="E39" s="14">
        <v>46055.0</v>
      </c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4" t="s">
        <v>175</v>
      </c>
      <c r="B40" s="15" t="s">
        <v>284</v>
      </c>
      <c r="C40" s="8" t="s">
        <v>326</v>
      </c>
      <c r="D40" s="15" t="s">
        <v>255</v>
      </c>
      <c r="E40" s="14">
        <v>46055.0</v>
      </c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 t="s">
        <v>179</v>
      </c>
      <c r="B41" s="15" t="s">
        <v>284</v>
      </c>
      <c r="C41" s="8" t="s">
        <v>327</v>
      </c>
      <c r="D41" s="15" t="s">
        <v>255</v>
      </c>
      <c r="E41" s="14">
        <v>46055.0</v>
      </c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 t="s">
        <v>39</v>
      </c>
      <c r="B42" s="15" t="s">
        <v>284</v>
      </c>
      <c r="C42" s="8" t="s">
        <v>328</v>
      </c>
      <c r="D42" s="15" t="s">
        <v>255</v>
      </c>
      <c r="E42" s="14">
        <v>46055.0</v>
      </c>
      <c r="F42" s="8" t="s">
        <v>329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3" t="s">
        <v>67</v>
      </c>
      <c r="B43" s="15" t="s">
        <v>284</v>
      </c>
      <c r="C43" s="8" t="s">
        <v>330</v>
      </c>
      <c r="D43" s="15" t="s">
        <v>331</v>
      </c>
      <c r="E43" s="14">
        <v>46055.0</v>
      </c>
      <c r="F43" s="8" t="s">
        <v>332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9" t="s">
        <v>72</v>
      </c>
      <c r="B44" s="15" t="s">
        <v>284</v>
      </c>
      <c r="C44" s="8" t="s">
        <v>333</v>
      </c>
      <c r="D44" s="15" t="s">
        <v>331</v>
      </c>
      <c r="E44" s="14">
        <v>46055.0</v>
      </c>
      <c r="F44" s="8" t="s">
        <v>334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85" t="s">
        <v>162</v>
      </c>
      <c r="B45" s="15" t="s">
        <v>284</v>
      </c>
      <c r="C45" s="8" t="s">
        <v>335</v>
      </c>
      <c r="D45" s="15" t="s">
        <v>255</v>
      </c>
      <c r="E45" s="14">
        <v>46055.0</v>
      </c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8" t="s">
        <v>184</v>
      </c>
      <c r="B46" s="15" t="s">
        <v>284</v>
      </c>
      <c r="C46" s="8" t="s">
        <v>336</v>
      </c>
      <c r="D46" s="15" t="s">
        <v>255</v>
      </c>
      <c r="E46" s="14">
        <v>46055.0</v>
      </c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 t="s">
        <v>116</v>
      </c>
      <c r="B47" s="15" t="s">
        <v>284</v>
      </c>
      <c r="C47" s="8" t="s">
        <v>336</v>
      </c>
      <c r="D47" s="15" t="s">
        <v>252</v>
      </c>
      <c r="E47" s="14">
        <v>46055.0</v>
      </c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 t="s">
        <v>92</v>
      </c>
      <c r="B48" s="15" t="s">
        <v>284</v>
      </c>
      <c r="C48" s="8" t="s">
        <v>337</v>
      </c>
      <c r="D48" s="15" t="s">
        <v>255</v>
      </c>
      <c r="E48" s="14">
        <v>46055.0</v>
      </c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 t="s">
        <v>63</v>
      </c>
      <c r="B49" s="15" t="s">
        <v>284</v>
      </c>
      <c r="C49" s="8" t="s">
        <v>338</v>
      </c>
      <c r="D49" s="15" t="s">
        <v>255</v>
      </c>
      <c r="E49" s="14">
        <v>46055.0</v>
      </c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 t="s">
        <v>24</v>
      </c>
      <c r="B50" s="15" t="s">
        <v>284</v>
      </c>
      <c r="C50" s="8" t="s">
        <v>339</v>
      </c>
      <c r="D50" s="15" t="s">
        <v>255</v>
      </c>
      <c r="E50" s="14">
        <v>46246.0</v>
      </c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 t="s">
        <v>147</v>
      </c>
      <c r="B51" s="15" t="s">
        <v>284</v>
      </c>
      <c r="C51" s="8" t="s">
        <v>340</v>
      </c>
      <c r="D51" s="15" t="s">
        <v>255</v>
      </c>
      <c r="E51" s="14">
        <v>46246.0</v>
      </c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ataValidations>
    <dataValidation type="list" allowBlank="1" sqref="B2:B51">
      <formula1>"Missed AOO,GH Abuse,MGE Abuse,AM Abuse,Low Activity"</formula1>
    </dataValidation>
    <dataValidation type="list" allowBlank="1" sqref="D2:D51">
      <formula1>"Yes,No,Pardon,Installments"</formula1>
    </dataValidation>
    <dataValidation type="custom" allowBlank="1" showDropDown="1" sqref="E2:E51">
      <formula1>OR(NOT(ISERROR(DATEVALUE(E2))), AND(ISNUMBER(E2), LEFT(CELL("format", E2))="D"))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6.57"/>
    <col customWidth="1" min="3" max="3" width="19.29"/>
    <col customWidth="1" min="4" max="7" width="16.43"/>
    <col customWidth="1" min="8" max="8" width="21.71"/>
    <col customWidth="1" min="9" max="9" width="18.0"/>
    <col customWidth="1" min="10" max="26" width="8.71"/>
  </cols>
  <sheetData>
    <row r="1" ht="22.5" customHeight="1">
      <c r="A1" s="1" t="s">
        <v>186</v>
      </c>
      <c r="B1" s="1" t="s">
        <v>341</v>
      </c>
      <c r="C1" s="1" t="s">
        <v>342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343</v>
      </c>
      <c r="I1" s="1" t="s">
        <v>190</v>
      </c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22.5" customHeight="1">
      <c r="A2" s="14">
        <v>45926.0</v>
      </c>
      <c r="B2" s="9" t="s">
        <v>72</v>
      </c>
      <c r="C2" s="15" t="s">
        <v>344</v>
      </c>
      <c r="D2" s="5">
        <v>0.0</v>
      </c>
      <c r="E2" s="5">
        <v>0.0</v>
      </c>
      <c r="F2" s="5">
        <v>0.0</v>
      </c>
      <c r="G2" s="5">
        <v>2.0E8</v>
      </c>
      <c r="H2" s="15" t="s">
        <v>345</v>
      </c>
      <c r="I2" s="3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2.5" customHeight="1">
      <c r="A3" s="18">
        <v>45944.0</v>
      </c>
      <c r="B3" s="9" t="s">
        <v>171</v>
      </c>
      <c r="C3" s="19" t="s">
        <v>344</v>
      </c>
      <c r="D3" s="5">
        <v>4.0E8</v>
      </c>
      <c r="E3" s="5">
        <v>4.0E8</v>
      </c>
      <c r="F3" s="5">
        <v>4.0E8</v>
      </c>
      <c r="G3" s="5">
        <v>4.0E8</v>
      </c>
      <c r="H3" s="19" t="s">
        <v>346</v>
      </c>
      <c r="I3" s="13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2.5" customHeight="1">
      <c r="A4" s="18">
        <v>45947.0</v>
      </c>
      <c r="B4" s="9" t="s">
        <v>35</v>
      </c>
      <c r="C4" s="19" t="s">
        <v>344</v>
      </c>
      <c r="D4" s="13"/>
      <c r="E4" s="13"/>
      <c r="F4" s="5">
        <v>4.0E8</v>
      </c>
      <c r="G4" s="13"/>
      <c r="H4" s="19" t="s">
        <v>346</v>
      </c>
      <c r="I4" s="13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2.5" customHeight="1">
      <c r="A5" s="18">
        <v>45947.0</v>
      </c>
      <c r="B5" s="9" t="s">
        <v>165</v>
      </c>
      <c r="C5" s="19" t="s">
        <v>344</v>
      </c>
      <c r="D5" s="13"/>
      <c r="E5" s="5">
        <v>4.0E8</v>
      </c>
      <c r="F5" s="13"/>
      <c r="G5" s="5">
        <v>2.0E8</v>
      </c>
      <c r="H5" s="19" t="s">
        <v>346</v>
      </c>
      <c r="I5" s="13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2.5" customHeight="1">
      <c r="A6" s="18">
        <v>45948.0</v>
      </c>
      <c r="B6" s="9" t="s">
        <v>171</v>
      </c>
      <c r="C6" s="19" t="s">
        <v>344</v>
      </c>
      <c r="D6" s="5">
        <v>1.0E9</v>
      </c>
      <c r="E6" s="5">
        <v>1.0E9</v>
      </c>
      <c r="F6" s="13"/>
      <c r="G6" s="5">
        <v>8.0E8</v>
      </c>
      <c r="H6" s="19" t="s">
        <v>346</v>
      </c>
      <c r="I6" s="13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2.5" customHeight="1">
      <c r="A7" s="18">
        <v>45948.0</v>
      </c>
      <c r="B7" s="9" t="s">
        <v>15</v>
      </c>
      <c r="C7" s="19" t="s">
        <v>344</v>
      </c>
      <c r="D7" s="5">
        <v>5.0E8</v>
      </c>
      <c r="E7" s="5">
        <v>5.0E8</v>
      </c>
      <c r="F7" s="13"/>
      <c r="G7" s="5">
        <v>5.0E8</v>
      </c>
      <c r="H7" s="19" t="s">
        <v>345</v>
      </c>
      <c r="I7" s="13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2.5" customHeight="1">
      <c r="A8" s="18">
        <v>45954.0</v>
      </c>
      <c r="B8" s="9" t="s">
        <v>79</v>
      </c>
      <c r="C8" s="19" t="s">
        <v>344</v>
      </c>
      <c r="D8" s="13"/>
      <c r="E8" s="13"/>
      <c r="F8" s="13"/>
      <c r="G8" s="5">
        <v>2.0E7</v>
      </c>
      <c r="H8" s="19" t="s">
        <v>345</v>
      </c>
      <c r="I8" s="13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2.5" customHeight="1">
      <c r="A9" s="14">
        <v>46001.0</v>
      </c>
      <c r="B9" s="8" t="s">
        <v>182</v>
      </c>
      <c r="C9" s="15" t="s">
        <v>344</v>
      </c>
      <c r="D9" s="5">
        <v>3.0E8</v>
      </c>
      <c r="E9" s="5">
        <v>1.0E9</v>
      </c>
      <c r="F9" s="5">
        <v>1.0E9</v>
      </c>
      <c r="G9" s="5">
        <v>3.0E8</v>
      </c>
      <c r="H9" s="15" t="s">
        <v>345</v>
      </c>
      <c r="I9" s="3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2.5" customHeight="1">
      <c r="A10" s="14">
        <v>46005.0</v>
      </c>
      <c r="B10" s="8" t="s">
        <v>179</v>
      </c>
      <c r="C10" s="15" t="s">
        <v>344</v>
      </c>
      <c r="D10" s="3"/>
      <c r="E10" s="3"/>
      <c r="F10" s="5">
        <v>8.0E8</v>
      </c>
      <c r="G10" s="5">
        <v>5.0E8</v>
      </c>
      <c r="H10" s="15" t="s">
        <v>346</v>
      </c>
      <c r="I10" s="3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22.5" customHeight="1">
      <c r="A11" s="14">
        <v>46014.0</v>
      </c>
      <c r="B11" s="9" t="s">
        <v>174</v>
      </c>
      <c r="C11" s="15" t="s">
        <v>344</v>
      </c>
      <c r="D11" s="3"/>
      <c r="E11" s="3"/>
      <c r="F11" s="3"/>
      <c r="G11" s="5">
        <v>5.0E8</v>
      </c>
      <c r="H11" s="15" t="s">
        <v>346</v>
      </c>
      <c r="I11" s="3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2.5" customHeight="1">
      <c r="A12" s="14">
        <v>46018.0</v>
      </c>
      <c r="B12" s="9" t="s">
        <v>174</v>
      </c>
      <c r="C12" s="15" t="s">
        <v>344</v>
      </c>
      <c r="D12" s="5">
        <v>5.0E8</v>
      </c>
      <c r="E12" s="5">
        <v>1.5E9</v>
      </c>
      <c r="F12" s="3"/>
      <c r="G12" s="3"/>
      <c r="H12" s="15" t="s">
        <v>346</v>
      </c>
      <c r="I12" s="3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2.5" customHeight="1">
      <c r="A13" s="14">
        <v>46019.0</v>
      </c>
      <c r="B13" s="8" t="s">
        <v>179</v>
      </c>
      <c r="C13" s="15" t="s">
        <v>344</v>
      </c>
      <c r="D13" s="3"/>
      <c r="E13" s="3"/>
      <c r="F13" s="5">
        <v>8.0E8</v>
      </c>
      <c r="G13" s="5">
        <v>2.0E8</v>
      </c>
      <c r="H13" s="15" t="s">
        <v>346</v>
      </c>
      <c r="I13" s="3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2.5" customHeight="1">
      <c r="A14" s="14">
        <v>46020.0</v>
      </c>
      <c r="B14" s="9" t="s">
        <v>171</v>
      </c>
      <c r="C14" s="15" t="s">
        <v>344</v>
      </c>
      <c r="D14" s="5">
        <v>1.0E9</v>
      </c>
      <c r="E14" s="5">
        <v>1.0E9</v>
      </c>
      <c r="F14" s="5">
        <v>1.0E9</v>
      </c>
      <c r="G14" s="5">
        <v>8.0E8</v>
      </c>
      <c r="H14" s="15" t="s">
        <v>346</v>
      </c>
      <c r="I14" s="3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2.5" customHeight="1">
      <c r="A15" s="14">
        <v>46021.0</v>
      </c>
      <c r="B15" s="8" t="s">
        <v>205</v>
      </c>
      <c r="C15" s="15" t="s">
        <v>344</v>
      </c>
      <c r="D15" s="5">
        <v>4.0E8</v>
      </c>
      <c r="E15" s="5">
        <v>6.0E8</v>
      </c>
      <c r="F15" s="3"/>
      <c r="G15" s="5">
        <v>2.5E8</v>
      </c>
      <c r="H15" s="15" t="s">
        <v>345</v>
      </c>
      <c r="I15" s="3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2.5" customHeight="1">
      <c r="A16" s="14">
        <v>46021.0</v>
      </c>
      <c r="B16" s="9" t="s">
        <v>43</v>
      </c>
      <c r="C16" s="15" t="s">
        <v>344</v>
      </c>
      <c r="D16" s="3"/>
      <c r="E16" s="5">
        <v>8.0E8</v>
      </c>
      <c r="F16" s="3"/>
      <c r="G16" s="3"/>
      <c r="H16" s="15" t="s">
        <v>346</v>
      </c>
      <c r="I16" s="3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5.75" customHeight="1">
      <c r="A17" s="14">
        <v>46025.0</v>
      </c>
      <c r="B17" s="9" t="s">
        <v>165</v>
      </c>
      <c r="C17" s="15" t="s">
        <v>344</v>
      </c>
      <c r="D17" s="3"/>
      <c r="E17" s="5">
        <v>8.0E8</v>
      </c>
      <c r="F17" s="3"/>
      <c r="G17" s="5">
        <v>1.0E8</v>
      </c>
      <c r="H17" s="15" t="s">
        <v>346</v>
      </c>
      <c r="I17" s="3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5.75" customHeight="1">
      <c r="A18" s="14">
        <v>46026.0</v>
      </c>
      <c r="B18" s="9" t="s">
        <v>171</v>
      </c>
      <c r="C18" s="15" t="s">
        <v>344</v>
      </c>
      <c r="D18" s="5">
        <v>8.0E8</v>
      </c>
      <c r="E18" s="5">
        <v>5.0E8</v>
      </c>
      <c r="F18" s="5">
        <v>8.0E8</v>
      </c>
      <c r="G18" s="5">
        <v>1.0E8</v>
      </c>
      <c r="H18" s="15" t="s">
        <v>346</v>
      </c>
      <c r="I18" s="3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5.75" customHeight="1">
      <c r="A19" s="14">
        <v>46028.0</v>
      </c>
      <c r="B19" s="3" t="s">
        <v>183</v>
      </c>
      <c r="C19" s="15" t="s">
        <v>344</v>
      </c>
      <c r="D19" s="5">
        <v>8.0E8</v>
      </c>
      <c r="E19" s="5">
        <v>8.0E8</v>
      </c>
      <c r="F19" s="5">
        <v>8.0E8</v>
      </c>
      <c r="G19" s="5">
        <v>2.0E8</v>
      </c>
      <c r="H19" s="15" t="s">
        <v>345</v>
      </c>
      <c r="I19" s="3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5.75" customHeight="1">
      <c r="A20" s="14">
        <v>46028.0</v>
      </c>
      <c r="B20" s="9" t="s">
        <v>138</v>
      </c>
      <c r="C20" s="15" t="s">
        <v>344</v>
      </c>
      <c r="D20" s="5">
        <v>1.0E8</v>
      </c>
      <c r="E20" s="3"/>
      <c r="F20" s="5">
        <v>1.0E8</v>
      </c>
      <c r="G20" s="3"/>
      <c r="H20" s="15" t="s">
        <v>346</v>
      </c>
      <c r="I20" s="3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5.75" customHeight="1">
      <c r="A21" s="14">
        <v>46032.0</v>
      </c>
      <c r="B21" s="8" t="s">
        <v>179</v>
      </c>
      <c r="C21" s="15" t="s">
        <v>344</v>
      </c>
      <c r="D21" s="3"/>
      <c r="E21" s="3"/>
      <c r="F21" s="5">
        <v>5.0E8</v>
      </c>
      <c r="G21" s="3"/>
      <c r="H21" s="15" t="s">
        <v>346</v>
      </c>
      <c r="I21" s="3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5.75" customHeight="1">
      <c r="A22" s="14">
        <v>46032.0</v>
      </c>
      <c r="B22" s="8" t="s">
        <v>205</v>
      </c>
      <c r="C22" s="15" t="s">
        <v>344</v>
      </c>
      <c r="D22" s="3"/>
      <c r="E22" s="5">
        <v>6.5E8</v>
      </c>
      <c r="F22" s="3"/>
      <c r="G22" s="5">
        <v>1.0E8</v>
      </c>
      <c r="H22" s="15" t="s">
        <v>346</v>
      </c>
      <c r="I22" s="3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5.75" customHeight="1">
      <c r="A23" s="14">
        <v>46032.0</v>
      </c>
      <c r="B23" s="9" t="s">
        <v>63</v>
      </c>
      <c r="C23" s="15" t="s">
        <v>344</v>
      </c>
      <c r="D23" s="5">
        <v>5.0E8</v>
      </c>
      <c r="E23" s="3"/>
      <c r="F23" s="3"/>
      <c r="G23" s="5">
        <v>5.0E7</v>
      </c>
      <c r="H23" s="15" t="s">
        <v>346</v>
      </c>
      <c r="I23" s="3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5.75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5.75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5.75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5.75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5.75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5.75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5.75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5.75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5.75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5.75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5.75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5.75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5.75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5.75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5.75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5.75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5.75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5.75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5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5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5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5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5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5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5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5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5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5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5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5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5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5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5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5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15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15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15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15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15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15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15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15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15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15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15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15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15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15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15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15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15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15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15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15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15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15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15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15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15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15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15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15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15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15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15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15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15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15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15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15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15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15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15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15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15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15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15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15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15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15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15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15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15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15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15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15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15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15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15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15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15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15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15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15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15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15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15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15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15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15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15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15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15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15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15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15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15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15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15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15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15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15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15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15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15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15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15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5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15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15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15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15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15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15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15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15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15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15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15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15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15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15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15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15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15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15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15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15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15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15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15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15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15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15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15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15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15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15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15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15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15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15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15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15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15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15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15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15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15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15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15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15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15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15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15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15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15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15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15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15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15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15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15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15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15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15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15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15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15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15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15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15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15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15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15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15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15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15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15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15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15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15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15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15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15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15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15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15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15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15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15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15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15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15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15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15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15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15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15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15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15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15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15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15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15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15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15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15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15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15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15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15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15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15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15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15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15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15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15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15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15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15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15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15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15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15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15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15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15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15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15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15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15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15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15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15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15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15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15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15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15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15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15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15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15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15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15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15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15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</sheetData>
  <dataValidations>
    <dataValidation type="list" allowBlank="1" sqref="H2:H23">
      <formula1>"Helios,Kay"</formula1>
    </dataValidation>
    <dataValidation type="custom" allowBlank="1" showDropDown="1" sqref="A2:A23">
      <formula1>OR(NOT(ISERROR(DATEVALUE(A2))), AND(ISNUMBER(A2), LEFT(CELL("format", A2))="D"))</formula1>
    </dataValidation>
    <dataValidation type="list" allowBlank="1" sqref="C2:C23">
      <formula1>"Fight,Bank transfer"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