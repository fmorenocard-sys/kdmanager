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14_2_2026" sheetId="2" r:id="rId6"/>
    <sheet state="visible" name="31_1_2026" sheetId="3" r:id="rId7"/>
    <sheet state="visible" name="25_1_2026" sheetId="4" r:id="rId8"/>
    <sheet state="visible" name="10_1_2026" sheetId="5" r:id="rId9"/>
    <sheet state="visible" name="6_1_2025" sheetId="6" r:id="rId10"/>
    <sheet state="visible" name="22_12_2025" sheetId="7" r:id="rId11"/>
    <sheet state="visible" name="15_12_2025" sheetId="8" r:id="rId12"/>
    <sheet state="visible" name="11_12_2025" sheetId="9" r:id="rId13"/>
    <sheet state="visible" name="21_11_2025" sheetId="10" r:id="rId14"/>
    <sheet state="visible" name="8_11_2025" sheetId="11" r:id="rId15"/>
    <sheet state="visible" name="19_10_2025" sheetId="12" r:id="rId16"/>
  </sheets>
  <definedNames/>
  <calcPr/>
</workbook>
</file>

<file path=xl/sharedStrings.xml><?xml version="1.0" encoding="utf-8"?>
<sst xmlns="http://schemas.openxmlformats.org/spreadsheetml/2006/main" count="6943" uniqueCount="686">
  <si>
    <t>Kingdom 2997 Dashboard</t>
  </si>
  <si>
    <t xml:space="preserve">Enter Goovernor ID: </t>
  </si>
  <si>
    <t>Individual Statistics</t>
  </si>
  <si>
    <t>Scan Date</t>
  </si>
  <si>
    <t>Name</t>
  </si>
  <si>
    <t>Power</t>
  </si>
  <si>
    <t>Killpoints</t>
  </si>
  <si>
    <t>Deads</t>
  </si>
  <si>
    <t>T4 Kills</t>
  </si>
  <si>
    <t>T5 Kills</t>
  </si>
  <si>
    <t>Ranged</t>
  </si>
  <si>
    <t>Rss Gathered</t>
  </si>
  <si>
    <t>Rss Assistance</t>
  </si>
  <si>
    <t>Helps</t>
  </si>
  <si>
    <t>Alliance</t>
  </si>
  <si>
    <t>City Hall</t>
  </si>
  <si>
    <t>Estimate Power Increase to 5 March 2026</t>
  </si>
  <si>
    <t>Linear Growth</t>
  </si>
  <si>
    <t>Current Power</t>
  </si>
  <si>
    <t>Rate</t>
  </si>
  <si>
    <t>Time</t>
  </si>
  <si>
    <t>Estimate</t>
  </si>
  <si>
    <t>% Rate</t>
  </si>
  <si>
    <t>% Growth</t>
  </si>
  <si>
    <t>Estimate = Current Power + (Rate of Change x Time)</t>
  </si>
  <si>
    <t>30 Days</t>
  </si>
  <si>
    <t>Rate of Change Per Week (7 Days)</t>
  </si>
  <si>
    <t>Percentage Growth</t>
  </si>
  <si>
    <t>Estimae = Current Power x (1 + %Rate)^(i)4weeks</t>
  </si>
  <si>
    <t>if negative; Power Decrease</t>
  </si>
  <si>
    <t>Kingdom Statistics</t>
  </si>
  <si>
    <t xml:space="preserve">Top 10 Individual Power Last Scan </t>
  </si>
  <si>
    <t>ID</t>
  </si>
  <si>
    <t>ᵁᴺOdin</t>
  </si>
  <si>
    <t>[U97]Unitas</t>
  </si>
  <si>
    <t>ᵁᴺPisontije</t>
  </si>
  <si>
    <t>Adam23</t>
  </si>
  <si>
    <t>ᵁᴺUğur</t>
  </si>
  <si>
    <t>KIM J0NGᵁᴺ</t>
  </si>
  <si>
    <t>ᵁᴺHeliosツ</t>
  </si>
  <si>
    <t>ᵁᴺBig Kayシ</t>
  </si>
  <si>
    <t>Keshiba ツ</t>
  </si>
  <si>
    <t>ᵁᴺLazy Catツ</t>
  </si>
  <si>
    <t>Siyempi</t>
  </si>
  <si>
    <t xml:space="preserve">Top 10 Individual Kill Point Last Scan </t>
  </si>
  <si>
    <t>ᵁᴺ乄Bツ</t>
  </si>
  <si>
    <t>BOOND</t>
  </si>
  <si>
    <t>ᵁᴺSexyRickツ</t>
  </si>
  <si>
    <t>Luki92</t>
  </si>
  <si>
    <t xml:space="preserve">Top 10 Individual Help Last Scan </t>
  </si>
  <si>
    <t>Ngacai</t>
  </si>
  <si>
    <t>ᵁᴺ・ Maka</t>
  </si>
  <si>
    <t>Ray i</t>
  </si>
  <si>
    <t>ᵁᴺNarcissus</t>
  </si>
  <si>
    <t>2997 Kingdom Stats Scan</t>
  </si>
  <si>
    <t>Kill Points</t>
  </si>
  <si>
    <t>Total CH 25</t>
  </si>
  <si>
    <t>Power Diff</t>
  </si>
  <si>
    <t>T1 Kills</t>
  </si>
  <si>
    <t>Location</t>
  </si>
  <si>
    <t>Notes</t>
  </si>
  <si>
    <t>FromKiev1122</t>
  </si>
  <si>
    <t>ᵀᴺ Yakoo</t>
  </si>
  <si>
    <t>ᵁᴺ Tequila</t>
  </si>
  <si>
    <t>AmiralMaximus</t>
  </si>
  <si>
    <t>㐅 Kookie</t>
  </si>
  <si>
    <t>-</t>
  </si>
  <si>
    <t>FIREWoLF</t>
  </si>
  <si>
    <t>亗 Intersect</t>
  </si>
  <si>
    <t>㐅 Barto</t>
  </si>
  <si>
    <t>ᵁᴺSnowWoLF</t>
  </si>
  <si>
    <t>ᵁᴺ Saxon</t>
  </si>
  <si>
    <t>メCalメ</t>
  </si>
  <si>
    <t>Vill Báalam</t>
  </si>
  <si>
    <t>Son of Odin2997</t>
  </si>
  <si>
    <t>ᵁᴺ Nizam</t>
  </si>
  <si>
    <t>亗Zolotashkoツ</t>
  </si>
  <si>
    <t>ᵁᴺesor</t>
  </si>
  <si>
    <t>ᴴᵘⁿBéo</t>
  </si>
  <si>
    <t>Ħeřr Şimôñ</t>
  </si>
  <si>
    <t>Urkel94</t>
  </si>
  <si>
    <t>ᵁᴺAnshii</t>
  </si>
  <si>
    <t>ᵁᴺAurionツ</t>
  </si>
  <si>
    <t>Bавилoн</t>
  </si>
  <si>
    <t>ᵀᵒᴿQuyet</t>
  </si>
  <si>
    <t>Darth ShүNøX</t>
  </si>
  <si>
    <t>ᵁᴺPraMaツ</t>
  </si>
  <si>
    <t>ᵁᴺSeckin34</t>
  </si>
  <si>
    <t>R7R7</t>
  </si>
  <si>
    <t>ᵁᴺᴋᴀʏシ</t>
  </si>
  <si>
    <t>Steelite</t>
  </si>
  <si>
    <t>OkBanSeChet</t>
  </si>
  <si>
    <t>Dreckschlumpf</t>
  </si>
  <si>
    <t>ᵂʷ LTA TáO</t>
  </si>
  <si>
    <t>[A9T7]Allegia</t>
  </si>
  <si>
    <t>ᵁⁿ NąHƴ ジ</t>
  </si>
  <si>
    <t>ᵁᴺDompfX</t>
  </si>
  <si>
    <t>Tzilacatzin</t>
  </si>
  <si>
    <t>ᵛᶰシSunシ</t>
  </si>
  <si>
    <t>ᵀᵒSirix8472</t>
  </si>
  <si>
    <t>ᵁᴺ乄Bツツ</t>
  </si>
  <si>
    <t>yamen Di</t>
  </si>
  <si>
    <t>[eGf]Alasso valor</t>
  </si>
  <si>
    <t>KaizerX</t>
  </si>
  <si>
    <t>乂 マoddi 乂</t>
  </si>
  <si>
    <t>ŻŸŁÜĶ㋡</t>
  </si>
  <si>
    <t>GAGS</t>
  </si>
  <si>
    <t>シ Antonito シ</t>
  </si>
  <si>
    <t>ᵁᴺSeeker</t>
  </si>
  <si>
    <t>ᵁᴺFiLLer97</t>
  </si>
  <si>
    <t>Lord Valkorion</t>
  </si>
  <si>
    <t>dilli</t>
  </si>
  <si>
    <t>ᵁᴺGreb</t>
  </si>
  <si>
    <t>BabySexyRick</t>
  </si>
  <si>
    <t>ᵁᴺJoolsツ</t>
  </si>
  <si>
    <t>ゎ ShүNøX</t>
  </si>
  <si>
    <t>亗 DONJAN 亗</t>
  </si>
  <si>
    <t>ᵁᴺLiwenツ</t>
  </si>
  <si>
    <t>BeyyGirl</t>
  </si>
  <si>
    <t>[GYDT]Titans of Conquer</t>
  </si>
  <si>
    <t>AdriiGF94</t>
  </si>
  <si>
    <t>ᵁᴺOhanaツ</t>
  </si>
  <si>
    <t>ᵁᴺCesar82</t>
  </si>
  <si>
    <t>SkrimDawg</t>
  </si>
  <si>
    <t>[F97s]INTR GUILD</t>
  </si>
  <si>
    <t>VandraG</t>
  </si>
  <si>
    <t>[KWIO7]ILNT_Chién</t>
  </si>
  <si>
    <t>Losant</t>
  </si>
  <si>
    <t>[are]Pueblos Nativos 2997</t>
  </si>
  <si>
    <t>H ム I D E R</t>
  </si>
  <si>
    <t>MicolinoRJ</t>
  </si>
  <si>
    <t>ᵁᴺSmurfette</t>
  </si>
  <si>
    <t>FixiHartMan1</t>
  </si>
  <si>
    <t>ˣˢHelios</t>
  </si>
  <si>
    <t>IZY</t>
  </si>
  <si>
    <t>ᵛᶰsad duckシ</t>
  </si>
  <si>
    <t>madelene</t>
  </si>
  <si>
    <t>ᶜᴸCesar82</t>
  </si>
  <si>
    <t>亗 Int Bully</t>
  </si>
  <si>
    <t>メSuper Manメ</t>
  </si>
  <si>
    <t>ᵁᴺJools Jnr</t>
  </si>
  <si>
    <t>welllaaaaaaaaaa</t>
  </si>
  <si>
    <t>ᵁᴺSexyMaka</t>
  </si>
  <si>
    <t>T5Player</t>
  </si>
  <si>
    <t>NT ĐVL1</t>
  </si>
  <si>
    <t>DNAヅMario</t>
  </si>
  <si>
    <t>Cashmoney420</t>
  </si>
  <si>
    <t>[C97]Centuria</t>
  </si>
  <si>
    <t>ᵁᴺCTAMツ</t>
  </si>
  <si>
    <t>乄Eşkiya46乄</t>
  </si>
  <si>
    <t>义Zeebabz义</t>
  </si>
  <si>
    <t>ᴸᵒᶠ Mz</t>
  </si>
  <si>
    <t>SP L3</t>
  </si>
  <si>
    <t>[097]0Obscura</t>
  </si>
  <si>
    <t>ツ ʂìʍøñ</t>
  </si>
  <si>
    <t>SHE BEATS ME</t>
  </si>
  <si>
    <t>MoNsTa</t>
  </si>
  <si>
    <t>MaximusFill</t>
  </si>
  <si>
    <t>NopeNope</t>
  </si>
  <si>
    <t>Sweet Kit Cat</t>
  </si>
  <si>
    <t>HX BekoBaba</t>
  </si>
  <si>
    <t>ᵁᴺLiu D</t>
  </si>
  <si>
    <t>RummyGill</t>
  </si>
  <si>
    <t>メBaban メ</t>
  </si>
  <si>
    <t>izmitli</t>
  </si>
  <si>
    <t>[L97]Luminata</t>
  </si>
  <si>
    <t>Jasper Lovejoy</t>
  </si>
  <si>
    <t>LOSANT BORED</t>
  </si>
  <si>
    <t>乄Bツ4</t>
  </si>
  <si>
    <t>CABJLorena</t>
  </si>
  <si>
    <t>WarLockF3</t>
  </si>
  <si>
    <t>Лукас12365</t>
  </si>
  <si>
    <t>ᶟᶦAntony925</t>
  </si>
  <si>
    <t>[H-97]Hualamonky</t>
  </si>
  <si>
    <t>Marclint</t>
  </si>
  <si>
    <t>[Z97]Zetwickepstein</t>
  </si>
  <si>
    <t>恵子美</t>
  </si>
  <si>
    <t>XxBAMBINOxX</t>
  </si>
  <si>
    <t>ﾒUğurﾒfarm1</t>
  </si>
  <si>
    <t>DianerysTarg</t>
  </si>
  <si>
    <t>EJDER05</t>
  </si>
  <si>
    <t>[Huii]Lithnity</t>
  </si>
  <si>
    <t>义DavosServant</t>
  </si>
  <si>
    <t>ᶜʳˣ MUCAHIT</t>
  </si>
  <si>
    <t>絆ノOdinson</t>
  </si>
  <si>
    <t>Valhallas Gate</t>
  </si>
  <si>
    <t>Yakoo2</t>
  </si>
  <si>
    <t>ErklärbärGrr</t>
  </si>
  <si>
    <t>Solinar ツ</t>
  </si>
  <si>
    <t>prince slavik</t>
  </si>
  <si>
    <t>ﾒUğurﾒfarm</t>
  </si>
  <si>
    <t>BabyPisontije</t>
  </si>
  <si>
    <t>Yurich666</t>
  </si>
  <si>
    <t>TrianaPetit</t>
  </si>
  <si>
    <t>YePHieL</t>
  </si>
  <si>
    <t>ﾒUğurﾒfarm2</t>
  </si>
  <si>
    <t>gashishANDREY</t>
  </si>
  <si>
    <t>KIM BANK</t>
  </si>
  <si>
    <t>KRBK</t>
  </si>
  <si>
    <t>ᴸˢ Sunshine</t>
  </si>
  <si>
    <t>Tequila Msrfrm</t>
  </si>
  <si>
    <t>乄Bツ1</t>
  </si>
  <si>
    <t>ᵂᴾHelios</t>
  </si>
  <si>
    <t>ᵁᴺOhana Jrツ</t>
  </si>
  <si>
    <t>乄Narcissus</t>
  </si>
  <si>
    <t>Dron 38</t>
  </si>
  <si>
    <t>[KTaL]1939 family</t>
  </si>
  <si>
    <t>ᴋAYtastrophe</t>
  </si>
  <si>
    <t>ᴸˢ Moonlight</t>
  </si>
  <si>
    <t>CHRYS farm1</t>
  </si>
  <si>
    <t>Osut Urashiki</t>
  </si>
  <si>
    <t>BabySexyRick6</t>
  </si>
  <si>
    <t>Steelite farm</t>
  </si>
  <si>
    <t>Nizam Fill1</t>
  </si>
  <si>
    <t>CalFam1</t>
  </si>
  <si>
    <t>LiMON</t>
  </si>
  <si>
    <t>Intersect F</t>
  </si>
  <si>
    <t>PraMa Jr</t>
  </si>
  <si>
    <t>Tequila Frm</t>
  </si>
  <si>
    <t>roimeefarm</t>
  </si>
  <si>
    <t>[N97]Nobilia</t>
  </si>
  <si>
    <t>Jools F1</t>
  </si>
  <si>
    <t>brayandavid</t>
  </si>
  <si>
    <t>DONJAN Farm</t>
  </si>
  <si>
    <t>Uğur farm</t>
  </si>
  <si>
    <t>ᴸᶠ백화점 진열대</t>
  </si>
  <si>
    <t>BabySexyRick1</t>
  </si>
  <si>
    <t>LilPisontije</t>
  </si>
  <si>
    <t>Правитель151513261</t>
  </si>
  <si>
    <t>DONJAN Farm2</t>
  </si>
  <si>
    <t>Kookkies Farm2</t>
  </si>
  <si>
    <t>nik54x</t>
  </si>
  <si>
    <t>ᵂʷ Ray iif</t>
  </si>
  <si>
    <t>Steels farm</t>
  </si>
  <si>
    <t>HeliøsG2</t>
  </si>
  <si>
    <t>RW 004 RT 005</t>
  </si>
  <si>
    <t>esor2 farm</t>
  </si>
  <si>
    <t>AFKay</t>
  </si>
  <si>
    <t>Kookkies Farm</t>
  </si>
  <si>
    <t>Writer11</t>
  </si>
  <si>
    <t>[LF=1]cGH13</t>
  </si>
  <si>
    <t>Wlad99</t>
  </si>
  <si>
    <t>GAGSf1</t>
  </si>
  <si>
    <t>Statthalter120777788</t>
  </si>
  <si>
    <t>GTI 2997 17</t>
  </si>
  <si>
    <t>ᴸᶠTÜRKkaan</t>
  </si>
  <si>
    <t>bartojunior</t>
  </si>
  <si>
    <t>Son of Odin 3</t>
  </si>
  <si>
    <t>CalFam2</t>
  </si>
  <si>
    <t>GTI 2997 19</t>
  </si>
  <si>
    <t>VilTepeyóllotl</t>
  </si>
  <si>
    <t>K0la</t>
  </si>
  <si>
    <t>乄Eşkiy46乄</t>
  </si>
  <si>
    <t>GTI 2997 20</t>
  </si>
  <si>
    <t>EosFarm</t>
  </si>
  <si>
    <t>Gubernur71555883</t>
  </si>
  <si>
    <t>乄Narcissus 2</t>
  </si>
  <si>
    <t>GAGSf3</t>
  </si>
  <si>
    <t>ᴸˢ Starlight</t>
  </si>
  <si>
    <t>DavidUnU</t>
  </si>
  <si>
    <t>Tequila Taşfrm</t>
  </si>
  <si>
    <t>CalFamIV</t>
  </si>
  <si>
    <t>SnowFarm4</t>
  </si>
  <si>
    <t>велл</t>
  </si>
  <si>
    <t>[B-ki]Bel king</t>
  </si>
  <si>
    <t>FreeToHarvest</t>
  </si>
  <si>
    <t>Farm Béo Farm</t>
  </si>
  <si>
    <t>NoActivity</t>
  </si>
  <si>
    <t>Zolotashko</t>
  </si>
  <si>
    <t>Ogmmb</t>
  </si>
  <si>
    <t>Ngacai Farm 4</t>
  </si>
  <si>
    <t>GTI 2997 18</t>
  </si>
  <si>
    <t>Ngacai Farm 3</t>
  </si>
  <si>
    <t>yamen Di 0</t>
  </si>
  <si>
    <t>Liwen F1</t>
  </si>
  <si>
    <t>GTI 2997 43</t>
  </si>
  <si>
    <t>Kookies Farm3</t>
  </si>
  <si>
    <t>cikhantu2002</t>
  </si>
  <si>
    <t>ᴋᴀʏKayBoom</t>
  </si>
  <si>
    <t>GTI 2997 49</t>
  </si>
  <si>
    <t>Vill Huracán</t>
  </si>
  <si>
    <t>Gubernur71567044</t>
  </si>
  <si>
    <t>[VnCt]Gran Imperio 00100</t>
  </si>
  <si>
    <t>Seckin34farm</t>
  </si>
  <si>
    <t>HeliøsG1</t>
  </si>
  <si>
    <t>GTI 2997 42</t>
  </si>
  <si>
    <t>GTI 2997 36</t>
  </si>
  <si>
    <t>GTI 2997 37</t>
  </si>
  <si>
    <t>GTI 2997 41</t>
  </si>
  <si>
    <t>Вавилон4</t>
  </si>
  <si>
    <t>godgel fArm</t>
  </si>
  <si>
    <t>Makazpuszczy</t>
  </si>
  <si>
    <t>Maka oui oui</t>
  </si>
  <si>
    <t>ZYLÜK FÄRMËR</t>
  </si>
  <si>
    <t>Liwen F3</t>
  </si>
  <si>
    <t>NT ĐVLfam1</t>
  </si>
  <si>
    <t>Saftladenn</t>
  </si>
  <si>
    <t>lord 4 u</t>
  </si>
  <si>
    <t>Urkel94Farm</t>
  </si>
  <si>
    <t>Liwen F2</t>
  </si>
  <si>
    <t>GAGSf2</t>
  </si>
  <si>
    <t>GTI 2997 48</t>
  </si>
  <si>
    <t>乄Bツ2</t>
  </si>
  <si>
    <t>Màka</t>
  </si>
  <si>
    <t>AnshiiFarm</t>
  </si>
  <si>
    <t>GTI 2997 21</t>
  </si>
  <si>
    <t>GTI 2997 45</t>
  </si>
  <si>
    <t>Taty  233</t>
  </si>
  <si>
    <t>乄Narcissus 3</t>
  </si>
  <si>
    <t>Tristan26</t>
  </si>
  <si>
    <t>Maka baby</t>
  </si>
  <si>
    <t>Вавилон2</t>
  </si>
  <si>
    <t>GTI 2997 22</t>
  </si>
  <si>
    <t>Lørena farm</t>
  </si>
  <si>
    <t>Son of Odin5</t>
  </si>
  <si>
    <t>Franky Farming</t>
  </si>
  <si>
    <t>GTI 2997 13</t>
  </si>
  <si>
    <t>ᴸˢ Mistral</t>
  </si>
  <si>
    <t>GTI 2997 44</t>
  </si>
  <si>
    <t>Вавилон1</t>
  </si>
  <si>
    <t>Son of Odin7</t>
  </si>
  <si>
    <t>Vali137872510</t>
  </si>
  <si>
    <t>CalFam3</t>
  </si>
  <si>
    <t>๖Mưa๛Xuân</t>
  </si>
  <si>
    <t>Mąkita</t>
  </si>
  <si>
    <t>Bubblune 1</t>
  </si>
  <si>
    <t>Mini Sun f3</t>
  </si>
  <si>
    <t>[097]Obscura</t>
  </si>
  <si>
    <t>ᵁᴼ NąHƴ</t>
  </si>
  <si>
    <t>AurionW1</t>
  </si>
  <si>
    <t>Правитель107025764</t>
  </si>
  <si>
    <t>GTI 2997 12</t>
  </si>
  <si>
    <t>GrebF3</t>
  </si>
  <si>
    <t>SimonTheFarmer</t>
  </si>
  <si>
    <t>ZYLUK FARMER 3</t>
  </si>
  <si>
    <t>H ム l D E R</t>
  </si>
  <si>
    <t>Maka lil</t>
  </si>
  <si>
    <t>BabySexyRick4</t>
  </si>
  <si>
    <t>nagz</t>
  </si>
  <si>
    <t>GTI 2997 15</t>
  </si>
  <si>
    <t>Maka lill</t>
  </si>
  <si>
    <t>GAGSf5</t>
  </si>
  <si>
    <t>Girl Zolo</t>
  </si>
  <si>
    <t>Łuki9 farma</t>
  </si>
  <si>
    <t>KIM WOOD I</t>
  </si>
  <si>
    <t>Ugur farmi</t>
  </si>
  <si>
    <t>KIM WOOD II</t>
  </si>
  <si>
    <t>bartojuniorfood</t>
  </si>
  <si>
    <t>Ray ii</t>
  </si>
  <si>
    <t>KIM GOLD III</t>
  </si>
  <si>
    <t>Governor143576897</t>
  </si>
  <si>
    <t>Máka</t>
  </si>
  <si>
    <t>ZYLUK FARMER 4</t>
  </si>
  <si>
    <t>KIM FOOD I</t>
  </si>
  <si>
    <t>KIM FOOD II</t>
  </si>
  <si>
    <t>Seckin34farm2</t>
  </si>
  <si>
    <t>GTI 2997 38</t>
  </si>
  <si>
    <t>Jason Broughten</t>
  </si>
  <si>
    <t>Governor144075852</t>
  </si>
  <si>
    <t>KIM GOLD IV</t>
  </si>
  <si>
    <t>Вавилон3</t>
  </si>
  <si>
    <t>KIM GOLD II</t>
  </si>
  <si>
    <t>Only CH Level 25</t>
  </si>
  <si>
    <t>Total CH Level 25</t>
  </si>
  <si>
    <t>RiP2016</t>
  </si>
  <si>
    <t>Lazy Jools</t>
  </si>
  <si>
    <t>ᵁᴺRking79</t>
  </si>
  <si>
    <t>Laze Bobr</t>
  </si>
  <si>
    <t>PickleShadowツ</t>
  </si>
  <si>
    <t>ᵁᴺOxygen ヤ</t>
  </si>
  <si>
    <t>Intersect 2</t>
  </si>
  <si>
    <t>Jools Jnr</t>
  </si>
  <si>
    <t>Chocoツ</t>
  </si>
  <si>
    <t>[ryhb]Lithnity</t>
  </si>
  <si>
    <t>Bloomerfarm2</t>
  </si>
  <si>
    <t>lazy wawa</t>
  </si>
  <si>
    <t>ᴸᶠFlaZzerEd</t>
  </si>
  <si>
    <t>Undertaker56</t>
  </si>
  <si>
    <t>ᴬᴾTehe</t>
  </si>
  <si>
    <t>Alaiye82</t>
  </si>
  <si>
    <t>Фарм 2016</t>
  </si>
  <si>
    <t>Saber Farm4</t>
  </si>
  <si>
    <t>kutubesi</t>
  </si>
  <si>
    <t>PheonixTMM</t>
  </si>
  <si>
    <t>TitanMRUPheonix</t>
  </si>
  <si>
    <t>Saber Farm5</t>
  </si>
  <si>
    <t>Choco farm 1ツ</t>
  </si>
  <si>
    <t>Rip 2016 m</t>
  </si>
  <si>
    <t>Marcus Antoine</t>
  </si>
  <si>
    <t>Governor144103550</t>
  </si>
  <si>
    <t>GAGSf4</t>
  </si>
  <si>
    <t>執政官144044666</t>
  </si>
  <si>
    <t>punketo45</t>
  </si>
  <si>
    <t>Wąż Boa</t>
  </si>
  <si>
    <t>Governor143357945</t>
  </si>
  <si>
    <t>Eesha Shanum</t>
  </si>
  <si>
    <t>[Y97]XeHTan</t>
  </si>
  <si>
    <t>KaPiTowKa</t>
  </si>
  <si>
    <t>DImas fajar</t>
  </si>
  <si>
    <t>FadhelF</t>
  </si>
  <si>
    <t>ᵂAᴿ Demon</t>
  </si>
  <si>
    <t>Arktos</t>
  </si>
  <si>
    <t>Enes 33</t>
  </si>
  <si>
    <t>Herakles ツ</t>
  </si>
  <si>
    <t>ᵂʷSaber</t>
  </si>
  <si>
    <t>Pickle Gnyxey</t>
  </si>
  <si>
    <t>Mazalteutl</t>
  </si>
  <si>
    <t>SIJUGUL GORAT</t>
  </si>
  <si>
    <t>AzeM</t>
  </si>
  <si>
    <t>Melottus</t>
  </si>
  <si>
    <t>Mictlan Tecutli</t>
  </si>
  <si>
    <t>[Owl_]Blood of Sparta</t>
  </si>
  <si>
    <t>TitanMARU</t>
  </si>
  <si>
    <t>General Mapo</t>
  </si>
  <si>
    <t>ᶟᶦ eXceL</t>
  </si>
  <si>
    <t>Vega13</t>
  </si>
  <si>
    <t>MAESTRR</t>
  </si>
  <si>
    <t>Kings  Landing</t>
  </si>
  <si>
    <t>LordGusto</t>
  </si>
  <si>
    <t>БОБОО79</t>
  </si>
  <si>
    <t>ᵁᴺroimee</t>
  </si>
  <si>
    <t>Gnyxey F1</t>
  </si>
  <si>
    <t>AzEm farm</t>
  </si>
  <si>
    <t>ᴸᶠnapasMARK</t>
  </si>
  <si>
    <t>乄Narcissus 1</t>
  </si>
  <si>
    <t>King Pumba</t>
  </si>
  <si>
    <t>[R/S]Reino del Sur</t>
  </si>
  <si>
    <t>Правитель144034173</t>
  </si>
  <si>
    <t>PRAMA FILL IT</t>
  </si>
  <si>
    <t>fatma lobo</t>
  </si>
  <si>
    <t>[f97]S Farming</t>
  </si>
  <si>
    <t>Sara Frost</t>
  </si>
  <si>
    <t>Saber Farm1</t>
  </si>
  <si>
    <t>tzuonggg</t>
  </si>
  <si>
    <t>Mefistofeles</t>
  </si>
  <si>
    <t>Fadehl farm 2</t>
  </si>
  <si>
    <t>Fadhel farm 3</t>
  </si>
  <si>
    <t>CHHORMSAMNANG33</t>
  </si>
  <si>
    <t>Ækīł</t>
  </si>
  <si>
    <t>Saber Farm2</t>
  </si>
  <si>
    <t>[SiP]Stoners in Pajamas</t>
  </si>
  <si>
    <t>[SiPP]Puppiesin Pajamas</t>
  </si>
  <si>
    <t>义CHRYS义</t>
  </si>
  <si>
    <t>Kurvernööri</t>
  </si>
  <si>
    <t>Mofu1</t>
  </si>
  <si>
    <t>乄jacony乄</t>
  </si>
  <si>
    <t>・Lazy Maka・</t>
  </si>
  <si>
    <t>Only Mayıstos</t>
  </si>
  <si>
    <t>SILVERHAND 乂</t>
  </si>
  <si>
    <t>PR puesto chico</t>
  </si>
  <si>
    <t>Тiамат 义</t>
  </si>
  <si>
    <t>DaddyMisha</t>
  </si>
  <si>
    <t>Loco361</t>
  </si>
  <si>
    <t>Northernman</t>
  </si>
  <si>
    <t>Fabregas97</t>
  </si>
  <si>
    <t>ᴮᵂBebel</t>
  </si>
  <si>
    <t>[DSw1l]Drangone Slayere</t>
  </si>
  <si>
    <t>ンShadowSamuraiン</t>
  </si>
  <si>
    <t>ᵗʳᵉSiyempi</t>
  </si>
  <si>
    <t>Gamula</t>
  </si>
  <si>
    <t>Pärabellum</t>
  </si>
  <si>
    <t>Gubernur144008600</t>
  </si>
  <si>
    <t>彡Makazbuszu</t>
  </si>
  <si>
    <t>PickleRickFarm2</t>
  </si>
  <si>
    <t>[SiPC]Covenant of Valhalla</t>
  </si>
  <si>
    <t>[0009]dungeons hunter 1</t>
  </si>
  <si>
    <t>SILVERFARM 乂</t>
  </si>
  <si>
    <t>Parabellum 2</t>
  </si>
  <si>
    <t>BAKİ HAN</t>
  </si>
  <si>
    <t>[Reto]O_Retorno</t>
  </si>
  <si>
    <t>GTI 2997 47</t>
  </si>
  <si>
    <t>Thống đốc117727896</t>
  </si>
  <si>
    <t>Król Świrów</t>
  </si>
  <si>
    <t>Parabellum 3</t>
  </si>
  <si>
    <t>Женя 36</t>
  </si>
  <si>
    <t>Kookies Farm5</t>
  </si>
  <si>
    <t>marsux</t>
  </si>
  <si>
    <t>TRsiyempi</t>
  </si>
  <si>
    <t>ᵀᶜ Tequila</t>
  </si>
  <si>
    <t>[2293]Silent Knights of 93</t>
  </si>
  <si>
    <t>[AFKT]Toc Orc</t>
  </si>
  <si>
    <t>乄Muhtarツ</t>
  </si>
  <si>
    <t>Tequila Altnfrm</t>
  </si>
  <si>
    <t>メWerciaメ</t>
  </si>
  <si>
    <t>CHRYS FARM3</t>
  </si>
  <si>
    <t>Gubernur105646511</t>
  </si>
  <si>
    <t>Na7w52</t>
  </si>
  <si>
    <t>Venom Psycho</t>
  </si>
  <si>
    <t>younan ezat</t>
  </si>
  <si>
    <t>ᵁᴺLêMinh</t>
  </si>
  <si>
    <t>[A97]Allegia</t>
  </si>
  <si>
    <t>ShүNøX ゎ</t>
  </si>
  <si>
    <t>[sFry]Small Fry Alliance</t>
  </si>
  <si>
    <t>Juno67</t>
  </si>
  <si>
    <t>Rockwell Junior</t>
  </si>
  <si>
    <t>D0KTOR</t>
  </si>
  <si>
    <t>HİTACHİ</t>
  </si>
  <si>
    <t>Diend</t>
  </si>
  <si>
    <t>СЛАДУР</t>
  </si>
  <si>
    <t>TURBO23</t>
  </si>
  <si>
    <t>Gregorius Nasic</t>
  </si>
  <si>
    <t>ᴱᵛᶦˡSA</t>
  </si>
  <si>
    <t>Nizamfarm</t>
  </si>
  <si>
    <t>Włodek Komuch</t>
  </si>
  <si>
    <t>mena ezat7</t>
  </si>
  <si>
    <t>mena ezat6</t>
  </si>
  <si>
    <t>BOOND FARM 2</t>
  </si>
  <si>
    <t>Gubernur144114562</t>
  </si>
  <si>
    <t>mena ezat 9</t>
  </si>
  <si>
    <t>XIPE TOTEC Oz</t>
  </si>
  <si>
    <t>Bearditch F1</t>
  </si>
  <si>
    <t>Gigad sigma</t>
  </si>
  <si>
    <t>FatCatBitesFarm</t>
  </si>
  <si>
    <t>Vali144105648</t>
  </si>
  <si>
    <t>Zielas Psycho</t>
  </si>
  <si>
    <t>ᴮᵒᵂdreXIN</t>
  </si>
  <si>
    <t>ɴᴏʙɪᴛa</t>
  </si>
  <si>
    <t>Gobernador144030384</t>
  </si>
  <si>
    <t>ᴹᴳKING1亗</t>
  </si>
  <si>
    <t>Daddy Prama</t>
  </si>
  <si>
    <t>Bonsy</t>
  </si>
  <si>
    <t>Гио Pika 么</t>
  </si>
  <si>
    <t>KurvernörFarm</t>
  </si>
  <si>
    <t>e s o r</t>
  </si>
  <si>
    <t>[BBOO]GDBOP</t>
  </si>
  <si>
    <t>Mashinaa</t>
  </si>
  <si>
    <t>oldfrm</t>
  </si>
  <si>
    <t>ヅKRIS PARKER 1</t>
  </si>
  <si>
    <t>Tekno23</t>
  </si>
  <si>
    <t>LAZY BOOND</t>
  </si>
  <si>
    <t>CrazyLady2</t>
  </si>
  <si>
    <t>ᵁᴺDaddyツ</t>
  </si>
  <si>
    <t>ᵁᴺUğur Jr</t>
  </si>
  <si>
    <t>smurfet87</t>
  </si>
  <si>
    <t>Łørd Shyпøx</t>
  </si>
  <si>
    <t>orbi22</t>
  </si>
  <si>
    <t>亗 BatMank 亗</t>
  </si>
  <si>
    <t>sd mique</t>
  </si>
  <si>
    <t>Lazy Smurfette</t>
  </si>
  <si>
    <t>Maximus core</t>
  </si>
  <si>
    <t>[THA]JustChilling</t>
  </si>
  <si>
    <t>SkullFroik</t>
  </si>
  <si>
    <t>Temirlan1</t>
  </si>
  <si>
    <t>IQOS nagibator</t>
  </si>
  <si>
    <t>OTTOMANŠ</t>
  </si>
  <si>
    <t>GPT40</t>
  </si>
  <si>
    <t>SZLACHCIC KAMA</t>
  </si>
  <si>
    <t>[RUX]SLAVA ROSSUJI</t>
  </si>
  <si>
    <t>TOMEK TARABASZ</t>
  </si>
  <si>
    <t>sd Mq</t>
  </si>
  <si>
    <t>ᴸᶠdarkAngel</t>
  </si>
  <si>
    <t>Chalva</t>
  </si>
  <si>
    <t>[wo!F]JWOLF Pack</t>
  </si>
  <si>
    <t>r u my papa</t>
  </si>
  <si>
    <t>Rking79FarmIn</t>
  </si>
  <si>
    <t>Oxygn farmヤ</t>
  </si>
  <si>
    <t>Zielas 11</t>
  </si>
  <si>
    <t>MuhammedYapar</t>
  </si>
  <si>
    <t>SILVERFARM 么</t>
  </si>
  <si>
    <t>Toux inferno</t>
  </si>
  <si>
    <t>L0ck in</t>
  </si>
  <si>
    <t>DươngSợYêu</t>
  </si>
  <si>
    <t>Sabano</t>
  </si>
  <si>
    <t>EageNOver</t>
  </si>
  <si>
    <t>ผู้ว่าการ279559</t>
  </si>
  <si>
    <t>CptParsian</t>
  </si>
  <si>
    <t>amigo555</t>
  </si>
  <si>
    <t>ᵁᴺOhana1ツ</t>
  </si>
  <si>
    <t>ᵐᵖOdin</t>
  </si>
  <si>
    <t>Pisontije</t>
  </si>
  <si>
    <t>Heliøsツ</t>
  </si>
  <si>
    <t>ƝÎ乙ĀⱮ</t>
  </si>
  <si>
    <t>Lazy Cat ツ</t>
  </si>
  <si>
    <t>乄Bツ</t>
  </si>
  <si>
    <t>SAX0N</t>
  </si>
  <si>
    <t>Aurionツ</t>
  </si>
  <si>
    <t>ᵂᴸSnowWoLF</t>
  </si>
  <si>
    <t>Seckin34๛</t>
  </si>
  <si>
    <t>P Ɽ A M A</t>
  </si>
  <si>
    <t>HoLeeMin</t>
  </si>
  <si>
    <t>Silent ᴋᴀʏ</t>
  </si>
  <si>
    <t>UGUR Junior</t>
  </si>
  <si>
    <t>LazyPickleRickツ</t>
  </si>
  <si>
    <t>ᵛⁿNąHƴ ジ</t>
  </si>
  <si>
    <t>ᵐᵖ Ray i</t>
  </si>
  <si>
    <t>ᴸᶠBroInNeed</t>
  </si>
  <si>
    <t>Anshii</t>
  </si>
  <si>
    <t>alexsaa</t>
  </si>
  <si>
    <t>ˢᴳSeeker</t>
  </si>
  <si>
    <t>ᴱᴿ RKing79</t>
  </si>
  <si>
    <t>Lazy Liwen ツ</t>
  </si>
  <si>
    <t>ˢˢᴵ Cesar82</t>
  </si>
  <si>
    <t>Bearditch 3</t>
  </si>
  <si>
    <t>MƏGÁN</t>
  </si>
  <si>
    <t>乛Light</t>
  </si>
  <si>
    <t>374 Small Fry</t>
  </si>
  <si>
    <t>Ohana ツ</t>
  </si>
  <si>
    <t>Oxygen ヤ</t>
  </si>
  <si>
    <t>亗 yué 亗</t>
  </si>
  <si>
    <t>Lazy Filler</t>
  </si>
  <si>
    <t>义CTAM义</t>
  </si>
  <si>
    <t>roimme</t>
  </si>
  <si>
    <t>[DSwl]Drangone Slayere</t>
  </si>
  <si>
    <t>Penguinassy</t>
  </si>
  <si>
    <t>OffBloomer</t>
  </si>
  <si>
    <t>Hellohowareyou</t>
  </si>
  <si>
    <t>PHOENIX  farm2</t>
  </si>
  <si>
    <t>ᴋᴀʏ ᴤʀ</t>
  </si>
  <si>
    <t>FatCatBites</t>
  </si>
  <si>
    <t>Davos 3930</t>
  </si>
  <si>
    <t>义Someone义</t>
  </si>
  <si>
    <t>hasan0</t>
  </si>
  <si>
    <t>乂BABY KAMA乂</t>
  </si>
  <si>
    <t>FarmBéo5</t>
  </si>
  <si>
    <t>ˢᴳCEYCEYFRM</t>
  </si>
  <si>
    <t>spiderkiller202</t>
  </si>
  <si>
    <t>Ohana O97</t>
  </si>
  <si>
    <t>Taurusus</t>
  </si>
  <si>
    <t>Gubernur144049111</t>
  </si>
  <si>
    <t>Bad Apple1</t>
  </si>
  <si>
    <t>Govenor17539362</t>
  </si>
  <si>
    <t>jaconyFarm</t>
  </si>
  <si>
    <t>Kinfernusᵗʰ</t>
  </si>
  <si>
    <t>Makazbagien</t>
  </si>
  <si>
    <t>CHRYS farm4</t>
  </si>
  <si>
    <t>CallMeCount</t>
  </si>
  <si>
    <t>Fadhel farm1</t>
  </si>
  <si>
    <t>Ilhuicamina II</t>
  </si>
  <si>
    <t>chefff</t>
  </si>
  <si>
    <t>PickleRickfarm4</t>
  </si>
  <si>
    <t>Hunab Ku T</t>
  </si>
  <si>
    <t>[RAGM]Ragnarock mex</t>
  </si>
  <si>
    <t>[RT/A]JRESISTANCE ARMY</t>
  </si>
  <si>
    <t>ﾒUğurﾒ</t>
  </si>
  <si>
    <t>BOONDD</t>
  </si>
  <si>
    <t>爻WarLock爻</t>
  </si>
  <si>
    <t>[39GK] XE RY</t>
  </si>
  <si>
    <t>乄Lazy Bツ</t>
  </si>
  <si>
    <t>Grimm48</t>
  </si>
  <si>
    <t>King ᶠʳʸ</t>
  </si>
  <si>
    <t>Chang Nammon</t>
  </si>
  <si>
    <t>[SQ45]Squirrel's Squad</t>
  </si>
  <si>
    <t>KaTrin</t>
  </si>
  <si>
    <t>DompfX</t>
  </si>
  <si>
    <t>Cherry on Top ツ</t>
  </si>
  <si>
    <t>Bearditch 4</t>
  </si>
  <si>
    <t>ɮ ʀǟӼ</t>
  </si>
  <si>
    <t>Ƀłøømɇɍ</t>
  </si>
  <si>
    <t>ᵂʷ Sandman シ</t>
  </si>
  <si>
    <t>hasnath</t>
  </si>
  <si>
    <t>[45Lk]Legion of Kinghts</t>
  </si>
  <si>
    <t>V for VENDETTA</t>
  </si>
  <si>
    <t>[39GK] XE RH</t>
  </si>
  <si>
    <t>atom karica</t>
  </si>
  <si>
    <t>ᵛʷMiguelón</t>
  </si>
  <si>
    <t>SakuraMomo</t>
  </si>
  <si>
    <t>Scricciolo</t>
  </si>
  <si>
    <t>Eternery</t>
  </si>
  <si>
    <t>FallenRooti8</t>
  </si>
  <si>
    <t>ᵀᵒKinfernus</t>
  </si>
  <si>
    <t>osumaki menma</t>
  </si>
  <si>
    <t>Losant Again</t>
  </si>
  <si>
    <t>[04SG]SUGAR DADDY</t>
  </si>
  <si>
    <t>[BEAN]K1398</t>
  </si>
  <si>
    <t>EspDido</t>
  </si>
  <si>
    <t>LOSANT INSISTS</t>
  </si>
  <si>
    <t>ᴸᶠWibuNolep</t>
  </si>
  <si>
    <t>II PHOENIx II</t>
  </si>
  <si>
    <t>leaf10</t>
  </si>
  <si>
    <t>RADEK GR KOKS</t>
  </si>
  <si>
    <t>ﾒ DJ KAMA ﾒ</t>
  </si>
  <si>
    <t>General Judas</t>
  </si>
  <si>
    <t>MUKIN VA</t>
  </si>
  <si>
    <t>Ilhuicamina</t>
  </si>
  <si>
    <t>[SW45]Squirrel Warrior's</t>
  </si>
  <si>
    <t>SweetyPrimeFd</t>
  </si>
  <si>
    <t>oxumaki menma</t>
  </si>
  <si>
    <t>Little Daddy P</t>
  </si>
  <si>
    <t>Goku DBZ</t>
  </si>
  <si>
    <t>IlhuicaminaFarm</t>
  </si>
  <si>
    <t>Thống đốc116965425</t>
  </si>
  <si>
    <t>FromKievFarm1</t>
  </si>
  <si>
    <t>Правитель143342577</t>
  </si>
  <si>
    <t>FromKievFarm2</t>
  </si>
  <si>
    <t>乂 MAXIMUS乂</t>
  </si>
  <si>
    <t>Kinfernusⁿᵈ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</si>
</sst>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[$-809]dd\ mmmm\ yyyy"/>
  </numFmts>
  <fonts count="15">
    <font>
      <sz val="11.0"/>
      <color theme="1"/>
      <name val="Calibri"/>
      <scheme val="minor"/>
    </font>
    <font>
      <b/>
      <sz val="36.0"/>
      <color theme="0"/>
      <name val="Calibri"/>
    </font>
    <font/>
    <font>
      <sz val="12.0"/>
      <color theme="1"/>
      <name val="Calibri"/>
    </font>
    <font>
      <sz val="12.0"/>
      <color theme="0"/>
      <name val="Calibri"/>
    </font>
    <font>
      <sz val="14.0"/>
      <color theme="0"/>
      <name val="Calibri"/>
    </font>
    <font>
      <b/>
      <sz val="12.0"/>
      <color theme="1"/>
      <name val="Calibri"/>
    </font>
    <font>
      <b/>
      <u/>
      <sz val="14.0"/>
      <color theme="1"/>
      <name val="Calibri"/>
    </font>
    <font>
      <sz val="14.0"/>
      <color theme="1"/>
      <name val="Calibri"/>
    </font>
    <font>
      <b/>
      <sz val="14.0"/>
      <color theme="0"/>
      <name val="Calibri"/>
    </font>
    <font>
      <b/>
      <sz val="12.0"/>
      <color theme="0"/>
      <name val="Calibri"/>
    </font>
    <font>
      <b/>
      <sz val="15.0"/>
      <color rgb="FF44546A"/>
      <name val="Calibri"/>
    </font>
    <font>
      <sz val="12.0"/>
      <color theme="4"/>
      <name val="Calibri"/>
    </font>
    <font>
      <b/>
      <sz val="11.0"/>
      <color theme="1"/>
      <name val="Calibri"/>
    </font>
    <font>
      <sz val="12.0"/>
      <color theme="8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theme="1"/>
        <bgColor theme="1"/>
      </patternFill>
    </fill>
    <fill>
      <patternFill patternType="solid">
        <fgColor rgb="FF1E4E79"/>
        <bgColor rgb="FF1E4E79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</fills>
  <borders count="11">
    <border/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/>
      <right/>
      <top/>
    </border>
    <border>
      <left/>
      <right/>
    </border>
    <border>
      <left/>
      <right/>
      <bottom/>
    </border>
    <border>
      <bottom style="thick">
        <color theme="4"/>
      </bottom>
    </border>
    <border>
      <top style="thin">
        <color theme="4"/>
      </top>
      <bottom style="double">
        <color theme="4"/>
      </bottom>
    </border>
    <border>
      <left/>
      <right/>
      <top style="thin">
        <color theme="4"/>
      </top>
      <bottom style="double">
        <color theme="4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vertical="center"/>
    </xf>
    <xf borderId="4" fillId="4" fontId="4" numFmtId="0" xfId="0" applyAlignment="1" applyBorder="1" applyFill="1" applyFont="1">
      <alignment horizontal="center" vertical="center"/>
    </xf>
    <xf borderId="4" fillId="5" fontId="3" numFmtId="0" xfId="0" applyAlignment="1" applyBorder="1" applyFill="1" applyFont="1">
      <alignment horizontal="center" vertical="center"/>
    </xf>
    <xf borderId="4" fillId="3" fontId="4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4" fillId="6" fontId="6" numFmtId="164" xfId="0" applyAlignment="1" applyBorder="1" applyFill="1" applyFont="1" applyNumberFormat="1">
      <alignment horizontal="center" vertical="center"/>
    </xf>
    <xf borderId="5" fillId="6" fontId="6" numFmtId="0" xfId="0" applyAlignment="1" applyBorder="1" applyFont="1">
      <alignment horizontal="center" vertical="center"/>
    </xf>
    <xf borderId="4" fillId="6" fontId="3" numFmtId="3" xfId="0" applyAlignment="1" applyBorder="1" applyFont="1" applyNumberForma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4" fillId="3" fontId="6" numFmtId="164" xfId="0" applyAlignment="1" applyBorder="1" applyFont="1" applyNumberFormat="1">
      <alignment horizontal="center" vertical="center"/>
    </xf>
    <xf borderId="4" fillId="3" fontId="6" numFmtId="0" xfId="0" applyAlignment="1" applyBorder="1" applyFont="1">
      <alignment vertical="center"/>
    </xf>
    <xf borderId="4" fillId="3" fontId="3" numFmtId="3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vertical="center"/>
    </xf>
    <xf borderId="1" fillId="6" fontId="7" numFmtId="0" xfId="0" applyAlignment="1" applyBorder="1" applyFont="1">
      <alignment horizontal="left" vertical="top"/>
    </xf>
    <xf borderId="1" fillId="6" fontId="8" numFmtId="0" xfId="0" applyAlignment="1" applyBorder="1" applyFont="1">
      <alignment horizontal="left" vertical="top"/>
    </xf>
    <xf borderId="4" fillId="6" fontId="6" numFmtId="3" xfId="0" applyAlignment="1" applyBorder="1" applyFont="1" applyNumberFormat="1">
      <alignment horizontal="center" vertical="center"/>
    </xf>
    <xf borderId="4" fillId="6" fontId="6" numFmtId="4" xfId="0" applyAlignment="1" applyBorder="1" applyFont="1" applyNumberFormat="1">
      <alignment horizontal="center" vertical="center"/>
    </xf>
    <xf borderId="4" fillId="6" fontId="3" numFmtId="10" xfId="0" applyAlignment="1" applyBorder="1" applyFont="1" applyNumberFormat="1">
      <alignment horizontal="center" vertical="center"/>
    </xf>
    <xf borderId="4" fillId="6" fontId="6" numFmtId="10" xfId="0" applyAlignment="1" applyBorder="1" applyFont="1" applyNumberFormat="1">
      <alignment horizontal="center" vertical="center"/>
    </xf>
    <xf borderId="1" fillId="2" fontId="9" numFmtId="0" xfId="0" applyAlignment="1" applyBorder="1" applyFont="1">
      <alignment horizontal="center" vertical="center"/>
    </xf>
    <xf borderId="4" fillId="4" fontId="10" numFmtId="0" xfId="0" applyAlignment="1" applyBorder="1" applyFont="1">
      <alignment horizontal="center" vertical="center"/>
    </xf>
    <xf borderId="4" fillId="6" fontId="3" numFmtId="0" xfId="0" applyAlignment="1" applyBorder="1" applyFont="1">
      <alignment horizontal="center" vertical="center"/>
    </xf>
    <xf borderId="4" fillId="3" fontId="9" numFmtId="0" xfId="0" applyAlignment="1" applyBorder="1" applyFont="1">
      <alignment vertical="center"/>
    </xf>
    <xf borderId="8" fillId="0" fontId="11" numFmtId="0" xfId="0" applyAlignment="1" applyBorder="1" applyFont="1">
      <alignment horizontal="center" vertical="center"/>
    </xf>
    <xf borderId="8" fillId="0" fontId="11" numFmtId="3" xfId="0" applyAlignment="1" applyBorder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3" xfId="0" applyAlignment="1" applyFont="1" applyNumberFormat="1">
      <alignment horizontal="center" vertical="center"/>
    </xf>
    <xf borderId="0" fillId="0" fontId="12" numFmtId="0" xfId="0" applyAlignment="1" applyFont="1">
      <alignment horizontal="center" vertical="center"/>
    </xf>
    <xf borderId="0" fillId="0" fontId="12" numFmtId="3" xfId="0" applyAlignment="1" applyFont="1" applyNumberFormat="1">
      <alignment horizontal="center" vertical="center"/>
    </xf>
    <xf borderId="9" fillId="0" fontId="13" numFmtId="0" xfId="0" applyAlignment="1" applyBorder="1" applyFont="1">
      <alignment horizontal="center" vertical="center"/>
    </xf>
    <xf borderId="9" fillId="0" fontId="13" numFmtId="3" xfId="0" applyAlignment="1" applyBorder="1" applyFont="1" applyNumberFormat="1">
      <alignment horizontal="center" vertical="center"/>
    </xf>
    <xf borderId="10" fillId="5" fontId="13" numFmtId="0" xfId="0" applyAlignment="1" applyBorder="1" applyFont="1">
      <alignment horizontal="center" vertical="center"/>
    </xf>
    <xf borderId="10" fillId="5" fontId="13" numFmtId="3" xfId="0" applyAlignment="1" applyBorder="1" applyFont="1" applyNumberFormat="1">
      <alignment horizontal="center" vertical="center"/>
    </xf>
    <xf borderId="0" fillId="0" fontId="8" numFmtId="3" xfId="0" applyAlignment="1" applyFont="1" applyNumberFormat="1">
      <alignment horizontal="center" vertical="center"/>
    </xf>
    <xf borderId="0" fillId="0" fontId="14" numFmtId="0" xfId="0" applyAlignment="1" applyFont="1">
      <alignment horizontal="center" vertical="center"/>
    </xf>
    <xf borderId="0" fillId="0" fontId="14" numFmtId="3" xfId="0" applyAlignment="1" applyFont="1" applyNumberForma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600">
                <a:solidFill>
                  <a:schemeClr val="lt1"/>
                </a:solidFill>
                <a:latin typeface="+mn-lt"/>
              </a:defRPr>
            </a:pPr>
            <a:r>
              <a:rPr b="1" i="0" sz="1600">
                <a:solidFill>
                  <a:schemeClr val="lt1"/>
                </a:solidFill>
                <a:latin typeface="+mn-lt"/>
              </a:rPr>
              <a:t>2997 Data Scan</a:t>
            </a:r>
          </a:p>
        </c:rich>
      </c:tx>
      <c:overlay val="0"/>
    </c:title>
    <c:plotArea>
      <c:layout>
        <c:manualLayout>
          <c:xMode val="edge"/>
          <c:yMode val="edge"/>
          <c:x val="0.09584223915037804"/>
          <c:y val="0.09737827715355804"/>
          <c:w val="0.8923000521095984"/>
          <c:h val="0.8446984576366157"/>
        </c:manualLayout>
      </c:layout>
      <c:barChart>
        <c:barDir val="col"/>
        <c:ser>
          <c:idx val="0"/>
          <c:order val="0"/>
          <c:tx>
            <c:v>Power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solidFill>
                      <a:srgbClr val="FFFFFF"/>
                    </a:solidFill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Dashboard!$B$67:$B$86</c:f>
            </c:strRef>
          </c:cat>
          <c:val>
            <c:numRef>
              <c:f>Dashboard!$C$67:$C$86</c:f>
              <c:numCache/>
            </c:numRef>
          </c:val>
        </c:ser>
        <c:ser>
          <c:idx val="1"/>
          <c:order val="1"/>
          <c:tx>
            <c:v>Kill Points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 b="0" i="0" sz="900">
                    <a:solidFill>
                      <a:srgbClr val="FFFFFF"/>
                    </a:solidFill>
                    <a:latin typeface="+mn-lt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Dashboard!$B$67:$B$86</c:f>
            </c:strRef>
          </c:cat>
          <c:val>
            <c:numRef>
              <c:f>Dashboard!$D$67:$D$86</c:f>
              <c:numCache/>
            </c:numRef>
          </c:val>
        </c:ser>
        <c:axId val="582361449"/>
        <c:axId val="649166093"/>
      </c:barChart>
      <c:catAx>
        <c:axId val="5823614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649166093"/>
      </c:catAx>
      <c:valAx>
        <c:axId val="6491660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chemeClr val="lt1"/>
                </a:solidFill>
                <a:latin typeface="+mn-lt"/>
              </a:defRPr>
            </a:pPr>
          </a:p>
        </c:txPr>
        <c:crossAx val="582361449"/>
      </c:valAx>
    </c:plotArea>
    <c:plotVisOnly val="1"/>
  </c:chart>
  <c:spPr>
    <a:solidFill>
      <a:schemeClr val="dk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1038225</xdr:colOff>
      <xdr:row>91</xdr:row>
      <xdr:rowOff>85725</xdr:rowOff>
    </xdr:from>
    <xdr:ext cx="10058400" cy="50863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9.29"/>
    <col customWidth="1" min="3" max="3" width="23.43"/>
    <col customWidth="1" min="4" max="8" width="15.29"/>
    <col customWidth="1" min="9" max="9" width="17.43"/>
    <col customWidth="1" min="10" max="10" width="16.86"/>
    <col customWidth="1" min="11" max="12" width="15.29"/>
    <col customWidth="1" min="13" max="13" width="27.43"/>
    <col customWidth="1" min="14" max="14" width="15.29"/>
    <col customWidth="1" min="15" max="15" width="9.0"/>
    <col customWidth="1" min="16" max="26" width="8.71"/>
  </cols>
  <sheetData>
    <row r="1" ht="72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1.0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5.5" customHeight="1">
      <c r="A3" s="5" t="s">
        <v>1</v>
      </c>
      <c r="B3" s="6">
        <v>2463403.0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33.0" customHeight="1">
      <c r="A4" s="7"/>
      <c r="B4" s="8" t="s">
        <v>2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3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0" customHeight="1">
      <c r="A5" s="4"/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  <c r="M5" s="5" t="s">
        <v>14</v>
      </c>
      <c r="N5" s="5" t="s">
        <v>15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0" customHeight="1">
      <c r="A6" s="4"/>
      <c r="B6" s="9">
        <v>45949.0</v>
      </c>
      <c r="C6" s="10" t="str">
        <f>VLOOKUP(B3,'19_10_2025'!A:O,2,FALSE)</f>
        <v>Heliøsツ</v>
      </c>
      <c r="D6" s="11">
        <f>IFNA(VLOOKUP(B3,'19_10_2025'!A:O,3,FALSE), "")</f>
        <v>82897599</v>
      </c>
      <c r="E6" s="11">
        <f>IFNA(VLOOKUP(B3,'19_10_2025'!A:O,4,FALSE), "")</f>
        <v>7090167591</v>
      </c>
      <c r="F6" s="11">
        <f>IFNA(VLOOKUP(B3,'19_10_2025'!A:O,5,FALSE), "")</f>
        <v>39609143</v>
      </c>
      <c r="G6" s="11">
        <f>IFNA(VLOOKUP(B3,'19_10_2025'!A:O,6,FALSE), "")</f>
        <v>195336738</v>
      </c>
      <c r="H6" s="11">
        <f>IFNA(VLOOKUP(B3,'19_10_2025'!A:O,7,FALSE), "")</f>
        <v>254910198</v>
      </c>
      <c r="I6" s="11">
        <f>IFNA(VLOOKUP(B3,'19_10_2025'!A:O,8,FALSE), "")</f>
        <v>0</v>
      </c>
      <c r="J6" s="11">
        <f>IFNA(VLOOKUP(B3,'19_10_2025'!A:O,9,FALSE), "")</f>
        <v>29068656238</v>
      </c>
      <c r="K6" s="11">
        <f>IFNA(VLOOKUP(B3,'19_10_2025'!A:O,10,FALSE), "")</f>
        <v>10216888909</v>
      </c>
      <c r="L6" s="11">
        <f>IFNA(VLOOKUP(B3,'19_10_2025'!A:O,11,FALSE), "")</f>
        <v>258722</v>
      </c>
      <c r="M6" s="11" t="str">
        <f>IFNA(VLOOKUP(B3,'19_10_2025'!A:O,12,FALSE), "")</f>
        <v>[U97]Unitas</v>
      </c>
      <c r="N6" s="11">
        <f>IFNA(VLOOKUP(B3,'19_10_2025'!A:O,13,FALSE), "")</f>
        <v>25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0" customHeight="1">
      <c r="A7" s="4"/>
      <c r="B7" s="9">
        <v>45969.0</v>
      </c>
      <c r="C7" s="12"/>
      <c r="D7" s="11">
        <f>IFNA(VLOOKUP(B3,'8_11_2025'!A:O,3,FALSE), "")</f>
        <v>87923458</v>
      </c>
      <c r="E7" s="11">
        <f>IFNA(VLOOKUP(B3,'8_11_2025'!A:O,4,FALSE), "")</f>
        <v>7129601593</v>
      </c>
      <c r="F7" s="11">
        <f>IFNA(VLOOKUP(B3,'8_11_2025'!A:O,5,FALSE), "")</f>
        <v>39802061</v>
      </c>
      <c r="G7" s="11">
        <f>IFNA(VLOOKUP(B3,'8_11_2025'!A:O,6,FALSE), "")</f>
        <v>197943381</v>
      </c>
      <c r="H7" s="11">
        <f>IFNA(VLOOKUP(B3,'8_11_2025'!A:O,7,FALSE), "")</f>
        <v>255563348</v>
      </c>
      <c r="I7" s="11">
        <f>IFNA(VLOOKUP(B3,'8_11_2025'!A:O,8,FALSE), "")</f>
        <v>0</v>
      </c>
      <c r="J7" s="11">
        <f>IFNA(VLOOKUP(B3,'8_11_2025'!A:O,9,FALSE), "")</f>
        <v>29470938720</v>
      </c>
      <c r="K7" s="11">
        <f>IFNA(VLOOKUP(B3,'8_11_2025'!A:O,10,FALSE), "")</f>
        <v>10216888909</v>
      </c>
      <c r="L7" s="11">
        <f>IFNA(VLOOKUP(B3,'8_11_2025'!A:O,11,FALSE), "")</f>
        <v>262402</v>
      </c>
      <c r="M7" s="11" t="str">
        <f>IFNA(VLOOKUP(B3,'8_11_2025'!A:O,12,FALSE), "")</f>
        <v>[C97]Centuria</v>
      </c>
      <c r="N7" s="11">
        <f>IFNA(VLOOKUP(B3,'8_11_2025'!A:O,13,FALSE), "")</f>
        <v>25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0" customHeight="1">
      <c r="A8" s="4"/>
      <c r="B8" s="9">
        <v>45983.0</v>
      </c>
      <c r="C8" s="12"/>
      <c r="D8" s="11">
        <f>IFNA(VLOOKUP(B3,'21_11_2025'!A:O,3,FALSE), "")</f>
        <v>89101347</v>
      </c>
      <c r="E8" s="11">
        <f>IFNA(VLOOKUP(B3,'21_11_2025'!A:O,4,FALSE), "")</f>
        <v>7143949247</v>
      </c>
      <c r="F8" s="11">
        <f>IFNA(VLOOKUP(B3,'21_11_2025'!A:O,5,FALSE), "")</f>
        <v>39832007</v>
      </c>
      <c r="G8" s="11">
        <f>IFNA(VLOOKUP(B3,'21_11_2025'!A:O,6,FALSE), "")</f>
        <v>199344116</v>
      </c>
      <c r="H8" s="11">
        <f>IFNA(VLOOKUP(B3,'21_11_2025'!A:O,7,FALSE), "")</f>
        <v>255563348</v>
      </c>
      <c r="I8" s="11">
        <f>IFNA(VLOOKUP(B3,'21_11_2025'!A:O,8,FALSE), "")</f>
        <v>0</v>
      </c>
      <c r="J8" s="11">
        <f>IFNA(VLOOKUP(B3,'21_11_2025'!A:O,9,FALSE), "")</f>
        <v>29680314539</v>
      </c>
      <c r="K8" s="11">
        <f>IFNA(VLOOKUP(B3,'21_11_2025'!A:O,10,FALSE), "")</f>
        <v>10226888909</v>
      </c>
      <c r="L8" s="11">
        <f>IFNA(VLOOKUP(B3,'21_11_2025'!A:O,11,FALSE), "")</f>
        <v>264998</v>
      </c>
      <c r="M8" s="11" t="str">
        <f>IFNA(VLOOKUP(B3,'21_11_2025'!A:O,12,FALSE), "")</f>
        <v>[C97]Centuria</v>
      </c>
      <c r="N8" s="11">
        <f>IFNA(VLOOKUP(B3,'21_11_2025'!A:O,13,FALSE), "")</f>
        <v>25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0" customHeight="1">
      <c r="A9" s="4"/>
      <c r="B9" s="9">
        <v>46002.0</v>
      </c>
      <c r="C9" s="12"/>
      <c r="D9" s="11">
        <f>IFNA(VLOOKUP(B3,'11_12_2025'!A:P,3,FALSE), "")</f>
        <v>91042347</v>
      </c>
      <c r="E9" s="11">
        <f>IFNA(VLOOKUP(B3,'11_12_2025'!A:P,4,FALSE), "")</f>
        <v>7158593637</v>
      </c>
      <c r="F9" s="11">
        <f>IFNA(VLOOKUP(B3,'11_12_2025'!A:P,5,FALSE), "")</f>
        <v>39990822</v>
      </c>
      <c r="G9" s="11">
        <f>IFNA(VLOOKUP(B3,'11_12_2025'!A:P,7,FALSE), "")</f>
        <v>199538778</v>
      </c>
      <c r="H9" s="11">
        <f>IFNA(VLOOKUP(B3,'11_12_2025'!A:P,8,FALSE), "")</f>
        <v>256197391</v>
      </c>
      <c r="I9" s="11">
        <f>IFNA(VLOOKUP(B3,'11_12_2025'!A:P,9,FALSE), "")</f>
        <v>0</v>
      </c>
      <c r="J9" s="11">
        <f>IFNA(VLOOKUP(B3,'11_12_2025'!A:P,10,FALSE), "")</f>
        <v>29829554453</v>
      </c>
      <c r="K9" s="11">
        <f>IFNA(VLOOKUP(B3,'11_12_2025'!A:P,11,FALSE), "")</f>
        <v>10256888908</v>
      </c>
      <c r="L9" s="11">
        <f>IFNA(VLOOKUP(B3,'11_12_2025'!A:P,12,FALSE), "")</f>
        <v>269921</v>
      </c>
      <c r="M9" s="11" t="str">
        <f>IFNA(VLOOKUP(B3,'11_12_2025'!A:P,13,FALSE), "")</f>
        <v>[U97]Unitas</v>
      </c>
      <c r="N9" s="11">
        <f>IFNA(VLOOKUP(B3,'11_12_2025'!A:P,14,FALSE), "")</f>
        <v>25</v>
      </c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0" customHeight="1">
      <c r="A10" s="4"/>
      <c r="B10" s="9">
        <v>46006.0</v>
      </c>
      <c r="C10" s="12"/>
      <c r="D10" s="11">
        <f>IFNA(VLOOKUP(B3,'15_12_2025'!A:P,3,FALSE), "")</f>
        <v>83289877</v>
      </c>
      <c r="E10" s="11">
        <f>IFNA(VLOOKUP(B3,'15_12_2025'!A:P,4,FALSE), "")</f>
        <v>7360126105</v>
      </c>
      <c r="F10" s="11">
        <f>IFNA(VLOOKUP(B3,'15_12_2025'!A:P,5,FALSE), "")</f>
        <v>40544987</v>
      </c>
      <c r="G10" s="11">
        <f>IFNA(VLOOKUP(B3,'15_12_2025'!A:P,7,FALSE), "")</f>
        <v>200333134</v>
      </c>
      <c r="H10" s="11">
        <f>IFNA(VLOOKUP(B3,'15_12_2025'!A:P,8,FALSE), "")</f>
        <v>265876795</v>
      </c>
      <c r="I10" s="11">
        <f>IFNA(VLOOKUP(B3,'15_12_2025'!A:P,9,FALSE), "")</f>
        <v>0</v>
      </c>
      <c r="J10" s="11">
        <f>IFNA(VLOOKUP(B3,'15_12_2025'!A:P,10,FALSE), "")</f>
        <v>29849854660</v>
      </c>
      <c r="K10" s="11">
        <f>IFNA(VLOOKUP(B3,'15_12_2025'!A:P,11,FALSE), "")</f>
        <v>10256888908</v>
      </c>
      <c r="L10" s="11">
        <f>IFNA(VLOOKUP(B3,'15_12_2025'!A:P,12,FALSE), "")</f>
        <v>271360</v>
      </c>
      <c r="M10" s="11" t="str">
        <f>IFNA(VLOOKUP(B3,'15_12_2025'!A:P,13,FALSE), "")</f>
        <v>[U97]Unitas</v>
      </c>
      <c r="N10" s="11">
        <f>IFNA(VLOOKUP(B3,'15_12_2025'!A:P,14,FALSE), "")</f>
        <v>25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0" customHeight="1">
      <c r="A11" s="4"/>
      <c r="B11" s="9">
        <v>46013.0</v>
      </c>
      <c r="C11" s="12"/>
      <c r="D11" s="11">
        <f>IFNA(VLOOKUP(B3,'22_12_2025'!A:P,3,FALSE), "")</f>
        <v>85426105</v>
      </c>
      <c r="E11" s="11">
        <f>IFNA(VLOOKUP(B3,'22_12_2025'!A:P,4,FALSE), "")</f>
        <v>7393705695</v>
      </c>
      <c r="F11" s="11">
        <f>IFNA(VLOOKUP(B3,'22_12_2025'!A:P,5,FALSE), "")</f>
        <v>40544987</v>
      </c>
      <c r="G11" s="11">
        <f>IFNA(VLOOKUP(B3,'22_12_2025'!A:P,7,FALSE), "")</f>
        <v>202560257</v>
      </c>
      <c r="H11" s="11">
        <f>IFNA(VLOOKUP(B3,'22_12_2025'!A:P,8,FALSE), "")</f>
        <v>266442213</v>
      </c>
      <c r="I11" s="11">
        <f>IFNA(VLOOKUP(B3,'22_12_2025'!A:P,9,FALSE), "")</f>
        <v>0</v>
      </c>
      <c r="J11" s="11">
        <f>IFNA(VLOOKUP(B3,'22_12_2025'!A:P,10,FALSE), "")</f>
        <v>29897494179</v>
      </c>
      <c r="K11" s="11">
        <f>IFNA(VLOOKUP(B3,'22_12_2025'!A:P,11,FALSE), "")</f>
        <v>10256888908</v>
      </c>
      <c r="L11" s="11">
        <f>IFNA(VLOOKUP(B3,'22_12_2025'!A:P,12,FALSE), "")</f>
        <v>273050</v>
      </c>
      <c r="M11" s="11" t="str">
        <f>IFNA(VLOOKUP(B3,'22_12_2025'!A:P,13,FALSE), "")</f>
        <v>[U97]Unitas</v>
      </c>
      <c r="N11" s="11">
        <f>IFNA(VLOOKUP(B3,'22_12_2025'!A:P,14,FALSE), "")</f>
        <v>25</v>
      </c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0" customHeight="1">
      <c r="A12" s="4"/>
      <c r="B12" s="9">
        <v>46028.0</v>
      </c>
      <c r="C12" s="12"/>
      <c r="D12" s="11">
        <f>IFNA(VLOOKUP(B3,'6_1_2025'!A:P,3,FALSE), 0)</f>
        <v>84911141</v>
      </c>
      <c r="E12" s="11">
        <f>IFNA(VLOOKUP(B3,'6_1_2025'!A:P,4,FALSE), 0)</f>
        <v>7680883143</v>
      </c>
      <c r="F12" s="11">
        <f>IFNA(VLOOKUP(B3,'6_1_2025'!A:P,5,FALSE), 0)</f>
        <v>40718098</v>
      </c>
      <c r="G12" s="11">
        <f>IFNA(VLOOKUP(B3,'6_1_2025'!A:P,7,FALSE), 0)</f>
        <v>204415484</v>
      </c>
      <c r="H12" s="11">
        <f>IFNA(VLOOKUP(B3,'6_1_2025'!A:P,8,FALSE), 0)</f>
        <v>279873358</v>
      </c>
      <c r="I12" s="11">
        <f>IFNA(VLOOKUP(B3,'6_1_2025'!A:P,9,FALSE), 0)</f>
        <v>0</v>
      </c>
      <c r="J12" s="11">
        <f>IFNA(VLOOKUP(B3,'6_1_2025'!A:P,10,FALSE), 0)</f>
        <v>30051373451</v>
      </c>
      <c r="K12" s="11">
        <f>IFNA(VLOOKUP(B3,'6_1_2025'!A:P,11,FALSE), 0)</f>
        <v>10256888908</v>
      </c>
      <c r="L12" s="11">
        <f>IFNA(VLOOKUP(B3,'6_1_2025'!A:P,12,FALSE), 0)</f>
        <v>276521</v>
      </c>
      <c r="M12" s="11" t="str">
        <f>IFNA(VLOOKUP(B3,'6_1_2025'!A:P,13,FALSE), 0)</f>
        <v>[U97]Unitas</v>
      </c>
      <c r="N12" s="11">
        <f>IFNA(VLOOKUP(B3,'6_1_2025'!A:P,14,FALSE), 0)</f>
        <v>25</v>
      </c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0" customHeight="1">
      <c r="A13" s="4"/>
      <c r="B13" s="9">
        <v>46032.0</v>
      </c>
      <c r="C13" s="12"/>
      <c r="D13" s="11">
        <f>IFNA(VLOOKUP(B3,'10_1_2026'!A:P,3,FALSE), "")</f>
        <v>81194190</v>
      </c>
      <c r="E13" s="11">
        <f>IFNA(VLOOKUP(B3,'10_1_2026'!A:P,4,FALSE), "")</f>
        <v>8053097772</v>
      </c>
      <c r="F13" s="11">
        <f>IFNA(VLOOKUP(B3,'10_1_2026'!A:P,5,FALSE), "")</f>
        <v>41156294</v>
      </c>
      <c r="G13" s="11">
        <f>IFNA(VLOOKUP(B3,'10_1_2026'!A:P,7,FALSE), "")</f>
        <v>205911206</v>
      </c>
      <c r="H13" s="11">
        <f>IFNA(VLOOKUP(B3,'10_1_2026'!A:P,8,FALSE), "")</f>
        <v>297735913</v>
      </c>
      <c r="I13" s="11">
        <f>IFNA(VLOOKUP(B3,'10_1_2026'!A:P,9,FALSE), "")</f>
        <v>0</v>
      </c>
      <c r="J13" s="11">
        <f>IFNA(VLOOKUP(B3,'10_1_2026'!A:P,10,FALSE), "")</f>
        <v>30073932840</v>
      </c>
      <c r="K13" s="11">
        <f>IFNA(VLOOKUP(B3,'10_1_2026'!A:P,11,FALSE), "")</f>
        <v>10256888908</v>
      </c>
      <c r="L13" s="11">
        <f>IFNA(VLOOKUP(B3,'10_1_2026'!A:P,12,FALSE), "")</f>
        <v>278354</v>
      </c>
      <c r="M13" s="11" t="str">
        <f>IFNA(VLOOKUP(B3,'10_1_2026'!A:P,13,FALSE), "")</f>
        <v>[U97]Unitas</v>
      </c>
      <c r="N13" s="11">
        <f>IFNA(VLOOKUP(B3,'10_1_2026'!A:P,14,FALSE), "")</f>
        <v>25</v>
      </c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0" customHeight="1">
      <c r="A14" s="4"/>
      <c r="B14" s="9">
        <v>46047.0</v>
      </c>
      <c r="C14" s="12"/>
      <c r="D14" s="11">
        <f>IFNA(VLOOKUP(B3,'25_1_2026'!A:Q,3,FALSE), "")</f>
        <v>83667081</v>
      </c>
      <c r="E14" s="11">
        <f>IFNA(VLOOKUP(B3,'25_1_2026'!A:Q,5,FALSE), "")</f>
        <v>8053667912</v>
      </c>
      <c r="F14" s="11">
        <f>IFNA(VLOOKUP(B3,'25_1_2026'!A:Q,6,FALSE), "")</f>
        <v>41156294</v>
      </c>
      <c r="G14" s="11">
        <f>IFNA(VLOOKUP(B3,'25_1_2026'!A:Q,8,FALSE), "")</f>
        <v>205911206</v>
      </c>
      <c r="H14" s="11">
        <f>IFNA(VLOOKUP(B3,'25_1_2026'!A:Q,9,FALSE), "")</f>
        <v>297764420</v>
      </c>
      <c r="I14" s="11">
        <f>IFNA(VLOOKUP(B3,'25_1_2026'!A:Q,10,FALSE), "")</f>
        <v>0</v>
      </c>
      <c r="J14" s="11">
        <f>IFNA(VLOOKUP(B3,'25_1_2026'!A:Q,11,FALSE), "")</f>
        <v>30252683221</v>
      </c>
      <c r="K14" s="11">
        <f>IFNA(VLOOKUP(B3,'25_1_2026'!A:Q,12,FALSE), "")</f>
        <v>10256888908</v>
      </c>
      <c r="L14" s="11">
        <f>IFNA(VLOOKUP(B3,'25_1_2026'!A:Q,13,FALSE), "")</f>
        <v>279623</v>
      </c>
      <c r="M14" s="11" t="str">
        <f>IFNA(VLOOKUP(B3,'25_1_2026'!A:Q,14,FALSE), "")</f>
        <v>[U97]Unitas</v>
      </c>
      <c r="N14" s="11">
        <f>IFNA(VLOOKUP(B3,'25_1_2026'!A:Q,15,FALSE),"")</f>
        <v>25</v>
      </c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0" customHeight="1">
      <c r="A15" s="4"/>
      <c r="B15" s="9">
        <v>46053.0</v>
      </c>
      <c r="C15" s="12"/>
      <c r="D15" s="11">
        <f>IFNA(VLOOKUP(B3,'31_1_2026'!A:Q,3,FALSE), "")</f>
        <v>90367571</v>
      </c>
      <c r="E15" s="11">
        <f>IFNA(VLOOKUP(B3,'31_1_2026'!A:Q,5,FALSE), "")</f>
        <v>8061291032</v>
      </c>
      <c r="F15" s="11">
        <f>IFNA(VLOOKUP(B3,'31_1_2026'!A:Q,6,FALSE), "")</f>
        <v>41156294</v>
      </c>
      <c r="G15" s="11">
        <f>IFNA(VLOOKUP(B3,'31_1_2026'!A:Q,8,FALSE), "")</f>
        <v>206673518</v>
      </c>
      <c r="H15" s="11">
        <f>IFNA(VLOOKUP(B3,'31_1_2026'!A:Q,9,FALSE), "")</f>
        <v>297764420</v>
      </c>
      <c r="I15" s="11">
        <f>IFNA(VLOOKUP(B3,'31_1_2026'!A:Q,10,FALSE), "")</f>
        <v>0</v>
      </c>
      <c r="J15" s="11">
        <f>IFNA(VLOOKUP(B3,'31_1_2026'!A:Q,11,FALSE), "")</f>
        <v>30309485075</v>
      </c>
      <c r="K15" s="11">
        <f>IFNA(VLOOKUP(B3,'31_1_2026'!A:Q,12,FALSE), "")</f>
        <v>10256888908</v>
      </c>
      <c r="L15" s="11">
        <f>IFNA(VLOOKUP(B3,'31_1_2026'!A:Q,13,FALSE), "")</f>
        <v>280665</v>
      </c>
      <c r="M15" s="11" t="str">
        <f>IFNA(VLOOKUP(B3,'31_1_2026'!A:Q,14,FALSE), "")</f>
        <v>[U97]Unitas</v>
      </c>
      <c r="N15" s="11">
        <f>IFNA(VLOOKUP(B3,'31_1_2026'!A:Q,15,FALSE),"")</f>
        <v>25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0" customHeight="1">
      <c r="A16" s="4"/>
      <c r="B16" s="9">
        <v>46067.0</v>
      </c>
      <c r="C16" s="13"/>
      <c r="D16" s="11">
        <f>IFNA(VLOOKUP(B3,'14_2_2026'!A:Q,3,FALSE), "")</f>
        <v>90567371</v>
      </c>
      <c r="E16" s="11">
        <f>IFNA(VLOOKUP(B3,'14_2_2026'!A:Q,5,FALSE), "")</f>
        <v>8074509123</v>
      </c>
      <c r="F16" s="11">
        <f>IFNA(VLOOKUP(B3,'14_2_2026'!A:Q,6,FALSE), "")</f>
        <v>41190989</v>
      </c>
      <c r="G16" s="11">
        <f>IFNA(VLOOKUP(B3,'14_2_2026'!A:Q,8,FALSE), "")</f>
        <v>207480739</v>
      </c>
      <c r="H16" s="11">
        <f>IFNA(VLOOKUP(B3,'14_2_2026'!A:Q,9,FALSE), "")</f>
        <v>298021205</v>
      </c>
      <c r="I16" s="11">
        <f>IFNA(VLOOKUP(B3,'14_2_2026'!A:Q,10,FALSE), "")</f>
        <v>0</v>
      </c>
      <c r="J16" s="11">
        <f>IFNA(VLOOKUP(B3,'14_2_2026'!A:Q,11,FALSE), "")</f>
        <v>30447264234</v>
      </c>
      <c r="K16" s="11">
        <f>IFNA(VLOOKUP(B3,'14_2_2026'!A:Q,12,FALSE), "")</f>
        <v>10256888908</v>
      </c>
      <c r="L16" s="11">
        <f>IFNA(VLOOKUP(B3,'14_2_2026'!A:Q,13,FALSE), "")</f>
        <v>282227</v>
      </c>
      <c r="M16" s="11" t="str">
        <f>IFNA(VLOOKUP(B3,'14_2_2026'!A:Q,14,FALSE), "")</f>
        <v>[U97]Unitas</v>
      </c>
      <c r="N16" s="11">
        <f>IFNA(VLOOKUP(B3,'14_2_2026'!A:Q,15,FALSE),"")</f>
        <v>25</v>
      </c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0" customHeight="1">
      <c r="A17" s="4"/>
      <c r="B17" s="14"/>
      <c r="C17" s="15"/>
      <c r="D17" s="16"/>
      <c r="E17" s="16"/>
      <c r="F17" s="16"/>
      <c r="G17" s="16"/>
      <c r="H17" s="16"/>
      <c r="I17" s="16"/>
      <c r="J17" s="16"/>
      <c r="K17" s="16"/>
      <c r="L17" s="16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0" customHeight="1">
      <c r="A18" s="4"/>
      <c r="B18" s="8" t="s">
        <v>16</v>
      </c>
      <c r="C18" s="2"/>
      <c r="D18" s="2"/>
      <c r="E18" s="2"/>
      <c r="F18" s="2"/>
      <c r="G18" s="3"/>
      <c r="H18" s="17"/>
      <c r="I18" s="18" t="s">
        <v>17</v>
      </c>
      <c r="J18" s="2"/>
      <c r="K18" s="2"/>
      <c r="L18" s="3"/>
      <c r="M18" s="17"/>
      <c r="N18" s="17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0" customHeight="1">
      <c r="A19" s="4"/>
      <c r="B19" s="5" t="s">
        <v>18</v>
      </c>
      <c r="C19" s="5" t="s">
        <v>19</v>
      </c>
      <c r="D19" s="5" t="s">
        <v>20</v>
      </c>
      <c r="E19" s="5" t="s">
        <v>21</v>
      </c>
      <c r="F19" s="5" t="s">
        <v>22</v>
      </c>
      <c r="G19" s="5" t="s">
        <v>23</v>
      </c>
      <c r="H19" s="7"/>
      <c r="I19" s="19" t="s">
        <v>24</v>
      </c>
      <c r="J19" s="2"/>
      <c r="K19" s="2"/>
      <c r="L19" s="3"/>
      <c r="M19" s="7"/>
      <c r="N19" s="7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0" customHeight="1">
      <c r="A20" s="4"/>
      <c r="B20" s="20">
        <f>D16</f>
        <v>90567371</v>
      </c>
      <c r="C20" s="21">
        <f>(B20-D15)/7</f>
        <v>28542.85714</v>
      </c>
      <c r="D20" s="11" t="s">
        <v>25</v>
      </c>
      <c r="E20" s="20">
        <f>B20+(C20*30)</f>
        <v>91423656.71</v>
      </c>
      <c r="F20" s="22">
        <f>D15/D14</f>
        <v>1.080085141</v>
      </c>
      <c r="G20" s="23">
        <f>B20*((1+F20)/100)^4</f>
        <v>16.95493808</v>
      </c>
      <c r="H20" s="16"/>
      <c r="I20" s="19" t="s">
        <v>26</v>
      </c>
      <c r="J20" s="2"/>
      <c r="K20" s="2"/>
      <c r="L20" s="3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0" customHeight="1">
      <c r="A21" s="4"/>
      <c r="B21" s="14"/>
      <c r="C21" s="15"/>
      <c r="D21" s="16"/>
      <c r="E21" s="16"/>
      <c r="F21" s="16"/>
      <c r="G21" s="16"/>
      <c r="H21" s="16"/>
      <c r="I21" s="18" t="s">
        <v>27</v>
      </c>
      <c r="J21" s="2"/>
      <c r="K21" s="2"/>
      <c r="L21" s="3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0" customHeight="1">
      <c r="A22" s="4"/>
      <c r="B22" s="14"/>
      <c r="C22" s="15"/>
      <c r="D22" s="16"/>
      <c r="E22" s="16"/>
      <c r="F22" s="16"/>
      <c r="G22" s="16"/>
      <c r="H22" s="16"/>
      <c r="I22" s="19" t="s">
        <v>28</v>
      </c>
      <c r="J22" s="2"/>
      <c r="K22" s="2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0" customHeight="1">
      <c r="A23" s="4"/>
      <c r="B23" s="14"/>
      <c r="C23" s="15"/>
      <c r="D23" s="16"/>
      <c r="E23" s="16"/>
      <c r="F23" s="16"/>
      <c r="G23" s="16"/>
      <c r="H23" s="16"/>
      <c r="I23" s="19" t="s">
        <v>29</v>
      </c>
      <c r="J23" s="2"/>
      <c r="K23" s="2"/>
      <c r="L23" s="3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0" customHeight="1">
      <c r="A24" s="4"/>
      <c r="B24" s="14"/>
      <c r="C24" s="15"/>
      <c r="D24" s="16"/>
      <c r="E24" s="16"/>
      <c r="F24" s="16"/>
      <c r="G24" s="16"/>
      <c r="H24" s="16"/>
      <c r="I24" s="16"/>
      <c r="J24" s="16"/>
      <c r="K24" s="16"/>
      <c r="L24" s="16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0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33.75" customHeight="1">
      <c r="A26" s="4"/>
      <c r="B26" s="24" t="s">
        <v>30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3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0" customHeight="1">
      <c r="A27" s="4"/>
      <c r="B27" s="24" t="s">
        <v>31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0" customHeight="1">
      <c r="A28" s="4"/>
      <c r="B28" s="25" t="s">
        <v>32</v>
      </c>
      <c r="C28" s="25" t="s">
        <v>4</v>
      </c>
      <c r="D28" s="25" t="s">
        <v>5</v>
      </c>
      <c r="E28" s="25" t="s">
        <v>6</v>
      </c>
      <c r="F28" s="25" t="s">
        <v>7</v>
      </c>
      <c r="G28" s="25" t="s">
        <v>8</v>
      </c>
      <c r="H28" s="25" t="s">
        <v>9</v>
      </c>
      <c r="I28" s="25" t="s">
        <v>10</v>
      </c>
      <c r="J28" s="25" t="s">
        <v>11</v>
      </c>
      <c r="K28" s="25" t="s">
        <v>12</v>
      </c>
      <c r="L28" s="25" t="s">
        <v>13</v>
      </c>
      <c r="M28" s="25" t="s">
        <v>14</v>
      </c>
      <c r="N28" s="25" t="s">
        <v>15</v>
      </c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0" customHeight="1">
      <c r="A29" s="4"/>
      <c r="B29" s="26">
        <v>1.68455139E8</v>
      </c>
      <c r="C29" s="26" t="s">
        <v>33</v>
      </c>
      <c r="D29" s="20">
        <v>1.14075955E8</v>
      </c>
      <c r="E29" s="11">
        <v>3.169508828E9</v>
      </c>
      <c r="F29" s="11">
        <v>1.5798347E7</v>
      </c>
      <c r="G29" s="11">
        <v>6.0975261E7</v>
      </c>
      <c r="H29" s="11">
        <v>1.27505869E8</v>
      </c>
      <c r="I29" s="11">
        <v>0.0</v>
      </c>
      <c r="J29" s="11">
        <v>1.9406403816E10</v>
      </c>
      <c r="K29" s="11">
        <v>2.175967435E9</v>
      </c>
      <c r="L29" s="11">
        <v>80989.0</v>
      </c>
      <c r="M29" s="26" t="s">
        <v>34</v>
      </c>
      <c r="N29" s="26">
        <v>25.0</v>
      </c>
      <c r="O29" s="4">
        <v>25.0</v>
      </c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0" customHeight="1">
      <c r="A30" s="4"/>
      <c r="B30" s="26">
        <v>6.496634E7</v>
      </c>
      <c r="C30" s="26" t="s">
        <v>35</v>
      </c>
      <c r="D30" s="20">
        <v>1.029841E8</v>
      </c>
      <c r="E30" s="11">
        <v>5.033745533E9</v>
      </c>
      <c r="F30" s="11">
        <v>1.9433569E7</v>
      </c>
      <c r="G30" s="11">
        <v>8.0555126E7</v>
      </c>
      <c r="H30" s="11">
        <v>2.10773373E8</v>
      </c>
      <c r="I30" s="11">
        <v>0.0</v>
      </c>
      <c r="J30" s="11">
        <v>3.9455188612E10</v>
      </c>
      <c r="K30" s="11">
        <v>1.4447507139E10</v>
      </c>
      <c r="L30" s="11">
        <v>149061.0</v>
      </c>
      <c r="M30" s="26" t="s">
        <v>34</v>
      </c>
      <c r="N30" s="26">
        <v>25.0</v>
      </c>
      <c r="O30" s="4">
        <v>25.0</v>
      </c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0" customHeight="1">
      <c r="A31" s="4"/>
      <c r="B31" s="26">
        <v>1.45408006E8</v>
      </c>
      <c r="C31" s="26" t="s">
        <v>36</v>
      </c>
      <c r="D31" s="20">
        <v>1.01550633E8</v>
      </c>
      <c r="E31" s="11">
        <v>1.403689506E9</v>
      </c>
      <c r="F31" s="11">
        <v>1.3976374E7</v>
      </c>
      <c r="G31" s="11">
        <v>3.8685296E7</v>
      </c>
      <c r="H31" s="11">
        <v>4.9144708E7</v>
      </c>
      <c r="I31" s="11">
        <v>0.0</v>
      </c>
      <c r="J31" s="11">
        <v>1.3163357488E10</v>
      </c>
      <c r="K31" s="11">
        <v>9.7148239E7</v>
      </c>
      <c r="L31" s="11">
        <v>33128.0</v>
      </c>
      <c r="M31" s="26" t="s">
        <v>34</v>
      </c>
      <c r="N31" s="26">
        <v>25.0</v>
      </c>
      <c r="O31" s="4">
        <v>25.0</v>
      </c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0" customHeight="1">
      <c r="A32" s="4"/>
      <c r="B32" s="26">
        <v>6.2576249E7</v>
      </c>
      <c r="C32" s="26" t="s">
        <v>37</v>
      </c>
      <c r="D32" s="20">
        <v>9.587929E7</v>
      </c>
      <c r="E32" s="11">
        <v>3.726358886E9</v>
      </c>
      <c r="F32" s="11">
        <v>2.2903728E7</v>
      </c>
      <c r="G32" s="11">
        <v>1.05943637E8</v>
      </c>
      <c r="H32" s="11">
        <v>1.29228398E8</v>
      </c>
      <c r="I32" s="11">
        <v>0.0</v>
      </c>
      <c r="J32" s="11">
        <v>2.9848407622E10</v>
      </c>
      <c r="K32" s="11">
        <v>3.3999364731E10</v>
      </c>
      <c r="L32" s="11">
        <v>161384.0</v>
      </c>
      <c r="M32" s="26" t="s">
        <v>34</v>
      </c>
      <c r="N32" s="26">
        <v>25.0</v>
      </c>
      <c r="O32" s="4">
        <v>25.0</v>
      </c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0" customHeight="1">
      <c r="A33" s="4"/>
      <c r="B33" s="26">
        <v>1.03336195E8</v>
      </c>
      <c r="C33" s="26" t="s">
        <v>38</v>
      </c>
      <c r="D33" s="20">
        <v>9.3619722E7</v>
      </c>
      <c r="E33" s="11">
        <v>4.071748196E9</v>
      </c>
      <c r="F33" s="11">
        <v>1.8939597E7</v>
      </c>
      <c r="G33" s="11">
        <v>1.28038388E8</v>
      </c>
      <c r="H33" s="11">
        <v>1.37699932E8</v>
      </c>
      <c r="I33" s="11">
        <v>0.0</v>
      </c>
      <c r="J33" s="11">
        <v>1.6234255129E10</v>
      </c>
      <c r="K33" s="11">
        <v>3.3852410358E10</v>
      </c>
      <c r="L33" s="11">
        <v>129972.0</v>
      </c>
      <c r="M33" s="26" t="s">
        <v>34</v>
      </c>
      <c r="N33" s="26">
        <v>25.0</v>
      </c>
      <c r="O33" s="4">
        <v>25.0</v>
      </c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0" customHeight="1">
      <c r="A34" s="4"/>
      <c r="B34" s="26">
        <v>2463403.0</v>
      </c>
      <c r="C34" s="26" t="s">
        <v>39</v>
      </c>
      <c r="D34" s="20">
        <v>9.0567371E7</v>
      </c>
      <c r="E34" s="11">
        <v>8.074509123E9</v>
      </c>
      <c r="F34" s="11">
        <v>4.1190989E7</v>
      </c>
      <c r="G34" s="11">
        <v>2.07480739E8</v>
      </c>
      <c r="H34" s="11">
        <v>2.98021205E8</v>
      </c>
      <c r="I34" s="11">
        <v>0.0</v>
      </c>
      <c r="J34" s="11">
        <v>3.0447264234E10</v>
      </c>
      <c r="K34" s="11">
        <v>1.0256888908E10</v>
      </c>
      <c r="L34" s="11">
        <v>282227.0</v>
      </c>
      <c r="M34" s="26" t="s">
        <v>34</v>
      </c>
      <c r="N34" s="26">
        <v>25.0</v>
      </c>
      <c r="O34" s="4">
        <v>25.0</v>
      </c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0" customHeight="1">
      <c r="A35" s="4"/>
      <c r="B35" s="26">
        <v>2.708355E7</v>
      </c>
      <c r="C35" s="26" t="s">
        <v>40</v>
      </c>
      <c r="D35" s="20">
        <v>8.8686743E7</v>
      </c>
      <c r="E35" s="11">
        <v>3.257913382E9</v>
      </c>
      <c r="F35" s="11">
        <v>2.9270159E7</v>
      </c>
      <c r="G35" s="11">
        <v>1.06790757E8</v>
      </c>
      <c r="H35" s="11">
        <v>1.07510399E8</v>
      </c>
      <c r="I35" s="11">
        <v>0.0</v>
      </c>
      <c r="J35" s="11">
        <v>2.0113758492E10</v>
      </c>
      <c r="K35" s="11">
        <v>8.570341628E9</v>
      </c>
      <c r="L35" s="11">
        <v>79935.0</v>
      </c>
      <c r="M35" s="26" t="s">
        <v>34</v>
      </c>
      <c r="N35" s="26">
        <v>25.0</v>
      </c>
      <c r="O35" s="4">
        <v>25.0</v>
      </c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0" customHeight="1">
      <c r="A36" s="4"/>
      <c r="B36" s="26">
        <v>7.9650085E7</v>
      </c>
      <c r="C36" s="26" t="s">
        <v>41</v>
      </c>
      <c r="D36" s="20">
        <v>8.8663489E7</v>
      </c>
      <c r="E36" s="11">
        <v>2.021336942E9</v>
      </c>
      <c r="F36" s="11">
        <v>1.3602965E7</v>
      </c>
      <c r="G36" s="11">
        <v>6.0282327E7</v>
      </c>
      <c r="H36" s="11">
        <v>6.9810442E7</v>
      </c>
      <c r="I36" s="11">
        <v>0.0</v>
      </c>
      <c r="J36" s="11">
        <v>1.660030789E10</v>
      </c>
      <c r="K36" s="11">
        <v>1.5171538986E10</v>
      </c>
      <c r="L36" s="11">
        <v>105718.0</v>
      </c>
      <c r="M36" s="26" t="s">
        <v>34</v>
      </c>
      <c r="N36" s="26">
        <v>25.0</v>
      </c>
      <c r="O36" s="4">
        <v>25.0</v>
      </c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0" customHeight="1">
      <c r="A37" s="4"/>
      <c r="B37" s="26">
        <v>1.1726598E7</v>
      </c>
      <c r="C37" s="26" t="s">
        <v>42</v>
      </c>
      <c r="D37" s="20">
        <v>8.7809991E7</v>
      </c>
      <c r="E37" s="11">
        <v>9.500931582E9</v>
      </c>
      <c r="F37" s="11">
        <v>2.8439075E7</v>
      </c>
      <c r="G37" s="11">
        <v>2.18679647E8</v>
      </c>
      <c r="H37" s="11">
        <v>3.61597384E8</v>
      </c>
      <c r="I37" s="11">
        <v>3821128.0</v>
      </c>
      <c r="J37" s="11">
        <v>2.3874189162E10</v>
      </c>
      <c r="K37" s="11">
        <v>3.1515752765E10</v>
      </c>
      <c r="L37" s="11">
        <v>180247.0</v>
      </c>
      <c r="M37" s="26" t="s">
        <v>34</v>
      </c>
      <c r="N37" s="26">
        <v>25.0</v>
      </c>
      <c r="O37" s="4">
        <v>25.0</v>
      </c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0" customHeight="1">
      <c r="A38" s="4"/>
      <c r="B38" s="26">
        <v>6.2691192E7</v>
      </c>
      <c r="C38" s="26" t="s">
        <v>43</v>
      </c>
      <c r="D38" s="20">
        <v>8.7669E7</v>
      </c>
      <c r="E38" s="11">
        <v>4.93890655E8</v>
      </c>
      <c r="F38" s="11">
        <v>1.8486766E7</v>
      </c>
      <c r="G38" s="11">
        <v>1.0755283E7</v>
      </c>
      <c r="H38" s="11">
        <v>1.9119738E7</v>
      </c>
      <c r="I38" s="11">
        <v>0.0</v>
      </c>
      <c r="J38" s="11">
        <v>2.114935651E10</v>
      </c>
      <c r="K38" s="11">
        <v>6.548529315E9</v>
      </c>
      <c r="L38" s="11">
        <v>86250.0</v>
      </c>
      <c r="M38" s="26" t="s">
        <v>34</v>
      </c>
      <c r="N38" s="26">
        <v>25.0</v>
      </c>
      <c r="O38" s="4">
        <v>25.0</v>
      </c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0" customHeight="1">
      <c r="A39" s="4"/>
      <c r="B39" s="24" t="s">
        <v>44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0" customHeight="1">
      <c r="A40" s="4"/>
      <c r="B40" s="25" t="s">
        <v>32</v>
      </c>
      <c r="C40" s="25" t="s">
        <v>4</v>
      </c>
      <c r="D40" s="25" t="s">
        <v>5</v>
      </c>
      <c r="E40" s="25" t="s">
        <v>6</v>
      </c>
      <c r="F40" s="25" t="s">
        <v>7</v>
      </c>
      <c r="G40" s="25" t="s">
        <v>8</v>
      </c>
      <c r="H40" s="25" t="s">
        <v>9</v>
      </c>
      <c r="I40" s="25" t="s">
        <v>10</v>
      </c>
      <c r="J40" s="25" t="s">
        <v>11</v>
      </c>
      <c r="K40" s="25" t="s">
        <v>12</v>
      </c>
      <c r="L40" s="25" t="s">
        <v>13</v>
      </c>
      <c r="M40" s="25" t="s">
        <v>14</v>
      </c>
      <c r="N40" s="25" t="s">
        <v>15</v>
      </c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0" customHeight="1">
      <c r="A41" s="4"/>
      <c r="B41" s="26">
        <v>6.7071592E7</v>
      </c>
      <c r="C41" s="26" t="s">
        <v>45</v>
      </c>
      <c r="D41" s="11">
        <v>8.6782112E7</v>
      </c>
      <c r="E41" s="20">
        <v>1.0419383697E10</v>
      </c>
      <c r="F41" s="11">
        <v>3.0250138E7</v>
      </c>
      <c r="G41" s="11">
        <v>3.94259261E8</v>
      </c>
      <c r="H41" s="11">
        <v>3.16889902E8</v>
      </c>
      <c r="I41" s="11">
        <v>1804833.0</v>
      </c>
      <c r="J41" s="11">
        <v>3.7772521004E10</v>
      </c>
      <c r="K41" s="11">
        <v>2.6057655882E10</v>
      </c>
      <c r="L41" s="11">
        <v>233819.0</v>
      </c>
      <c r="M41" s="26" t="s">
        <v>34</v>
      </c>
      <c r="N41" s="26">
        <v>25.0</v>
      </c>
      <c r="O41" s="4">
        <v>25.0</v>
      </c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0" customHeight="1">
      <c r="A42" s="4"/>
      <c r="B42" s="26">
        <v>1.1726598E7</v>
      </c>
      <c r="C42" s="26" t="s">
        <v>42</v>
      </c>
      <c r="D42" s="11">
        <v>8.7809991E7</v>
      </c>
      <c r="E42" s="20">
        <v>9.500931582E9</v>
      </c>
      <c r="F42" s="11">
        <v>2.8439075E7</v>
      </c>
      <c r="G42" s="11">
        <v>2.18679647E8</v>
      </c>
      <c r="H42" s="11">
        <v>3.61597384E8</v>
      </c>
      <c r="I42" s="11">
        <v>3821128.0</v>
      </c>
      <c r="J42" s="11">
        <v>2.3874189162E10</v>
      </c>
      <c r="K42" s="11">
        <v>3.1515752765E10</v>
      </c>
      <c r="L42" s="11">
        <v>180247.0</v>
      </c>
      <c r="M42" s="26" t="s">
        <v>34</v>
      </c>
      <c r="N42" s="26">
        <v>25.0</v>
      </c>
      <c r="O42" s="4">
        <v>25.0</v>
      </c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0" customHeight="1">
      <c r="A43" s="4"/>
      <c r="B43" s="26">
        <v>2463403.0</v>
      </c>
      <c r="C43" s="26" t="s">
        <v>39</v>
      </c>
      <c r="D43" s="11">
        <v>9.0567371E7</v>
      </c>
      <c r="E43" s="20">
        <v>8.074509123E9</v>
      </c>
      <c r="F43" s="11">
        <v>4.1190989E7</v>
      </c>
      <c r="G43" s="11">
        <v>2.07480739E8</v>
      </c>
      <c r="H43" s="11">
        <v>2.98021205E8</v>
      </c>
      <c r="I43" s="11">
        <v>0.0</v>
      </c>
      <c r="J43" s="11">
        <v>3.0447264234E10</v>
      </c>
      <c r="K43" s="11">
        <v>1.0256888908E10</v>
      </c>
      <c r="L43" s="11">
        <v>282227.0</v>
      </c>
      <c r="M43" s="26" t="s">
        <v>34</v>
      </c>
      <c r="N43" s="26">
        <v>25.0</v>
      </c>
      <c r="O43" s="4">
        <v>25.0</v>
      </c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0" customHeight="1">
      <c r="A44" s="4"/>
      <c r="B44" s="26">
        <v>1.4572491E7</v>
      </c>
      <c r="C44" s="26" t="s">
        <v>46</v>
      </c>
      <c r="D44" s="11">
        <v>7.8468585E7</v>
      </c>
      <c r="E44" s="20">
        <v>7.041936138E9</v>
      </c>
      <c r="F44" s="11">
        <v>6.3318543E7</v>
      </c>
      <c r="G44" s="11">
        <v>2.11050446E8</v>
      </c>
      <c r="H44" s="11">
        <v>2.42804134E8</v>
      </c>
      <c r="I44" s="11">
        <v>0.0</v>
      </c>
      <c r="J44" s="11">
        <v>1.9433395471E10</v>
      </c>
      <c r="K44" s="11">
        <v>4.7723874529E10</v>
      </c>
      <c r="L44" s="11">
        <v>178718.0</v>
      </c>
      <c r="M44" s="26" t="s">
        <v>34</v>
      </c>
      <c r="N44" s="26">
        <v>25.0</v>
      </c>
      <c r="O44" s="4">
        <v>25.0</v>
      </c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0" customHeight="1">
      <c r="A45" s="4"/>
      <c r="B45" s="26">
        <v>6.496634E7</v>
      </c>
      <c r="C45" s="26" t="s">
        <v>35</v>
      </c>
      <c r="D45" s="11">
        <v>1.029841E8</v>
      </c>
      <c r="E45" s="20">
        <v>5.033745533E9</v>
      </c>
      <c r="F45" s="11">
        <v>1.9433569E7</v>
      </c>
      <c r="G45" s="11">
        <v>8.0555126E7</v>
      </c>
      <c r="H45" s="11">
        <v>2.10773373E8</v>
      </c>
      <c r="I45" s="11">
        <v>0.0</v>
      </c>
      <c r="J45" s="11">
        <v>3.9455188612E10</v>
      </c>
      <c r="K45" s="11">
        <v>1.4447507139E10</v>
      </c>
      <c r="L45" s="11">
        <v>149061.0</v>
      </c>
      <c r="M45" s="26" t="s">
        <v>34</v>
      </c>
      <c r="N45" s="26">
        <v>25.0</v>
      </c>
      <c r="O45" s="4">
        <v>25.0</v>
      </c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0" customHeight="1">
      <c r="A46" s="4"/>
      <c r="B46" s="26">
        <v>1.03336195E8</v>
      </c>
      <c r="C46" s="26" t="s">
        <v>38</v>
      </c>
      <c r="D46" s="11">
        <v>9.3619722E7</v>
      </c>
      <c r="E46" s="20">
        <v>4.071748196E9</v>
      </c>
      <c r="F46" s="11">
        <v>1.8939597E7</v>
      </c>
      <c r="G46" s="11">
        <v>1.28038388E8</v>
      </c>
      <c r="H46" s="11">
        <v>1.37699932E8</v>
      </c>
      <c r="I46" s="11">
        <v>0.0</v>
      </c>
      <c r="J46" s="11">
        <v>1.6234255129E10</v>
      </c>
      <c r="K46" s="11">
        <v>3.3852410358E10</v>
      </c>
      <c r="L46" s="11">
        <v>129972.0</v>
      </c>
      <c r="M46" s="26" t="s">
        <v>34</v>
      </c>
      <c r="N46" s="26">
        <v>25.0</v>
      </c>
      <c r="O46" s="4">
        <v>25.0</v>
      </c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0" customHeight="1">
      <c r="A47" s="4"/>
      <c r="B47" s="26">
        <v>6.2576249E7</v>
      </c>
      <c r="C47" s="26" t="s">
        <v>37</v>
      </c>
      <c r="D47" s="11">
        <v>9.587929E7</v>
      </c>
      <c r="E47" s="20">
        <v>3.726358886E9</v>
      </c>
      <c r="F47" s="11">
        <v>2.2903728E7</v>
      </c>
      <c r="G47" s="11">
        <v>1.05943637E8</v>
      </c>
      <c r="H47" s="11">
        <v>1.29228398E8</v>
      </c>
      <c r="I47" s="11">
        <v>0.0</v>
      </c>
      <c r="J47" s="11">
        <v>2.9848407622E10</v>
      </c>
      <c r="K47" s="11">
        <v>3.3999364731E10</v>
      </c>
      <c r="L47" s="11">
        <v>161384.0</v>
      </c>
      <c r="M47" s="26" t="s">
        <v>34</v>
      </c>
      <c r="N47" s="26">
        <v>25.0</v>
      </c>
      <c r="O47" s="4">
        <v>25.0</v>
      </c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0" customHeight="1">
      <c r="A48" s="4"/>
      <c r="B48" s="26">
        <v>1.69326547E8</v>
      </c>
      <c r="C48" s="26" t="s">
        <v>47</v>
      </c>
      <c r="D48" s="11">
        <v>6.9702556E7</v>
      </c>
      <c r="E48" s="20">
        <v>3.534090919E9</v>
      </c>
      <c r="F48" s="11">
        <v>9450117.0</v>
      </c>
      <c r="G48" s="11">
        <v>9.2351232E7</v>
      </c>
      <c r="H48" s="11">
        <v>1.28623329E8</v>
      </c>
      <c r="I48" s="11">
        <v>0.0</v>
      </c>
      <c r="J48" s="11">
        <v>1.146234366E10</v>
      </c>
      <c r="K48" s="11">
        <v>9.520822854E9</v>
      </c>
      <c r="L48" s="11">
        <v>121500.0</v>
      </c>
      <c r="M48" s="26" t="s">
        <v>34</v>
      </c>
      <c r="N48" s="26">
        <v>25.0</v>
      </c>
      <c r="O48" s="4">
        <v>25.0</v>
      </c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0" customHeight="1">
      <c r="A49" s="4"/>
      <c r="B49" s="26">
        <v>2.7578537E7</v>
      </c>
      <c r="C49" s="26" t="s">
        <v>48</v>
      </c>
      <c r="D49" s="11">
        <v>8.6154289E7</v>
      </c>
      <c r="E49" s="20">
        <v>3.273577513E9</v>
      </c>
      <c r="F49" s="11">
        <v>2.6017941E7</v>
      </c>
      <c r="G49" s="11">
        <v>1.04940509E8</v>
      </c>
      <c r="H49" s="11">
        <v>1.09366473E8</v>
      </c>
      <c r="I49" s="11">
        <v>0.0</v>
      </c>
      <c r="J49" s="11">
        <v>2.7051933556E10</v>
      </c>
      <c r="K49" s="11">
        <v>3.4685377792E10</v>
      </c>
      <c r="L49" s="11">
        <v>108971.0</v>
      </c>
      <c r="M49" s="26" t="s">
        <v>34</v>
      </c>
      <c r="N49" s="26">
        <v>25.0</v>
      </c>
      <c r="O49" s="4">
        <v>25.0</v>
      </c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0" customHeight="1">
      <c r="A50" s="4"/>
      <c r="B50" s="26">
        <v>2.708355E7</v>
      </c>
      <c r="C50" s="26" t="s">
        <v>40</v>
      </c>
      <c r="D50" s="11">
        <v>8.8686743E7</v>
      </c>
      <c r="E50" s="20">
        <v>3.257913382E9</v>
      </c>
      <c r="F50" s="11">
        <v>2.9270159E7</v>
      </c>
      <c r="G50" s="11">
        <v>1.06790757E8</v>
      </c>
      <c r="H50" s="11">
        <v>1.07510399E8</v>
      </c>
      <c r="I50" s="11">
        <v>0.0</v>
      </c>
      <c r="J50" s="11">
        <v>2.0113758492E10</v>
      </c>
      <c r="K50" s="11">
        <v>8.570341628E9</v>
      </c>
      <c r="L50" s="11">
        <v>79935.0</v>
      </c>
      <c r="M50" s="26" t="s">
        <v>34</v>
      </c>
      <c r="N50" s="26">
        <v>25.0</v>
      </c>
      <c r="O50" s="4">
        <v>25.0</v>
      </c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0" customHeight="1">
      <c r="A51" s="4"/>
      <c r="B51" s="24" t="s">
        <v>49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3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0" customHeight="1">
      <c r="A52" s="4"/>
      <c r="B52" s="25" t="s">
        <v>32</v>
      </c>
      <c r="C52" s="25" t="s">
        <v>4</v>
      </c>
      <c r="D52" s="25" t="s">
        <v>5</v>
      </c>
      <c r="E52" s="25" t="s">
        <v>6</v>
      </c>
      <c r="F52" s="25" t="s">
        <v>7</v>
      </c>
      <c r="G52" s="25" t="s">
        <v>8</v>
      </c>
      <c r="H52" s="25" t="s">
        <v>9</v>
      </c>
      <c r="I52" s="25" t="s">
        <v>10</v>
      </c>
      <c r="J52" s="25" t="s">
        <v>11</v>
      </c>
      <c r="K52" s="25" t="s">
        <v>12</v>
      </c>
      <c r="L52" s="25" t="s">
        <v>13</v>
      </c>
      <c r="M52" s="25" t="s">
        <v>14</v>
      </c>
      <c r="N52" s="25" t="s">
        <v>15</v>
      </c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0" customHeight="1">
      <c r="A53" s="4"/>
      <c r="B53" s="26">
        <v>2463403.0</v>
      </c>
      <c r="C53" s="26" t="s">
        <v>39</v>
      </c>
      <c r="D53" s="11">
        <v>9.0567371E7</v>
      </c>
      <c r="E53" s="11">
        <v>8.074509123E9</v>
      </c>
      <c r="F53" s="11">
        <v>4.1190989E7</v>
      </c>
      <c r="G53" s="11">
        <v>2.07480739E8</v>
      </c>
      <c r="H53" s="11">
        <v>2.98021205E8</v>
      </c>
      <c r="I53" s="11">
        <v>0.0</v>
      </c>
      <c r="J53" s="11">
        <v>3.0447264234E10</v>
      </c>
      <c r="K53" s="11">
        <v>1.0256888908E10</v>
      </c>
      <c r="L53" s="20">
        <v>282227.0</v>
      </c>
      <c r="M53" s="26" t="s">
        <v>34</v>
      </c>
      <c r="N53" s="26">
        <v>25.0</v>
      </c>
      <c r="O53" s="4">
        <v>25.0</v>
      </c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0" customHeight="1">
      <c r="A54" s="4"/>
      <c r="B54" s="26">
        <v>6.7071592E7</v>
      </c>
      <c r="C54" s="26" t="s">
        <v>45</v>
      </c>
      <c r="D54" s="11">
        <v>8.6782112E7</v>
      </c>
      <c r="E54" s="11">
        <v>1.0419383697E10</v>
      </c>
      <c r="F54" s="11">
        <v>3.0250138E7</v>
      </c>
      <c r="G54" s="11">
        <v>3.94259261E8</v>
      </c>
      <c r="H54" s="11">
        <v>3.16889902E8</v>
      </c>
      <c r="I54" s="11">
        <v>1804833.0</v>
      </c>
      <c r="J54" s="11">
        <v>3.7772521004E10</v>
      </c>
      <c r="K54" s="11">
        <v>2.6057655882E10</v>
      </c>
      <c r="L54" s="20">
        <v>233819.0</v>
      </c>
      <c r="M54" s="26" t="s">
        <v>34</v>
      </c>
      <c r="N54" s="26">
        <v>25.0</v>
      </c>
      <c r="O54" s="4">
        <v>25.0</v>
      </c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0" customHeight="1">
      <c r="A55" s="4"/>
      <c r="B55" s="26">
        <v>7.7394861E7</v>
      </c>
      <c r="C55" s="26" t="s">
        <v>50</v>
      </c>
      <c r="D55" s="11">
        <v>8.2737521E7</v>
      </c>
      <c r="E55" s="11">
        <v>2.738681138E9</v>
      </c>
      <c r="F55" s="11">
        <v>1.7927521E7</v>
      </c>
      <c r="G55" s="11">
        <v>9.5256703E7</v>
      </c>
      <c r="H55" s="11">
        <v>8.9162161E7</v>
      </c>
      <c r="I55" s="11">
        <v>0.0</v>
      </c>
      <c r="J55" s="11">
        <v>2.8874232518E10</v>
      </c>
      <c r="K55" s="11">
        <v>6.7832551155E10</v>
      </c>
      <c r="L55" s="20">
        <v>186034.0</v>
      </c>
      <c r="M55" s="26" t="s">
        <v>34</v>
      </c>
      <c r="N55" s="26">
        <v>25.0</v>
      </c>
      <c r="O55" s="4">
        <v>25.0</v>
      </c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0" customHeight="1">
      <c r="A56" s="4"/>
      <c r="B56" s="26">
        <v>1.1726598E7</v>
      </c>
      <c r="C56" s="26" t="s">
        <v>42</v>
      </c>
      <c r="D56" s="11">
        <v>8.7809991E7</v>
      </c>
      <c r="E56" s="11">
        <v>9.500931582E9</v>
      </c>
      <c r="F56" s="11">
        <v>2.8439075E7</v>
      </c>
      <c r="G56" s="11">
        <v>2.18679647E8</v>
      </c>
      <c r="H56" s="11">
        <v>3.61597384E8</v>
      </c>
      <c r="I56" s="11">
        <v>3821128.0</v>
      </c>
      <c r="J56" s="11">
        <v>2.3874189162E10</v>
      </c>
      <c r="K56" s="11">
        <v>3.1515752765E10</v>
      </c>
      <c r="L56" s="20">
        <v>180247.0</v>
      </c>
      <c r="M56" s="26" t="s">
        <v>34</v>
      </c>
      <c r="N56" s="26">
        <v>25.0</v>
      </c>
      <c r="O56" s="4">
        <v>25.0</v>
      </c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0" customHeight="1">
      <c r="A57" s="4"/>
      <c r="B57" s="26">
        <v>1.4572491E7</v>
      </c>
      <c r="C57" s="26" t="s">
        <v>46</v>
      </c>
      <c r="D57" s="11">
        <v>7.8468585E7</v>
      </c>
      <c r="E57" s="11">
        <v>7.041936138E9</v>
      </c>
      <c r="F57" s="11">
        <v>6.3318543E7</v>
      </c>
      <c r="G57" s="11">
        <v>2.11050446E8</v>
      </c>
      <c r="H57" s="11">
        <v>2.42804134E8</v>
      </c>
      <c r="I57" s="11">
        <v>0.0</v>
      </c>
      <c r="J57" s="11">
        <v>1.9433395471E10</v>
      </c>
      <c r="K57" s="11">
        <v>4.7723874529E10</v>
      </c>
      <c r="L57" s="20">
        <v>178718.0</v>
      </c>
      <c r="M57" s="26" t="s">
        <v>34</v>
      </c>
      <c r="N57" s="26">
        <v>25.0</v>
      </c>
      <c r="O57" s="4">
        <v>25.0</v>
      </c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0" customHeight="1">
      <c r="A58" s="4"/>
      <c r="B58" s="26">
        <v>4.8741756E7</v>
      </c>
      <c r="C58" s="26" t="s">
        <v>51</v>
      </c>
      <c r="D58" s="11">
        <v>8.2259506E7</v>
      </c>
      <c r="E58" s="11">
        <v>3.136069832E9</v>
      </c>
      <c r="F58" s="11">
        <v>2.4417353E7</v>
      </c>
      <c r="G58" s="11">
        <v>1.25679324E8</v>
      </c>
      <c r="H58" s="11">
        <v>9.2369125E7</v>
      </c>
      <c r="I58" s="11">
        <v>804578.0</v>
      </c>
      <c r="J58" s="11">
        <v>2.1182361793E10</v>
      </c>
      <c r="K58" s="11">
        <v>2.2720031519E10</v>
      </c>
      <c r="L58" s="20">
        <v>167371.0</v>
      </c>
      <c r="M58" s="26" t="s">
        <v>34</v>
      </c>
      <c r="N58" s="26">
        <v>25.0</v>
      </c>
      <c r="O58" s="4">
        <v>25.0</v>
      </c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0" customHeight="1">
      <c r="A59" s="4"/>
      <c r="B59" s="26">
        <v>6.2576249E7</v>
      </c>
      <c r="C59" s="26" t="s">
        <v>37</v>
      </c>
      <c r="D59" s="11">
        <v>9.587929E7</v>
      </c>
      <c r="E59" s="11">
        <v>3.726358886E9</v>
      </c>
      <c r="F59" s="11">
        <v>2.2903728E7</v>
      </c>
      <c r="G59" s="11">
        <v>1.05943637E8</v>
      </c>
      <c r="H59" s="11">
        <v>1.29228398E8</v>
      </c>
      <c r="I59" s="11">
        <v>0.0</v>
      </c>
      <c r="J59" s="11">
        <v>2.9848407622E10</v>
      </c>
      <c r="K59" s="11">
        <v>3.3999364731E10</v>
      </c>
      <c r="L59" s="20">
        <v>161384.0</v>
      </c>
      <c r="M59" s="26" t="s">
        <v>34</v>
      </c>
      <c r="N59" s="26">
        <v>25.0</v>
      </c>
      <c r="O59" s="4">
        <v>25.0</v>
      </c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0" customHeight="1">
      <c r="A60" s="4"/>
      <c r="B60" s="26">
        <v>6.496634E7</v>
      </c>
      <c r="C60" s="26" t="s">
        <v>35</v>
      </c>
      <c r="D60" s="11">
        <v>1.029841E8</v>
      </c>
      <c r="E60" s="11">
        <v>5.033745533E9</v>
      </c>
      <c r="F60" s="11">
        <v>1.9433569E7</v>
      </c>
      <c r="G60" s="11">
        <v>8.0555126E7</v>
      </c>
      <c r="H60" s="11">
        <v>2.10773373E8</v>
      </c>
      <c r="I60" s="11">
        <v>0.0</v>
      </c>
      <c r="J60" s="11">
        <v>3.9455188612E10</v>
      </c>
      <c r="K60" s="11">
        <v>1.4447507139E10</v>
      </c>
      <c r="L60" s="20">
        <v>149061.0</v>
      </c>
      <c r="M60" s="26" t="s">
        <v>34</v>
      </c>
      <c r="N60" s="26">
        <v>25.0</v>
      </c>
      <c r="O60" s="4">
        <v>25.0</v>
      </c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0" customHeight="1">
      <c r="A61" s="4"/>
      <c r="B61" s="26">
        <v>1.46428825E8</v>
      </c>
      <c r="C61" s="26" t="s">
        <v>52</v>
      </c>
      <c r="D61" s="11">
        <v>6.7883178E7</v>
      </c>
      <c r="E61" s="11">
        <v>2.004158667E9</v>
      </c>
      <c r="F61" s="11">
        <v>1.0487243E7</v>
      </c>
      <c r="G61" s="11">
        <v>6.9395226E7</v>
      </c>
      <c r="H61" s="11">
        <v>6.4840864E7</v>
      </c>
      <c r="I61" s="11">
        <v>0.0</v>
      </c>
      <c r="J61" s="11">
        <v>2.7385673154E10</v>
      </c>
      <c r="K61" s="11">
        <v>9.750981277E9</v>
      </c>
      <c r="L61" s="20">
        <v>137343.0</v>
      </c>
      <c r="M61" s="26" t="s">
        <v>34</v>
      </c>
      <c r="N61" s="26">
        <v>25.0</v>
      </c>
      <c r="O61" s="4">
        <v>25.0</v>
      </c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0" customHeight="1">
      <c r="A62" s="4"/>
      <c r="B62" s="26">
        <v>7.4556991E7</v>
      </c>
      <c r="C62" s="26" t="s">
        <v>53</v>
      </c>
      <c r="D62" s="11">
        <v>7.8884706E7</v>
      </c>
      <c r="E62" s="11">
        <v>2.876603513E9</v>
      </c>
      <c r="F62" s="11">
        <v>1.4592207E7</v>
      </c>
      <c r="G62" s="11">
        <v>5.4685234E7</v>
      </c>
      <c r="H62" s="11">
        <v>1.16179287E8</v>
      </c>
      <c r="I62" s="11">
        <v>0.0</v>
      </c>
      <c r="J62" s="11">
        <v>1.8747452198E10</v>
      </c>
      <c r="K62" s="11">
        <v>5.765543886E9</v>
      </c>
      <c r="L62" s="20">
        <v>133991.0</v>
      </c>
      <c r="M62" s="26" t="s">
        <v>34</v>
      </c>
      <c r="N62" s="26">
        <v>25.0</v>
      </c>
      <c r="O62" s="4">
        <v>25.0</v>
      </c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0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0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0" customHeight="1">
      <c r="A65" s="4"/>
      <c r="B65" s="24" t="s">
        <v>54</v>
      </c>
      <c r="C65" s="2"/>
      <c r="D65" s="2"/>
      <c r="E65" s="2"/>
      <c r="F65" s="2"/>
      <c r="G65" s="2"/>
      <c r="H65" s="2"/>
      <c r="I65" s="2"/>
      <c r="J65" s="2"/>
      <c r="K65" s="2"/>
      <c r="L65" s="3"/>
      <c r="M65" s="27"/>
      <c r="N65" s="27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0" customHeight="1">
      <c r="A66" s="4"/>
      <c r="B66" s="25" t="s">
        <v>3</v>
      </c>
      <c r="C66" s="25" t="s">
        <v>5</v>
      </c>
      <c r="D66" s="25" t="s">
        <v>55</v>
      </c>
      <c r="E66" s="25" t="s">
        <v>7</v>
      </c>
      <c r="F66" s="25" t="s">
        <v>8</v>
      </c>
      <c r="G66" s="25" t="s">
        <v>9</v>
      </c>
      <c r="H66" s="25" t="s">
        <v>10</v>
      </c>
      <c r="I66" s="25" t="s">
        <v>11</v>
      </c>
      <c r="J66" s="25" t="s">
        <v>12</v>
      </c>
      <c r="K66" s="25" t="s">
        <v>13</v>
      </c>
      <c r="L66" s="25" t="s">
        <v>56</v>
      </c>
      <c r="M66" s="7"/>
      <c r="N66" s="7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0" customHeight="1">
      <c r="A67" s="4"/>
      <c r="B67" s="9">
        <v>45850.0</v>
      </c>
      <c r="C67" s="20">
        <v>9.096837494E9</v>
      </c>
      <c r="D67" s="20">
        <v>5.5186395123E10</v>
      </c>
      <c r="E67" s="20">
        <v>1.077721915E9</v>
      </c>
      <c r="F67" s="20">
        <v>2.42765756E9</v>
      </c>
      <c r="G67" s="20">
        <v>1.457078004E9</v>
      </c>
      <c r="H67" s="20">
        <v>802256.0</v>
      </c>
      <c r="I67" s="20">
        <v>1.654291486907E12</v>
      </c>
      <c r="J67" s="20">
        <v>6.91163043161E11</v>
      </c>
      <c r="K67" s="20">
        <v>5197077.0</v>
      </c>
      <c r="L67" s="20">
        <v>206.0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0" customHeight="1">
      <c r="A68" s="4"/>
      <c r="B68" s="9">
        <v>45857.0</v>
      </c>
      <c r="C68" s="20">
        <v>7.861641995E9</v>
      </c>
      <c r="D68" s="20">
        <v>4.8167619599E10</v>
      </c>
      <c r="E68" s="20">
        <v>9.03457731E8</v>
      </c>
      <c r="F68" s="20">
        <v>2.108566118E9</v>
      </c>
      <c r="G68" s="20">
        <v>1.279340273E9</v>
      </c>
      <c r="H68" s="20">
        <v>802256.0</v>
      </c>
      <c r="I68" s="20">
        <v>1.449192622496E12</v>
      </c>
      <c r="J68" s="20">
        <v>6.53855358883E11</v>
      </c>
      <c r="K68" s="20">
        <v>4224180.0</v>
      </c>
      <c r="L68" s="20">
        <v>171.0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0" customHeight="1">
      <c r="A69" s="4"/>
      <c r="B69" s="9">
        <v>45864.0</v>
      </c>
      <c r="C69" s="20">
        <v>9.278618824E9</v>
      </c>
      <c r="D69" s="20">
        <v>6.1276483616E10</v>
      </c>
      <c r="E69" s="20">
        <v>1.100059743E9</v>
      </c>
      <c r="F69" s="20">
        <v>2.556094509E9</v>
      </c>
      <c r="G69" s="20">
        <v>1.692204875E9</v>
      </c>
      <c r="H69" s="20">
        <v>4623384.0</v>
      </c>
      <c r="I69" s="20">
        <v>1.672381476057E12</v>
      </c>
      <c r="J69" s="20">
        <v>7.37197720252E11</v>
      </c>
      <c r="K69" s="20">
        <v>5158627.0</v>
      </c>
      <c r="L69" s="20">
        <v>209.0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0" customHeight="1">
      <c r="A70" s="4"/>
      <c r="B70" s="9">
        <v>45871.0</v>
      </c>
      <c r="C70" s="20">
        <v>1.0161832309E10</v>
      </c>
      <c r="D70" s="20">
        <v>6.9690398064E10</v>
      </c>
      <c r="E70" s="20">
        <v>1.219308253E9</v>
      </c>
      <c r="F70" s="20">
        <v>2.950619414E9</v>
      </c>
      <c r="G70" s="20">
        <v>1.902664703E9</v>
      </c>
      <c r="H70" s="20">
        <v>4710955.0</v>
      </c>
      <c r="I70" s="20">
        <v>1.886430651604E12</v>
      </c>
      <c r="J70" s="20">
        <v>8.57147200698E11</v>
      </c>
      <c r="K70" s="20">
        <v>6109313.0</v>
      </c>
      <c r="L70" s="20">
        <v>225.0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0" customHeight="1">
      <c r="A71" s="4"/>
      <c r="B71" s="9">
        <v>45878.0</v>
      </c>
      <c r="C71" s="20">
        <v>1.0810319158E10</v>
      </c>
      <c r="D71" s="20">
        <v>7.2436230808E10</v>
      </c>
      <c r="E71" s="20">
        <v>1.267975339E9</v>
      </c>
      <c r="F71" s="20">
        <v>3.122733436E9</v>
      </c>
      <c r="G71" s="20">
        <v>1.944339347E9</v>
      </c>
      <c r="H71" s="20">
        <v>7754105.0</v>
      </c>
      <c r="I71" s="20">
        <v>1.988124398635E12</v>
      </c>
      <c r="J71" s="20">
        <v>9.00058752965E11</v>
      </c>
      <c r="K71" s="20">
        <v>6456779.0</v>
      </c>
      <c r="L71" s="20">
        <v>239.0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0" customHeight="1">
      <c r="A72" s="4"/>
      <c r="B72" s="9">
        <v>45885.0</v>
      </c>
      <c r="C72" s="20">
        <v>1.1892572564E10</v>
      </c>
      <c r="D72" s="20">
        <v>1.09160461934E11</v>
      </c>
      <c r="E72" s="20">
        <v>1.482156936E9</v>
      </c>
      <c r="F72" s="20">
        <v>4.39526208E9</v>
      </c>
      <c r="G72" s="20">
        <v>3.125550563E9</v>
      </c>
      <c r="H72" s="20">
        <v>1.0232326E7</v>
      </c>
      <c r="I72" s="20">
        <v>2.264769416502E12</v>
      </c>
      <c r="J72" s="20">
        <v>1.090672497674E12</v>
      </c>
      <c r="K72" s="20">
        <v>7931539.0</v>
      </c>
      <c r="L72" s="20">
        <v>249.0</v>
      </c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0" customHeight="1">
      <c r="A73" s="4"/>
      <c r="B73" s="9">
        <v>45892.0</v>
      </c>
      <c r="C73" s="20">
        <v>1.1922308597E10</v>
      </c>
      <c r="D73" s="20">
        <v>1.09890557691E11</v>
      </c>
      <c r="E73" s="20">
        <v>1.469494431E9</v>
      </c>
      <c r="F73" s="20">
        <v>4.434782848E9</v>
      </c>
      <c r="G73" s="20">
        <v>3.133586494E9</v>
      </c>
      <c r="H73" s="20">
        <v>1.0232326E7</v>
      </c>
      <c r="I73" s="20">
        <v>2.234172525041E12</v>
      </c>
      <c r="J73" s="20">
        <v>1.082369967344E12</v>
      </c>
      <c r="K73" s="20">
        <v>7854876.0</v>
      </c>
      <c r="L73" s="20">
        <v>249.0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0" customHeight="1">
      <c r="A74" s="4"/>
      <c r="B74" s="9">
        <v>45899.0</v>
      </c>
      <c r="C74" s="20">
        <v>1.2149406514E10</v>
      </c>
      <c r="D74" s="20">
        <v>1.12058146834E11</v>
      </c>
      <c r="E74" s="20">
        <v>1.530337755E9</v>
      </c>
      <c r="F74" s="20">
        <v>4.548458307E9</v>
      </c>
      <c r="G74" s="20">
        <v>3.18107831E9</v>
      </c>
      <c r="H74" s="20">
        <v>1.0232326E7</v>
      </c>
      <c r="I74" s="20">
        <v>2.314855945894E12</v>
      </c>
      <c r="J74" s="20">
        <v>1.124036844371E12</v>
      </c>
      <c r="K74" s="20">
        <v>8116870.0</v>
      </c>
      <c r="L74" s="20">
        <v>252.0</v>
      </c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0" customHeight="1">
      <c r="A75" s="4"/>
      <c r="B75" s="9">
        <v>45906.0</v>
      </c>
      <c r="C75" s="20">
        <v>1.2062865581E10</v>
      </c>
      <c r="D75" s="20">
        <v>1.11908294821E11</v>
      </c>
      <c r="E75" s="20">
        <v>1.521434718E9</v>
      </c>
      <c r="F75" s="20">
        <v>4.541214541E9</v>
      </c>
      <c r="G75" s="20">
        <v>3.177566699E9</v>
      </c>
      <c r="H75" s="20">
        <v>8943681.0</v>
      </c>
      <c r="I75" s="20">
        <v>2.318851271353E12</v>
      </c>
      <c r="J75" s="20">
        <v>1.138328673854E12</v>
      </c>
      <c r="K75" s="20">
        <v>8087279.0</v>
      </c>
      <c r="L75" s="20">
        <v>251.0</v>
      </c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0" customHeight="1">
      <c r="A76" s="4"/>
      <c r="B76" s="9">
        <v>45917.0</v>
      </c>
      <c r="C76" s="20">
        <v>1.22756385E10</v>
      </c>
      <c r="D76" s="20">
        <v>1.12157468388E11</v>
      </c>
      <c r="E76" s="20">
        <v>1.533437799E9</v>
      </c>
      <c r="F76" s="20">
        <v>4.56285559E9</v>
      </c>
      <c r="G76" s="20">
        <v>3.176483178E9</v>
      </c>
      <c r="H76" s="20">
        <v>8943681.0</v>
      </c>
      <c r="I76" s="20">
        <v>2.363820461903E12</v>
      </c>
      <c r="J76" s="20">
        <v>1.161176190896E12</v>
      </c>
      <c r="K76" s="20">
        <v>8184258.0</v>
      </c>
      <c r="L76" s="20">
        <v>251.0</v>
      </c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0" customHeight="1">
      <c r="A77" s="4"/>
      <c r="B77" s="9">
        <v>45928.0</v>
      </c>
      <c r="C77" s="20">
        <v>1.2149819513E10</v>
      </c>
      <c r="D77" s="20">
        <v>1.17058934234E11</v>
      </c>
      <c r="E77" s="20">
        <v>1.562505985E9</v>
      </c>
      <c r="F77" s="20">
        <v>4.636465349E9</v>
      </c>
      <c r="G77" s="20">
        <v>4.023966446E9</v>
      </c>
      <c r="H77" s="20">
        <v>8943681.0</v>
      </c>
      <c r="I77" s="20">
        <v>2.382584775069E12</v>
      </c>
      <c r="J77" s="20">
        <v>1.173999016886E12</v>
      </c>
      <c r="K77" s="20">
        <v>8290711.0</v>
      </c>
      <c r="L77" s="20">
        <v>248.0</v>
      </c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0" customHeight="1">
      <c r="A78" s="4"/>
      <c r="B78" s="9">
        <v>45938.0</v>
      </c>
      <c r="C78" s="20">
        <v>1.1849577329E10</v>
      </c>
      <c r="D78" s="20">
        <v>1.16733875727E11</v>
      </c>
      <c r="E78" s="20">
        <v>1.508094058E9</v>
      </c>
      <c r="F78" s="20">
        <v>4.548233902E9</v>
      </c>
      <c r="G78" s="20">
        <v>3.417735678E9</v>
      </c>
      <c r="H78" s="20">
        <v>8921272.0</v>
      </c>
      <c r="I78" s="20">
        <v>2.306002199241E12</v>
      </c>
      <c r="J78" s="20">
        <v>1.058375168757E12</v>
      </c>
      <c r="K78" s="20">
        <v>8162818.0</v>
      </c>
      <c r="L78" s="20">
        <v>240.0</v>
      </c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0" customHeight="1">
      <c r="A79" s="4"/>
      <c r="B79" s="9">
        <v>45949.0</v>
      </c>
      <c r="C79" s="20">
        <v>1.1507378863E10</v>
      </c>
      <c r="D79" s="20">
        <v>1.24467902534E11</v>
      </c>
      <c r="E79" s="20">
        <v>1.564766806E9</v>
      </c>
      <c r="F79" s="20">
        <v>4.646946932E9</v>
      </c>
      <c r="G79" s="20">
        <v>3.766440272E9</v>
      </c>
      <c r="H79" s="20">
        <v>1.0209917E7</v>
      </c>
      <c r="I79" s="20">
        <v>2.330890085622E12</v>
      </c>
      <c r="J79" s="20">
        <v>1.094283278453E12</v>
      </c>
      <c r="K79" s="20">
        <v>8409475.0</v>
      </c>
      <c r="L79" s="20">
        <v>241.0</v>
      </c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0" customHeight="1">
      <c r="A80" s="4"/>
      <c r="B80" s="9">
        <v>45969.0</v>
      </c>
      <c r="C80" s="20">
        <v>1.0111963142E10</v>
      </c>
      <c r="D80" s="20">
        <v>1.12739703256E11</v>
      </c>
      <c r="E80" s="20">
        <v>1.378457538E9</v>
      </c>
      <c r="F80" s="20">
        <v>4.146924687E9</v>
      </c>
      <c r="G80" s="20">
        <v>3.442370453E9</v>
      </c>
      <c r="H80" s="20">
        <v>8912024.0</v>
      </c>
      <c r="I80" s="20">
        <v>2.079099933371E12</v>
      </c>
      <c r="J80" s="20">
        <v>1.03417809906E12</v>
      </c>
      <c r="K80" s="20">
        <v>7415652.0</v>
      </c>
      <c r="L80" s="20">
        <v>205.0</v>
      </c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0" customHeight="1">
      <c r="A81" s="4"/>
      <c r="B81" s="9">
        <v>45983.0</v>
      </c>
      <c r="C81" s="20">
        <v>1.1591334793E10</v>
      </c>
      <c r="D81" s="20">
        <v>1.31413987289E11</v>
      </c>
      <c r="E81" s="20">
        <v>1.622022209E9</v>
      </c>
      <c r="F81" s="20">
        <v>4.816002168E9</v>
      </c>
      <c r="G81" s="20">
        <v>4.026117248E9</v>
      </c>
      <c r="H81" s="20">
        <v>9716602.0</v>
      </c>
      <c r="I81" s="20">
        <v>2.465038241788E12</v>
      </c>
      <c r="J81" s="20">
        <v>1.353232001491E12</v>
      </c>
      <c r="K81" s="20">
        <v>8635333.0</v>
      </c>
      <c r="L81" s="20">
        <v>236.0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0" customHeight="1">
      <c r="A82" s="4"/>
      <c r="B82" s="9">
        <v>46002.0</v>
      </c>
      <c r="C82" s="20">
        <v>1.1180721781E10</v>
      </c>
      <c r="D82" s="20">
        <v>1.29539827144E11</v>
      </c>
      <c r="E82" s="20">
        <v>1.528281834E9</v>
      </c>
      <c r="F82" s="20">
        <v>4.716942816E9</v>
      </c>
      <c r="G82" s="20">
        <v>3.989450552E9</v>
      </c>
      <c r="H82" s="20">
        <v>8340386.0</v>
      </c>
      <c r="I82" s="20">
        <v>2.407651930916E12</v>
      </c>
      <c r="J82" s="20">
        <v>1.371005637679E12</v>
      </c>
      <c r="K82" s="20">
        <v>9138129.0</v>
      </c>
      <c r="L82" s="20">
        <v>225.0</v>
      </c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0" customHeight="1">
      <c r="A83" s="4"/>
      <c r="B83" s="9">
        <v>46006.0</v>
      </c>
      <c r="C83" s="20">
        <v>1.0867057311E10</v>
      </c>
      <c r="D83" s="20">
        <v>1.33580316573E11</v>
      </c>
      <c r="E83" s="20">
        <v>1.548613371E9</v>
      </c>
      <c r="F83" s="20">
        <v>4.743167081E9</v>
      </c>
      <c r="G83" s="20">
        <v>4.1771644E9</v>
      </c>
      <c r="H83" s="20">
        <v>8340386.0</v>
      </c>
      <c r="I83" s="20">
        <v>2.408789300365E12</v>
      </c>
      <c r="J83" s="20">
        <v>1.374318532907E12</v>
      </c>
      <c r="K83" s="20">
        <v>8490259.0</v>
      </c>
      <c r="L83" s="20">
        <v>224.0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0" customHeight="1">
      <c r="A84" s="4"/>
      <c r="B84" s="9">
        <v>46013.0</v>
      </c>
      <c r="C84" s="20">
        <v>1.0913196282E10</v>
      </c>
      <c r="D84" s="20">
        <v>1.33185732701E11</v>
      </c>
      <c r="E84" s="20">
        <v>1.520651081E9</v>
      </c>
      <c r="F84" s="20">
        <v>4.720355259E9</v>
      </c>
      <c r="G84" s="20">
        <v>4.169143435E9</v>
      </c>
      <c r="H84" s="20">
        <v>8340386.0</v>
      </c>
      <c r="I84" s="20">
        <v>2.377878039209E12</v>
      </c>
      <c r="J84" s="20">
        <v>1.351616556245E12</v>
      </c>
      <c r="K84" s="20">
        <v>8443018.0</v>
      </c>
      <c r="L84" s="20">
        <v>224.0</v>
      </c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0" customHeight="1">
      <c r="A85" s="4"/>
      <c r="B85" s="9">
        <v>46028.0</v>
      </c>
      <c r="C85" s="20">
        <v>1.0632197268E10</v>
      </c>
      <c r="D85" s="20">
        <v>1.37167296625E11</v>
      </c>
      <c r="E85" s="20">
        <v>1.526635897E9</v>
      </c>
      <c r="F85" s="20">
        <v>4.658476535E9</v>
      </c>
      <c r="G85" s="20">
        <v>4.402502989E9</v>
      </c>
      <c r="H85" s="20">
        <v>8188026.0</v>
      </c>
      <c r="I85" s="20">
        <v>2.348569868125E12</v>
      </c>
      <c r="J85" s="20">
        <v>1.322161892252E12</v>
      </c>
      <c r="K85" s="20">
        <v>8299219.0</v>
      </c>
      <c r="L85" s="20">
        <v>218.0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0" customHeight="1">
      <c r="A86" s="4"/>
      <c r="B86" s="9">
        <v>46032.0</v>
      </c>
      <c r="C86" s="20">
        <v>1.0297688506E10</v>
      </c>
      <c r="D86" s="20">
        <v>1.42038184665E11</v>
      </c>
      <c r="E86" s="20">
        <v>1.551926516E9</v>
      </c>
      <c r="F86" s="20">
        <v>4.701099439E9</v>
      </c>
      <c r="G86" s="20">
        <v>4.625017637E9</v>
      </c>
      <c r="H86" s="20">
        <v>8188026.0</v>
      </c>
      <c r="I86" s="20">
        <v>2.341490727183E12</v>
      </c>
      <c r="J86" s="20">
        <v>1.333087725568E12</v>
      </c>
      <c r="K86" s="20">
        <v>8969022.0</v>
      </c>
      <c r="L86" s="20">
        <v>216.0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0" customHeight="1">
      <c r="A87" s="4"/>
      <c r="B87" s="9">
        <v>46047.0</v>
      </c>
      <c r="C87" s="20">
        <v>9.927283821E9</v>
      </c>
      <c r="D87" s="20">
        <v>1.38532497942E11</v>
      </c>
      <c r="E87" s="20">
        <v>1.46473524E9</v>
      </c>
      <c r="F87" s="20">
        <v>4.576699541E9</v>
      </c>
      <c r="G87" s="20">
        <v>4.51830201E9</v>
      </c>
      <c r="H87" s="20">
        <v>8188026.0</v>
      </c>
      <c r="I87" s="20">
        <v>2.237804962003E12</v>
      </c>
      <c r="J87" s="20">
        <v>1.333758121748E12</v>
      </c>
      <c r="K87" s="20">
        <v>7927446.0</v>
      </c>
      <c r="L87" s="20">
        <v>205.0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0" customHeight="1">
      <c r="A88" s="4"/>
      <c r="B88" s="9">
        <v>46053.0</v>
      </c>
      <c r="C88" s="20">
        <v>9.064615185E9</v>
      </c>
      <c r="D88" s="20">
        <v>1.2585435564E11</v>
      </c>
      <c r="E88" s="20">
        <v>1.249742749E9</v>
      </c>
      <c r="F88" s="20">
        <v>4.143527779E9</v>
      </c>
      <c r="G88" s="20">
        <v>4.11340151E9</v>
      </c>
      <c r="H88" s="20">
        <v>8168105.0</v>
      </c>
      <c r="I88" s="20">
        <v>2.042738283309E12</v>
      </c>
      <c r="J88" s="20">
        <v>1.262231639804E12</v>
      </c>
      <c r="K88" s="20">
        <v>7110283.0</v>
      </c>
      <c r="L88" s="20">
        <v>185.0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0" customHeight="1">
      <c r="A89" s="4"/>
      <c r="B89" s="9">
        <v>46067.0</v>
      </c>
      <c r="C89" s="20">
        <v>9.120399941E9</v>
      </c>
      <c r="D89" s="20">
        <v>1.37287445691E11</v>
      </c>
      <c r="E89" s="20">
        <v>1.346338734E9</v>
      </c>
      <c r="F89" s="20">
        <v>4.47963722E9</v>
      </c>
      <c r="G89" s="20">
        <v>4.511721469E9</v>
      </c>
      <c r="H89" s="20">
        <v>8168107.0</v>
      </c>
      <c r="I89" s="20">
        <v>2.066641915393E12</v>
      </c>
      <c r="J89" s="20">
        <v>1.332463857652E12</v>
      </c>
      <c r="K89" s="20">
        <v>7363394.0</v>
      </c>
      <c r="L89" s="20">
        <v>185.0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0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0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0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0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0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0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0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0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0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0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0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0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0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0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0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0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21.0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21.0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21.0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21.0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21.0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21.0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21.0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21.0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21.0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21.0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21.0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21.0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21.0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21.0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21.0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21.0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21.0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21.0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21.0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21.0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21.0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21.0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21.0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21.0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21.0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21.0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21.0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21.0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21.0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21.0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21.0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21.0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21.0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21.0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21.0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21.0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21.0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21.0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21.0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21.0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21.0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21.0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21.0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21.0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21.0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21.0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21.0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21.0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21.0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21.0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21.0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21.0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21.0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21.0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21.0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21.0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21.0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21.0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21.0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21.0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21.0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21.0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21.0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21.0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21.0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21.0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21.0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21.0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21.0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21.0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21.0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21.0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21.0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21.0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21.0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21.0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21.0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21.0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21.0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21.0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21.0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21.0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21.0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21.0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21.0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21.0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21.0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21.0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21.0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21.0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21.0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21.0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21.0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21.0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21.0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21.0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21.0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21.0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21.0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21.0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21.0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21.0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21.0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21.0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21.0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21.0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21.0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21.0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21.0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21.0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21.0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21.0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21.0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21.0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21.0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21.0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21.0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21.0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21.0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21.0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21.0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21.0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21.0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21.0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21.0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21.0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21.0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21.0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21.0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21.0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21.0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21.0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21.0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21.0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21.0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21.0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21.0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21.0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21.0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21.0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21.0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21.0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21.0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21.0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21.0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21.0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21.0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21.0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21.0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21.0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21.0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21.0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21.0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21.0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21.0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21.0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21.0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21.0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21.0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21.0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21.0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21.0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21.0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21.0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21.0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21.0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21.0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21.0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21.0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21.0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21.0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21.0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21.0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21.0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21.0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21.0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21.0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21.0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21.0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21.0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21.0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21.0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21.0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21.0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21.0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21.0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21.0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21.0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21.0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21.0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21.0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21.0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21.0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21.0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21.0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21.0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21.0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21.0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21.0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21.0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21.0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21.0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21.0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21.0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21.0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21.0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21.0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21.0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21.0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21.0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21.0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21.0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21.0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21.0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21.0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21.0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21.0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21.0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21.0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21.0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21.0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21.0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21.0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21.0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21.0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21.0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21.0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21.0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21.0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21.0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21.0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21.0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21.0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21.0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21.0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21.0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21.0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21.0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21.0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21.0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21.0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21.0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21.0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21.0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21.0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21.0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21.0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21.0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21.0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21.0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21.0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21.0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21.0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21.0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21.0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21.0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21.0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21.0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21.0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21.0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21.0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21.0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21.0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21.0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21.0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21.0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21.0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21.0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21.0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21.0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21.0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21.0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21.0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21.0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21.0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21.0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21.0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21.0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21.0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21.0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21.0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21.0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21.0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21.0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21.0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21.0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21.0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21.0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21.0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21.0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21.0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21.0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21.0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21.0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21.0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21.0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21.0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21.0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21.0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21.0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21.0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21.0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21.0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21.0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21.0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21.0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21.0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21.0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21.0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21.0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21.0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21.0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21.0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21.0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21.0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21.0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21.0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21.0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21.0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21.0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21.0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21.0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21.0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21.0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21.0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21.0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21.0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21.0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21.0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21.0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21.0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21.0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21.0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21.0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21.0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21.0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21.0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21.0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21.0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21.0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21.0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21.0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21.0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21.0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21.0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21.0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21.0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21.0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21.0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21.0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21.0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21.0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21.0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21.0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21.0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21.0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21.0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21.0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21.0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21.0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21.0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21.0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21.0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21.0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21.0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21.0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21.0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21.0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21.0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21.0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21.0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21.0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21.0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21.0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21.0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21.0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21.0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21.0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21.0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21.0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21.0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21.0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21.0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21.0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21.0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21.0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21.0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21.0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21.0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21.0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21.0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21.0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21.0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21.0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21.0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21.0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21.0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21.0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21.0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21.0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21.0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21.0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21.0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21.0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21.0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21.0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21.0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21.0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21.0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21.0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21.0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21.0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21.0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21.0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21.0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21.0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21.0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21.0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21.0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21.0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21.0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21.0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21.0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21.0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21.0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21.0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21.0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21.0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21.0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21.0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21.0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21.0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21.0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21.0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21.0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21.0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21.0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21.0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21.0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21.0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21.0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21.0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21.0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21.0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21.0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21.0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21.0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21.0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21.0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21.0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21.0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21.0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21.0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21.0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21.0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21.0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21.0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21.0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21.0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21.0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21.0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21.0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21.0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21.0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21.0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21.0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21.0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21.0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21.0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21.0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21.0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21.0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21.0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21.0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21.0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21.0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21.0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21.0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21.0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21.0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21.0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21.0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21.0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21.0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21.0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21.0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21.0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21.0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21.0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21.0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21.0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21.0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21.0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21.0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21.0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21.0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21.0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21.0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21.0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21.0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21.0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21.0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21.0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21.0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21.0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21.0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21.0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21.0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21.0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21.0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21.0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21.0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21.0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21.0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21.0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21.0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21.0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21.0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21.0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21.0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21.0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21.0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21.0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21.0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21.0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21.0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21.0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21.0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21.0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21.0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21.0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21.0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21.0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21.0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21.0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21.0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21.0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21.0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21.0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21.0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21.0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21.0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21.0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21.0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21.0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21.0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21.0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21.0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21.0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21.0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21.0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21.0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21.0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21.0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21.0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21.0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21.0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21.0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21.0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21.0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21.0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21.0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21.0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21.0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21.0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21.0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21.0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21.0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21.0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21.0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21.0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21.0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21.0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21.0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21.0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21.0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21.0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21.0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21.0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21.0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21.0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21.0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21.0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21.0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21.0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21.0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21.0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21.0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21.0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21.0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21.0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21.0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21.0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21.0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21.0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21.0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21.0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21.0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21.0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21.0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21.0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21.0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21.0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21.0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21.0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21.0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21.0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21.0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21.0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21.0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21.0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21.0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21.0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21.0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21.0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21.0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21.0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21.0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21.0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21.0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21.0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21.0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21.0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21.0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21.0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21.0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21.0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21.0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21.0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21.0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21.0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21.0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21.0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21.0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21.0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21.0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21.0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21.0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21.0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21.0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21.0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21.0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21.0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21.0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21.0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21.0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21.0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21.0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21.0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21.0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21.0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21.0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21.0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21.0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21.0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21.0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21.0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21.0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21.0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21.0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21.0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21.0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21.0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21.0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21.0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21.0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21.0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21.0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21.0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21.0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21.0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21.0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21.0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21.0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21.0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21.0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21.0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21.0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21.0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21.0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21.0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21.0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21.0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21.0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21.0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21.0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21.0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21.0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21.0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21.0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21.0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21.0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21.0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21.0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21.0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21.0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21.0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21.0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21.0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21.0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21.0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21.0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21.0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21.0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21.0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21.0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21.0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21.0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21.0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21.0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21.0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21.0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21.0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21.0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21.0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21.0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21.0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21.0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21.0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21.0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21.0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21.0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21.0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21.0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21.0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21.0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21.0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21.0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21.0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21.0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21.0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21.0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21.0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21.0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21.0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21.0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21.0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21.0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21.0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21.0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21.0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21.0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21.0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21.0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21.0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21.0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21.0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21.0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21.0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21.0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21.0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21.0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21.0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21.0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21.0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21.0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21.0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21.0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21.0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21.0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21.0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21.0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21.0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21.0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21.0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21.0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21.0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21.0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21.0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21.0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21.0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21.0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21.0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21.0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21.0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21.0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21.0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21.0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21.0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21.0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21.0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21.0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21.0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21.0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21.0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21.0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21.0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21.0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21.0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21.0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21.0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21.0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21.0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21.0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21.0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21.0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21.0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21.0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21.0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21.0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21.0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21.0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21.0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21.0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21.0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21.0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21.0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21.0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21.0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21.0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21.0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21.0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21.0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21.0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21.0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21.0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21.0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21.0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21.0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21.0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21.0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21.0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21.0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21.0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21.0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21.0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21.0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21.0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21.0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21.0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21.0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21.0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21.0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21.0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21.0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21.0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21.0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21.0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21.0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21.0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21.0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21.0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21.0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21.0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21.0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21.0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21.0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21.0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21.0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21.0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21.0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21.0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21.0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21.0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21.0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21.0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21.0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21.0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21.0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21.0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21.0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21.0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21.0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21.0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21.0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21.0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21.0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21.0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21.0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21.0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21.0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21.0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21.0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21.0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21.0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21.0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21.0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21.0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21.0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21.0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21.0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21.0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21.0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21.0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21.0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21.0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21.0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21.0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21.0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21.0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21.0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21.0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21.0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21.0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21.0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5">
    <mergeCell ref="I21:L21"/>
    <mergeCell ref="I22:L22"/>
    <mergeCell ref="I23:L23"/>
    <mergeCell ref="B26:N26"/>
    <mergeCell ref="B27:N27"/>
    <mergeCell ref="B39:N39"/>
    <mergeCell ref="B51:N51"/>
    <mergeCell ref="B65:L65"/>
    <mergeCell ref="A1:N1"/>
    <mergeCell ref="B4:N4"/>
    <mergeCell ref="C6:C16"/>
    <mergeCell ref="B18:G18"/>
    <mergeCell ref="I18:L18"/>
    <mergeCell ref="I19:L19"/>
    <mergeCell ref="I20:L20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43"/>
    <col customWidth="1" min="2" max="2" width="26.0"/>
    <col customWidth="1" min="3" max="4" width="17.57"/>
    <col customWidth="1" min="5" max="5" width="19.57"/>
    <col customWidth="1" min="6" max="10" width="17.57"/>
    <col customWidth="1" min="11" max="11" width="19.29"/>
    <col customWidth="1" min="12" max="12" width="19.71"/>
    <col customWidth="1" min="13" max="13" width="14.0"/>
    <col customWidth="1" min="14" max="14" width="29.14"/>
    <col customWidth="1" min="15" max="15" width="12.86"/>
    <col customWidth="1" min="16" max="16" width="13.29"/>
    <col customWidth="1" min="17" max="17" width="73.86"/>
    <col customWidth="1" min="18" max="26" width="8.71"/>
  </cols>
  <sheetData>
    <row r="1" ht="25.5" customHeight="1">
      <c r="A1" s="28" t="s">
        <v>32</v>
      </c>
      <c r="B1" s="28" t="s">
        <v>4</v>
      </c>
      <c r="C1" s="29" t="s">
        <v>5</v>
      </c>
      <c r="D1" s="29" t="s">
        <v>57</v>
      </c>
      <c r="E1" s="29" t="s">
        <v>6</v>
      </c>
      <c r="F1" s="29" t="s">
        <v>7</v>
      </c>
      <c r="G1" s="29" t="s">
        <v>58</v>
      </c>
      <c r="H1" s="29" t="s">
        <v>8</v>
      </c>
      <c r="I1" s="29" t="s">
        <v>9</v>
      </c>
      <c r="J1" s="29" t="s">
        <v>10</v>
      </c>
      <c r="K1" s="29" t="s">
        <v>11</v>
      </c>
      <c r="L1" s="29" t="s">
        <v>12</v>
      </c>
      <c r="M1" s="29" t="s">
        <v>13</v>
      </c>
      <c r="N1" s="28" t="s">
        <v>14</v>
      </c>
      <c r="O1" s="28" t="s">
        <v>15</v>
      </c>
      <c r="P1" s="28" t="s">
        <v>59</v>
      </c>
      <c r="Q1" s="28" t="s">
        <v>60</v>
      </c>
      <c r="R1" s="30"/>
      <c r="S1" s="30"/>
      <c r="T1" s="30"/>
      <c r="U1" s="30"/>
      <c r="V1" s="30"/>
      <c r="W1" s="30"/>
      <c r="X1" s="30"/>
      <c r="Y1" s="30"/>
      <c r="Z1" s="30"/>
    </row>
    <row r="2" ht="18.0" customHeight="1">
      <c r="A2" s="31">
        <v>1.68455139E8</v>
      </c>
      <c r="B2" s="31" t="s">
        <v>33</v>
      </c>
      <c r="C2" s="32">
        <v>1.14075955E8</v>
      </c>
      <c r="D2" s="32">
        <v>777200.0</v>
      </c>
      <c r="E2" s="32">
        <v>3.169508828E9</v>
      </c>
      <c r="F2" s="32">
        <v>1.5798347E7</v>
      </c>
      <c r="G2" s="32">
        <v>1.140303E7</v>
      </c>
      <c r="H2" s="32">
        <v>6.0975261E7</v>
      </c>
      <c r="I2" s="32">
        <v>1.27505869E8</v>
      </c>
      <c r="J2" s="32">
        <v>0.0</v>
      </c>
      <c r="K2" s="32">
        <v>1.9406403816E10</v>
      </c>
      <c r="L2" s="32">
        <v>2.175967435E9</v>
      </c>
      <c r="M2" s="32">
        <v>80989.0</v>
      </c>
      <c r="N2" s="31" t="s">
        <v>34</v>
      </c>
      <c r="O2" s="31">
        <v>25.0</v>
      </c>
      <c r="P2" s="31"/>
      <c r="Q2" s="31"/>
      <c r="R2" s="30"/>
      <c r="S2" s="30"/>
      <c r="T2" s="30"/>
      <c r="U2" s="30"/>
      <c r="V2" s="30"/>
      <c r="W2" s="30"/>
      <c r="X2" s="30"/>
      <c r="Y2" s="30"/>
      <c r="Z2" s="30"/>
    </row>
    <row r="3" ht="18.0" customHeight="1">
      <c r="A3" s="31">
        <v>6.496634E7</v>
      </c>
      <c r="B3" s="31" t="s">
        <v>35</v>
      </c>
      <c r="C3" s="32">
        <v>1.029841E8</v>
      </c>
      <c r="D3" s="32">
        <v>-20600.0</v>
      </c>
      <c r="E3" s="32">
        <v>5.033745533E9</v>
      </c>
      <c r="F3" s="32">
        <v>1.9433569E7</v>
      </c>
      <c r="G3" s="32">
        <v>2.3475728E7</v>
      </c>
      <c r="H3" s="32">
        <v>8.0555126E7</v>
      </c>
      <c r="I3" s="32">
        <v>2.10773373E8</v>
      </c>
      <c r="J3" s="32">
        <v>0.0</v>
      </c>
      <c r="K3" s="32">
        <v>3.9455188612E10</v>
      </c>
      <c r="L3" s="32">
        <v>1.4447507139E10</v>
      </c>
      <c r="M3" s="32">
        <v>149061.0</v>
      </c>
      <c r="N3" s="31" t="s">
        <v>34</v>
      </c>
      <c r="O3" s="31">
        <v>25.0</v>
      </c>
      <c r="P3" s="31"/>
      <c r="Q3" s="31"/>
      <c r="R3" s="30"/>
      <c r="S3" s="30"/>
      <c r="T3" s="30"/>
      <c r="U3" s="30"/>
      <c r="V3" s="30"/>
      <c r="W3" s="30"/>
      <c r="X3" s="30"/>
      <c r="Y3" s="30"/>
      <c r="Z3" s="30"/>
    </row>
    <row r="4" ht="18.0" customHeight="1">
      <c r="A4" s="31">
        <v>1.45408006E8</v>
      </c>
      <c r="B4" s="31" t="s">
        <v>36</v>
      </c>
      <c r="C4" s="32">
        <v>1.01550633E8</v>
      </c>
      <c r="D4" s="32">
        <v>48938.0</v>
      </c>
      <c r="E4" s="32">
        <v>1.403689506E9</v>
      </c>
      <c r="F4" s="32">
        <v>1.3976374E7</v>
      </c>
      <c r="G4" s="32">
        <v>1.19626732E8</v>
      </c>
      <c r="H4" s="32">
        <v>3.8685296E7</v>
      </c>
      <c r="I4" s="32">
        <v>4.9144708E7</v>
      </c>
      <c r="J4" s="32">
        <v>0.0</v>
      </c>
      <c r="K4" s="32">
        <v>1.3163357488E10</v>
      </c>
      <c r="L4" s="32">
        <v>9.7148239E7</v>
      </c>
      <c r="M4" s="32">
        <v>33128.0</v>
      </c>
      <c r="N4" s="31" t="s">
        <v>34</v>
      </c>
      <c r="O4" s="31">
        <v>25.0</v>
      </c>
      <c r="P4" s="31"/>
      <c r="Q4" s="31"/>
      <c r="R4" s="30"/>
      <c r="S4" s="30"/>
      <c r="T4" s="30"/>
      <c r="U4" s="30"/>
      <c r="V4" s="30"/>
      <c r="W4" s="30"/>
      <c r="X4" s="30"/>
      <c r="Y4" s="30"/>
      <c r="Z4" s="30"/>
    </row>
    <row r="5" ht="18.0" customHeight="1">
      <c r="A5" s="31">
        <v>6.2576249E7</v>
      </c>
      <c r="B5" s="31" t="s">
        <v>37</v>
      </c>
      <c r="C5" s="32">
        <v>9.587929E7</v>
      </c>
      <c r="D5" s="32">
        <v>538880.0</v>
      </c>
      <c r="E5" s="32">
        <v>3.726358886E9</v>
      </c>
      <c r="F5" s="32">
        <v>2.2903728E7</v>
      </c>
      <c r="G5" s="32">
        <v>1.38135611E8</v>
      </c>
      <c r="H5" s="32">
        <v>1.05943637E8</v>
      </c>
      <c r="I5" s="32">
        <v>1.29228398E8</v>
      </c>
      <c r="J5" s="32">
        <v>0.0</v>
      </c>
      <c r="K5" s="32">
        <v>2.9848407622E10</v>
      </c>
      <c r="L5" s="32">
        <v>3.3999364731E10</v>
      </c>
      <c r="M5" s="32">
        <v>161384.0</v>
      </c>
      <c r="N5" s="31" t="s">
        <v>34</v>
      </c>
      <c r="O5" s="31">
        <v>25.0</v>
      </c>
      <c r="P5" s="31"/>
      <c r="Q5" s="31"/>
      <c r="R5" s="30"/>
      <c r="S5" s="30"/>
      <c r="T5" s="30"/>
      <c r="U5" s="30"/>
      <c r="V5" s="30"/>
      <c r="W5" s="30"/>
      <c r="X5" s="30"/>
      <c r="Y5" s="30"/>
      <c r="Z5" s="30"/>
    </row>
    <row r="6" ht="18.0" customHeight="1">
      <c r="A6" s="31">
        <v>1.03336195E8</v>
      </c>
      <c r="B6" s="31" t="s">
        <v>38</v>
      </c>
      <c r="C6" s="32">
        <v>9.3619722E7</v>
      </c>
      <c r="D6" s="32">
        <v>-2101510.0</v>
      </c>
      <c r="E6" s="32">
        <v>4.071748196E9</v>
      </c>
      <c r="F6" s="32">
        <v>1.8939597E7</v>
      </c>
      <c r="G6" s="32">
        <v>5.4652872E7</v>
      </c>
      <c r="H6" s="32">
        <v>1.28038388E8</v>
      </c>
      <c r="I6" s="32">
        <v>1.37699932E8</v>
      </c>
      <c r="J6" s="32">
        <v>0.0</v>
      </c>
      <c r="K6" s="32">
        <v>1.6234255129E10</v>
      </c>
      <c r="L6" s="32">
        <v>3.3852410358E10</v>
      </c>
      <c r="M6" s="32">
        <v>129972.0</v>
      </c>
      <c r="N6" s="31" t="s">
        <v>34</v>
      </c>
      <c r="O6" s="31">
        <v>25.0</v>
      </c>
      <c r="P6" s="31"/>
      <c r="Q6" s="31"/>
      <c r="R6" s="30"/>
      <c r="S6" s="30"/>
      <c r="T6" s="30"/>
      <c r="U6" s="30"/>
      <c r="V6" s="30"/>
      <c r="W6" s="30"/>
      <c r="X6" s="30"/>
      <c r="Y6" s="30"/>
      <c r="Z6" s="30"/>
    </row>
    <row r="7" ht="18.0" customHeight="1">
      <c r="A7" s="31">
        <v>2463403.0</v>
      </c>
      <c r="B7" s="31" t="s">
        <v>39</v>
      </c>
      <c r="C7" s="32">
        <v>9.0567371E7</v>
      </c>
      <c r="D7" s="32">
        <v>199800.0</v>
      </c>
      <c r="E7" s="32">
        <v>8.074509123E9</v>
      </c>
      <c r="F7" s="32">
        <v>4.1190989E7</v>
      </c>
      <c r="G7" s="32">
        <v>3.0474948E7</v>
      </c>
      <c r="H7" s="32">
        <v>2.07480739E8</v>
      </c>
      <c r="I7" s="32">
        <v>2.98021205E8</v>
      </c>
      <c r="J7" s="32">
        <v>0.0</v>
      </c>
      <c r="K7" s="32">
        <v>3.0447264234E10</v>
      </c>
      <c r="L7" s="32">
        <v>1.0256888908E10</v>
      </c>
      <c r="M7" s="32">
        <v>282227.0</v>
      </c>
      <c r="N7" s="31" t="s">
        <v>34</v>
      </c>
      <c r="O7" s="31">
        <v>25.0</v>
      </c>
      <c r="P7" s="31"/>
      <c r="Q7" s="31"/>
      <c r="R7" s="30"/>
      <c r="S7" s="30"/>
      <c r="T7" s="30"/>
      <c r="U7" s="30"/>
      <c r="V7" s="30"/>
      <c r="W7" s="30"/>
      <c r="X7" s="30"/>
      <c r="Y7" s="30"/>
      <c r="Z7" s="30"/>
    </row>
    <row r="8" ht="18.0" customHeight="1">
      <c r="A8" s="31">
        <v>2.708355E7</v>
      </c>
      <c r="B8" s="31" t="s">
        <v>40</v>
      </c>
      <c r="C8" s="32">
        <v>8.8686743E7</v>
      </c>
      <c r="D8" s="32">
        <v>0.0</v>
      </c>
      <c r="E8" s="32">
        <v>3.257913382E9</v>
      </c>
      <c r="F8" s="32">
        <v>2.9270159E7</v>
      </c>
      <c r="G8" s="32">
        <v>2.698857E7</v>
      </c>
      <c r="H8" s="32">
        <v>1.06790757E8</v>
      </c>
      <c r="I8" s="32">
        <v>1.07510399E8</v>
      </c>
      <c r="J8" s="32">
        <v>0.0</v>
      </c>
      <c r="K8" s="32">
        <v>2.0113758492E10</v>
      </c>
      <c r="L8" s="32">
        <v>8.570341628E9</v>
      </c>
      <c r="M8" s="32">
        <v>79935.0</v>
      </c>
      <c r="N8" s="31" t="s">
        <v>34</v>
      </c>
      <c r="O8" s="31">
        <v>25.0</v>
      </c>
      <c r="P8" s="31"/>
      <c r="Q8" s="31"/>
      <c r="R8" s="30"/>
      <c r="S8" s="30"/>
      <c r="T8" s="30"/>
      <c r="U8" s="30"/>
      <c r="V8" s="30"/>
      <c r="W8" s="30"/>
      <c r="X8" s="30"/>
      <c r="Y8" s="30"/>
      <c r="Z8" s="30"/>
    </row>
    <row r="9" ht="18.0" customHeight="1">
      <c r="A9" s="31">
        <v>7.9650085E7</v>
      </c>
      <c r="B9" s="31" t="s">
        <v>41</v>
      </c>
      <c r="C9" s="32">
        <v>8.8663489E7</v>
      </c>
      <c r="D9" s="32">
        <v>658150.0</v>
      </c>
      <c r="E9" s="32">
        <v>2.021336942E9</v>
      </c>
      <c r="F9" s="32">
        <v>1.3602965E7</v>
      </c>
      <c r="G9" s="32">
        <v>3.4603542E7</v>
      </c>
      <c r="H9" s="32">
        <v>6.0282327E7</v>
      </c>
      <c r="I9" s="32">
        <v>6.9810442E7</v>
      </c>
      <c r="J9" s="32">
        <v>0.0</v>
      </c>
      <c r="K9" s="32">
        <v>1.660030789E10</v>
      </c>
      <c r="L9" s="32">
        <v>1.5171538986E10</v>
      </c>
      <c r="M9" s="32">
        <v>105718.0</v>
      </c>
      <c r="N9" s="31" t="s">
        <v>34</v>
      </c>
      <c r="O9" s="31">
        <v>25.0</v>
      </c>
      <c r="P9" s="31"/>
      <c r="Q9" s="31"/>
      <c r="R9" s="30"/>
      <c r="S9" s="30"/>
      <c r="T9" s="30"/>
      <c r="U9" s="30"/>
      <c r="V9" s="30"/>
      <c r="W9" s="30"/>
      <c r="X9" s="30"/>
      <c r="Y9" s="30"/>
      <c r="Z9" s="30"/>
    </row>
    <row r="10" ht="18.0" customHeight="1">
      <c r="A10" s="31">
        <v>1.1726598E7</v>
      </c>
      <c r="B10" s="31" t="s">
        <v>42</v>
      </c>
      <c r="C10" s="32">
        <v>8.7809991E7</v>
      </c>
      <c r="D10" s="32">
        <v>1613650.0</v>
      </c>
      <c r="E10" s="32">
        <v>9.500931582E9</v>
      </c>
      <c r="F10" s="32">
        <v>2.8439075E7</v>
      </c>
      <c r="G10" s="32">
        <v>8.4598811E7</v>
      </c>
      <c r="H10" s="32">
        <v>2.18679647E8</v>
      </c>
      <c r="I10" s="32">
        <v>3.61597384E8</v>
      </c>
      <c r="J10" s="32">
        <v>3821128.0</v>
      </c>
      <c r="K10" s="32">
        <v>2.3874189162E10</v>
      </c>
      <c r="L10" s="32">
        <v>3.1515752765E10</v>
      </c>
      <c r="M10" s="32">
        <v>180247.0</v>
      </c>
      <c r="N10" s="31" t="s">
        <v>34</v>
      </c>
      <c r="O10" s="31">
        <v>25.0</v>
      </c>
      <c r="P10" s="31"/>
      <c r="Q10" s="31"/>
      <c r="R10" s="30"/>
      <c r="S10" s="30"/>
      <c r="T10" s="30"/>
      <c r="U10" s="30"/>
      <c r="V10" s="30"/>
      <c r="W10" s="30"/>
      <c r="X10" s="30"/>
      <c r="Y10" s="30"/>
      <c r="Z10" s="30"/>
    </row>
    <row r="11" ht="18.0" customHeight="1">
      <c r="A11" s="31">
        <v>6.2691192E7</v>
      </c>
      <c r="B11" s="31" t="s">
        <v>43</v>
      </c>
      <c r="C11" s="32">
        <v>8.7669E7</v>
      </c>
      <c r="D11" s="32">
        <v>605300.0</v>
      </c>
      <c r="E11" s="32">
        <v>4.93890655E8</v>
      </c>
      <c r="F11" s="32">
        <v>1.8486766E7</v>
      </c>
      <c r="G11" s="32">
        <v>1353556.0</v>
      </c>
      <c r="H11" s="32">
        <v>1.0755283E7</v>
      </c>
      <c r="I11" s="32">
        <v>1.9119738E7</v>
      </c>
      <c r="J11" s="32">
        <v>0.0</v>
      </c>
      <c r="K11" s="32">
        <v>2.114935651E10</v>
      </c>
      <c r="L11" s="32">
        <v>6.548529315E9</v>
      </c>
      <c r="M11" s="32">
        <v>86250.0</v>
      </c>
      <c r="N11" s="31" t="s">
        <v>34</v>
      </c>
      <c r="O11" s="31">
        <v>25.0</v>
      </c>
      <c r="P11" s="31"/>
      <c r="Q11" s="31"/>
      <c r="R11" s="30"/>
      <c r="S11" s="30"/>
      <c r="T11" s="30"/>
      <c r="U11" s="30"/>
      <c r="V11" s="30"/>
      <c r="W11" s="30"/>
      <c r="X11" s="30"/>
      <c r="Y11" s="30"/>
      <c r="Z11" s="30"/>
    </row>
    <row r="12" ht="18.0" customHeight="1">
      <c r="A12" s="31">
        <v>1.71934536E8</v>
      </c>
      <c r="B12" s="31" t="s">
        <v>61</v>
      </c>
      <c r="C12" s="32">
        <v>8.7048372E7</v>
      </c>
      <c r="D12" s="32">
        <v>138596.0</v>
      </c>
      <c r="E12" s="32">
        <v>7.28045793E8</v>
      </c>
      <c r="F12" s="32">
        <v>2526075.0</v>
      </c>
      <c r="G12" s="32">
        <v>2.2195607E7</v>
      </c>
      <c r="H12" s="32">
        <v>2.4636205E7</v>
      </c>
      <c r="I12" s="32">
        <v>2.2489513E7</v>
      </c>
      <c r="J12" s="32">
        <v>0.0</v>
      </c>
      <c r="K12" s="32">
        <v>1.5850948556E10</v>
      </c>
      <c r="L12" s="32">
        <v>9.98710757E8</v>
      </c>
      <c r="M12" s="32">
        <v>48253.0</v>
      </c>
      <c r="N12" s="31" t="s">
        <v>34</v>
      </c>
      <c r="O12" s="31">
        <v>25.0</v>
      </c>
      <c r="P12" s="31"/>
      <c r="Q12" s="31"/>
      <c r="R12" s="30"/>
      <c r="S12" s="30"/>
      <c r="T12" s="30"/>
      <c r="U12" s="30"/>
      <c r="V12" s="30"/>
      <c r="W12" s="30"/>
      <c r="X12" s="30"/>
      <c r="Y12" s="30"/>
      <c r="Z12" s="30"/>
    </row>
    <row r="13" ht="18.0" customHeight="1">
      <c r="A13" s="31">
        <v>6.7071592E7</v>
      </c>
      <c r="B13" s="31" t="s">
        <v>45</v>
      </c>
      <c r="C13" s="32">
        <v>8.6782112E7</v>
      </c>
      <c r="D13" s="32">
        <v>819812.0</v>
      </c>
      <c r="E13" s="32">
        <v>1.0419383697E10</v>
      </c>
      <c r="F13" s="32">
        <v>3.0250138E7</v>
      </c>
      <c r="G13" s="32">
        <v>8.1705947E7</v>
      </c>
      <c r="H13" s="32">
        <v>3.94259261E8</v>
      </c>
      <c r="I13" s="32">
        <v>3.16889902E8</v>
      </c>
      <c r="J13" s="32">
        <v>1804833.0</v>
      </c>
      <c r="K13" s="32">
        <v>3.7772521004E10</v>
      </c>
      <c r="L13" s="32">
        <v>2.6057655882E10</v>
      </c>
      <c r="M13" s="32">
        <v>233819.0</v>
      </c>
      <c r="N13" s="31" t="s">
        <v>34</v>
      </c>
      <c r="O13" s="31">
        <v>25.0</v>
      </c>
      <c r="P13" s="31"/>
      <c r="Q13" s="31"/>
      <c r="R13" s="30"/>
      <c r="S13" s="30"/>
      <c r="T13" s="30"/>
      <c r="U13" s="30"/>
      <c r="V13" s="30"/>
      <c r="W13" s="30"/>
      <c r="X13" s="30"/>
      <c r="Y13" s="30"/>
      <c r="Z13" s="30"/>
    </row>
    <row r="14" ht="18.0" customHeight="1">
      <c r="A14" s="31">
        <v>2.7578537E7</v>
      </c>
      <c r="B14" s="31" t="s">
        <v>48</v>
      </c>
      <c r="C14" s="32">
        <v>8.6154289E7</v>
      </c>
      <c r="D14" s="32">
        <v>317861.0</v>
      </c>
      <c r="E14" s="32">
        <v>3.273577513E9</v>
      </c>
      <c r="F14" s="32">
        <v>2.6017941E7</v>
      </c>
      <c r="G14" s="32">
        <v>3.4859699E7</v>
      </c>
      <c r="H14" s="32">
        <v>1.04940509E8</v>
      </c>
      <c r="I14" s="32">
        <v>1.09366473E8</v>
      </c>
      <c r="J14" s="32">
        <v>0.0</v>
      </c>
      <c r="K14" s="32">
        <v>2.7051933556E10</v>
      </c>
      <c r="L14" s="32">
        <v>3.4685377792E10</v>
      </c>
      <c r="M14" s="32">
        <v>108971.0</v>
      </c>
      <c r="N14" s="31" t="s">
        <v>34</v>
      </c>
      <c r="O14" s="31">
        <v>25.0</v>
      </c>
      <c r="P14" s="31"/>
      <c r="Q14" s="31"/>
      <c r="R14" s="30"/>
      <c r="S14" s="30"/>
      <c r="T14" s="30"/>
      <c r="U14" s="30"/>
      <c r="V14" s="30"/>
      <c r="W14" s="30"/>
      <c r="X14" s="30"/>
      <c r="Y14" s="30"/>
      <c r="Z14" s="30"/>
    </row>
    <row r="15" ht="18.0" customHeight="1">
      <c r="A15" s="31">
        <v>1.3871553E8</v>
      </c>
      <c r="B15" s="31" t="s">
        <v>62</v>
      </c>
      <c r="C15" s="32">
        <v>8.5692022E7</v>
      </c>
      <c r="D15" s="32">
        <v>-855410.0</v>
      </c>
      <c r="E15" s="32">
        <v>9.06547968E8</v>
      </c>
      <c r="F15" s="32">
        <v>1.579346E7</v>
      </c>
      <c r="G15" s="32">
        <v>4.9055881E7</v>
      </c>
      <c r="H15" s="32">
        <v>2.517526E7</v>
      </c>
      <c r="I15" s="32">
        <v>3.1989283E7</v>
      </c>
      <c r="J15" s="32">
        <v>0.0</v>
      </c>
      <c r="K15" s="32">
        <v>2.0034102871E10</v>
      </c>
      <c r="L15" s="32">
        <v>6.311274481E9</v>
      </c>
      <c r="M15" s="32">
        <v>120900.0</v>
      </c>
      <c r="N15" s="31" t="s">
        <v>34</v>
      </c>
      <c r="O15" s="31">
        <v>25.0</v>
      </c>
      <c r="P15" s="31"/>
      <c r="Q15" s="31"/>
      <c r="R15" s="30"/>
      <c r="S15" s="30"/>
      <c r="T15" s="30"/>
      <c r="U15" s="30"/>
      <c r="V15" s="30"/>
      <c r="W15" s="30"/>
      <c r="X15" s="30"/>
      <c r="Y15" s="30"/>
      <c r="Z15" s="30"/>
    </row>
    <row r="16" ht="18.0" customHeight="1">
      <c r="A16" s="31">
        <v>6.4010776E7</v>
      </c>
      <c r="B16" s="31" t="s">
        <v>63</v>
      </c>
      <c r="C16" s="32">
        <v>8.5545458E7</v>
      </c>
      <c r="D16" s="32">
        <v>317940.0</v>
      </c>
      <c r="E16" s="32">
        <v>2.453038112E9</v>
      </c>
      <c r="F16" s="32">
        <v>1.9483092E7</v>
      </c>
      <c r="G16" s="32">
        <v>3.5105324E7</v>
      </c>
      <c r="H16" s="32">
        <v>8.1257599E7</v>
      </c>
      <c r="I16" s="32">
        <v>7.9713168E7</v>
      </c>
      <c r="J16" s="32">
        <v>0.0</v>
      </c>
      <c r="K16" s="32">
        <v>2.05756385E10</v>
      </c>
      <c r="L16" s="32">
        <v>3.2097524646E10</v>
      </c>
      <c r="M16" s="32">
        <v>110057.0</v>
      </c>
      <c r="N16" s="31" t="s">
        <v>34</v>
      </c>
      <c r="O16" s="31">
        <v>25.0</v>
      </c>
      <c r="P16" s="31"/>
      <c r="Q16" s="31"/>
      <c r="R16" s="30"/>
      <c r="S16" s="30"/>
      <c r="T16" s="30"/>
      <c r="U16" s="30"/>
      <c r="V16" s="30"/>
      <c r="W16" s="30"/>
      <c r="X16" s="30"/>
      <c r="Y16" s="30"/>
      <c r="Z16" s="30"/>
    </row>
    <row r="17" ht="18.0" customHeight="1">
      <c r="A17" s="31">
        <v>6.3222201E7</v>
      </c>
      <c r="B17" s="31" t="s">
        <v>64</v>
      </c>
      <c r="C17" s="32">
        <v>8.3647164E7</v>
      </c>
      <c r="D17" s="32">
        <v>271770.0</v>
      </c>
      <c r="E17" s="32">
        <v>1.983198202E9</v>
      </c>
      <c r="F17" s="32">
        <v>1.8936285E7</v>
      </c>
      <c r="G17" s="32">
        <v>2.1587022E7</v>
      </c>
      <c r="H17" s="32">
        <v>7.9759209E7</v>
      </c>
      <c r="I17" s="32">
        <v>5.7778299E7</v>
      </c>
      <c r="J17" s="32">
        <v>0.0</v>
      </c>
      <c r="K17" s="32">
        <v>3.3819161537E10</v>
      </c>
      <c r="L17" s="32">
        <v>1.1337447834E10</v>
      </c>
      <c r="M17" s="32">
        <v>83299.0</v>
      </c>
      <c r="N17" s="31" t="s">
        <v>34</v>
      </c>
      <c r="O17" s="31">
        <v>25.0</v>
      </c>
      <c r="P17" s="31"/>
      <c r="Q17" s="31"/>
      <c r="R17" s="30"/>
      <c r="S17" s="30"/>
      <c r="T17" s="30"/>
      <c r="U17" s="30"/>
      <c r="V17" s="30"/>
      <c r="W17" s="30"/>
      <c r="X17" s="30"/>
      <c r="Y17" s="30"/>
      <c r="Z17" s="30"/>
    </row>
    <row r="18" ht="18.0" customHeight="1">
      <c r="A18" s="31">
        <v>4.3136267E7</v>
      </c>
      <c r="B18" s="31" t="s">
        <v>65</v>
      </c>
      <c r="C18" s="32">
        <v>8.2802323E7</v>
      </c>
      <c r="D18" s="32">
        <v>0.0</v>
      </c>
      <c r="E18" s="32">
        <v>2.428812804E9</v>
      </c>
      <c r="F18" s="32">
        <v>2.296527E7</v>
      </c>
      <c r="G18" s="32">
        <v>7.9807201E7</v>
      </c>
      <c r="H18" s="32">
        <v>7.3533858E7</v>
      </c>
      <c r="I18" s="32">
        <v>8.3657192E7</v>
      </c>
      <c r="J18" s="32">
        <v>0.0</v>
      </c>
      <c r="K18" s="32">
        <v>2.8375079703E10</v>
      </c>
      <c r="L18" s="32">
        <v>3.7469575604E10</v>
      </c>
      <c r="M18" s="32">
        <v>100012.0</v>
      </c>
      <c r="N18" s="31" t="s">
        <v>66</v>
      </c>
      <c r="O18" s="31">
        <v>25.0</v>
      </c>
      <c r="P18" s="31"/>
      <c r="Q18" s="31"/>
      <c r="R18" s="30"/>
      <c r="S18" s="30"/>
      <c r="T18" s="30"/>
      <c r="U18" s="30"/>
      <c r="V18" s="30"/>
      <c r="W18" s="30"/>
      <c r="X18" s="30"/>
      <c r="Y18" s="30"/>
      <c r="Z18" s="30"/>
    </row>
    <row r="19" ht="18.0" customHeight="1">
      <c r="A19" s="31">
        <v>7.7394861E7</v>
      </c>
      <c r="B19" s="31" t="s">
        <v>50</v>
      </c>
      <c r="C19" s="32">
        <v>8.2737521E7</v>
      </c>
      <c r="D19" s="32">
        <v>398400.0</v>
      </c>
      <c r="E19" s="32">
        <v>2.738681138E9</v>
      </c>
      <c r="F19" s="32">
        <v>1.7927521E7</v>
      </c>
      <c r="G19" s="32">
        <v>2080373.0</v>
      </c>
      <c r="H19" s="32">
        <v>9.5256703E7</v>
      </c>
      <c r="I19" s="32">
        <v>8.9162161E7</v>
      </c>
      <c r="J19" s="32">
        <v>0.0</v>
      </c>
      <c r="K19" s="32">
        <v>2.8874232518E10</v>
      </c>
      <c r="L19" s="32">
        <v>6.7832551155E10</v>
      </c>
      <c r="M19" s="32">
        <v>186034.0</v>
      </c>
      <c r="N19" s="31" t="s">
        <v>34</v>
      </c>
      <c r="O19" s="31">
        <v>25.0</v>
      </c>
      <c r="P19" s="31"/>
      <c r="Q19" s="31"/>
      <c r="R19" s="30"/>
      <c r="S19" s="30"/>
      <c r="T19" s="30"/>
      <c r="U19" s="30"/>
      <c r="V19" s="30"/>
      <c r="W19" s="30"/>
      <c r="X19" s="30"/>
      <c r="Y19" s="30"/>
      <c r="Z19" s="30"/>
    </row>
    <row r="20" ht="18.0" customHeight="1">
      <c r="A20" s="31">
        <v>7.1152824E7</v>
      </c>
      <c r="B20" s="31" t="s">
        <v>67</v>
      </c>
      <c r="C20" s="32">
        <v>8.2334356E7</v>
      </c>
      <c r="D20" s="32">
        <v>120000.0</v>
      </c>
      <c r="E20" s="32">
        <v>1.870976143E9</v>
      </c>
      <c r="F20" s="32">
        <v>1.8266128E7</v>
      </c>
      <c r="G20" s="32">
        <v>6.7889276E7</v>
      </c>
      <c r="H20" s="32">
        <v>7.2754066E7</v>
      </c>
      <c r="I20" s="32">
        <v>5.5116617E7</v>
      </c>
      <c r="J20" s="32">
        <v>313500.0</v>
      </c>
      <c r="K20" s="32">
        <v>2.4404921519E10</v>
      </c>
      <c r="L20" s="32">
        <v>1.1097140581E10</v>
      </c>
      <c r="M20" s="32">
        <v>58742.0</v>
      </c>
      <c r="N20" s="31" t="s">
        <v>34</v>
      </c>
      <c r="O20" s="31">
        <v>25.0</v>
      </c>
      <c r="P20" s="31"/>
      <c r="Q20" s="31"/>
      <c r="R20" s="30"/>
      <c r="S20" s="30"/>
      <c r="T20" s="30"/>
      <c r="U20" s="30"/>
      <c r="V20" s="30"/>
      <c r="W20" s="30"/>
      <c r="X20" s="30"/>
      <c r="Y20" s="30"/>
      <c r="Z20" s="30"/>
    </row>
    <row r="21" ht="18.0" customHeight="1">
      <c r="A21" s="31">
        <v>4.8741756E7</v>
      </c>
      <c r="B21" s="31" t="s">
        <v>51</v>
      </c>
      <c r="C21" s="32">
        <v>8.2259506E7</v>
      </c>
      <c r="D21" s="32">
        <v>1010.0</v>
      </c>
      <c r="E21" s="32">
        <v>3.136069832E9</v>
      </c>
      <c r="F21" s="32">
        <v>2.4417353E7</v>
      </c>
      <c r="G21" s="32">
        <v>6.9263174E7</v>
      </c>
      <c r="H21" s="32">
        <v>1.25679324E8</v>
      </c>
      <c r="I21" s="32">
        <v>9.2369125E7</v>
      </c>
      <c r="J21" s="32">
        <v>804578.0</v>
      </c>
      <c r="K21" s="32">
        <v>2.1182361793E10</v>
      </c>
      <c r="L21" s="32">
        <v>2.2720031519E10</v>
      </c>
      <c r="M21" s="32">
        <v>167371.0</v>
      </c>
      <c r="N21" s="31" t="s">
        <v>34</v>
      </c>
      <c r="O21" s="31">
        <v>25.0</v>
      </c>
      <c r="P21" s="31"/>
      <c r="Q21" s="31"/>
      <c r="R21" s="30"/>
      <c r="S21" s="30"/>
      <c r="T21" s="30"/>
      <c r="U21" s="30"/>
      <c r="V21" s="30"/>
      <c r="W21" s="30"/>
      <c r="X21" s="30"/>
      <c r="Y21" s="30"/>
      <c r="Z21" s="30"/>
    </row>
    <row r="22" ht="18.0" customHeight="1">
      <c r="A22" s="31">
        <v>9.8107237E7</v>
      </c>
      <c r="B22" s="31" t="s">
        <v>68</v>
      </c>
      <c r="C22" s="32">
        <v>8.1969944E7</v>
      </c>
      <c r="D22" s="32">
        <v>464640.0</v>
      </c>
      <c r="E22" s="32">
        <v>2.849804852E9</v>
      </c>
      <c r="F22" s="32">
        <v>1.8518302E7</v>
      </c>
      <c r="G22" s="32">
        <v>2306033.0</v>
      </c>
      <c r="H22" s="32">
        <v>6.8754846E7</v>
      </c>
      <c r="I22" s="32">
        <v>1.07897988E8</v>
      </c>
      <c r="J22" s="32">
        <v>0.0</v>
      </c>
      <c r="K22" s="32">
        <v>3.6756833148E10</v>
      </c>
      <c r="L22" s="32">
        <v>1.1587531851E10</v>
      </c>
      <c r="M22" s="32">
        <v>93864.0</v>
      </c>
      <c r="N22" s="31" t="s">
        <v>34</v>
      </c>
      <c r="O22" s="31">
        <v>25.0</v>
      </c>
      <c r="P22" s="31"/>
      <c r="Q22" s="31"/>
      <c r="R22" s="30"/>
      <c r="S22" s="30"/>
      <c r="T22" s="30"/>
      <c r="U22" s="30"/>
      <c r="V22" s="30"/>
      <c r="W22" s="30"/>
      <c r="X22" s="30"/>
      <c r="Y22" s="30"/>
      <c r="Z22" s="30"/>
    </row>
    <row r="23" ht="18.0" customHeight="1">
      <c r="A23" s="31">
        <v>7.1613822E7</v>
      </c>
      <c r="B23" s="31" t="s">
        <v>69</v>
      </c>
      <c r="C23" s="32">
        <v>8.1604502E7</v>
      </c>
      <c r="D23" s="32">
        <v>134780.0</v>
      </c>
      <c r="E23" s="32">
        <v>2.174919522E9</v>
      </c>
      <c r="F23" s="32">
        <v>2.9888813E7</v>
      </c>
      <c r="G23" s="32">
        <v>4.9328971E7</v>
      </c>
      <c r="H23" s="32">
        <v>7.6348594E7</v>
      </c>
      <c r="I23" s="32">
        <v>6.9032122E7</v>
      </c>
      <c r="J23" s="32">
        <v>0.0</v>
      </c>
      <c r="K23" s="32">
        <v>2.5426789124E10</v>
      </c>
      <c r="L23" s="32">
        <v>6.777284955E9</v>
      </c>
      <c r="M23" s="32">
        <v>104511.0</v>
      </c>
      <c r="N23" s="31" t="s">
        <v>34</v>
      </c>
      <c r="O23" s="31">
        <v>25.0</v>
      </c>
      <c r="P23" s="31"/>
      <c r="Q23" s="31"/>
      <c r="R23" s="30"/>
      <c r="S23" s="30"/>
      <c r="T23" s="30"/>
      <c r="U23" s="30"/>
      <c r="V23" s="30"/>
      <c r="W23" s="30"/>
      <c r="X23" s="30"/>
      <c r="Y23" s="30"/>
      <c r="Z23" s="30"/>
    </row>
    <row r="24" ht="18.0" customHeight="1">
      <c r="A24" s="31">
        <v>1.56479771E8</v>
      </c>
      <c r="B24" s="31" t="s">
        <v>70</v>
      </c>
      <c r="C24" s="32">
        <v>8.0104294E7</v>
      </c>
      <c r="D24" s="32">
        <v>1370378.0</v>
      </c>
      <c r="E24" s="32">
        <v>1.692690259E9</v>
      </c>
      <c r="F24" s="32">
        <v>1.0568569E7</v>
      </c>
      <c r="G24" s="32">
        <v>4.0075276E7</v>
      </c>
      <c r="H24" s="32">
        <v>7.0817004E7</v>
      </c>
      <c r="I24" s="32">
        <v>4.6832737E7</v>
      </c>
      <c r="J24" s="32">
        <v>0.0</v>
      </c>
      <c r="K24" s="32">
        <v>1.7090444435E10</v>
      </c>
      <c r="L24" s="32">
        <v>1.0980687032E10</v>
      </c>
      <c r="M24" s="32">
        <v>97257.0</v>
      </c>
      <c r="N24" s="31" t="s">
        <v>34</v>
      </c>
      <c r="O24" s="31">
        <v>25.0</v>
      </c>
      <c r="P24" s="31"/>
      <c r="Q24" s="31"/>
      <c r="R24" s="30"/>
      <c r="S24" s="30"/>
      <c r="T24" s="30"/>
      <c r="U24" s="30"/>
      <c r="V24" s="30"/>
      <c r="W24" s="30"/>
      <c r="X24" s="30"/>
      <c r="Y24" s="30"/>
      <c r="Z24" s="30"/>
    </row>
    <row r="25" ht="18.0" customHeight="1">
      <c r="A25" s="31">
        <v>1.6942777E8</v>
      </c>
      <c r="B25" s="31" t="s">
        <v>71</v>
      </c>
      <c r="C25" s="32">
        <v>7.9790184E7</v>
      </c>
      <c r="D25" s="32">
        <v>-67912.0</v>
      </c>
      <c r="E25" s="32">
        <v>8.14016627E8</v>
      </c>
      <c r="F25" s="32">
        <v>9853547.0</v>
      </c>
      <c r="G25" s="32">
        <v>2557097.0</v>
      </c>
      <c r="H25" s="32">
        <v>2.7192262E7</v>
      </c>
      <c r="I25" s="32">
        <v>2.6755034E7</v>
      </c>
      <c r="J25" s="32">
        <v>0.0</v>
      </c>
      <c r="K25" s="32">
        <v>1.9471385021E10</v>
      </c>
      <c r="L25" s="32">
        <v>7.66897086E8</v>
      </c>
      <c r="M25" s="32">
        <v>110375.0</v>
      </c>
      <c r="N25" s="31" t="s">
        <v>34</v>
      </c>
      <c r="O25" s="31">
        <v>25.0</v>
      </c>
      <c r="P25" s="31"/>
      <c r="Q25" s="31"/>
      <c r="R25" s="30"/>
      <c r="S25" s="30"/>
      <c r="T25" s="30"/>
      <c r="U25" s="30"/>
      <c r="V25" s="30"/>
      <c r="W25" s="30"/>
      <c r="X25" s="30"/>
      <c r="Y25" s="30"/>
      <c r="Z25" s="30"/>
    </row>
    <row r="26" ht="18.0" customHeight="1">
      <c r="A26" s="31">
        <v>7.4556991E7</v>
      </c>
      <c r="B26" s="31" t="s">
        <v>53</v>
      </c>
      <c r="C26" s="32">
        <v>7.8884706E7</v>
      </c>
      <c r="D26" s="32">
        <v>-374894.0</v>
      </c>
      <c r="E26" s="32">
        <v>2.876603513E9</v>
      </c>
      <c r="F26" s="32">
        <v>1.4592207E7</v>
      </c>
      <c r="G26" s="32">
        <v>6025265.0</v>
      </c>
      <c r="H26" s="32">
        <v>5.4685234E7</v>
      </c>
      <c r="I26" s="32">
        <v>1.16179287E8</v>
      </c>
      <c r="J26" s="32">
        <v>0.0</v>
      </c>
      <c r="K26" s="32">
        <v>1.8747452198E10</v>
      </c>
      <c r="L26" s="32">
        <v>5.765543886E9</v>
      </c>
      <c r="M26" s="32">
        <v>133991.0</v>
      </c>
      <c r="N26" s="31" t="s">
        <v>34</v>
      </c>
      <c r="O26" s="31">
        <v>25.0</v>
      </c>
      <c r="P26" s="31"/>
      <c r="Q26" s="31"/>
      <c r="R26" s="30"/>
      <c r="S26" s="30"/>
      <c r="T26" s="30"/>
      <c r="U26" s="30"/>
      <c r="V26" s="30"/>
      <c r="W26" s="30"/>
      <c r="X26" s="30"/>
      <c r="Y26" s="30"/>
      <c r="Z26" s="30"/>
    </row>
    <row r="27" ht="18.0" customHeight="1">
      <c r="A27" s="31">
        <v>1.4572491E7</v>
      </c>
      <c r="B27" s="31" t="s">
        <v>46</v>
      </c>
      <c r="C27" s="32">
        <v>7.8468585E7</v>
      </c>
      <c r="D27" s="32">
        <v>1943810.0</v>
      </c>
      <c r="E27" s="32">
        <v>7.041936138E9</v>
      </c>
      <c r="F27" s="32">
        <v>6.3318543E7</v>
      </c>
      <c r="G27" s="32">
        <v>5.6830191E7</v>
      </c>
      <c r="H27" s="32">
        <v>2.11050446E8</v>
      </c>
      <c r="I27" s="32">
        <v>2.42804134E8</v>
      </c>
      <c r="J27" s="32">
        <v>0.0</v>
      </c>
      <c r="K27" s="32">
        <v>1.9433395471E10</v>
      </c>
      <c r="L27" s="32">
        <v>4.7723874529E10</v>
      </c>
      <c r="M27" s="32">
        <v>178718.0</v>
      </c>
      <c r="N27" s="31" t="s">
        <v>34</v>
      </c>
      <c r="O27" s="31">
        <v>25.0</v>
      </c>
      <c r="P27" s="31"/>
      <c r="Q27" s="31"/>
      <c r="R27" s="30"/>
      <c r="S27" s="30"/>
      <c r="T27" s="30"/>
      <c r="U27" s="30"/>
      <c r="V27" s="30"/>
      <c r="W27" s="30"/>
      <c r="X27" s="30"/>
      <c r="Y27" s="30"/>
      <c r="Z27" s="30"/>
    </row>
    <row r="28" ht="18.0" customHeight="1">
      <c r="A28" s="31">
        <v>1.71503078E8</v>
      </c>
      <c r="B28" s="31" t="s">
        <v>72</v>
      </c>
      <c r="C28" s="32">
        <v>7.8172442E7</v>
      </c>
      <c r="D28" s="32">
        <v>375530.0</v>
      </c>
      <c r="E28" s="32">
        <v>1.481376399E9</v>
      </c>
      <c r="F28" s="32">
        <v>3526719.0</v>
      </c>
      <c r="G28" s="32">
        <v>1.6266335E7</v>
      </c>
      <c r="H28" s="32">
        <v>3.1592453E7</v>
      </c>
      <c r="I28" s="32">
        <v>5.6319089E7</v>
      </c>
      <c r="J28" s="32">
        <v>0.0</v>
      </c>
      <c r="K28" s="32">
        <v>2.0192865546E10</v>
      </c>
      <c r="L28" s="32">
        <v>5.09720407E9</v>
      </c>
      <c r="M28" s="32">
        <v>64961.0</v>
      </c>
      <c r="N28" s="31" t="s">
        <v>34</v>
      </c>
      <c r="O28" s="31">
        <v>25.0</v>
      </c>
      <c r="P28" s="31"/>
      <c r="Q28" s="31"/>
      <c r="R28" s="30"/>
      <c r="S28" s="30"/>
      <c r="T28" s="30"/>
      <c r="U28" s="30"/>
      <c r="V28" s="30"/>
      <c r="W28" s="30"/>
      <c r="X28" s="30"/>
      <c r="Y28" s="30"/>
      <c r="Z28" s="30"/>
    </row>
    <row r="29" ht="18.0" customHeight="1">
      <c r="A29" s="31">
        <v>1.71701107E8</v>
      </c>
      <c r="B29" s="31" t="s">
        <v>73</v>
      </c>
      <c r="C29" s="32">
        <v>7.8109002E7</v>
      </c>
      <c r="D29" s="32">
        <v>-3334237.0</v>
      </c>
      <c r="E29" s="32">
        <v>6.38906318E8</v>
      </c>
      <c r="F29" s="32">
        <v>3913676.0</v>
      </c>
      <c r="G29" s="32">
        <v>6204483.0</v>
      </c>
      <c r="H29" s="32">
        <v>1.9962657E7</v>
      </c>
      <c r="I29" s="32">
        <v>2.1634864E7</v>
      </c>
      <c r="J29" s="32">
        <v>0.0</v>
      </c>
      <c r="K29" s="32">
        <v>1.0780964534E10</v>
      </c>
      <c r="L29" s="32">
        <v>4.094918782E9</v>
      </c>
      <c r="M29" s="32">
        <v>29623.0</v>
      </c>
      <c r="N29" s="31" t="s">
        <v>34</v>
      </c>
      <c r="O29" s="31">
        <v>25.0</v>
      </c>
      <c r="P29" s="31"/>
      <c r="Q29" s="31"/>
      <c r="R29" s="30"/>
      <c r="S29" s="30"/>
      <c r="T29" s="30"/>
      <c r="U29" s="30"/>
      <c r="V29" s="30"/>
      <c r="W29" s="30"/>
      <c r="X29" s="30"/>
      <c r="Y29" s="30"/>
      <c r="Z29" s="30"/>
    </row>
    <row r="30" ht="18.0" customHeight="1">
      <c r="A30" s="31">
        <v>1.77526978E8</v>
      </c>
      <c r="B30" s="31" t="s">
        <v>74</v>
      </c>
      <c r="C30" s="32">
        <v>7.7679668E7</v>
      </c>
      <c r="D30" s="32">
        <v>1283072.0</v>
      </c>
      <c r="E30" s="32">
        <v>1.05571066E8</v>
      </c>
      <c r="F30" s="32">
        <v>3189237.0</v>
      </c>
      <c r="G30" s="32">
        <v>6554003.0</v>
      </c>
      <c r="H30" s="32">
        <v>3588587.0</v>
      </c>
      <c r="I30" s="32">
        <v>3347183.0</v>
      </c>
      <c r="J30" s="32">
        <v>0.0</v>
      </c>
      <c r="K30" s="32">
        <v>1.0647838025E10</v>
      </c>
      <c r="L30" s="32">
        <v>1.2251382248E10</v>
      </c>
      <c r="M30" s="32">
        <v>26139.0</v>
      </c>
      <c r="N30" s="31" t="s">
        <v>34</v>
      </c>
      <c r="O30" s="31">
        <v>25.0</v>
      </c>
      <c r="P30" s="31"/>
      <c r="Q30" s="31"/>
      <c r="R30" s="30"/>
      <c r="S30" s="30"/>
      <c r="T30" s="30"/>
      <c r="U30" s="30"/>
      <c r="V30" s="30"/>
      <c r="W30" s="30"/>
      <c r="X30" s="30"/>
      <c r="Y30" s="30"/>
      <c r="Z30" s="30"/>
    </row>
    <row r="31" ht="18.0" customHeight="1">
      <c r="A31" s="31">
        <v>1.69247313E8</v>
      </c>
      <c r="B31" s="31" t="s">
        <v>75</v>
      </c>
      <c r="C31" s="32">
        <v>7.705133E7</v>
      </c>
      <c r="D31" s="32">
        <v>662070.0</v>
      </c>
      <c r="E31" s="32">
        <v>5.07988819E8</v>
      </c>
      <c r="F31" s="32">
        <v>9559898.0</v>
      </c>
      <c r="G31" s="32">
        <v>4305019.0</v>
      </c>
      <c r="H31" s="32">
        <v>1.856106E7</v>
      </c>
      <c r="I31" s="32">
        <v>1.5218345E7</v>
      </c>
      <c r="J31" s="32">
        <v>0.0</v>
      </c>
      <c r="K31" s="32">
        <v>2.1273445743E10</v>
      </c>
      <c r="L31" s="32">
        <v>2.457331466E9</v>
      </c>
      <c r="M31" s="32">
        <v>107668.0</v>
      </c>
      <c r="N31" s="31" t="s">
        <v>34</v>
      </c>
      <c r="O31" s="31">
        <v>25.0</v>
      </c>
      <c r="P31" s="31"/>
      <c r="Q31" s="31"/>
      <c r="R31" s="30"/>
      <c r="S31" s="30"/>
      <c r="T31" s="30"/>
      <c r="U31" s="30"/>
      <c r="V31" s="30"/>
      <c r="W31" s="30"/>
      <c r="X31" s="30"/>
      <c r="Y31" s="30"/>
      <c r="Z31" s="30"/>
    </row>
    <row r="32" ht="18.0" customHeight="1">
      <c r="A32" s="31">
        <v>1.41154852E8</v>
      </c>
      <c r="B32" s="31" t="s">
        <v>76</v>
      </c>
      <c r="C32" s="32">
        <v>7.6885343E7</v>
      </c>
      <c r="D32" s="32">
        <v>463360.0</v>
      </c>
      <c r="E32" s="32">
        <v>2.787578812E9</v>
      </c>
      <c r="F32" s="32">
        <v>1.292219E7</v>
      </c>
      <c r="G32" s="32">
        <v>3.258296E7</v>
      </c>
      <c r="H32" s="32">
        <v>1.16560322E8</v>
      </c>
      <c r="I32" s="32">
        <v>7.8581166E7</v>
      </c>
      <c r="J32" s="32">
        <v>0.0</v>
      </c>
      <c r="K32" s="32">
        <v>1.7242704168E10</v>
      </c>
      <c r="L32" s="32">
        <v>6.186357242E9</v>
      </c>
      <c r="M32" s="32">
        <v>70991.0</v>
      </c>
      <c r="N32" s="31" t="s">
        <v>34</v>
      </c>
      <c r="O32" s="31">
        <v>25.0</v>
      </c>
      <c r="P32" s="31"/>
      <c r="Q32" s="31"/>
      <c r="R32" s="30"/>
      <c r="S32" s="30"/>
      <c r="T32" s="30"/>
      <c r="U32" s="30"/>
      <c r="V32" s="30"/>
      <c r="W32" s="30"/>
      <c r="X32" s="30"/>
      <c r="Y32" s="30"/>
      <c r="Z32" s="30"/>
    </row>
    <row r="33" ht="18.0" customHeight="1">
      <c r="A33" s="31">
        <v>1.66497805E8</v>
      </c>
      <c r="B33" s="31" t="s">
        <v>77</v>
      </c>
      <c r="C33" s="32">
        <v>7.6285118E7</v>
      </c>
      <c r="D33" s="32">
        <v>-782399.0</v>
      </c>
      <c r="E33" s="32">
        <v>6.29007206E8</v>
      </c>
      <c r="F33" s="32">
        <v>5364231.0</v>
      </c>
      <c r="G33" s="32">
        <v>2158221.0</v>
      </c>
      <c r="H33" s="32">
        <v>2.6621023E7</v>
      </c>
      <c r="I33" s="32">
        <v>1.7608945E7</v>
      </c>
      <c r="J33" s="32">
        <v>0.0</v>
      </c>
      <c r="K33" s="32">
        <v>1.6027710291E10</v>
      </c>
      <c r="L33" s="32">
        <v>3.86763729E8</v>
      </c>
      <c r="M33" s="32">
        <v>66627.0</v>
      </c>
      <c r="N33" s="31" t="s">
        <v>34</v>
      </c>
      <c r="O33" s="31">
        <v>25.0</v>
      </c>
      <c r="P33" s="31"/>
      <c r="Q33" s="31"/>
      <c r="R33" s="30"/>
      <c r="S33" s="30"/>
      <c r="T33" s="30"/>
      <c r="U33" s="30"/>
      <c r="V33" s="30"/>
      <c r="W33" s="30"/>
      <c r="X33" s="30"/>
      <c r="Y33" s="30"/>
      <c r="Z33" s="30"/>
    </row>
    <row r="34" ht="18.0" customHeight="1">
      <c r="A34" s="31">
        <v>1.66871338E8</v>
      </c>
      <c r="B34" s="31" t="s">
        <v>78</v>
      </c>
      <c r="C34" s="32">
        <v>7.6199537E7</v>
      </c>
      <c r="D34" s="32">
        <v>199190.0</v>
      </c>
      <c r="E34" s="32">
        <v>1.006211536E9</v>
      </c>
      <c r="F34" s="32">
        <v>6943839.0</v>
      </c>
      <c r="G34" s="32">
        <v>9.5965493E7</v>
      </c>
      <c r="H34" s="32">
        <v>6.0906835E7</v>
      </c>
      <c r="I34" s="32">
        <v>1.7767005E7</v>
      </c>
      <c r="J34" s="32">
        <v>0.0</v>
      </c>
      <c r="K34" s="32">
        <v>9.48083309E9</v>
      </c>
      <c r="L34" s="32">
        <v>3.117290499E9</v>
      </c>
      <c r="M34" s="32">
        <v>46497.0</v>
      </c>
      <c r="N34" s="31" t="s">
        <v>34</v>
      </c>
      <c r="O34" s="31">
        <v>25.0</v>
      </c>
      <c r="P34" s="31"/>
      <c r="Q34" s="31"/>
      <c r="R34" s="30"/>
      <c r="S34" s="30"/>
      <c r="T34" s="30"/>
      <c r="U34" s="30"/>
      <c r="V34" s="30"/>
      <c r="W34" s="30"/>
      <c r="X34" s="30"/>
      <c r="Y34" s="30"/>
      <c r="Z34" s="30"/>
    </row>
    <row r="35" ht="18.0" customHeight="1">
      <c r="A35" s="31">
        <v>1.20029911E8</v>
      </c>
      <c r="B35" s="31" t="s">
        <v>79</v>
      </c>
      <c r="C35" s="32">
        <v>7.6025113E7</v>
      </c>
      <c r="D35" s="32">
        <v>1544823.0</v>
      </c>
      <c r="E35" s="32">
        <v>1.016794305E9</v>
      </c>
      <c r="F35" s="32">
        <v>1.1143791E7</v>
      </c>
      <c r="G35" s="32">
        <v>1.2500936E7</v>
      </c>
      <c r="H35" s="32">
        <v>4.4554768E7</v>
      </c>
      <c r="I35" s="32">
        <v>2.69397E7</v>
      </c>
      <c r="J35" s="32">
        <v>135423.0</v>
      </c>
      <c r="K35" s="32">
        <v>1.1163914301E10</v>
      </c>
      <c r="L35" s="32">
        <v>1.7094234312E10</v>
      </c>
      <c r="M35" s="32">
        <v>54538.0</v>
      </c>
      <c r="N35" s="31" t="s">
        <v>34</v>
      </c>
      <c r="O35" s="31">
        <v>25.0</v>
      </c>
      <c r="P35" s="31"/>
      <c r="Q35" s="31"/>
      <c r="R35" s="30"/>
      <c r="S35" s="30"/>
      <c r="T35" s="30"/>
      <c r="U35" s="30"/>
      <c r="V35" s="30"/>
      <c r="W35" s="30"/>
      <c r="X35" s="30"/>
      <c r="Y35" s="30"/>
      <c r="Z35" s="30"/>
    </row>
    <row r="36" ht="18.0" customHeight="1">
      <c r="A36" s="31">
        <v>1.71879011E8</v>
      </c>
      <c r="B36" s="31" t="s">
        <v>80</v>
      </c>
      <c r="C36" s="32">
        <v>7.5423168E7</v>
      </c>
      <c r="D36" s="32">
        <v>-242072.0</v>
      </c>
      <c r="E36" s="32">
        <v>4.05833081E8</v>
      </c>
      <c r="F36" s="32">
        <v>4172915.0</v>
      </c>
      <c r="G36" s="32">
        <v>2.7228708E7</v>
      </c>
      <c r="H36" s="32">
        <v>1.1266323E7</v>
      </c>
      <c r="I36" s="32">
        <v>1.4025181E7</v>
      </c>
      <c r="J36" s="32">
        <v>0.0</v>
      </c>
      <c r="K36" s="32">
        <v>1.5305881074E10</v>
      </c>
      <c r="L36" s="32">
        <v>1.888712272E9</v>
      </c>
      <c r="M36" s="32">
        <v>50797.0</v>
      </c>
      <c r="N36" s="31" t="s">
        <v>34</v>
      </c>
      <c r="O36" s="31">
        <v>25.0</v>
      </c>
      <c r="P36" s="31"/>
      <c r="Q36" s="31"/>
      <c r="R36" s="30"/>
      <c r="S36" s="30"/>
      <c r="T36" s="30"/>
      <c r="U36" s="30"/>
      <c r="V36" s="30"/>
      <c r="W36" s="30"/>
      <c r="X36" s="30"/>
      <c r="Y36" s="30"/>
      <c r="Z36" s="30"/>
    </row>
    <row r="37" ht="18.0" customHeight="1">
      <c r="A37" s="31">
        <v>1.72021868E8</v>
      </c>
      <c r="B37" s="31" t="s">
        <v>81</v>
      </c>
      <c r="C37" s="32">
        <v>7.5352E7</v>
      </c>
      <c r="D37" s="32">
        <v>1044000.0</v>
      </c>
      <c r="E37" s="32">
        <v>1.137122964E9</v>
      </c>
      <c r="F37" s="32">
        <v>4029542.0</v>
      </c>
      <c r="G37" s="32">
        <v>1.7940261E7</v>
      </c>
      <c r="H37" s="32">
        <v>1.6619524E7</v>
      </c>
      <c r="I37" s="32">
        <v>4.8270275E7</v>
      </c>
      <c r="J37" s="32">
        <v>0.0</v>
      </c>
      <c r="K37" s="32">
        <v>9.821473862E9</v>
      </c>
      <c r="L37" s="32">
        <v>1.667709172E9</v>
      </c>
      <c r="M37" s="32">
        <v>86637.0</v>
      </c>
      <c r="N37" s="31" t="s">
        <v>34</v>
      </c>
      <c r="O37" s="31">
        <v>25.0</v>
      </c>
      <c r="P37" s="31"/>
      <c r="Q37" s="31"/>
      <c r="R37" s="30"/>
      <c r="S37" s="30"/>
      <c r="T37" s="30"/>
      <c r="U37" s="30"/>
      <c r="V37" s="30"/>
      <c r="W37" s="30"/>
      <c r="X37" s="30"/>
      <c r="Y37" s="30"/>
      <c r="Z37" s="30"/>
    </row>
    <row r="38" ht="18.0" customHeight="1">
      <c r="A38" s="31">
        <v>1.69461237E8</v>
      </c>
      <c r="B38" s="31" t="s">
        <v>82</v>
      </c>
      <c r="C38" s="32">
        <v>7.5210474E7</v>
      </c>
      <c r="D38" s="32">
        <v>6710.0</v>
      </c>
      <c r="E38" s="32">
        <v>3.74816162E8</v>
      </c>
      <c r="F38" s="32">
        <v>3971161.0</v>
      </c>
      <c r="G38" s="32">
        <v>3057052.0</v>
      </c>
      <c r="H38" s="32">
        <v>2.3104818E7</v>
      </c>
      <c r="I38" s="32">
        <v>5769663.0</v>
      </c>
      <c r="J38" s="32">
        <v>0.0</v>
      </c>
      <c r="K38" s="32">
        <v>3.658907198E9</v>
      </c>
      <c r="L38" s="32">
        <v>4.1058231616E10</v>
      </c>
      <c r="M38" s="32">
        <v>20965.0</v>
      </c>
      <c r="N38" s="31" t="s">
        <v>34</v>
      </c>
      <c r="O38" s="31">
        <v>25.0</v>
      </c>
      <c r="P38" s="31"/>
      <c r="Q38" s="31"/>
      <c r="R38" s="30"/>
      <c r="S38" s="30"/>
      <c r="T38" s="30"/>
      <c r="U38" s="30"/>
      <c r="V38" s="30"/>
      <c r="W38" s="30"/>
      <c r="X38" s="30"/>
      <c r="Y38" s="30"/>
      <c r="Z38" s="30"/>
    </row>
    <row r="39" ht="18.0" customHeight="1">
      <c r="A39" s="31">
        <v>7887352.0</v>
      </c>
      <c r="B39" s="31" t="s">
        <v>83</v>
      </c>
      <c r="C39" s="32">
        <v>7.4609616E7</v>
      </c>
      <c r="D39" s="32">
        <v>330340.0</v>
      </c>
      <c r="E39" s="32">
        <v>2.194116467E9</v>
      </c>
      <c r="F39" s="32">
        <v>1.6583036E7</v>
      </c>
      <c r="G39" s="32">
        <v>3.4656895E7</v>
      </c>
      <c r="H39" s="32">
        <v>7.0560932E7</v>
      </c>
      <c r="I39" s="32">
        <v>7.3835283E7</v>
      </c>
      <c r="J39" s="32">
        <v>0.0</v>
      </c>
      <c r="K39" s="32">
        <v>1.6696969645E10</v>
      </c>
      <c r="L39" s="32">
        <v>1.2713533366E10</v>
      </c>
      <c r="M39" s="32">
        <v>46050.0</v>
      </c>
      <c r="N39" s="31" t="s">
        <v>34</v>
      </c>
      <c r="O39" s="31">
        <v>25.0</v>
      </c>
      <c r="P39" s="31"/>
      <c r="Q39" s="31"/>
      <c r="R39" s="30"/>
      <c r="S39" s="30"/>
      <c r="T39" s="30"/>
      <c r="U39" s="30"/>
      <c r="V39" s="30"/>
      <c r="W39" s="30"/>
      <c r="X39" s="30"/>
      <c r="Y39" s="30"/>
      <c r="Z39" s="30"/>
    </row>
    <row r="40" ht="18.0" customHeight="1">
      <c r="A40" s="31">
        <v>1.71491377E8</v>
      </c>
      <c r="B40" s="31" t="s">
        <v>84</v>
      </c>
      <c r="C40" s="32">
        <v>7.4482257E7</v>
      </c>
      <c r="D40" s="32">
        <v>389342.0</v>
      </c>
      <c r="E40" s="32">
        <v>5.22106936E8</v>
      </c>
      <c r="F40" s="32">
        <v>3758072.0</v>
      </c>
      <c r="G40" s="32">
        <v>3173440.0</v>
      </c>
      <c r="H40" s="32">
        <v>1.0961757E7</v>
      </c>
      <c r="I40" s="32">
        <v>2.0502835E7</v>
      </c>
      <c r="J40" s="32">
        <v>0.0</v>
      </c>
      <c r="K40" s="32">
        <v>1.3594528078E10</v>
      </c>
      <c r="L40" s="32">
        <v>1.120422782E9</v>
      </c>
      <c r="M40" s="32">
        <v>53558.0</v>
      </c>
      <c r="N40" s="31" t="s">
        <v>34</v>
      </c>
      <c r="O40" s="31">
        <v>25.0</v>
      </c>
      <c r="P40" s="31"/>
      <c r="Q40" s="31"/>
      <c r="R40" s="30"/>
      <c r="S40" s="30"/>
      <c r="T40" s="30"/>
      <c r="U40" s="30"/>
      <c r="V40" s="30"/>
      <c r="W40" s="30"/>
      <c r="X40" s="30"/>
      <c r="Y40" s="30"/>
      <c r="Z40" s="30"/>
    </row>
    <row r="41" ht="18.0" customHeight="1">
      <c r="A41" s="31">
        <v>1.71355737E8</v>
      </c>
      <c r="B41" s="31" t="s">
        <v>85</v>
      </c>
      <c r="C41" s="32">
        <v>7.3120107E7</v>
      </c>
      <c r="D41" s="32">
        <v>518910.0</v>
      </c>
      <c r="E41" s="32">
        <v>7.39440063E8</v>
      </c>
      <c r="F41" s="32">
        <v>5188778.0</v>
      </c>
      <c r="G41" s="32">
        <v>6775155.0</v>
      </c>
      <c r="H41" s="32">
        <v>2.73789E7</v>
      </c>
      <c r="I41" s="32">
        <v>2.3024713E7</v>
      </c>
      <c r="J41" s="32">
        <v>0.0</v>
      </c>
      <c r="K41" s="32">
        <v>1.3896484675E10</v>
      </c>
      <c r="L41" s="32">
        <v>7.906846117E9</v>
      </c>
      <c r="M41" s="32">
        <v>80795.0</v>
      </c>
      <c r="N41" s="31" t="s">
        <v>34</v>
      </c>
      <c r="O41" s="31">
        <v>25.0</v>
      </c>
      <c r="P41" s="31"/>
      <c r="Q41" s="31"/>
      <c r="R41" s="30"/>
      <c r="S41" s="30"/>
      <c r="T41" s="30"/>
      <c r="U41" s="30"/>
      <c r="V41" s="30"/>
      <c r="W41" s="30"/>
      <c r="X41" s="30"/>
      <c r="Y41" s="30"/>
      <c r="Z41" s="30"/>
    </row>
    <row r="42" ht="18.0" customHeight="1">
      <c r="A42" s="31">
        <v>1.71604682E8</v>
      </c>
      <c r="B42" s="31" t="s">
        <v>86</v>
      </c>
      <c r="C42" s="32">
        <v>7.2261513E7</v>
      </c>
      <c r="D42" s="32">
        <v>-726789.0</v>
      </c>
      <c r="E42" s="32">
        <v>1.400034486E9</v>
      </c>
      <c r="F42" s="32">
        <v>6645683.0</v>
      </c>
      <c r="G42" s="32">
        <v>1.1985612E7</v>
      </c>
      <c r="H42" s="32">
        <v>5.0134912E7</v>
      </c>
      <c r="I42" s="32">
        <v>4.2823321E7</v>
      </c>
      <c r="J42" s="32">
        <v>0.0</v>
      </c>
      <c r="K42" s="32">
        <v>9.779761672E9</v>
      </c>
      <c r="L42" s="32">
        <v>1.610720264E9</v>
      </c>
      <c r="M42" s="32">
        <v>61759.0</v>
      </c>
      <c r="N42" s="31" t="s">
        <v>34</v>
      </c>
      <c r="O42" s="31">
        <v>25.0</v>
      </c>
      <c r="P42" s="31"/>
      <c r="Q42" s="31"/>
      <c r="R42" s="30"/>
      <c r="S42" s="30"/>
      <c r="T42" s="30"/>
      <c r="U42" s="30"/>
      <c r="V42" s="30"/>
      <c r="W42" s="30"/>
      <c r="X42" s="30"/>
      <c r="Y42" s="30"/>
      <c r="Z42" s="30"/>
    </row>
    <row r="43" ht="18.0" customHeight="1">
      <c r="A43" s="31">
        <v>1.72041454E8</v>
      </c>
      <c r="B43" s="31" t="s">
        <v>87</v>
      </c>
      <c r="C43" s="32">
        <v>7.2037104E7</v>
      </c>
      <c r="D43" s="32">
        <v>-2809156.0</v>
      </c>
      <c r="E43" s="32">
        <v>5.24444025E8</v>
      </c>
      <c r="F43" s="32">
        <v>7897711.0</v>
      </c>
      <c r="G43" s="32">
        <v>2.7020696E7</v>
      </c>
      <c r="H43" s="32">
        <v>2.1670923E7</v>
      </c>
      <c r="I43" s="32">
        <v>1.4702791E7</v>
      </c>
      <c r="J43" s="32">
        <v>0.0</v>
      </c>
      <c r="K43" s="32">
        <v>1.1415810273E10</v>
      </c>
      <c r="L43" s="32">
        <v>1.119380618E9</v>
      </c>
      <c r="M43" s="32">
        <v>53903.0</v>
      </c>
      <c r="N43" s="31" t="s">
        <v>34</v>
      </c>
      <c r="O43" s="31">
        <v>25.0</v>
      </c>
      <c r="P43" s="31"/>
      <c r="Q43" s="31"/>
      <c r="R43" s="30"/>
      <c r="S43" s="30"/>
      <c r="T43" s="30"/>
      <c r="U43" s="30"/>
      <c r="V43" s="30"/>
      <c r="W43" s="30"/>
      <c r="X43" s="30"/>
      <c r="Y43" s="30"/>
      <c r="Z43" s="30"/>
    </row>
    <row r="44" ht="18.0" customHeight="1">
      <c r="A44" s="31">
        <v>5.524249E7</v>
      </c>
      <c r="B44" s="31" t="s">
        <v>88</v>
      </c>
      <c r="C44" s="32">
        <v>7.1937324E7</v>
      </c>
      <c r="D44" s="32">
        <v>1151980.0</v>
      </c>
      <c r="E44" s="32">
        <v>1.044776986E9</v>
      </c>
      <c r="F44" s="32">
        <v>1.099548E7</v>
      </c>
      <c r="G44" s="32">
        <v>1.11725082E8</v>
      </c>
      <c r="H44" s="32">
        <v>2.6163323E7</v>
      </c>
      <c r="I44" s="32">
        <v>3.7336225E7</v>
      </c>
      <c r="J44" s="32">
        <v>0.0</v>
      </c>
      <c r="K44" s="32">
        <v>1.4190347887E10</v>
      </c>
      <c r="L44" s="32">
        <v>5.47576093E9</v>
      </c>
      <c r="M44" s="32">
        <v>55072.0</v>
      </c>
      <c r="N44" s="31" t="s">
        <v>34</v>
      </c>
      <c r="O44" s="31">
        <v>25.0</v>
      </c>
      <c r="P44" s="31"/>
      <c r="Q44" s="31"/>
      <c r="R44" s="30"/>
      <c r="S44" s="30"/>
      <c r="T44" s="30"/>
      <c r="U44" s="30"/>
      <c r="V44" s="30"/>
      <c r="W44" s="30"/>
      <c r="X44" s="30"/>
      <c r="Y44" s="30"/>
      <c r="Z44" s="30"/>
    </row>
    <row r="45" ht="18.0" customHeight="1">
      <c r="A45" s="31">
        <v>1.5633938E8</v>
      </c>
      <c r="B45" s="31" t="s">
        <v>89</v>
      </c>
      <c r="C45" s="32">
        <v>7.1929546E7</v>
      </c>
      <c r="D45" s="32">
        <v>377100.0</v>
      </c>
      <c r="E45" s="32">
        <v>6.71368138E8</v>
      </c>
      <c r="F45" s="32">
        <v>9143615.0</v>
      </c>
      <c r="G45" s="32">
        <v>5872340.0</v>
      </c>
      <c r="H45" s="32">
        <v>3.2851235E7</v>
      </c>
      <c r="I45" s="32">
        <v>1.5524954E7</v>
      </c>
      <c r="J45" s="32">
        <v>0.0</v>
      </c>
      <c r="K45" s="32">
        <v>1.6293429228E10</v>
      </c>
      <c r="L45" s="32">
        <v>3.919929489E9</v>
      </c>
      <c r="M45" s="32">
        <v>130661.0</v>
      </c>
      <c r="N45" s="31" t="s">
        <v>34</v>
      </c>
      <c r="O45" s="31">
        <v>25.0</v>
      </c>
      <c r="P45" s="31"/>
      <c r="Q45" s="31"/>
      <c r="R45" s="30"/>
      <c r="S45" s="30"/>
      <c r="T45" s="30"/>
      <c r="U45" s="30"/>
      <c r="V45" s="30"/>
      <c r="W45" s="30"/>
      <c r="X45" s="30"/>
      <c r="Y45" s="30"/>
      <c r="Z45" s="30"/>
    </row>
    <row r="46" ht="18.0" customHeight="1">
      <c r="A46" s="31">
        <v>1.71972257E8</v>
      </c>
      <c r="B46" s="31" t="s">
        <v>90</v>
      </c>
      <c r="C46" s="32">
        <v>7.1404582E7</v>
      </c>
      <c r="D46" s="32">
        <v>-157208.0</v>
      </c>
      <c r="E46" s="32">
        <v>6.59230749E8</v>
      </c>
      <c r="F46" s="32">
        <v>5514809.0</v>
      </c>
      <c r="G46" s="32">
        <v>4.6911617E7</v>
      </c>
      <c r="H46" s="32">
        <v>2.4536376E7</v>
      </c>
      <c r="I46" s="32">
        <v>1.9900108E7</v>
      </c>
      <c r="J46" s="32">
        <v>0.0</v>
      </c>
      <c r="K46" s="32">
        <v>1.4259014431E10</v>
      </c>
      <c r="L46" s="32">
        <v>3.001253098E9</v>
      </c>
      <c r="M46" s="32">
        <v>16911.0</v>
      </c>
      <c r="N46" s="31" t="s">
        <v>34</v>
      </c>
      <c r="O46" s="31">
        <v>25.0</v>
      </c>
      <c r="P46" s="31"/>
      <c r="Q46" s="31"/>
      <c r="R46" s="30"/>
      <c r="S46" s="30"/>
      <c r="T46" s="30"/>
      <c r="U46" s="30"/>
      <c r="V46" s="30"/>
      <c r="W46" s="30"/>
      <c r="X46" s="30"/>
      <c r="Y46" s="30"/>
      <c r="Z46" s="30"/>
    </row>
    <row r="47" ht="18.0" customHeight="1">
      <c r="A47" s="31">
        <v>1.70708608E8</v>
      </c>
      <c r="B47" s="31" t="s">
        <v>91</v>
      </c>
      <c r="C47" s="32">
        <v>7.1315087E7</v>
      </c>
      <c r="D47" s="32">
        <v>635500.0</v>
      </c>
      <c r="E47" s="32">
        <v>3.21574378E8</v>
      </c>
      <c r="F47" s="32">
        <v>7375524.0</v>
      </c>
      <c r="G47" s="32">
        <v>4.8036504E7</v>
      </c>
      <c r="H47" s="32">
        <v>8537321.0</v>
      </c>
      <c r="I47" s="32">
        <v>1.1089839E7</v>
      </c>
      <c r="J47" s="32">
        <v>0.0</v>
      </c>
      <c r="K47" s="32">
        <v>1.0747771466E10</v>
      </c>
      <c r="L47" s="32">
        <v>1.59908317E9</v>
      </c>
      <c r="M47" s="32">
        <v>24378.0</v>
      </c>
      <c r="N47" s="31" t="s">
        <v>34</v>
      </c>
      <c r="O47" s="31">
        <v>25.0</v>
      </c>
      <c r="P47" s="31"/>
      <c r="Q47" s="31"/>
      <c r="R47" s="30"/>
      <c r="S47" s="30"/>
      <c r="T47" s="30"/>
      <c r="U47" s="30"/>
      <c r="V47" s="30"/>
      <c r="W47" s="30"/>
      <c r="X47" s="30"/>
      <c r="Y47" s="30"/>
      <c r="Z47" s="30"/>
    </row>
    <row r="48" ht="18.0" customHeight="1">
      <c r="A48" s="31">
        <v>1.72033754E8</v>
      </c>
      <c r="B48" s="31" t="s">
        <v>92</v>
      </c>
      <c r="C48" s="32">
        <v>7.0625362E7</v>
      </c>
      <c r="D48" s="32">
        <v>-559510.0</v>
      </c>
      <c r="E48" s="32">
        <v>5.11743121E8</v>
      </c>
      <c r="F48" s="32">
        <v>7559464.0</v>
      </c>
      <c r="G48" s="32">
        <v>1.7406837E7</v>
      </c>
      <c r="H48" s="32">
        <v>2.5096908E7</v>
      </c>
      <c r="I48" s="32">
        <v>1.2119092E7</v>
      </c>
      <c r="J48" s="32">
        <v>0.0</v>
      </c>
      <c r="K48" s="32">
        <v>1.1590243982E10</v>
      </c>
      <c r="L48" s="32">
        <v>1.27993687E9</v>
      </c>
      <c r="M48" s="32">
        <v>37176.0</v>
      </c>
      <c r="N48" s="31" t="s">
        <v>34</v>
      </c>
      <c r="O48" s="31">
        <v>25.0</v>
      </c>
      <c r="P48" s="31"/>
      <c r="Q48" s="31"/>
      <c r="R48" s="30"/>
      <c r="S48" s="30"/>
      <c r="T48" s="30"/>
      <c r="U48" s="30"/>
      <c r="V48" s="30"/>
      <c r="W48" s="30"/>
      <c r="X48" s="30"/>
      <c r="Y48" s="30"/>
      <c r="Z48" s="30"/>
    </row>
    <row r="49" ht="18.0" customHeight="1">
      <c r="A49" s="31">
        <v>1.43088559E8</v>
      </c>
      <c r="B49" s="31" t="s">
        <v>93</v>
      </c>
      <c r="C49" s="32">
        <v>7.0482813E7</v>
      </c>
      <c r="D49" s="32">
        <v>4063986.0</v>
      </c>
      <c r="E49" s="32">
        <v>4.63290559E8</v>
      </c>
      <c r="F49" s="32">
        <v>4093564.0</v>
      </c>
      <c r="G49" s="32">
        <v>1.0480295E7</v>
      </c>
      <c r="H49" s="32">
        <v>2.6725717E7</v>
      </c>
      <c r="I49" s="32">
        <v>8944637.0</v>
      </c>
      <c r="J49" s="32">
        <v>0.0</v>
      </c>
      <c r="K49" s="32">
        <v>1.2963937867E10</v>
      </c>
      <c r="L49" s="32">
        <v>2.11081372E9</v>
      </c>
      <c r="M49" s="32">
        <v>36439.0</v>
      </c>
      <c r="N49" s="31" t="s">
        <v>94</v>
      </c>
      <c r="O49" s="31">
        <v>25.0</v>
      </c>
      <c r="P49" s="31"/>
      <c r="Q49" s="31"/>
      <c r="R49" s="30"/>
      <c r="S49" s="30"/>
      <c r="T49" s="30"/>
      <c r="U49" s="30"/>
      <c r="V49" s="30"/>
      <c r="W49" s="30"/>
      <c r="X49" s="30"/>
      <c r="Y49" s="30"/>
      <c r="Z49" s="30"/>
    </row>
    <row r="50" ht="18.0" customHeight="1">
      <c r="A50" s="31">
        <v>1.66110884E8</v>
      </c>
      <c r="B50" s="31" t="s">
        <v>95</v>
      </c>
      <c r="C50" s="32">
        <v>7.0066509E7</v>
      </c>
      <c r="D50" s="32">
        <v>199170.0</v>
      </c>
      <c r="E50" s="32">
        <v>8.8858807E8</v>
      </c>
      <c r="F50" s="32">
        <v>6332992.0</v>
      </c>
      <c r="G50" s="32">
        <v>4.3590233E7</v>
      </c>
      <c r="H50" s="32">
        <v>3.2128306E7</v>
      </c>
      <c r="I50" s="32">
        <v>2.6154176E7</v>
      </c>
      <c r="J50" s="32">
        <v>0.0</v>
      </c>
      <c r="K50" s="32">
        <v>8.890182905E9</v>
      </c>
      <c r="L50" s="32">
        <v>3.624684682E9</v>
      </c>
      <c r="M50" s="32">
        <v>69137.0</v>
      </c>
      <c r="N50" s="31" t="s">
        <v>34</v>
      </c>
      <c r="O50" s="31">
        <v>25.0</v>
      </c>
      <c r="P50" s="31"/>
      <c r="Q50" s="31"/>
      <c r="R50" s="30"/>
      <c r="S50" s="30"/>
      <c r="T50" s="30"/>
      <c r="U50" s="30"/>
      <c r="V50" s="30"/>
      <c r="W50" s="30"/>
      <c r="X50" s="30"/>
      <c r="Y50" s="30"/>
      <c r="Z50" s="30"/>
    </row>
    <row r="51" ht="18.0" customHeight="1">
      <c r="A51" s="31">
        <v>1.71927851E8</v>
      </c>
      <c r="B51" s="31" t="s">
        <v>96</v>
      </c>
      <c r="C51" s="32">
        <v>7.005603E7</v>
      </c>
      <c r="D51" s="32">
        <v>-1569840.0</v>
      </c>
      <c r="E51" s="32">
        <v>3.37185583E8</v>
      </c>
      <c r="F51" s="32">
        <v>2789101.0</v>
      </c>
      <c r="G51" s="32">
        <v>9960405.0</v>
      </c>
      <c r="H51" s="32">
        <v>5494780.0</v>
      </c>
      <c r="I51" s="32">
        <v>1.3929667E7</v>
      </c>
      <c r="J51" s="32">
        <v>0.0</v>
      </c>
      <c r="K51" s="32">
        <v>9.994407699E9</v>
      </c>
      <c r="L51" s="32">
        <v>1.31984E8</v>
      </c>
      <c r="M51" s="32">
        <v>30874.0</v>
      </c>
      <c r="N51" s="31" t="s">
        <v>34</v>
      </c>
      <c r="O51" s="31">
        <v>25.0</v>
      </c>
      <c r="P51" s="31"/>
      <c r="Q51" s="31"/>
      <c r="R51" s="30"/>
      <c r="S51" s="30"/>
      <c r="T51" s="30"/>
      <c r="U51" s="30"/>
      <c r="V51" s="30"/>
      <c r="W51" s="30"/>
      <c r="X51" s="30"/>
      <c r="Y51" s="30"/>
      <c r="Z51" s="30"/>
    </row>
    <row r="52" ht="18.0" customHeight="1">
      <c r="A52" s="31">
        <v>1.70866748E8</v>
      </c>
      <c r="B52" s="31" t="s">
        <v>97</v>
      </c>
      <c r="C52" s="32">
        <v>6.9986139E7</v>
      </c>
      <c r="D52" s="32">
        <v>-1906300.0</v>
      </c>
      <c r="E52" s="32">
        <v>6.41573875E8</v>
      </c>
      <c r="F52" s="32">
        <v>5796966.0</v>
      </c>
      <c r="G52" s="32">
        <v>1157986.0</v>
      </c>
      <c r="H52" s="32">
        <v>9181290.0</v>
      </c>
      <c r="I52" s="32">
        <v>2.7411905E7</v>
      </c>
      <c r="J52" s="32">
        <v>0.0</v>
      </c>
      <c r="K52" s="32">
        <v>1.5608399835E10</v>
      </c>
      <c r="L52" s="32">
        <v>2.677127733E9</v>
      </c>
      <c r="M52" s="32">
        <v>33683.0</v>
      </c>
      <c r="N52" s="31" t="s">
        <v>34</v>
      </c>
      <c r="O52" s="31">
        <v>25.0</v>
      </c>
      <c r="P52" s="31"/>
      <c r="Q52" s="31"/>
      <c r="R52" s="30"/>
      <c r="S52" s="30"/>
      <c r="T52" s="30"/>
      <c r="U52" s="30"/>
      <c r="V52" s="30"/>
      <c r="W52" s="30"/>
      <c r="X52" s="30"/>
      <c r="Y52" s="30"/>
      <c r="Z52" s="30"/>
    </row>
    <row r="53" ht="18.0" customHeight="1">
      <c r="A53" s="31">
        <v>1.68923934E8</v>
      </c>
      <c r="B53" s="31" t="s">
        <v>98</v>
      </c>
      <c r="C53" s="32">
        <v>6.975813E7</v>
      </c>
      <c r="D53" s="32">
        <v>462290.0</v>
      </c>
      <c r="E53" s="32">
        <v>6.51936541E8</v>
      </c>
      <c r="F53" s="32">
        <v>4716890.0</v>
      </c>
      <c r="G53" s="32">
        <v>4.3000957E7</v>
      </c>
      <c r="H53" s="32">
        <v>2.3538384E7</v>
      </c>
      <c r="I53" s="32">
        <v>1.8544612E7</v>
      </c>
      <c r="J53" s="32">
        <v>0.0</v>
      </c>
      <c r="K53" s="32">
        <v>7.773461037E9</v>
      </c>
      <c r="L53" s="32">
        <v>5.17581842E8</v>
      </c>
      <c r="M53" s="32">
        <v>31562.0</v>
      </c>
      <c r="N53" s="31" t="s">
        <v>34</v>
      </c>
      <c r="O53" s="31">
        <v>25.0</v>
      </c>
      <c r="P53" s="31"/>
      <c r="Q53" s="31"/>
      <c r="R53" s="30"/>
      <c r="S53" s="30"/>
      <c r="T53" s="30"/>
      <c r="U53" s="30"/>
      <c r="V53" s="30"/>
      <c r="W53" s="30"/>
      <c r="X53" s="30"/>
      <c r="Y53" s="30"/>
      <c r="Z53" s="30"/>
    </row>
    <row r="54" ht="18.0" customHeight="1">
      <c r="A54" s="31">
        <v>1.69326547E8</v>
      </c>
      <c r="B54" s="31" t="s">
        <v>47</v>
      </c>
      <c r="C54" s="32">
        <v>6.9702556E7</v>
      </c>
      <c r="D54" s="32">
        <v>-68934.0</v>
      </c>
      <c r="E54" s="32">
        <v>3.534090919E9</v>
      </c>
      <c r="F54" s="32">
        <v>9450117.0</v>
      </c>
      <c r="G54" s="32">
        <v>8716358.0</v>
      </c>
      <c r="H54" s="32">
        <v>9.2351232E7</v>
      </c>
      <c r="I54" s="32">
        <v>1.28623329E8</v>
      </c>
      <c r="J54" s="32">
        <v>0.0</v>
      </c>
      <c r="K54" s="32">
        <v>1.146234366E10</v>
      </c>
      <c r="L54" s="32">
        <v>9.520822854E9</v>
      </c>
      <c r="M54" s="32">
        <v>121500.0</v>
      </c>
      <c r="N54" s="31" t="s">
        <v>34</v>
      </c>
      <c r="O54" s="31">
        <v>25.0</v>
      </c>
      <c r="P54" s="31"/>
      <c r="Q54" s="31"/>
      <c r="R54" s="30"/>
      <c r="S54" s="30"/>
      <c r="T54" s="30"/>
      <c r="U54" s="30"/>
      <c r="V54" s="30"/>
      <c r="W54" s="30"/>
      <c r="X54" s="30"/>
      <c r="Y54" s="30"/>
      <c r="Z54" s="30"/>
    </row>
    <row r="55" ht="18.0" customHeight="1">
      <c r="A55" s="31">
        <v>1.71910225E8</v>
      </c>
      <c r="B55" s="31" t="s">
        <v>99</v>
      </c>
      <c r="C55" s="32">
        <v>6.9402518E7</v>
      </c>
      <c r="D55" s="32">
        <v>1113685.0</v>
      </c>
      <c r="E55" s="32">
        <v>2.24651888E8</v>
      </c>
      <c r="F55" s="32">
        <v>5668164.0</v>
      </c>
      <c r="G55" s="32">
        <v>260484.0</v>
      </c>
      <c r="H55" s="32">
        <v>4099060.0</v>
      </c>
      <c r="I55" s="32">
        <v>9148332.0</v>
      </c>
      <c r="J55" s="32">
        <v>0.0</v>
      </c>
      <c r="K55" s="32">
        <v>1.5380989838E10</v>
      </c>
      <c r="L55" s="32">
        <v>2.158845765E9</v>
      </c>
      <c r="M55" s="32">
        <v>38989.0</v>
      </c>
      <c r="N55" s="31" t="s">
        <v>34</v>
      </c>
      <c r="O55" s="31">
        <v>25.0</v>
      </c>
      <c r="P55" s="31"/>
      <c r="Q55" s="31"/>
      <c r="R55" s="30"/>
      <c r="S55" s="30"/>
      <c r="T55" s="30"/>
      <c r="U55" s="30"/>
      <c r="V55" s="30"/>
      <c r="W55" s="30"/>
      <c r="X55" s="30"/>
      <c r="Y55" s="30"/>
      <c r="Z55" s="30"/>
    </row>
    <row r="56" ht="18.0" customHeight="1">
      <c r="A56" s="31">
        <v>1.69446634E8</v>
      </c>
      <c r="B56" s="31" t="s">
        <v>100</v>
      </c>
      <c r="C56" s="32">
        <v>6.8534048E7</v>
      </c>
      <c r="D56" s="32">
        <v>-2891650.0</v>
      </c>
      <c r="E56" s="32">
        <v>3.02911074E8</v>
      </c>
      <c r="F56" s="32">
        <v>9418576.0</v>
      </c>
      <c r="G56" s="32">
        <v>843053.0</v>
      </c>
      <c r="H56" s="32">
        <v>1.0344523E7</v>
      </c>
      <c r="I56" s="32">
        <v>9874011.0</v>
      </c>
      <c r="J56" s="32">
        <v>0.0</v>
      </c>
      <c r="K56" s="32">
        <v>1.1820022805E10</v>
      </c>
      <c r="L56" s="32">
        <v>3.13338578E9</v>
      </c>
      <c r="M56" s="32">
        <v>61225.0</v>
      </c>
      <c r="N56" s="31" t="s">
        <v>34</v>
      </c>
      <c r="O56" s="31">
        <v>25.0</v>
      </c>
      <c r="P56" s="31"/>
      <c r="Q56" s="31"/>
      <c r="R56" s="30"/>
      <c r="S56" s="30"/>
      <c r="T56" s="30"/>
      <c r="U56" s="30"/>
      <c r="V56" s="30"/>
      <c r="W56" s="30"/>
      <c r="X56" s="30"/>
      <c r="Y56" s="30"/>
      <c r="Z56" s="30"/>
    </row>
    <row r="57" ht="18.0" customHeight="1">
      <c r="A57" s="31">
        <v>1.46428825E8</v>
      </c>
      <c r="B57" s="31" t="s">
        <v>52</v>
      </c>
      <c r="C57" s="32">
        <v>6.7883178E7</v>
      </c>
      <c r="D57" s="32">
        <v>90620.0</v>
      </c>
      <c r="E57" s="32">
        <v>2.004158667E9</v>
      </c>
      <c r="F57" s="32">
        <v>1.0487243E7</v>
      </c>
      <c r="G57" s="32">
        <v>1.5628148E7</v>
      </c>
      <c r="H57" s="32">
        <v>6.9395226E7</v>
      </c>
      <c r="I57" s="32">
        <v>6.4840864E7</v>
      </c>
      <c r="J57" s="32">
        <v>0.0</v>
      </c>
      <c r="K57" s="32">
        <v>2.7385673154E10</v>
      </c>
      <c r="L57" s="32">
        <v>9.750981277E9</v>
      </c>
      <c r="M57" s="32">
        <v>137343.0</v>
      </c>
      <c r="N57" s="31" t="s">
        <v>34</v>
      </c>
      <c r="O57" s="31">
        <v>25.0</v>
      </c>
      <c r="P57" s="31"/>
      <c r="Q57" s="31"/>
      <c r="R57" s="30"/>
      <c r="S57" s="30"/>
      <c r="T57" s="30"/>
      <c r="U57" s="30"/>
      <c r="V57" s="30"/>
      <c r="W57" s="30"/>
      <c r="X57" s="30"/>
      <c r="Y57" s="30"/>
      <c r="Z57" s="30"/>
    </row>
    <row r="58" ht="18.0" customHeight="1">
      <c r="A58" s="31">
        <v>1.68839111E8</v>
      </c>
      <c r="B58" s="31" t="s">
        <v>101</v>
      </c>
      <c r="C58" s="32">
        <v>6.7423138E7</v>
      </c>
      <c r="D58" s="32">
        <v>-787108.0</v>
      </c>
      <c r="E58" s="32">
        <v>3.8263087E8</v>
      </c>
      <c r="F58" s="32">
        <v>4816542.0</v>
      </c>
      <c r="G58" s="32">
        <v>2.0289711E7</v>
      </c>
      <c r="H58" s="32">
        <v>2.2926336E7</v>
      </c>
      <c r="I58" s="32">
        <v>7222732.0</v>
      </c>
      <c r="J58" s="32">
        <v>0.0</v>
      </c>
      <c r="K58" s="32">
        <v>1.4546635602E10</v>
      </c>
      <c r="L58" s="32">
        <v>3.111985477E9</v>
      </c>
      <c r="M58" s="32">
        <v>37209.0</v>
      </c>
      <c r="N58" s="31" t="s">
        <v>102</v>
      </c>
      <c r="O58" s="31">
        <v>25.0</v>
      </c>
      <c r="P58" s="31"/>
      <c r="Q58" s="31"/>
      <c r="R58" s="30"/>
      <c r="S58" s="30"/>
      <c r="T58" s="30"/>
      <c r="U58" s="30"/>
      <c r="V58" s="30"/>
      <c r="W58" s="30"/>
      <c r="X58" s="30"/>
      <c r="Y58" s="30"/>
      <c r="Z58" s="30"/>
    </row>
    <row r="59" ht="18.0" customHeight="1">
      <c r="A59" s="31">
        <v>1.7160984E8</v>
      </c>
      <c r="B59" s="31" t="s">
        <v>103</v>
      </c>
      <c r="C59" s="32">
        <v>6.7162563E7</v>
      </c>
      <c r="D59" s="32">
        <v>456346.0</v>
      </c>
      <c r="E59" s="32">
        <v>5.8770545E8</v>
      </c>
      <c r="F59" s="32">
        <v>5329520.0</v>
      </c>
      <c r="G59" s="32">
        <v>4501013.0</v>
      </c>
      <c r="H59" s="32">
        <v>1.3687498E7</v>
      </c>
      <c r="I59" s="32">
        <v>2.2215764E7</v>
      </c>
      <c r="J59" s="32">
        <v>0.0</v>
      </c>
      <c r="K59" s="32">
        <v>8.003723292E9</v>
      </c>
      <c r="L59" s="32">
        <v>2.47640069E8</v>
      </c>
      <c r="M59" s="32">
        <v>45003.0</v>
      </c>
      <c r="N59" s="31" t="s">
        <v>34</v>
      </c>
      <c r="O59" s="31">
        <v>25.0</v>
      </c>
      <c r="P59" s="31"/>
      <c r="Q59" s="31"/>
      <c r="R59" s="30"/>
      <c r="S59" s="30"/>
      <c r="T59" s="30"/>
      <c r="U59" s="30"/>
      <c r="V59" s="30"/>
      <c r="W59" s="30"/>
      <c r="X59" s="30"/>
      <c r="Y59" s="30"/>
      <c r="Z59" s="30"/>
    </row>
    <row r="60" ht="18.0" customHeight="1">
      <c r="A60" s="31">
        <v>1.70728362E8</v>
      </c>
      <c r="B60" s="31" t="s">
        <v>104</v>
      </c>
      <c r="C60" s="32">
        <v>6.7084777E7</v>
      </c>
      <c r="D60" s="32">
        <v>864300.0</v>
      </c>
      <c r="E60" s="32">
        <v>5.24394372E8</v>
      </c>
      <c r="F60" s="32">
        <v>1.006726E7</v>
      </c>
      <c r="G60" s="32">
        <v>1.048377E7</v>
      </c>
      <c r="H60" s="32">
        <v>1.5870113E7</v>
      </c>
      <c r="I60" s="32">
        <v>1.7566454E7</v>
      </c>
      <c r="J60" s="32">
        <v>0.0</v>
      </c>
      <c r="K60" s="32">
        <v>7.130584275E9</v>
      </c>
      <c r="L60" s="32">
        <v>6.359580133E9</v>
      </c>
      <c r="M60" s="32">
        <v>61779.0</v>
      </c>
      <c r="N60" s="31" t="s">
        <v>34</v>
      </c>
      <c r="O60" s="31">
        <v>25.0</v>
      </c>
      <c r="P60" s="31"/>
      <c r="Q60" s="31"/>
      <c r="R60" s="30"/>
      <c r="S60" s="30"/>
      <c r="T60" s="30"/>
      <c r="U60" s="30"/>
      <c r="V60" s="30"/>
      <c r="W60" s="30"/>
      <c r="X60" s="30"/>
      <c r="Y60" s="30"/>
      <c r="Z60" s="30"/>
    </row>
    <row r="61" ht="18.0" customHeight="1">
      <c r="A61" s="31">
        <v>1.55534128E8</v>
      </c>
      <c r="B61" s="31" t="s">
        <v>105</v>
      </c>
      <c r="C61" s="32">
        <v>6.6614085E7</v>
      </c>
      <c r="D61" s="32">
        <v>444600.0</v>
      </c>
      <c r="E61" s="32">
        <v>1.106830933E9</v>
      </c>
      <c r="F61" s="32">
        <v>8794989.0</v>
      </c>
      <c r="G61" s="32">
        <v>1.5022987E7</v>
      </c>
      <c r="H61" s="32">
        <v>3.8312967E7</v>
      </c>
      <c r="I61" s="32">
        <v>3.5493379E7</v>
      </c>
      <c r="J61" s="32">
        <v>0.0</v>
      </c>
      <c r="K61" s="32">
        <v>8.271763152E9</v>
      </c>
      <c r="L61" s="32">
        <v>9.46237441E8</v>
      </c>
      <c r="M61" s="32">
        <v>51229.0</v>
      </c>
      <c r="N61" s="31" t="s">
        <v>34</v>
      </c>
      <c r="O61" s="31">
        <v>25.0</v>
      </c>
      <c r="P61" s="31"/>
      <c r="Q61" s="31"/>
      <c r="R61" s="30"/>
      <c r="S61" s="30"/>
      <c r="T61" s="30"/>
      <c r="U61" s="30"/>
      <c r="V61" s="30"/>
      <c r="W61" s="30"/>
      <c r="X61" s="30"/>
      <c r="Y61" s="30"/>
      <c r="Z61" s="30"/>
    </row>
    <row r="62" ht="18.0" customHeight="1">
      <c r="A62" s="31">
        <v>1.53857025E8</v>
      </c>
      <c r="B62" s="31" t="s">
        <v>106</v>
      </c>
      <c r="C62" s="32">
        <v>6.6206389E7</v>
      </c>
      <c r="D62" s="32">
        <v>174064.0</v>
      </c>
      <c r="E62" s="32">
        <v>1.076623573E9</v>
      </c>
      <c r="F62" s="32">
        <v>7816531.0</v>
      </c>
      <c r="G62" s="32">
        <v>2.4687135E7</v>
      </c>
      <c r="H62" s="32">
        <v>1.9537662E7</v>
      </c>
      <c r="I62" s="32">
        <v>4.3593839E7</v>
      </c>
      <c r="J62" s="32">
        <v>0.0</v>
      </c>
      <c r="K62" s="32">
        <v>1.5467205834E10</v>
      </c>
      <c r="L62" s="32">
        <v>6.985806976E9</v>
      </c>
      <c r="M62" s="32">
        <v>82439.0</v>
      </c>
      <c r="N62" s="31" t="s">
        <v>34</v>
      </c>
      <c r="O62" s="31">
        <v>25.0</v>
      </c>
      <c r="P62" s="31"/>
      <c r="Q62" s="31"/>
      <c r="R62" s="30"/>
      <c r="S62" s="30"/>
      <c r="T62" s="30"/>
      <c r="U62" s="30"/>
      <c r="V62" s="30"/>
      <c r="W62" s="30"/>
      <c r="X62" s="30"/>
      <c r="Y62" s="30"/>
      <c r="Z62" s="30"/>
    </row>
    <row r="63" ht="18.0" customHeight="1">
      <c r="A63" s="31">
        <v>1.6757738E8</v>
      </c>
      <c r="B63" s="31" t="s">
        <v>107</v>
      </c>
      <c r="C63" s="32">
        <v>6.5820922E7</v>
      </c>
      <c r="D63" s="32">
        <v>288000.0</v>
      </c>
      <c r="E63" s="32">
        <v>3.99007427E8</v>
      </c>
      <c r="F63" s="32">
        <v>5862176.0</v>
      </c>
      <c r="G63" s="32">
        <v>4819417.0</v>
      </c>
      <c r="H63" s="32">
        <v>1.5044354E7</v>
      </c>
      <c r="I63" s="32">
        <v>1.1974773E7</v>
      </c>
      <c r="J63" s="32">
        <v>0.0</v>
      </c>
      <c r="K63" s="32">
        <v>7.745470195E9</v>
      </c>
      <c r="L63" s="32">
        <v>9.70788659E8</v>
      </c>
      <c r="M63" s="32">
        <v>46363.0</v>
      </c>
      <c r="N63" s="31" t="s">
        <v>34</v>
      </c>
      <c r="O63" s="31">
        <v>25.0</v>
      </c>
      <c r="P63" s="31"/>
      <c r="Q63" s="31"/>
      <c r="R63" s="30"/>
      <c r="S63" s="30"/>
      <c r="T63" s="30"/>
      <c r="U63" s="30"/>
      <c r="V63" s="30"/>
      <c r="W63" s="30"/>
      <c r="X63" s="30"/>
      <c r="Y63" s="30"/>
      <c r="Z63" s="30"/>
    </row>
    <row r="64" ht="18.0" customHeight="1">
      <c r="A64" s="31">
        <v>1.71753933E8</v>
      </c>
      <c r="B64" s="31" t="s">
        <v>108</v>
      </c>
      <c r="C64" s="32">
        <v>6.581627E7</v>
      </c>
      <c r="D64" s="32">
        <v>-377153.0</v>
      </c>
      <c r="E64" s="32">
        <v>8.2355616E7</v>
      </c>
      <c r="F64" s="32">
        <v>4571959.0</v>
      </c>
      <c r="G64" s="32">
        <v>254494.0</v>
      </c>
      <c r="H64" s="32">
        <v>2683983.0</v>
      </c>
      <c r="I64" s="32">
        <v>2758148.0</v>
      </c>
      <c r="J64" s="32">
        <v>0.0</v>
      </c>
      <c r="K64" s="32">
        <v>1.2811528903E10</v>
      </c>
      <c r="L64" s="32">
        <v>1.72796998E8</v>
      </c>
      <c r="M64" s="32">
        <v>52257.0</v>
      </c>
      <c r="N64" s="31" t="s">
        <v>34</v>
      </c>
      <c r="O64" s="31">
        <v>25.0</v>
      </c>
      <c r="P64" s="31"/>
      <c r="Q64" s="31"/>
      <c r="R64" s="30"/>
      <c r="S64" s="30"/>
      <c r="T64" s="30"/>
      <c r="U64" s="30"/>
      <c r="V64" s="30"/>
      <c r="W64" s="30"/>
      <c r="X64" s="30"/>
      <c r="Y64" s="30"/>
      <c r="Z64" s="30"/>
    </row>
    <row r="65" ht="18.0" customHeight="1">
      <c r="A65" s="31">
        <v>1.71697263E8</v>
      </c>
      <c r="B65" s="31" t="s">
        <v>109</v>
      </c>
      <c r="C65" s="32">
        <v>6.5008181E7</v>
      </c>
      <c r="D65" s="32">
        <v>2077514.0</v>
      </c>
      <c r="E65" s="32">
        <v>4.19705759E8</v>
      </c>
      <c r="F65" s="32">
        <v>1.0073827E7</v>
      </c>
      <c r="G65" s="32">
        <v>1.7155266E7</v>
      </c>
      <c r="H65" s="32">
        <v>1.755173E7</v>
      </c>
      <c r="I65" s="32">
        <v>1.1970514E7</v>
      </c>
      <c r="J65" s="32">
        <v>0.0</v>
      </c>
      <c r="K65" s="32">
        <v>5.673123425E9</v>
      </c>
      <c r="L65" s="32">
        <v>8.56938351E8</v>
      </c>
      <c r="M65" s="32">
        <v>45779.0</v>
      </c>
      <c r="N65" s="31" t="s">
        <v>34</v>
      </c>
      <c r="O65" s="31">
        <v>25.0</v>
      </c>
      <c r="P65" s="31"/>
      <c r="Q65" s="31"/>
      <c r="R65" s="30"/>
      <c r="S65" s="30"/>
      <c r="T65" s="30"/>
      <c r="U65" s="30"/>
      <c r="V65" s="30"/>
      <c r="W65" s="30"/>
      <c r="X65" s="30"/>
      <c r="Y65" s="30"/>
      <c r="Z65" s="30"/>
    </row>
    <row r="66" ht="18.0" customHeight="1">
      <c r="A66" s="31">
        <v>1915332.0</v>
      </c>
      <c r="B66" s="31" t="s">
        <v>110</v>
      </c>
      <c r="C66" s="32">
        <v>6.4446034E7</v>
      </c>
      <c r="D66" s="32">
        <v>-365092.0</v>
      </c>
      <c r="E66" s="32">
        <v>4.26083964E8</v>
      </c>
      <c r="F66" s="32">
        <v>1.1047792E7</v>
      </c>
      <c r="G66" s="32">
        <v>1.799876E7</v>
      </c>
      <c r="H66" s="32">
        <v>1.686322E7</v>
      </c>
      <c r="I66" s="32">
        <v>1.1926994E7</v>
      </c>
      <c r="J66" s="32">
        <v>0.0</v>
      </c>
      <c r="K66" s="32">
        <v>7.528293387E9</v>
      </c>
      <c r="L66" s="32">
        <v>4.633362613E9</v>
      </c>
      <c r="M66" s="32">
        <v>33566.0</v>
      </c>
      <c r="N66" s="31" t="s">
        <v>34</v>
      </c>
      <c r="O66" s="31">
        <v>25.0</v>
      </c>
      <c r="P66" s="31"/>
      <c r="Q66" s="31"/>
      <c r="R66" s="30"/>
      <c r="S66" s="30"/>
      <c r="T66" s="30"/>
      <c r="U66" s="30"/>
      <c r="V66" s="30"/>
      <c r="W66" s="30"/>
      <c r="X66" s="30"/>
      <c r="Y66" s="30"/>
      <c r="Z66" s="30"/>
    </row>
    <row r="67" ht="18.0" customHeight="1">
      <c r="A67" s="31">
        <v>1.71679053E8</v>
      </c>
      <c r="B67" s="31" t="s">
        <v>111</v>
      </c>
      <c r="C67" s="32">
        <v>6.4058866E7</v>
      </c>
      <c r="D67" s="32">
        <v>348366.0</v>
      </c>
      <c r="E67" s="32">
        <v>2.23814132E8</v>
      </c>
      <c r="F67" s="32">
        <v>4278439.0</v>
      </c>
      <c r="G67" s="32">
        <v>719524.0</v>
      </c>
      <c r="H67" s="32">
        <v>7087031.0</v>
      </c>
      <c r="I67" s="32">
        <v>7496644.0</v>
      </c>
      <c r="J67" s="32">
        <v>0.0</v>
      </c>
      <c r="K67" s="32">
        <v>1.1013477992E10</v>
      </c>
      <c r="L67" s="32">
        <v>1.359285371E9</v>
      </c>
      <c r="M67" s="32">
        <v>26976.0</v>
      </c>
      <c r="N67" s="31" t="s">
        <v>34</v>
      </c>
      <c r="O67" s="31">
        <v>25.0</v>
      </c>
      <c r="P67" s="31"/>
      <c r="Q67" s="31"/>
      <c r="R67" s="30"/>
      <c r="S67" s="30"/>
      <c r="T67" s="30"/>
      <c r="U67" s="30"/>
      <c r="V67" s="30"/>
      <c r="W67" s="30"/>
      <c r="X67" s="30"/>
      <c r="Y67" s="30"/>
      <c r="Z67" s="30"/>
    </row>
    <row r="68" ht="18.0" customHeight="1">
      <c r="A68" s="31">
        <v>1.39292614E8</v>
      </c>
      <c r="B68" s="31" t="s">
        <v>112</v>
      </c>
      <c r="C68" s="32">
        <v>6.3881326E7</v>
      </c>
      <c r="D68" s="32">
        <v>919289.0</v>
      </c>
      <c r="E68" s="32">
        <v>6.91788151E8</v>
      </c>
      <c r="F68" s="32">
        <v>1.1325405E7</v>
      </c>
      <c r="G68" s="32">
        <v>1.8048155E7</v>
      </c>
      <c r="H68" s="32">
        <v>1.5050895E7</v>
      </c>
      <c r="I68" s="32">
        <v>2.6505683E7</v>
      </c>
      <c r="J68" s="32">
        <v>0.0</v>
      </c>
      <c r="K68" s="32">
        <v>1.1823240705E10</v>
      </c>
      <c r="L68" s="32">
        <v>4.568817481E9</v>
      </c>
      <c r="M68" s="32">
        <v>42826.0</v>
      </c>
      <c r="N68" s="31" t="s">
        <v>34</v>
      </c>
      <c r="O68" s="31">
        <v>25.0</v>
      </c>
      <c r="P68" s="31"/>
      <c r="Q68" s="31"/>
      <c r="R68" s="30"/>
      <c r="S68" s="30"/>
      <c r="T68" s="30"/>
      <c r="U68" s="30"/>
      <c r="V68" s="30"/>
      <c r="W68" s="30"/>
      <c r="X68" s="30"/>
      <c r="Y68" s="30"/>
      <c r="Z68" s="30"/>
    </row>
    <row r="69" ht="18.0" customHeight="1">
      <c r="A69" s="31">
        <v>1.67637163E8</v>
      </c>
      <c r="B69" s="31" t="s">
        <v>113</v>
      </c>
      <c r="C69" s="32">
        <v>6.3676295E7</v>
      </c>
      <c r="D69" s="32">
        <v>47157.0</v>
      </c>
      <c r="E69" s="32">
        <v>4.98358545E8</v>
      </c>
      <c r="F69" s="32">
        <v>9444876.0</v>
      </c>
      <c r="G69" s="32">
        <v>3258438.0</v>
      </c>
      <c r="H69" s="32">
        <v>2.9321192E7</v>
      </c>
      <c r="I69" s="32">
        <v>9011194.0</v>
      </c>
      <c r="J69" s="32">
        <v>0.0</v>
      </c>
      <c r="K69" s="32">
        <v>1.0481373246E10</v>
      </c>
      <c r="L69" s="32">
        <v>3.2359801778E10</v>
      </c>
      <c r="M69" s="32">
        <v>94181.0</v>
      </c>
      <c r="N69" s="31" t="s">
        <v>34</v>
      </c>
      <c r="O69" s="31">
        <v>25.0</v>
      </c>
      <c r="P69" s="31"/>
      <c r="Q69" s="31"/>
      <c r="R69" s="30"/>
      <c r="S69" s="30"/>
      <c r="T69" s="30"/>
      <c r="U69" s="30"/>
      <c r="V69" s="30"/>
      <c r="W69" s="30"/>
      <c r="X69" s="30"/>
      <c r="Y69" s="30"/>
      <c r="Z69" s="30"/>
    </row>
    <row r="70" ht="18.0" customHeight="1">
      <c r="A70" s="31">
        <v>1.67614515E8</v>
      </c>
      <c r="B70" s="31" t="s">
        <v>114</v>
      </c>
      <c r="C70" s="32">
        <v>6.2929246E7</v>
      </c>
      <c r="D70" s="32">
        <v>-2461308.0</v>
      </c>
      <c r="E70" s="32">
        <v>2.39678406E8</v>
      </c>
      <c r="F70" s="32">
        <v>6178616.0</v>
      </c>
      <c r="G70" s="32">
        <v>1262963.0</v>
      </c>
      <c r="H70" s="32">
        <v>1.291717E7</v>
      </c>
      <c r="I70" s="32">
        <v>5371723.0</v>
      </c>
      <c r="J70" s="32">
        <v>0.0</v>
      </c>
      <c r="K70" s="32">
        <v>1.4578275112E10</v>
      </c>
      <c r="L70" s="32">
        <v>7.99053053E8</v>
      </c>
      <c r="M70" s="32">
        <v>53868.0</v>
      </c>
      <c r="N70" s="31" t="s">
        <v>34</v>
      </c>
      <c r="O70" s="31">
        <v>25.0</v>
      </c>
      <c r="P70" s="31"/>
      <c r="Q70" s="31"/>
      <c r="R70" s="30"/>
      <c r="S70" s="30"/>
      <c r="T70" s="30"/>
      <c r="U70" s="30"/>
      <c r="V70" s="30"/>
      <c r="W70" s="30"/>
      <c r="X70" s="30"/>
      <c r="Y70" s="30"/>
      <c r="Z70" s="30"/>
    </row>
    <row r="71" ht="18.0" customHeight="1">
      <c r="A71" s="31">
        <v>1.71358436E8</v>
      </c>
      <c r="B71" s="31" t="s">
        <v>115</v>
      </c>
      <c r="C71" s="32">
        <v>6.2235989E7</v>
      </c>
      <c r="D71" s="32">
        <v>145670.0</v>
      </c>
      <c r="E71" s="32">
        <v>6.65175103E8</v>
      </c>
      <c r="F71" s="32">
        <v>5833655.0</v>
      </c>
      <c r="G71" s="32">
        <v>6461365.0</v>
      </c>
      <c r="H71" s="32">
        <v>3.001493E7</v>
      </c>
      <c r="I71" s="32">
        <v>1.7332447E7</v>
      </c>
      <c r="J71" s="32">
        <v>0.0</v>
      </c>
      <c r="K71" s="32">
        <v>4.771000922E9</v>
      </c>
      <c r="L71" s="32">
        <v>5.349094086E9</v>
      </c>
      <c r="M71" s="32">
        <v>51069.0</v>
      </c>
      <c r="N71" s="31" t="s">
        <v>34</v>
      </c>
      <c r="O71" s="31">
        <v>25.0</v>
      </c>
      <c r="P71" s="31"/>
      <c r="Q71" s="31"/>
      <c r="R71" s="30"/>
      <c r="S71" s="30"/>
      <c r="T71" s="30"/>
      <c r="U71" s="30"/>
      <c r="V71" s="30"/>
      <c r="W71" s="30"/>
      <c r="X71" s="30"/>
      <c r="Y71" s="30"/>
      <c r="Z71" s="30"/>
    </row>
    <row r="72" ht="18.0" customHeight="1">
      <c r="A72" s="31">
        <v>1.4461836E8</v>
      </c>
      <c r="B72" s="31" t="s">
        <v>116</v>
      </c>
      <c r="C72" s="32">
        <v>6.1715121E7</v>
      </c>
      <c r="D72" s="32">
        <v>-1.0534683E7</v>
      </c>
      <c r="E72" s="32">
        <v>3.00609808E8</v>
      </c>
      <c r="F72" s="32">
        <v>3896410.0</v>
      </c>
      <c r="G72" s="32">
        <v>1710212.0</v>
      </c>
      <c r="H72" s="32">
        <v>9878170.0</v>
      </c>
      <c r="I72" s="32">
        <v>9897957.0</v>
      </c>
      <c r="J72" s="32">
        <v>0.0</v>
      </c>
      <c r="K72" s="32">
        <v>9.34683177E9</v>
      </c>
      <c r="L72" s="32">
        <v>5.96487787E8</v>
      </c>
      <c r="M72" s="32">
        <v>42599.0</v>
      </c>
      <c r="N72" s="31" t="s">
        <v>34</v>
      </c>
      <c r="O72" s="31">
        <v>25.0</v>
      </c>
      <c r="P72" s="31"/>
      <c r="Q72" s="31"/>
      <c r="R72" s="30"/>
      <c r="S72" s="30"/>
      <c r="T72" s="30"/>
      <c r="U72" s="30"/>
      <c r="V72" s="30"/>
      <c r="W72" s="30"/>
      <c r="X72" s="30"/>
      <c r="Y72" s="30"/>
      <c r="Z72" s="30"/>
    </row>
    <row r="73" ht="18.0" customHeight="1">
      <c r="A73" s="31">
        <v>1.69446444E8</v>
      </c>
      <c r="B73" s="31" t="s">
        <v>117</v>
      </c>
      <c r="C73" s="32">
        <v>6.1332794E7</v>
      </c>
      <c r="D73" s="32">
        <v>2290948.0</v>
      </c>
      <c r="E73" s="32">
        <v>1.260388996E9</v>
      </c>
      <c r="F73" s="32">
        <v>7893767.0</v>
      </c>
      <c r="G73" s="32">
        <v>3345134.0</v>
      </c>
      <c r="H73" s="32">
        <v>2.1096204E7</v>
      </c>
      <c r="I73" s="32">
        <v>5.1904185E7</v>
      </c>
      <c r="J73" s="32">
        <v>0.0</v>
      </c>
      <c r="K73" s="32">
        <v>6.694220013E9</v>
      </c>
      <c r="L73" s="32">
        <v>7.905136976E9</v>
      </c>
      <c r="M73" s="32">
        <v>78512.0</v>
      </c>
      <c r="N73" s="31" t="s">
        <v>34</v>
      </c>
      <c r="O73" s="31">
        <v>25.0</v>
      </c>
      <c r="P73" s="31"/>
      <c r="Q73" s="31"/>
      <c r="R73" s="30"/>
      <c r="S73" s="30"/>
      <c r="T73" s="30"/>
      <c r="U73" s="30"/>
      <c r="V73" s="30"/>
      <c r="W73" s="30"/>
      <c r="X73" s="30"/>
      <c r="Y73" s="30"/>
      <c r="Z73" s="30"/>
    </row>
    <row r="74" ht="18.0" customHeight="1">
      <c r="A74" s="31">
        <v>1.27560055E8</v>
      </c>
      <c r="B74" s="31" t="s">
        <v>118</v>
      </c>
      <c r="C74" s="32">
        <v>6.0234363E7</v>
      </c>
      <c r="D74" s="32">
        <v>1064692.0</v>
      </c>
      <c r="E74" s="32">
        <v>5.37189192E8</v>
      </c>
      <c r="F74" s="32">
        <v>1.6415019E7</v>
      </c>
      <c r="G74" s="32">
        <v>6.0649963E7</v>
      </c>
      <c r="H74" s="32">
        <v>3.5272658E7</v>
      </c>
      <c r="I74" s="32">
        <v>6965049.0</v>
      </c>
      <c r="J74" s="32">
        <v>0.0</v>
      </c>
      <c r="K74" s="32">
        <v>9.034981356E9</v>
      </c>
      <c r="L74" s="32">
        <v>1.426775546E9</v>
      </c>
      <c r="M74" s="32">
        <v>53198.0</v>
      </c>
      <c r="N74" s="31" t="s">
        <v>119</v>
      </c>
      <c r="O74" s="31">
        <v>25.0</v>
      </c>
      <c r="P74" s="31"/>
      <c r="Q74" s="31"/>
      <c r="R74" s="30"/>
      <c r="S74" s="30"/>
      <c r="T74" s="30"/>
      <c r="U74" s="30"/>
      <c r="V74" s="30"/>
      <c r="W74" s="30"/>
      <c r="X74" s="30"/>
      <c r="Y74" s="30"/>
      <c r="Z74" s="30"/>
    </row>
    <row r="75" ht="18.0" customHeight="1">
      <c r="A75" s="31">
        <v>1.71858863E8</v>
      </c>
      <c r="B75" s="31" t="s">
        <v>120</v>
      </c>
      <c r="C75" s="32">
        <v>6.0168846E7</v>
      </c>
      <c r="D75" s="32">
        <v>0.0</v>
      </c>
      <c r="E75" s="32">
        <v>4.5445846E7</v>
      </c>
      <c r="F75" s="32">
        <v>4374063.0</v>
      </c>
      <c r="G75" s="32">
        <v>51770.0</v>
      </c>
      <c r="H75" s="32">
        <v>810405.0</v>
      </c>
      <c r="I75" s="32">
        <v>1848552.0</v>
      </c>
      <c r="J75" s="32">
        <v>0.0</v>
      </c>
      <c r="K75" s="32">
        <v>6.479342661E9</v>
      </c>
      <c r="L75" s="32">
        <v>5.215262E8</v>
      </c>
      <c r="M75" s="32">
        <v>8215.0</v>
      </c>
      <c r="N75" s="31" t="s">
        <v>34</v>
      </c>
      <c r="O75" s="31">
        <v>25.0</v>
      </c>
      <c r="P75" s="31"/>
      <c r="Q75" s="31"/>
      <c r="R75" s="30"/>
      <c r="S75" s="30"/>
      <c r="T75" s="30"/>
      <c r="U75" s="30"/>
      <c r="V75" s="30"/>
      <c r="W75" s="30"/>
      <c r="X75" s="30"/>
      <c r="Y75" s="30"/>
      <c r="Z75" s="30"/>
    </row>
    <row r="76" ht="18.0" customHeight="1">
      <c r="A76" s="31">
        <v>1.68091444E8</v>
      </c>
      <c r="B76" s="31" t="s">
        <v>121</v>
      </c>
      <c r="C76" s="32">
        <v>5.9666421E7</v>
      </c>
      <c r="D76" s="32">
        <v>912157.0</v>
      </c>
      <c r="E76" s="32">
        <v>1.24996873E8</v>
      </c>
      <c r="F76" s="32">
        <v>7198178.0</v>
      </c>
      <c r="G76" s="32">
        <v>415679.0</v>
      </c>
      <c r="H76" s="32">
        <v>6792299.0</v>
      </c>
      <c r="I76" s="32">
        <v>2789966.0</v>
      </c>
      <c r="J76" s="32">
        <v>0.0</v>
      </c>
      <c r="K76" s="32">
        <v>7.956148014E9</v>
      </c>
      <c r="L76" s="32">
        <v>8.01728414E8</v>
      </c>
      <c r="M76" s="32">
        <v>45677.0</v>
      </c>
      <c r="N76" s="31" t="s">
        <v>34</v>
      </c>
      <c r="O76" s="31">
        <v>25.0</v>
      </c>
      <c r="P76" s="31"/>
      <c r="Q76" s="31"/>
      <c r="R76" s="30"/>
      <c r="S76" s="30"/>
      <c r="T76" s="30"/>
      <c r="U76" s="30"/>
      <c r="V76" s="30"/>
      <c r="W76" s="30"/>
      <c r="X76" s="30"/>
      <c r="Y76" s="30"/>
      <c r="Z76" s="30"/>
    </row>
    <row r="77" ht="18.0" customHeight="1">
      <c r="A77" s="31">
        <v>1.61646318E8</v>
      </c>
      <c r="B77" s="31" t="s">
        <v>122</v>
      </c>
      <c r="C77" s="32">
        <v>5.8913837E7</v>
      </c>
      <c r="D77" s="32">
        <v>587131.0</v>
      </c>
      <c r="E77" s="32">
        <v>2.58781694E8</v>
      </c>
      <c r="F77" s="32">
        <v>6535473.0</v>
      </c>
      <c r="G77" s="32">
        <v>663252.0</v>
      </c>
      <c r="H77" s="32">
        <v>9726074.0</v>
      </c>
      <c r="I77" s="32">
        <v>7997408.0</v>
      </c>
      <c r="J77" s="32">
        <v>0.0</v>
      </c>
      <c r="K77" s="32">
        <v>1.4761584123E10</v>
      </c>
      <c r="L77" s="32">
        <v>2.67164973E9</v>
      </c>
      <c r="M77" s="32">
        <v>48309.0</v>
      </c>
      <c r="N77" s="31" t="s">
        <v>34</v>
      </c>
      <c r="O77" s="31">
        <v>25.0</v>
      </c>
      <c r="P77" s="31"/>
      <c r="Q77" s="31"/>
      <c r="R77" s="30"/>
      <c r="S77" s="30"/>
      <c r="T77" s="30"/>
      <c r="U77" s="30"/>
      <c r="V77" s="30"/>
      <c r="W77" s="30"/>
      <c r="X77" s="30"/>
      <c r="Y77" s="30"/>
      <c r="Z77" s="30"/>
    </row>
    <row r="78" ht="18.0" customHeight="1">
      <c r="A78" s="31">
        <v>1.71827401E8</v>
      </c>
      <c r="B78" s="31" t="s">
        <v>123</v>
      </c>
      <c r="C78" s="32">
        <v>5.88499E7</v>
      </c>
      <c r="D78" s="32">
        <v>0.0</v>
      </c>
      <c r="E78" s="32">
        <v>1.528169813E9</v>
      </c>
      <c r="F78" s="32">
        <v>7975447.0</v>
      </c>
      <c r="G78" s="32">
        <v>4.2447525E7</v>
      </c>
      <c r="H78" s="32">
        <v>1.10599101E8</v>
      </c>
      <c r="I78" s="32">
        <v>1.7289391E7</v>
      </c>
      <c r="J78" s="32">
        <v>0.0</v>
      </c>
      <c r="K78" s="32">
        <v>3.062126535E9</v>
      </c>
      <c r="L78" s="32">
        <v>7.802247764E9</v>
      </c>
      <c r="M78" s="32">
        <v>31865.0</v>
      </c>
      <c r="N78" s="31" t="s">
        <v>124</v>
      </c>
      <c r="O78" s="31">
        <v>25.0</v>
      </c>
      <c r="P78" s="31"/>
      <c r="Q78" s="31"/>
      <c r="R78" s="30"/>
      <c r="S78" s="30"/>
      <c r="T78" s="30"/>
      <c r="U78" s="30"/>
      <c r="V78" s="30"/>
      <c r="W78" s="30"/>
      <c r="X78" s="30"/>
      <c r="Y78" s="30"/>
      <c r="Z78" s="30"/>
    </row>
    <row r="79" ht="18.0" customHeight="1">
      <c r="A79" s="31">
        <v>2.1489428E7</v>
      </c>
      <c r="B79" s="31" t="s">
        <v>125</v>
      </c>
      <c r="C79" s="32">
        <v>5.6843602E7</v>
      </c>
      <c r="D79" s="32">
        <v>-522368.0</v>
      </c>
      <c r="E79" s="32">
        <v>5.8060683E8</v>
      </c>
      <c r="F79" s="32">
        <v>1.7688104E7</v>
      </c>
      <c r="G79" s="32">
        <v>1083192.0</v>
      </c>
      <c r="H79" s="32">
        <v>1.8483076E7</v>
      </c>
      <c r="I79" s="32">
        <v>1.9523273E7</v>
      </c>
      <c r="J79" s="32">
        <v>0.0</v>
      </c>
      <c r="K79" s="32">
        <v>1.6049999344E10</v>
      </c>
      <c r="L79" s="32">
        <v>9.234571546E9</v>
      </c>
      <c r="M79" s="32">
        <v>44877.0</v>
      </c>
      <c r="N79" s="31" t="s">
        <v>126</v>
      </c>
      <c r="O79" s="31">
        <v>25.0</v>
      </c>
      <c r="P79" s="31"/>
      <c r="Q79" s="31"/>
      <c r="R79" s="30"/>
      <c r="S79" s="30"/>
      <c r="T79" s="30"/>
      <c r="U79" s="30"/>
      <c r="V79" s="30"/>
      <c r="W79" s="30"/>
      <c r="X79" s="30"/>
      <c r="Y79" s="30"/>
      <c r="Z79" s="30"/>
    </row>
    <row r="80" ht="18.0" customHeight="1">
      <c r="A80" s="31">
        <v>1.44049878E8</v>
      </c>
      <c r="B80" s="31" t="s">
        <v>127</v>
      </c>
      <c r="C80" s="32">
        <v>5.6945548E7</v>
      </c>
      <c r="D80" s="32">
        <v>-1.3013974E7</v>
      </c>
      <c r="E80" s="32">
        <v>3.40369212E8</v>
      </c>
      <c r="F80" s="32">
        <v>9949545.0</v>
      </c>
      <c r="G80" s="32">
        <v>3617362.0</v>
      </c>
      <c r="H80" s="32">
        <v>1.317229E7</v>
      </c>
      <c r="I80" s="32">
        <v>1.0223978E7</v>
      </c>
      <c r="J80" s="32">
        <v>0.0</v>
      </c>
      <c r="K80" s="32">
        <v>1.1168690445E10</v>
      </c>
      <c r="L80" s="32">
        <v>7.684764847E9</v>
      </c>
      <c r="M80" s="32">
        <v>50637.0</v>
      </c>
      <c r="N80" s="31" t="s">
        <v>128</v>
      </c>
      <c r="O80" s="31">
        <v>25.0</v>
      </c>
      <c r="P80" s="31"/>
      <c r="Q80" s="31"/>
      <c r="R80" s="30"/>
      <c r="S80" s="30"/>
      <c r="T80" s="30"/>
      <c r="U80" s="30"/>
      <c r="V80" s="30"/>
      <c r="W80" s="30"/>
      <c r="X80" s="30"/>
      <c r="Y80" s="30"/>
      <c r="Z80" s="30"/>
    </row>
    <row r="81" ht="18.0" customHeight="1">
      <c r="A81" s="31">
        <v>1.69672885E8</v>
      </c>
      <c r="B81" s="31" t="s">
        <v>129</v>
      </c>
      <c r="C81" s="32">
        <v>5.6527169E7</v>
      </c>
      <c r="D81" s="32">
        <v>892196.0</v>
      </c>
      <c r="E81" s="32">
        <v>4.28904904E8</v>
      </c>
      <c r="F81" s="32">
        <v>8406848.0</v>
      </c>
      <c r="G81" s="32">
        <v>8834282.0</v>
      </c>
      <c r="H81" s="32">
        <v>1.8454466E7</v>
      </c>
      <c r="I81" s="32">
        <v>1.1510999E7</v>
      </c>
      <c r="J81" s="32">
        <v>0.0</v>
      </c>
      <c r="K81" s="32">
        <v>7.370270443E9</v>
      </c>
      <c r="L81" s="32">
        <v>5.531989826E9</v>
      </c>
      <c r="M81" s="32">
        <v>33520.0</v>
      </c>
      <c r="N81" s="31" t="s">
        <v>34</v>
      </c>
      <c r="O81" s="31">
        <v>25.0</v>
      </c>
      <c r="P81" s="31"/>
      <c r="Q81" s="31"/>
      <c r="R81" s="30"/>
      <c r="S81" s="30"/>
      <c r="T81" s="30"/>
      <c r="U81" s="30"/>
      <c r="V81" s="30"/>
      <c r="W81" s="30"/>
      <c r="X81" s="30"/>
      <c r="Y81" s="30"/>
      <c r="Z81" s="30"/>
    </row>
    <row r="82" ht="18.0" customHeight="1">
      <c r="A82" s="31">
        <v>1.44608345E8</v>
      </c>
      <c r="B82" s="31" t="s">
        <v>130</v>
      </c>
      <c r="C82" s="32">
        <v>5.5360781E7</v>
      </c>
      <c r="D82" s="32">
        <v>0.0</v>
      </c>
      <c r="E82" s="32">
        <v>7.65689757E8</v>
      </c>
      <c r="F82" s="32">
        <v>8735512.0</v>
      </c>
      <c r="G82" s="32">
        <v>2.8854245E7</v>
      </c>
      <c r="H82" s="32">
        <v>5.4433437E7</v>
      </c>
      <c r="I82" s="32">
        <v>9097261.0</v>
      </c>
      <c r="J82" s="32">
        <v>0.0</v>
      </c>
      <c r="K82" s="32">
        <v>1.1148634329E10</v>
      </c>
      <c r="L82" s="32">
        <v>1.177270686E9</v>
      </c>
      <c r="M82" s="32">
        <v>31440.0</v>
      </c>
      <c r="N82" s="31" t="s">
        <v>66</v>
      </c>
      <c r="O82" s="31">
        <v>25.0</v>
      </c>
      <c r="P82" s="31"/>
      <c r="Q82" s="31"/>
      <c r="R82" s="30"/>
      <c r="S82" s="30"/>
      <c r="T82" s="30"/>
      <c r="U82" s="30"/>
      <c r="V82" s="30"/>
      <c r="W82" s="30"/>
      <c r="X82" s="30"/>
      <c r="Y82" s="30"/>
      <c r="Z82" s="30"/>
    </row>
    <row r="83" ht="18.0" customHeight="1">
      <c r="A83" s="31">
        <v>1.58817223E8</v>
      </c>
      <c r="B83" s="31" t="s">
        <v>131</v>
      </c>
      <c r="C83" s="32">
        <v>5.499994E7</v>
      </c>
      <c r="D83" s="32">
        <v>-638815.0</v>
      </c>
      <c r="E83" s="32">
        <v>2.44589328E8</v>
      </c>
      <c r="F83" s="32">
        <v>7596377.0</v>
      </c>
      <c r="G83" s="32">
        <v>5331842.0</v>
      </c>
      <c r="H83" s="32">
        <v>9545417.0</v>
      </c>
      <c r="I83" s="32">
        <v>6868782.0</v>
      </c>
      <c r="J83" s="32">
        <v>0.0</v>
      </c>
      <c r="K83" s="32">
        <v>6.656718379E9</v>
      </c>
      <c r="L83" s="32">
        <v>5.315830469E9</v>
      </c>
      <c r="M83" s="32">
        <v>37463.0</v>
      </c>
      <c r="N83" s="31" t="s">
        <v>34</v>
      </c>
      <c r="O83" s="31">
        <v>25.0</v>
      </c>
      <c r="P83" s="31"/>
      <c r="Q83" s="31"/>
      <c r="R83" s="30"/>
      <c r="S83" s="30"/>
      <c r="T83" s="30"/>
      <c r="U83" s="30"/>
      <c r="V83" s="30"/>
      <c r="W83" s="30"/>
      <c r="X83" s="30"/>
      <c r="Y83" s="30"/>
      <c r="Z83" s="30"/>
    </row>
    <row r="84" ht="18.0" customHeight="1">
      <c r="A84" s="31">
        <v>1.71799293E8</v>
      </c>
      <c r="B84" s="31" t="s">
        <v>132</v>
      </c>
      <c r="C84" s="32">
        <v>5.4229817E7</v>
      </c>
      <c r="D84" s="32">
        <v>-1.2593168E7</v>
      </c>
      <c r="E84" s="32">
        <v>2.48455842E8</v>
      </c>
      <c r="F84" s="32">
        <v>4219253.0</v>
      </c>
      <c r="G84" s="32">
        <v>4581202.0</v>
      </c>
      <c r="H84" s="32">
        <v>1.1020891E7</v>
      </c>
      <c r="I84" s="32">
        <v>6664284.0</v>
      </c>
      <c r="J84" s="32">
        <v>0.0</v>
      </c>
      <c r="K84" s="32">
        <v>8.588821132E9</v>
      </c>
      <c r="L84" s="32">
        <v>1.228012902E10</v>
      </c>
      <c r="M84" s="32">
        <v>43699.0</v>
      </c>
      <c r="N84" s="31" t="s">
        <v>66</v>
      </c>
      <c r="O84" s="31">
        <v>25.0</v>
      </c>
      <c r="P84" s="31"/>
      <c r="Q84" s="31"/>
      <c r="R84" s="30"/>
      <c r="S84" s="30"/>
      <c r="T84" s="30"/>
      <c r="U84" s="30"/>
      <c r="V84" s="30"/>
      <c r="W84" s="30"/>
      <c r="X84" s="30"/>
      <c r="Y84" s="30"/>
      <c r="Z84" s="30"/>
    </row>
    <row r="85" ht="18.0" customHeight="1">
      <c r="A85" s="31">
        <v>1.69363448E8</v>
      </c>
      <c r="B85" s="31" t="s">
        <v>133</v>
      </c>
      <c r="C85" s="32">
        <v>5.3461108E7</v>
      </c>
      <c r="D85" s="32">
        <v>577386.0</v>
      </c>
      <c r="E85" s="32">
        <v>3.33929898E8</v>
      </c>
      <c r="F85" s="32">
        <v>6506816.0</v>
      </c>
      <c r="G85" s="32">
        <v>1816902.0</v>
      </c>
      <c r="H85" s="32">
        <v>1.72186E7</v>
      </c>
      <c r="I85" s="32">
        <v>7640210.0</v>
      </c>
      <c r="J85" s="32">
        <v>0.0</v>
      </c>
      <c r="K85" s="32">
        <v>8.539394596E9</v>
      </c>
      <c r="L85" s="32">
        <v>6.697116137E9</v>
      </c>
      <c r="M85" s="32">
        <v>45586.0</v>
      </c>
      <c r="N85" s="31" t="s">
        <v>34</v>
      </c>
      <c r="O85" s="31">
        <v>25.0</v>
      </c>
      <c r="P85" s="31"/>
      <c r="Q85" s="31"/>
      <c r="R85" s="30"/>
      <c r="S85" s="30"/>
      <c r="T85" s="30"/>
      <c r="U85" s="30"/>
      <c r="V85" s="30"/>
      <c r="W85" s="30"/>
      <c r="X85" s="30"/>
      <c r="Y85" s="30"/>
      <c r="Z85" s="30"/>
    </row>
    <row r="86" ht="18.0" customHeight="1">
      <c r="A86" s="31">
        <v>1.36662717E8</v>
      </c>
      <c r="B86" s="31" t="s">
        <v>134</v>
      </c>
      <c r="C86" s="32">
        <v>5.1545399E7</v>
      </c>
      <c r="D86" s="32">
        <v>793294.0</v>
      </c>
      <c r="E86" s="32">
        <v>6.42591057E8</v>
      </c>
      <c r="F86" s="32">
        <v>5983193.0</v>
      </c>
      <c r="G86" s="32">
        <v>9070828.0</v>
      </c>
      <c r="H86" s="32">
        <v>2.1875352E7</v>
      </c>
      <c r="I86" s="32">
        <v>2.0746119E7</v>
      </c>
      <c r="J86" s="32">
        <v>0.0</v>
      </c>
      <c r="K86" s="32">
        <v>9.031629351E9</v>
      </c>
      <c r="L86" s="32">
        <v>6.273611637E9</v>
      </c>
      <c r="M86" s="32">
        <v>53716.0</v>
      </c>
      <c r="N86" s="31" t="s">
        <v>34</v>
      </c>
      <c r="O86" s="31">
        <v>25.0</v>
      </c>
      <c r="P86" s="31"/>
      <c r="Q86" s="31"/>
      <c r="R86" s="30"/>
      <c r="S86" s="30"/>
      <c r="T86" s="30"/>
      <c r="U86" s="30"/>
      <c r="V86" s="30"/>
      <c r="W86" s="30"/>
      <c r="X86" s="30"/>
      <c r="Y86" s="30"/>
      <c r="Z86" s="30"/>
    </row>
    <row r="87" ht="18.0" customHeight="1">
      <c r="A87" s="31">
        <v>1.66234202E8</v>
      </c>
      <c r="B87" s="31" t="s">
        <v>135</v>
      </c>
      <c r="C87" s="32">
        <v>4.9794084E7</v>
      </c>
      <c r="D87" s="32">
        <v>0.0</v>
      </c>
      <c r="E87" s="32">
        <v>2.93244994E8</v>
      </c>
      <c r="F87" s="32">
        <v>4637371.0</v>
      </c>
      <c r="G87" s="32">
        <v>1992214.0</v>
      </c>
      <c r="H87" s="32">
        <v>1.3803324E7</v>
      </c>
      <c r="I87" s="32">
        <v>6532470.0</v>
      </c>
      <c r="J87" s="32">
        <v>0.0</v>
      </c>
      <c r="K87" s="32">
        <v>1.155336365E10</v>
      </c>
      <c r="L87" s="32">
        <v>1.48881707E9</v>
      </c>
      <c r="M87" s="32">
        <v>33583.0</v>
      </c>
      <c r="N87" s="31" t="s">
        <v>66</v>
      </c>
      <c r="O87" s="31">
        <v>25.0</v>
      </c>
      <c r="P87" s="31"/>
      <c r="Q87" s="31"/>
      <c r="R87" s="30"/>
      <c r="S87" s="30"/>
      <c r="T87" s="30"/>
      <c r="U87" s="30"/>
      <c r="V87" s="30"/>
      <c r="W87" s="30"/>
      <c r="X87" s="30"/>
      <c r="Y87" s="30"/>
      <c r="Z87" s="30"/>
    </row>
    <row r="88" ht="18.0" customHeight="1">
      <c r="A88" s="31">
        <v>1.69420296E8</v>
      </c>
      <c r="B88" s="31" t="s">
        <v>136</v>
      </c>
      <c r="C88" s="32">
        <v>4.951506E7</v>
      </c>
      <c r="D88" s="32">
        <v>-489826.0</v>
      </c>
      <c r="E88" s="32">
        <v>1.93082585E8</v>
      </c>
      <c r="F88" s="32">
        <v>6148103.0</v>
      </c>
      <c r="G88" s="32">
        <v>213155.0</v>
      </c>
      <c r="H88" s="32">
        <v>4857028.0</v>
      </c>
      <c r="I88" s="32">
        <v>7205750.0</v>
      </c>
      <c r="J88" s="32">
        <v>0.0</v>
      </c>
      <c r="K88" s="32">
        <v>1.4203018406E10</v>
      </c>
      <c r="L88" s="32">
        <v>4.83156041E8</v>
      </c>
      <c r="M88" s="32">
        <v>33135.0</v>
      </c>
      <c r="N88" s="31" t="s">
        <v>34</v>
      </c>
      <c r="O88" s="31">
        <v>25.0</v>
      </c>
      <c r="P88" s="31"/>
      <c r="Q88" s="31"/>
      <c r="R88" s="30"/>
      <c r="S88" s="30"/>
      <c r="T88" s="30"/>
      <c r="U88" s="30"/>
      <c r="V88" s="30"/>
      <c r="W88" s="30"/>
      <c r="X88" s="30"/>
      <c r="Y88" s="30"/>
      <c r="Z88" s="30"/>
    </row>
    <row r="89" ht="18.0" customHeight="1">
      <c r="A89" s="31">
        <v>1.6901814E8</v>
      </c>
      <c r="B89" s="31" t="s">
        <v>137</v>
      </c>
      <c r="C89" s="32">
        <v>4.8680238E7</v>
      </c>
      <c r="D89" s="32">
        <v>251796.0</v>
      </c>
      <c r="E89" s="32">
        <v>1.70501159E8</v>
      </c>
      <c r="F89" s="32">
        <v>5121209.0</v>
      </c>
      <c r="G89" s="32">
        <v>430096.0</v>
      </c>
      <c r="H89" s="32">
        <v>6535314.0</v>
      </c>
      <c r="I89" s="32">
        <v>5208981.0</v>
      </c>
      <c r="J89" s="32">
        <v>0.0</v>
      </c>
      <c r="K89" s="32">
        <v>1.3040857377E10</v>
      </c>
      <c r="L89" s="32">
        <v>3.176800407E9</v>
      </c>
      <c r="M89" s="32">
        <v>33476.0</v>
      </c>
      <c r="N89" s="31" t="s">
        <v>34</v>
      </c>
      <c r="O89" s="31">
        <v>25.0</v>
      </c>
      <c r="P89" s="31"/>
      <c r="Q89" s="31"/>
      <c r="R89" s="30"/>
      <c r="S89" s="30"/>
      <c r="T89" s="30"/>
      <c r="U89" s="30"/>
      <c r="V89" s="30"/>
      <c r="W89" s="30"/>
      <c r="X89" s="30"/>
      <c r="Y89" s="30"/>
      <c r="Z89" s="30"/>
    </row>
    <row r="90" ht="18.0" customHeight="1">
      <c r="A90" s="31">
        <v>1.0047682E8</v>
      </c>
      <c r="B90" s="31" t="s">
        <v>138</v>
      </c>
      <c r="C90" s="32">
        <v>4.8482278E7</v>
      </c>
      <c r="D90" s="32">
        <v>287336.0</v>
      </c>
      <c r="E90" s="32">
        <v>1.21473672E8</v>
      </c>
      <c r="F90" s="32">
        <v>1.131106E7</v>
      </c>
      <c r="G90" s="32">
        <v>103221.0</v>
      </c>
      <c r="H90" s="32">
        <v>4411680.0</v>
      </c>
      <c r="I90" s="32">
        <v>3857357.0</v>
      </c>
      <c r="J90" s="32">
        <v>0.0</v>
      </c>
      <c r="K90" s="32">
        <v>3.7183620485E10</v>
      </c>
      <c r="L90" s="32">
        <v>4.570894928E10</v>
      </c>
      <c r="M90" s="32">
        <v>21903.0</v>
      </c>
      <c r="N90" s="31" t="s">
        <v>34</v>
      </c>
      <c r="O90" s="31">
        <v>25.0</v>
      </c>
      <c r="P90" s="31"/>
      <c r="Q90" s="31"/>
      <c r="R90" s="30"/>
      <c r="S90" s="30"/>
      <c r="T90" s="30"/>
      <c r="U90" s="30"/>
      <c r="V90" s="30"/>
      <c r="W90" s="30"/>
      <c r="X90" s="30"/>
      <c r="Y90" s="30"/>
      <c r="Z90" s="30"/>
    </row>
    <row r="91" ht="18.0" customHeight="1">
      <c r="A91" s="31">
        <v>1.76044158E8</v>
      </c>
      <c r="B91" s="31" t="s">
        <v>139</v>
      </c>
      <c r="C91" s="32">
        <v>4.8376319E7</v>
      </c>
      <c r="D91" s="32">
        <v>265096.0</v>
      </c>
      <c r="E91" s="32">
        <v>1.3115959E8</v>
      </c>
      <c r="F91" s="32">
        <v>5233878.0</v>
      </c>
      <c r="G91" s="32">
        <v>341163.0</v>
      </c>
      <c r="H91" s="32">
        <v>2945478.0</v>
      </c>
      <c r="I91" s="32">
        <v>5065195.0</v>
      </c>
      <c r="J91" s="32">
        <v>0.0</v>
      </c>
      <c r="K91" s="32">
        <v>1.8927610464E10</v>
      </c>
      <c r="L91" s="32">
        <v>4.364536539E9</v>
      </c>
      <c r="M91" s="32">
        <v>17940.0</v>
      </c>
      <c r="N91" s="31" t="s">
        <v>34</v>
      </c>
      <c r="O91" s="31">
        <v>25.0</v>
      </c>
      <c r="P91" s="31"/>
      <c r="Q91" s="31"/>
      <c r="R91" s="30"/>
      <c r="S91" s="30"/>
      <c r="T91" s="30"/>
      <c r="U91" s="30"/>
      <c r="V91" s="30"/>
      <c r="W91" s="30"/>
      <c r="X91" s="30"/>
      <c r="Y91" s="30"/>
      <c r="Z91" s="30"/>
    </row>
    <row r="92" ht="18.0" customHeight="1">
      <c r="A92" s="31">
        <v>1.71945722E8</v>
      </c>
      <c r="B92" s="31" t="s">
        <v>140</v>
      </c>
      <c r="C92" s="32">
        <v>4.7914291E7</v>
      </c>
      <c r="D92" s="32">
        <v>631301.0</v>
      </c>
      <c r="E92" s="32">
        <v>6.8927813E7</v>
      </c>
      <c r="F92" s="32">
        <v>4591934.0</v>
      </c>
      <c r="G92" s="32">
        <v>107866.0</v>
      </c>
      <c r="H92" s="32">
        <v>3150159.0</v>
      </c>
      <c r="I92" s="32">
        <v>1861297.0</v>
      </c>
      <c r="J92" s="32">
        <v>0.0</v>
      </c>
      <c r="K92" s="32">
        <v>1.1720556909E10</v>
      </c>
      <c r="L92" s="32">
        <v>4.50585022E9</v>
      </c>
      <c r="M92" s="32">
        <v>17115.0</v>
      </c>
      <c r="N92" s="31" t="s">
        <v>34</v>
      </c>
      <c r="O92" s="31">
        <v>25.0</v>
      </c>
      <c r="P92" s="31"/>
      <c r="Q92" s="31"/>
      <c r="R92" s="30"/>
      <c r="S92" s="30"/>
      <c r="T92" s="30"/>
      <c r="U92" s="30"/>
      <c r="V92" s="30"/>
      <c r="W92" s="30"/>
      <c r="X92" s="30"/>
      <c r="Y92" s="30"/>
      <c r="Z92" s="30"/>
    </row>
    <row r="93" ht="18.0" customHeight="1">
      <c r="A93" s="31">
        <v>1.71654758E8</v>
      </c>
      <c r="B93" s="31" t="s">
        <v>141</v>
      </c>
      <c r="C93" s="32">
        <v>4.6644897E7</v>
      </c>
      <c r="D93" s="32">
        <v>0.0</v>
      </c>
      <c r="E93" s="32">
        <v>4.0440159E8</v>
      </c>
      <c r="F93" s="32">
        <v>3418248.0</v>
      </c>
      <c r="G93" s="32">
        <v>3663871.0</v>
      </c>
      <c r="H93" s="32">
        <v>1.1207415E7</v>
      </c>
      <c r="I93" s="32">
        <v>1.4537692E7</v>
      </c>
      <c r="J93" s="32">
        <v>0.0</v>
      </c>
      <c r="K93" s="32">
        <v>6.432716951E9</v>
      </c>
      <c r="L93" s="32">
        <v>2.35303952E8</v>
      </c>
      <c r="M93" s="32">
        <v>31935.0</v>
      </c>
      <c r="N93" s="31" t="s">
        <v>66</v>
      </c>
      <c r="O93" s="31">
        <v>25.0</v>
      </c>
      <c r="P93" s="31"/>
      <c r="Q93" s="31"/>
      <c r="R93" s="30"/>
      <c r="S93" s="30"/>
      <c r="T93" s="30"/>
      <c r="U93" s="30"/>
      <c r="V93" s="30"/>
      <c r="W93" s="30"/>
      <c r="X93" s="30"/>
      <c r="Y93" s="30"/>
      <c r="Z93" s="30"/>
    </row>
    <row r="94" ht="18.0" customHeight="1">
      <c r="A94" s="31">
        <v>5.2078022E7</v>
      </c>
      <c r="B94" s="31" t="s">
        <v>142</v>
      </c>
      <c r="C94" s="32">
        <v>4.5941779E7</v>
      </c>
      <c r="D94" s="32">
        <v>254800.0</v>
      </c>
      <c r="E94" s="32">
        <v>1.19794627E8</v>
      </c>
      <c r="F94" s="32">
        <v>9110198.0</v>
      </c>
      <c r="G94" s="32">
        <v>2813886.0</v>
      </c>
      <c r="H94" s="32">
        <v>4796766.0</v>
      </c>
      <c r="I94" s="32">
        <v>3472801.0</v>
      </c>
      <c r="J94" s="32">
        <v>0.0</v>
      </c>
      <c r="K94" s="32">
        <v>1.3956735565E10</v>
      </c>
      <c r="L94" s="32">
        <v>1.8000763012E10</v>
      </c>
      <c r="M94" s="32">
        <v>23605.0</v>
      </c>
      <c r="N94" s="31" t="s">
        <v>34</v>
      </c>
      <c r="O94" s="31">
        <v>25.0</v>
      </c>
      <c r="P94" s="31"/>
      <c r="Q94" s="31"/>
      <c r="R94" s="30"/>
      <c r="S94" s="30"/>
      <c r="T94" s="30"/>
      <c r="U94" s="30"/>
      <c r="V94" s="30"/>
      <c r="W94" s="30"/>
      <c r="X94" s="30"/>
      <c r="Y94" s="30"/>
      <c r="Z94" s="30"/>
    </row>
    <row r="95" ht="18.0" customHeight="1">
      <c r="A95" s="31">
        <v>1.15990558E8</v>
      </c>
      <c r="B95" s="31" t="s">
        <v>143</v>
      </c>
      <c r="C95" s="32">
        <v>4.5082869E7</v>
      </c>
      <c r="D95" s="32">
        <v>82500.0</v>
      </c>
      <c r="E95" s="32">
        <v>2.11639595E8</v>
      </c>
      <c r="F95" s="32">
        <v>4961941.0</v>
      </c>
      <c r="G95" s="32">
        <v>1801665.0</v>
      </c>
      <c r="H95" s="32">
        <v>1.2433106E7</v>
      </c>
      <c r="I95" s="32">
        <v>3575331.0</v>
      </c>
      <c r="J95" s="32">
        <v>1288645.0</v>
      </c>
      <c r="K95" s="32">
        <v>8.673437817E9</v>
      </c>
      <c r="L95" s="32">
        <v>1.81565802E9</v>
      </c>
      <c r="M95" s="32">
        <v>19391.0</v>
      </c>
      <c r="N95" s="31" t="s">
        <v>66</v>
      </c>
      <c r="O95" s="31">
        <v>25.0</v>
      </c>
      <c r="P95" s="31"/>
      <c r="Q95" s="31"/>
      <c r="R95" s="30"/>
      <c r="S95" s="30"/>
      <c r="T95" s="30"/>
      <c r="U95" s="30"/>
      <c r="V95" s="30"/>
      <c r="W95" s="30"/>
      <c r="X95" s="30"/>
      <c r="Y95" s="30"/>
      <c r="Z95" s="30"/>
    </row>
    <row r="96" ht="18.0" customHeight="1">
      <c r="A96" s="31">
        <v>1.4361245E8</v>
      </c>
      <c r="B96" s="31" t="s">
        <v>144</v>
      </c>
      <c r="C96" s="32">
        <v>4.5030172E7</v>
      </c>
      <c r="D96" s="32">
        <v>386276.0</v>
      </c>
      <c r="E96" s="32">
        <v>5.53982957E8</v>
      </c>
      <c r="F96" s="32">
        <v>4794956.0</v>
      </c>
      <c r="G96" s="32">
        <v>4579765.0</v>
      </c>
      <c r="H96" s="32">
        <v>2.8856326E7</v>
      </c>
      <c r="I96" s="32">
        <v>1.2672659E7</v>
      </c>
      <c r="J96" s="32">
        <v>0.0</v>
      </c>
      <c r="K96" s="32">
        <v>1.0811778855E10</v>
      </c>
      <c r="L96" s="32">
        <v>7.175666033E9</v>
      </c>
      <c r="M96" s="32">
        <v>33325.0</v>
      </c>
      <c r="N96" s="31" t="s">
        <v>34</v>
      </c>
      <c r="O96" s="31">
        <v>25.0</v>
      </c>
      <c r="P96" s="31"/>
      <c r="Q96" s="31"/>
      <c r="R96" s="30"/>
      <c r="S96" s="30"/>
      <c r="T96" s="30"/>
      <c r="U96" s="30"/>
      <c r="V96" s="30"/>
      <c r="W96" s="30"/>
      <c r="X96" s="30"/>
      <c r="Y96" s="30"/>
      <c r="Z96" s="30"/>
    </row>
    <row r="97" ht="18.0" customHeight="1">
      <c r="A97" s="31">
        <v>1.60258193E8</v>
      </c>
      <c r="B97" s="31" t="s">
        <v>145</v>
      </c>
      <c r="C97" s="32">
        <v>4.5011151E7</v>
      </c>
      <c r="D97" s="32">
        <v>300100.0</v>
      </c>
      <c r="E97" s="32">
        <v>5.1421949E7</v>
      </c>
      <c r="F97" s="32">
        <v>2440420.0</v>
      </c>
      <c r="G97" s="32">
        <v>1459647.0</v>
      </c>
      <c r="H97" s="32">
        <v>2780175.0</v>
      </c>
      <c r="I97" s="32">
        <v>1047346.0</v>
      </c>
      <c r="J97" s="32">
        <v>0.0</v>
      </c>
      <c r="K97" s="32">
        <v>6.867230458E9</v>
      </c>
      <c r="L97" s="32">
        <v>1.934461103E9</v>
      </c>
      <c r="M97" s="32">
        <v>23078.0</v>
      </c>
      <c r="N97" s="31" t="s">
        <v>102</v>
      </c>
      <c r="O97" s="31">
        <v>25.0</v>
      </c>
      <c r="P97" s="31"/>
      <c r="Q97" s="31"/>
      <c r="R97" s="30"/>
      <c r="S97" s="30"/>
      <c r="T97" s="30"/>
      <c r="U97" s="30"/>
      <c r="V97" s="30"/>
      <c r="W97" s="30"/>
      <c r="X97" s="30"/>
      <c r="Y97" s="30"/>
      <c r="Z97" s="30"/>
    </row>
    <row r="98" ht="18.0" customHeight="1">
      <c r="A98" s="31">
        <v>1.68025153E8</v>
      </c>
      <c r="B98" s="31" t="s">
        <v>146</v>
      </c>
      <c r="C98" s="32">
        <v>4.371094E7</v>
      </c>
      <c r="D98" s="32">
        <v>332129.0</v>
      </c>
      <c r="E98" s="32">
        <v>2.8188141E7</v>
      </c>
      <c r="F98" s="32">
        <v>1667579.0</v>
      </c>
      <c r="G98" s="32">
        <v>260005.0</v>
      </c>
      <c r="H98" s="32">
        <v>748668.0</v>
      </c>
      <c r="I98" s="32">
        <v>1032023.0</v>
      </c>
      <c r="J98" s="32">
        <v>0.0</v>
      </c>
      <c r="K98" s="32">
        <v>3.943671953E9</v>
      </c>
      <c r="L98" s="32">
        <v>4.409142711E9</v>
      </c>
      <c r="M98" s="32">
        <v>4561.0</v>
      </c>
      <c r="N98" s="31" t="s">
        <v>147</v>
      </c>
      <c r="O98" s="31">
        <v>25.0</v>
      </c>
      <c r="P98" s="31"/>
      <c r="Q98" s="31"/>
      <c r="R98" s="30"/>
      <c r="S98" s="30"/>
      <c r="T98" s="30"/>
      <c r="U98" s="30"/>
      <c r="V98" s="30"/>
      <c r="W98" s="30"/>
      <c r="X98" s="30"/>
      <c r="Y98" s="30"/>
      <c r="Z98" s="30"/>
    </row>
    <row r="99" ht="18.0" customHeight="1">
      <c r="A99" s="31">
        <v>1.72029365E8</v>
      </c>
      <c r="B99" s="31" t="s">
        <v>148</v>
      </c>
      <c r="C99" s="32">
        <v>4.3654536E7</v>
      </c>
      <c r="D99" s="32">
        <v>1465874.0</v>
      </c>
      <c r="E99" s="32">
        <v>1.71300154E8</v>
      </c>
      <c r="F99" s="32">
        <v>9260755.0</v>
      </c>
      <c r="G99" s="32">
        <v>692642.0</v>
      </c>
      <c r="H99" s="32">
        <v>4635038.0</v>
      </c>
      <c r="I99" s="32">
        <v>6158889.0</v>
      </c>
      <c r="J99" s="32">
        <v>0.0</v>
      </c>
      <c r="K99" s="32">
        <v>6.145662692E9</v>
      </c>
      <c r="L99" s="32">
        <v>1.399311746E9</v>
      </c>
      <c r="M99" s="32">
        <v>19651.0</v>
      </c>
      <c r="N99" s="31" t="s">
        <v>34</v>
      </c>
      <c r="O99" s="31">
        <v>25.0</v>
      </c>
      <c r="P99" s="31"/>
      <c r="Q99" s="31"/>
      <c r="R99" s="30"/>
      <c r="S99" s="30"/>
      <c r="T99" s="30"/>
      <c r="U99" s="30"/>
      <c r="V99" s="30"/>
      <c r="W99" s="30"/>
      <c r="X99" s="30"/>
      <c r="Y99" s="30"/>
      <c r="Z99" s="30"/>
    </row>
    <row r="100" ht="18.0" customHeight="1">
      <c r="A100" s="31">
        <v>8.8110635E7</v>
      </c>
      <c r="B100" s="31" t="s">
        <v>149</v>
      </c>
      <c r="C100" s="32">
        <v>4.2824177E7</v>
      </c>
      <c r="D100" s="32">
        <v>0.0</v>
      </c>
      <c r="E100" s="32">
        <v>3.6234973E7</v>
      </c>
      <c r="F100" s="32">
        <v>6531506.0</v>
      </c>
      <c r="G100" s="32">
        <v>32907.0</v>
      </c>
      <c r="H100" s="32">
        <v>941976.0</v>
      </c>
      <c r="I100" s="32">
        <v>1302977.0</v>
      </c>
      <c r="J100" s="32">
        <v>0.0</v>
      </c>
      <c r="K100" s="32">
        <v>9.056445524E9</v>
      </c>
      <c r="L100" s="32">
        <v>1.05797584E8</v>
      </c>
      <c r="M100" s="32">
        <v>13089.0</v>
      </c>
      <c r="N100" s="31" t="s">
        <v>126</v>
      </c>
      <c r="O100" s="31">
        <v>25.0</v>
      </c>
      <c r="P100" s="31"/>
      <c r="Q100" s="31"/>
      <c r="R100" s="30"/>
      <c r="S100" s="30"/>
      <c r="T100" s="30"/>
      <c r="U100" s="30"/>
      <c r="V100" s="30"/>
      <c r="W100" s="30"/>
      <c r="X100" s="30"/>
      <c r="Y100" s="30"/>
      <c r="Z100" s="30"/>
    </row>
    <row r="101" ht="18.0" customHeight="1">
      <c r="A101" s="31">
        <v>1.71976226E8</v>
      </c>
      <c r="B101" s="31" t="s">
        <v>150</v>
      </c>
      <c r="C101" s="32">
        <v>4.2724136E7</v>
      </c>
      <c r="D101" s="32">
        <v>-1.0088724E7</v>
      </c>
      <c r="E101" s="32">
        <v>1.65385429E8</v>
      </c>
      <c r="F101" s="32">
        <v>5217788.0</v>
      </c>
      <c r="G101" s="32">
        <v>731767.0</v>
      </c>
      <c r="H101" s="32">
        <v>9284702.0</v>
      </c>
      <c r="I101" s="32">
        <v>2989569.0</v>
      </c>
      <c r="J101" s="32">
        <v>0.0</v>
      </c>
      <c r="K101" s="32">
        <v>7.001860102E9</v>
      </c>
      <c r="L101" s="32">
        <v>2.827541422E9</v>
      </c>
      <c r="M101" s="32">
        <v>16004.0</v>
      </c>
      <c r="N101" s="31" t="s">
        <v>66</v>
      </c>
      <c r="O101" s="31">
        <v>25.0</v>
      </c>
      <c r="P101" s="31"/>
      <c r="Q101" s="31"/>
      <c r="R101" s="30"/>
      <c r="S101" s="30"/>
      <c r="T101" s="30"/>
      <c r="U101" s="30"/>
      <c r="V101" s="30"/>
      <c r="W101" s="30"/>
      <c r="X101" s="30"/>
      <c r="Y101" s="30"/>
      <c r="Z101" s="30"/>
    </row>
    <row r="102" ht="18.0" customHeight="1">
      <c r="A102" s="31">
        <v>1.43551941E8</v>
      </c>
      <c r="B102" s="31" t="s">
        <v>151</v>
      </c>
      <c r="C102" s="32">
        <v>4.2659191E7</v>
      </c>
      <c r="D102" s="32">
        <v>0.0</v>
      </c>
      <c r="E102" s="32">
        <v>1.46157717E8</v>
      </c>
      <c r="F102" s="32">
        <v>2445001.0</v>
      </c>
      <c r="G102" s="32">
        <v>1655199.0</v>
      </c>
      <c r="H102" s="32">
        <v>9930156.0</v>
      </c>
      <c r="I102" s="32">
        <v>2043226.0</v>
      </c>
      <c r="J102" s="32">
        <v>0.0</v>
      </c>
      <c r="K102" s="32">
        <v>7.011555418E9</v>
      </c>
      <c r="L102" s="32">
        <v>3.2640001E7</v>
      </c>
      <c r="M102" s="32">
        <v>26468.0</v>
      </c>
      <c r="N102" s="31" t="s">
        <v>66</v>
      </c>
      <c r="O102" s="31">
        <v>25.0</v>
      </c>
      <c r="P102" s="31"/>
      <c r="Q102" s="31"/>
      <c r="R102" s="30"/>
      <c r="S102" s="30"/>
      <c r="T102" s="30"/>
      <c r="U102" s="30"/>
      <c r="V102" s="30"/>
      <c r="W102" s="30"/>
      <c r="X102" s="30"/>
      <c r="Y102" s="30"/>
      <c r="Z102" s="30"/>
    </row>
    <row r="103" ht="18.0" customHeight="1">
      <c r="A103" s="31">
        <v>1.44088316E8</v>
      </c>
      <c r="B103" s="31" t="s">
        <v>152</v>
      </c>
      <c r="C103" s="32">
        <v>4.1190285E7</v>
      </c>
      <c r="D103" s="32">
        <v>800.0</v>
      </c>
      <c r="E103" s="32">
        <v>4.2555014E7</v>
      </c>
      <c r="F103" s="32">
        <v>4390339.0</v>
      </c>
      <c r="G103" s="32">
        <v>456983.0</v>
      </c>
      <c r="H103" s="32">
        <v>939021.0</v>
      </c>
      <c r="I103" s="32">
        <v>1357682.0</v>
      </c>
      <c r="J103" s="32">
        <v>0.0</v>
      </c>
      <c r="K103" s="32">
        <v>1.1463857023E10</v>
      </c>
      <c r="L103" s="32">
        <v>1.45E9</v>
      </c>
      <c r="M103" s="32">
        <v>13364.0</v>
      </c>
      <c r="N103" s="31" t="s">
        <v>153</v>
      </c>
      <c r="O103" s="31">
        <v>25.0</v>
      </c>
      <c r="P103" s="31"/>
      <c r="Q103" s="31"/>
      <c r="R103" s="30"/>
      <c r="S103" s="30"/>
      <c r="T103" s="30"/>
      <c r="U103" s="30"/>
      <c r="V103" s="30"/>
      <c r="W103" s="30"/>
      <c r="X103" s="30"/>
      <c r="Y103" s="30"/>
      <c r="Z103" s="30"/>
    </row>
    <row r="104" ht="18.0" customHeight="1">
      <c r="A104" s="31">
        <v>1.75650426E8</v>
      </c>
      <c r="B104" s="31" t="s">
        <v>154</v>
      </c>
      <c r="C104" s="32">
        <v>4.1014711E7</v>
      </c>
      <c r="D104" s="32">
        <v>81748.0</v>
      </c>
      <c r="E104" s="32">
        <v>2.19785478E8</v>
      </c>
      <c r="F104" s="32">
        <v>7845079.0</v>
      </c>
      <c r="G104" s="32">
        <v>6316310.0</v>
      </c>
      <c r="H104" s="32">
        <v>8899148.0</v>
      </c>
      <c r="I104" s="32">
        <v>5741460.0</v>
      </c>
      <c r="J104" s="32">
        <v>0.0</v>
      </c>
      <c r="K104" s="32">
        <v>6.383569559E9</v>
      </c>
      <c r="L104" s="32">
        <v>6.960476892E9</v>
      </c>
      <c r="M104" s="32">
        <v>19648.0</v>
      </c>
      <c r="N104" s="31" t="s">
        <v>34</v>
      </c>
      <c r="O104" s="31">
        <v>25.0</v>
      </c>
      <c r="P104" s="31"/>
      <c r="Q104" s="31"/>
      <c r="R104" s="30"/>
      <c r="S104" s="30"/>
      <c r="T104" s="30"/>
      <c r="U104" s="30"/>
      <c r="V104" s="30"/>
      <c r="W104" s="30"/>
      <c r="X104" s="30"/>
      <c r="Y104" s="30"/>
      <c r="Z104" s="30"/>
    </row>
    <row r="105" ht="18.0" customHeight="1">
      <c r="A105" s="31">
        <v>1.44089349E8</v>
      </c>
      <c r="B105" s="31" t="s">
        <v>155</v>
      </c>
      <c r="C105" s="32">
        <v>4.0900474E7</v>
      </c>
      <c r="D105" s="32">
        <v>0.0</v>
      </c>
      <c r="E105" s="32">
        <v>6.5808604E7</v>
      </c>
      <c r="F105" s="32">
        <v>748431.0</v>
      </c>
      <c r="G105" s="32">
        <v>5505113.0</v>
      </c>
      <c r="H105" s="32">
        <v>4623754.0</v>
      </c>
      <c r="I105" s="32">
        <v>522724.0</v>
      </c>
      <c r="J105" s="32">
        <v>0.0</v>
      </c>
      <c r="K105" s="32">
        <v>7.58797152E9</v>
      </c>
      <c r="L105" s="32">
        <v>5.012015494E9</v>
      </c>
      <c r="M105" s="32">
        <v>41945.0</v>
      </c>
      <c r="N105" s="31" t="s">
        <v>66</v>
      </c>
      <c r="O105" s="31">
        <v>25.0</v>
      </c>
      <c r="P105" s="31"/>
      <c r="Q105" s="31"/>
      <c r="R105" s="30"/>
      <c r="S105" s="30"/>
      <c r="T105" s="30"/>
      <c r="U105" s="30"/>
      <c r="V105" s="30"/>
      <c r="W105" s="30"/>
      <c r="X105" s="30"/>
      <c r="Y105" s="30"/>
      <c r="Z105" s="30"/>
    </row>
    <row r="106" ht="18.0" customHeight="1">
      <c r="A106" s="31">
        <v>1.71821621E8</v>
      </c>
      <c r="B106" s="31" t="s">
        <v>156</v>
      </c>
      <c r="C106" s="32">
        <v>3.8300726E7</v>
      </c>
      <c r="D106" s="32">
        <v>30600.0</v>
      </c>
      <c r="E106" s="32">
        <v>1.09474872E8</v>
      </c>
      <c r="F106" s="32">
        <v>6107237.0</v>
      </c>
      <c r="G106" s="32">
        <v>1438724.0</v>
      </c>
      <c r="H106" s="32">
        <v>4837171.0</v>
      </c>
      <c r="I106" s="32">
        <v>3005428.0</v>
      </c>
      <c r="J106" s="32">
        <v>0.0</v>
      </c>
      <c r="K106" s="32">
        <v>1.382184731E9</v>
      </c>
      <c r="L106" s="32">
        <v>1007394.0</v>
      </c>
      <c r="M106" s="32">
        <v>3428.0</v>
      </c>
      <c r="N106" s="31" t="s">
        <v>66</v>
      </c>
      <c r="O106" s="31">
        <v>25.0</v>
      </c>
      <c r="P106" s="31"/>
      <c r="Q106" s="31"/>
      <c r="R106" s="30"/>
      <c r="S106" s="30"/>
      <c r="T106" s="30"/>
      <c r="U106" s="30"/>
      <c r="V106" s="30"/>
      <c r="W106" s="30"/>
      <c r="X106" s="30"/>
      <c r="Y106" s="30"/>
      <c r="Z106" s="30"/>
    </row>
    <row r="107" ht="18.0" customHeight="1">
      <c r="A107" s="31">
        <v>6.5948574E7</v>
      </c>
      <c r="B107" s="31" t="s">
        <v>157</v>
      </c>
      <c r="C107" s="32">
        <v>3.717596E7</v>
      </c>
      <c r="D107" s="32">
        <v>0.0</v>
      </c>
      <c r="E107" s="32">
        <v>1.24170104E8</v>
      </c>
      <c r="F107" s="32">
        <v>9830566.0</v>
      </c>
      <c r="G107" s="32">
        <v>920251.0</v>
      </c>
      <c r="H107" s="32">
        <v>5068670.0</v>
      </c>
      <c r="I107" s="32">
        <v>3533523.0</v>
      </c>
      <c r="J107" s="32">
        <v>0.0</v>
      </c>
      <c r="K107" s="32">
        <v>2.2057052709E10</v>
      </c>
      <c r="L107" s="32">
        <v>2.3958373403E10</v>
      </c>
      <c r="M107" s="32">
        <v>21559.0</v>
      </c>
      <c r="N107" s="31" t="s">
        <v>94</v>
      </c>
      <c r="O107" s="31">
        <v>25.0</v>
      </c>
      <c r="P107" s="31"/>
      <c r="Q107" s="31"/>
      <c r="R107" s="30"/>
      <c r="S107" s="30"/>
      <c r="T107" s="30"/>
      <c r="U107" s="30"/>
      <c r="V107" s="30"/>
      <c r="W107" s="30"/>
      <c r="X107" s="30"/>
      <c r="Y107" s="30"/>
      <c r="Z107" s="30"/>
    </row>
    <row r="108" ht="18.0" customHeight="1">
      <c r="A108" s="31">
        <v>1.43328412E8</v>
      </c>
      <c r="B108" s="31" t="s">
        <v>158</v>
      </c>
      <c r="C108" s="32">
        <v>3.6998379E7</v>
      </c>
      <c r="D108" s="32">
        <v>58800.0</v>
      </c>
      <c r="E108" s="32">
        <v>3.24920088E8</v>
      </c>
      <c r="F108" s="32">
        <v>5751734.0</v>
      </c>
      <c r="G108" s="32">
        <v>2657791.0</v>
      </c>
      <c r="H108" s="32">
        <v>2.4253096E7</v>
      </c>
      <c r="I108" s="32">
        <v>3145842.0</v>
      </c>
      <c r="J108" s="32">
        <v>0.0</v>
      </c>
      <c r="K108" s="32">
        <v>1.0062343813E10</v>
      </c>
      <c r="L108" s="32">
        <v>8.501035607E9</v>
      </c>
      <c r="M108" s="32">
        <v>30039.0</v>
      </c>
      <c r="N108" s="31" t="s">
        <v>94</v>
      </c>
      <c r="O108" s="31">
        <v>25.0</v>
      </c>
      <c r="P108" s="31"/>
      <c r="Q108" s="31"/>
      <c r="R108" s="30"/>
      <c r="S108" s="30"/>
      <c r="T108" s="30"/>
      <c r="U108" s="30"/>
      <c r="V108" s="30"/>
      <c r="W108" s="30"/>
      <c r="X108" s="30"/>
      <c r="Y108" s="30"/>
      <c r="Z108" s="30"/>
    </row>
    <row r="109" ht="18.0" customHeight="1">
      <c r="A109" s="31">
        <v>6.6847214E7</v>
      </c>
      <c r="B109" s="31" t="s">
        <v>159</v>
      </c>
      <c r="C109" s="32">
        <v>3.6580746E7</v>
      </c>
      <c r="D109" s="32">
        <v>340516.0</v>
      </c>
      <c r="E109" s="32">
        <v>1.39803986E8</v>
      </c>
      <c r="F109" s="32">
        <v>8101933.0</v>
      </c>
      <c r="G109" s="32">
        <v>258753.0</v>
      </c>
      <c r="H109" s="32">
        <v>4448459.0</v>
      </c>
      <c r="I109" s="32">
        <v>4692336.0</v>
      </c>
      <c r="J109" s="32">
        <v>0.0</v>
      </c>
      <c r="K109" s="32">
        <v>1.3485455507E10</v>
      </c>
      <c r="L109" s="32">
        <v>1.81241986E10</v>
      </c>
      <c r="M109" s="32">
        <v>8621.0</v>
      </c>
      <c r="N109" s="31" t="s">
        <v>147</v>
      </c>
      <c r="O109" s="31">
        <v>25.0</v>
      </c>
      <c r="P109" s="31"/>
      <c r="Q109" s="31"/>
      <c r="R109" s="30"/>
      <c r="S109" s="30"/>
      <c r="T109" s="30"/>
      <c r="U109" s="30"/>
      <c r="V109" s="30"/>
      <c r="W109" s="30"/>
      <c r="X109" s="30"/>
      <c r="Y109" s="30"/>
      <c r="Z109" s="30"/>
    </row>
    <row r="110" ht="18.0" customHeight="1">
      <c r="A110" s="31">
        <v>1.38607608E8</v>
      </c>
      <c r="B110" s="31" t="s">
        <v>160</v>
      </c>
      <c r="C110" s="32">
        <v>3.6379331E7</v>
      </c>
      <c r="D110" s="32">
        <v>0.0</v>
      </c>
      <c r="E110" s="32">
        <v>5.7040295E7</v>
      </c>
      <c r="F110" s="32">
        <v>280059.0</v>
      </c>
      <c r="G110" s="32">
        <v>623719.0</v>
      </c>
      <c r="H110" s="32">
        <v>4407858.0</v>
      </c>
      <c r="I110" s="32">
        <v>470882.0</v>
      </c>
      <c r="J110" s="32">
        <v>0.0</v>
      </c>
      <c r="K110" s="32">
        <v>2.811784267E9</v>
      </c>
      <c r="L110" s="32">
        <v>7.6065663E7</v>
      </c>
      <c r="M110" s="32">
        <v>5188.0</v>
      </c>
      <c r="N110" s="31" t="s">
        <v>119</v>
      </c>
      <c r="O110" s="31">
        <v>25.0</v>
      </c>
      <c r="P110" s="31"/>
      <c r="Q110" s="31"/>
      <c r="R110" s="30"/>
      <c r="S110" s="30"/>
      <c r="T110" s="30"/>
      <c r="U110" s="30"/>
      <c r="V110" s="30"/>
      <c r="W110" s="30"/>
      <c r="X110" s="30"/>
      <c r="Y110" s="30"/>
      <c r="Z110" s="30"/>
    </row>
    <row r="111" ht="18.0" customHeight="1">
      <c r="A111" s="31">
        <v>1.45023737E8</v>
      </c>
      <c r="B111" s="31" t="s">
        <v>161</v>
      </c>
      <c r="C111" s="32">
        <v>3.6105379E7</v>
      </c>
      <c r="D111" s="32">
        <v>0.0</v>
      </c>
      <c r="E111" s="32">
        <v>1.60365873E8</v>
      </c>
      <c r="F111" s="32">
        <v>5811857.0</v>
      </c>
      <c r="G111" s="32">
        <v>1349297.0</v>
      </c>
      <c r="H111" s="32">
        <v>1.0588152E7</v>
      </c>
      <c r="I111" s="32">
        <v>2388372.0</v>
      </c>
      <c r="J111" s="32">
        <v>0.0</v>
      </c>
      <c r="K111" s="32">
        <v>7.032944489E9</v>
      </c>
      <c r="L111" s="32">
        <v>6.96238399E8</v>
      </c>
      <c r="M111" s="32">
        <v>24659.0</v>
      </c>
      <c r="N111" s="31" t="s">
        <v>66</v>
      </c>
      <c r="O111" s="31">
        <v>25.0</v>
      </c>
      <c r="P111" s="31"/>
      <c r="Q111" s="31"/>
      <c r="R111" s="30"/>
      <c r="S111" s="30"/>
      <c r="T111" s="30"/>
      <c r="U111" s="30"/>
      <c r="V111" s="30"/>
      <c r="W111" s="30"/>
      <c r="X111" s="30"/>
      <c r="Y111" s="30"/>
      <c r="Z111" s="30"/>
    </row>
    <row r="112" ht="18.0" customHeight="1">
      <c r="A112" s="31">
        <v>1.44052871E8</v>
      </c>
      <c r="B112" s="31" t="s">
        <v>162</v>
      </c>
      <c r="C112" s="32">
        <v>3.6057028E7</v>
      </c>
      <c r="D112" s="32">
        <v>0.0</v>
      </c>
      <c r="E112" s="32">
        <v>1.1269343E7</v>
      </c>
      <c r="F112" s="32">
        <v>7302778.0</v>
      </c>
      <c r="G112" s="32">
        <v>294567.0</v>
      </c>
      <c r="H112" s="32">
        <v>393296.0</v>
      </c>
      <c r="I112" s="32">
        <v>238415.0</v>
      </c>
      <c r="J112" s="32">
        <v>0.0</v>
      </c>
      <c r="K112" s="32">
        <v>5.585779717E9</v>
      </c>
      <c r="L112" s="32">
        <v>64161.0</v>
      </c>
      <c r="M112" s="32">
        <v>316.0</v>
      </c>
      <c r="N112" s="31" t="s">
        <v>66</v>
      </c>
      <c r="O112" s="31">
        <v>25.0</v>
      </c>
      <c r="P112" s="31"/>
      <c r="Q112" s="31"/>
      <c r="R112" s="30"/>
      <c r="S112" s="30"/>
      <c r="T112" s="30"/>
      <c r="U112" s="30"/>
      <c r="V112" s="30"/>
      <c r="W112" s="30"/>
      <c r="X112" s="30"/>
      <c r="Y112" s="30"/>
      <c r="Z112" s="30"/>
    </row>
    <row r="113" ht="18.0" customHeight="1">
      <c r="A113" s="31">
        <v>1.71860424E8</v>
      </c>
      <c r="B113" s="31" t="s">
        <v>163</v>
      </c>
      <c r="C113" s="32">
        <v>3.5363957E7</v>
      </c>
      <c r="D113" s="32">
        <v>0.0</v>
      </c>
      <c r="E113" s="32">
        <v>5.9278593E7</v>
      </c>
      <c r="F113" s="32">
        <v>2644580.0</v>
      </c>
      <c r="G113" s="32">
        <v>90287.0</v>
      </c>
      <c r="H113" s="32">
        <v>3461829.0</v>
      </c>
      <c r="I113" s="32">
        <v>1198410.0</v>
      </c>
      <c r="J113" s="32">
        <v>0.0</v>
      </c>
      <c r="K113" s="32">
        <v>1.66233519E9</v>
      </c>
      <c r="L113" s="32">
        <v>1.117255173E9</v>
      </c>
      <c r="M113" s="32">
        <v>16703.0</v>
      </c>
      <c r="N113" s="31" t="s">
        <v>66</v>
      </c>
      <c r="O113" s="31">
        <v>25.0</v>
      </c>
      <c r="P113" s="31"/>
      <c r="Q113" s="31"/>
      <c r="R113" s="30"/>
      <c r="S113" s="30"/>
      <c r="T113" s="30"/>
      <c r="U113" s="30"/>
      <c r="V113" s="30"/>
      <c r="W113" s="30"/>
      <c r="X113" s="30"/>
      <c r="Y113" s="30"/>
      <c r="Z113" s="30"/>
    </row>
    <row r="114" ht="18.0" customHeight="1">
      <c r="A114" s="31">
        <v>1.44059309E8</v>
      </c>
      <c r="B114" s="31" t="s">
        <v>164</v>
      </c>
      <c r="C114" s="32">
        <v>3.5259936E7</v>
      </c>
      <c r="D114" s="32">
        <v>327611.0</v>
      </c>
      <c r="E114" s="32">
        <v>1.8394042E7</v>
      </c>
      <c r="F114" s="32">
        <v>8745984.0</v>
      </c>
      <c r="G114" s="32">
        <v>561062.0</v>
      </c>
      <c r="H114" s="32">
        <v>673203.0</v>
      </c>
      <c r="I114" s="32">
        <v>269406.0</v>
      </c>
      <c r="J114" s="32">
        <v>0.0</v>
      </c>
      <c r="K114" s="32">
        <v>4.06202244E9</v>
      </c>
      <c r="L114" s="32">
        <v>719086.0</v>
      </c>
      <c r="M114" s="32">
        <v>2367.0</v>
      </c>
      <c r="N114" s="31" t="s">
        <v>165</v>
      </c>
      <c r="O114" s="31">
        <v>25.0</v>
      </c>
      <c r="P114" s="31"/>
      <c r="Q114" s="31"/>
      <c r="R114" s="30"/>
      <c r="S114" s="30"/>
      <c r="T114" s="30"/>
      <c r="U114" s="30"/>
      <c r="V114" s="30"/>
      <c r="W114" s="30"/>
      <c r="X114" s="30"/>
      <c r="Y114" s="30"/>
      <c r="Z114" s="30"/>
    </row>
    <row r="115" ht="18.0" customHeight="1">
      <c r="A115" s="31">
        <v>1.81527216E8</v>
      </c>
      <c r="B115" s="31" t="s">
        <v>166</v>
      </c>
      <c r="C115" s="32">
        <v>3.4844776E7</v>
      </c>
      <c r="D115" s="32">
        <v>1043583.0</v>
      </c>
      <c r="E115" s="32">
        <v>8713098.0</v>
      </c>
      <c r="F115" s="32">
        <v>3721329.0</v>
      </c>
      <c r="G115" s="32">
        <v>367661.0</v>
      </c>
      <c r="H115" s="32">
        <v>395838.0</v>
      </c>
      <c r="I115" s="32">
        <v>233744.0</v>
      </c>
      <c r="J115" s="32">
        <v>0.0</v>
      </c>
      <c r="K115" s="32">
        <v>3.989692833E9</v>
      </c>
      <c r="L115" s="32">
        <v>0.0</v>
      </c>
      <c r="M115" s="32">
        <v>5328.0</v>
      </c>
      <c r="N115" s="31" t="s">
        <v>165</v>
      </c>
      <c r="O115" s="31">
        <v>25.0</v>
      </c>
      <c r="P115" s="31"/>
      <c r="Q115" s="31"/>
      <c r="R115" s="30"/>
      <c r="S115" s="30"/>
      <c r="T115" s="30"/>
      <c r="U115" s="30"/>
      <c r="V115" s="30"/>
      <c r="W115" s="30"/>
      <c r="X115" s="30"/>
      <c r="Y115" s="30"/>
      <c r="Z115" s="30"/>
    </row>
    <row r="116" ht="18.0" customHeight="1">
      <c r="A116" s="31">
        <v>1.45948216E8</v>
      </c>
      <c r="B116" s="31" t="s">
        <v>167</v>
      </c>
      <c r="C116" s="32">
        <v>3.4744721E7</v>
      </c>
      <c r="D116" s="32">
        <v>-5103451.0</v>
      </c>
      <c r="E116" s="32">
        <v>7.4783052E7</v>
      </c>
      <c r="F116" s="32">
        <v>6018574.0</v>
      </c>
      <c r="G116" s="32">
        <v>52210.0</v>
      </c>
      <c r="H116" s="32">
        <v>1616036.0</v>
      </c>
      <c r="I116" s="32">
        <v>2918512.0</v>
      </c>
      <c r="J116" s="32">
        <v>0.0</v>
      </c>
      <c r="K116" s="32">
        <v>1.1110980678E10</v>
      </c>
      <c r="L116" s="32">
        <v>1.2939910572E10</v>
      </c>
      <c r="M116" s="32">
        <v>10711.0</v>
      </c>
      <c r="N116" s="31" t="s">
        <v>128</v>
      </c>
      <c r="O116" s="31">
        <v>25.0</v>
      </c>
      <c r="P116" s="31"/>
      <c r="Q116" s="31"/>
      <c r="R116" s="30"/>
      <c r="S116" s="30"/>
      <c r="T116" s="30"/>
      <c r="U116" s="30"/>
      <c r="V116" s="30"/>
      <c r="W116" s="30"/>
      <c r="X116" s="30"/>
      <c r="Y116" s="30"/>
      <c r="Z116" s="30"/>
    </row>
    <row r="117" ht="18.0" customHeight="1">
      <c r="A117" s="33">
        <v>1.73621774E8</v>
      </c>
      <c r="B117" s="33" t="s">
        <v>168</v>
      </c>
      <c r="C117" s="34">
        <v>3.385728E7</v>
      </c>
      <c r="D117" s="32">
        <v>-18676.0</v>
      </c>
      <c r="E117" s="34">
        <v>6546750.0</v>
      </c>
      <c r="F117" s="34">
        <v>1069956.0</v>
      </c>
      <c r="G117" s="34">
        <v>260504.0</v>
      </c>
      <c r="H117" s="34">
        <v>297095.0</v>
      </c>
      <c r="I117" s="34">
        <v>124976.0</v>
      </c>
      <c r="J117" s="34">
        <v>0.0</v>
      </c>
      <c r="K117" s="34">
        <v>1.1294721005E10</v>
      </c>
      <c r="L117" s="34">
        <v>9.81689886E9</v>
      </c>
      <c r="M117" s="34">
        <v>5306.0</v>
      </c>
      <c r="N117" s="33" t="s">
        <v>153</v>
      </c>
      <c r="O117" s="33">
        <v>24.0</v>
      </c>
      <c r="P117" s="33"/>
      <c r="Q117" s="33"/>
      <c r="R117" s="30"/>
      <c r="S117" s="30"/>
      <c r="T117" s="30"/>
      <c r="U117" s="30"/>
      <c r="V117" s="30"/>
      <c r="W117" s="30"/>
      <c r="X117" s="30"/>
      <c r="Y117" s="30"/>
      <c r="Z117" s="30"/>
    </row>
    <row r="118" ht="18.0" customHeight="1">
      <c r="A118" s="31">
        <v>1.81734011E8</v>
      </c>
      <c r="B118" s="31" t="s">
        <v>169</v>
      </c>
      <c r="C118" s="32">
        <v>3.2969841E7</v>
      </c>
      <c r="D118" s="32">
        <v>244623.0</v>
      </c>
      <c r="E118" s="32">
        <v>8.4623892E7</v>
      </c>
      <c r="F118" s="32">
        <v>3526936.0</v>
      </c>
      <c r="G118" s="32">
        <v>236563.0</v>
      </c>
      <c r="H118" s="32">
        <v>2817968.0</v>
      </c>
      <c r="I118" s="32">
        <v>2628787.0</v>
      </c>
      <c r="J118" s="32">
        <v>0.0</v>
      </c>
      <c r="K118" s="32">
        <v>8.586151339E9</v>
      </c>
      <c r="L118" s="32">
        <v>2.49070087E8</v>
      </c>
      <c r="M118" s="32">
        <v>12781.0</v>
      </c>
      <c r="N118" s="31" t="s">
        <v>34</v>
      </c>
      <c r="O118" s="31">
        <v>25.0</v>
      </c>
      <c r="P118" s="31"/>
      <c r="Q118" s="31"/>
      <c r="R118" s="30"/>
      <c r="S118" s="30"/>
      <c r="T118" s="30"/>
      <c r="U118" s="30"/>
      <c r="V118" s="30"/>
      <c r="W118" s="30"/>
      <c r="X118" s="30"/>
      <c r="Y118" s="30"/>
      <c r="Z118" s="30"/>
    </row>
    <row r="119" ht="18.0" customHeight="1">
      <c r="A119" s="31">
        <v>1.48890128E8</v>
      </c>
      <c r="B119" s="31" t="s">
        <v>170</v>
      </c>
      <c r="C119" s="32">
        <v>3.2807201E7</v>
      </c>
      <c r="D119" s="32">
        <v>133400.0</v>
      </c>
      <c r="E119" s="32">
        <v>2.6185762E7</v>
      </c>
      <c r="F119" s="32">
        <v>4350443.0</v>
      </c>
      <c r="G119" s="32">
        <v>269772.0</v>
      </c>
      <c r="H119" s="32">
        <v>1744020.0</v>
      </c>
      <c r="I119" s="32">
        <v>330142.0</v>
      </c>
      <c r="J119" s="32">
        <v>0.0</v>
      </c>
      <c r="K119" s="32">
        <v>8.324496625E9</v>
      </c>
      <c r="L119" s="32">
        <v>4.011433363E9</v>
      </c>
      <c r="M119" s="32">
        <v>6509.0</v>
      </c>
      <c r="N119" s="31" t="s">
        <v>126</v>
      </c>
      <c r="O119" s="31">
        <v>25.0</v>
      </c>
      <c r="P119" s="31"/>
      <c r="Q119" s="31"/>
      <c r="R119" s="30"/>
      <c r="S119" s="30"/>
      <c r="T119" s="30"/>
      <c r="U119" s="30"/>
      <c r="V119" s="30"/>
      <c r="W119" s="30"/>
      <c r="X119" s="30"/>
      <c r="Y119" s="30"/>
      <c r="Z119" s="30"/>
    </row>
    <row r="120" ht="18.0" customHeight="1">
      <c r="A120" s="31">
        <v>1.4402476E8</v>
      </c>
      <c r="B120" s="31" t="s">
        <v>171</v>
      </c>
      <c r="C120" s="32">
        <v>3.2643339E7</v>
      </c>
      <c r="D120" s="32">
        <v>-850106.0</v>
      </c>
      <c r="E120" s="32">
        <v>4.9091709E7</v>
      </c>
      <c r="F120" s="32">
        <v>2015763.0</v>
      </c>
      <c r="G120" s="32">
        <v>477686.0</v>
      </c>
      <c r="H120" s="32">
        <v>2557241.0</v>
      </c>
      <c r="I120" s="32">
        <v>1046550.0</v>
      </c>
      <c r="J120" s="32">
        <v>0.0</v>
      </c>
      <c r="K120" s="32">
        <v>7.011384508E9</v>
      </c>
      <c r="L120" s="32">
        <v>1.3833088E7</v>
      </c>
      <c r="M120" s="32">
        <v>9138.0</v>
      </c>
      <c r="N120" s="31" t="s">
        <v>66</v>
      </c>
      <c r="O120" s="31">
        <v>25.0</v>
      </c>
      <c r="P120" s="31"/>
      <c r="Q120" s="31"/>
      <c r="R120" s="30"/>
      <c r="S120" s="30"/>
      <c r="T120" s="30"/>
      <c r="U120" s="30"/>
      <c r="V120" s="30"/>
      <c r="W120" s="30"/>
      <c r="X120" s="30"/>
      <c r="Y120" s="30"/>
      <c r="Z120" s="30"/>
    </row>
    <row r="121" ht="18.0" customHeight="1">
      <c r="A121" s="31">
        <v>1.39139149E8</v>
      </c>
      <c r="B121" s="31" t="s">
        <v>172</v>
      </c>
      <c r="C121" s="32">
        <v>3.2625223E7</v>
      </c>
      <c r="D121" s="32">
        <v>206632.0</v>
      </c>
      <c r="E121" s="32">
        <v>3.2066717E8</v>
      </c>
      <c r="F121" s="32">
        <v>5005600.0</v>
      </c>
      <c r="G121" s="32">
        <v>1.3375761E7</v>
      </c>
      <c r="H121" s="32">
        <v>2.1995011E7</v>
      </c>
      <c r="I121" s="32">
        <v>4331928.0</v>
      </c>
      <c r="J121" s="32">
        <v>0.0</v>
      </c>
      <c r="K121" s="32">
        <v>7.628445866E9</v>
      </c>
      <c r="L121" s="32">
        <v>5.98299802E8</v>
      </c>
      <c r="M121" s="32">
        <v>23375.0</v>
      </c>
      <c r="N121" s="31" t="s">
        <v>173</v>
      </c>
      <c r="O121" s="31">
        <v>25.0</v>
      </c>
      <c r="P121" s="31"/>
      <c r="Q121" s="31"/>
      <c r="R121" s="30"/>
      <c r="S121" s="30"/>
      <c r="T121" s="30"/>
      <c r="U121" s="30"/>
      <c r="V121" s="30"/>
      <c r="W121" s="30"/>
      <c r="X121" s="30"/>
      <c r="Y121" s="30"/>
      <c r="Z121" s="30"/>
    </row>
    <row r="122" ht="18.0" customHeight="1">
      <c r="A122" s="31">
        <v>5.2698844E7</v>
      </c>
      <c r="B122" s="31" t="s">
        <v>174</v>
      </c>
      <c r="C122" s="32">
        <v>3.2432126E7</v>
      </c>
      <c r="D122" s="32">
        <v>0.0</v>
      </c>
      <c r="E122" s="32">
        <v>1.6730192E7</v>
      </c>
      <c r="F122" s="32">
        <v>4043045.0</v>
      </c>
      <c r="G122" s="32">
        <v>251222.0</v>
      </c>
      <c r="H122" s="32">
        <v>456102.0</v>
      </c>
      <c r="I122" s="32">
        <v>524537.0</v>
      </c>
      <c r="J122" s="32">
        <v>0.0</v>
      </c>
      <c r="K122" s="32">
        <v>4.620293355E9</v>
      </c>
      <c r="L122" s="32">
        <v>2.26011097E8</v>
      </c>
      <c r="M122" s="32">
        <v>5460.0</v>
      </c>
      <c r="N122" s="31" t="s">
        <v>175</v>
      </c>
      <c r="O122" s="31">
        <v>25.0</v>
      </c>
      <c r="P122" s="31"/>
      <c r="Q122" s="31"/>
      <c r="R122" s="30"/>
      <c r="S122" s="30"/>
      <c r="T122" s="30"/>
      <c r="U122" s="30"/>
      <c r="V122" s="30"/>
      <c r="W122" s="30"/>
      <c r="X122" s="30"/>
      <c r="Y122" s="30"/>
      <c r="Z122" s="30"/>
    </row>
    <row r="123" ht="18.0" customHeight="1">
      <c r="A123" s="31">
        <v>1.44044755E8</v>
      </c>
      <c r="B123" s="31" t="s">
        <v>176</v>
      </c>
      <c r="C123" s="32">
        <v>3.2249379E7</v>
      </c>
      <c r="D123" s="32">
        <v>0.0</v>
      </c>
      <c r="E123" s="32">
        <v>4.3765002E7</v>
      </c>
      <c r="F123" s="32">
        <v>1925785.0</v>
      </c>
      <c r="G123" s="32">
        <v>1049754.0</v>
      </c>
      <c r="H123" s="32">
        <v>2276155.0</v>
      </c>
      <c r="I123" s="32">
        <v>325592.0</v>
      </c>
      <c r="J123" s="32">
        <v>0.0</v>
      </c>
      <c r="K123" s="32">
        <v>4.374796839E9</v>
      </c>
      <c r="L123" s="32">
        <v>2.4544513E7</v>
      </c>
      <c r="M123" s="32">
        <v>9130.0</v>
      </c>
      <c r="N123" s="31" t="s">
        <v>66</v>
      </c>
      <c r="O123" s="31">
        <v>25.0</v>
      </c>
      <c r="P123" s="31"/>
      <c r="Q123" s="31"/>
      <c r="R123" s="30"/>
      <c r="S123" s="30"/>
      <c r="T123" s="30"/>
      <c r="U123" s="30"/>
      <c r="V123" s="30"/>
      <c r="W123" s="30"/>
      <c r="X123" s="30"/>
      <c r="Y123" s="30"/>
      <c r="Z123" s="30"/>
    </row>
    <row r="124" ht="18.0" customHeight="1">
      <c r="A124" s="31">
        <v>1.44039036E8</v>
      </c>
      <c r="B124" s="31" t="s">
        <v>177</v>
      </c>
      <c r="C124" s="32">
        <v>3.1340165E7</v>
      </c>
      <c r="D124" s="32">
        <v>0.0</v>
      </c>
      <c r="E124" s="32">
        <v>3.0798715E7</v>
      </c>
      <c r="F124" s="32">
        <v>2954008.0</v>
      </c>
      <c r="G124" s="32">
        <v>159969.0</v>
      </c>
      <c r="H124" s="32">
        <v>2570716.0</v>
      </c>
      <c r="I124" s="32">
        <v>220177.0</v>
      </c>
      <c r="J124" s="32">
        <v>0.0</v>
      </c>
      <c r="K124" s="32">
        <v>2.976187255E9</v>
      </c>
      <c r="L124" s="32">
        <v>4000000.0</v>
      </c>
      <c r="M124" s="32">
        <v>4477.0</v>
      </c>
      <c r="N124" s="31" t="s">
        <v>66</v>
      </c>
      <c r="O124" s="31">
        <v>25.0</v>
      </c>
      <c r="P124" s="31"/>
      <c r="Q124" s="31"/>
      <c r="R124" s="30"/>
      <c r="S124" s="30"/>
      <c r="T124" s="30"/>
      <c r="U124" s="30"/>
      <c r="V124" s="30"/>
      <c r="W124" s="30"/>
      <c r="X124" s="30"/>
      <c r="Y124" s="30"/>
      <c r="Z124" s="30"/>
    </row>
    <row r="125" ht="18.0" customHeight="1">
      <c r="A125" s="31">
        <v>6.1881204E7</v>
      </c>
      <c r="B125" s="31" t="s">
        <v>178</v>
      </c>
      <c r="C125" s="32">
        <v>3.1210394E7</v>
      </c>
      <c r="D125" s="32">
        <v>647176.0</v>
      </c>
      <c r="E125" s="32">
        <v>6.4328779E7</v>
      </c>
      <c r="F125" s="32">
        <v>1.0290878E7</v>
      </c>
      <c r="G125" s="32">
        <v>729778.0</v>
      </c>
      <c r="H125" s="32">
        <v>1791230.0</v>
      </c>
      <c r="I125" s="32">
        <v>2260934.0</v>
      </c>
      <c r="J125" s="32">
        <v>0.0</v>
      </c>
      <c r="K125" s="32">
        <v>1.7752031234E10</v>
      </c>
      <c r="L125" s="32">
        <v>2.0083637095E10</v>
      </c>
      <c r="M125" s="32">
        <v>11406.0</v>
      </c>
      <c r="N125" s="31" t="s">
        <v>147</v>
      </c>
      <c r="O125" s="31">
        <v>25.0</v>
      </c>
      <c r="P125" s="31"/>
      <c r="Q125" s="31"/>
      <c r="R125" s="30"/>
      <c r="S125" s="30"/>
      <c r="T125" s="30"/>
      <c r="U125" s="30"/>
      <c r="V125" s="30"/>
      <c r="W125" s="30"/>
      <c r="X125" s="30"/>
      <c r="Y125" s="30"/>
      <c r="Z125" s="30"/>
    </row>
    <row r="126" ht="18.0" customHeight="1">
      <c r="A126" s="31">
        <v>1.75314255E8</v>
      </c>
      <c r="B126" s="31" t="s">
        <v>179</v>
      </c>
      <c r="C126" s="32">
        <v>3.1200644E7</v>
      </c>
      <c r="D126" s="32">
        <v>653547.0</v>
      </c>
      <c r="E126" s="32">
        <v>2.2789289E7</v>
      </c>
      <c r="F126" s="32">
        <v>3647337.0</v>
      </c>
      <c r="G126" s="32">
        <v>281976.0</v>
      </c>
      <c r="H126" s="32">
        <v>1320134.0</v>
      </c>
      <c r="I126" s="32">
        <v>451278.0</v>
      </c>
      <c r="J126" s="32">
        <v>0.0</v>
      </c>
      <c r="K126" s="32">
        <v>4.163798898E9</v>
      </c>
      <c r="L126" s="32">
        <v>1.22435684E8</v>
      </c>
      <c r="M126" s="32">
        <v>8967.0</v>
      </c>
      <c r="N126" s="31" t="s">
        <v>94</v>
      </c>
      <c r="O126" s="31">
        <v>25.0</v>
      </c>
      <c r="P126" s="31"/>
      <c r="Q126" s="31"/>
      <c r="R126" s="30"/>
      <c r="S126" s="30"/>
      <c r="T126" s="30"/>
      <c r="U126" s="30"/>
      <c r="V126" s="30"/>
      <c r="W126" s="30"/>
      <c r="X126" s="30"/>
      <c r="Y126" s="30"/>
      <c r="Z126" s="30"/>
    </row>
    <row r="127" ht="18.0" customHeight="1">
      <c r="A127" s="31">
        <v>1.44046322E8</v>
      </c>
      <c r="B127" s="31" t="s">
        <v>180</v>
      </c>
      <c r="C127" s="32">
        <v>3.1028033E7</v>
      </c>
      <c r="D127" s="32">
        <v>107300.0</v>
      </c>
      <c r="E127" s="32">
        <v>8494096.0</v>
      </c>
      <c r="F127" s="32">
        <v>3782729.0</v>
      </c>
      <c r="G127" s="32">
        <v>150382.0</v>
      </c>
      <c r="H127" s="32">
        <v>500008.0</v>
      </c>
      <c r="I127" s="32">
        <v>98276.0</v>
      </c>
      <c r="J127" s="32">
        <v>0.0</v>
      </c>
      <c r="K127" s="32">
        <v>4.045504569E9</v>
      </c>
      <c r="L127" s="32">
        <v>0.0</v>
      </c>
      <c r="M127" s="32">
        <v>1809.0</v>
      </c>
      <c r="N127" s="31" t="s">
        <v>181</v>
      </c>
      <c r="O127" s="31">
        <v>25.0</v>
      </c>
      <c r="P127" s="31"/>
      <c r="Q127" s="31"/>
      <c r="R127" s="30"/>
      <c r="S127" s="30"/>
      <c r="T127" s="30"/>
      <c r="U127" s="30"/>
      <c r="V127" s="30"/>
      <c r="W127" s="30"/>
      <c r="X127" s="30"/>
      <c r="Y127" s="30"/>
      <c r="Z127" s="30"/>
    </row>
    <row r="128" ht="18.0" customHeight="1">
      <c r="A128" s="31">
        <v>1.44022385E8</v>
      </c>
      <c r="B128" s="31" t="s">
        <v>182</v>
      </c>
      <c r="C128" s="32">
        <v>3.0997647E7</v>
      </c>
      <c r="D128" s="32">
        <v>34900.0</v>
      </c>
      <c r="E128" s="32">
        <v>4.8974645E7</v>
      </c>
      <c r="F128" s="32">
        <v>2318694.0</v>
      </c>
      <c r="G128" s="32">
        <v>732439.0</v>
      </c>
      <c r="H128" s="32">
        <v>3345738.0</v>
      </c>
      <c r="I128" s="32">
        <v>669646.0</v>
      </c>
      <c r="J128" s="32">
        <v>0.0</v>
      </c>
      <c r="K128" s="32">
        <v>4.919262822E9</v>
      </c>
      <c r="L128" s="32">
        <v>3.7075938E7</v>
      </c>
      <c r="M128" s="32">
        <v>8840.0</v>
      </c>
      <c r="N128" s="31" t="s">
        <v>66</v>
      </c>
      <c r="O128" s="31">
        <v>25.0</v>
      </c>
      <c r="P128" s="31"/>
      <c r="Q128" s="31"/>
      <c r="R128" s="30"/>
      <c r="S128" s="30"/>
      <c r="T128" s="30"/>
      <c r="U128" s="30"/>
      <c r="V128" s="30"/>
      <c r="W128" s="30"/>
      <c r="X128" s="30"/>
      <c r="Y128" s="30"/>
      <c r="Z128" s="30"/>
    </row>
    <row r="129" ht="18.0" customHeight="1">
      <c r="A129" s="31">
        <v>1.38608103E8</v>
      </c>
      <c r="B129" s="31" t="s">
        <v>183</v>
      </c>
      <c r="C129" s="32">
        <v>3.0559231E7</v>
      </c>
      <c r="D129" s="32">
        <v>0.0</v>
      </c>
      <c r="E129" s="32">
        <v>1.08660338E8</v>
      </c>
      <c r="F129" s="32">
        <v>2886766.0</v>
      </c>
      <c r="G129" s="32">
        <v>3206750.0</v>
      </c>
      <c r="H129" s="32">
        <v>8903873.0</v>
      </c>
      <c r="I129" s="32">
        <v>571389.0</v>
      </c>
      <c r="J129" s="32">
        <v>0.0</v>
      </c>
      <c r="K129" s="32">
        <v>2.832279686E9</v>
      </c>
      <c r="L129" s="32">
        <v>4.3806745E8</v>
      </c>
      <c r="M129" s="32">
        <v>12017.0</v>
      </c>
      <c r="N129" s="31" t="s">
        <v>119</v>
      </c>
      <c r="O129" s="31">
        <v>25.0</v>
      </c>
      <c r="P129" s="31"/>
      <c r="Q129" s="31"/>
      <c r="R129" s="30"/>
      <c r="S129" s="30"/>
      <c r="T129" s="30"/>
      <c r="U129" s="30"/>
      <c r="V129" s="30"/>
      <c r="W129" s="30"/>
      <c r="X129" s="30"/>
      <c r="Y129" s="30"/>
      <c r="Z129" s="30"/>
    </row>
    <row r="130" ht="18.0" customHeight="1">
      <c r="A130" s="33">
        <v>1.70449746E8</v>
      </c>
      <c r="B130" s="33" t="s">
        <v>184</v>
      </c>
      <c r="C130" s="34">
        <v>3.038331E7</v>
      </c>
      <c r="D130" s="32">
        <v>134400.0</v>
      </c>
      <c r="E130" s="34">
        <v>5291709.0</v>
      </c>
      <c r="F130" s="34">
        <v>102004.0</v>
      </c>
      <c r="G130" s="34">
        <v>305.0</v>
      </c>
      <c r="H130" s="34">
        <v>362162.0</v>
      </c>
      <c r="I130" s="34">
        <v>82623.0</v>
      </c>
      <c r="J130" s="34">
        <v>0.0</v>
      </c>
      <c r="K130" s="34">
        <v>6.86713224E9</v>
      </c>
      <c r="L130" s="34">
        <v>6.20272539E9</v>
      </c>
      <c r="M130" s="34">
        <v>2908.0</v>
      </c>
      <c r="N130" s="33" t="s">
        <v>94</v>
      </c>
      <c r="O130" s="33">
        <v>23.0</v>
      </c>
      <c r="P130" s="33"/>
      <c r="Q130" s="33"/>
      <c r="R130" s="30"/>
      <c r="S130" s="30"/>
      <c r="T130" s="30"/>
      <c r="U130" s="30"/>
      <c r="V130" s="30"/>
      <c r="W130" s="30"/>
      <c r="X130" s="30"/>
      <c r="Y130" s="30"/>
      <c r="Z130" s="30"/>
    </row>
    <row r="131" ht="18.0" customHeight="1">
      <c r="A131" s="31">
        <v>1.72219261E8</v>
      </c>
      <c r="B131" s="31" t="s">
        <v>185</v>
      </c>
      <c r="C131" s="32">
        <v>2.9764289E7</v>
      </c>
      <c r="D131" s="32">
        <v>-3427917.0</v>
      </c>
      <c r="E131" s="32">
        <v>1.0026627E7</v>
      </c>
      <c r="F131" s="32">
        <v>5355219.0</v>
      </c>
      <c r="G131" s="32">
        <v>80005.0</v>
      </c>
      <c r="H131" s="32">
        <v>224964.0</v>
      </c>
      <c r="I131" s="32">
        <v>379392.0</v>
      </c>
      <c r="J131" s="32">
        <v>0.0</v>
      </c>
      <c r="K131" s="32">
        <v>5.02425597E9</v>
      </c>
      <c r="L131" s="32">
        <v>2.75E7</v>
      </c>
      <c r="M131" s="32">
        <v>3882.0</v>
      </c>
      <c r="N131" s="31" t="s">
        <v>119</v>
      </c>
      <c r="O131" s="31">
        <v>25.0</v>
      </c>
      <c r="P131" s="31"/>
      <c r="Q131" s="31"/>
      <c r="R131" s="30"/>
      <c r="S131" s="30"/>
      <c r="T131" s="30"/>
      <c r="U131" s="30"/>
      <c r="V131" s="30"/>
      <c r="W131" s="30"/>
      <c r="X131" s="30"/>
      <c r="Y131" s="30"/>
      <c r="Z131" s="30"/>
    </row>
    <row r="132" ht="18.0" customHeight="1">
      <c r="A132" s="31">
        <v>1.38821863E8</v>
      </c>
      <c r="B132" s="31" t="s">
        <v>186</v>
      </c>
      <c r="C132" s="32">
        <v>2.9685262E7</v>
      </c>
      <c r="D132" s="32">
        <v>1361693.0</v>
      </c>
      <c r="E132" s="32">
        <v>3.6296436E7</v>
      </c>
      <c r="F132" s="32">
        <v>1877852.0</v>
      </c>
      <c r="G132" s="32">
        <v>397842.0</v>
      </c>
      <c r="H132" s="32">
        <v>3109284.0</v>
      </c>
      <c r="I132" s="32">
        <v>109825.0</v>
      </c>
      <c r="J132" s="32">
        <v>0.0</v>
      </c>
      <c r="K132" s="32">
        <v>5.013677067E9</v>
      </c>
      <c r="L132" s="32">
        <v>6.36064786E8</v>
      </c>
      <c r="M132" s="32">
        <v>8610.0</v>
      </c>
      <c r="N132" s="31" t="s">
        <v>153</v>
      </c>
      <c r="O132" s="31">
        <v>25.0</v>
      </c>
      <c r="P132" s="31"/>
      <c r="Q132" s="31"/>
      <c r="R132" s="30"/>
      <c r="S132" s="30"/>
      <c r="T132" s="30"/>
      <c r="U132" s="30"/>
      <c r="V132" s="30"/>
      <c r="W132" s="30"/>
      <c r="X132" s="30"/>
      <c r="Y132" s="30"/>
      <c r="Z132" s="30"/>
    </row>
    <row r="133" ht="18.0" customHeight="1">
      <c r="A133" s="31">
        <v>1.63534514E8</v>
      </c>
      <c r="B133" s="31" t="s">
        <v>187</v>
      </c>
      <c r="C133" s="32">
        <v>2.9325146E7</v>
      </c>
      <c r="D133" s="32">
        <v>0.0</v>
      </c>
      <c r="E133" s="32">
        <v>1012382.0</v>
      </c>
      <c r="F133" s="32">
        <v>1029161.0</v>
      </c>
      <c r="G133" s="32">
        <v>2470.0</v>
      </c>
      <c r="H133" s="32">
        <v>14936.0</v>
      </c>
      <c r="I133" s="32">
        <v>38325.0</v>
      </c>
      <c r="J133" s="32">
        <v>0.0</v>
      </c>
      <c r="K133" s="32">
        <v>4.144944745E9</v>
      </c>
      <c r="L133" s="32">
        <v>2.18194731E8</v>
      </c>
      <c r="M133" s="32">
        <v>3059.0</v>
      </c>
      <c r="N133" s="31" t="s">
        <v>175</v>
      </c>
      <c r="O133" s="31">
        <v>25.0</v>
      </c>
      <c r="P133" s="31"/>
      <c r="Q133" s="31"/>
      <c r="R133" s="30"/>
      <c r="S133" s="30"/>
      <c r="T133" s="30"/>
      <c r="U133" s="30"/>
      <c r="V133" s="30"/>
      <c r="W133" s="30"/>
      <c r="X133" s="30"/>
      <c r="Y133" s="30"/>
      <c r="Z133" s="30"/>
    </row>
    <row r="134" ht="18.0" customHeight="1">
      <c r="A134" s="31">
        <v>1.1363981E7</v>
      </c>
      <c r="B134" s="31" t="s">
        <v>188</v>
      </c>
      <c r="C134" s="32">
        <v>2.8742379E7</v>
      </c>
      <c r="D134" s="32">
        <v>293960.0</v>
      </c>
      <c r="E134" s="32">
        <v>2.05426442E8</v>
      </c>
      <c r="F134" s="32">
        <v>8381484.0</v>
      </c>
      <c r="G134" s="32">
        <v>883504.0</v>
      </c>
      <c r="H134" s="32">
        <v>7786499.0</v>
      </c>
      <c r="I134" s="32">
        <v>6260570.0</v>
      </c>
      <c r="J134" s="32">
        <v>0.0</v>
      </c>
      <c r="K134" s="32">
        <v>1.0977555615E10</v>
      </c>
      <c r="L134" s="32">
        <v>1.478163898E10</v>
      </c>
      <c r="M134" s="32">
        <v>12145.0</v>
      </c>
      <c r="N134" s="31" t="s">
        <v>147</v>
      </c>
      <c r="O134" s="31">
        <v>25.0</v>
      </c>
      <c r="P134" s="31"/>
      <c r="Q134" s="31"/>
      <c r="R134" s="30"/>
      <c r="S134" s="30"/>
      <c r="T134" s="30"/>
      <c r="U134" s="30"/>
      <c r="V134" s="30"/>
      <c r="W134" s="30"/>
      <c r="X134" s="30"/>
      <c r="Y134" s="30"/>
      <c r="Z134" s="30"/>
    </row>
    <row r="135" ht="18.0" customHeight="1">
      <c r="A135" s="31">
        <v>1.44094596E8</v>
      </c>
      <c r="B135" s="31" t="s">
        <v>189</v>
      </c>
      <c r="C135" s="32">
        <v>2.8664839E7</v>
      </c>
      <c r="D135" s="32">
        <v>-1325082.0</v>
      </c>
      <c r="E135" s="32">
        <v>8.6208216E7</v>
      </c>
      <c r="F135" s="32">
        <v>3040916.0</v>
      </c>
      <c r="G135" s="32">
        <v>1.3616531E7</v>
      </c>
      <c r="H135" s="32">
        <v>5274309.0</v>
      </c>
      <c r="I135" s="32">
        <v>1448960.0</v>
      </c>
      <c r="J135" s="32">
        <v>0.0</v>
      </c>
      <c r="K135" s="32">
        <v>5.357258082E9</v>
      </c>
      <c r="L135" s="32">
        <v>1.2391473E7</v>
      </c>
      <c r="M135" s="32">
        <v>9785.0</v>
      </c>
      <c r="N135" s="31" t="s">
        <v>66</v>
      </c>
      <c r="O135" s="31">
        <v>25.0</v>
      </c>
      <c r="P135" s="31"/>
      <c r="Q135" s="31"/>
      <c r="R135" s="30"/>
      <c r="S135" s="30"/>
      <c r="T135" s="30"/>
      <c r="U135" s="30"/>
      <c r="V135" s="30"/>
      <c r="W135" s="30"/>
      <c r="X135" s="30"/>
      <c r="Y135" s="30"/>
      <c r="Z135" s="30"/>
    </row>
    <row r="136" ht="18.0" customHeight="1">
      <c r="A136" s="31">
        <v>6.3513788E7</v>
      </c>
      <c r="B136" s="31" t="s">
        <v>190</v>
      </c>
      <c r="C136" s="32">
        <v>2.843917E7</v>
      </c>
      <c r="D136" s="32">
        <v>93200.0</v>
      </c>
      <c r="E136" s="32">
        <v>3.5067748E7</v>
      </c>
      <c r="F136" s="32">
        <v>8961628.0</v>
      </c>
      <c r="G136" s="32">
        <v>22581.0</v>
      </c>
      <c r="H136" s="32">
        <v>1179501.0</v>
      </c>
      <c r="I136" s="32">
        <v>1151796.0</v>
      </c>
      <c r="J136" s="32">
        <v>0.0</v>
      </c>
      <c r="K136" s="32">
        <v>1.7959814969E10</v>
      </c>
      <c r="L136" s="32">
        <v>1.9831032386E10</v>
      </c>
      <c r="M136" s="32">
        <v>8498.0</v>
      </c>
      <c r="N136" s="31" t="s">
        <v>147</v>
      </c>
      <c r="O136" s="31">
        <v>25.0</v>
      </c>
      <c r="P136" s="31"/>
      <c r="Q136" s="31"/>
      <c r="R136" s="30"/>
      <c r="S136" s="30"/>
      <c r="T136" s="30"/>
      <c r="U136" s="30"/>
      <c r="V136" s="30"/>
      <c r="W136" s="30"/>
      <c r="X136" s="30"/>
      <c r="Y136" s="30"/>
      <c r="Z136" s="30"/>
    </row>
    <row r="137" ht="18.0" customHeight="1">
      <c r="A137" s="31">
        <v>7.9647211E7</v>
      </c>
      <c r="B137" s="31" t="s">
        <v>191</v>
      </c>
      <c r="C137" s="32">
        <v>2.8294025E7</v>
      </c>
      <c r="D137" s="32">
        <v>4884.0</v>
      </c>
      <c r="E137" s="32">
        <v>3.8627397E7</v>
      </c>
      <c r="F137" s="32">
        <v>1940975.0</v>
      </c>
      <c r="G137" s="32">
        <v>4479.0</v>
      </c>
      <c r="H137" s="32">
        <v>1218274.0</v>
      </c>
      <c r="I137" s="32">
        <v>1319807.0</v>
      </c>
      <c r="J137" s="32">
        <v>0.0</v>
      </c>
      <c r="K137" s="32">
        <v>6.828691134E9</v>
      </c>
      <c r="L137" s="32">
        <v>1.0712920798E10</v>
      </c>
      <c r="M137" s="32">
        <v>3662.0</v>
      </c>
      <c r="N137" s="31" t="s">
        <v>34</v>
      </c>
      <c r="O137" s="31">
        <v>25.0</v>
      </c>
      <c r="P137" s="31"/>
      <c r="Q137" s="31"/>
      <c r="R137" s="30"/>
      <c r="S137" s="30"/>
      <c r="T137" s="30"/>
      <c r="U137" s="30"/>
      <c r="V137" s="30"/>
      <c r="W137" s="30"/>
      <c r="X137" s="30"/>
      <c r="Y137" s="30"/>
      <c r="Z137" s="30"/>
    </row>
    <row r="138" ht="18.0" customHeight="1">
      <c r="A138" s="31">
        <v>1.44637263E8</v>
      </c>
      <c r="B138" s="31" t="s">
        <v>192</v>
      </c>
      <c r="C138" s="32">
        <v>2.8065865E7</v>
      </c>
      <c r="D138" s="32">
        <v>0.0</v>
      </c>
      <c r="E138" s="32">
        <v>6.9725268E7</v>
      </c>
      <c r="F138" s="32">
        <v>3582025.0</v>
      </c>
      <c r="G138" s="32">
        <v>794551.0</v>
      </c>
      <c r="H138" s="32">
        <v>4624058.0</v>
      </c>
      <c r="I138" s="32">
        <v>1029805.0</v>
      </c>
      <c r="J138" s="32">
        <v>0.0</v>
      </c>
      <c r="K138" s="32">
        <v>5.083440858E9</v>
      </c>
      <c r="L138" s="32">
        <v>1.485775749E9</v>
      </c>
      <c r="M138" s="32">
        <v>20419.0</v>
      </c>
      <c r="N138" s="31" t="s">
        <v>66</v>
      </c>
      <c r="O138" s="31">
        <v>25.0</v>
      </c>
      <c r="P138" s="31"/>
      <c r="Q138" s="31"/>
      <c r="R138" s="30"/>
      <c r="S138" s="30"/>
      <c r="T138" s="30"/>
      <c r="U138" s="30"/>
      <c r="V138" s="30"/>
      <c r="W138" s="30"/>
      <c r="X138" s="30"/>
      <c r="Y138" s="30"/>
      <c r="Z138" s="30"/>
    </row>
    <row r="139" ht="18.0" customHeight="1">
      <c r="A139" s="31">
        <v>1.44053077E8</v>
      </c>
      <c r="B139" s="31" t="s">
        <v>193</v>
      </c>
      <c r="C139" s="32">
        <v>2.7821047E7</v>
      </c>
      <c r="D139" s="32">
        <v>0.0</v>
      </c>
      <c r="E139" s="32">
        <v>1.4856343E7</v>
      </c>
      <c r="F139" s="32">
        <v>3605779.0</v>
      </c>
      <c r="G139" s="32">
        <v>445157.0</v>
      </c>
      <c r="H139" s="32">
        <v>425499.0</v>
      </c>
      <c r="I139" s="32">
        <v>216474.0</v>
      </c>
      <c r="J139" s="32">
        <v>0.0</v>
      </c>
      <c r="K139" s="32">
        <v>4.455443588E9</v>
      </c>
      <c r="L139" s="32">
        <v>7.9536043E7</v>
      </c>
      <c r="M139" s="32">
        <v>4280.0</v>
      </c>
      <c r="N139" s="31" t="s">
        <v>66</v>
      </c>
      <c r="O139" s="31">
        <v>25.0</v>
      </c>
      <c r="P139" s="31"/>
      <c r="Q139" s="31"/>
      <c r="R139" s="30"/>
      <c r="S139" s="30"/>
      <c r="T139" s="30"/>
      <c r="U139" s="30"/>
      <c r="V139" s="30"/>
      <c r="W139" s="30"/>
      <c r="X139" s="30"/>
      <c r="Y139" s="30"/>
      <c r="Z139" s="30"/>
    </row>
    <row r="140" ht="18.0" customHeight="1">
      <c r="A140" s="31">
        <v>1.7395388E8</v>
      </c>
      <c r="B140" s="31" t="s">
        <v>194</v>
      </c>
      <c r="C140" s="32">
        <v>2.7499054E7</v>
      </c>
      <c r="D140" s="32">
        <v>0.0</v>
      </c>
      <c r="E140" s="32">
        <v>1648460.0</v>
      </c>
      <c r="F140" s="32">
        <v>1653283.0</v>
      </c>
      <c r="G140" s="32">
        <v>0.0</v>
      </c>
      <c r="H140" s="32">
        <v>106204.0</v>
      </c>
      <c r="I140" s="32">
        <v>28128.0</v>
      </c>
      <c r="J140" s="32">
        <v>0.0</v>
      </c>
      <c r="K140" s="32">
        <v>4.960636061E9</v>
      </c>
      <c r="L140" s="32">
        <v>3.346021861E9</v>
      </c>
      <c r="M140" s="32">
        <v>2425.0</v>
      </c>
      <c r="N140" s="31" t="s">
        <v>147</v>
      </c>
      <c r="O140" s="31">
        <v>25.0</v>
      </c>
      <c r="P140" s="31"/>
      <c r="Q140" s="31"/>
      <c r="R140" s="30"/>
      <c r="S140" s="30"/>
      <c r="T140" s="30"/>
      <c r="U140" s="30"/>
      <c r="V140" s="30"/>
      <c r="W140" s="30"/>
      <c r="X140" s="30"/>
      <c r="Y140" s="30"/>
      <c r="Z140" s="30"/>
    </row>
    <row r="141" ht="18.0" customHeight="1">
      <c r="A141" s="31">
        <v>7.7474302E7</v>
      </c>
      <c r="B141" s="31" t="s">
        <v>195</v>
      </c>
      <c r="C141" s="32">
        <v>2.736124E7</v>
      </c>
      <c r="D141" s="32">
        <v>64800.0</v>
      </c>
      <c r="E141" s="32">
        <v>3.8235651E7</v>
      </c>
      <c r="F141" s="32">
        <v>4747649.0</v>
      </c>
      <c r="G141" s="32">
        <v>164935.0</v>
      </c>
      <c r="H141" s="32">
        <v>925311.0</v>
      </c>
      <c r="I141" s="32">
        <v>1410586.0</v>
      </c>
      <c r="J141" s="32">
        <v>0.0</v>
      </c>
      <c r="K141" s="32">
        <v>1.4606478916E10</v>
      </c>
      <c r="L141" s="32">
        <v>1.7098971925E10</v>
      </c>
      <c r="M141" s="32">
        <v>9348.0</v>
      </c>
      <c r="N141" s="31" t="s">
        <v>147</v>
      </c>
      <c r="O141" s="31">
        <v>25.0</v>
      </c>
      <c r="P141" s="31"/>
      <c r="Q141" s="31"/>
      <c r="R141" s="30"/>
      <c r="S141" s="30"/>
      <c r="T141" s="30"/>
      <c r="U141" s="30"/>
      <c r="V141" s="30"/>
      <c r="W141" s="30"/>
      <c r="X141" s="30"/>
      <c r="Y141" s="30"/>
      <c r="Z141" s="30"/>
    </row>
    <row r="142" ht="18.0" customHeight="1">
      <c r="A142" s="31">
        <v>1.44104572E8</v>
      </c>
      <c r="B142" s="31" t="s">
        <v>196</v>
      </c>
      <c r="C142" s="32">
        <v>2.712521E7</v>
      </c>
      <c r="D142" s="32">
        <v>-1330319.0</v>
      </c>
      <c r="E142" s="32">
        <v>2.5943563E7</v>
      </c>
      <c r="F142" s="32">
        <v>3008115.0</v>
      </c>
      <c r="G142" s="32">
        <v>4109706.0</v>
      </c>
      <c r="H142" s="32">
        <v>1511050.0</v>
      </c>
      <c r="I142" s="32">
        <v>347139.0</v>
      </c>
      <c r="J142" s="32">
        <v>0.0</v>
      </c>
      <c r="K142" s="32">
        <v>2.914147196E9</v>
      </c>
      <c r="L142" s="32">
        <v>8.33264E7</v>
      </c>
      <c r="M142" s="32">
        <v>5955.0</v>
      </c>
      <c r="N142" s="31" t="s">
        <v>119</v>
      </c>
      <c r="O142" s="31">
        <v>25.0</v>
      </c>
      <c r="P142" s="31"/>
      <c r="Q142" s="31"/>
      <c r="R142" s="30"/>
      <c r="S142" s="30"/>
      <c r="T142" s="30"/>
      <c r="U142" s="30"/>
      <c r="V142" s="30"/>
      <c r="W142" s="30"/>
      <c r="X142" s="30"/>
      <c r="Y142" s="30"/>
      <c r="Z142" s="30"/>
    </row>
    <row r="143" ht="18.0" customHeight="1">
      <c r="A143" s="31">
        <v>1.1279231E8</v>
      </c>
      <c r="B143" s="31" t="s">
        <v>197</v>
      </c>
      <c r="C143" s="32">
        <v>2.6680171E7</v>
      </c>
      <c r="D143" s="32">
        <v>205178.0</v>
      </c>
      <c r="E143" s="32">
        <v>6.2286967E7</v>
      </c>
      <c r="F143" s="32">
        <v>6292337.0</v>
      </c>
      <c r="G143" s="32">
        <v>979215.0</v>
      </c>
      <c r="H143" s="32">
        <v>2324487.0</v>
      </c>
      <c r="I143" s="32">
        <v>1792717.0</v>
      </c>
      <c r="J143" s="32">
        <v>0.0</v>
      </c>
      <c r="K143" s="32">
        <v>3.198125304E10</v>
      </c>
      <c r="L143" s="32">
        <v>3.4525762438E10</v>
      </c>
      <c r="M143" s="32">
        <v>12517.0</v>
      </c>
      <c r="N143" s="31" t="s">
        <v>34</v>
      </c>
      <c r="O143" s="31">
        <v>25.0</v>
      </c>
      <c r="P143" s="31"/>
      <c r="Q143" s="31"/>
      <c r="R143" s="30"/>
      <c r="S143" s="30"/>
      <c r="T143" s="30"/>
      <c r="U143" s="30"/>
      <c r="V143" s="30"/>
      <c r="W143" s="30"/>
      <c r="X143" s="30"/>
      <c r="Y143" s="30"/>
      <c r="Z143" s="30"/>
    </row>
    <row r="144" ht="18.0" customHeight="1">
      <c r="A144" s="31">
        <v>1.44103022E8</v>
      </c>
      <c r="B144" s="31" t="s">
        <v>198</v>
      </c>
      <c r="C144" s="32">
        <v>2.6472567E7</v>
      </c>
      <c r="D144" s="32">
        <v>0.0</v>
      </c>
      <c r="E144" s="32">
        <v>4017519.0</v>
      </c>
      <c r="F144" s="32">
        <v>640494.0</v>
      </c>
      <c r="G144" s="32">
        <v>263588.0</v>
      </c>
      <c r="H144" s="32">
        <v>238724.0</v>
      </c>
      <c r="I144" s="32">
        <v>0.0</v>
      </c>
      <c r="J144" s="32">
        <v>0.0</v>
      </c>
      <c r="K144" s="32">
        <v>1.52701049E9</v>
      </c>
      <c r="L144" s="32">
        <v>3428957.0</v>
      </c>
      <c r="M144" s="32">
        <v>1226.0</v>
      </c>
      <c r="N144" s="31" t="s">
        <v>66</v>
      </c>
      <c r="O144" s="31">
        <v>25.0</v>
      </c>
      <c r="P144" s="31"/>
      <c r="Q144" s="31"/>
      <c r="R144" s="30"/>
      <c r="S144" s="30"/>
      <c r="T144" s="30"/>
      <c r="U144" s="30"/>
      <c r="V144" s="30"/>
      <c r="W144" s="30"/>
      <c r="X144" s="30"/>
      <c r="Y144" s="30"/>
      <c r="Z144" s="30"/>
    </row>
    <row r="145" ht="18.0" customHeight="1">
      <c r="A145" s="33">
        <v>7.1189562E7</v>
      </c>
      <c r="B145" s="33" t="s">
        <v>199</v>
      </c>
      <c r="C145" s="34">
        <v>2.61454E7</v>
      </c>
      <c r="D145" s="32">
        <v>285320.0</v>
      </c>
      <c r="E145" s="34">
        <v>2408509.0</v>
      </c>
      <c r="F145" s="34">
        <v>823250.0</v>
      </c>
      <c r="G145" s="34">
        <v>18168.0</v>
      </c>
      <c r="H145" s="34">
        <v>172952.0</v>
      </c>
      <c r="I145" s="34">
        <v>26188.0</v>
      </c>
      <c r="J145" s="34">
        <v>0.0</v>
      </c>
      <c r="K145" s="34">
        <v>1.5228238745E10</v>
      </c>
      <c r="L145" s="34">
        <v>1.5124513151E10</v>
      </c>
      <c r="M145" s="34">
        <v>3466.0</v>
      </c>
      <c r="N145" s="33" t="s">
        <v>147</v>
      </c>
      <c r="O145" s="33">
        <v>24.0</v>
      </c>
      <c r="P145" s="33"/>
      <c r="Q145" s="33"/>
      <c r="R145" s="30"/>
      <c r="S145" s="30"/>
      <c r="T145" s="30"/>
      <c r="U145" s="30"/>
      <c r="V145" s="30"/>
      <c r="W145" s="30"/>
      <c r="X145" s="30"/>
      <c r="Y145" s="30"/>
      <c r="Z145" s="30"/>
    </row>
    <row r="146" ht="18.0" customHeight="1">
      <c r="A146" s="31">
        <v>1.58265064E8</v>
      </c>
      <c r="B146" s="31" t="s">
        <v>200</v>
      </c>
      <c r="C146" s="32">
        <v>2.6043462E7</v>
      </c>
      <c r="D146" s="32">
        <v>331700.0</v>
      </c>
      <c r="E146" s="32">
        <v>1.1312096E7</v>
      </c>
      <c r="F146" s="32">
        <v>1040720.0</v>
      </c>
      <c r="G146" s="32">
        <v>238681.0</v>
      </c>
      <c r="H146" s="32">
        <v>435809.0</v>
      </c>
      <c r="I146" s="32">
        <v>209818.0</v>
      </c>
      <c r="J146" s="32">
        <v>0.0</v>
      </c>
      <c r="K146" s="32">
        <v>3.840546442E9</v>
      </c>
      <c r="L146" s="32">
        <v>2.856723815E9</v>
      </c>
      <c r="M146" s="32">
        <v>8689.0</v>
      </c>
      <c r="N146" s="31" t="s">
        <v>147</v>
      </c>
      <c r="O146" s="31">
        <v>25.0</v>
      </c>
      <c r="P146" s="31"/>
      <c r="Q146" s="31"/>
      <c r="R146" s="30"/>
      <c r="S146" s="30"/>
      <c r="T146" s="30"/>
      <c r="U146" s="30"/>
      <c r="V146" s="30"/>
      <c r="W146" s="30"/>
      <c r="X146" s="30"/>
      <c r="Y146" s="30"/>
      <c r="Z146" s="30"/>
    </row>
    <row r="147" ht="18.0" customHeight="1">
      <c r="A147" s="31">
        <v>6.1106312E7</v>
      </c>
      <c r="B147" s="31" t="s">
        <v>201</v>
      </c>
      <c r="C147" s="32">
        <v>2.5245254E7</v>
      </c>
      <c r="D147" s="32">
        <v>0.0</v>
      </c>
      <c r="E147" s="32">
        <v>1.37061894E8</v>
      </c>
      <c r="F147" s="32">
        <v>6457701.0</v>
      </c>
      <c r="G147" s="32">
        <v>1064273.0</v>
      </c>
      <c r="H147" s="32">
        <v>8566764.0</v>
      </c>
      <c r="I147" s="32">
        <v>1635188.0</v>
      </c>
      <c r="J147" s="32">
        <v>0.0</v>
      </c>
      <c r="K147" s="32">
        <v>1.576127757E10</v>
      </c>
      <c r="L147" s="32">
        <v>1.7013438464E10</v>
      </c>
      <c r="M147" s="32">
        <v>12431.0</v>
      </c>
      <c r="N147" s="31" t="s">
        <v>34</v>
      </c>
      <c r="O147" s="31">
        <v>25.0</v>
      </c>
      <c r="P147" s="31"/>
      <c r="Q147" s="31"/>
      <c r="R147" s="30"/>
      <c r="S147" s="30"/>
      <c r="T147" s="30"/>
      <c r="U147" s="30"/>
      <c r="V147" s="30"/>
      <c r="W147" s="30"/>
      <c r="X147" s="30"/>
      <c r="Y147" s="30"/>
      <c r="Z147" s="30"/>
    </row>
    <row r="148" ht="18.0" customHeight="1">
      <c r="A148" s="31">
        <v>1.66394798E8</v>
      </c>
      <c r="B148" s="31" t="s">
        <v>202</v>
      </c>
      <c r="C148" s="32">
        <v>2.509401E7</v>
      </c>
      <c r="D148" s="32">
        <v>0.0</v>
      </c>
      <c r="E148" s="32">
        <v>4.8823301E7</v>
      </c>
      <c r="F148" s="32">
        <v>2377006.0</v>
      </c>
      <c r="G148" s="32">
        <v>567889.0</v>
      </c>
      <c r="H148" s="32">
        <v>3113738.0</v>
      </c>
      <c r="I148" s="32">
        <v>686427.0</v>
      </c>
      <c r="J148" s="32">
        <v>0.0</v>
      </c>
      <c r="K148" s="32">
        <v>6.767332389E9</v>
      </c>
      <c r="L148" s="32">
        <v>1.563279624E10</v>
      </c>
      <c r="M148" s="32">
        <v>12380.0</v>
      </c>
      <c r="N148" s="31" t="s">
        <v>147</v>
      </c>
      <c r="O148" s="31">
        <v>25.0</v>
      </c>
      <c r="P148" s="31"/>
      <c r="Q148" s="31"/>
      <c r="R148" s="30"/>
      <c r="S148" s="30"/>
      <c r="T148" s="30"/>
      <c r="U148" s="30"/>
      <c r="V148" s="30"/>
      <c r="W148" s="30"/>
      <c r="X148" s="30"/>
      <c r="Y148" s="30"/>
      <c r="Z148" s="30"/>
    </row>
    <row r="149" ht="18.0" customHeight="1">
      <c r="A149" s="31">
        <v>1.86763477E8</v>
      </c>
      <c r="B149" s="31" t="s">
        <v>203</v>
      </c>
      <c r="C149" s="32">
        <v>2.477291E7</v>
      </c>
      <c r="D149" s="32">
        <v>568160.0</v>
      </c>
      <c r="E149" s="32">
        <v>1.3552118E7</v>
      </c>
      <c r="F149" s="32">
        <v>3029900.0</v>
      </c>
      <c r="G149" s="32">
        <v>487244.0</v>
      </c>
      <c r="H149" s="32">
        <v>748513.0</v>
      </c>
      <c r="I149" s="32">
        <v>165273.0</v>
      </c>
      <c r="J149" s="32">
        <v>0.0</v>
      </c>
      <c r="K149" s="32">
        <v>2.704668611E9</v>
      </c>
      <c r="L149" s="32">
        <v>3.468E7</v>
      </c>
      <c r="M149" s="32">
        <v>11204.0</v>
      </c>
      <c r="N149" s="31" t="s">
        <v>34</v>
      </c>
      <c r="O149" s="31">
        <v>25.0</v>
      </c>
      <c r="P149" s="31"/>
      <c r="Q149" s="31"/>
      <c r="R149" s="30"/>
      <c r="S149" s="30"/>
      <c r="T149" s="30"/>
      <c r="U149" s="30"/>
      <c r="V149" s="30"/>
      <c r="W149" s="30"/>
      <c r="X149" s="30"/>
      <c r="Y149" s="30"/>
      <c r="Z149" s="30"/>
    </row>
    <row r="150" ht="18.0" customHeight="1">
      <c r="A150" s="31">
        <v>7.7531879E7</v>
      </c>
      <c r="B150" s="31" t="s">
        <v>204</v>
      </c>
      <c r="C150" s="32">
        <v>2.4476135E7</v>
      </c>
      <c r="D150" s="32">
        <v>97500.0</v>
      </c>
      <c r="E150" s="32">
        <v>4537895.0</v>
      </c>
      <c r="F150" s="32">
        <v>76522.0</v>
      </c>
      <c r="G150" s="32">
        <v>36.0</v>
      </c>
      <c r="H150" s="32">
        <v>104025.0</v>
      </c>
      <c r="I150" s="32">
        <v>174604.0</v>
      </c>
      <c r="J150" s="32">
        <v>0.0</v>
      </c>
      <c r="K150" s="32">
        <v>9.697891865E9</v>
      </c>
      <c r="L150" s="32">
        <v>1.1235078215E10</v>
      </c>
      <c r="M150" s="32">
        <v>3953.0</v>
      </c>
      <c r="N150" s="31" t="s">
        <v>153</v>
      </c>
      <c r="O150" s="31">
        <v>25.0</v>
      </c>
      <c r="P150" s="31"/>
      <c r="Q150" s="31"/>
      <c r="R150" s="30"/>
      <c r="S150" s="30"/>
      <c r="T150" s="30"/>
      <c r="U150" s="30"/>
      <c r="V150" s="30"/>
      <c r="W150" s="30"/>
      <c r="X150" s="30"/>
      <c r="Y150" s="30"/>
      <c r="Z150" s="30"/>
    </row>
    <row r="151" ht="18.0" customHeight="1">
      <c r="A151" s="31">
        <v>1.46036286E8</v>
      </c>
      <c r="B151" s="31" t="s">
        <v>205</v>
      </c>
      <c r="C151" s="32">
        <v>2.4467154E7</v>
      </c>
      <c r="D151" s="32">
        <v>-2909070.0</v>
      </c>
      <c r="E151" s="32">
        <v>4.4087757E7</v>
      </c>
      <c r="F151" s="32">
        <v>5537583.0</v>
      </c>
      <c r="G151" s="32">
        <v>615618.0</v>
      </c>
      <c r="H151" s="32">
        <v>2923686.0</v>
      </c>
      <c r="I151" s="32">
        <v>546714.0</v>
      </c>
      <c r="J151" s="32">
        <v>0.0</v>
      </c>
      <c r="K151" s="32">
        <v>2.0656749483E10</v>
      </c>
      <c r="L151" s="32">
        <v>1.361525722E10</v>
      </c>
      <c r="M151" s="32">
        <v>5791.0</v>
      </c>
      <c r="N151" s="31" t="s">
        <v>206</v>
      </c>
      <c r="O151" s="31">
        <v>25.0</v>
      </c>
      <c r="P151" s="31"/>
      <c r="Q151" s="31"/>
      <c r="R151" s="30"/>
      <c r="S151" s="30"/>
      <c r="T151" s="30"/>
      <c r="U151" s="30"/>
      <c r="V151" s="30"/>
      <c r="W151" s="30"/>
      <c r="X151" s="30"/>
      <c r="Y151" s="30"/>
      <c r="Z151" s="30"/>
    </row>
    <row r="152" ht="18.0" customHeight="1">
      <c r="A152" s="33">
        <v>1.85391227E8</v>
      </c>
      <c r="B152" s="33" t="s">
        <v>207</v>
      </c>
      <c r="C152" s="34">
        <v>2.4075354E7</v>
      </c>
      <c r="D152" s="32">
        <v>289800.0</v>
      </c>
      <c r="E152" s="34">
        <v>5185717.0</v>
      </c>
      <c r="F152" s="34">
        <v>1123408.0</v>
      </c>
      <c r="G152" s="34">
        <v>186.0</v>
      </c>
      <c r="H152" s="34">
        <v>214.0</v>
      </c>
      <c r="I152" s="34">
        <v>259177.0</v>
      </c>
      <c r="J152" s="34">
        <v>0.0</v>
      </c>
      <c r="K152" s="34">
        <v>8.517299418E9</v>
      </c>
      <c r="L152" s="34">
        <v>5.777495661E9</v>
      </c>
      <c r="M152" s="34">
        <v>2574.0</v>
      </c>
      <c r="N152" s="33" t="s">
        <v>94</v>
      </c>
      <c r="O152" s="33">
        <v>24.0</v>
      </c>
      <c r="P152" s="33"/>
      <c r="Q152" s="33"/>
      <c r="R152" s="30"/>
      <c r="S152" s="30"/>
      <c r="T152" s="30"/>
      <c r="U152" s="30"/>
      <c r="V152" s="30"/>
      <c r="W152" s="30"/>
      <c r="X152" s="30"/>
      <c r="Y152" s="30"/>
      <c r="Z152" s="30"/>
    </row>
    <row r="153" ht="18.0" customHeight="1">
      <c r="A153" s="33">
        <v>4.8558795E7</v>
      </c>
      <c r="B153" s="33" t="s">
        <v>208</v>
      </c>
      <c r="C153" s="34">
        <v>2.3918014E7</v>
      </c>
      <c r="D153" s="32">
        <v>216535.0</v>
      </c>
      <c r="E153" s="34">
        <v>1928497.0</v>
      </c>
      <c r="F153" s="34">
        <v>461565.0</v>
      </c>
      <c r="G153" s="34">
        <v>485.0</v>
      </c>
      <c r="H153" s="34">
        <v>141444.0</v>
      </c>
      <c r="I153" s="34">
        <v>25698.0</v>
      </c>
      <c r="J153" s="34">
        <v>0.0</v>
      </c>
      <c r="K153" s="34">
        <v>1.3436159203E10</v>
      </c>
      <c r="L153" s="34">
        <v>1.559696354E10</v>
      </c>
      <c r="M153" s="34">
        <v>2965.0</v>
      </c>
      <c r="N153" s="33" t="s">
        <v>147</v>
      </c>
      <c r="O153" s="33">
        <v>24.0</v>
      </c>
      <c r="P153" s="33"/>
      <c r="Q153" s="33"/>
      <c r="R153" s="30"/>
      <c r="S153" s="30"/>
      <c r="T153" s="30"/>
      <c r="U153" s="30"/>
      <c r="V153" s="30"/>
      <c r="W153" s="30"/>
      <c r="X153" s="30"/>
      <c r="Y153" s="30"/>
      <c r="Z153" s="30"/>
    </row>
    <row r="154" ht="18.0" customHeight="1">
      <c r="A154" s="31">
        <v>1.48355572E8</v>
      </c>
      <c r="B154" s="31" t="s">
        <v>209</v>
      </c>
      <c r="C154" s="32">
        <v>2.3846644E7</v>
      </c>
      <c r="D154" s="32">
        <v>0.0</v>
      </c>
      <c r="E154" s="32">
        <v>9182905.0</v>
      </c>
      <c r="F154" s="32">
        <v>2301777.0</v>
      </c>
      <c r="G154" s="32">
        <v>57025.0</v>
      </c>
      <c r="H154" s="32">
        <v>645107.0</v>
      </c>
      <c r="I154" s="32">
        <v>114714.0</v>
      </c>
      <c r="J154" s="32">
        <v>0.0</v>
      </c>
      <c r="K154" s="32">
        <v>2.365422135E9</v>
      </c>
      <c r="L154" s="32">
        <v>2.23164667E8</v>
      </c>
      <c r="M154" s="32">
        <v>1683.0</v>
      </c>
      <c r="N154" s="31" t="s">
        <v>147</v>
      </c>
      <c r="O154" s="31">
        <v>25.0</v>
      </c>
      <c r="P154" s="31"/>
      <c r="Q154" s="31"/>
      <c r="R154" s="30"/>
      <c r="S154" s="30"/>
      <c r="T154" s="30"/>
      <c r="U154" s="30"/>
      <c r="V154" s="30"/>
      <c r="W154" s="30"/>
      <c r="X154" s="30"/>
      <c r="Y154" s="30"/>
      <c r="Z154" s="30"/>
    </row>
    <row r="155" ht="18.0" customHeight="1">
      <c r="A155" s="31">
        <v>1.16558461E8</v>
      </c>
      <c r="B155" s="31" t="s">
        <v>210</v>
      </c>
      <c r="C155" s="32">
        <v>2.3704882E7</v>
      </c>
      <c r="D155" s="32">
        <v>566620.0</v>
      </c>
      <c r="E155" s="32">
        <v>3.3859972E7</v>
      </c>
      <c r="F155" s="32">
        <v>4255903.0</v>
      </c>
      <c r="G155" s="32">
        <v>1350254.0</v>
      </c>
      <c r="H155" s="32">
        <v>1905068.0</v>
      </c>
      <c r="I155" s="32">
        <v>290095.0</v>
      </c>
      <c r="J155" s="32">
        <v>0.0</v>
      </c>
      <c r="K155" s="32">
        <v>5.055072562E9</v>
      </c>
      <c r="L155" s="32">
        <v>5.2E7</v>
      </c>
      <c r="M155" s="32">
        <v>2355.0</v>
      </c>
      <c r="N155" s="31" t="s">
        <v>66</v>
      </c>
      <c r="O155" s="31">
        <v>25.0</v>
      </c>
      <c r="P155" s="31"/>
      <c r="Q155" s="31"/>
      <c r="R155" s="30"/>
      <c r="S155" s="30"/>
      <c r="T155" s="30"/>
      <c r="U155" s="30"/>
      <c r="V155" s="30"/>
      <c r="W155" s="30"/>
      <c r="X155" s="30"/>
      <c r="Y155" s="30"/>
      <c r="Z155" s="30"/>
    </row>
    <row r="156" ht="18.0" customHeight="1">
      <c r="A156" s="31">
        <v>1.71556791E8</v>
      </c>
      <c r="B156" s="31" t="s">
        <v>211</v>
      </c>
      <c r="C156" s="32">
        <v>2.3281546E7</v>
      </c>
      <c r="D156" s="32">
        <v>169953.0</v>
      </c>
      <c r="E156" s="32">
        <v>5038859.0</v>
      </c>
      <c r="F156" s="32">
        <v>626101.0</v>
      </c>
      <c r="G156" s="32">
        <v>25466.0</v>
      </c>
      <c r="H156" s="32">
        <v>210000.0</v>
      </c>
      <c r="I156" s="32">
        <v>120729.0</v>
      </c>
      <c r="J156" s="32">
        <v>0.0</v>
      </c>
      <c r="K156" s="32">
        <v>8.610734028E9</v>
      </c>
      <c r="L156" s="32">
        <v>1.5298876E10</v>
      </c>
      <c r="M156" s="32">
        <v>3718.0</v>
      </c>
      <c r="N156" s="31" t="s">
        <v>34</v>
      </c>
      <c r="O156" s="31">
        <v>25.0</v>
      </c>
      <c r="P156" s="31"/>
      <c r="Q156" s="31"/>
      <c r="R156" s="30"/>
      <c r="S156" s="30"/>
      <c r="T156" s="30"/>
      <c r="U156" s="30"/>
      <c r="V156" s="30"/>
      <c r="W156" s="30"/>
      <c r="X156" s="30"/>
      <c r="Y156" s="30"/>
      <c r="Z156" s="30"/>
    </row>
    <row r="157" ht="18.0" customHeight="1">
      <c r="A157" s="33">
        <v>1.72587132E8</v>
      </c>
      <c r="B157" s="33" t="s">
        <v>212</v>
      </c>
      <c r="C157" s="34">
        <v>2.316634E7</v>
      </c>
      <c r="D157" s="32">
        <v>65657.0</v>
      </c>
      <c r="E157" s="34">
        <v>8043383.0</v>
      </c>
      <c r="F157" s="34">
        <v>1608532.0</v>
      </c>
      <c r="G157" s="34">
        <v>280268.0</v>
      </c>
      <c r="H157" s="34">
        <v>476069.0</v>
      </c>
      <c r="I157" s="34">
        <v>145734.0</v>
      </c>
      <c r="J157" s="34">
        <v>0.0</v>
      </c>
      <c r="K157" s="34">
        <v>1.3785102585E10</v>
      </c>
      <c r="L157" s="34">
        <v>1.2811436288E10</v>
      </c>
      <c r="M157" s="34">
        <v>4232.0</v>
      </c>
      <c r="N157" s="33" t="s">
        <v>94</v>
      </c>
      <c r="O157" s="33">
        <v>23.0</v>
      </c>
      <c r="P157" s="33"/>
      <c r="Q157" s="33"/>
      <c r="R157" s="30"/>
      <c r="S157" s="30"/>
      <c r="T157" s="30"/>
      <c r="U157" s="30"/>
      <c r="V157" s="30"/>
      <c r="W157" s="30"/>
      <c r="X157" s="30"/>
      <c r="Y157" s="30"/>
      <c r="Z157" s="30"/>
    </row>
    <row r="158" ht="18.0" customHeight="1">
      <c r="A158" s="31">
        <v>1.72508036E8</v>
      </c>
      <c r="B158" s="31" t="s">
        <v>213</v>
      </c>
      <c r="C158" s="32">
        <v>2.3095558E7</v>
      </c>
      <c r="D158" s="32">
        <v>1106313.0</v>
      </c>
      <c r="E158" s="32">
        <v>5175188.0</v>
      </c>
      <c r="F158" s="32">
        <v>678453.0</v>
      </c>
      <c r="G158" s="32">
        <v>0.0</v>
      </c>
      <c r="H158" s="32">
        <v>26217.0</v>
      </c>
      <c r="I158" s="32">
        <v>245471.0</v>
      </c>
      <c r="J158" s="32">
        <v>0.0</v>
      </c>
      <c r="K158" s="32">
        <v>4.481566933E9</v>
      </c>
      <c r="L158" s="32">
        <v>1.601842757E9</v>
      </c>
      <c r="M158" s="32">
        <v>1485.0</v>
      </c>
      <c r="N158" s="31" t="s">
        <v>34</v>
      </c>
      <c r="O158" s="31">
        <v>25.0</v>
      </c>
      <c r="P158" s="31"/>
      <c r="Q158" s="31"/>
      <c r="R158" s="30"/>
      <c r="S158" s="30"/>
      <c r="T158" s="30"/>
      <c r="U158" s="30"/>
      <c r="V158" s="30"/>
      <c r="W158" s="30"/>
      <c r="X158" s="30"/>
      <c r="Y158" s="30"/>
      <c r="Z158" s="30"/>
    </row>
    <row r="159" ht="18.0" customHeight="1">
      <c r="A159" s="31">
        <v>1.74530133E8</v>
      </c>
      <c r="B159" s="31" t="s">
        <v>214</v>
      </c>
      <c r="C159" s="32">
        <v>2.2985941E7</v>
      </c>
      <c r="D159" s="32">
        <v>80500.0</v>
      </c>
      <c r="E159" s="32">
        <v>2253561.0</v>
      </c>
      <c r="F159" s="32">
        <v>331940.0</v>
      </c>
      <c r="G159" s="32">
        <v>3127.0</v>
      </c>
      <c r="H159" s="32">
        <v>27691.0</v>
      </c>
      <c r="I159" s="32">
        <v>96770.0</v>
      </c>
      <c r="J159" s="32">
        <v>0.0</v>
      </c>
      <c r="K159" s="32">
        <v>1.7073433133E10</v>
      </c>
      <c r="L159" s="32">
        <v>1.3337260959E10</v>
      </c>
      <c r="M159" s="32">
        <v>3758.0</v>
      </c>
      <c r="N159" s="31" t="s">
        <v>165</v>
      </c>
      <c r="O159" s="31">
        <v>25.0</v>
      </c>
      <c r="P159" s="31"/>
      <c r="Q159" s="31"/>
      <c r="R159" s="30"/>
      <c r="S159" s="30"/>
      <c r="T159" s="30"/>
      <c r="U159" s="30"/>
      <c r="V159" s="30"/>
      <c r="W159" s="30"/>
      <c r="X159" s="30"/>
      <c r="Y159" s="30"/>
      <c r="Z159" s="30"/>
    </row>
    <row r="160" ht="18.0" customHeight="1">
      <c r="A160" s="31">
        <v>1.44034173E8</v>
      </c>
      <c r="B160" s="31" t="s">
        <v>215</v>
      </c>
      <c r="C160" s="32">
        <v>2.2917921E7</v>
      </c>
      <c r="D160" s="32">
        <v>35200.0</v>
      </c>
      <c r="E160" s="32">
        <v>5.8304964E7</v>
      </c>
      <c r="F160" s="32">
        <v>2384004.0</v>
      </c>
      <c r="G160" s="32">
        <v>2479362.0</v>
      </c>
      <c r="H160" s="32">
        <v>2537151.0</v>
      </c>
      <c r="I160" s="32">
        <v>327251.0</v>
      </c>
      <c r="J160" s="32">
        <v>0.0</v>
      </c>
      <c r="K160" s="32">
        <v>3.646994224E9</v>
      </c>
      <c r="L160" s="32">
        <v>73477.0</v>
      </c>
      <c r="M160" s="32">
        <v>12479.0</v>
      </c>
      <c r="N160" s="31" t="s">
        <v>66</v>
      </c>
      <c r="O160" s="31">
        <v>25.0</v>
      </c>
      <c r="P160" s="31"/>
      <c r="Q160" s="31"/>
      <c r="R160" s="30"/>
      <c r="S160" s="30"/>
      <c r="T160" s="30"/>
      <c r="U160" s="30"/>
      <c r="V160" s="30"/>
      <c r="W160" s="30"/>
      <c r="X160" s="30"/>
      <c r="Y160" s="30"/>
      <c r="Z160" s="30"/>
    </row>
    <row r="161" ht="18.0" customHeight="1">
      <c r="A161" s="33">
        <v>9.716129E7</v>
      </c>
      <c r="B161" s="33" t="s">
        <v>216</v>
      </c>
      <c r="C161" s="34">
        <v>2.2859056E7</v>
      </c>
      <c r="D161" s="32">
        <v>437903.0</v>
      </c>
      <c r="E161" s="34">
        <v>663448.0</v>
      </c>
      <c r="F161" s="34">
        <v>580431.0</v>
      </c>
      <c r="G161" s="34">
        <v>3771.0</v>
      </c>
      <c r="H161" s="34">
        <v>10201.0</v>
      </c>
      <c r="I161" s="34">
        <v>27973.0</v>
      </c>
      <c r="J161" s="34">
        <v>0.0</v>
      </c>
      <c r="K161" s="34">
        <v>4.996781881E9</v>
      </c>
      <c r="L161" s="34">
        <v>1.720147062E9</v>
      </c>
      <c r="M161" s="34">
        <v>873.0</v>
      </c>
      <c r="N161" s="33" t="s">
        <v>147</v>
      </c>
      <c r="O161" s="33">
        <v>24.0</v>
      </c>
      <c r="P161" s="33"/>
      <c r="Q161" s="33"/>
      <c r="R161" s="30"/>
      <c r="S161" s="30"/>
      <c r="T161" s="30"/>
      <c r="U161" s="30"/>
      <c r="V161" s="30"/>
      <c r="W161" s="30"/>
      <c r="X161" s="30"/>
      <c r="Y161" s="30"/>
      <c r="Z161" s="30"/>
    </row>
    <row r="162" ht="18.0" customHeight="1">
      <c r="A162" s="31">
        <v>1.58392134E8</v>
      </c>
      <c r="B162" s="31" t="s">
        <v>217</v>
      </c>
      <c r="C162" s="32">
        <v>2.2826978E7</v>
      </c>
      <c r="D162" s="32">
        <v>333300.0</v>
      </c>
      <c r="E162" s="32">
        <v>4.6708642E7</v>
      </c>
      <c r="F162" s="32">
        <v>3322532.0</v>
      </c>
      <c r="G162" s="32">
        <v>1517402.0</v>
      </c>
      <c r="H162" s="32">
        <v>2548069.0</v>
      </c>
      <c r="I162" s="32">
        <v>769450.0</v>
      </c>
      <c r="J162" s="32">
        <v>0.0</v>
      </c>
      <c r="K162" s="32">
        <v>4.399286786E9</v>
      </c>
      <c r="L162" s="32">
        <v>2.858249361E9</v>
      </c>
      <c r="M162" s="32">
        <v>13922.0</v>
      </c>
      <c r="N162" s="31" t="s">
        <v>34</v>
      </c>
      <c r="O162" s="31">
        <v>25.0</v>
      </c>
      <c r="P162" s="31"/>
      <c r="Q162" s="31"/>
      <c r="R162" s="30"/>
      <c r="S162" s="30"/>
      <c r="T162" s="30"/>
      <c r="U162" s="30"/>
      <c r="V162" s="30"/>
      <c r="W162" s="30"/>
      <c r="X162" s="30"/>
      <c r="Y162" s="30"/>
      <c r="Z162" s="30"/>
    </row>
    <row r="163" ht="18.0" customHeight="1">
      <c r="A163" s="31">
        <v>6.9795161E7</v>
      </c>
      <c r="B163" s="31" t="s">
        <v>218</v>
      </c>
      <c r="C163" s="32">
        <v>2.2555909E7</v>
      </c>
      <c r="D163" s="32">
        <v>461600.0</v>
      </c>
      <c r="E163" s="32">
        <v>1005744.0</v>
      </c>
      <c r="F163" s="32">
        <v>680216.0</v>
      </c>
      <c r="G163" s="32">
        <v>3542.0</v>
      </c>
      <c r="H163" s="32">
        <v>22474.0</v>
      </c>
      <c r="I163" s="32">
        <v>38910.0</v>
      </c>
      <c r="J163" s="32">
        <v>0.0</v>
      </c>
      <c r="K163" s="32">
        <v>5.320771093E9</v>
      </c>
      <c r="L163" s="32">
        <v>2.966813705E9</v>
      </c>
      <c r="M163" s="32">
        <v>2164.0</v>
      </c>
      <c r="N163" s="31" t="s">
        <v>147</v>
      </c>
      <c r="O163" s="31">
        <v>25.0</v>
      </c>
      <c r="P163" s="31"/>
      <c r="Q163" s="31"/>
      <c r="R163" s="30"/>
      <c r="S163" s="30"/>
      <c r="T163" s="30"/>
      <c r="U163" s="30"/>
      <c r="V163" s="30"/>
      <c r="W163" s="30"/>
      <c r="X163" s="30"/>
      <c r="Y163" s="30"/>
      <c r="Z163" s="30"/>
    </row>
    <row r="164" ht="18.0" customHeight="1">
      <c r="A164" s="33">
        <v>1.75706269E8</v>
      </c>
      <c r="B164" s="33" t="s">
        <v>219</v>
      </c>
      <c r="C164" s="34">
        <v>2.239798E7</v>
      </c>
      <c r="D164" s="32">
        <v>239350.0</v>
      </c>
      <c r="E164" s="34">
        <v>1.1298132E7</v>
      </c>
      <c r="F164" s="34">
        <v>1519238.0</v>
      </c>
      <c r="G164" s="34">
        <v>21032.0</v>
      </c>
      <c r="H164" s="34">
        <v>1057725.0</v>
      </c>
      <c r="I164" s="34">
        <v>23044.0</v>
      </c>
      <c r="J164" s="34">
        <v>0.0</v>
      </c>
      <c r="K164" s="34">
        <v>2.948756837E9</v>
      </c>
      <c r="L164" s="34">
        <v>3.22468511E8</v>
      </c>
      <c r="M164" s="34">
        <v>1071.0</v>
      </c>
      <c r="N164" s="33" t="s">
        <v>220</v>
      </c>
      <c r="O164" s="33">
        <v>24.0</v>
      </c>
      <c r="P164" s="33"/>
      <c r="Q164" s="33"/>
      <c r="R164" s="30"/>
      <c r="S164" s="30"/>
      <c r="T164" s="30"/>
      <c r="U164" s="30"/>
      <c r="V164" s="30"/>
      <c r="W164" s="30"/>
      <c r="X164" s="30"/>
      <c r="Y164" s="30"/>
      <c r="Z164" s="30"/>
    </row>
    <row r="165" ht="18.0" customHeight="1">
      <c r="A165" s="33">
        <v>1.72730913E8</v>
      </c>
      <c r="B165" s="33" t="s">
        <v>221</v>
      </c>
      <c r="C165" s="34">
        <v>2.2249049E7</v>
      </c>
      <c r="D165" s="32">
        <v>771032.0</v>
      </c>
      <c r="E165" s="34">
        <v>-1.0</v>
      </c>
      <c r="F165" s="34">
        <v>0.0</v>
      </c>
      <c r="G165" s="34">
        <v>0.0</v>
      </c>
      <c r="H165" s="34">
        <v>0.0</v>
      </c>
      <c r="I165" s="34">
        <v>0.0</v>
      </c>
      <c r="J165" s="34">
        <v>0.0</v>
      </c>
      <c r="K165" s="34">
        <v>5.47335857E9</v>
      </c>
      <c r="L165" s="34">
        <v>1.54E7</v>
      </c>
      <c r="M165" s="34">
        <v>1882.0</v>
      </c>
      <c r="N165" s="33" t="s">
        <v>153</v>
      </c>
      <c r="O165" s="33">
        <v>23.0</v>
      </c>
      <c r="P165" s="33"/>
      <c r="Q165" s="33"/>
      <c r="R165" s="30"/>
      <c r="S165" s="30"/>
      <c r="T165" s="30"/>
      <c r="U165" s="30"/>
      <c r="V165" s="30"/>
      <c r="W165" s="30"/>
      <c r="X165" s="30"/>
      <c r="Y165" s="30"/>
      <c r="Z165" s="30"/>
    </row>
    <row r="166" ht="18.0" customHeight="1">
      <c r="A166" s="31">
        <v>1.44065202E8</v>
      </c>
      <c r="B166" s="31" t="s">
        <v>222</v>
      </c>
      <c r="C166" s="32">
        <v>2.1571641E7</v>
      </c>
      <c r="D166" s="32">
        <v>0.0</v>
      </c>
      <c r="E166" s="32">
        <v>9825953.0</v>
      </c>
      <c r="F166" s="32">
        <v>3217489.0</v>
      </c>
      <c r="G166" s="32">
        <v>510456.0</v>
      </c>
      <c r="H166" s="32">
        <v>407070.0</v>
      </c>
      <c r="I166" s="32">
        <v>244210.0</v>
      </c>
      <c r="J166" s="32">
        <v>0.0</v>
      </c>
      <c r="K166" s="32">
        <v>1.898210726E9</v>
      </c>
      <c r="L166" s="32">
        <v>1.4406792E7</v>
      </c>
      <c r="M166" s="32">
        <v>3813.0</v>
      </c>
      <c r="N166" s="31" t="s">
        <v>66</v>
      </c>
      <c r="O166" s="31">
        <v>25.0</v>
      </c>
      <c r="P166" s="31"/>
      <c r="Q166" s="31"/>
      <c r="R166" s="30"/>
      <c r="S166" s="30"/>
      <c r="T166" s="30"/>
      <c r="U166" s="30"/>
      <c r="V166" s="30"/>
      <c r="W166" s="30"/>
      <c r="X166" s="30"/>
      <c r="Y166" s="30"/>
      <c r="Z166" s="30"/>
    </row>
    <row r="167" ht="18.0" customHeight="1">
      <c r="A167" s="31">
        <v>1.4586076E8</v>
      </c>
      <c r="B167" s="31" t="s">
        <v>223</v>
      </c>
      <c r="C167" s="32">
        <v>2.1441496E7</v>
      </c>
      <c r="D167" s="32">
        <v>153150.0</v>
      </c>
      <c r="E167" s="32">
        <v>2503746.0</v>
      </c>
      <c r="F167" s="32">
        <v>641516.0</v>
      </c>
      <c r="G167" s="32">
        <v>196473.0</v>
      </c>
      <c r="H167" s="32">
        <v>204412.0</v>
      </c>
      <c r="I167" s="32">
        <v>0.0</v>
      </c>
      <c r="J167" s="32">
        <v>0.0</v>
      </c>
      <c r="K167" s="32">
        <v>7.566943054E9</v>
      </c>
      <c r="L167" s="32">
        <v>7.106242499E9</v>
      </c>
      <c r="M167" s="32">
        <v>3204.0</v>
      </c>
      <c r="N167" s="31" t="s">
        <v>153</v>
      </c>
      <c r="O167" s="31">
        <v>25.0</v>
      </c>
      <c r="P167" s="31"/>
      <c r="Q167" s="31"/>
      <c r="R167" s="30"/>
      <c r="S167" s="30"/>
      <c r="T167" s="30"/>
      <c r="U167" s="30"/>
      <c r="V167" s="30"/>
      <c r="W167" s="30"/>
      <c r="X167" s="30"/>
      <c r="Y167" s="30"/>
      <c r="Z167" s="30"/>
    </row>
    <row r="168" ht="18.0" customHeight="1">
      <c r="A168" s="33">
        <v>1.71989291E8</v>
      </c>
      <c r="B168" s="33" t="s">
        <v>224</v>
      </c>
      <c r="C168" s="34">
        <v>2.0940258E7</v>
      </c>
      <c r="D168" s="32">
        <v>27200.0</v>
      </c>
      <c r="E168" s="34">
        <v>1953757.0</v>
      </c>
      <c r="F168" s="34">
        <v>1329583.0</v>
      </c>
      <c r="G168" s="34">
        <v>1398.0</v>
      </c>
      <c r="H168" s="34">
        <v>2019.0</v>
      </c>
      <c r="I168" s="34">
        <v>94344.0</v>
      </c>
      <c r="J168" s="34">
        <v>0.0</v>
      </c>
      <c r="K168" s="34">
        <v>1.0226610943E10</v>
      </c>
      <c r="L168" s="34">
        <v>9.45522926E9</v>
      </c>
      <c r="M168" s="34">
        <v>3531.0</v>
      </c>
      <c r="N168" s="33" t="s">
        <v>153</v>
      </c>
      <c r="O168" s="33">
        <v>24.0</v>
      </c>
      <c r="P168" s="33"/>
      <c r="Q168" s="33"/>
      <c r="R168" s="30"/>
      <c r="S168" s="30"/>
      <c r="T168" s="30"/>
      <c r="U168" s="30"/>
      <c r="V168" s="30"/>
      <c r="W168" s="30"/>
      <c r="X168" s="30"/>
      <c r="Y168" s="30"/>
      <c r="Z168" s="30"/>
    </row>
    <row r="169" ht="18.0" customHeight="1">
      <c r="A169" s="31">
        <v>1.44096624E8</v>
      </c>
      <c r="B169" s="31" t="s">
        <v>225</v>
      </c>
      <c r="C169" s="32">
        <v>2.0894937E7</v>
      </c>
      <c r="D169" s="32">
        <v>0.0</v>
      </c>
      <c r="E169" s="32">
        <v>2.0860906E7</v>
      </c>
      <c r="F169" s="32">
        <v>1133063.0</v>
      </c>
      <c r="G169" s="32">
        <v>183374.0</v>
      </c>
      <c r="H169" s="32">
        <v>1602950.0</v>
      </c>
      <c r="I169" s="32">
        <v>189560.0</v>
      </c>
      <c r="J169" s="32">
        <v>0.0</v>
      </c>
      <c r="K169" s="32">
        <v>2.371662784E9</v>
      </c>
      <c r="L169" s="32">
        <v>3.1594992E8</v>
      </c>
      <c r="M169" s="32">
        <v>4390.0</v>
      </c>
      <c r="N169" s="31" t="s">
        <v>66</v>
      </c>
      <c r="O169" s="31">
        <v>25.0</v>
      </c>
      <c r="P169" s="31"/>
      <c r="Q169" s="31"/>
      <c r="R169" s="30"/>
      <c r="S169" s="30"/>
      <c r="T169" s="30"/>
      <c r="U169" s="30"/>
      <c r="V169" s="30"/>
      <c r="W169" s="30"/>
      <c r="X169" s="30"/>
      <c r="Y169" s="30"/>
      <c r="Z169" s="30"/>
    </row>
    <row r="170" ht="18.0" customHeight="1">
      <c r="A170" s="31">
        <v>1.24153706E8</v>
      </c>
      <c r="B170" s="31" t="s">
        <v>226</v>
      </c>
      <c r="C170" s="32">
        <v>2.0734029E7</v>
      </c>
      <c r="D170" s="32">
        <v>22800.0</v>
      </c>
      <c r="E170" s="32">
        <v>5961830.0</v>
      </c>
      <c r="F170" s="32">
        <v>2019501.0</v>
      </c>
      <c r="G170" s="32">
        <v>332923.0</v>
      </c>
      <c r="H170" s="32">
        <v>471947.0</v>
      </c>
      <c r="I170" s="32">
        <v>54058.0</v>
      </c>
      <c r="J170" s="32">
        <v>0.0</v>
      </c>
      <c r="K170" s="32">
        <v>5.516668129E9</v>
      </c>
      <c r="L170" s="32">
        <v>5.642037005E9</v>
      </c>
      <c r="M170" s="32">
        <v>10276.0</v>
      </c>
      <c r="N170" s="31" t="s">
        <v>153</v>
      </c>
      <c r="O170" s="31">
        <v>25.0</v>
      </c>
      <c r="P170" s="31"/>
      <c r="Q170" s="31"/>
      <c r="R170" s="30"/>
      <c r="S170" s="30"/>
      <c r="T170" s="30"/>
      <c r="U170" s="30"/>
      <c r="V170" s="30"/>
      <c r="W170" s="30"/>
      <c r="X170" s="30"/>
      <c r="Y170" s="30"/>
      <c r="Z170" s="30"/>
    </row>
    <row r="171" ht="18.0" customHeight="1">
      <c r="A171" s="31">
        <v>1.0996021E8</v>
      </c>
      <c r="B171" s="31" t="s">
        <v>227</v>
      </c>
      <c r="C171" s="32">
        <v>2.0400332E7</v>
      </c>
      <c r="D171" s="32">
        <v>149928.0</v>
      </c>
      <c r="E171" s="32">
        <v>1.0316509E7</v>
      </c>
      <c r="F171" s="32">
        <v>537460.0</v>
      </c>
      <c r="G171" s="32">
        <v>1229.0</v>
      </c>
      <c r="H171" s="32">
        <v>313298.0</v>
      </c>
      <c r="I171" s="32">
        <v>359153.0</v>
      </c>
      <c r="J171" s="32">
        <v>0.0</v>
      </c>
      <c r="K171" s="32">
        <v>3.547779452E9</v>
      </c>
      <c r="L171" s="32">
        <v>1.138856569E9</v>
      </c>
      <c r="M171" s="32">
        <v>1501.0</v>
      </c>
      <c r="N171" s="31" t="s">
        <v>34</v>
      </c>
      <c r="O171" s="31">
        <v>25.0</v>
      </c>
      <c r="P171" s="31"/>
      <c r="Q171" s="31"/>
      <c r="R171" s="30"/>
      <c r="S171" s="30"/>
      <c r="T171" s="30"/>
      <c r="U171" s="30"/>
      <c r="V171" s="30"/>
      <c r="W171" s="30"/>
      <c r="X171" s="30"/>
      <c r="Y171" s="30"/>
      <c r="Z171" s="30"/>
    </row>
    <row r="172" ht="18.0" customHeight="1">
      <c r="A172" s="31">
        <v>1.51513261E8</v>
      </c>
      <c r="B172" s="31" t="s">
        <v>228</v>
      </c>
      <c r="C172" s="32">
        <v>2.0325553E7</v>
      </c>
      <c r="D172" s="32">
        <v>0.0</v>
      </c>
      <c r="E172" s="32">
        <v>2519766.0</v>
      </c>
      <c r="F172" s="32">
        <v>584952.0</v>
      </c>
      <c r="G172" s="32">
        <v>252943.0</v>
      </c>
      <c r="H172" s="32">
        <v>62317.0</v>
      </c>
      <c r="I172" s="32">
        <v>23420.0</v>
      </c>
      <c r="J172" s="32">
        <v>0.0</v>
      </c>
      <c r="K172" s="32">
        <v>2.19331584E9</v>
      </c>
      <c r="L172" s="32">
        <v>2.6211346E8</v>
      </c>
      <c r="M172" s="32">
        <v>2698.0</v>
      </c>
      <c r="N172" s="31" t="s">
        <v>119</v>
      </c>
      <c r="O172" s="31">
        <v>25.0</v>
      </c>
      <c r="P172" s="31"/>
      <c r="Q172" s="31"/>
      <c r="R172" s="30"/>
      <c r="S172" s="30"/>
      <c r="T172" s="30"/>
      <c r="U172" s="30"/>
      <c r="V172" s="30"/>
      <c r="W172" s="30"/>
      <c r="X172" s="30"/>
      <c r="Y172" s="30"/>
      <c r="Z172" s="30"/>
    </row>
    <row r="173" ht="18.0" customHeight="1">
      <c r="A173" s="31">
        <v>1.07309959E8</v>
      </c>
      <c r="B173" s="31" t="s">
        <v>229</v>
      </c>
      <c r="C173" s="32">
        <v>2.0220555E7</v>
      </c>
      <c r="D173" s="32">
        <v>12400.0</v>
      </c>
      <c r="E173" s="32">
        <v>880638.0</v>
      </c>
      <c r="F173" s="32">
        <v>633209.0</v>
      </c>
      <c r="G173" s="32">
        <v>24063.0</v>
      </c>
      <c r="H173" s="32">
        <v>19253.0</v>
      </c>
      <c r="I173" s="32">
        <v>0.0</v>
      </c>
      <c r="J173" s="32">
        <v>0.0</v>
      </c>
      <c r="K173" s="32">
        <v>4.69474281E9</v>
      </c>
      <c r="L173" s="32">
        <v>1.692E9</v>
      </c>
      <c r="M173" s="32">
        <v>2373.0</v>
      </c>
      <c r="N173" s="31" t="s">
        <v>153</v>
      </c>
      <c r="O173" s="31">
        <v>25.0</v>
      </c>
      <c r="P173" s="31"/>
      <c r="Q173" s="31"/>
      <c r="R173" s="30"/>
      <c r="S173" s="30"/>
      <c r="T173" s="30"/>
      <c r="U173" s="30"/>
      <c r="V173" s="30"/>
      <c r="W173" s="30"/>
      <c r="X173" s="30"/>
      <c r="Y173" s="30"/>
      <c r="Z173" s="30"/>
    </row>
    <row r="174" ht="18.0" customHeight="1">
      <c r="A174" s="31">
        <v>1.37982827E8</v>
      </c>
      <c r="B174" s="31" t="s">
        <v>230</v>
      </c>
      <c r="C174" s="32">
        <v>2.014526E7</v>
      </c>
      <c r="D174" s="32">
        <v>192000.0</v>
      </c>
      <c r="E174" s="32">
        <v>1033440.0</v>
      </c>
      <c r="F174" s="32">
        <v>1686588.0</v>
      </c>
      <c r="G174" s="32">
        <v>928101.0</v>
      </c>
      <c r="H174" s="32">
        <v>2888.0</v>
      </c>
      <c r="I174" s="32">
        <v>37966.0</v>
      </c>
      <c r="J174" s="32">
        <v>0.0</v>
      </c>
      <c r="K174" s="32">
        <v>2.2994653386E10</v>
      </c>
      <c r="L174" s="32">
        <v>2.3894156934E10</v>
      </c>
      <c r="M174" s="32">
        <v>4758.0</v>
      </c>
      <c r="N174" s="31" t="s">
        <v>147</v>
      </c>
      <c r="O174" s="31">
        <v>25.0</v>
      </c>
      <c r="P174" s="31"/>
      <c r="Q174" s="31"/>
      <c r="R174" s="30"/>
      <c r="S174" s="30"/>
      <c r="T174" s="30"/>
      <c r="U174" s="30"/>
      <c r="V174" s="30"/>
      <c r="W174" s="30"/>
      <c r="X174" s="30"/>
      <c r="Y174" s="30"/>
      <c r="Z174" s="30"/>
    </row>
    <row r="175" ht="18.0" customHeight="1">
      <c r="A175" s="33">
        <v>1.4404346E8</v>
      </c>
      <c r="B175" s="33" t="s">
        <v>231</v>
      </c>
      <c r="C175" s="34">
        <v>2.0054672E7</v>
      </c>
      <c r="D175" s="32">
        <v>84800.0</v>
      </c>
      <c r="E175" s="34">
        <v>2445760.0</v>
      </c>
      <c r="F175" s="34">
        <v>213678.0</v>
      </c>
      <c r="G175" s="34">
        <v>156164.0</v>
      </c>
      <c r="H175" s="34">
        <v>6083.0</v>
      </c>
      <c r="I175" s="34">
        <v>0.0</v>
      </c>
      <c r="J175" s="34">
        <v>0.0</v>
      </c>
      <c r="K175" s="34">
        <v>2.648200076E9</v>
      </c>
      <c r="L175" s="34">
        <v>0.0</v>
      </c>
      <c r="M175" s="34">
        <v>1431.0</v>
      </c>
      <c r="N175" s="33" t="s">
        <v>165</v>
      </c>
      <c r="O175" s="33">
        <v>24.0</v>
      </c>
      <c r="P175" s="33"/>
      <c r="Q175" s="33"/>
      <c r="R175" s="30"/>
      <c r="S175" s="30"/>
      <c r="T175" s="30"/>
      <c r="U175" s="30"/>
      <c r="V175" s="30"/>
      <c r="W175" s="30"/>
      <c r="X175" s="30"/>
      <c r="Y175" s="30"/>
      <c r="Z175" s="30"/>
    </row>
    <row r="176" ht="18.0" customHeight="1">
      <c r="A176" s="33">
        <v>1.47792502E8</v>
      </c>
      <c r="B176" s="33" t="s">
        <v>232</v>
      </c>
      <c r="C176" s="34">
        <v>1.9974326E7</v>
      </c>
      <c r="D176" s="32">
        <v>9600.0</v>
      </c>
      <c r="E176" s="34">
        <v>1.5553596E7</v>
      </c>
      <c r="F176" s="34">
        <v>501345.0</v>
      </c>
      <c r="G176" s="34">
        <v>265931.0</v>
      </c>
      <c r="H176" s="34">
        <v>1325650.0</v>
      </c>
      <c r="I176" s="34">
        <v>68313.0</v>
      </c>
      <c r="J176" s="34">
        <v>0.0</v>
      </c>
      <c r="K176" s="34">
        <v>1.9326927558E10</v>
      </c>
      <c r="L176" s="34">
        <v>1.7534045568E10</v>
      </c>
      <c r="M176" s="34">
        <v>6933.0</v>
      </c>
      <c r="N176" s="33" t="s">
        <v>153</v>
      </c>
      <c r="O176" s="33">
        <v>24.0</v>
      </c>
      <c r="P176" s="33"/>
      <c r="Q176" s="33"/>
      <c r="R176" s="30"/>
      <c r="S176" s="30"/>
      <c r="T176" s="30"/>
      <c r="U176" s="30"/>
      <c r="V176" s="30"/>
      <c r="W176" s="30"/>
      <c r="X176" s="30"/>
      <c r="Y176" s="30"/>
      <c r="Z176" s="30"/>
    </row>
    <row r="177" ht="18.0" customHeight="1">
      <c r="A177" s="33">
        <v>1.84287725E8</v>
      </c>
      <c r="B177" s="33" t="s">
        <v>233</v>
      </c>
      <c r="C177" s="34">
        <v>1.9770674E7</v>
      </c>
      <c r="D177" s="32">
        <v>438900.0</v>
      </c>
      <c r="E177" s="34">
        <v>3719510.0</v>
      </c>
      <c r="F177" s="34">
        <v>0.0</v>
      </c>
      <c r="G177" s="34">
        <v>0.0</v>
      </c>
      <c r="H177" s="34">
        <v>104791.0</v>
      </c>
      <c r="I177" s="34">
        <v>133580.0</v>
      </c>
      <c r="J177" s="34">
        <v>0.0</v>
      </c>
      <c r="K177" s="34">
        <v>4.540554657E9</v>
      </c>
      <c r="L177" s="34">
        <v>9.48629321E8</v>
      </c>
      <c r="M177" s="34">
        <v>906.0</v>
      </c>
      <c r="N177" s="33" t="s">
        <v>94</v>
      </c>
      <c r="O177" s="33">
        <v>23.0</v>
      </c>
      <c r="P177" s="33"/>
      <c r="Q177" s="33"/>
      <c r="R177" s="30"/>
      <c r="S177" s="30"/>
      <c r="T177" s="30"/>
      <c r="U177" s="30"/>
      <c r="V177" s="30"/>
      <c r="W177" s="30"/>
      <c r="X177" s="30"/>
      <c r="Y177" s="30"/>
      <c r="Z177" s="30"/>
    </row>
    <row r="178" ht="18.0" customHeight="1">
      <c r="A178" s="31">
        <v>7521367.0</v>
      </c>
      <c r="B178" s="31" t="s">
        <v>234</v>
      </c>
      <c r="C178" s="32">
        <v>1.9683429E7</v>
      </c>
      <c r="D178" s="32">
        <v>-1393720.0</v>
      </c>
      <c r="E178" s="32">
        <v>5.735602E7</v>
      </c>
      <c r="F178" s="32">
        <v>2761572.0</v>
      </c>
      <c r="G178" s="32">
        <v>197903.0</v>
      </c>
      <c r="H178" s="32">
        <v>2458366.0</v>
      </c>
      <c r="I178" s="32">
        <v>1631756.0</v>
      </c>
      <c r="J178" s="32">
        <v>0.0</v>
      </c>
      <c r="K178" s="32">
        <v>7.580901631E9</v>
      </c>
      <c r="L178" s="32">
        <v>7.129159383E9</v>
      </c>
      <c r="M178" s="32">
        <v>3734.0</v>
      </c>
      <c r="N178" s="31" t="s">
        <v>147</v>
      </c>
      <c r="O178" s="31">
        <v>25.0</v>
      </c>
      <c r="P178" s="31"/>
      <c r="Q178" s="31"/>
      <c r="R178" s="30"/>
      <c r="S178" s="30"/>
      <c r="T178" s="30"/>
      <c r="U178" s="30"/>
      <c r="V178" s="30"/>
      <c r="W178" s="30"/>
      <c r="X178" s="30"/>
      <c r="Y178" s="30"/>
      <c r="Z178" s="30"/>
    </row>
    <row r="179" ht="18.0" customHeight="1">
      <c r="A179" s="31">
        <v>1.44034439E8</v>
      </c>
      <c r="B179" s="31" t="s">
        <v>235</v>
      </c>
      <c r="C179" s="32">
        <v>1.9565081E7</v>
      </c>
      <c r="D179" s="32">
        <v>219200.0</v>
      </c>
      <c r="E179" s="32">
        <v>3185436.0</v>
      </c>
      <c r="F179" s="32">
        <v>5053227.0</v>
      </c>
      <c r="G179" s="32">
        <v>37361.0</v>
      </c>
      <c r="H179" s="32">
        <v>106493.0</v>
      </c>
      <c r="I179" s="32">
        <v>89020.0</v>
      </c>
      <c r="J179" s="32">
        <v>0.0</v>
      </c>
      <c r="K179" s="32">
        <v>1.0118938463E10</v>
      </c>
      <c r="L179" s="32">
        <v>0.0</v>
      </c>
      <c r="M179" s="32">
        <v>7421.0</v>
      </c>
      <c r="N179" s="31" t="s">
        <v>165</v>
      </c>
      <c r="O179" s="31">
        <v>25.0</v>
      </c>
      <c r="P179" s="31"/>
      <c r="Q179" s="31"/>
      <c r="R179" s="30"/>
      <c r="S179" s="30"/>
      <c r="T179" s="30"/>
      <c r="U179" s="30"/>
      <c r="V179" s="30"/>
      <c r="W179" s="30"/>
      <c r="X179" s="30"/>
      <c r="Y179" s="30"/>
      <c r="Z179" s="30"/>
    </row>
    <row r="180" ht="18.0" customHeight="1">
      <c r="A180" s="33">
        <v>1.73351722E8</v>
      </c>
      <c r="B180" s="33" t="s">
        <v>236</v>
      </c>
      <c r="C180" s="34">
        <v>2.0092777E7</v>
      </c>
      <c r="D180" s="32">
        <v>494841.0</v>
      </c>
      <c r="E180" s="34">
        <v>7376528.0</v>
      </c>
      <c r="F180" s="34">
        <v>550547.0</v>
      </c>
      <c r="G180" s="34">
        <v>323190.0</v>
      </c>
      <c r="H180" s="34">
        <v>336667.0</v>
      </c>
      <c r="I180" s="34">
        <v>197261.0</v>
      </c>
      <c r="J180" s="34">
        <v>0.0</v>
      </c>
      <c r="K180" s="34">
        <v>1.0951498448E10</v>
      </c>
      <c r="L180" s="34">
        <v>6.658700087E9</v>
      </c>
      <c r="M180" s="34">
        <v>2040.0</v>
      </c>
      <c r="N180" s="33" t="s">
        <v>153</v>
      </c>
      <c r="O180" s="33">
        <v>24.0</v>
      </c>
      <c r="P180" s="33"/>
      <c r="Q180" s="33"/>
      <c r="R180" s="30"/>
      <c r="S180" s="30"/>
      <c r="T180" s="30"/>
      <c r="U180" s="30"/>
      <c r="V180" s="30"/>
      <c r="W180" s="30"/>
      <c r="X180" s="30"/>
      <c r="Y180" s="30"/>
      <c r="Z180" s="30"/>
    </row>
    <row r="181" ht="18.0" customHeight="1">
      <c r="A181" s="33">
        <v>1.90203348E8</v>
      </c>
      <c r="B181" s="33" t="s">
        <v>237</v>
      </c>
      <c r="C181" s="34">
        <v>1.9176687E7</v>
      </c>
      <c r="D181" s="32">
        <v>524358.0</v>
      </c>
      <c r="E181" s="34">
        <v>943.0</v>
      </c>
      <c r="F181" s="34">
        <v>0.0</v>
      </c>
      <c r="G181" s="34">
        <v>4717.0</v>
      </c>
      <c r="H181" s="34">
        <v>0.0</v>
      </c>
      <c r="I181" s="34">
        <v>0.0</v>
      </c>
      <c r="J181" s="34">
        <v>0.0</v>
      </c>
      <c r="K181" s="34">
        <v>4.609129835E9</v>
      </c>
      <c r="L181" s="34">
        <v>1.981971695E9</v>
      </c>
      <c r="M181" s="34">
        <v>1074.0</v>
      </c>
      <c r="N181" s="33" t="s">
        <v>147</v>
      </c>
      <c r="O181" s="33">
        <v>24.0</v>
      </c>
      <c r="P181" s="33"/>
      <c r="Q181" s="33"/>
      <c r="R181" s="30"/>
      <c r="S181" s="30"/>
      <c r="T181" s="30"/>
      <c r="U181" s="30"/>
      <c r="V181" s="30"/>
      <c r="W181" s="30"/>
      <c r="X181" s="30"/>
      <c r="Y181" s="30"/>
      <c r="Z181" s="30"/>
    </row>
    <row r="182" ht="18.0" customHeight="1">
      <c r="A182" s="33">
        <v>1.4065212E8</v>
      </c>
      <c r="B182" s="33" t="s">
        <v>238</v>
      </c>
      <c r="C182" s="34">
        <v>1.9022845E7</v>
      </c>
      <c r="D182" s="32">
        <v>418634.0</v>
      </c>
      <c r="E182" s="34">
        <v>4736361.0</v>
      </c>
      <c r="F182" s="34">
        <v>2093014.0</v>
      </c>
      <c r="G182" s="34">
        <v>14525.0</v>
      </c>
      <c r="H182" s="34">
        <v>310893.0</v>
      </c>
      <c r="I182" s="34">
        <v>81061.0</v>
      </c>
      <c r="J182" s="34">
        <v>0.0</v>
      </c>
      <c r="K182" s="34">
        <v>1.6404456965E10</v>
      </c>
      <c r="L182" s="34">
        <v>1.7189586733E10</v>
      </c>
      <c r="M182" s="34">
        <v>5778.0</v>
      </c>
      <c r="N182" s="33" t="s">
        <v>147</v>
      </c>
      <c r="O182" s="33">
        <v>24.0</v>
      </c>
      <c r="P182" s="33"/>
      <c r="Q182" s="33"/>
      <c r="R182" s="30"/>
      <c r="S182" s="30"/>
      <c r="T182" s="30"/>
      <c r="U182" s="30"/>
      <c r="V182" s="30"/>
      <c r="W182" s="30"/>
      <c r="X182" s="30"/>
      <c r="Y182" s="30"/>
      <c r="Z182" s="30"/>
    </row>
    <row r="183" ht="18.0" customHeight="1">
      <c r="A183" s="31">
        <v>1.44068963E8</v>
      </c>
      <c r="B183" s="31" t="s">
        <v>239</v>
      </c>
      <c r="C183" s="32">
        <v>1.9018367E7</v>
      </c>
      <c r="D183" s="32">
        <v>167004.0</v>
      </c>
      <c r="E183" s="32">
        <v>1242154.0</v>
      </c>
      <c r="F183" s="32">
        <v>1892316.0</v>
      </c>
      <c r="G183" s="32">
        <v>10404.0</v>
      </c>
      <c r="H183" s="32">
        <v>7009.0</v>
      </c>
      <c r="I183" s="32">
        <v>57313.0</v>
      </c>
      <c r="J183" s="32">
        <v>0.0</v>
      </c>
      <c r="K183" s="32">
        <v>1.820033524E9</v>
      </c>
      <c r="L183" s="32">
        <v>200000.0</v>
      </c>
      <c r="M183" s="32">
        <v>323.0</v>
      </c>
      <c r="N183" s="31" t="s">
        <v>240</v>
      </c>
      <c r="O183" s="31">
        <v>25.0</v>
      </c>
      <c r="P183" s="31"/>
      <c r="Q183" s="31"/>
      <c r="R183" s="30"/>
      <c r="S183" s="30"/>
      <c r="T183" s="30"/>
      <c r="U183" s="30"/>
      <c r="V183" s="30"/>
      <c r="W183" s="30"/>
      <c r="X183" s="30"/>
      <c r="Y183" s="30"/>
      <c r="Z183" s="30"/>
    </row>
    <row r="184" ht="18.0" customHeight="1">
      <c r="A184" s="33">
        <v>1.44114159E8</v>
      </c>
      <c r="B184" s="33" t="s">
        <v>241</v>
      </c>
      <c r="C184" s="34">
        <v>1.8895267E7</v>
      </c>
      <c r="D184" s="32">
        <v>0.0</v>
      </c>
      <c r="E184" s="34">
        <v>606950.0</v>
      </c>
      <c r="F184" s="34">
        <v>78932.0</v>
      </c>
      <c r="G184" s="34">
        <v>21961.0</v>
      </c>
      <c r="H184" s="34">
        <v>9565.0</v>
      </c>
      <c r="I184" s="34">
        <v>11469.0</v>
      </c>
      <c r="J184" s="34">
        <v>0.0</v>
      </c>
      <c r="K184" s="34">
        <v>1.594669494E9</v>
      </c>
      <c r="L184" s="34">
        <v>1424156.0</v>
      </c>
      <c r="M184" s="34">
        <v>1973.0</v>
      </c>
      <c r="N184" s="33" t="s">
        <v>165</v>
      </c>
      <c r="O184" s="33">
        <v>23.0</v>
      </c>
      <c r="P184" s="33"/>
      <c r="Q184" s="33"/>
      <c r="R184" s="30"/>
      <c r="S184" s="30"/>
      <c r="T184" s="30"/>
      <c r="U184" s="30"/>
      <c r="V184" s="30"/>
      <c r="W184" s="30"/>
      <c r="X184" s="30"/>
      <c r="Y184" s="30"/>
      <c r="Z184" s="30"/>
    </row>
    <row r="185" ht="18.0" customHeight="1">
      <c r="A185" s="33">
        <v>1.77786882E8</v>
      </c>
      <c r="B185" s="33" t="s">
        <v>242</v>
      </c>
      <c r="C185" s="34">
        <v>1.8796361E7</v>
      </c>
      <c r="D185" s="32">
        <v>870294.0</v>
      </c>
      <c r="E185" s="34">
        <v>1441749.0</v>
      </c>
      <c r="F185" s="34">
        <v>5593.0</v>
      </c>
      <c r="G185" s="34">
        <v>5247.0</v>
      </c>
      <c r="H185" s="34">
        <v>67228.0</v>
      </c>
      <c r="I185" s="34">
        <v>38421.0</v>
      </c>
      <c r="J185" s="34">
        <v>0.0</v>
      </c>
      <c r="K185" s="34">
        <v>1.2356522304E10</v>
      </c>
      <c r="L185" s="34">
        <v>7.062626932E9</v>
      </c>
      <c r="M185" s="34">
        <v>3269.0</v>
      </c>
      <c r="N185" s="33" t="s">
        <v>153</v>
      </c>
      <c r="O185" s="33">
        <v>24.0</v>
      </c>
      <c r="P185" s="33"/>
      <c r="Q185" s="33"/>
      <c r="R185" s="30"/>
      <c r="S185" s="30"/>
      <c r="T185" s="30"/>
      <c r="U185" s="30"/>
      <c r="V185" s="30"/>
      <c r="W185" s="30"/>
      <c r="X185" s="30"/>
      <c r="Y185" s="30"/>
      <c r="Z185" s="30"/>
    </row>
    <row r="186" ht="18.0" customHeight="1">
      <c r="A186" s="31">
        <v>1.20777788E8</v>
      </c>
      <c r="B186" s="31" t="s">
        <v>243</v>
      </c>
      <c r="C186" s="32">
        <v>1.8732955E7</v>
      </c>
      <c r="D186" s="32">
        <v>0.0</v>
      </c>
      <c r="E186" s="32">
        <v>4909327.0</v>
      </c>
      <c r="F186" s="32">
        <v>2915331.0</v>
      </c>
      <c r="G186" s="32">
        <v>140139.0</v>
      </c>
      <c r="H186" s="32">
        <v>337930.0</v>
      </c>
      <c r="I186" s="32">
        <v>75001.0</v>
      </c>
      <c r="J186" s="32">
        <v>0.0</v>
      </c>
      <c r="K186" s="32">
        <v>8.548492805E9</v>
      </c>
      <c r="L186" s="32">
        <v>5.753862172E9</v>
      </c>
      <c r="M186" s="32">
        <v>2456.0</v>
      </c>
      <c r="N186" s="31" t="s">
        <v>66</v>
      </c>
      <c r="O186" s="31">
        <v>25.0</v>
      </c>
      <c r="P186" s="31"/>
      <c r="Q186" s="31"/>
      <c r="R186" s="30"/>
      <c r="S186" s="30"/>
      <c r="T186" s="30"/>
      <c r="U186" s="30"/>
      <c r="V186" s="30"/>
      <c r="W186" s="30"/>
      <c r="X186" s="30"/>
      <c r="Y186" s="30"/>
      <c r="Z186" s="30"/>
    </row>
    <row r="187" ht="18.0" customHeight="1">
      <c r="A187" s="33">
        <v>1.26974968E8</v>
      </c>
      <c r="B187" s="33" t="s">
        <v>244</v>
      </c>
      <c r="C187" s="34">
        <v>1.848273E7</v>
      </c>
      <c r="D187" s="32">
        <v>3200.0</v>
      </c>
      <c r="E187" s="34">
        <v>1232807.0</v>
      </c>
      <c r="F187" s="34">
        <v>877225.0</v>
      </c>
      <c r="G187" s="34">
        <v>5599.0</v>
      </c>
      <c r="H187" s="34">
        <v>56920.0</v>
      </c>
      <c r="I187" s="34">
        <v>25459.0</v>
      </c>
      <c r="J187" s="34">
        <v>0.0</v>
      </c>
      <c r="K187" s="34">
        <v>9.180884242E9</v>
      </c>
      <c r="L187" s="34">
        <v>1.0744214727E10</v>
      </c>
      <c r="M187" s="34">
        <v>2705.0</v>
      </c>
      <c r="N187" s="33" t="s">
        <v>94</v>
      </c>
      <c r="O187" s="33">
        <v>24.0</v>
      </c>
      <c r="P187" s="33"/>
      <c r="Q187" s="33"/>
      <c r="R187" s="30"/>
      <c r="S187" s="30"/>
      <c r="T187" s="30"/>
      <c r="U187" s="30"/>
      <c r="V187" s="30"/>
      <c r="W187" s="30"/>
      <c r="X187" s="30"/>
      <c r="Y187" s="30"/>
      <c r="Z187" s="30"/>
    </row>
    <row r="188" ht="18.0" customHeight="1">
      <c r="A188" s="31">
        <v>1.44115924E8</v>
      </c>
      <c r="B188" s="31" t="s">
        <v>245</v>
      </c>
      <c r="C188" s="32">
        <v>1.8316994E7</v>
      </c>
      <c r="D188" s="32">
        <v>-2754600.0</v>
      </c>
      <c r="E188" s="32">
        <v>1.9124142E7</v>
      </c>
      <c r="F188" s="32">
        <v>1791566.0</v>
      </c>
      <c r="G188" s="32">
        <v>125254.0</v>
      </c>
      <c r="H188" s="32">
        <v>1502410.0</v>
      </c>
      <c r="I188" s="32">
        <v>124389.0</v>
      </c>
      <c r="J188" s="32">
        <v>0.0</v>
      </c>
      <c r="K188" s="32">
        <v>2.705792817E9</v>
      </c>
      <c r="L188" s="32">
        <v>1.1541555E7</v>
      </c>
      <c r="M188" s="32">
        <v>8448.0</v>
      </c>
      <c r="N188" s="31" t="s">
        <v>66</v>
      </c>
      <c r="O188" s="31">
        <v>25.0</v>
      </c>
      <c r="P188" s="31"/>
      <c r="Q188" s="31"/>
      <c r="R188" s="30"/>
      <c r="S188" s="30"/>
      <c r="T188" s="30"/>
      <c r="U188" s="30"/>
      <c r="V188" s="30"/>
      <c r="W188" s="30"/>
      <c r="X188" s="30"/>
      <c r="Y188" s="30"/>
      <c r="Z188" s="30"/>
    </row>
    <row r="189" ht="18.0" customHeight="1">
      <c r="A189" s="33">
        <v>6.8552994E7</v>
      </c>
      <c r="B189" s="33" t="s">
        <v>246</v>
      </c>
      <c r="C189" s="34">
        <v>1.8011754E7</v>
      </c>
      <c r="D189" s="32">
        <v>258747.0</v>
      </c>
      <c r="E189" s="34">
        <v>1055186.0</v>
      </c>
      <c r="F189" s="34">
        <v>689492.0</v>
      </c>
      <c r="G189" s="34">
        <v>237673.0</v>
      </c>
      <c r="H189" s="34">
        <v>11356.0</v>
      </c>
      <c r="I189" s="34">
        <v>11638.0</v>
      </c>
      <c r="J189" s="34">
        <v>0.0</v>
      </c>
      <c r="K189" s="34">
        <v>8.715064882E9</v>
      </c>
      <c r="L189" s="34">
        <v>5.375385608E9</v>
      </c>
      <c r="M189" s="34">
        <v>4820.0</v>
      </c>
      <c r="N189" s="33" t="s">
        <v>147</v>
      </c>
      <c r="O189" s="33">
        <v>23.0</v>
      </c>
      <c r="P189" s="33"/>
      <c r="Q189" s="33"/>
      <c r="R189" s="30"/>
      <c r="S189" s="30"/>
      <c r="T189" s="30"/>
      <c r="U189" s="30"/>
      <c r="V189" s="30"/>
      <c r="W189" s="30"/>
      <c r="X189" s="30"/>
      <c r="Y189" s="30"/>
      <c r="Z189" s="30"/>
    </row>
    <row r="190" ht="18.0" customHeight="1">
      <c r="A190" s="33">
        <v>1.81616674E8</v>
      </c>
      <c r="B190" s="33" t="s">
        <v>247</v>
      </c>
      <c r="C190" s="34">
        <v>1.7976126E7</v>
      </c>
      <c r="D190" s="32">
        <v>159100.0</v>
      </c>
      <c r="E190" s="34">
        <v>-1.0</v>
      </c>
      <c r="F190" s="34">
        <v>0.0</v>
      </c>
      <c r="G190" s="34">
        <v>0.0</v>
      </c>
      <c r="H190" s="34">
        <v>0.0</v>
      </c>
      <c r="I190" s="34">
        <v>0.0</v>
      </c>
      <c r="J190" s="34">
        <v>0.0</v>
      </c>
      <c r="K190" s="34">
        <v>4.073345222E9</v>
      </c>
      <c r="L190" s="34">
        <v>3.231E9</v>
      </c>
      <c r="M190" s="34">
        <v>1159.0</v>
      </c>
      <c r="N190" s="33" t="s">
        <v>94</v>
      </c>
      <c r="O190" s="33">
        <v>23.0</v>
      </c>
      <c r="P190" s="33"/>
      <c r="Q190" s="33"/>
      <c r="R190" s="30"/>
      <c r="S190" s="30"/>
      <c r="T190" s="30"/>
      <c r="U190" s="30"/>
      <c r="V190" s="30"/>
      <c r="W190" s="30"/>
      <c r="X190" s="30"/>
      <c r="Y190" s="30"/>
      <c r="Z190" s="30"/>
    </row>
    <row r="191" ht="18.0" customHeight="1">
      <c r="A191" s="33">
        <v>1.78556109E8</v>
      </c>
      <c r="B191" s="33" t="s">
        <v>248</v>
      </c>
      <c r="C191" s="34">
        <v>1.7789916E7</v>
      </c>
      <c r="D191" s="32">
        <v>37600.0</v>
      </c>
      <c r="E191" s="34">
        <v>1240300.0</v>
      </c>
      <c r="F191" s="34">
        <v>125805.0</v>
      </c>
      <c r="G191" s="34">
        <v>0.0</v>
      </c>
      <c r="H191" s="34">
        <v>7308.0</v>
      </c>
      <c r="I191" s="34">
        <v>58361.0</v>
      </c>
      <c r="J191" s="34">
        <v>0.0</v>
      </c>
      <c r="K191" s="34">
        <v>1.3926230773E10</v>
      </c>
      <c r="L191" s="34">
        <v>1.2953362345E10</v>
      </c>
      <c r="M191" s="34">
        <v>3772.0</v>
      </c>
      <c r="N191" s="33" t="s">
        <v>153</v>
      </c>
      <c r="O191" s="33">
        <v>24.0</v>
      </c>
      <c r="P191" s="33"/>
      <c r="Q191" s="33"/>
      <c r="R191" s="30"/>
      <c r="S191" s="30"/>
      <c r="T191" s="30"/>
      <c r="U191" s="30"/>
      <c r="V191" s="30"/>
      <c r="W191" s="30"/>
      <c r="X191" s="30"/>
      <c r="Y191" s="30"/>
      <c r="Z191" s="30"/>
    </row>
    <row r="192" ht="18.0" customHeight="1">
      <c r="A192" s="31">
        <v>1.27147255E8</v>
      </c>
      <c r="B192" s="31" t="s">
        <v>249</v>
      </c>
      <c r="C192" s="32">
        <v>1.7678903E7</v>
      </c>
      <c r="D192" s="32">
        <v>6400.0</v>
      </c>
      <c r="E192" s="32">
        <v>1404762.0</v>
      </c>
      <c r="F192" s="32">
        <v>1620937.0</v>
      </c>
      <c r="G192" s="32">
        <v>43.0</v>
      </c>
      <c r="H192" s="32">
        <v>23523.0</v>
      </c>
      <c r="I192" s="32">
        <v>57743.0</v>
      </c>
      <c r="J192" s="32">
        <v>0.0</v>
      </c>
      <c r="K192" s="32">
        <v>1.013385717E10</v>
      </c>
      <c r="L192" s="32">
        <v>1.4714686735E10</v>
      </c>
      <c r="M192" s="32">
        <v>2980.0</v>
      </c>
      <c r="N192" s="31" t="s">
        <v>94</v>
      </c>
      <c r="O192" s="31">
        <v>25.0</v>
      </c>
      <c r="P192" s="31"/>
      <c r="Q192" s="31"/>
      <c r="R192" s="30"/>
      <c r="S192" s="30"/>
      <c r="T192" s="30"/>
      <c r="U192" s="30"/>
      <c r="V192" s="30"/>
      <c r="W192" s="30"/>
      <c r="X192" s="30"/>
      <c r="Y192" s="30"/>
      <c r="Z192" s="30"/>
    </row>
    <row r="193" ht="18.0" customHeight="1">
      <c r="A193" s="33">
        <v>1.79309911E8</v>
      </c>
      <c r="B193" s="33" t="s">
        <v>250</v>
      </c>
      <c r="C193" s="34">
        <v>1.7561737E7</v>
      </c>
      <c r="D193" s="32">
        <v>128900.0</v>
      </c>
      <c r="E193" s="34">
        <v>3890814.0</v>
      </c>
      <c r="F193" s="34">
        <v>1965416.0</v>
      </c>
      <c r="G193" s="34">
        <v>53021.0</v>
      </c>
      <c r="H193" s="34">
        <v>321382.0</v>
      </c>
      <c r="I193" s="34">
        <v>23229.0</v>
      </c>
      <c r="J193" s="34">
        <v>0.0</v>
      </c>
      <c r="K193" s="34">
        <v>5.791009629E9</v>
      </c>
      <c r="L193" s="34">
        <v>3.928426222E9</v>
      </c>
      <c r="M193" s="34">
        <v>1496.0</v>
      </c>
      <c r="N193" s="33" t="s">
        <v>94</v>
      </c>
      <c r="O193" s="33">
        <v>24.0</v>
      </c>
      <c r="P193" s="33"/>
      <c r="Q193" s="33"/>
      <c r="R193" s="30"/>
      <c r="S193" s="30"/>
      <c r="T193" s="30"/>
      <c r="U193" s="30"/>
      <c r="V193" s="30"/>
      <c r="W193" s="30"/>
      <c r="X193" s="30"/>
      <c r="Y193" s="30"/>
      <c r="Z193" s="30"/>
    </row>
    <row r="194" ht="18.0" customHeight="1">
      <c r="A194" s="31">
        <v>3.5412124E7</v>
      </c>
      <c r="B194" s="31" t="s">
        <v>251</v>
      </c>
      <c r="C194" s="32">
        <v>1.7327493E7</v>
      </c>
      <c r="D194" s="32">
        <v>928360.0</v>
      </c>
      <c r="E194" s="32">
        <v>1.0090278E7</v>
      </c>
      <c r="F194" s="32">
        <v>1122929.0</v>
      </c>
      <c r="G194" s="32">
        <v>597662.0</v>
      </c>
      <c r="H194" s="32">
        <v>478561.0</v>
      </c>
      <c r="I194" s="32">
        <v>75045.0</v>
      </c>
      <c r="J194" s="32">
        <v>0.0</v>
      </c>
      <c r="K194" s="32">
        <v>4.21135419E8</v>
      </c>
      <c r="L194" s="32">
        <v>1709320.0</v>
      </c>
      <c r="M194" s="32">
        <v>1151.0</v>
      </c>
      <c r="N194" s="31" t="s">
        <v>165</v>
      </c>
      <c r="O194" s="31">
        <v>25.0</v>
      </c>
      <c r="P194" s="31"/>
      <c r="Q194" s="31"/>
      <c r="R194" s="30"/>
      <c r="S194" s="30"/>
      <c r="T194" s="30"/>
      <c r="U194" s="30"/>
      <c r="V194" s="30"/>
      <c r="W194" s="30"/>
      <c r="X194" s="30"/>
      <c r="Y194" s="30"/>
      <c r="Z194" s="30"/>
    </row>
    <row r="195" ht="18.0" customHeight="1">
      <c r="A195" s="31">
        <v>9.9317493E7</v>
      </c>
      <c r="B195" s="31" t="s">
        <v>252</v>
      </c>
      <c r="C195" s="32">
        <v>1.7273554E7</v>
      </c>
      <c r="D195" s="32">
        <v>0.0</v>
      </c>
      <c r="E195" s="32">
        <v>1.1147718E7</v>
      </c>
      <c r="F195" s="32">
        <v>2481046.0</v>
      </c>
      <c r="G195" s="32">
        <v>49534.0</v>
      </c>
      <c r="H195" s="32">
        <v>893317.0</v>
      </c>
      <c r="I195" s="32">
        <v>67760.0</v>
      </c>
      <c r="J195" s="32">
        <v>0.0</v>
      </c>
      <c r="K195" s="32">
        <v>2.983028283E9</v>
      </c>
      <c r="L195" s="32">
        <v>5.3065867E7</v>
      </c>
      <c r="M195" s="32">
        <v>3769.0</v>
      </c>
      <c r="N195" s="31" t="s">
        <v>126</v>
      </c>
      <c r="O195" s="31">
        <v>25.0</v>
      </c>
      <c r="P195" s="31"/>
      <c r="Q195" s="31"/>
      <c r="R195" s="30"/>
      <c r="S195" s="30"/>
      <c r="T195" s="30"/>
      <c r="U195" s="30"/>
      <c r="V195" s="30"/>
      <c r="W195" s="30"/>
      <c r="X195" s="30"/>
      <c r="Y195" s="30"/>
      <c r="Z195" s="30"/>
    </row>
    <row r="196" ht="18.0" customHeight="1">
      <c r="A196" s="33">
        <v>1.28213955E8</v>
      </c>
      <c r="B196" s="33" t="s">
        <v>253</v>
      </c>
      <c r="C196" s="34">
        <v>1.6908427E7</v>
      </c>
      <c r="D196" s="32">
        <v>4800.0</v>
      </c>
      <c r="E196" s="34">
        <v>75852.0</v>
      </c>
      <c r="F196" s="34">
        <v>0.0</v>
      </c>
      <c r="G196" s="34">
        <v>720.0</v>
      </c>
      <c r="H196" s="34">
        <v>1254.0</v>
      </c>
      <c r="I196" s="34">
        <v>0.0</v>
      </c>
      <c r="J196" s="34">
        <v>0.0</v>
      </c>
      <c r="K196" s="34">
        <v>1.0073584499E10</v>
      </c>
      <c r="L196" s="34">
        <v>1.1921863581E10</v>
      </c>
      <c r="M196" s="34">
        <v>2524.0</v>
      </c>
      <c r="N196" s="33" t="s">
        <v>94</v>
      </c>
      <c r="O196" s="33">
        <v>24.0</v>
      </c>
      <c r="P196" s="33"/>
      <c r="Q196" s="33"/>
      <c r="R196" s="30"/>
      <c r="S196" s="30"/>
      <c r="T196" s="30"/>
      <c r="U196" s="30"/>
      <c r="V196" s="30"/>
      <c r="W196" s="30"/>
      <c r="X196" s="30"/>
      <c r="Y196" s="30"/>
      <c r="Z196" s="30"/>
    </row>
    <row r="197" ht="18.0" customHeight="1">
      <c r="A197" s="31">
        <v>9.397707E7</v>
      </c>
      <c r="B197" s="31" t="s">
        <v>254</v>
      </c>
      <c r="C197" s="32">
        <v>1.6850004E7</v>
      </c>
      <c r="D197" s="32">
        <v>0.0</v>
      </c>
      <c r="E197" s="32">
        <v>3.811219E7</v>
      </c>
      <c r="F197" s="32">
        <v>1456459.0</v>
      </c>
      <c r="G197" s="32">
        <v>81043.0</v>
      </c>
      <c r="H197" s="32">
        <v>3217566.0</v>
      </c>
      <c r="I197" s="32">
        <v>239867.0</v>
      </c>
      <c r="J197" s="32">
        <v>0.0</v>
      </c>
      <c r="K197" s="32">
        <v>4.819682768E9</v>
      </c>
      <c r="L197" s="32">
        <v>1.976E9</v>
      </c>
      <c r="M197" s="32">
        <v>30218.0</v>
      </c>
      <c r="N197" s="31" t="s">
        <v>66</v>
      </c>
      <c r="O197" s="31">
        <v>25.0</v>
      </c>
      <c r="P197" s="31"/>
      <c r="Q197" s="31"/>
      <c r="R197" s="30"/>
      <c r="S197" s="30"/>
      <c r="T197" s="30"/>
      <c r="U197" s="30"/>
      <c r="V197" s="30"/>
      <c r="W197" s="30"/>
      <c r="X197" s="30"/>
      <c r="Y197" s="30"/>
      <c r="Z197" s="30"/>
    </row>
    <row r="198" ht="18.0" customHeight="1">
      <c r="A198" s="31">
        <v>7.1555883E7</v>
      </c>
      <c r="B198" s="31" t="s">
        <v>255</v>
      </c>
      <c r="C198" s="32">
        <v>1.6787569E7</v>
      </c>
      <c r="D198" s="32">
        <v>130372.0</v>
      </c>
      <c r="E198" s="32">
        <v>1838661.0</v>
      </c>
      <c r="F198" s="32">
        <v>1117765.0</v>
      </c>
      <c r="G198" s="32">
        <v>5589.0</v>
      </c>
      <c r="H198" s="32">
        <v>146958.0</v>
      </c>
      <c r="I198" s="32">
        <v>16770.0</v>
      </c>
      <c r="J198" s="32">
        <v>0.0</v>
      </c>
      <c r="K198" s="32">
        <v>6.469889917E9</v>
      </c>
      <c r="L198" s="32">
        <v>3.468927907E9</v>
      </c>
      <c r="M198" s="32">
        <v>2204.0</v>
      </c>
      <c r="N198" s="31" t="s">
        <v>66</v>
      </c>
      <c r="O198" s="31">
        <v>25.0</v>
      </c>
      <c r="P198" s="31"/>
      <c r="Q198" s="31"/>
      <c r="R198" s="30"/>
      <c r="S198" s="30"/>
      <c r="T198" s="30"/>
      <c r="U198" s="30"/>
      <c r="V198" s="30"/>
      <c r="W198" s="30"/>
      <c r="X198" s="30"/>
      <c r="Y198" s="30"/>
      <c r="Z198" s="30"/>
    </row>
    <row r="199" ht="18.0" customHeight="1">
      <c r="A199" s="31">
        <v>9.3652844E7</v>
      </c>
      <c r="B199" s="31" t="s">
        <v>256</v>
      </c>
      <c r="C199" s="32">
        <v>1.6672197E7</v>
      </c>
      <c r="D199" s="32">
        <v>97500.0</v>
      </c>
      <c r="E199" s="32">
        <v>155776.0</v>
      </c>
      <c r="F199" s="32">
        <v>1024.0</v>
      </c>
      <c r="G199" s="32">
        <v>9910.0</v>
      </c>
      <c r="H199" s="32">
        <v>3171.0</v>
      </c>
      <c r="I199" s="32">
        <v>4808.0</v>
      </c>
      <c r="J199" s="32">
        <v>0.0</v>
      </c>
      <c r="K199" s="32">
        <v>6.418599372E9</v>
      </c>
      <c r="L199" s="32">
        <v>5.567250887E9</v>
      </c>
      <c r="M199" s="32">
        <v>2017.0</v>
      </c>
      <c r="N199" s="31" t="s">
        <v>153</v>
      </c>
      <c r="O199" s="31">
        <v>25.0</v>
      </c>
      <c r="P199" s="31"/>
      <c r="Q199" s="31"/>
      <c r="R199" s="30"/>
      <c r="S199" s="30"/>
      <c r="T199" s="30"/>
      <c r="U199" s="30"/>
      <c r="V199" s="30"/>
      <c r="W199" s="30"/>
      <c r="X199" s="30"/>
      <c r="Y199" s="30"/>
      <c r="Z199" s="30"/>
    </row>
    <row r="200" ht="18.0" customHeight="1">
      <c r="A200" s="33">
        <v>1.67715529E8</v>
      </c>
      <c r="B200" s="33" t="s">
        <v>257</v>
      </c>
      <c r="C200" s="34">
        <v>1.6293655E7</v>
      </c>
      <c r="D200" s="32">
        <v>225108.0</v>
      </c>
      <c r="E200" s="34">
        <v>584533.0</v>
      </c>
      <c r="F200" s="34">
        <v>2873.0</v>
      </c>
      <c r="G200" s="34">
        <v>4417.0</v>
      </c>
      <c r="H200" s="34">
        <v>55661.0</v>
      </c>
      <c r="I200" s="34">
        <v>1352.0</v>
      </c>
      <c r="J200" s="34">
        <v>0.0</v>
      </c>
      <c r="K200" s="34">
        <v>9.146079226E9</v>
      </c>
      <c r="L200" s="34">
        <v>6.044415749E9</v>
      </c>
      <c r="M200" s="34">
        <v>1918.0</v>
      </c>
      <c r="N200" s="33" t="s">
        <v>153</v>
      </c>
      <c r="O200" s="33">
        <v>24.0</v>
      </c>
      <c r="P200" s="33"/>
      <c r="Q200" s="33"/>
      <c r="R200" s="30"/>
      <c r="S200" s="30"/>
      <c r="T200" s="30"/>
      <c r="U200" s="30"/>
      <c r="V200" s="30"/>
      <c r="W200" s="30"/>
      <c r="X200" s="30"/>
      <c r="Y200" s="30"/>
      <c r="Z200" s="30"/>
    </row>
    <row r="201" ht="18.0" customHeight="1">
      <c r="A201" s="33">
        <v>1.59431767E8</v>
      </c>
      <c r="B201" s="33" t="s">
        <v>258</v>
      </c>
      <c r="C201" s="34">
        <v>1.5842187E7</v>
      </c>
      <c r="D201" s="32">
        <v>230339.0</v>
      </c>
      <c r="E201" s="34">
        <v>-1.0</v>
      </c>
      <c r="F201" s="34">
        <v>0.0</v>
      </c>
      <c r="G201" s="34">
        <v>0.0</v>
      </c>
      <c r="H201" s="34">
        <v>0.0</v>
      </c>
      <c r="I201" s="34">
        <v>0.0</v>
      </c>
      <c r="J201" s="34">
        <v>0.0</v>
      </c>
      <c r="K201" s="34">
        <v>5.571735514E9</v>
      </c>
      <c r="L201" s="34">
        <v>2.92994722E9</v>
      </c>
      <c r="M201" s="34">
        <v>1132.0</v>
      </c>
      <c r="N201" s="33" t="s">
        <v>147</v>
      </c>
      <c r="O201" s="33">
        <v>24.0</v>
      </c>
      <c r="P201" s="33"/>
      <c r="Q201" s="33"/>
      <c r="R201" s="30"/>
      <c r="S201" s="30"/>
      <c r="T201" s="30"/>
      <c r="U201" s="30"/>
      <c r="V201" s="30"/>
      <c r="W201" s="30"/>
      <c r="X201" s="30"/>
      <c r="Y201" s="30"/>
      <c r="Z201" s="30"/>
    </row>
    <row r="202" ht="18.0" customHeight="1">
      <c r="A202" s="33">
        <v>6.0296031E7</v>
      </c>
      <c r="B202" s="33" t="s">
        <v>259</v>
      </c>
      <c r="C202" s="34">
        <v>1.573786E7</v>
      </c>
      <c r="D202" s="32">
        <v>293067.0</v>
      </c>
      <c r="E202" s="34">
        <v>1625285.0</v>
      </c>
      <c r="F202" s="34">
        <v>620082.0</v>
      </c>
      <c r="G202" s="34">
        <v>235309.0</v>
      </c>
      <c r="H202" s="34">
        <v>66549.0</v>
      </c>
      <c r="I202" s="34">
        <v>10739.0</v>
      </c>
      <c r="J202" s="34">
        <v>0.0</v>
      </c>
      <c r="K202" s="34">
        <v>1.62205474E8</v>
      </c>
      <c r="L202" s="34">
        <v>1.8999572E7</v>
      </c>
      <c r="M202" s="34">
        <v>1572.0</v>
      </c>
      <c r="N202" s="33" t="s">
        <v>66</v>
      </c>
      <c r="O202" s="33">
        <v>23.0</v>
      </c>
      <c r="P202" s="33"/>
      <c r="Q202" s="33"/>
      <c r="R202" s="30"/>
      <c r="S202" s="30"/>
      <c r="T202" s="30"/>
      <c r="U202" s="30"/>
      <c r="V202" s="30"/>
      <c r="W202" s="30"/>
      <c r="X202" s="30"/>
      <c r="Y202" s="30"/>
      <c r="Z202" s="30"/>
    </row>
    <row r="203" ht="18.0" customHeight="1">
      <c r="A203" s="33">
        <v>1.59674611E8</v>
      </c>
      <c r="B203" s="33" t="s">
        <v>260</v>
      </c>
      <c r="C203" s="34">
        <v>1.5680688E7</v>
      </c>
      <c r="D203" s="32">
        <v>-255580.0</v>
      </c>
      <c r="E203" s="34">
        <v>932235.0</v>
      </c>
      <c r="F203" s="34">
        <v>136798.0</v>
      </c>
      <c r="G203" s="34">
        <v>509198.0</v>
      </c>
      <c r="H203" s="34">
        <v>5166.0</v>
      </c>
      <c r="I203" s="34">
        <v>0.0</v>
      </c>
      <c r="J203" s="34">
        <v>0.0</v>
      </c>
      <c r="K203" s="34">
        <v>3.205619678E9</v>
      </c>
      <c r="L203" s="34">
        <v>8.00719676E8</v>
      </c>
      <c r="M203" s="34">
        <v>2398.0</v>
      </c>
      <c r="N203" s="33" t="s">
        <v>94</v>
      </c>
      <c r="O203" s="33">
        <v>23.0</v>
      </c>
      <c r="P203" s="33"/>
      <c r="Q203" s="33"/>
      <c r="R203" s="30"/>
      <c r="S203" s="30"/>
      <c r="T203" s="30"/>
      <c r="U203" s="30"/>
      <c r="V203" s="30"/>
      <c r="W203" s="30"/>
      <c r="X203" s="30"/>
      <c r="Y203" s="30"/>
      <c r="Z203" s="30"/>
    </row>
    <row r="204" ht="18.0" customHeight="1">
      <c r="A204" s="33">
        <v>1.96555794E8</v>
      </c>
      <c r="B204" s="33" t="s">
        <v>261</v>
      </c>
      <c r="C204" s="34">
        <v>1.5463298E7</v>
      </c>
      <c r="D204" s="32">
        <v>31300.0</v>
      </c>
      <c r="E204" s="34">
        <v>112502.0</v>
      </c>
      <c r="F204" s="34">
        <v>0.0</v>
      </c>
      <c r="G204" s="34">
        <v>105330.0</v>
      </c>
      <c r="H204" s="34">
        <v>401.0</v>
      </c>
      <c r="I204" s="34">
        <v>158.0</v>
      </c>
      <c r="J204" s="34">
        <v>0.0</v>
      </c>
      <c r="K204" s="34">
        <v>5.209206413E9</v>
      </c>
      <c r="L204" s="34">
        <v>2.2616587E9</v>
      </c>
      <c r="M204" s="34">
        <v>2803.0</v>
      </c>
      <c r="N204" s="33" t="s">
        <v>94</v>
      </c>
      <c r="O204" s="33">
        <v>23.0</v>
      </c>
      <c r="P204" s="33"/>
      <c r="Q204" s="33"/>
      <c r="R204" s="30"/>
      <c r="S204" s="30"/>
      <c r="T204" s="30"/>
      <c r="U204" s="30"/>
      <c r="V204" s="30"/>
      <c r="W204" s="30"/>
      <c r="X204" s="30"/>
      <c r="Y204" s="30"/>
      <c r="Z204" s="30"/>
    </row>
    <row r="205" ht="18.0" customHeight="1">
      <c r="A205" s="31">
        <v>1.75281453E8</v>
      </c>
      <c r="B205" s="31" t="s">
        <v>262</v>
      </c>
      <c r="C205" s="32">
        <v>1.5443322E7</v>
      </c>
      <c r="D205" s="32">
        <v>0.0</v>
      </c>
      <c r="E205" s="32">
        <v>1.212492E7</v>
      </c>
      <c r="F205" s="32">
        <v>1075106.0</v>
      </c>
      <c r="G205" s="32">
        <v>633100.0</v>
      </c>
      <c r="H205" s="32">
        <v>323471.0</v>
      </c>
      <c r="I205" s="32">
        <v>252193.0</v>
      </c>
      <c r="J205" s="32">
        <v>0.0</v>
      </c>
      <c r="K205" s="32">
        <v>3.991526195E9</v>
      </c>
      <c r="L205" s="32">
        <v>3.141644157E9</v>
      </c>
      <c r="M205" s="32">
        <v>12695.0</v>
      </c>
      <c r="N205" s="31" t="s">
        <v>66</v>
      </c>
      <c r="O205" s="31">
        <v>25.0</v>
      </c>
      <c r="P205" s="31"/>
      <c r="Q205" s="31"/>
      <c r="R205" s="30"/>
      <c r="S205" s="30"/>
      <c r="T205" s="30"/>
      <c r="U205" s="30"/>
      <c r="V205" s="30"/>
      <c r="W205" s="30"/>
      <c r="X205" s="30"/>
      <c r="Y205" s="30"/>
      <c r="Z205" s="30"/>
    </row>
    <row r="206" ht="18.0" customHeight="1">
      <c r="A206" s="33">
        <v>1.44078795E8</v>
      </c>
      <c r="B206" s="33" t="s">
        <v>263</v>
      </c>
      <c r="C206" s="34">
        <v>1.5330385E7</v>
      </c>
      <c r="D206" s="32">
        <v>334703.0</v>
      </c>
      <c r="E206" s="34">
        <v>625179.0</v>
      </c>
      <c r="F206" s="34">
        <v>811915.0</v>
      </c>
      <c r="G206" s="34">
        <v>1515.0</v>
      </c>
      <c r="H206" s="34">
        <v>40282.0</v>
      </c>
      <c r="I206" s="34">
        <v>10908.0</v>
      </c>
      <c r="J206" s="34">
        <v>0.0</v>
      </c>
      <c r="K206" s="34">
        <v>1.694133E7</v>
      </c>
      <c r="L206" s="34">
        <v>3904993.0</v>
      </c>
      <c r="M206" s="34">
        <v>1678.0</v>
      </c>
      <c r="N206" s="33" t="s">
        <v>264</v>
      </c>
      <c r="O206" s="33">
        <v>22.0</v>
      </c>
      <c r="P206" s="33"/>
      <c r="Q206" s="33"/>
      <c r="R206" s="30"/>
      <c r="S206" s="30"/>
      <c r="T206" s="30"/>
      <c r="U206" s="30"/>
      <c r="V206" s="30"/>
      <c r="W206" s="30"/>
      <c r="X206" s="30"/>
      <c r="Y206" s="30"/>
      <c r="Z206" s="30"/>
    </row>
    <row r="207" ht="18.0" customHeight="1">
      <c r="A207" s="31">
        <v>1.80504744E8</v>
      </c>
      <c r="B207" s="31" t="s">
        <v>265</v>
      </c>
      <c r="C207" s="32">
        <v>1.5091163E7</v>
      </c>
      <c r="D207" s="32">
        <v>236544.0</v>
      </c>
      <c r="E207" s="32">
        <v>646300.0</v>
      </c>
      <c r="F207" s="32">
        <v>682678.0</v>
      </c>
      <c r="G207" s="32">
        <v>26994.0</v>
      </c>
      <c r="H207" s="32">
        <v>61147.0</v>
      </c>
      <c r="I207" s="32">
        <v>951.0</v>
      </c>
      <c r="J207" s="32">
        <v>0.0</v>
      </c>
      <c r="K207" s="32">
        <v>2.15541915E9</v>
      </c>
      <c r="L207" s="32">
        <v>6.82759846E8</v>
      </c>
      <c r="M207" s="32">
        <v>899.0</v>
      </c>
      <c r="N207" s="31" t="s">
        <v>66</v>
      </c>
      <c r="O207" s="31">
        <v>25.0</v>
      </c>
      <c r="P207" s="31"/>
      <c r="Q207" s="31"/>
      <c r="R207" s="30"/>
      <c r="S207" s="30"/>
      <c r="T207" s="30"/>
      <c r="U207" s="30"/>
      <c r="V207" s="30"/>
      <c r="W207" s="30"/>
      <c r="X207" s="30"/>
      <c r="Y207" s="30"/>
      <c r="Z207" s="30"/>
    </row>
    <row r="208" ht="18.0" customHeight="1">
      <c r="A208" s="33">
        <v>1.67721298E8</v>
      </c>
      <c r="B208" s="33" t="s">
        <v>266</v>
      </c>
      <c r="C208" s="34">
        <v>1.5029501E7</v>
      </c>
      <c r="D208" s="32">
        <v>6400.0</v>
      </c>
      <c r="E208" s="34">
        <v>8969284.0</v>
      </c>
      <c r="F208" s="34">
        <v>1497386.0</v>
      </c>
      <c r="G208" s="34">
        <v>45213.0</v>
      </c>
      <c r="H208" s="34">
        <v>642441.0</v>
      </c>
      <c r="I208" s="34">
        <v>114691.0</v>
      </c>
      <c r="J208" s="34">
        <v>0.0</v>
      </c>
      <c r="K208" s="34">
        <v>1.3554969874E10</v>
      </c>
      <c r="L208" s="34">
        <v>1.0235811063E10</v>
      </c>
      <c r="M208" s="34">
        <v>2329.0</v>
      </c>
      <c r="N208" s="33" t="s">
        <v>94</v>
      </c>
      <c r="O208" s="33">
        <v>24.0</v>
      </c>
      <c r="P208" s="33"/>
      <c r="Q208" s="33"/>
      <c r="R208" s="30"/>
      <c r="S208" s="30"/>
      <c r="T208" s="30"/>
      <c r="U208" s="30"/>
      <c r="V208" s="30"/>
      <c r="W208" s="30"/>
      <c r="X208" s="30"/>
      <c r="Y208" s="30"/>
      <c r="Z208" s="30"/>
    </row>
    <row r="209" ht="18.0" customHeight="1">
      <c r="A209" s="31">
        <v>1.50861707E8</v>
      </c>
      <c r="B209" s="31" t="s">
        <v>267</v>
      </c>
      <c r="C209" s="32">
        <v>1.4965246E7</v>
      </c>
      <c r="D209" s="32">
        <v>9555.0</v>
      </c>
      <c r="E209" s="32">
        <v>144961.0</v>
      </c>
      <c r="F209" s="32">
        <v>268080.0</v>
      </c>
      <c r="G209" s="32">
        <v>3157.0</v>
      </c>
      <c r="H209" s="32">
        <v>7001.0</v>
      </c>
      <c r="I209" s="32">
        <v>1167.0</v>
      </c>
      <c r="J209" s="32">
        <v>0.0</v>
      </c>
      <c r="K209" s="32">
        <v>2.115031058E9</v>
      </c>
      <c r="L209" s="32">
        <v>5.16520147E8</v>
      </c>
      <c r="M209" s="32">
        <v>1235.0</v>
      </c>
      <c r="N209" s="31" t="s">
        <v>66</v>
      </c>
      <c r="O209" s="31">
        <v>25.0</v>
      </c>
      <c r="P209" s="31"/>
      <c r="Q209" s="31"/>
      <c r="R209" s="30"/>
      <c r="S209" s="30"/>
      <c r="T209" s="30"/>
      <c r="U209" s="30"/>
      <c r="V209" s="30"/>
      <c r="W209" s="30"/>
      <c r="X209" s="30"/>
      <c r="Y209" s="30"/>
      <c r="Z209" s="30"/>
    </row>
    <row r="210" ht="18.0" customHeight="1">
      <c r="A210" s="33">
        <v>1.77632834E8</v>
      </c>
      <c r="B210" s="33" t="s">
        <v>268</v>
      </c>
      <c r="C210" s="34">
        <v>1.4867207E7</v>
      </c>
      <c r="D210" s="32">
        <v>301813.0</v>
      </c>
      <c r="E210" s="34">
        <v>1711538.0</v>
      </c>
      <c r="F210" s="34">
        <v>980481.0</v>
      </c>
      <c r="G210" s="34">
        <v>1912.0</v>
      </c>
      <c r="H210" s="34">
        <v>19146.0</v>
      </c>
      <c r="I210" s="34">
        <v>75090.0</v>
      </c>
      <c r="J210" s="34">
        <v>0.0</v>
      </c>
      <c r="K210" s="34">
        <v>1.895336914E9</v>
      </c>
      <c r="L210" s="34">
        <v>6.37001512E8</v>
      </c>
      <c r="M210" s="34">
        <v>1183.0</v>
      </c>
      <c r="N210" s="33" t="s">
        <v>147</v>
      </c>
      <c r="O210" s="33">
        <v>24.0</v>
      </c>
      <c r="P210" s="33"/>
      <c r="Q210" s="33"/>
      <c r="R210" s="30"/>
      <c r="S210" s="30"/>
      <c r="T210" s="30"/>
      <c r="U210" s="30"/>
      <c r="V210" s="30"/>
      <c r="W210" s="30"/>
      <c r="X210" s="30"/>
      <c r="Y210" s="30"/>
      <c r="Z210" s="30"/>
    </row>
    <row r="211" ht="18.0" customHeight="1">
      <c r="A211" s="33">
        <v>1.44056117E8</v>
      </c>
      <c r="B211" s="33" t="s">
        <v>269</v>
      </c>
      <c r="C211" s="34">
        <v>1.4811502E7</v>
      </c>
      <c r="D211" s="32">
        <v>0.0</v>
      </c>
      <c r="E211" s="34">
        <v>3285581.0</v>
      </c>
      <c r="F211" s="34">
        <v>1090347.0</v>
      </c>
      <c r="G211" s="34">
        <v>90017.0</v>
      </c>
      <c r="H211" s="34">
        <v>134161.0</v>
      </c>
      <c r="I211" s="34">
        <v>41198.0</v>
      </c>
      <c r="J211" s="34">
        <v>0.0</v>
      </c>
      <c r="K211" s="34">
        <v>2.618983945E9</v>
      </c>
      <c r="L211" s="34">
        <v>1030848.0</v>
      </c>
      <c r="M211" s="34">
        <v>860.0</v>
      </c>
      <c r="N211" s="33" t="s">
        <v>66</v>
      </c>
      <c r="O211" s="33">
        <v>23.0</v>
      </c>
      <c r="P211" s="33"/>
      <c r="Q211" s="33"/>
      <c r="R211" s="30"/>
      <c r="S211" s="30"/>
      <c r="T211" s="30"/>
      <c r="U211" s="30"/>
      <c r="V211" s="30"/>
      <c r="W211" s="30"/>
      <c r="X211" s="30"/>
      <c r="Y211" s="30"/>
      <c r="Z211" s="30"/>
    </row>
    <row r="212" ht="18.0" customHeight="1">
      <c r="A212" s="33">
        <v>1.92309473E8</v>
      </c>
      <c r="B212" s="33" t="s">
        <v>270</v>
      </c>
      <c r="C212" s="34">
        <v>1.4806927E7</v>
      </c>
      <c r="D212" s="32">
        <v>21700.0</v>
      </c>
      <c r="E212" s="34">
        <v>-1.0</v>
      </c>
      <c r="F212" s="34">
        <v>0.0</v>
      </c>
      <c r="G212" s="34">
        <v>0.0</v>
      </c>
      <c r="H212" s="34">
        <v>0.0</v>
      </c>
      <c r="I212" s="34">
        <v>0.0</v>
      </c>
      <c r="J212" s="34">
        <v>0.0</v>
      </c>
      <c r="K212" s="34">
        <v>6.184490236E9</v>
      </c>
      <c r="L212" s="34">
        <v>2.406281775E9</v>
      </c>
      <c r="M212" s="34">
        <v>1361.0</v>
      </c>
      <c r="N212" s="33" t="s">
        <v>147</v>
      </c>
      <c r="O212" s="33">
        <v>24.0</v>
      </c>
      <c r="P212" s="33"/>
      <c r="Q212" s="33"/>
      <c r="R212" s="30"/>
      <c r="S212" s="30"/>
      <c r="T212" s="30"/>
      <c r="U212" s="30"/>
      <c r="V212" s="30"/>
      <c r="W212" s="30"/>
      <c r="X212" s="30"/>
      <c r="Y212" s="30"/>
      <c r="Z212" s="30"/>
    </row>
    <row r="213" ht="18.0" customHeight="1">
      <c r="A213" s="33">
        <v>1.31105326E8</v>
      </c>
      <c r="B213" s="33" t="s">
        <v>271</v>
      </c>
      <c r="C213" s="34">
        <v>1.478296E7</v>
      </c>
      <c r="D213" s="32">
        <v>4800.0</v>
      </c>
      <c r="E213" s="34">
        <v>52342.0</v>
      </c>
      <c r="F213" s="34">
        <v>0.0</v>
      </c>
      <c r="G213" s="34">
        <v>8582.0</v>
      </c>
      <c r="H213" s="34">
        <v>3649.0</v>
      </c>
      <c r="I213" s="34">
        <v>0.0</v>
      </c>
      <c r="J213" s="34">
        <v>0.0</v>
      </c>
      <c r="K213" s="34">
        <v>7.999568742E9</v>
      </c>
      <c r="L213" s="34">
        <v>9.49152173E9</v>
      </c>
      <c r="M213" s="34">
        <v>1660.0</v>
      </c>
      <c r="N213" s="33" t="s">
        <v>94</v>
      </c>
      <c r="O213" s="33">
        <v>24.0</v>
      </c>
      <c r="P213" s="33"/>
      <c r="Q213" s="33"/>
      <c r="R213" s="30"/>
      <c r="S213" s="30"/>
      <c r="T213" s="30"/>
      <c r="U213" s="30"/>
      <c r="V213" s="30"/>
      <c r="W213" s="30"/>
      <c r="X213" s="30"/>
      <c r="Y213" s="30"/>
      <c r="Z213" s="30"/>
    </row>
    <row r="214" ht="18.0" customHeight="1">
      <c r="A214" s="33">
        <v>1.92376835E8</v>
      </c>
      <c r="B214" s="33" t="s">
        <v>272</v>
      </c>
      <c r="C214" s="34">
        <v>1.4709841E7</v>
      </c>
      <c r="D214" s="32">
        <v>5300.0</v>
      </c>
      <c r="E214" s="34">
        <v>-1.0</v>
      </c>
      <c r="F214" s="34">
        <v>0.0</v>
      </c>
      <c r="G214" s="34">
        <v>0.0</v>
      </c>
      <c r="H214" s="34">
        <v>0.0</v>
      </c>
      <c r="I214" s="34">
        <v>0.0</v>
      </c>
      <c r="J214" s="34">
        <v>0.0</v>
      </c>
      <c r="K214" s="34">
        <v>5.984735492E9</v>
      </c>
      <c r="L214" s="34">
        <v>2.225148957E9</v>
      </c>
      <c r="M214" s="34">
        <v>1385.0</v>
      </c>
      <c r="N214" s="33" t="s">
        <v>147</v>
      </c>
      <c r="O214" s="33">
        <v>24.0</v>
      </c>
      <c r="P214" s="33"/>
      <c r="Q214" s="33"/>
      <c r="R214" s="30"/>
      <c r="S214" s="30"/>
      <c r="T214" s="30"/>
      <c r="U214" s="30"/>
      <c r="V214" s="30"/>
      <c r="W214" s="30"/>
      <c r="X214" s="30"/>
      <c r="Y214" s="30"/>
      <c r="Z214" s="30"/>
    </row>
    <row r="215" ht="18.0" customHeight="1">
      <c r="A215" s="33">
        <v>1.68857269E8</v>
      </c>
      <c r="B215" s="33" t="s">
        <v>273</v>
      </c>
      <c r="C215" s="34">
        <v>1.4680134E7</v>
      </c>
      <c r="D215" s="32">
        <v>55672.0</v>
      </c>
      <c r="E215" s="34">
        <v>6789291.0</v>
      </c>
      <c r="F215" s="34">
        <v>1357929.0</v>
      </c>
      <c r="G215" s="34">
        <v>39286.0</v>
      </c>
      <c r="H215" s="34">
        <v>609241.0</v>
      </c>
      <c r="I215" s="34">
        <v>31548.0</v>
      </c>
      <c r="J215" s="34">
        <v>0.0</v>
      </c>
      <c r="K215" s="34">
        <v>4.006456684E9</v>
      </c>
      <c r="L215" s="34">
        <v>1.10214296E9</v>
      </c>
      <c r="M215" s="34">
        <v>1629.0</v>
      </c>
      <c r="N215" s="33" t="s">
        <v>102</v>
      </c>
      <c r="O215" s="33">
        <v>24.0</v>
      </c>
      <c r="P215" s="33"/>
      <c r="Q215" s="33"/>
      <c r="R215" s="30"/>
      <c r="S215" s="30"/>
      <c r="T215" s="30"/>
      <c r="U215" s="30"/>
      <c r="V215" s="30"/>
      <c r="W215" s="30"/>
      <c r="X215" s="30"/>
      <c r="Y215" s="30"/>
      <c r="Z215" s="30"/>
    </row>
    <row r="216" ht="18.0" customHeight="1">
      <c r="A216" s="33">
        <v>1.76614955E8</v>
      </c>
      <c r="B216" s="33" t="s">
        <v>274</v>
      </c>
      <c r="C216" s="34">
        <v>1.438868E7</v>
      </c>
      <c r="D216" s="32">
        <v>168000.0</v>
      </c>
      <c r="E216" s="34">
        <v>2911595.0</v>
      </c>
      <c r="F216" s="34">
        <v>178776.0</v>
      </c>
      <c r="G216" s="34">
        <v>206889.0</v>
      </c>
      <c r="H216" s="34">
        <v>246985.0</v>
      </c>
      <c r="I216" s="34">
        <v>1.0</v>
      </c>
      <c r="J216" s="34">
        <v>0.0</v>
      </c>
      <c r="K216" s="34">
        <v>1.0802725974E10</v>
      </c>
      <c r="L216" s="34">
        <v>9.643822428E9</v>
      </c>
      <c r="M216" s="34">
        <v>5077.0</v>
      </c>
      <c r="N216" s="33" t="s">
        <v>147</v>
      </c>
      <c r="O216" s="33">
        <v>24.0</v>
      </c>
      <c r="P216" s="33"/>
      <c r="Q216" s="33"/>
      <c r="R216" s="30"/>
      <c r="S216" s="30"/>
      <c r="T216" s="30"/>
      <c r="U216" s="30"/>
      <c r="V216" s="30"/>
      <c r="W216" s="30"/>
      <c r="X216" s="30"/>
      <c r="Y216" s="30"/>
      <c r="Z216" s="30"/>
    </row>
    <row r="217" ht="18.0" customHeight="1">
      <c r="A217" s="33">
        <v>9.0073079E7</v>
      </c>
      <c r="B217" s="33" t="s">
        <v>275</v>
      </c>
      <c r="C217" s="34">
        <v>1.4301637E7</v>
      </c>
      <c r="D217" s="32">
        <v>900.0</v>
      </c>
      <c r="E217" s="34">
        <v>442264.0</v>
      </c>
      <c r="F217" s="34">
        <v>12587.0</v>
      </c>
      <c r="G217" s="34">
        <v>95320.0</v>
      </c>
      <c r="H217" s="34">
        <v>8707.0</v>
      </c>
      <c r="I217" s="34">
        <v>0.0</v>
      </c>
      <c r="J217" s="34">
        <v>0.0</v>
      </c>
      <c r="K217" s="34">
        <v>1.215407125E10</v>
      </c>
      <c r="L217" s="34">
        <v>1.4125839151E10</v>
      </c>
      <c r="M217" s="34">
        <v>5211.0</v>
      </c>
      <c r="N217" s="33" t="s">
        <v>94</v>
      </c>
      <c r="O217" s="33">
        <v>22.0</v>
      </c>
      <c r="P217" s="33"/>
      <c r="Q217" s="33"/>
      <c r="R217" s="30"/>
      <c r="S217" s="30"/>
      <c r="T217" s="30"/>
      <c r="U217" s="30"/>
      <c r="V217" s="30"/>
      <c r="W217" s="30"/>
      <c r="X217" s="30"/>
      <c r="Y217" s="30"/>
      <c r="Z217" s="30"/>
    </row>
    <row r="218" ht="18.0" customHeight="1">
      <c r="A218" s="33">
        <v>4.7157775E7</v>
      </c>
      <c r="B218" s="33" t="s">
        <v>276</v>
      </c>
      <c r="C218" s="34">
        <v>1.420533E7</v>
      </c>
      <c r="D218" s="32">
        <v>625644.0</v>
      </c>
      <c r="E218" s="34">
        <v>469490.0</v>
      </c>
      <c r="F218" s="34">
        <v>719004.0</v>
      </c>
      <c r="G218" s="34">
        <v>1153.0</v>
      </c>
      <c r="H218" s="34">
        <v>7698.0</v>
      </c>
      <c r="I218" s="34">
        <v>10645.0</v>
      </c>
      <c r="J218" s="34">
        <v>0.0</v>
      </c>
      <c r="K218" s="34">
        <v>2.4759636802E10</v>
      </c>
      <c r="L218" s="34">
        <v>2.2769300142E10</v>
      </c>
      <c r="M218" s="34">
        <v>3162.0</v>
      </c>
      <c r="N218" s="33" t="s">
        <v>147</v>
      </c>
      <c r="O218" s="33">
        <v>24.0</v>
      </c>
      <c r="P218" s="33"/>
      <c r="Q218" s="33"/>
      <c r="R218" s="30"/>
      <c r="S218" s="30"/>
      <c r="T218" s="30"/>
      <c r="U218" s="30"/>
      <c r="V218" s="30"/>
      <c r="W218" s="30"/>
      <c r="X218" s="30"/>
      <c r="Y218" s="30"/>
      <c r="Z218" s="30"/>
    </row>
    <row r="219" ht="18.0" customHeight="1">
      <c r="A219" s="33">
        <v>1.44075646E8</v>
      </c>
      <c r="B219" s="33" t="s">
        <v>277</v>
      </c>
      <c r="C219" s="34">
        <v>1.4166374E7</v>
      </c>
      <c r="D219" s="32">
        <v>679606.0</v>
      </c>
      <c r="E219" s="34">
        <v>7432.0</v>
      </c>
      <c r="F219" s="34">
        <v>0.0</v>
      </c>
      <c r="G219" s="34">
        <v>1501.0</v>
      </c>
      <c r="H219" s="34">
        <v>379.0</v>
      </c>
      <c r="I219" s="34">
        <v>0.0</v>
      </c>
      <c r="J219" s="34">
        <v>0.0</v>
      </c>
      <c r="K219" s="34">
        <v>7.12353598E8</v>
      </c>
      <c r="L219" s="34">
        <v>0.0</v>
      </c>
      <c r="M219" s="34">
        <v>458.0</v>
      </c>
      <c r="N219" s="33" t="s">
        <v>165</v>
      </c>
      <c r="O219" s="33">
        <v>22.0</v>
      </c>
      <c r="P219" s="33"/>
      <c r="Q219" s="33"/>
      <c r="R219" s="30"/>
      <c r="S219" s="30"/>
      <c r="T219" s="30"/>
      <c r="U219" s="30"/>
      <c r="V219" s="30"/>
      <c r="W219" s="30"/>
      <c r="X219" s="30"/>
      <c r="Y219" s="30"/>
      <c r="Z219" s="30"/>
    </row>
    <row r="220" ht="18.0" customHeight="1">
      <c r="A220" s="33">
        <v>1.90202885E8</v>
      </c>
      <c r="B220" s="33" t="s">
        <v>278</v>
      </c>
      <c r="C220" s="34">
        <v>1.4085678E7</v>
      </c>
      <c r="D220" s="32">
        <v>503027.0</v>
      </c>
      <c r="E220" s="34">
        <v>6.0</v>
      </c>
      <c r="F220" s="34">
        <v>0.0</v>
      </c>
      <c r="G220" s="34">
        <v>30.0</v>
      </c>
      <c r="H220" s="34">
        <v>0.0</v>
      </c>
      <c r="I220" s="34">
        <v>0.0</v>
      </c>
      <c r="J220" s="34">
        <v>0.0</v>
      </c>
      <c r="K220" s="34">
        <v>3.257039231E9</v>
      </c>
      <c r="L220" s="34">
        <v>1.05660658E9</v>
      </c>
      <c r="M220" s="34">
        <v>1208.0</v>
      </c>
      <c r="N220" s="33" t="s">
        <v>153</v>
      </c>
      <c r="O220" s="33">
        <v>23.0</v>
      </c>
      <c r="P220" s="33"/>
      <c r="Q220" s="33"/>
      <c r="R220" s="30"/>
      <c r="S220" s="30"/>
      <c r="T220" s="30"/>
      <c r="U220" s="30"/>
      <c r="V220" s="30"/>
      <c r="W220" s="30"/>
      <c r="X220" s="30"/>
      <c r="Y220" s="30"/>
      <c r="Z220" s="30"/>
    </row>
    <row r="221" ht="18.0" customHeight="1">
      <c r="A221" s="33">
        <v>8.7312053E7</v>
      </c>
      <c r="B221" s="33" t="s">
        <v>279</v>
      </c>
      <c r="C221" s="34">
        <v>1.4054748E7</v>
      </c>
      <c r="D221" s="32">
        <v>7469.0</v>
      </c>
      <c r="E221" s="34">
        <v>1422545.0</v>
      </c>
      <c r="F221" s="34">
        <v>137846.0</v>
      </c>
      <c r="G221" s="34">
        <v>205069.0</v>
      </c>
      <c r="H221" s="34">
        <v>11703.0</v>
      </c>
      <c r="I221" s="34">
        <v>0.0</v>
      </c>
      <c r="J221" s="34">
        <v>0.0</v>
      </c>
      <c r="K221" s="34">
        <v>1.1735705575E10</v>
      </c>
      <c r="L221" s="34">
        <v>1.2808499449E10</v>
      </c>
      <c r="M221" s="34">
        <v>6537.0</v>
      </c>
      <c r="N221" s="33" t="s">
        <v>94</v>
      </c>
      <c r="O221" s="33">
        <v>22.0</v>
      </c>
      <c r="P221" s="33"/>
      <c r="Q221" s="33"/>
      <c r="R221" s="30"/>
      <c r="S221" s="30"/>
      <c r="T221" s="30"/>
      <c r="U221" s="30"/>
      <c r="V221" s="30"/>
      <c r="W221" s="30"/>
      <c r="X221" s="30"/>
      <c r="Y221" s="30"/>
      <c r="Z221" s="30"/>
    </row>
    <row r="222" ht="18.0" customHeight="1">
      <c r="A222" s="33">
        <v>1.83302822E8</v>
      </c>
      <c r="B222" s="33" t="s">
        <v>280</v>
      </c>
      <c r="C222" s="34">
        <v>1.3989484E7</v>
      </c>
      <c r="D222" s="32">
        <v>-234744.0</v>
      </c>
      <c r="E222" s="34">
        <v>1213986.0</v>
      </c>
      <c r="F222" s="34">
        <v>1823052.0</v>
      </c>
      <c r="G222" s="34">
        <v>28604.0</v>
      </c>
      <c r="H222" s="34">
        <v>64450.0</v>
      </c>
      <c r="I222" s="34">
        <v>20850.0</v>
      </c>
      <c r="J222" s="34">
        <v>0.0</v>
      </c>
      <c r="K222" s="34">
        <v>4.646369673E9</v>
      </c>
      <c r="L222" s="34">
        <v>3.570526469E9</v>
      </c>
      <c r="M222" s="34">
        <v>1446.0</v>
      </c>
      <c r="N222" s="33" t="s">
        <v>94</v>
      </c>
      <c r="O222" s="33">
        <v>24.0</v>
      </c>
      <c r="P222" s="33"/>
      <c r="Q222" s="33"/>
      <c r="R222" s="30"/>
      <c r="S222" s="30"/>
      <c r="T222" s="30"/>
      <c r="U222" s="30"/>
      <c r="V222" s="30"/>
      <c r="W222" s="30"/>
      <c r="X222" s="30"/>
      <c r="Y222" s="30"/>
      <c r="Z222" s="30"/>
    </row>
    <row r="223" ht="18.0" customHeight="1">
      <c r="A223" s="31">
        <v>7.1567044E7</v>
      </c>
      <c r="B223" s="31" t="s">
        <v>281</v>
      </c>
      <c r="C223" s="32">
        <v>1.3860833E7</v>
      </c>
      <c r="D223" s="32">
        <v>39755.0</v>
      </c>
      <c r="E223" s="32">
        <v>1250888.0</v>
      </c>
      <c r="F223" s="32">
        <v>1994097.0</v>
      </c>
      <c r="G223" s="32">
        <v>5454.0</v>
      </c>
      <c r="H223" s="32">
        <v>85522.0</v>
      </c>
      <c r="I223" s="32">
        <v>16819.0</v>
      </c>
      <c r="J223" s="32">
        <v>0.0</v>
      </c>
      <c r="K223" s="32">
        <v>6.310019388E9</v>
      </c>
      <c r="L223" s="32">
        <v>3.794800747E9</v>
      </c>
      <c r="M223" s="32">
        <v>2203.0</v>
      </c>
      <c r="N223" s="31" t="s">
        <v>282</v>
      </c>
      <c r="O223" s="31">
        <v>25.0</v>
      </c>
      <c r="P223" s="31"/>
      <c r="Q223" s="31"/>
      <c r="R223" s="30"/>
      <c r="S223" s="30"/>
      <c r="T223" s="30"/>
      <c r="U223" s="30"/>
      <c r="V223" s="30"/>
      <c r="W223" s="30"/>
      <c r="X223" s="30"/>
      <c r="Y223" s="30"/>
      <c r="Z223" s="30"/>
    </row>
    <row r="224" ht="18.0" customHeight="1">
      <c r="A224" s="31">
        <v>1.79651678E8</v>
      </c>
      <c r="B224" s="31" t="s">
        <v>283</v>
      </c>
      <c r="C224" s="32">
        <v>1.3852235E7</v>
      </c>
      <c r="D224" s="32">
        <v>826918.0</v>
      </c>
      <c r="E224" s="32">
        <v>1.021925E7</v>
      </c>
      <c r="F224" s="32">
        <v>1786794.0</v>
      </c>
      <c r="G224" s="32">
        <v>593624.0</v>
      </c>
      <c r="H224" s="32">
        <v>647464.0</v>
      </c>
      <c r="I224" s="32">
        <v>176737.0</v>
      </c>
      <c r="J224" s="32">
        <v>0.0</v>
      </c>
      <c r="K224" s="32">
        <v>5.612173127E9</v>
      </c>
      <c r="L224" s="32">
        <v>3.687058363E9</v>
      </c>
      <c r="M224" s="32">
        <v>2228.0</v>
      </c>
      <c r="N224" s="31" t="s">
        <v>153</v>
      </c>
      <c r="O224" s="31">
        <v>25.0</v>
      </c>
      <c r="P224" s="31"/>
      <c r="Q224" s="31"/>
      <c r="R224" s="30"/>
      <c r="S224" s="30"/>
      <c r="T224" s="30"/>
      <c r="U224" s="30"/>
      <c r="V224" s="30"/>
      <c r="W224" s="30"/>
      <c r="X224" s="30"/>
      <c r="Y224" s="30"/>
      <c r="Z224" s="30"/>
    </row>
    <row r="225" ht="18.0" customHeight="1">
      <c r="A225" s="31">
        <v>6.7692991E7</v>
      </c>
      <c r="B225" s="31" t="s">
        <v>284</v>
      </c>
      <c r="C225" s="32">
        <v>1.3619931E7</v>
      </c>
      <c r="D225" s="32">
        <v>900.0</v>
      </c>
      <c r="E225" s="32">
        <v>5.5674397E7</v>
      </c>
      <c r="F225" s="32">
        <v>3523654.0</v>
      </c>
      <c r="G225" s="32">
        <v>254237.0</v>
      </c>
      <c r="H225" s="32">
        <v>2653898.0</v>
      </c>
      <c r="I225" s="32">
        <v>1373193.0</v>
      </c>
      <c r="J225" s="32">
        <v>0.0</v>
      </c>
      <c r="K225" s="32">
        <v>6.627150685E9</v>
      </c>
      <c r="L225" s="32">
        <v>5.997427785E9</v>
      </c>
      <c r="M225" s="32">
        <v>5170.0</v>
      </c>
      <c r="N225" s="31" t="s">
        <v>147</v>
      </c>
      <c r="O225" s="31">
        <v>25.0</v>
      </c>
      <c r="P225" s="31"/>
      <c r="Q225" s="31"/>
      <c r="R225" s="30"/>
      <c r="S225" s="30"/>
      <c r="T225" s="30"/>
      <c r="U225" s="30"/>
      <c r="V225" s="30"/>
      <c r="W225" s="30"/>
      <c r="X225" s="30"/>
      <c r="Y225" s="30"/>
      <c r="Z225" s="30"/>
    </row>
    <row r="226" ht="18.0" customHeight="1">
      <c r="A226" s="33">
        <v>8.9432154E7</v>
      </c>
      <c r="B226" s="33" t="s">
        <v>285</v>
      </c>
      <c r="C226" s="34">
        <v>1.3569545E7</v>
      </c>
      <c r="D226" s="32">
        <v>1000.0</v>
      </c>
      <c r="E226" s="34">
        <v>2306854.0</v>
      </c>
      <c r="F226" s="34">
        <v>552580.0</v>
      </c>
      <c r="G226" s="34">
        <v>11044.0</v>
      </c>
      <c r="H226" s="34">
        <v>192874.0</v>
      </c>
      <c r="I226" s="34">
        <v>0.0</v>
      </c>
      <c r="J226" s="34">
        <v>0.0</v>
      </c>
      <c r="K226" s="34">
        <v>1.2086149882E10</v>
      </c>
      <c r="L226" s="34">
        <v>1.3664419277E10</v>
      </c>
      <c r="M226" s="34">
        <v>4638.0</v>
      </c>
      <c r="N226" s="33" t="s">
        <v>94</v>
      </c>
      <c r="O226" s="33">
        <v>22.0</v>
      </c>
      <c r="P226" s="33"/>
      <c r="Q226" s="33"/>
      <c r="R226" s="30"/>
      <c r="S226" s="30"/>
      <c r="T226" s="30"/>
      <c r="U226" s="30"/>
      <c r="V226" s="30"/>
      <c r="W226" s="30"/>
      <c r="X226" s="30"/>
      <c r="Y226" s="30"/>
      <c r="Z226" s="30"/>
    </row>
    <row r="227" ht="18.0" customHeight="1">
      <c r="A227" s="33">
        <v>1.5265234E8</v>
      </c>
      <c r="B227" s="33" t="s">
        <v>286</v>
      </c>
      <c r="C227" s="34">
        <v>1.3560835E7</v>
      </c>
      <c r="D227" s="32">
        <v>3440.0</v>
      </c>
      <c r="E227" s="34">
        <v>3280939.0</v>
      </c>
      <c r="F227" s="34">
        <v>2379037.0</v>
      </c>
      <c r="G227" s="34">
        <v>18066.0</v>
      </c>
      <c r="H227" s="34">
        <v>179178.0</v>
      </c>
      <c r="I227" s="34">
        <v>53452.0</v>
      </c>
      <c r="J227" s="34">
        <v>0.0</v>
      </c>
      <c r="K227" s="34">
        <v>8.032663324E9</v>
      </c>
      <c r="L227" s="34">
        <v>6.079254025E9</v>
      </c>
      <c r="M227" s="34">
        <v>1610.0</v>
      </c>
      <c r="N227" s="33" t="s">
        <v>94</v>
      </c>
      <c r="O227" s="33">
        <v>24.0</v>
      </c>
      <c r="P227" s="33"/>
      <c r="Q227" s="33"/>
      <c r="R227" s="30"/>
      <c r="S227" s="30"/>
      <c r="T227" s="30"/>
      <c r="U227" s="30"/>
      <c r="V227" s="30"/>
      <c r="W227" s="30"/>
      <c r="X227" s="30"/>
      <c r="Y227" s="30"/>
      <c r="Z227" s="30"/>
    </row>
    <row r="228" ht="18.0" customHeight="1">
      <c r="A228" s="33">
        <v>1.52653457E8</v>
      </c>
      <c r="B228" s="33" t="s">
        <v>287</v>
      </c>
      <c r="C228" s="34">
        <v>1.3250276E7</v>
      </c>
      <c r="D228" s="32">
        <v>7140.0</v>
      </c>
      <c r="E228" s="34">
        <v>3195669.0</v>
      </c>
      <c r="F228" s="34">
        <v>2692068.0</v>
      </c>
      <c r="G228" s="34">
        <v>37019.0</v>
      </c>
      <c r="H228" s="34">
        <v>144359.0</v>
      </c>
      <c r="I228" s="34">
        <v>72708.0</v>
      </c>
      <c r="J228" s="34">
        <v>0.0</v>
      </c>
      <c r="K228" s="34">
        <v>8.015360485E9</v>
      </c>
      <c r="L228" s="34">
        <v>5.980600601E9</v>
      </c>
      <c r="M228" s="34">
        <v>1533.0</v>
      </c>
      <c r="N228" s="33" t="s">
        <v>94</v>
      </c>
      <c r="O228" s="33">
        <v>24.0</v>
      </c>
      <c r="P228" s="33"/>
      <c r="Q228" s="33"/>
      <c r="R228" s="30"/>
      <c r="S228" s="30"/>
      <c r="T228" s="30"/>
      <c r="U228" s="30"/>
      <c r="V228" s="30"/>
      <c r="W228" s="30"/>
      <c r="X228" s="30"/>
      <c r="Y228" s="30"/>
      <c r="Z228" s="30"/>
    </row>
    <row r="229" ht="18.0" customHeight="1">
      <c r="A229" s="33">
        <v>8.7531547E7</v>
      </c>
      <c r="B229" s="33" t="s">
        <v>288</v>
      </c>
      <c r="C229" s="34">
        <v>1.3222284E7</v>
      </c>
      <c r="D229" s="32">
        <v>2333.0</v>
      </c>
      <c r="E229" s="34">
        <v>1588813.0</v>
      </c>
      <c r="F229" s="34">
        <v>692135.0</v>
      </c>
      <c r="G229" s="34">
        <v>309639.0</v>
      </c>
      <c r="H229" s="34">
        <v>82124.0</v>
      </c>
      <c r="I229" s="34">
        <v>962.0</v>
      </c>
      <c r="J229" s="34">
        <v>0.0</v>
      </c>
      <c r="K229" s="34">
        <v>1.0954882695E10</v>
      </c>
      <c r="L229" s="34">
        <v>1.1860015365E10</v>
      </c>
      <c r="M229" s="34">
        <v>4070.0</v>
      </c>
      <c r="N229" s="33" t="s">
        <v>94</v>
      </c>
      <c r="O229" s="33">
        <v>22.0</v>
      </c>
      <c r="P229" s="33"/>
      <c r="Q229" s="33"/>
      <c r="R229" s="30"/>
      <c r="S229" s="30"/>
      <c r="T229" s="30"/>
      <c r="U229" s="30"/>
      <c r="V229" s="30"/>
      <c r="W229" s="30"/>
      <c r="X229" s="30"/>
      <c r="Y229" s="30"/>
      <c r="Z229" s="30"/>
    </row>
    <row r="230" ht="18.0" customHeight="1">
      <c r="A230" s="33">
        <v>2.4777206E7</v>
      </c>
      <c r="B230" s="33" t="s">
        <v>289</v>
      </c>
      <c r="C230" s="34">
        <v>1.3184512E7</v>
      </c>
      <c r="D230" s="32">
        <v>99633.0</v>
      </c>
      <c r="E230" s="34">
        <v>3178989.0</v>
      </c>
      <c r="F230" s="34">
        <v>1435029.0</v>
      </c>
      <c r="G230" s="34">
        <v>23338.0</v>
      </c>
      <c r="H230" s="34">
        <v>52691.0</v>
      </c>
      <c r="I230" s="34">
        <v>90243.0</v>
      </c>
      <c r="J230" s="34">
        <v>0.0</v>
      </c>
      <c r="K230" s="34">
        <v>4.08494407E9</v>
      </c>
      <c r="L230" s="34">
        <v>6.196163634E9</v>
      </c>
      <c r="M230" s="34">
        <v>2583.0</v>
      </c>
      <c r="N230" s="33" t="s">
        <v>153</v>
      </c>
      <c r="O230" s="33">
        <v>23.0</v>
      </c>
      <c r="P230" s="33"/>
      <c r="Q230" s="33"/>
      <c r="R230" s="30"/>
      <c r="S230" s="30"/>
      <c r="T230" s="30"/>
      <c r="U230" s="30"/>
      <c r="V230" s="30"/>
      <c r="W230" s="30"/>
      <c r="X230" s="30"/>
      <c r="Y230" s="30"/>
      <c r="Z230" s="30"/>
    </row>
    <row r="231" ht="18.0" customHeight="1">
      <c r="A231" s="33">
        <v>1.51248241E8</v>
      </c>
      <c r="B231" s="33" t="s">
        <v>290</v>
      </c>
      <c r="C231" s="34">
        <v>1.3153626E7</v>
      </c>
      <c r="D231" s="32">
        <v>32000.0</v>
      </c>
      <c r="E231" s="34">
        <v>1371541.0</v>
      </c>
      <c r="F231" s="34">
        <v>94486.0</v>
      </c>
      <c r="G231" s="34">
        <v>6395.0</v>
      </c>
      <c r="H231" s="34">
        <v>126790.0</v>
      </c>
      <c r="I231" s="34">
        <v>0.0</v>
      </c>
      <c r="J231" s="34">
        <v>0.0</v>
      </c>
      <c r="K231" s="34">
        <v>3.012605081E9</v>
      </c>
      <c r="L231" s="34">
        <v>7.26817496E8</v>
      </c>
      <c r="M231" s="34">
        <v>5940.0</v>
      </c>
      <c r="N231" s="33" t="s">
        <v>94</v>
      </c>
      <c r="O231" s="33">
        <v>24.0</v>
      </c>
      <c r="P231" s="33"/>
      <c r="Q231" s="33"/>
      <c r="R231" s="30"/>
      <c r="S231" s="30"/>
      <c r="T231" s="30"/>
      <c r="U231" s="30"/>
      <c r="V231" s="30"/>
      <c r="W231" s="30"/>
      <c r="X231" s="30"/>
      <c r="Y231" s="30"/>
      <c r="Z231" s="30"/>
    </row>
    <row r="232" ht="18.0" customHeight="1">
      <c r="A232" s="33">
        <v>1.73868631E8</v>
      </c>
      <c r="B232" s="33" t="s">
        <v>291</v>
      </c>
      <c r="C232" s="34">
        <v>1.3089113E7</v>
      </c>
      <c r="D232" s="32">
        <v>774001.0</v>
      </c>
      <c r="E232" s="34">
        <v>994926.0</v>
      </c>
      <c r="F232" s="34">
        <v>242253.0</v>
      </c>
      <c r="G232" s="34">
        <v>19361.0</v>
      </c>
      <c r="H232" s="34">
        <v>3755.0</v>
      </c>
      <c r="I232" s="34">
        <v>0.0</v>
      </c>
      <c r="J232" s="34">
        <v>0.0</v>
      </c>
      <c r="K232" s="34">
        <v>6.777576248E9</v>
      </c>
      <c r="L232" s="34">
        <v>9.65895874E9</v>
      </c>
      <c r="M232" s="34">
        <v>2484.0</v>
      </c>
      <c r="N232" s="33" t="s">
        <v>94</v>
      </c>
      <c r="O232" s="33">
        <v>22.0</v>
      </c>
      <c r="P232" s="33"/>
      <c r="Q232" s="33"/>
      <c r="R232" s="30"/>
      <c r="S232" s="30"/>
      <c r="T232" s="30"/>
      <c r="U232" s="30"/>
      <c r="V232" s="30"/>
      <c r="W232" s="30"/>
      <c r="X232" s="30"/>
      <c r="Y232" s="30"/>
      <c r="Z232" s="30"/>
    </row>
    <row r="233" ht="18.0" customHeight="1">
      <c r="A233" s="33">
        <v>1.73962432E8</v>
      </c>
      <c r="B233" s="33" t="s">
        <v>292</v>
      </c>
      <c r="C233" s="34">
        <v>1.3026211E7</v>
      </c>
      <c r="D233" s="32">
        <v>910209.0</v>
      </c>
      <c r="E233" s="34">
        <v>602784.0</v>
      </c>
      <c r="F233" s="34">
        <v>53647.0</v>
      </c>
      <c r="G233" s="34">
        <v>74.0</v>
      </c>
      <c r="H233" s="34">
        <v>56829.0</v>
      </c>
      <c r="I233" s="34">
        <v>1724.0</v>
      </c>
      <c r="J233" s="34">
        <v>0.0</v>
      </c>
      <c r="K233" s="34">
        <v>5.031722064E9</v>
      </c>
      <c r="L233" s="34">
        <v>6.231882195E9</v>
      </c>
      <c r="M233" s="34">
        <v>1558.0</v>
      </c>
      <c r="N233" s="33" t="s">
        <v>94</v>
      </c>
      <c r="O233" s="33">
        <v>23.0</v>
      </c>
      <c r="P233" s="33"/>
      <c r="Q233" s="33"/>
      <c r="R233" s="30"/>
      <c r="S233" s="30"/>
      <c r="T233" s="30"/>
      <c r="U233" s="30"/>
      <c r="V233" s="30"/>
      <c r="W233" s="30"/>
      <c r="X233" s="30"/>
      <c r="Y233" s="30"/>
      <c r="Z233" s="30"/>
    </row>
    <row r="234" ht="18.0" customHeight="1">
      <c r="A234" s="33">
        <v>1.77647871E8</v>
      </c>
      <c r="B234" s="33" t="s">
        <v>293</v>
      </c>
      <c r="C234" s="34">
        <v>1.2944023E7</v>
      </c>
      <c r="D234" s="32">
        <v>217600.0</v>
      </c>
      <c r="E234" s="34">
        <v>255311.0</v>
      </c>
      <c r="F234" s="34">
        <v>0.0</v>
      </c>
      <c r="G234" s="34">
        <v>21295.0</v>
      </c>
      <c r="H234" s="34">
        <v>14770.0</v>
      </c>
      <c r="I234" s="34">
        <v>0.0</v>
      </c>
      <c r="J234" s="34">
        <v>0.0</v>
      </c>
      <c r="K234" s="34">
        <v>2.363599595E9</v>
      </c>
      <c r="L234" s="34">
        <v>2.153868023E9</v>
      </c>
      <c r="M234" s="34">
        <v>809.0</v>
      </c>
      <c r="N234" s="33" t="s">
        <v>153</v>
      </c>
      <c r="O234" s="33">
        <v>23.0</v>
      </c>
      <c r="P234" s="33"/>
      <c r="Q234" s="33"/>
      <c r="R234" s="30"/>
      <c r="S234" s="30"/>
      <c r="T234" s="30"/>
      <c r="U234" s="30"/>
      <c r="V234" s="30"/>
      <c r="W234" s="30"/>
      <c r="X234" s="30"/>
      <c r="Y234" s="30"/>
      <c r="Z234" s="30"/>
    </row>
    <row r="235" ht="18.0" customHeight="1">
      <c r="A235" s="33">
        <v>1.78759749E8</v>
      </c>
      <c r="B235" s="33" t="s">
        <v>294</v>
      </c>
      <c r="C235" s="34">
        <v>1.2928351E7</v>
      </c>
      <c r="D235" s="32">
        <v>179200.0</v>
      </c>
      <c r="E235" s="34">
        <v>123088.0</v>
      </c>
      <c r="F235" s="34">
        <v>127880.0</v>
      </c>
      <c r="G235" s="34">
        <v>362.0</v>
      </c>
      <c r="H235" s="34">
        <v>8565.0</v>
      </c>
      <c r="I235" s="34">
        <v>0.0</v>
      </c>
      <c r="J235" s="34">
        <v>0.0</v>
      </c>
      <c r="K235" s="34">
        <v>7.302473387E9</v>
      </c>
      <c r="L235" s="34">
        <v>5.702011369E9</v>
      </c>
      <c r="M235" s="34">
        <v>1575.0</v>
      </c>
      <c r="N235" s="33" t="s">
        <v>147</v>
      </c>
      <c r="O235" s="33">
        <v>24.0</v>
      </c>
      <c r="P235" s="33"/>
      <c r="Q235" s="33"/>
      <c r="R235" s="30"/>
      <c r="S235" s="30"/>
      <c r="T235" s="30"/>
      <c r="U235" s="30"/>
      <c r="V235" s="30"/>
      <c r="W235" s="30"/>
      <c r="X235" s="30"/>
      <c r="Y235" s="30"/>
      <c r="Z235" s="30"/>
    </row>
    <row r="236" ht="18.0" customHeight="1">
      <c r="A236" s="33">
        <v>1.44003473E8</v>
      </c>
      <c r="B236" s="33" t="s">
        <v>295</v>
      </c>
      <c r="C236" s="34">
        <v>1.2851173E7</v>
      </c>
      <c r="D236" s="32">
        <v>160766.0</v>
      </c>
      <c r="E236" s="34">
        <v>2748308.0</v>
      </c>
      <c r="F236" s="34">
        <v>799051.0</v>
      </c>
      <c r="G236" s="34">
        <v>10740.0</v>
      </c>
      <c r="H236" s="34">
        <v>206424.0</v>
      </c>
      <c r="I236" s="34">
        <v>26473.0</v>
      </c>
      <c r="J236" s="34">
        <v>0.0</v>
      </c>
      <c r="K236" s="34">
        <v>6.712607375E9</v>
      </c>
      <c r="L236" s="34">
        <v>3.39326158E9</v>
      </c>
      <c r="M236" s="34">
        <v>2545.0</v>
      </c>
      <c r="N236" s="33" t="s">
        <v>94</v>
      </c>
      <c r="O236" s="33">
        <v>24.0</v>
      </c>
      <c r="P236" s="33"/>
      <c r="Q236" s="33"/>
      <c r="R236" s="30"/>
      <c r="S236" s="30"/>
      <c r="T236" s="30"/>
      <c r="U236" s="30"/>
      <c r="V236" s="30"/>
      <c r="W236" s="30"/>
      <c r="X236" s="30"/>
      <c r="Y236" s="30"/>
      <c r="Z236" s="30"/>
    </row>
    <row r="237" ht="18.0" customHeight="1">
      <c r="A237" s="31">
        <v>1.4402991E8</v>
      </c>
      <c r="B237" s="31" t="s">
        <v>296</v>
      </c>
      <c r="C237" s="32">
        <v>1.2828242E7</v>
      </c>
      <c r="D237" s="32">
        <v>158808.0</v>
      </c>
      <c r="E237" s="32">
        <v>6837594.0</v>
      </c>
      <c r="F237" s="32">
        <v>1758438.0</v>
      </c>
      <c r="G237" s="32">
        <v>22980.0</v>
      </c>
      <c r="H237" s="32">
        <v>464968.0</v>
      </c>
      <c r="I237" s="32">
        <v>71229.0</v>
      </c>
      <c r="J237" s="32">
        <v>0.0</v>
      </c>
      <c r="K237" s="32">
        <v>6.304314779E9</v>
      </c>
      <c r="L237" s="32">
        <v>4.559048087E9</v>
      </c>
      <c r="M237" s="32">
        <v>3241.0</v>
      </c>
      <c r="N237" s="31" t="s">
        <v>181</v>
      </c>
      <c r="O237" s="31">
        <v>25.0</v>
      </c>
      <c r="P237" s="31"/>
      <c r="Q237" s="31"/>
      <c r="R237" s="30"/>
      <c r="S237" s="30"/>
      <c r="T237" s="30"/>
      <c r="U237" s="30"/>
      <c r="V237" s="30"/>
      <c r="W237" s="30"/>
      <c r="X237" s="30"/>
      <c r="Y237" s="30"/>
      <c r="Z237" s="30"/>
    </row>
    <row r="238" ht="18.0" customHeight="1">
      <c r="A238" s="33">
        <v>7.7397858E7</v>
      </c>
      <c r="B238" s="33" t="s">
        <v>297</v>
      </c>
      <c r="C238" s="34">
        <v>1.2722638E7</v>
      </c>
      <c r="D238" s="32">
        <v>0.0</v>
      </c>
      <c r="E238" s="34">
        <v>6039713.0</v>
      </c>
      <c r="F238" s="34">
        <v>1121881.0</v>
      </c>
      <c r="G238" s="34">
        <v>201117.0</v>
      </c>
      <c r="H238" s="34">
        <v>295460.0</v>
      </c>
      <c r="I238" s="34">
        <v>51656.0</v>
      </c>
      <c r="J238" s="34">
        <v>0.0</v>
      </c>
      <c r="K238" s="34">
        <v>7.21492209E8</v>
      </c>
      <c r="L238" s="34">
        <v>0.0</v>
      </c>
      <c r="M238" s="34">
        <v>1095.0</v>
      </c>
      <c r="N238" s="33" t="s">
        <v>66</v>
      </c>
      <c r="O238" s="33">
        <v>23.0</v>
      </c>
      <c r="P238" s="33"/>
      <c r="Q238" s="33"/>
      <c r="R238" s="30"/>
      <c r="S238" s="30"/>
      <c r="T238" s="30"/>
      <c r="U238" s="30"/>
      <c r="V238" s="30"/>
      <c r="W238" s="30"/>
      <c r="X238" s="30"/>
      <c r="Y238" s="30"/>
      <c r="Z238" s="30"/>
    </row>
    <row r="239" ht="18.0" customHeight="1">
      <c r="A239" s="33">
        <v>1.77225071E8</v>
      </c>
      <c r="B239" s="33" t="s">
        <v>298</v>
      </c>
      <c r="C239" s="34">
        <v>1.2583569E7</v>
      </c>
      <c r="D239" s="32">
        <v>41200.0</v>
      </c>
      <c r="E239" s="34">
        <v>1033872.0</v>
      </c>
      <c r="F239" s="34">
        <v>2192960.0</v>
      </c>
      <c r="G239" s="34">
        <v>662231.0</v>
      </c>
      <c r="H239" s="34">
        <v>58320.0</v>
      </c>
      <c r="I239" s="34">
        <v>9575.0</v>
      </c>
      <c r="J239" s="34">
        <v>0.0</v>
      </c>
      <c r="K239" s="34">
        <v>6.194845604E9</v>
      </c>
      <c r="L239" s="34">
        <v>5.689647737E9</v>
      </c>
      <c r="M239" s="34">
        <v>1480.0</v>
      </c>
      <c r="N239" s="33" t="s">
        <v>147</v>
      </c>
      <c r="O239" s="33">
        <v>24.0</v>
      </c>
      <c r="P239" s="33"/>
      <c r="Q239" s="33"/>
      <c r="R239" s="30"/>
      <c r="S239" s="30"/>
      <c r="T239" s="30"/>
      <c r="U239" s="30"/>
      <c r="V239" s="30"/>
      <c r="W239" s="30"/>
      <c r="X239" s="30"/>
      <c r="Y239" s="30"/>
      <c r="Z239" s="30"/>
    </row>
    <row r="240" ht="18.0" customHeight="1">
      <c r="A240" s="33">
        <v>1.77721232E8</v>
      </c>
      <c r="B240" s="33" t="s">
        <v>299</v>
      </c>
      <c r="C240" s="34">
        <v>1.2534986E7</v>
      </c>
      <c r="D240" s="32">
        <v>97200.0</v>
      </c>
      <c r="E240" s="34">
        <v>169357.0</v>
      </c>
      <c r="F240" s="34">
        <v>716670.0</v>
      </c>
      <c r="G240" s="34">
        <v>3768.0</v>
      </c>
      <c r="H240" s="34">
        <v>16742.0</v>
      </c>
      <c r="I240" s="34">
        <v>0.0</v>
      </c>
      <c r="J240" s="34">
        <v>0.0</v>
      </c>
      <c r="K240" s="34">
        <v>8.476050131E9</v>
      </c>
      <c r="L240" s="34">
        <v>7.889427E9</v>
      </c>
      <c r="M240" s="34">
        <v>2799.0</v>
      </c>
      <c r="N240" s="33" t="s">
        <v>147</v>
      </c>
      <c r="O240" s="33">
        <v>23.0</v>
      </c>
      <c r="P240" s="33"/>
      <c r="Q240" s="33"/>
      <c r="R240" s="30"/>
      <c r="S240" s="30"/>
      <c r="T240" s="30"/>
      <c r="U240" s="30"/>
      <c r="V240" s="30"/>
      <c r="W240" s="30"/>
      <c r="X240" s="30"/>
      <c r="Y240" s="30"/>
      <c r="Z240" s="30"/>
    </row>
    <row r="241" ht="18.0" customHeight="1">
      <c r="A241" s="33">
        <v>6.7568162E7</v>
      </c>
      <c r="B241" s="33" t="s">
        <v>300</v>
      </c>
      <c r="C241" s="34">
        <v>1.2410877E7</v>
      </c>
      <c r="D241" s="32">
        <v>299248.0</v>
      </c>
      <c r="E241" s="34">
        <v>202704.0</v>
      </c>
      <c r="F241" s="34">
        <v>42020.0</v>
      </c>
      <c r="G241" s="34">
        <v>26634.0</v>
      </c>
      <c r="H241" s="34">
        <v>0.0</v>
      </c>
      <c r="I241" s="34">
        <v>5336.0</v>
      </c>
      <c r="J241" s="34">
        <v>0.0</v>
      </c>
      <c r="K241" s="34">
        <v>6.377275719E9</v>
      </c>
      <c r="L241" s="34">
        <v>3.794132451E9</v>
      </c>
      <c r="M241" s="34">
        <v>1712.0</v>
      </c>
      <c r="N241" s="33" t="s">
        <v>153</v>
      </c>
      <c r="O241" s="33">
        <v>24.0</v>
      </c>
      <c r="P241" s="33"/>
      <c r="Q241" s="33"/>
      <c r="R241" s="30"/>
      <c r="S241" s="30"/>
      <c r="T241" s="30"/>
      <c r="U241" s="30"/>
      <c r="V241" s="30"/>
      <c r="W241" s="30"/>
      <c r="X241" s="30"/>
      <c r="Y241" s="30"/>
      <c r="Z241" s="30"/>
    </row>
    <row r="242" ht="18.0" customHeight="1">
      <c r="A242" s="33">
        <v>8.7273183E7</v>
      </c>
      <c r="B242" s="33" t="s">
        <v>301</v>
      </c>
      <c r="C242" s="34">
        <v>1.2374887E7</v>
      </c>
      <c r="D242" s="32">
        <v>3497.0</v>
      </c>
      <c r="E242" s="34">
        <v>1562113.0</v>
      </c>
      <c r="F242" s="34">
        <v>629419.0</v>
      </c>
      <c r="G242" s="34">
        <v>84546.0</v>
      </c>
      <c r="H242" s="34">
        <v>135458.0</v>
      </c>
      <c r="I242" s="34">
        <v>0.0</v>
      </c>
      <c r="J242" s="34">
        <v>0.0</v>
      </c>
      <c r="K242" s="34">
        <v>1.1543745059E10</v>
      </c>
      <c r="L242" s="34">
        <v>1.2264202682E10</v>
      </c>
      <c r="M242" s="34">
        <v>4506.0</v>
      </c>
      <c r="N242" s="33" t="s">
        <v>94</v>
      </c>
      <c r="O242" s="33">
        <v>22.0</v>
      </c>
      <c r="P242" s="33"/>
      <c r="Q242" s="33"/>
      <c r="R242" s="30"/>
      <c r="S242" s="30"/>
      <c r="T242" s="30"/>
      <c r="U242" s="30"/>
      <c r="V242" s="30"/>
      <c r="W242" s="30"/>
      <c r="X242" s="30"/>
      <c r="Y242" s="30"/>
      <c r="Z242" s="30"/>
    </row>
    <row r="243" ht="18.0" customHeight="1">
      <c r="A243" s="31">
        <v>6.5702055E7</v>
      </c>
      <c r="B243" s="31" t="s">
        <v>302</v>
      </c>
      <c r="C243" s="32">
        <v>1.2366549E7</v>
      </c>
      <c r="D243" s="32">
        <v>0.0</v>
      </c>
      <c r="E243" s="32">
        <v>506067.0</v>
      </c>
      <c r="F243" s="32">
        <v>795024.0</v>
      </c>
      <c r="G243" s="32">
        <v>28966.0</v>
      </c>
      <c r="H243" s="32">
        <v>25195.0</v>
      </c>
      <c r="I243" s="32">
        <v>3024.0</v>
      </c>
      <c r="J243" s="32">
        <v>0.0</v>
      </c>
      <c r="K243" s="32">
        <v>1.0046041627E10</v>
      </c>
      <c r="L243" s="32">
        <v>1.0218488381E10</v>
      </c>
      <c r="M243" s="32">
        <v>2207.0</v>
      </c>
      <c r="N243" s="31" t="s">
        <v>153</v>
      </c>
      <c r="O243" s="31">
        <v>25.0</v>
      </c>
      <c r="P243" s="31"/>
      <c r="Q243" s="31"/>
      <c r="R243" s="30"/>
      <c r="S243" s="30"/>
      <c r="T243" s="30"/>
      <c r="U243" s="30"/>
      <c r="V243" s="30"/>
      <c r="W243" s="30"/>
      <c r="X243" s="30"/>
      <c r="Y243" s="30"/>
      <c r="Z243" s="30"/>
    </row>
    <row r="244" ht="18.0" customHeight="1">
      <c r="A244" s="33">
        <v>1.72151323E8</v>
      </c>
      <c r="B244" s="33" t="s">
        <v>303</v>
      </c>
      <c r="C244" s="34">
        <v>1.2347264E7</v>
      </c>
      <c r="D244" s="32">
        <v>638401.0</v>
      </c>
      <c r="E244" s="34">
        <v>887439.0</v>
      </c>
      <c r="F244" s="34">
        <v>781079.0</v>
      </c>
      <c r="G244" s="34">
        <v>24025.0</v>
      </c>
      <c r="H244" s="34">
        <v>15840.0</v>
      </c>
      <c r="I244" s="34">
        <v>33010.0</v>
      </c>
      <c r="J244" s="34">
        <v>0.0</v>
      </c>
      <c r="K244" s="34">
        <v>1.473799158E9</v>
      </c>
      <c r="L244" s="34">
        <v>5.89290943E8</v>
      </c>
      <c r="M244" s="34">
        <v>6484.0</v>
      </c>
      <c r="N244" s="33" t="s">
        <v>94</v>
      </c>
      <c r="O244" s="33">
        <v>24.0</v>
      </c>
      <c r="P244" s="33"/>
      <c r="Q244" s="33"/>
      <c r="R244" s="30"/>
      <c r="S244" s="30"/>
      <c r="T244" s="30"/>
      <c r="U244" s="30"/>
      <c r="V244" s="30"/>
      <c r="W244" s="30"/>
      <c r="X244" s="30"/>
      <c r="Y244" s="30"/>
      <c r="Z244" s="30"/>
    </row>
    <row r="245" ht="18.0" customHeight="1">
      <c r="A245" s="31">
        <v>1.84527302E8</v>
      </c>
      <c r="B245" s="31" t="s">
        <v>304</v>
      </c>
      <c r="C245" s="32">
        <v>1.2156242E7</v>
      </c>
      <c r="D245" s="32">
        <v>255120.0</v>
      </c>
      <c r="E245" s="32">
        <v>2101068.0</v>
      </c>
      <c r="F245" s="32">
        <v>74653.0</v>
      </c>
      <c r="G245" s="32">
        <v>54171.0</v>
      </c>
      <c r="H245" s="32">
        <v>6341.0</v>
      </c>
      <c r="I245" s="32">
        <v>101340.0</v>
      </c>
      <c r="J245" s="32">
        <v>0.0</v>
      </c>
      <c r="K245" s="32">
        <v>2.332485256E9</v>
      </c>
      <c r="L245" s="32">
        <v>1.1313724893E10</v>
      </c>
      <c r="M245" s="32">
        <v>608.0</v>
      </c>
      <c r="N245" s="31" t="s">
        <v>34</v>
      </c>
      <c r="O245" s="31">
        <v>25.0</v>
      </c>
      <c r="P245" s="31"/>
      <c r="Q245" s="31"/>
      <c r="R245" s="30"/>
      <c r="S245" s="30"/>
      <c r="T245" s="30"/>
      <c r="U245" s="30"/>
      <c r="V245" s="30"/>
      <c r="W245" s="30"/>
      <c r="X245" s="30"/>
      <c r="Y245" s="30"/>
      <c r="Z245" s="30"/>
    </row>
    <row r="246" ht="18.0" customHeight="1">
      <c r="A246" s="33">
        <v>1.38285772E8</v>
      </c>
      <c r="B246" s="33" t="s">
        <v>305</v>
      </c>
      <c r="C246" s="34">
        <v>1.1992817E7</v>
      </c>
      <c r="D246" s="32">
        <v>3200.0</v>
      </c>
      <c r="E246" s="34">
        <v>188240.0</v>
      </c>
      <c r="F246" s="34">
        <v>31313.0</v>
      </c>
      <c r="G246" s="34">
        <v>0.0</v>
      </c>
      <c r="H246" s="34">
        <v>18824.0</v>
      </c>
      <c r="I246" s="34">
        <v>0.0</v>
      </c>
      <c r="J246" s="34">
        <v>0.0</v>
      </c>
      <c r="K246" s="34">
        <v>7.283101609E9</v>
      </c>
      <c r="L246" s="34">
        <v>9.374770241E9</v>
      </c>
      <c r="M246" s="34">
        <v>1464.0</v>
      </c>
      <c r="N246" s="33" t="s">
        <v>94</v>
      </c>
      <c r="O246" s="33">
        <v>24.0</v>
      </c>
      <c r="P246" s="33"/>
      <c r="Q246" s="33"/>
      <c r="R246" s="30"/>
      <c r="S246" s="30"/>
      <c r="T246" s="30"/>
      <c r="U246" s="30"/>
      <c r="V246" s="30"/>
      <c r="W246" s="30"/>
      <c r="X246" s="30"/>
      <c r="Y246" s="30"/>
      <c r="Z246" s="30"/>
    </row>
    <row r="247" ht="18.0" customHeight="1">
      <c r="A247" s="33">
        <v>1.6604384E8</v>
      </c>
      <c r="B247" s="33" t="s">
        <v>306</v>
      </c>
      <c r="C247" s="34">
        <v>1.1921517E7</v>
      </c>
      <c r="D247" s="32">
        <v>25032.0</v>
      </c>
      <c r="E247" s="34">
        <v>36517.0</v>
      </c>
      <c r="F247" s="34">
        <v>0.0</v>
      </c>
      <c r="G247" s="34">
        <v>7887.0</v>
      </c>
      <c r="H247" s="34">
        <v>3055.0</v>
      </c>
      <c r="I247" s="34">
        <v>0.0</v>
      </c>
      <c r="J247" s="34">
        <v>0.0</v>
      </c>
      <c r="K247" s="34">
        <v>7.962666072E9</v>
      </c>
      <c r="L247" s="34">
        <v>7.874301476E9</v>
      </c>
      <c r="M247" s="34">
        <v>2979.0</v>
      </c>
      <c r="N247" s="33" t="s">
        <v>94</v>
      </c>
      <c r="O247" s="33">
        <v>23.0</v>
      </c>
      <c r="P247" s="33"/>
      <c r="Q247" s="33"/>
      <c r="R247" s="30"/>
      <c r="S247" s="30"/>
      <c r="T247" s="30"/>
      <c r="U247" s="30"/>
      <c r="V247" s="30"/>
      <c r="W247" s="30"/>
      <c r="X247" s="30"/>
      <c r="Y247" s="30"/>
      <c r="Z247" s="30"/>
    </row>
    <row r="248" ht="18.0" customHeight="1">
      <c r="A248" s="33">
        <v>1.57465282E8</v>
      </c>
      <c r="B248" s="33" t="s">
        <v>307</v>
      </c>
      <c r="C248" s="34">
        <v>1.1880056E7</v>
      </c>
      <c r="D248" s="32">
        <v>25600.0</v>
      </c>
      <c r="E248" s="34">
        <v>1059330.0</v>
      </c>
      <c r="F248" s="34">
        <v>435892.0</v>
      </c>
      <c r="G248" s="34">
        <v>81933.0</v>
      </c>
      <c r="H248" s="34">
        <v>58926.0</v>
      </c>
      <c r="I248" s="34">
        <v>5178.0</v>
      </c>
      <c r="J248" s="34">
        <v>0.0</v>
      </c>
      <c r="K248" s="34">
        <v>8.484677083E9</v>
      </c>
      <c r="L248" s="34">
        <v>2.366887416E9</v>
      </c>
      <c r="M248" s="34">
        <v>1884.0</v>
      </c>
      <c r="N248" s="33" t="s">
        <v>165</v>
      </c>
      <c r="O248" s="33">
        <v>22.0</v>
      </c>
      <c r="P248" s="33"/>
      <c r="Q248" s="33"/>
      <c r="R248" s="30"/>
      <c r="S248" s="30"/>
      <c r="T248" s="30"/>
      <c r="U248" s="30"/>
      <c r="V248" s="30"/>
      <c r="W248" s="30"/>
      <c r="X248" s="30"/>
      <c r="Y248" s="30"/>
      <c r="Z248" s="30"/>
    </row>
    <row r="249" ht="18.0" customHeight="1">
      <c r="A249" s="31">
        <v>9.6284047E7</v>
      </c>
      <c r="B249" s="31" t="s">
        <v>308</v>
      </c>
      <c r="C249" s="32">
        <v>1.1837247E7</v>
      </c>
      <c r="D249" s="32">
        <v>5308.0</v>
      </c>
      <c r="E249" s="32">
        <v>43742.0</v>
      </c>
      <c r="F249" s="32">
        <v>57258.0</v>
      </c>
      <c r="G249" s="32">
        <v>913.0</v>
      </c>
      <c r="H249" s="32">
        <v>1456.0</v>
      </c>
      <c r="I249" s="32">
        <v>1390.0</v>
      </c>
      <c r="J249" s="32">
        <v>0.0</v>
      </c>
      <c r="K249" s="32">
        <v>2.545431627E9</v>
      </c>
      <c r="L249" s="32">
        <v>1.994469657E9</v>
      </c>
      <c r="M249" s="32">
        <v>989.0</v>
      </c>
      <c r="N249" s="31" t="s">
        <v>153</v>
      </c>
      <c r="O249" s="31">
        <v>25.0</v>
      </c>
      <c r="P249" s="31"/>
      <c r="Q249" s="31"/>
      <c r="R249" s="30"/>
      <c r="S249" s="30"/>
      <c r="T249" s="30"/>
      <c r="U249" s="30"/>
      <c r="V249" s="30"/>
      <c r="W249" s="30"/>
      <c r="X249" s="30"/>
      <c r="Y249" s="30"/>
      <c r="Z249" s="30"/>
    </row>
    <row r="250" ht="18.0" customHeight="1">
      <c r="A250" s="33">
        <v>1.04333804E8</v>
      </c>
      <c r="B250" s="33" t="s">
        <v>309</v>
      </c>
      <c r="C250" s="34">
        <v>1.1747572E7</v>
      </c>
      <c r="D250" s="32">
        <v>279776.0</v>
      </c>
      <c r="E250" s="34">
        <v>1832974.0</v>
      </c>
      <c r="F250" s="34">
        <v>665217.0</v>
      </c>
      <c r="G250" s="34">
        <v>175972.0</v>
      </c>
      <c r="H250" s="34">
        <v>105192.0</v>
      </c>
      <c r="I250" s="34">
        <v>13980.0</v>
      </c>
      <c r="J250" s="34">
        <v>0.0</v>
      </c>
      <c r="K250" s="34">
        <v>3.97618498E8</v>
      </c>
      <c r="L250" s="34">
        <v>0.0</v>
      </c>
      <c r="M250" s="34">
        <v>1199.0</v>
      </c>
      <c r="N250" s="33" t="s">
        <v>165</v>
      </c>
      <c r="O250" s="33">
        <v>24.0</v>
      </c>
      <c r="P250" s="33"/>
      <c r="Q250" s="33"/>
      <c r="R250" s="30"/>
      <c r="S250" s="30"/>
      <c r="T250" s="30"/>
      <c r="U250" s="30"/>
      <c r="V250" s="30"/>
      <c r="W250" s="30"/>
      <c r="X250" s="30"/>
      <c r="Y250" s="30"/>
      <c r="Z250" s="30"/>
    </row>
    <row r="251" ht="18.0" customHeight="1">
      <c r="A251" s="33">
        <v>1.81171114E8</v>
      </c>
      <c r="B251" s="33" t="s">
        <v>310</v>
      </c>
      <c r="C251" s="34">
        <v>1.1590677E7</v>
      </c>
      <c r="D251" s="32">
        <v>629771.0</v>
      </c>
      <c r="E251" s="34">
        <v>32912.0</v>
      </c>
      <c r="F251" s="34">
        <v>0.0</v>
      </c>
      <c r="G251" s="34">
        <v>0.0</v>
      </c>
      <c r="H251" s="34">
        <v>270.0</v>
      </c>
      <c r="I251" s="34">
        <v>1333.0</v>
      </c>
      <c r="J251" s="34">
        <v>0.0</v>
      </c>
      <c r="K251" s="34">
        <v>3.099569969E9</v>
      </c>
      <c r="L251" s="34">
        <v>3.614743741E9</v>
      </c>
      <c r="M251" s="34">
        <v>854.0</v>
      </c>
      <c r="N251" s="33" t="s">
        <v>165</v>
      </c>
      <c r="O251" s="33">
        <v>23.0</v>
      </c>
      <c r="P251" s="33"/>
      <c r="Q251" s="33"/>
      <c r="R251" s="30"/>
      <c r="S251" s="30"/>
      <c r="T251" s="30"/>
      <c r="U251" s="30"/>
      <c r="V251" s="30"/>
      <c r="W251" s="30"/>
      <c r="X251" s="30"/>
      <c r="Y251" s="30"/>
      <c r="Z251" s="30"/>
    </row>
    <row r="252" ht="18.0" customHeight="1">
      <c r="A252" s="33">
        <v>3.1303775E7</v>
      </c>
      <c r="B252" s="33" t="s">
        <v>311</v>
      </c>
      <c r="C252" s="34">
        <v>1.1480401E7</v>
      </c>
      <c r="D252" s="32">
        <v>76800.0</v>
      </c>
      <c r="E252" s="34">
        <v>8644167.0</v>
      </c>
      <c r="F252" s="34">
        <v>1667127.0</v>
      </c>
      <c r="G252" s="34">
        <v>297318.0</v>
      </c>
      <c r="H252" s="34">
        <v>388443.0</v>
      </c>
      <c r="I252" s="34">
        <v>111080.0</v>
      </c>
      <c r="J252" s="34">
        <v>0.0</v>
      </c>
      <c r="K252" s="34">
        <v>4.135926312E9</v>
      </c>
      <c r="L252" s="34">
        <v>6.02326523E9</v>
      </c>
      <c r="M252" s="34">
        <v>1835.0</v>
      </c>
      <c r="N252" s="33" t="s">
        <v>153</v>
      </c>
      <c r="O252" s="33">
        <v>24.0</v>
      </c>
      <c r="P252" s="33"/>
      <c r="Q252" s="33"/>
      <c r="R252" s="30"/>
      <c r="S252" s="30"/>
      <c r="T252" s="30"/>
      <c r="U252" s="30"/>
      <c r="V252" s="30"/>
      <c r="W252" s="30"/>
      <c r="X252" s="30"/>
      <c r="Y252" s="30"/>
      <c r="Z252" s="30"/>
    </row>
    <row r="253" ht="18.0" customHeight="1">
      <c r="A253" s="33">
        <v>1.28382827E8</v>
      </c>
      <c r="B253" s="33" t="s">
        <v>312</v>
      </c>
      <c r="C253" s="34">
        <v>1.1447892E7</v>
      </c>
      <c r="D253" s="32">
        <v>6400.0</v>
      </c>
      <c r="E253" s="34">
        <v>5689027.0</v>
      </c>
      <c r="F253" s="34">
        <v>1604666.0</v>
      </c>
      <c r="G253" s="34">
        <v>26229.0</v>
      </c>
      <c r="H253" s="34">
        <v>520858.0</v>
      </c>
      <c r="I253" s="34">
        <v>20165.0</v>
      </c>
      <c r="J253" s="34">
        <v>0.0</v>
      </c>
      <c r="K253" s="34">
        <v>9.86896492E9</v>
      </c>
      <c r="L253" s="34">
        <v>1.164495703E10</v>
      </c>
      <c r="M253" s="34">
        <v>2146.0</v>
      </c>
      <c r="N253" s="33" t="s">
        <v>94</v>
      </c>
      <c r="O253" s="33">
        <v>24.0</v>
      </c>
      <c r="P253" s="33"/>
      <c r="Q253" s="33"/>
      <c r="R253" s="30"/>
      <c r="S253" s="30"/>
      <c r="T253" s="30"/>
      <c r="U253" s="30"/>
      <c r="V253" s="30"/>
      <c r="W253" s="30"/>
      <c r="X253" s="30"/>
      <c r="Y253" s="30"/>
      <c r="Z253" s="30"/>
    </row>
    <row r="254" ht="18.0" customHeight="1">
      <c r="A254" s="33">
        <v>1.83887182E8</v>
      </c>
      <c r="B254" s="33" t="s">
        <v>313</v>
      </c>
      <c r="C254" s="34">
        <v>1.1402996E7</v>
      </c>
      <c r="D254" s="32">
        <v>0.0</v>
      </c>
      <c r="E254" s="34">
        <v>2537211.0</v>
      </c>
      <c r="F254" s="34">
        <v>800103.0</v>
      </c>
      <c r="G254" s="34">
        <v>4358.0</v>
      </c>
      <c r="H254" s="34">
        <v>234472.0</v>
      </c>
      <c r="I254" s="34">
        <v>7693.0</v>
      </c>
      <c r="J254" s="34">
        <v>0.0</v>
      </c>
      <c r="K254" s="34">
        <v>2.720044694E9</v>
      </c>
      <c r="L254" s="34">
        <v>9.3810346E8</v>
      </c>
      <c r="M254" s="34">
        <v>1107.0</v>
      </c>
      <c r="N254" s="33" t="s">
        <v>153</v>
      </c>
      <c r="O254" s="33">
        <v>24.0</v>
      </c>
      <c r="P254" s="33"/>
      <c r="Q254" s="33"/>
      <c r="R254" s="30"/>
      <c r="S254" s="30"/>
      <c r="T254" s="30"/>
      <c r="U254" s="30"/>
      <c r="V254" s="30"/>
      <c r="W254" s="30"/>
      <c r="X254" s="30"/>
      <c r="Y254" s="30"/>
      <c r="Z254" s="30"/>
    </row>
    <row r="255" ht="18.0" customHeight="1">
      <c r="A255" s="33">
        <v>1.9932468E8</v>
      </c>
      <c r="B255" s="33" t="s">
        <v>314</v>
      </c>
      <c r="C255" s="34">
        <v>1.1221385E7</v>
      </c>
      <c r="D255" s="32">
        <v>86400.0</v>
      </c>
      <c r="E255" s="34">
        <v>11640.0</v>
      </c>
      <c r="F255" s="34">
        <v>0.0</v>
      </c>
      <c r="G255" s="34">
        <v>0.0</v>
      </c>
      <c r="H255" s="34">
        <v>0.0</v>
      </c>
      <c r="I255" s="34">
        <v>0.0</v>
      </c>
      <c r="J255" s="34">
        <v>0.0</v>
      </c>
      <c r="K255" s="34">
        <v>2.237913659E9</v>
      </c>
      <c r="L255" s="34">
        <v>1.4332E9</v>
      </c>
      <c r="M255" s="34">
        <v>542.0</v>
      </c>
      <c r="N255" s="33" t="s">
        <v>94</v>
      </c>
      <c r="O255" s="33">
        <v>22.0</v>
      </c>
      <c r="P255" s="33"/>
      <c r="Q255" s="33"/>
      <c r="R255" s="30"/>
      <c r="S255" s="30"/>
      <c r="T255" s="30"/>
      <c r="U255" s="30"/>
      <c r="V255" s="30"/>
      <c r="W255" s="30"/>
      <c r="X255" s="30"/>
      <c r="Y255" s="30"/>
      <c r="Z255" s="30"/>
    </row>
    <row r="256" ht="18.0" customHeight="1">
      <c r="A256" s="33">
        <v>1.83817841E8</v>
      </c>
      <c r="B256" s="33" t="s">
        <v>315</v>
      </c>
      <c r="C256" s="34">
        <v>1.1215727E7</v>
      </c>
      <c r="D256" s="32">
        <v>865225.0</v>
      </c>
      <c r="E256" s="34">
        <v>710476.0</v>
      </c>
      <c r="F256" s="34">
        <v>892251.0</v>
      </c>
      <c r="G256" s="34">
        <v>294.0</v>
      </c>
      <c r="H256" s="34">
        <v>34167.0</v>
      </c>
      <c r="I256" s="34">
        <v>18431.0</v>
      </c>
      <c r="J256" s="34">
        <v>0.0</v>
      </c>
      <c r="K256" s="34">
        <v>1.144245027E9</v>
      </c>
      <c r="L256" s="34">
        <v>0.0</v>
      </c>
      <c r="M256" s="34">
        <v>300.0</v>
      </c>
      <c r="N256" s="33" t="s">
        <v>165</v>
      </c>
      <c r="O256" s="33">
        <v>23.0</v>
      </c>
      <c r="P256" s="33"/>
      <c r="Q256" s="33"/>
      <c r="R256" s="30"/>
      <c r="S256" s="30"/>
      <c r="T256" s="30"/>
      <c r="U256" s="30"/>
      <c r="V256" s="30"/>
      <c r="W256" s="30"/>
      <c r="X256" s="30"/>
      <c r="Y256" s="30"/>
      <c r="Z256" s="30"/>
    </row>
    <row r="257" ht="18.0" customHeight="1">
      <c r="A257" s="33">
        <v>6.9287686E7</v>
      </c>
      <c r="B257" s="33" t="s">
        <v>316</v>
      </c>
      <c r="C257" s="34">
        <v>1.1195732E7</v>
      </c>
      <c r="D257" s="32">
        <v>1600.0</v>
      </c>
      <c r="E257" s="34">
        <v>2027902.0</v>
      </c>
      <c r="F257" s="34">
        <v>235658.0</v>
      </c>
      <c r="G257" s="34">
        <v>457711.0</v>
      </c>
      <c r="H257" s="34">
        <v>39331.0</v>
      </c>
      <c r="I257" s="34">
        <v>0.0</v>
      </c>
      <c r="J257" s="34">
        <v>0.0</v>
      </c>
      <c r="K257" s="34">
        <v>6.245231277E9</v>
      </c>
      <c r="L257" s="34">
        <v>5.785956295E9</v>
      </c>
      <c r="M257" s="34">
        <v>3892.0</v>
      </c>
      <c r="N257" s="33" t="s">
        <v>94</v>
      </c>
      <c r="O257" s="33">
        <v>24.0</v>
      </c>
      <c r="P257" s="33"/>
      <c r="Q257" s="33"/>
      <c r="R257" s="30"/>
      <c r="S257" s="30"/>
      <c r="T257" s="30"/>
      <c r="U257" s="30"/>
      <c r="V257" s="30"/>
      <c r="W257" s="30"/>
      <c r="X257" s="30"/>
      <c r="Y257" s="30"/>
      <c r="Z257" s="30"/>
    </row>
    <row r="258" ht="18.0" customHeight="1">
      <c r="A258" s="33">
        <v>1.86292814E8</v>
      </c>
      <c r="B258" s="33" t="s">
        <v>317</v>
      </c>
      <c r="C258" s="34">
        <v>1.1090386E7</v>
      </c>
      <c r="D258" s="32">
        <v>1341395.0</v>
      </c>
      <c r="E258" s="34">
        <v>-1.0</v>
      </c>
      <c r="F258" s="34">
        <v>1713.0</v>
      </c>
      <c r="G258" s="34">
        <v>0.0</v>
      </c>
      <c r="H258" s="34">
        <v>0.0</v>
      </c>
      <c r="I258" s="34">
        <v>0.0</v>
      </c>
      <c r="J258" s="34">
        <v>0.0</v>
      </c>
      <c r="K258" s="34">
        <v>1.794657478E9</v>
      </c>
      <c r="L258" s="34">
        <v>0.0</v>
      </c>
      <c r="M258" s="34">
        <v>558.0</v>
      </c>
      <c r="N258" s="33" t="s">
        <v>147</v>
      </c>
      <c r="O258" s="33">
        <v>24.0</v>
      </c>
      <c r="P258" s="33"/>
      <c r="Q258" s="33"/>
      <c r="R258" s="30"/>
      <c r="S258" s="30"/>
      <c r="T258" s="30"/>
      <c r="U258" s="30"/>
      <c r="V258" s="30"/>
      <c r="W258" s="30"/>
      <c r="X258" s="30"/>
      <c r="Y258" s="30"/>
      <c r="Z258" s="30"/>
    </row>
    <row r="259" ht="18.0" customHeight="1">
      <c r="A259" s="33">
        <v>1.67125555E8</v>
      </c>
      <c r="B259" s="33" t="s">
        <v>318</v>
      </c>
      <c r="C259" s="34">
        <v>1.0912332E7</v>
      </c>
      <c r="D259" s="32">
        <v>0.0</v>
      </c>
      <c r="E259" s="34">
        <v>53959.0</v>
      </c>
      <c r="F259" s="34">
        <v>0.0</v>
      </c>
      <c r="G259" s="34">
        <v>2077.0</v>
      </c>
      <c r="H259" s="34">
        <v>4939.0</v>
      </c>
      <c r="I259" s="34">
        <v>0.0</v>
      </c>
      <c r="J259" s="34">
        <v>0.0</v>
      </c>
      <c r="K259" s="34">
        <v>7.596847288E9</v>
      </c>
      <c r="L259" s="34">
        <v>7.238948566E9</v>
      </c>
      <c r="M259" s="34">
        <v>1641.0</v>
      </c>
      <c r="N259" s="33" t="s">
        <v>94</v>
      </c>
      <c r="O259" s="33">
        <v>23.0</v>
      </c>
      <c r="P259" s="33"/>
      <c r="Q259" s="33"/>
      <c r="R259" s="30"/>
      <c r="S259" s="30"/>
      <c r="T259" s="30"/>
      <c r="U259" s="30"/>
      <c r="V259" s="30"/>
      <c r="W259" s="30"/>
      <c r="X259" s="30"/>
      <c r="Y259" s="30"/>
      <c r="Z259" s="30"/>
    </row>
    <row r="260" ht="18.0" customHeight="1">
      <c r="A260" s="33">
        <v>1.59650107E8</v>
      </c>
      <c r="B260" s="33" t="s">
        <v>319</v>
      </c>
      <c r="C260" s="34">
        <v>1.0890873E7</v>
      </c>
      <c r="D260" s="32">
        <v>97000.0</v>
      </c>
      <c r="E260" s="34">
        <v>1536602.0</v>
      </c>
      <c r="F260" s="34">
        <v>1041916.0</v>
      </c>
      <c r="G260" s="34">
        <v>7593.0</v>
      </c>
      <c r="H260" s="34">
        <v>41874.0</v>
      </c>
      <c r="I260" s="34">
        <v>55798.0</v>
      </c>
      <c r="J260" s="34">
        <v>0.0</v>
      </c>
      <c r="K260" s="34">
        <v>3.900912677E9</v>
      </c>
      <c r="L260" s="34">
        <v>6.306110993E9</v>
      </c>
      <c r="M260" s="34">
        <v>1043.0</v>
      </c>
      <c r="N260" s="33" t="s">
        <v>153</v>
      </c>
      <c r="O260" s="33">
        <v>22.0</v>
      </c>
      <c r="P260" s="33"/>
      <c r="Q260" s="33"/>
      <c r="R260" s="30"/>
      <c r="S260" s="30"/>
      <c r="T260" s="30"/>
      <c r="U260" s="30"/>
      <c r="V260" s="30"/>
      <c r="W260" s="30"/>
      <c r="X260" s="30"/>
      <c r="Y260" s="30"/>
      <c r="Z260" s="30"/>
    </row>
    <row r="261" ht="18.0" customHeight="1">
      <c r="A261" s="33">
        <v>1.99425708E8</v>
      </c>
      <c r="B261" s="33" t="s">
        <v>320</v>
      </c>
      <c r="C261" s="34">
        <v>1.0851457E7</v>
      </c>
      <c r="D261" s="32">
        <v>117050.0</v>
      </c>
      <c r="E261" s="34">
        <v>-1.0</v>
      </c>
      <c r="F261" s="34">
        <v>0.0</v>
      </c>
      <c r="G261" s="34">
        <v>0.0</v>
      </c>
      <c r="H261" s="34">
        <v>0.0</v>
      </c>
      <c r="I261" s="34">
        <v>0.0</v>
      </c>
      <c r="J261" s="34">
        <v>0.0</v>
      </c>
      <c r="K261" s="34">
        <v>2.211836678E9</v>
      </c>
      <c r="L261" s="34">
        <v>1.233E9</v>
      </c>
      <c r="M261" s="34">
        <v>543.0</v>
      </c>
      <c r="N261" s="33" t="s">
        <v>94</v>
      </c>
      <c r="O261" s="33">
        <v>22.0</v>
      </c>
      <c r="P261" s="33"/>
      <c r="Q261" s="33"/>
      <c r="R261" s="30"/>
      <c r="S261" s="30"/>
      <c r="T261" s="30"/>
      <c r="U261" s="30"/>
      <c r="V261" s="30"/>
      <c r="W261" s="30"/>
      <c r="X261" s="30"/>
      <c r="Y261" s="30"/>
      <c r="Z261" s="30"/>
    </row>
    <row r="262" ht="18.0" customHeight="1">
      <c r="A262" s="33">
        <v>1.3787251E8</v>
      </c>
      <c r="B262" s="33" t="s">
        <v>321</v>
      </c>
      <c r="C262" s="34">
        <v>1.0696952E7</v>
      </c>
      <c r="D262" s="32">
        <v>0.0</v>
      </c>
      <c r="E262" s="34">
        <v>2140053.0</v>
      </c>
      <c r="F262" s="34">
        <v>385943.0</v>
      </c>
      <c r="G262" s="34">
        <v>301186.0</v>
      </c>
      <c r="H262" s="34">
        <v>122211.0</v>
      </c>
      <c r="I262" s="34">
        <v>1027.0</v>
      </c>
      <c r="J262" s="34">
        <v>0.0</v>
      </c>
      <c r="K262" s="34">
        <v>8.96881258E8</v>
      </c>
      <c r="L262" s="34">
        <v>1.2769745E7</v>
      </c>
      <c r="M262" s="34">
        <v>7816.0</v>
      </c>
      <c r="N262" s="33" t="s">
        <v>66</v>
      </c>
      <c r="O262" s="33">
        <v>23.0</v>
      </c>
      <c r="P262" s="33"/>
      <c r="Q262" s="33"/>
      <c r="R262" s="30"/>
      <c r="S262" s="30"/>
      <c r="T262" s="30"/>
      <c r="U262" s="30"/>
      <c r="V262" s="30"/>
      <c r="W262" s="30"/>
      <c r="X262" s="30"/>
      <c r="Y262" s="30"/>
      <c r="Z262" s="30"/>
    </row>
    <row r="263" ht="18.0" customHeight="1">
      <c r="A263" s="33">
        <v>2.02638038E8</v>
      </c>
      <c r="B263" s="33" t="s">
        <v>322</v>
      </c>
      <c r="C263" s="34">
        <v>1.0610697E7</v>
      </c>
      <c r="D263" s="32">
        <v>9000.0</v>
      </c>
      <c r="E263" s="34">
        <v>145261.0</v>
      </c>
      <c r="F263" s="34">
        <v>30575.0</v>
      </c>
      <c r="G263" s="34">
        <v>456.0</v>
      </c>
      <c r="H263" s="34">
        <v>829.0</v>
      </c>
      <c r="I263" s="34">
        <v>6844.0</v>
      </c>
      <c r="J263" s="34">
        <v>0.0</v>
      </c>
      <c r="K263" s="34">
        <v>6.265792272E9</v>
      </c>
      <c r="L263" s="34">
        <v>3.246591544E9</v>
      </c>
      <c r="M263" s="34">
        <v>907.0</v>
      </c>
      <c r="N263" s="33" t="s">
        <v>94</v>
      </c>
      <c r="O263" s="33">
        <v>23.0</v>
      </c>
      <c r="P263" s="33"/>
      <c r="Q263" s="33"/>
      <c r="R263" s="30"/>
      <c r="S263" s="30"/>
      <c r="T263" s="30"/>
      <c r="U263" s="30"/>
      <c r="V263" s="30"/>
      <c r="W263" s="30"/>
      <c r="X263" s="30"/>
      <c r="Y263" s="30"/>
      <c r="Z263" s="30"/>
    </row>
    <row r="264" ht="18.0" customHeight="1">
      <c r="A264" s="33">
        <v>1.66124388E8</v>
      </c>
      <c r="B264" s="33" t="s">
        <v>323</v>
      </c>
      <c r="C264" s="34">
        <v>1.0573222E7</v>
      </c>
      <c r="D264" s="32">
        <v>35400.0</v>
      </c>
      <c r="E264" s="34">
        <v>2289901.0</v>
      </c>
      <c r="F264" s="34">
        <v>910305.0</v>
      </c>
      <c r="G264" s="34">
        <v>71285.0</v>
      </c>
      <c r="H264" s="34">
        <v>187987.0</v>
      </c>
      <c r="I264" s="34">
        <v>18297.0</v>
      </c>
      <c r="J264" s="34">
        <v>0.0</v>
      </c>
      <c r="K264" s="34">
        <v>4.032021244E9</v>
      </c>
      <c r="L264" s="34">
        <v>2.79174755E9</v>
      </c>
      <c r="M264" s="34">
        <v>1549.0</v>
      </c>
      <c r="N264" s="33" t="s">
        <v>94</v>
      </c>
      <c r="O264" s="33">
        <v>23.0</v>
      </c>
      <c r="P264" s="33"/>
      <c r="Q264" s="33"/>
      <c r="R264" s="30"/>
      <c r="S264" s="30"/>
      <c r="T264" s="30"/>
      <c r="U264" s="30"/>
      <c r="V264" s="30"/>
      <c r="W264" s="30"/>
      <c r="X264" s="30"/>
      <c r="Y264" s="30"/>
      <c r="Z264" s="30"/>
    </row>
    <row r="265" ht="18.0" customHeight="1">
      <c r="A265" s="33">
        <v>1.81177912E8</v>
      </c>
      <c r="B265" s="33" t="s">
        <v>324</v>
      </c>
      <c r="C265" s="34">
        <v>1.0563849E7</v>
      </c>
      <c r="D265" s="32">
        <v>641749.0</v>
      </c>
      <c r="E265" s="34">
        <v>-1.0</v>
      </c>
      <c r="F265" s="34">
        <v>0.0</v>
      </c>
      <c r="G265" s="34">
        <v>0.0</v>
      </c>
      <c r="H265" s="34">
        <v>0.0</v>
      </c>
      <c r="I265" s="34">
        <v>0.0</v>
      </c>
      <c r="J265" s="34">
        <v>0.0</v>
      </c>
      <c r="K265" s="34">
        <v>2.749653112E9</v>
      </c>
      <c r="L265" s="34">
        <v>3.294566607E9</v>
      </c>
      <c r="M265" s="34">
        <v>793.0</v>
      </c>
      <c r="N265" s="33" t="s">
        <v>165</v>
      </c>
      <c r="O265" s="33">
        <v>23.0</v>
      </c>
      <c r="P265" s="33"/>
      <c r="Q265" s="33"/>
      <c r="R265" s="30"/>
      <c r="S265" s="30"/>
      <c r="T265" s="30"/>
      <c r="U265" s="30"/>
      <c r="V265" s="30"/>
      <c r="W265" s="30"/>
      <c r="X265" s="30"/>
      <c r="Y265" s="30"/>
      <c r="Z265" s="30"/>
    </row>
    <row r="266" ht="18.0" customHeight="1">
      <c r="A266" s="33">
        <v>1.73181749E8</v>
      </c>
      <c r="B266" s="33" t="s">
        <v>325</v>
      </c>
      <c r="C266" s="34">
        <v>1.0465573E7</v>
      </c>
      <c r="D266" s="32">
        <v>0.0</v>
      </c>
      <c r="E266" s="34">
        <v>4903526.0</v>
      </c>
      <c r="F266" s="34">
        <v>1037461.0</v>
      </c>
      <c r="G266" s="34">
        <v>116764.0</v>
      </c>
      <c r="H266" s="34">
        <v>386466.0</v>
      </c>
      <c r="I266" s="34">
        <v>26650.0</v>
      </c>
      <c r="J266" s="34">
        <v>0.0</v>
      </c>
      <c r="K266" s="34">
        <v>1.405529307E9</v>
      </c>
      <c r="L266" s="34">
        <v>1.307368281E9</v>
      </c>
      <c r="M266" s="34">
        <v>1120.0</v>
      </c>
      <c r="N266" s="33" t="s">
        <v>66</v>
      </c>
      <c r="O266" s="33">
        <v>24.0</v>
      </c>
      <c r="P266" s="33"/>
      <c r="Q266" s="33"/>
      <c r="R266" s="30"/>
      <c r="S266" s="30"/>
      <c r="T266" s="30"/>
      <c r="U266" s="30"/>
      <c r="V266" s="30"/>
      <c r="W266" s="30"/>
      <c r="X266" s="30"/>
      <c r="Y266" s="30"/>
      <c r="Z266" s="30"/>
    </row>
    <row r="267" ht="18.0" customHeight="1">
      <c r="A267" s="33">
        <v>1.14834828E8</v>
      </c>
      <c r="B267" s="33" t="s">
        <v>326</v>
      </c>
      <c r="C267" s="34">
        <v>1.033637E7</v>
      </c>
      <c r="D267" s="32">
        <v>863236.0</v>
      </c>
      <c r="E267" s="34">
        <v>2501890.0</v>
      </c>
      <c r="F267" s="34">
        <v>595169.0</v>
      </c>
      <c r="G267" s="34">
        <v>181924.0</v>
      </c>
      <c r="H267" s="34">
        <v>64602.0</v>
      </c>
      <c r="I267" s="34">
        <v>21492.0</v>
      </c>
      <c r="J267" s="34">
        <v>0.0</v>
      </c>
      <c r="K267" s="34">
        <v>2.176167801E9</v>
      </c>
      <c r="L267" s="34">
        <v>6.8812007E8</v>
      </c>
      <c r="M267" s="34">
        <v>1463.0</v>
      </c>
      <c r="N267" s="33" t="s">
        <v>327</v>
      </c>
      <c r="O267" s="33">
        <v>23.0</v>
      </c>
      <c r="P267" s="33"/>
      <c r="Q267" s="33"/>
      <c r="R267" s="30"/>
      <c r="S267" s="30"/>
      <c r="T267" s="30"/>
      <c r="U267" s="30"/>
      <c r="V267" s="30"/>
      <c r="W267" s="30"/>
      <c r="X267" s="30"/>
      <c r="Y267" s="30"/>
      <c r="Z267" s="30"/>
    </row>
    <row r="268" ht="18.0" customHeight="1">
      <c r="A268" s="33">
        <v>1.53741092E8</v>
      </c>
      <c r="B268" s="33" t="s">
        <v>328</v>
      </c>
      <c r="C268" s="34">
        <v>1.0314338E7</v>
      </c>
      <c r="D268" s="32">
        <v>101600.0</v>
      </c>
      <c r="E268" s="34">
        <v>2348401.0</v>
      </c>
      <c r="F268" s="34">
        <v>533005.0</v>
      </c>
      <c r="G268" s="34">
        <v>250069.0</v>
      </c>
      <c r="H268" s="34">
        <v>100259.0</v>
      </c>
      <c r="I268" s="34">
        <v>0.0</v>
      </c>
      <c r="J268" s="34">
        <v>0.0</v>
      </c>
      <c r="K268" s="34">
        <v>1.251262356E9</v>
      </c>
      <c r="L268" s="34">
        <v>8.08909335E8</v>
      </c>
      <c r="M268" s="34">
        <v>6489.0</v>
      </c>
      <c r="N268" s="33" t="s">
        <v>94</v>
      </c>
      <c r="O268" s="33">
        <v>23.0</v>
      </c>
      <c r="P268" s="33"/>
      <c r="Q268" s="33"/>
      <c r="R268" s="30"/>
      <c r="S268" s="30"/>
      <c r="T268" s="30"/>
      <c r="U268" s="30"/>
      <c r="V268" s="30"/>
      <c r="W268" s="30"/>
      <c r="X268" s="30"/>
      <c r="Y268" s="30"/>
      <c r="Z268" s="30"/>
    </row>
    <row r="269" ht="18.0" customHeight="1">
      <c r="A269" s="33">
        <v>1.71233186E8</v>
      </c>
      <c r="B269" s="33" t="s">
        <v>329</v>
      </c>
      <c r="C269" s="34">
        <v>1.0256376E7</v>
      </c>
      <c r="D269" s="32">
        <v>0.0</v>
      </c>
      <c r="E269" s="34">
        <v>971104.0</v>
      </c>
      <c r="F269" s="34">
        <v>4667.0</v>
      </c>
      <c r="G269" s="34">
        <v>0.0</v>
      </c>
      <c r="H269" s="34">
        <v>90418.0</v>
      </c>
      <c r="I269" s="34">
        <v>2023.0</v>
      </c>
      <c r="J269" s="34">
        <v>0.0</v>
      </c>
      <c r="K269" s="34">
        <v>9.573338511E9</v>
      </c>
      <c r="L269" s="34">
        <v>6.74164768E9</v>
      </c>
      <c r="M269" s="34">
        <v>2249.0</v>
      </c>
      <c r="N269" s="33" t="s">
        <v>153</v>
      </c>
      <c r="O269" s="33">
        <v>23.0</v>
      </c>
      <c r="P269" s="33"/>
      <c r="Q269" s="33"/>
      <c r="R269" s="30"/>
      <c r="S269" s="30"/>
      <c r="T269" s="30"/>
      <c r="U269" s="30"/>
      <c r="V269" s="30"/>
      <c r="W269" s="30"/>
      <c r="X269" s="30"/>
      <c r="Y269" s="30"/>
      <c r="Z269" s="30"/>
    </row>
    <row r="270" ht="18.0" customHeight="1">
      <c r="A270" s="33">
        <v>1.07025764E8</v>
      </c>
      <c r="B270" s="33" t="s">
        <v>330</v>
      </c>
      <c r="C270" s="34">
        <v>1.0227964E7</v>
      </c>
      <c r="D270" s="34">
        <v>0.0</v>
      </c>
      <c r="E270" s="34">
        <v>535899.0</v>
      </c>
      <c r="F270" s="34">
        <v>321748.0</v>
      </c>
      <c r="G270" s="34">
        <v>14756.0</v>
      </c>
      <c r="H270" s="34">
        <v>38218.0</v>
      </c>
      <c r="I270" s="34">
        <v>0.0</v>
      </c>
      <c r="J270" s="34">
        <v>0.0</v>
      </c>
      <c r="K270" s="34">
        <v>1.198279312E9</v>
      </c>
      <c r="L270" s="34">
        <v>1400200.0</v>
      </c>
      <c r="M270" s="34">
        <v>2678.0</v>
      </c>
      <c r="N270" s="33" t="s">
        <v>66</v>
      </c>
      <c r="O270" s="33">
        <v>24.0</v>
      </c>
      <c r="P270" s="33"/>
      <c r="Q270" s="33"/>
      <c r="R270" s="30"/>
      <c r="S270" s="30"/>
      <c r="T270" s="30"/>
      <c r="U270" s="30"/>
      <c r="V270" s="30"/>
      <c r="W270" s="30"/>
      <c r="X270" s="30"/>
      <c r="Y270" s="30"/>
      <c r="Z270" s="30"/>
    </row>
    <row r="271" ht="18.0" customHeight="1">
      <c r="A271" s="33">
        <v>1.49335105E8</v>
      </c>
      <c r="B271" s="33" t="s">
        <v>331</v>
      </c>
      <c r="C271" s="34">
        <v>1.0136611E7</v>
      </c>
      <c r="D271" s="32">
        <v>5600.0</v>
      </c>
      <c r="E271" s="34">
        <v>557579.0</v>
      </c>
      <c r="F271" s="34">
        <v>217099.0</v>
      </c>
      <c r="G271" s="34">
        <v>558.0</v>
      </c>
      <c r="H271" s="34">
        <v>38148.0</v>
      </c>
      <c r="I271" s="34">
        <v>0.0</v>
      </c>
      <c r="J271" s="34">
        <v>0.0</v>
      </c>
      <c r="K271" s="34">
        <v>5.792632519E9</v>
      </c>
      <c r="L271" s="34">
        <v>5.444766813E9</v>
      </c>
      <c r="M271" s="34">
        <v>1149.0</v>
      </c>
      <c r="N271" s="33" t="s">
        <v>94</v>
      </c>
      <c r="O271" s="33">
        <v>23.0</v>
      </c>
      <c r="P271" s="33"/>
      <c r="Q271" s="33"/>
      <c r="R271" s="30"/>
      <c r="S271" s="30"/>
      <c r="T271" s="30"/>
      <c r="U271" s="30"/>
      <c r="V271" s="30"/>
      <c r="W271" s="30"/>
      <c r="X271" s="30"/>
      <c r="Y271" s="30"/>
      <c r="Z271" s="30"/>
    </row>
    <row r="272" ht="18.0" customHeight="1">
      <c r="A272" s="33">
        <v>1.51510542E8</v>
      </c>
      <c r="B272" s="33" t="s">
        <v>332</v>
      </c>
      <c r="C272" s="34">
        <v>1.0133448E7</v>
      </c>
      <c r="D272" s="32">
        <v>359287.0</v>
      </c>
      <c r="E272" s="34">
        <v>2999963.0</v>
      </c>
      <c r="F272" s="34">
        <v>396601.0</v>
      </c>
      <c r="G272" s="34">
        <v>540468.0</v>
      </c>
      <c r="H272" s="34">
        <v>1031.0</v>
      </c>
      <c r="I272" s="34">
        <v>12810.0</v>
      </c>
      <c r="J272" s="34">
        <v>0.0</v>
      </c>
      <c r="K272" s="34">
        <v>1.425460633E9</v>
      </c>
      <c r="L272" s="34">
        <v>2085843.0</v>
      </c>
      <c r="M272" s="34">
        <v>5468.0</v>
      </c>
      <c r="N272" s="33" t="s">
        <v>153</v>
      </c>
      <c r="O272" s="33">
        <v>23.0</v>
      </c>
      <c r="P272" s="33"/>
      <c r="Q272" s="33"/>
      <c r="R272" s="30"/>
      <c r="S272" s="30"/>
      <c r="T272" s="30"/>
      <c r="U272" s="30"/>
      <c r="V272" s="30"/>
      <c r="W272" s="30"/>
      <c r="X272" s="30"/>
      <c r="Y272" s="30"/>
      <c r="Z272" s="30"/>
    </row>
    <row r="273" ht="18.0" customHeight="1">
      <c r="A273" s="33">
        <v>1.16447776E8</v>
      </c>
      <c r="B273" s="33" t="s">
        <v>333</v>
      </c>
      <c r="C273" s="34">
        <v>1.0109064E7</v>
      </c>
      <c r="D273" s="32">
        <v>11500.0</v>
      </c>
      <c r="E273" s="34">
        <v>2486609.0</v>
      </c>
      <c r="F273" s="34">
        <v>450509.0</v>
      </c>
      <c r="G273" s="34">
        <v>585868.0</v>
      </c>
      <c r="H273" s="34">
        <v>32871.0</v>
      </c>
      <c r="I273" s="34">
        <v>23136.0</v>
      </c>
      <c r="J273" s="34">
        <v>0.0</v>
      </c>
      <c r="K273" s="34">
        <v>3.859219044E9</v>
      </c>
      <c r="L273" s="34">
        <v>5.344709311E9</v>
      </c>
      <c r="M273" s="34">
        <v>1602.0</v>
      </c>
      <c r="N273" s="33" t="s">
        <v>153</v>
      </c>
      <c r="O273" s="33">
        <v>22.0</v>
      </c>
      <c r="P273" s="33"/>
      <c r="Q273" s="33"/>
      <c r="R273" s="30"/>
      <c r="S273" s="30"/>
      <c r="T273" s="30"/>
      <c r="U273" s="30"/>
      <c r="V273" s="30"/>
      <c r="W273" s="30"/>
      <c r="X273" s="30"/>
      <c r="Y273" s="30"/>
      <c r="Z273" s="30"/>
    </row>
    <row r="274" ht="18.0" customHeight="1">
      <c r="A274" s="33">
        <v>1.64582241E8</v>
      </c>
      <c r="B274" s="33" t="s">
        <v>334</v>
      </c>
      <c r="C274" s="34">
        <v>1.0029714E7</v>
      </c>
      <c r="D274" s="32">
        <v>221440.0</v>
      </c>
      <c r="E274" s="34">
        <v>1504070.0</v>
      </c>
      <c r="F274" s="34">
        <v>332313.0</v>
      </c>
      <c r="G274" s="34">
        <v>326762.0</v>
      </c>
      <c r="H274" s="34">
        <v>74899.0</v>
      </c>
      <c r="I274" s="34">
        <v>1706.0</v>
      </c>
      <c r="J274" s="34">
        <v>0.0</v>
      </c>
      <c r="K274" s="34">
        <v>2.046123099E9</v>
      </c>
      <c r="L274" s="34">
        <v>2.241757028E9</v>
      </c>
      <c r="M274" s="34">
        <v>758.0</v>
      </c>
      <c r="N274" s="33" t="s">
        <v>153</v>
      </c>
      <c r="O274" s="33">
        <v>22.0</v>
      </c>
      <c r="P274" s="33"/>
      <c r="Q274" s="33"/>
      <c r="R274" s="30"/>
      <c r="S274" s="30"/>
      <c r="T274" s="30"/>
      <c r="U274" s="30"/>
      <c r="V274" s="30"/>
      <c r="W274" s="30"/>
      <c r="X274" s="30"/>
      <c r="Y274" s="30"/>
      <c r="Z274" s="30"/>
    </row>
    <row r="275" ht="18.0" customHeight="1">
      <c r="A275" s="31">
        <v>1.71293992E8</v>
      </c>
      <c r="B275" s="31" t="s">
        <v>335</v>
      </c>
      <c r="C275" s="32">
        <v>9980291.0</v>
      </c>
      <c r="D275" s="32">
        <v>179800.0</v>
      </c>
      <c r="E275" s="32">
        <v>1539071.0</v>
      </c>
      <c r="F275" s="32">
        <v>1163927.0</v>
      </c>
      <c r="G275" s="32">
        <v>265108.0</v>
      </c>
      <c r="H275" s="32">
        <v>99031.0</v>
      </c>
      <c r="I275" s="32">
        <v>16819.0</v>
      </c>
      <c r="J275" s="32">
        <v>0.0</v>
      </c>
      <c r="K275" s="32">
        <v>1.903812657E9</v>
      </c>
      <c r="L275" s="32">
        <v>1.776949545E9</v>
      </c>
      <c r="M275" s="32">
        <v>918.0</v>
      </c>
      <c r="N275" s="31" t="s">
        <v>153</v>
      </c>
      <c r="O275" s="31">
        <v>25.0</v>
      </c>
      <c r="P275" s="31"/>
      <c r="Q275" s="31"/>
      <c r="R275" s="30"/>
      <c r="S275" s="30"/>
      <c r="T275" s="30"/>
      <c r="U275" s="30"/>
      <c r="V275" s="30"/>
      <c r="W275" s="30"/>
      <c r="X275" s="30"/>
      <c r="Y275" s="30"/>
      <c r="Z275" s="30"/>
    </row>
    <row r="276" ht="18.0" customHeight="1">
      <c r="A276" s="33">
        <v>1.86991365E8</v>
      </c>
      <c r="B276" s="33" t="s">
        <v>336</v>
      </c>
      <c r="C276" s="34">
        <v>9777024.0</v>
      </c>
      <c r="D276" s="32">
        <v>693183.0</v>
      </c>
      <c r="E276" s="34">
        <v>-1.0</v>
      </c>
      <c r="F276" s="34">
        <v>0.0</v>
      </c>
      <c r="G276" s="34">
        <v>0.0</v>
      </c>
      <c r="H276" s="34">
        <v>0.0</v>
      </c>
      <c r="I276" s="34">
        <v>0.0</v>
      </c>
      <c r="J276" s="34">
        <v>0.0</v>
      </c>
      <c r="K276" s="34">
        <v>1.519036772E9</v>
      </c>
      <c r="L276" s="34">
        <v>1.908487848E9</v>
      </c>
      <c r="M276" s="34">
        <v>686.0</v>
      </c>
      <c r="N276" s="33" t="s">
        <v>153</v>
      </c>
      <c r="O276" s="33">
        <v>23.0</v>
      </c>
      <c r="P276" s="33"/>
      <c r="Q276" s="33"/>
      <c r="R276" s="30"/>
      <c r="S276" s="30"/>
      <c r="T276" s="30"/>
      <c r="U276" s="30"/>
      <c r="V276" s="30"/>
      <c r="W276" s="30"/>
      <c r="X276" s="30"/>
      <c r="Y276" s="30"/>
      <c r="Z276" s="30"/>
    </row>
    <row r="277" ht="18.0" customHeight="1">
      <c r="A277" s="33">
        <v>1.13555236E8</v>
      </c>
      <c r="B277" s="33" t="s">
        <v>337</v>
      </c>
      <c r="C277" s="34">
        <v>9643102.0</v>
      </c>
      <c r="D277" s="32">
        <v>82436.0</v>
      </c>
      <c r="E277" s="34">
        <v>103512.0</v>
      </c>
      <c r="F277" s="34">
        <v>134884.0</v>
      </c>
      <c r="G277" s="34">
        <v>463.0</v>
      </c>
      <c r="H277" s="34">
        <v>1291.0</v>
      </c>
      <c r="I277" s="34">
        <v>2911.0</v>
      </c>
      <c r="J277" s="34">
        <v>0.0</v>
      </c>
      <c r="K277" s="34">
        <v>3.335411317E9</v>
      </c>
      <c r="L277" s="34">
        <v>1.962394998E9</v>
      </c>
      <c r="M277" s="34">
        <v>2804.0</v>
      </c>
      <c r="N277" s="33" t="s">
        <v>153</v>
      </c>
      <c r="O277" s="33">
        <v>23.0</v>
      </c>
      <c r="P277" s="33"/>
      <c r="Q277" s="33"/>
      <c r="R277" s="30"/>
      <c r="S277" s="30"/>
      <c r="T277" s="30"/>
      <c r="U277" s="30"/>
      <c r="V277" s="30"/>
      <c r="W277" s="30"/>
      <c r="X277" s="30"/>
      <c r="Y277" s="30"/>
      <c r="Z277" s="30"/>
    </row>
    <row r="278" ht="18.0" customHeight="1">
      <c r="A278" s="33">
        <v>1.41091437E8</v>
      </c>
      <c r="B278" s="33" t="s">
        <v>338</v>
      </c>
      <c r="C278" s="34">
        <v>9641351.0</v>
      </c>
      <c r="D278" s="32">
        <v>0.0</v>
      </c>
      <c r="E278" s="34">
        <v>1337037.0</v>
      </c>
      <c r="F278" s="34">
        <v>173605.0</v>
      </c>
      <c r="G278" s="34">
        <v>87575.0</v>
      </c>
      <c r="H278" s="34">
        <v>10403.0</v>
      </c>
      <c r="I278" s="34">
        <v>0.0</v>
      </c>
      <c r="J278" s="34">
        <v>0.0</v>
      </c>
      <c r="K278" s="34">
        <v>9.08699116E8</v>
      </c>
      <c r="L278" s="34">
        <v>1769053.0</v>
      </c>
      <c r="M278" s="34">
        <v>2025.0</v>
      </c>
      <c r="N278" s="33" t="s">
        <v>66</v>
      </c>
      <c r="O278" s="33">
        <v>23.0</v>
      </c>
      <c r="P278" s="33"/>
      <c r="Q278" s="33"/>
      <c r="R278" s="30"/>
      <c r="S278" s="30"/>
      <c r="T278" s="30"/>
      <c r="U278" s="30"/>
      <c r="V278" s="30"/>
      <c r="W278" s="30"/>
      <c r="X278" s="30"/>
      <c r="Y278" s="30"/>
      <c r="Z278" s="30"/>
    </row>
    <row r="279" ht="18.0" customHeight="1">
      <c r="A279" s="33">
        <v>1.49337313E8</v>
      </c>
      <c r="B279" s="33" t="s">
        <v>339</v>
      </c>
      <c r="C279" s="34">
        <v>9601967.0</v>
      </c>
      <c r="D279" s="32">
        <v>8500.0</v>
      </c>
      <c r="E279" s="34">
        <v>36814.0</v>
      </c>
      <c r="F279" s="34">
        <v>0.0</v>
      </c>
      <c r="G279" s="34">
        <v>0.0</v>
      </c>
      <c r="H279" s="34">
        <v>2163.0</v>
      </c>
      <c r="I279" s="34">
        <v>0.0</v>
      </c>
      <c r="J279" s="34">
        <v>0.0</v>
      </c>
      <c r="K279" s="34">
        <v>5.641114428E9</v>
      </c>
      <c r="L279" s="34">
        <v>4.828599969E9</v>
      </c>
      <c r="M279" s="34">
        <v>1029.0</v>
      </c>
      <c r="N279" s="33" t="s">
        <v>94</v>
      </c>
      <c r="O279" s="33">
        <v>23.0</v>
      </c>
      <c r="P279" s="33"/>
      <c r="Q279" s="33"/>
      <c r="R279" s="30"/>
      <c r="S279" s="30"/>
      <c r="T279" s="30"/>
      <c r="U279" s="30"/>
      <c r="V279" s="30"/>
      <c r="W279" s="30"/>
      <c r="X279" s="30"/>
      <c r="Y279" s="30"/>
      <c r="Z279" s="30"/>
    </row>
    <row r="280" ht="18.0" customHeight="1">
      <c r="A280" s="33">
        <v>1.86999076E8</v>
      </c>
      <c r="B280" s="33" t="s">
        <v>340</v>
      </c>
      <c r="C280" s="34">
        <v>9519559.0</v>
      </c>
      <c r="D280" s="32">
        <v>807114.0</v>
      </c>
      <c r="E280" s="34">
        <v>-1.0</v>
      </c>
      <c r="F280" s="34">
        <v>0.0</v>
      </c>
      <c r="G280" s="34">
        <v>0.0</v>
      </c>
      <c r="H280" s="34">
        <v>0.0</v>
      </c>
      <c r="I280" s="34">
        <v>0.0</v>
      </c>
      <c r="J280" s="34">
        <v>0.0</v>
      </c>
      <c r="K280" s="34">
        <v>1.197149492E9</v>
      </c>
      <c r="L280" s="34">
        <v>1.185546864E9</v>
      </c>
      <c r="M280" s="34">
        <v>477.0</v>
      </c>
      <c r="N280" s="33" t="s">
        <v>165</v>
      </c>
      <c r="O280" s="33">
        <v>23.0</v>
      </c>
      <c r="P280" s="33"/>
      <c r="Q280" s="33"/>
      <c r="R280" s="30"/>
      <c r="S280" s="30"/>
      <c r="T280" s="30"/>
      <c r="U280" s="30"/>
      <c r="V280" s="30"/>
      <c r="W280" s="30"/>
      <c r="X280" s="30"/>
      <c r="Y280" s="30"/>
      <c r="Z280" s="30"/>
    </row>
    <row r="281" ht="18.0" customHeight="1">
      <c r="A281" s="33">
        <v>1.58044546E8</v>
      </c>
      <c r="B281" s="33" t="s">
        <v>341</v>
      </c>
      <c r="C281" s="34">
        <v>9519418.0</v>
      </c>
      <c r="D281" s="32">
        <v>49934.0</v>
      </c>
      <c r="E281" s="34">
        <v>91788.0</v>
      </c>
      <c r="F281" s="34">
        <v>5755.0</v>
      </c>
      <c r="G281" s="34">
        <v>53153.0</v>
      </c>
      <c r="H281" s="34">
        <v>0.0</v>
      </c>
      <c r="I281" s="34">
        <v>342.0</v>
      </c>
      <c r="J281" s="34">
        <v>0.0</v>
      </c>
      <c r="K281" s="34">
        <v>4.231951844E9</v>
      </c>
      <c r="L281" s="34">
        <v>3.177650281E9</v>
      </c>
      <c r="M281" s="34">
        <v>2659.0</v>
      </c>
      <c r="N281" s="33" t="s">
        <v>153</v>
      </c>
      <c r="O281" s="33">
        <v>24.0</v>
      </c>
      <c r="P281" s="33"/>
      <c r="Q281" s="33"/>
      <c r="R281" s="30"/>
      <c r="S281" s="30"/>
      <c r="T281" s="30"/>
      <c r="U281" s="30"/>
      <c r="V281" s="30"/>
      <c r="W281" s="30"/>
      <c r="X281" s="30"/>
      <c r="Y281" s="30"/>
      <c r="Z281" s="30"/>
    </row>
    <row r="282" ht="18.0" customHeight="1">
      <c r="A282" s="33">
        <v>2.12123377E8</v>
      </c>
      <c r="B282" s="33" t="s">
        <v>342</v>
      </c>
      <c r="C282" s="34">
        <v>9508932.0</v>
      </c>
      <c r="D282" s="32">
        <v>832897.0</v>
      </c>
      <c r="E282" s="34">
        <v>-1.0</v>
      </c>
      <c r="F282" s="34">
        <v>0.0</v>
      </c>
      <c r="G282" s="34">
        <v>0.0</v>
      </c>
      <c r="H282" s="34">
        <v>0.0</v>
      </c>
      <c r="I282" s="34">
        <v>0.0</v>
      </c>
      <c r="J282" s="34">
        <v>0.0</v>
      </c>
      <c r="K282" s="34">
        <v>7.62477663E8</v>
      </c>
      <c r="L282" s="34">
        <v>1200000.0</v>
      </c>
      <c r="M282" s="34">
        <v>744.0</v>
      </c>
      <c r="N282" s="33" t="s">
        <v>94</v>
      </c>
      <c r="O282" s="33">
        <v>23.0</v>
      </c>
      <c r="P282" s="33"/>
      <c r="Q282" s="33"/>
      <c r="R282" s="30"/>
      <c r="S282" s="30"/>
      <c r="T282" s="30"/>
      <c r="U282" s="30"/>
      <c r="V282" s="30"/>
      <c r="W282" s="30"/>
      <c r="X282" s="30"/>
      <c r="Y282" s="30"/>
      <c r="Z282" s="30"/>
    </row>
    <row r="283" ht="18.0" customHeight="1">
      <c r="A283" s="33">
        <v>1.95973792E8</v>
      </c>
      <c r="B283" s="33" t="s">
        <v>343</v>
      </c>
      <c r="C283" s="34">
        <v>9461470.0</v>
      </c>
      <c r="D283" s="32">
        <v>479725.0</v>
      </c>
      <c r="E283" s="34">
        <v>6509754.0</v>
      </c>
      <c r="F283" s="34">
        <v>883943.0</v>
      </c>
      <c r="G283" s="34">
        <v>24230.0</v>
      </c>
      <c r="H283" s="34">
        <v>602788.0</v>
      </c>
      <c r="I283" s="34">
        <v>17457.0</v>
      </c>
      <c r="J283" s="34">
        <v>0.0</v>
      </c>
      <c r="K283" s="34">
        <v>4.058276393E9</v>
      </c>
      <c r="L283" s="34">
        <v>4.208555423E9</v>
      </c>
      <c r="M283" s="34">
        <v>1368.0</v>
      </c>
      <c r="N283" s="33" t="s">
        <v>153</v>
      </c>
      <c r="O283" s="33">
        <v>22.0</v>
      </c>
      <c r="P283" s="33"/>
      <c r="Q283" s="33"/>
      <c r="R283" s="30"/>
      <c r="S283" s="30"/>
      <c r="T283" s="30"/>
      <c r="U283" s="30"/>
      <c r="V283" s="30"/>
      <c r="W283" s="30"/>
      <c r="X283" s="30"/>
      <c r="Y283" s="30"/>
      <c r="Z283" s="30"/>
    </row>
    <row r="284" ht="18.0" customHeight="1">
      <c r="A284" s="33">
        <v>1.30732227E8</v>
      </c>
      <c r="B284" s="33" t="s">
        <v>344</v>
      </c>
      <c r="C284" s="34">
        <v>9454724.0</v>
      </c>
      <c r="D284" s="32">
        <v>0.0</v>
      </c>
      <c r="E284" s="34">
        <v>7108.0</v>
      </c>
      <c r="F284" s="34">
        <v>190.0</v>
      </c>
      <c r="G284" s="34">
        <v>0.0</v>
      </c>
      <c r="H284" s="34">
        <v>0.0</v>
      </c>
      <c r="I284" s="34">
        <v>0.0</v>
      </c>
      <c r="J284" s="34">
        <v>0.0</v>
      </c>
      <c r="K284" s="34">
        <v>6.08803948E9</v>
      </c>
      <c r="L284" s="34">
        <v>4.866498155E9</v>
      </c>
      <c r="M284" s="34">
        <v>901.0</v>
      </c>
      <c r="N284" s="33" t="s">
        <v>153</v>
      </c>
      <c r="O284" s="33">
        <v>24.0</v>
      </c>
      <c r="P284" s="33"/>
      <c r="Q284" s="33"/>
      <c r="R284" s="30"/>
      <c r="S284" s="30"/>
      <c r="T284" s="30"/>
      <c r="U284" s="30"/>
      <c r="V284" s="30"/>
      <c r="W284" s="30"/>
      <c r="X284" s="30"/>
      <c r="Y284" s="30"/>
      <c r="Z284" s="30"/>
    </row>
    <row r="285" ht="18.0" customHeight="1">
      <c r="A285" s="33">
        <v>6.8375667E7</v>
      </c>
      <c r="B285" s="33" t="s">
        <v>345</v>
      </c>
      <c r="C285" s="34">
        <v>9389964.0</v>
      </c>
      <c r="D285" s="32">
        <v>961991.0</v>
      </c>
      <c r="E285" s="34">
        <v>5464.0</v>
      </c>
      <c r="F285" s="34">
        <v>0.0</v>
      </c>
      <c r="G285" s="34">
        <v>1771.0</v>
      </c>
      <c r="H285" s="34">
        <v>0.0</v>
      </c>
      <c r="I285" s="34">
        <v>0.0</v>
      </c>
      <c r="J285" s="34">
        <v>0.0</v>
      </c>
      <c r="K285" s="34">
        <v>2.131006794E9</v>
      </c>
      <c r="L285" s="34">
        <v>0.0</v>
      </c>
      <c r="M285" s="34">
        <v>433.0</v>
      </c>
      <c r="N285" s="33" t="s">
        <v>153</v>
      </c>
      <c r="O285" s="33">
        <v>24.0</v>
      </c>
      <c r="P285" s="33"/>
      <c r="Q285" s="33"/>
      <c r="R285" s="30"/>
      <c r="S285" s="30"/>
      <c r="T285" s="30"/>
      <c r="U285" s="30"/>
      <c r="V285" s="30"/>
      <c r="W285" s="30"/>
      <c r="X285" s="30"/>
      <c r="Y285" s="30"/>
      <c r="Z285" s="30"/>
    </row>
    <row r="286" ht="18.0" customHeight="1">
      <c r="A286" s="33">
        <v>1.30729732E8</v>
      </c>
      <c r="B286" s="33" t="s">
        <v>346</v>
      </c>
      <c r="C286" s="34">
        <v>9271066.0</v>
      </c>
      <c r="D286" s="32">
        <v>0.0</v>
      </c>
      <c r="E286" s="34">
        <v>13.0</v>
      </c>
      <c r="F286" s="34">
        <v>0.0</v>
      </c>
      <c r="G286" s="34">
        <v>69.0</v>
      </c>
      <c r="H286" s="34">
        <v>0.0</v>
      </c>
      <c r="I286" s="34">
        <v>0.0</v>
      </c>
      <c r="J286" s="34">
        <v>0.0</v>
      </c>
      <c r="K286" s="34">
        <v>6.06672504E9</v>
      </c>
      <c r="L286" s="34">
        <v>4.885459754E9</v>
      </c>
      <c r="M286" s="34">
        <v>897.0</v>
      </c>
      <c r="N286" s="33" t="s">
        <v>153</v>
      </c>
      <c r="O286" s="33">
        <v>24.0</v>
      </c>
      <c r="P286" s="33"/>
      <c r="Q286" s="33"/>
      <c r="R286" s="30"/>
      <c r="S286" s="30"/>
      <c r="T286" s="30"/>
      <c r="U286" s="30"/>
      <c r="V286" s="30"/>
      <c r="W286" s="30"/>
      <c r="X286" s="30"/>
      <c r="Y286" s="30"/>
      <c r="Z286" s="30"/>
    </row>
    <row r="287" ht="18.0" customHeight="1">
      <c r="A287" s="33">
        <v>9.1314103E7</v>
      </c>
      <c r="B287" s="33" t="s">
        <v>347</v>
      </c>
      <c r="C287" s="34">
        <v>9162733.0</v>
      </c>
      <c r="D287" s="32">
        <v>507241.0</v>
      </c>
      <c r="E287" s="34">
        <v>1077100.0</v>
      </c>
      <c r="F287" s="34">
        <v>21803.0</v>
      </c>
      <c r="G287" s="34">
        <v>921711.0</v>
      </c>
      <c r="H287" s="34">
        <v>688.0</v>
      </c>
      <c r="I287" s="34">
        <v>0.0</v>
      </c>
      <c r="J287" s="34">
        <v>0.0</v>
      </c>
      <c r="K287" s="34">
        <v>2.225224364E9</v>
      </c>
      <c r="L287" s="34">
        <v>2.12476198E8</v>
      </c>
      <c r="M287" s="34">
        <v>2393.0</v>
      </c>
      <c r="N287" s="33" t="s">
        <v>147</v>
      </c>
      <c r="O287" s="33">
        <v>22.0</v>
      </c>
      <c r="P287" s="33"/>
      <c r="Q287" s="33"/>
      <c r="R287" s="30"/>
      <c r="S287" s="30"/>
      <c r="T287" s="30"/>
      <c r="U287" s="30"/>
      <c r="V287" s="30"/>
      <c r="W287" s="30"/>
      <c r="X287" s="30"/>
      <c r="Y287" s="30"/>
      <c r="Z287" s="30"/>
    </row>
    <row r="288" ht="18.0" customHeight="1">
      <c r="A288" s="33">
        <v>1.46791843E8</v>
      </c>
      <c r="B288" s="33" t="s">
        <v>348</v>
      </c>
      <c r="C288" s="34">
        <v>9145379.0</v>
      </c>
      <c r="D288" s="32">
        <v>21800.0</v>
      </c>
      <c r="E288" s="34">
        <v>125882.0</v>
      </c>
      <c r="F288" s="34">
        <v>16780.0</v>
      </c>
      <c r="G288" s="34">
        <v>5953.0</v>
      </c>
      <c r="H288" s="34">
        <v>3548.0</v>
      </c>
      <c r="I288" s="34">
        <v>66.0</v>
      </c>
      <c r="J288" s="34">
        <v>0.0</v>
      </c>
      <c r="K288" s="34">
        <v>1.0525216933E10</v>
      </c>
      <c r="L288" s="34">
        <v>6.531025561E9</v>
      </c>
      <c r="M288" s="34">
        <v>2384.0</v>
      </c>
      <c r="N288" s="33" t="s">
        <v>153</v>
      </c>
      <c r="O288" s="33">
        <v>24.0</v>
      </c>
      <c r="P288" s="33"/>
      <c r="Q288" s="33"/>
      <c r="R288" s="30"/>
      <c r="S288" s="30"/>
      <c r="T288" s="30"/>
      <c r="U288" s="30"/>
      <c r="V288" s="30"/>
      <c r="W288" s="30"/>
      <c r="X288" s="30"/>
      <c r="Y288" s="30"/>
      <c r="Z288" s="30"/>
    </row>
    <row r="289" ht="18.0" customHeight="1">
      <c r="A289" s="33">
        <v>1.30726561E8</v>
      </c>
      <c r="B289" s="33" t="s">
        <v>349</v>
      </c>
      <c r="C289" s="34">
        <v>8998420.0</v>
      </c>
      <c r="D289" s="32">
        <v>0.0</v>
      </c>
      <c r="E289" s="34">
        <v>-1.0</v>
      </c>
      <c r="F289" s="34">
        <v>0.0</v>
      </c>
      <c r="G289" s="34">
        <v>0.0</v>
      </c>
      <c r="H289" s="34">
        <v>0.0</v>
      </c>
      <c r="I289" s="34">
        <v>0.0</v>
      </c>
      <c r="J289" s="34">
        <v>0.0</v>
      </c>
      <c r="K289" s="34">
        <v>2.665924638E9</v>
      </c>
      <c r="L289" s="34">
        <v>2.578029474E9</v>
      </c>
      <c r="M289" s="34">
        <v>878.0</v>
      </c>
      <c r="N289" s="33" t="s">
        <v>147</v>
      </c>
      <c r="O289" s="33">
        <v>24.0</v>
      </c>
      <c r="P289" s="33"/>
      <c r="Q289" s="33"/>
      <c r="R289" s="30"/>
      <c r="S289" s="30"/>
      <c r="T289" s="30"/>
      <c r="U289" s="30"/>
      <c r="V289" s="30"/>
      <c r="W289" s="30"/>
      <c r="X289" s="30"/>
      <c r="Y289" s="30"/>
      <c r="Z289" s="30"/>
    </row>
    <row r="290" ht="18.0" customHeight="1">
      <c r="A290" s="33">
        <v>1.43576897E8</v>
      </c>
      <c r="B290" s="33" t="s">
        <v>350</v>
      </c>
      <c r="C290" s="34">
        <v>8977061.0</v>
      </c>
      <c r="D290" s="32">
        <v>0.0</v>
      </c>
      <c r="E290" s="34">
        <v>1392283.0</v>
      </c>
      <c r="F290" s="34">
        <v>331877.0</v>
      </c>
      <c r="G290" s="34">
        <v>23565.0</v>
      </c>
      <c r="H290" s="34">
        <v>103875.0</v>
      </c>
      <c r="I290" s="34">
        <v>13067.0</v>
      </c>
      <c r="J290" s="34">
        <v>0.0</v>
      </c>
      <c r="K290" s="34">
        <v>1.957043306E9</v>
      </c>
      <c r="L290" s="34">
        <v>0.0</v>
      </c>
      <c r="M290" s="34">
        <v>3776.0</v>
      </c>
      <c r="N290" s="33" t="s">
        <v>66</v>
      </c>
      <c r="O290" s="33">
        <v>23.0</v>
      </c>
      <c r="P290" s="33"/>
      <c r="Q290" s="33"/>
      <c r="R290" s="30"/>
      <c r="S290" s="30"/>
      <c r="T290" s="30"/>
      <c r="U290" s="30"/>
      <c r="V290" s="30"/>
      <c r="W290" s="30"/>
      <c r="X290" s="30"/>
      <c r="Y290" s="30"/>
      <c r="Z290" s="30"/>
    </row>
    <row r="291" ht="18.0" customHeight="1">
      <c r="A291" s="33">
        <v>1.92778268E8</v>
      </c>
      <c r="B291" s="33" t="s">
        <v>351</v>
      </c>
      <c r="C291" s="34">
        <v>8928918.0</v>
      </c>
      <c r="D291" s="32">
        <v>0.0</v>
      </c>
      <c r="E291" s="34">
        <v>261402.0</v>
      </c>
      <c r="F291" s="34">
        <v>481252.0</v>
      </c>
      <c r="G291" s="34">
        <v>960.0</v>
      </c>
      <c r="H291" s="34">
        <v>20856.0</v>
      </c>
      <c r="I291" s="34">
        <v>2629.0</v>
      </c>
      <c r="J291" s="34">
        <v>0.0</v>
      </c>
      <c r="K291" s="34">
        <v>1.240467932E9</v>
      </c>
      <c r="L291" s="34">
        <v>6.62527686E8</v>
      </c>
      <c r="M291" s="34">
        <v>747.0</v>
      </c>
      <c r="N291" s="33" t="s">
        <v>94</v>
      </c>
      <c r="O291" s="33">
        <v>23.0</v>
      </c>
      <c r="P291" s="33"/>
      <c r="Q291" s="33"/>
      <c r="R291" s="30"/>
      <c r="S291" s="30"/>
      <c r="T291" s="30"/>
      <c r="U291" s="30"/>
      <c r="V291" s="30"/>
      <c r="W291" s="30"/>
      <c r="X291" s="30"/>
      <c r="Y291" s="30"/>
      <c r="Z291" s="30"/>
    </row>
    <row r="292" ht="18.0" customHeight="1">
      <c r="A292" s="33">
        <v>1.6750682E8</v>
      </c>
      <c r="B292" s="33" t="s">
        <v>352</v>
      </c>
      <c r="C292" s="34">
        <v>8791539.0</v>
      </c>
      <c r="D292" s="32">
        <v>210280.0</v>
      </c>
      <c r="E292" s="34">
        <v>66486.0</v>
      </c>
      <c r="F292" s="34">
        <v>0.0</v>
      </c>
      <c r="G292" s="34">
        <v>1633.0</v>
      </c>
      <c r="H292" s="34">
        <v>6616.0</v>
      </c>
      <c r="I292" s="34">
        <v>0.0</v>
      </c>
      <c r="J292" s="34">
        <v>0.0</v>
      </c>
      <c r="K292" s="34">
        <v>1.435218625E9</v>
      </c>
      <c r="L292" s="34">
        <v>1.840356735E9</v>
      </c>
      <c r="M292" s="34">
        <v>977.0</v>
      </c>
      <c r="N292" s="33" t="s">
        <v>153</v>
      </c>
      <c r="O292" s="33">
        <v>22.0</v>
      </c>
      <c r="P292" s="33"/>
      <c r="Q292" s="33"/>
      <c r="R292" s="30"/>
      <c r="S292" s="30"/>
      <c r="T292" s="30"/>
      <c r="U292" s="30"/>
      <c r="V292" s="30"/>
      <c r="W292" s="30"/>
      <c r="X292" s="30"/>
      <c r="Y292" s="30"/>
      <c r="Z292" s="30"/>
    </row>
    <row r="293" ht="18.0" customHeight="1">
      <c r="A293" s="33">
        <v>1.92123692E8</v>
      </c>
      <c r="B293" s="33" t="s">
        <v>353</v>
      </c>
      <c r="C293" s="34">
        <v>8697089.0</v>
      </c>
      <c r="D293" s="32">
        <v>0.0</v>
      </c>
      <c r="E293" s="34">
        <v>-1.0</v>
      </c>
      <c r="F293" s="34">
        <v>0.0</v>
      </c>
      <c r="G293" s="34">
        <v>0.0</v>
      </c>
      <c r="H293" s="34">
        <v>0.0</v>
      </c>
      <c r="I293" s="34">
        <v>0.0</v>
      </c>
      <c r="J293" s="34">
        <v>0.0</v>
      </c>
      <c r="K293" s="34">
        <v>6.329683666E9</v>
      </c>
      <c r="L293" s="34">
        <v>4.772167122E9</v>
      </c>
      <c r="M293" s="34">
        <v>877.0</v>
      </c>
      <c r="N293" s="33" t="s">
        <v>147</v>
      </c>
      <c r="O293" s="33">
        <v>24.0</v>
      </c>
      <c r="P293" s="33"/>
      <c r="Q293" s="33"/>
      <c r="R293" s="30"/>
      <c r="S293" s="30"/>
      <c r="T293" s="30"/>
      <c r="U293" s="30"/>
      <c r="V293" s="30"/>
      <c r="W293" s="30"/>
      <c r="X293" s="30"/>
      <c r="Y293" s="30"/>
      <c r="Z293" s="30"/>
    </row>
    <row r="294" ht="18.0" customHeight="1">
      <c r="A294" s="33">
        <v>1.92121692E8</v>
      </c>
      <c r="B294" s="33" t="s">
        <v>354</v>
      </c>
      <c r="C294" s="34">
        <v>8674311.0</v>
      </c>
      <c r="D294" s="32">
        <v>0.0</v>
      </c>
      <c r="E294" s="34">
        <v>-1.0</v>
      </c>
      <c r="F294" s="34">
        <v>0.0</v>
      </c>
      <c r="G294" s="34">
        <v>0.0</v>
      </c>
      <c r="H294" s="34">
        <v>0.0</v>
      </c>
      <c r="I294" s="34">
        <v>0.0</v>
      </c>
      <c r="J294" s="34">
        <v>0.0</v>
      </c>
      <c r="K294" s="34">
        <v>6.013164153E9</v>
      </c>
      <c r="L294" s="34">
        <v>4.7179605E9</v>
      </c>
      <c r="M294" s="34">
        <v>891.0</v>
      </c>
      <c r="N294" s="33" t="s">
        <v>147</v>
      </c>
      <c r="O294" s="33">
        <v>24.0</v>
      </c>
      <c r="P294" s="33"/>
      <c r="Q294" s="33"/>
      <c r="R294" s="30"/>
      <c r="S294" s="30"/>
      <c r="T294" s="30"/>
      <c r="U294" s="30"/>
      <c r="V294" s="30"/>
      <c r="W294" s="30"/>
      <c r="X294" s="30"/>
      <c r="Y294" s="30"/>
      <c r="Z294" s="30"/>
    </row>
    <row r="295" ht="18.0" customHeight="1">
      <c r="A295" s="33">
        <v>1.99046581E8</v>
      </c>
      <c r="B295" s="33" t="s">
        <v>355</v>
      </c>
      <c r="C295" s="34">
        <v>8540420.0</v>
      </c>
      <c r="D295" s="32">
        <v>0.0</v>
      </c>
      <c r="E295" s="34">
        <v>779800.0</v>
      </c>
      <c r="F295" s="34">
        <v>0.0</v>
      </c>
      <c r="G295" s="34">
        <v>0.0</v>
      </c>
      <c r="H295" s="34">
        <v>212.0</v>
      </c>
      <c r="I295" s="34">
        <v>38884.0</v>
      </c>
      <c r="J295" s="34">
        <v>0.0</v>
      </c>
      <c r="K295" s="34">
        <v>2.095892692E9</v>
      </c>
      <c r="L295" s="34">
        <v>7.6443025E8</v>
      </c>
      <c r="M295" s="34">
        <v>557.0</v>
      </c>
      <c r="N295" s="33" t="s">
        <v>153</v>
      </c>
      <c r="O295" s="33">
        <v>23.0</v>
      </c>
      <c r="P295" s="33"/>
      <c r="Q295" s="33"/>
      <c r="R295" s="30"/>
      <c r="S295" s="30"/>
      <c r="T295" s="30"/>
      <c r="U295" s="30"/>
      <c r="V295" s="30"/>
      <c r="W295" s="30"/>
      <c r="X295" s="30"/>
      <c r="Y295" s="30"/>
      <c r="Z295" s="30"/>
    </row>
    <row r="296" ht="18.0" customHeight="1">
      <c r="A296" s="33">
        <v>9.0288938E7</v>
      </c>
      <c r="B296" s="33" t="s">
        <v>356</v>
      </c>
      <c r="C296" s="34">
        <v>8397985.0</v>
      </c>
      <c r="D296" s="32">
        <v>2300.0</v>
      </c>
      <c r="E296" s="34">
        <v>1217786.0</v>
      </c>
      <c r="F296" s="34">
        <v>2291738.0</v>
      </c>
      <c r="G296" s="34">
        <v>128951.0</v>
      </c>
      <c r="H296" s="34">
        <v>52036.0</v>
      </c>
      <c r="I296" s="34">
        <v>14292.0</v>
      </c>
      <c r="J296" s="34">
        <v>0.0</v>
      </c>
      <c r="K296" s="34">
        <v>1.0312886731E10</v>
      </c>
      <c r="L296" s="34">
        <v>1.0949511248E10</v>
      </c>
      <c r="M296" s="34">
        <v>4970.0</v>
      </c>
      <c r="N296" s="33" t="s">
        <v>94</v>
      </c>
      <c r="O296" s="33">
        <v>22.0</v>
      </c>
      <c r="P296" s="33"/>
      <c r="Q296" s="33"/>
      <c r="R296" s="30"/>
      <c r="S296" s="30"/>
      <c r="T296" s="30"/>
      <c r="U296" s="30"/>
      <c r="V296" s="30"/>
      <c r="W296" s="30"/>
      <c r="X296" s="30"/>
      <c r="Y296" s="30"/>
      <c r="Z296" s="30"/>
    </row>
    <row r="297" ht="18.0" customHeight="1">
      <c r="A297" s="33">
        <v>1.78973426E8</v>
      </c>
      <c r="B297" s="33" t="s">
        <v>357</v>
      </c>
      <c r="C297" s="34">
        <v>8025171.0</v>
      </c>
      <c r="D297" s="32">
        <v>0.0</v>
      </c>
      <c r="E297" s="34">
        <v>528130.0</v>
      </c>
      <c r="F297" s="34">
        <v>730502.0</v>
      </c>
      <c r="G297" s="34">
        <v>23871.0</v>
      </c>
      <c r="H297" s="34">
        <v>5632.0</v>
      </c>
      <c r="I297" s="34">
        <v>16240.0</v>
      </c>
      <c r="J297" s="34">
        <v>0.0</v>
      </c>
      <c r="K297" s="34">
        <v>7.42455511E8</v>
      </c>
      <c r="L297" s="34">
        <v>0.0</v>
      </c>
      <c r="M297" s="34">
        <v>835.0</v>
      </c>
      <c r="N297" s="33" t="s">
        <v>165</v>
      </c>
      <c r="O297" s="33">
        <v>21.0</v>
      </c>
      <c r="P297" s="33"/>
      <c r="Q297" s="33"/>
      <c r="R297" s="30"/>
      <c r="S297" s="30"/>
      <c r="T297" s="30"/>
      <c r="U297" s="30"/>
      <c r="V297" s="30"/>
      <c r="W297" s="30"/>
      <c r="X297" s="30"/>
      <c r="Y297" s="30"/>
      <c r="Z297" s="30"/>
    </row>
    <row r="298" ht="18.0" customHeight="1">
      <c r="A298" s="33">
        <v>1.44075852E8</v>
      </c>
      <c r="B298" s="33" t="s">
        <v>358</v>
      </c>
      <c r="C298" s="34">
        <v>7986261.0</v>
      </c>
      <c r="D298" s="32">
        <v>0.0</v>
      </c>
      <c r="E298" s="34">
        <v>301124.0</v>
      </c>
      <c r="F298" s="34">
        <v>0.0</v>
      </c>
      <c r="G298" s="34">
        <v>14023.0</v>
      </c>
      <c r="H298" s="34">
        <v>3980.0</v>
      </c>
      <c r="I298" s="34">
        <v>0.0</v>
      </c>
      <c r="J298" s="34">
        <v>0.0</v>
      </c>
      <c r="K298" s="34">
        <v>7.2291275E8</v>
      </c>
      <c r="L298" s="34">
        <v>0.0</v>
      </c>
      <c r="M298" s="34">
        <v>1376.0</v>
      </c>
      <c r="N298" s="33" t="s">
        <v>66</v>
      </c>
      <c r="O298" s="33">
        <v>22.0</v>
      </c>
      <c r="P298" s="33"/>
      <c r="Q298" s="33"/>
      <c r="R298" s="30"/>
      <c r="S298" s="30"/>
      <c r="T298" s="30"/>
      <c r="U298" s="30"/>
      <c r="V298" s="30"/>
      <c r="W298" s="30"/>
      <c r="X298" s="30"/>
      <c r="Y298" s="30"/>
      <c r="Z298" s="30"/>
    </row>
    <row r="299" ht="18.0" customHeight="1">
      <c r="A299" s="33">
        <v>1.60622812E8</v>
      </c>
      <c r="B299" s="33" t="s">
        <v>359</v>
      </c>
      <c r="C299" s="34">
        <v>7953330.0</v>
      </c>
      <c r="D299" s="32">
        <v>0.0</v>
      </c>
      <c r="E299" s="34">
        <v>112250.0</v>
      </c>
      <c r="F299" s="34">
        <v>421585.0</v>
      </c>
      <c r="G299" s="34">
        <v>0.0</v>
      </c>
      <c r="H299" s="34">
        <v>1981.0</v>
      </c>
      <c r="I299" s="34">
        <v>4622.0</v>
      </c>
      <c r="J299" s="34">
        <v>0.0</v>
      </c>
      <c r="K299" s="34">
        <v>2.465501082E9</v>
      </c>
      <c r="L299" s="34">
        <v>2.085829796E9</v>
      </c>
      <c r="M299" s="34">
        <v>793.0</v>
      </c>
      <c r="N299" s="33" t="s">
        <v>147</v>
      </c>
      <c r="O299" s="33">
        <v>24.0</v>
      </c>
      <c r="P299" s="33"/>
      <c r="Q299" s="33"/>
      <c r="R299" s="30"/>
      <c r="S299" s="30"/>
      <c r="T299" s="30"/>
      <c r="U299" s="30"/>
      <c r="V299" s="30"/>
      <c r="W299" s="30"/>
      <c r="X299" s="30"/>
      <c r="Y299" s="30"/>
      <c r="Z299" s="30"/>
    </row>
    <row r="300" ht="18.0" customHeight="1">
      <c r="A300" s="33">
        <v>8904518.0</v>
      </c>
      <c r="B300" s="33" t="s">
        <v>360</v>
      </c>
      <c r="C300" s="34">
        <v>7946453.0</v>
      </c>
      <c r="D300" s="32">
        <v>0.0</v>
      </c>
      <c r="E300" s="34">
        <v>4517977.0</v>
      </c>
      <c r="F300" s="34">
        <v>2989697.0</v>
      </c>
      <c r="G300" s="34">
        <v>7197.0</v>
      </c>
      <c r="H300" s="34">
        <v>234569.0</v>
      </c>
      <c r="I300" s="34">
        <v>85188.0</v>
      </c>
      <c r="J300" s="34">
        <v>0.0</v>
      </c>
      <c r="K300" s="34">
        <v>4.568105896E9</v>
      </c>
      <c r="L300" s="34">
        <v>6.863038804E9</v>
      </c>
      <c r="M300" s="34">
        <v>1964.0</v>
      </c>
      <c r="N300" s="33" t="s">
        <v>153</v>
      </c>
      <c r="O300" s="33">
        <v>22.0</v>
      </c>
      <c r="P300" s="33"/>
      <c r="Q300" s="33"/>
      <c r="R300" s="30"/>
      <c r="S300" s="30"/>
      <c r="T300" s="30"/>
      <c r="U300" s="30"/>
      <c r="V300" s="30"/>
      <c r="W300" s="30"/>
      <c r="X300" s="30"/>
      <c r="Y300" s="30"/>
      <c r="Z300" s="30"/>
    </row>
    <row r="301" ht="18.0" customHeight="1">
      <c r="A301" s="33">
        <v>1.60621434E8</v>
      </c>
      <c r="B301" s="33" t="s">
        <v>361</v>
      </c>
      <c r="C301" s="34">
        <v>7944631.0</v>
      </c>
      <c r="D301" s="32">
        <v>0.0</v>
      </c>
      <c r="E301" s="34">
        <v>61111.0</v>
      </c>
      <c r="F301" s="34">
        <v>265251.0</v>
      </c>
      <c r="G301" s="34">
        <v>1806.0</v>
      </c>
      <c r="H301" s="34">
        <v>7.0</v>
      </c>
      <c r="I301" s="34">
        <v>2205.0</v>
      </c>
      <c r="J301" s="34">
        <v>0.0</v>
      </c>
      <c r="K301" s="34">
        <v>2.47589891E9</v>
      </c>
      <c r="L301" s="34">
        <v>1.992678478E9</v>
      </c>
      <c r="M301" s="34">
        <v>887.0</v>
      </c>
      <c r="N301" s="33" t="s">
        <v>147</v>
      </c>
      <c r="O301" s="33">
        <v>24.0</v>
      </c>
      <c r="P301" s="33"/>
      <c r="Q301" s="33"/>
      <c r="R301" s="30"/>
      <c r="S301" s="30"/>
      <c r="T301" s="30"/>
      <c r="U301" s="30"/>
      <c r="V301" s="30"/>
      <c r="W301" s="30"/>
      <c r="X301" s="30"/>
      <c r="Y301" s="30"/>
      <c r="Z301" s="30"/>
    </row>
    <row r="302" ht="18.0" customHeight="1">
      <c r="A302" s="35"/>
      <c r="B302" s="35"/>
      <c r="C302" s="36">
        <f t="shared" ref="C302:M302" si="1">SUM(C2:C301)</f>
        <v>10688142803</v>
      </c>
      <c r="D302" s="36">
        <f t="shared" si="1"/>
        <v>-10349226</v>
      </c>
      <c r="E302" s="36">
        <f t="shared" si="1"/>
        <v>137501117477</v>
      </c>
      <c r="F302" s="36">
        <f t="shared" si="1"/>
        <v>1407319132</v>
      </c>
      <c r="G302" s="36">
        <f t="shared" si="1"/>
        <v>2243291396</v>
      </c>
      <c r="H302" s="36">
        <f t="shared" si="1"/>
        <v>4491861931</v>
      </c>
      <c r="I302" s="36">
        <f t="shared" si="1"/>
        <v>4514387883</v>
      </c>
      <c r="J302" s="36">
        <f t="shared" si="1"/>
        <v>8168107</v>
      </c>
      <c r="K302" s="36">
        <f t="shared" si="1"/>
        <v>2729866238352</v>
      </c>
      <c r="L302" s="36">
        <f t="shared" si="1"/>
        <v>1879602383094</v>
      </c>
      <c r="M302" s="36">
        <f t="shared" si="1"/>
        <v>7618866</v>
      </c>
      <c r="N302" s="35"/>
      <c r="O302" s="35">
        <f>COUNT(O2:O301)</f>
        <v>300</v>
      </c>
      <c r="P302" s="35"/>
      <c r="Q302" s="35"/>
      <c r="R302" s="30"/>
      <c r="S302" s="30"/>
      <c r="T302" s="30"/>
      <c r="U302" s="30"/>
      <c r="V302" s="30"/>
      <c r="W302" s="30"/>
      <c r="X302" s="30"/>
      <c r="Y302" s="30"/>
      <c r="Z302" s="30"/>
    </row>
    <row r="303" ht="18.0" customHeight="1">
      <c r="A303" s="30"/>
      <c r="B303" s="37" t="s">
        <v>362</v>
      </c>
      <c r="C303" s="38">
        <f t="shared" ref="C303:M303" si="2">SUMIFS(C2:C301,$O$2:$O$301,"25")</f>
        <v>9120399941</v>
      </c>
      <c r="D303" s="38">
        <f t="shared" si="2"/>
        <v>-33164375</v>
      </c>
      <c r="E303" s="38">
        <f t="shared" si="2"/>
        <v>137287445691</v>
      </c>
      <c r="F303" s="38">
        <f t="shared" si="2"/>
        <v>1346338734</v>
      </c>
      <c r="G303" s="38">
        <f t="shared" si="2"/>
        <v>2233829133</v>
      </c>
      <c r="H303" s="38">
        <f t="shared" si="2"/>
        <v>4479637220</v>
      </c>
      <c r="I303" s="38">
        <f t="shared" si="2"/>
        <v>4511721469</v>
      </c>
      <c r="J303" s="38">
        <f t="shared" si="2"/>
        <v>8168107</v>
      </c>
      <c r="K303" s="38">
        <f t="shared" si="2"/>
        <v>2066641915393</v>
      </c>
      <c r="L303" s="38">
        <f t="shared" si="2"/>
        <v>1332463857652</v>
      </c>
      <c r="M303" s="38">
        <f t="shared" si="2"/>
        <v>7363394</v>
      </c>
      <c r="N303" s="37" t="s">
        <v>363</v>
      </c>
      <c r="O303" s="37">
        <f>COUNTIF(O2:O301,"25")</f>
        <v>185</v>
      </c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</row>
    <row r="304" ht="18.0" customHeight="1">
      <c r="A304" s="30"/>
      <c r="B304" s="30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</row>
    <row r="305" ht="18.0" customHeight="1">
      <c r="A305" s="30"/>
      <c r="B305" s="30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</row>
    <row r="306" ht="18.0" customHeight="1">
      <c r="A306" s="30"/>
      <c r="B306" s="30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</row>
    <row r="307" ht="18.0" customHeight="1">
      <c r="A307" s="30"/>
      <c r="B307" s="30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</row>
    <row r="308" ht="18.0" customHeight="1">
      <c r="A308" s="30"/>
      <c r="B308" s="30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</row>
    <row r="309" ht="18.0" customHeight="1">
      <c r="A309" s="30"/>
      <c r="B309" s="30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</row>
    <row r="310" ht="18.0" customHeight="1">
      <c r="A310" s="30"/>
      <c r="B310" s="30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</row>
    <row r="311" ht="18.0" customHeight="1">
      <c r="A311" s="30"/>
      <c r="B311" s="30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</row>
    <row r="312" ht="18.0" customHeight="1">
      <c r="A312" s="30"/>
      <c r="B312" s="30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</row>
    <row r="313" ht="18.0" customHeight="1">
      <c r="A313" s="30"/>
      <c r="B313" s="30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</row>
    <row r="314" ht="18.0" customHeight="1">
      <c r="A314" s="30"/>
      <c r="B314" s="30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</row>
    <row r="315" ht="18.0" customHeight="1">
      <c r="A315" s="30"/>
      <c r="B315" s="30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</row>
    <row r="316" ht="18.0" customHeight="1">
      <c r="A316" s="30"/>
      <c r="B316" s="30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</row>
    <row r="317" ht="18.0" customHeight="1">
      <c r="A317" s="30"/>
      <c r="B317" s="30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</row>
    <row r="318" ht="18.0" customHeight="1">
      <c r="A318" s="30"/>
      <c r="B318" s="30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</row>
    <row r="319" ht="18.0" customHeight="1">
      <c r="A319" s="30"/>
      <c r="B319" s="30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</row>
    <row r="320" ht="18.0" customHeight="1">
      <c r="A320" s="30"/>
      <c r="B320" s="30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</row>
    <row r="321" ht="18.0" customHeight="1">
      <c r="A321" s="30"/>
      <c r="B321" s="30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</row>
    <row r="322" ht="18.0" customHeight="1">
      <c r="A322" s="30"/>
      <c r="B322" s="30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</row>
    <row r="323" ht="18.0" customHeight="1">
      <c r="A323" s="30"/>
      <c r="B323" s="30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</row>
    <row r="324" ht="18.0" customHeight="1">
      <c r="A324" s="30"/>
      <c r="B324" s="30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</row>
    <row r="325" ht="18.0" customHeight="1">
      <c r="A325" s="30"/>
      <c r="B325" s="30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</row>
    <row r="326" ht="18.0" customHeight="1">
      <c r="A326" s="30"/>
      <c r="B326" s="30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</row>
    <row r="327" ht="18.0" customHeight="1">
      <c r="A327" s="30"/>
      <c r="B327" s="30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</row>
    <row r="328" ht="18.0" customHeight="1">
      <c r="A328" s="30"/>
      <c r="B328" s="30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</row>
    <row r="329" ht="18.0" customHeight="1">
      <c r="A329" s="30"/>
      <c r="B329" s="30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</row>
    <row r="330" ht="18.0" customHeight="1">
      <c r="A330" s="30"/>
      <c r="B330" s="30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</row>
    <row r="331" ht="18.0" customHeight="1">
      <c r="A331" s="30"/>
      <c r="B331" s="30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</row>
    <row r="332" ht="18.0" customHeight="1">
      <c r="A332" s="30"/>
      <c r="B332" s="30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</row>
    <row r="333" ht="18.0" customHeight="1">
      <c r="A333" s="30"/>
      <c r="B333" s="30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</row>
    <row r="334" ht="18.0" customHeight="1">
      <c r="A334" s="30"/>
      <c r="B334" s="30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</row>
    <row r="335" ht="18.0" customHeight="1">
      <c r="A335" s="30"/>
      <c r="B335" s="30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</row>
    <row r="336" ht="18.0" customHeight="1">
      <c r="A336" s="30"/>
      <c r="B336" s="30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</row>
    <row r="337" ht="18.0" customHeight="1">
      <c r="A337" s="30"/>
      <c r="B337" s="30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</row>
    <row r="338" ht="18.0" customHeight="1">
      <c r="A338" s="30"/>
      <c r="B338" s="30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</row>
    <row r="339" ht="18.0" customHeight="1">
      <c r="A339" s="30"/>
      <c r="B339" s="30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</row>
    <row r="340" ht="18.0" customHeight="1">
      <c r="A340" s="30"/>
      <c r="B340" s="30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</row>
    <row r="341" ht="18.0" customHeight="1">
      <c r="A341" s="30"/>
      <c r="B341" s="30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</row>
    <row r="342" ht="18.0" customHeight="1">
      <c r="A342" s="30"/>
      <c r="B342" s="30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</row>
    <row r="343" ht="18.0" customHeight="1">
      <c r="A343" s="30"/>
      <c r="B343" s="30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</row>
    <row r="344" ht="18.0" customHeight="1">
      <c r="A344" s="30"/>
      <c r="B344" s="30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</row>
    <row r="345" ht="18.0" customHeight="1">
      <c r="A345" s="30"/>
      <c r="B345" s="30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</row>
    <row r="346" ht="18.0" customHeight="1">
      <c r="A346" s="30"/>
      <c r="B346" s="30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</row>
    <row r="347" ht="18.0" customHeight="1">
      <c r="A347" s="30"/>
      <c r="B347" s="30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</row>
    <row r="348" ht="18.0" customHeight="1">
      <c r="A348" s="30"/>
      <c r="B348" s="30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</row>
    <row r="349" ht="18.0" customHeight="1">
      <c r="A349" s="30"/>
      <c r="B349" s="30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</row>
    <row r="350" ht="18.0" customHeight="1">
      <c r="A350" s="30"/>
      <c r="B350" s="30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</row>
    <row r="351" ht="18.0" customHeight="1">
      <c r="A351" s="30"/>
      <c r="B351" s="30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</row>
    <row r="352" ht="18.0" customHeight="1">
      <c r="A352" s="30"/>
      <c r="B352" s="30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</row>
    <row r="353" ht="18.0" customHeight="1">
      <c r="A353" s="30"/>
      <c r="B353" s="30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</row>
    <row r="354" ht="18.0" customHeight="1">
      <c r="A354" s="30"/>
      <c r="B354" s="30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</row>
    <row r="355" ht="18.0" customHeight="1">
      <c r="A355" s="30"/>
      <c r="B355" s="30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</row>
    <row r="356" ht="18.0" customHeight="1">
      <c r="A356" s="30"/>
      <c r="B356" s="30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</row>
    <row r="357" ht="18.0" customHeight="1">
      <c r="A357" s="30"/>
      <c r="B357" s="30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</row>
    <row r="358" ht="18.0" customHeight="1">
      <c r="A358" s="30"/>
      <c r="B358" s="30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</row>
    <row r="359" ht="18.0" customHeight="1">
      <c r="A359" s="30"/>
      <c r="B359" s="30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</row>
    <row r="360" ht="18.0" customHeight="1">
      <c r="A360" s="30"/>
      <c r="B360" s="30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</row>
    <row r="361" ht="18.0" customHeight="1">
      <c r="A361" s="30"/>
      <c r="B361" s="30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</row>
    <row r="362" ht="18.0" customHeight="1">
      <c r="A362" s="30"/>
      <c r="B362" s="30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</row>
    <row r="363" ht="18.0" customHeight="1">
      <c r="A363" s="30"/>
      <c r="B363" s="30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</row>
    <row r="364" ht="18.0" customHeight="1">
      <c r="A364" s="30"/>
      <c r="B364" s="30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</row>
    <row r="365" ht="18.0" customHeight="1">
      <c r="A365" s="30"/>
      <c r="B365" s="30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</row>
    <row r="366" ht="18.0" customHeight="1">
      <c r="A366" s="30"/>
      <c r="B366" s="30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</row>
    <row r="367" ht="18.0" customHeight="1">
      <c r="A367" s="30"/>
      <c r="B367" s="30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</row>
    <row r="368" ht="18.0" customHeight="1">
      <c r="A368" s="30"/>
      <c r="B368" s="30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</row>
    <row r="369" ht="18.0" customHeight="1">
      <c r="A369" s="30"/>
      <c r="B369" s="30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</row>
    <row r="370" ht="18.0" customHeight="1">
      <c r="A370" s="30"/>
      <c r="B370" s="30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</row>
    <row r="371" ht="18.0" customHeight="1">
      <c r="A371" s="30"/>
      <c r="B371" s="30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</row>
    <row r="372" ht="18.0" customHeight="1">
      <c r="A372" s="30"/>
      <c r="B372" s="30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</row>
    <row r="373" ht="18.0" customHeight="1">
      <c r="A373" s="30"/>
      <c r="B373" s="30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</row>
    <row r="374" ht="18.0" customHeight="1">
      <c r="A374" s="30"/>
      <c r="B374" s="30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</row>
    <row r="375" ht="18.0" customHeight="1">
      <c r="A375" s="30"/>
      <c r="B375" s="30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</row>
    <row r="376" ht="18.0" customHeight="1">
      <c r="A376" s="30"/>
      <c r="B376" s="30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</row>
    <row r="377" ht="18.0" customHeight="1">
      <c r="A377" s="30"/>
      <c r="B377" s="30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</row>
    <row r="378" ht="18.0" customHeight="1">
      <c r="A378" s="30"/>
      <c r="B378" s="30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</row>
    <row r="379" ht="18.0" customHeight="1">
      <c r="A379" s="30"/>
      <c r="B379" s="30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</row>
    <row r="380" ht="18.0" customHeight="1">
      <c r="A380" s="30"/>
      <c r="B380" s="30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</row>
    <row r="381" ht="18.0" customHeight="1">
      <c r="A381" s="30"/>
      <c r="B381" s="30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</row>
    <row r="382" ht="18.0" customHeight="1">
      <c r="A382" s="30"/>
      <c r="B382" s="30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</row>
    <row r="383" ht="18.0" customHeight="1">
      <c r="A383" s="30"/>
      <c r="B383" s="30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</row>
    <row r="384" ht="18.0" customHeight="1">
      <c r="A384" s="30"/>
      <c r="B384" s="30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</row>
    <row r="385" ht="18.0" customHeight="1">
      <c r="A385" s="30"/>
      <c r="B385" s="30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</row>
    <row r="386" ht="18.0" customHeight="1">
      <c r="A386" s="30"/>
      <c r="B386" s="30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</row>
    <row r="387" ht="18.0" customHeight="1">
      <c r="A387" s="30"/>
      <c r="B387" s="30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</row>
    <row r="388" ht="18.0" customHeight="1">
      <c r="A388" s="30"/>
      <c r="B388" s="30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</row>
    <row r="389" ht="18.0" customHeight="1">
      <c r="A389" s="30"/>
      <c r="B389" s="30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</row>
    <row r="390" ht="18.0" customHeight="1">
      <c r="A390" s="30"/>
      <c r="B390" s="30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</row>
    <row r="391" ht="18.0" customHeight="1">
      <c r="A391" s="30"/>
      <c r="B391" s="30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</row>
    <row r="392" ht="18.0" customHeight="1">
      <c r="A392" s="30"/>
      <c r="B392" s="30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</row>
    <row r="393" ht="18.0" customHeight="1">
      <c r="A393" s="30"/>
      <c r="B393" s="30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</row>
    <row r="394" ht="18.0" customHeight="1">
      <c r="A394" s="30"/>
      <c r="B394" s="30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</row>
    <row r="395" ht="18.0" customHeight="1">
      <c r="A395" s="30"/>
      <c r="B395" s="30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</row>
    <row r="396" ht="18.0" customHeight="1">
      <c r="A396" s="30"/>
      <c r="B396" s="30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</row>
    <row r="397" ht="18.0" customHeight="1">
      <c r="A397" s="30"/>
      <c r="B397" s="30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</row>
    <row r="398" ht="18.0" customHeight="1">
      <c r="A398" s="30"/>
      <c r="B398" s="30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</row>
    <row r="399" ht="18.0" customHeight="1">
      <c r="A399" s="30"/>
      <c r="B399" s="30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</row>
    <row r="400" ht="18.0" customHeight="1">
      <c r="A400" s="30"/>
      <c r="B400" s="30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</row>
    <row r="401" ht="18.0" customHeight="1">
      <c r="A401" s="30"/>
      <c r="B401" s="30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</row>
    <row r="402" ht="18.0" customHeight="1">
      <c r="A402" s="30"/>
      <c r="B402" s="30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</row>
    <row r="403" ht="18.0" customHeight="1">
      <c r="A403" s="30"/>
      <c r="B403" s="30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</row>
    <row r="404" ht="18.0" customHeight="1">
      <c r="A404" s="30"/>
      <c r="B404" s="30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</row>
    <row r="405" ht="18.0" customHeight="1">
      <c r="A405" s="30"/>
      <c r="B405" s="30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</row>
    <row r="406" ht="18.0" customHeight="1">
      <c r="A406" s="30"/>
      <c r="B406" s="30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</row>
    <row r="407" ht="18.0" customHeight="1">
      <c r="A407" s="30"/>
      <c r="B407" s="30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</row>
    <row r="408" ht="18.0" customHeight="1">
      <c r="A408" s="30"/>
      <c r="B408" s="30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</row>
    <row r="409" ht="18.0" customHeight="1">
      <c r="A409" s="30"/>
      <c r="B409" s="30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</row>
    <row r="410" ht="18.0" customHeight="1">
      <c r="A410" s="30"/>
      <c r="B410" s="30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</row>
    <row r="411" ht="18.0" customHeight="1">
      <c r="A411" s="30"/>
      <c r="B411" s="30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</row>
    <row r="412" ht="18.0" customHeight="1">
      <c r="A412" s="30"/>
      <c r="B412" s="30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</row>
    <row r="413" ht="18.0" customHeight="1">
      <c r="A413" s="30"/>
      <c r="B413" s="30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</row>
    <row r="414" ht="18.0" customHeight="1">
      <c r="A414" s="30"/>
      <c r="B414" s="30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</row>
    <row r="415" ht="18.0" customHeight="1">
      <c r="A415" s="30"/>
      <c r="B415" s="30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</row>
    <row r="416" ht="18.0" customHeight="1">
      <c r="A416" s="30"/>
      <c r="B416" s="30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</row>
    <row r="417" ht="18.0" customHeight="1">
      <c r="A417" s="30"/>
      <c r="B417" s="30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</row>
    <row r="418" ht="18.0" customHeight="1">
      <c r="A418" s="30"/>
      <c r="B418" s="30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</row>
    <row r="419" ht="18.0" customHeight="1">
      <c r="A419" s="30"/>
      <c r="B419" s="30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</row>
    <row r="420" ht="18.0" customHeight="1">
      <c r="A420" s="30"/>
      <c r="B420" s="30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</row>
    <row r="421" ht="18.0" customHeight="1">
      <c r="A421" s="30"/>
      <c r="B421" s="30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</row>
    <row r="422" ht="18.0" customHeight="1">
      <c r="A422" s="30"/>
      <c r="B422" s="30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</row>
    <row r="423" ht="18.0" customHeight="1">
      <c r="A423" s="30"/>
      <c r="B423" s="30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</row>
    <row r="424" ht="18.0" customHeight="1">
      <c r="A424" s="30"/>
      <c r="B424" s="30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</row>
    <row r="425" ht="18.0" customHeight="1">
      <c r="A425" s="30"/>
      <c r="B425" s="30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</row>
    <row r="426" ht="18.0" customHeight="1">
      <c r="A426" s="30"/>
      <c r="B426" s="30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</row>
    <row r="427" ht="18.0" customHeight="1">
      <c r="A427" s="30"/>
      <c r="B427" s="30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</row>
    <row r="428" ht="18.0" customHeight="1">
      <c r="A428" s="30"/>
      <c r="B428" s="30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</row>
    <row r="429" ht="18.0" customHeight="1">
      <c r="A429" s="30"/>
      <c r="B429" s="30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</row>
    <row r="430" ht="18.0" customHeight="1">
      <c r="A430" s="30"/>
      <c r="B430" s="30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</row>
    <row r="431" ht="18.0" customHeight="1">
      <c r="A431" s="30"/>
      <c r="B431" s="30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</row>
    <row r="432" ht="18.0" customHeight="1">
      <c r="A432" s="30"/>
      <c r="B432" s="30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</row>
    <row r="433" ht="18.0" customHeight="1">
      <c r="A433" s="30"/>
      <c r="B433" s="30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</row>
    <row r="434" ht="18.0" customHeight="1">
      <c r="A434" s="30"/>
      <c r="B434" s="30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</row>
    <row r="435" ht="18.0" customHeight="1">
      <c r="A435" s="30"/>
      <c r="B435" s="30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</row>
    <row r="436" ht="18.0" customHeight="1">
      <c r="A436" s="30"/>
      <c r="B436" s="30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</row>
    <row r="437" ht="18.0" customHeight="1">
      <c r="A437" s="30"/>
      <c r="B437" s="30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</row>
    <row r="438" ht="18.0" customHeight="1">
      <c r="A438" s="30"/>
      <c r="B438" s="30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</row>
    <row r="439" ht="18.0" customHeight="1">
      <c r="A439" s="30"/>
      <c r="B439" s="30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</row>
    <row r="440" ht="18.0" customHeight="1">
      <c r="A440" s="30"/>
      <c r="B440" s="30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</row>
    <row r="441" ht="18.0" customHeight="1">
      <c r="A441" s="30"/>
      <c r="B441" s="30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</row>
    <row r="442" ht="18.0" customHeight="1">
      <c r="A442" s="30"/>
      <c r="B442" s="30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</row>
    <row r="443" ht="18.0" customHeight="1">
      <c r="A443" s="30"/>
      <c r="B443" s="30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</row>
    <row r="444" ht="18.0" customHeight="1">
      <c r="A444" s="30"/>
      <c r="B444" s="30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</row>
    <row r="445" ht="18.0" customHeight="1">
      <c r="A445" s="30"/>
      <c r="B445" s="30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</row>
    <row r="446" ht="18.0" customHeight="1">
      <c r="A446" s="30"/>
      <c r="B446" s="30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</row>
    <row r="447" ht="18.0" customHeight="1">
      <c r="A447" s="30"/>
      <c r="B447" s="30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</row>
    <row r="448" ht="18.0" customHeight="1">
      <c r="A448" s="30"/>
      <c r="B448" s="30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</row>
    <row r="449" ht="18.0" customHeight="1">
      <c r="A449" s="30"/>
      <c r="B449" s="30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</row>
    <row r="450" ht="18.0" customHeight="1">
      <c r="A450" s="30"/>
      <c r="B450" s="30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</row>
    <row r="451" ht="18.0" customHeight="1">
      <c r="A451" s="30"/>
      <c r="B451" s="30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</row>
    <row r="452" ht="18.0" customHeight="1">
      <c r="A452" s="30"/>
      <c r="B452" s="30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</row>
    <row r="453" ht="18.0" customHeight="1">
      <c r="A453" s="30"/>
      <c r="B453" s="30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</row>
    <row r="454" ht="18.0" customHeight="1">
      <c r="A454" s="30"/>
      <c r="B454" s="30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</row>
    <row r="455" ht="18.0" customHeight="1">
      <c r="A455" s="30"/>
      <c r="B455" s="30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</row>
    <row r="456" ht="18.0" customHeight="1">
      <c r="A456" s="30"/>
      <c r="B456" s="30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</row>
    <row r="457" ht="18.0" customHeight="1">
      <c r="A457" s="30"/>
      <c r="B457" s="30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</row>
    <row r="458" ht="18.0" customHeight="1">
      <c r="A458" s="30"/>
      <c r="B458" s="30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</row>
    <row r="459" ht="18.0" customHeight="1">
      <c r="A459" s="30"/>
      <c r="B459" s="30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</row>
    <row r="460" ht="18.0" customHeight="1">
      <c r="A460" s="30"/>
      <c r="B460" s="30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</row>
    <row r="461" ht="18.0" customHeight="1">
      <c r="A461" s="30"/>
      <c r="B461" s="30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</row>
    <row r="462" ht="18.0" customHeight="1">
      <c r="A462" s="30"/>
      <c r="B462" s="30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</row>
    <row r="463" ht="18.0" customHeight="1">
      <c r="A463" s="30"/>
      <c r="B463" s="30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</row>
    <row r="464" ht="18.0" customHeight="1">
      <c r="A464" s="30"/>
      <c r="B464" s="30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</row>
    <row r="465" ht="18.0" customHeight="1">
      <c r="A465" s="30"/>
      <c r="B465" s="30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</row>
    <row r="466" ht="18.0" customHeight="1">
      <c r="A466" s="30"/>
      <c r="B466" s="30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</row>
    <row r="467" ht="18.0" customHeight="1">
      <c r="A467" s="30"/>
      <c r="B467" s="30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</row>
    <row r="468" ht="18.0" customHeight="1">
      <c r="A468" s="30"/>
      <c r="B468" s="30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</row>
    <row r="469" ht="18.0" customHeight="1">
      <c r="A469" s="30"/>
      <c r="B469" s="30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</row>
    <row r="470" ht="18.0" customHeight="1">
      <c r="A470" s="30"/>
      <c r="B470" s="30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</row>
    <row r="471" ht="18.0" customHeight="1">
      <c r="A471" s="30"/>
      <c r="B471" s="30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</row>
    <row r="472" ht="18.0" customHeight="1">
      <c r="A472" s="30"/>
      <c r="B472" s="30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</row>
    <row r="473" ht="18.0" customHeight="1">
      <c r="A473" s="30"/>
      <c r="B473" s="30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</row>
    <row r="474" ht="18.0" customHeight="1">
      <c r="A474" s="30"/>
      <c r="B474" s="30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</row>
    <row r="475" ht="18.0" customHeight="1">
      <c r="A475" s="30"/>
      <c r="B475" s="30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</row>
    <row r="476" ht="18.0" customHeight="1">
      <c r="A476" s="30"/>
      <c r="B476" s="30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</row>
    <row r="477" ht="18.0" customHeight="1">
      <c r="A477" s="30"/>
      <c r="B477" s="30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</row>
    <row r="478" ht="18.0" customHeight="1">
      <c r="A478" s="30"/>
      <c r="B478" s="30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</row>
    <row r="479" ht="18.0" customHeight="1">
      <c r="A479" s="30"/>
      <c r="B479" s="30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</row>
    <row r="480" ht="18.0" customHeight="1">
      <c r="A480" s="30"/>
      <c r="B480" s="30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</row>
    <row r="481" ht="18.0" customHeight="1">
      <c r="A481" s="30"/>
      <c r="B481" s="30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</row>
    <row r="482" ht="18.0" customHeight="1">
      <c r="A482" s="30"/>
      <c r="B482" s="30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</row>
    <row r="483" ht="18.0" customHeight="1">
      <c r="A483" s="30"/>
      <c r="B483" s="30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</row>
    <row r="484" ht="18.0" customHeight="1">
      <c r="A484" s="30"/>
      <c r="B484" s="30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</row>
    <row r="485" ht="18.0" customHeight="1">
      <c r="A485" s="30"/>
      <c r="B485" s="30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</row>
    <row r="486" ht="18.0" customHeight="1">
      <c r="A486" s="30"/>
      <c r="B486" s="30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</row>
    <row r="487" ht="18.0" customHeight="1">
      <c r="A487" s="30"/>
      <c r="B487" s="30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</row>
    <row r="488" ht="18.0" customHeight="1">
      <c r="A488" s="30"/>
      <c r="B488" s="30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</row>
    <row r="489" ht="18.0" customHeight="1">
      <c r="A489" s="30"/>
      <c r="B489" s="30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</row>
    <row r="490" ht="18.0" customHeight="1">
      <c r="A490" s="30"/>
      <c r="B490" s="30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</row>
    <row r="491" ht="18.0" customHeight="1">
      <c r="A491" s="30"/>
      <c r="B491" s="30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</row>
    <row r="492" ht="18.0" customHeight="1">
      <c r="A492" s="30"/>
      <c r="B492" s="30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</row>
    <row r="493" ht="18.0" customHeight="1">
      <c r="A493" s="30"/>
      <c r="B493" s="30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</row>
    <row r="494" ht="18.0" customHeight="1">
      <c r="A494" s="30"/>
      <c r="B494" s="30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</row>
    <row r="495" ht="18.0" customHeight="1">
      <c r="A495" s="30"/>
      <c r="B495" s="30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</row>
    <row r="496" ht="18.0" customHeight="1">
      <c r="A496" s="30"/>
      <c r="B496" s="30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</row>
    <row r="497" ht="18.0" customHeight="1">
      <c r="A497" s="30"/>
      <c r="B497" s="30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</row>
    <row r="498" ht="18.0" customHeight="1">
      <c r="A498" s="30"/>
      <c r="B498" s="30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</row>
    <row r="499" ht="18.0" customHeight="1">
      <c r="A499" s="30"/>
      <c r="B499" s="30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</row>
    <row r="500" ht="18.0" customHeight="1">
      <c r="A500" s="30"/>
      <c r="B500" s="30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</row>
    <row r="501" ht="18.0" customHeight="1">
      <c r="A501" s="30"/>
      <c r="B501" s="30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</row>
    <row r="502" ht="18.0" customHeight="1">
      <c r="A502" s="30"/>
      <c r="B502" s="30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</row>
    <row r="503" ht="18.0" customHeight="1">
      <c r="A503" s="30"/>
      <c r="B503" s="30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</row>
    <row r="504" ht="18.0" customHeight="1">
      <c r="A504" s="30"/>
      <c r="B504" s="30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</row>
    <row r="505" ht="18.0" customHeight="1">
      <c r="A505" s="30"/>
      <c r="B505" s="30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</row>
    <row r="506" ht="18.0" customHeight="1">
      <c r="A506" s="30"/>
      <c r="B506" s="30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</row>
    <row r="507" ht="18.0" customHeight="1">
      <c r="A507" s="30"/>
      <c r="B507" s="30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</row>
    <row r="508" ht="18.0" customHeight="1">
      <c r="A508" s="30"/>
      <c r="B508" s="30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</row>
    <row r="509" ht="18.0" customHeight="1">
      <c r="A509" s="30"/>
      <c r="B509" s="30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</row>
    <row r="510" ht="18.0" customHeight="1">
      <c r="A510" s="30"/>
      <c r="B510" s="30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</row>
    <row r="511" ht="18.0" customHeight="1">
      <c r="A511" s="30"/>
      <c r="B511" s="30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</row>
    <row r="512" ht="18.0" customHeight="1">
      <c r="A512" s="30"/>
      <c r="B512" s="30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</row>
    <row r="513" ht="18.0" customHeight="1">
      <c r="A513" s="30"/>
      <c r="B513" s="30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</row>
    <row r="514" ht="18.0" customHeight="1">
      <c r="A514" s="30"/>
      <c r="B514" s="30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</row>
    <row r="515" ht="18.0" customHeight="1">
      <c r="A515" s="30"/>
      <c r="B515" s="30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</row>
    <row r="516" ht="18.0" customHeight="1">
      <c r="A516" s="30"/>
      <c r="B516" s="30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</row>
    <row r="517" ht="18.0" customHeight="1">
      <c r="A517" s="30"/>
      <c r="B517" s="30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</row>
    <row r="518" ht="18.0" customHeight="1">
      <c r="A518" s="30"/>
      <c r="B518" s="30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</row>
    <row r="519" ht="18.0" customHeight="1">
      <c r="A519" s="30"/>
      <c r="B519" s="30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</row>
    <row r="520" ht="18.0" customHeight="1">
      <c r="A520" s="30"/>
      <c r="B520" s="30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</row>
    <row r="521" ht="18.0" customHeight="1">
      <c r="A521" s="30"/>
      <c r="B521" s="30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</row>
    <row r="522" ht="18.0" customHeight="1">
      <c r="A522" s="30"/>
      <c r="B522" s="30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</row>
    <row r="523" ht="18.0" customHeight="1">
      <c r="A523" s="30"/>
      <c r="B523" s="30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</row>
    <row r="524" ht="18.0" customHeight="1">
      <c r="A524" s="30"/>
      <c r="B524" s="30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</row>
    <row r="525" ht="18.0" customHeight="1">
      <c r="A525" s="30"/>
      <c r="B525" s="30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</row>
    <row r="526" ht="18.0" customHeight="1">
      <c r="A526" s="30"/>
      <c r="B526" s="30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</row>
    <row r="527" ht="18.0" customHeight="1">
      <c r="A527" s="30"/>
      <c r="B527" s="30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</row>
    <row r="528" ht="18.0" customHeight="1">
      <c r="A528" s="30"/>
      <c r="B528" s="30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</row>
    <row r="529" ht="18.0" customHeight="1">
      <c r="A529" s="30"/>
      <c r="B529" s="30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</row>
    <row r="530" ht="18.0" customHeight="1">
      <c r="A530" s="30"/>
      <c r="B530" s="30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</row>
    <row r="531" ht="18.0" customHeight="1">
      <c r="A531" s="30"/>
      <c r="B531" s="30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</row>
    <row r="532" ht="18.0" customHeight="1">
      <c r="A532" s="30"/>
      <c r="B532" s="30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</row>
    <row r="533" ht="18.0" customHeight="1">
      <c r="A533" s="30"/>
      <c r="B533" s="30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</row>
    <row r="534" ht="18.0" customHeight="1">
      <c r="A534" s="30"/>
      <c r="B534" s="30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</row>
    <row r="535" ht="18.0" customHeight="1">
      <c r="A535" s="30"/>
      <c r="B535" s="30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</row>
    <row r="536" ht="18.0" customHeight="1">
      <c r="A536" s="30"/>
      <c r="B536" s="30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</row>
    <row r="537" ht="18.0" customHeight="1">
      <c r="A537" s="30"/>
      <c r="B537" s="30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</row>
    <row r="538" ht="18.0" customHeight="1">
      <c r="A538" s="30"/>
      <c r="B538" s="30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</row>
    <row r="539" ht="18.0" customHeight="1">
      <c r="A539" s="30"/>
      <c r="B539" s="30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</row>
    <row r="540" ht="18.0" customHeight="1">
      <c r="A540" s="30"/>
      <c r="B540" s="30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</row>
    <row r="541" ht="18.0" customHeight="1">
      <c r="A541" s="30"/>
      <c r="B541" s="30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</row>
    <row r="542" ht="18.0" customHeight="1">
      <c r="A542" s="30"/>
      <c r="B542" s="30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</row>
    <row r="543" ht="18.0" customHeight="1">
      <c r="A543" s="30"/>
      <c r="B543" s="30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</row>
    <row r="544" ht="18.0" customHeight="1">
      <c r="A544" s="30"/>
      <c r="B544" s="30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</row>
    <row r="545" ht="18.0" customHeight="1">
      <c r="A545" s="30"/>
      <c r="B545" s="30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</row>
    <row r="546" ht="18.0" customHeight="1">
      <c r="A546" s="30"/>
      <c r="B546" s="30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</row>
    <row r="547" ht="18.0" customHeight="1">
      <c r="A547" s="30"/>
      <c r="B547" s="30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</row>
    <row r="548" ht="18.0" customHeight="1">
      <c r="A548" s="30"/>
      <c r="B548" s="30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</row>
    <row r="549" ht="18.0" customHeight="1">
      <c r="A549" s="30"/>
      <c r="B549" s="30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</row>
    <row r="550" ht="18.0" customHeight="1">
      <c r="A550" s="30"/>
      <c r="B550" s="30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</row>
    <row r="551" ht="18.0" customHeight="1">
      <c r="A551" s="30"/>
      <c r="B551" s="30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</row>
    <row r="552" ht="18.0" customHeight="1">
      <c r="A552" s="30"/>
      <c r="B552" s="30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</row>
    <row r="553" ht="18.0" customHeight="1">
      <c r="A553" s="30"/>
      <c r="B553" s="30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</row>
    <row r="554" ht="18.0" customHeight="1">
      <c r="A554" s="30"/>
      <c r="B554" s="30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</row>
    <row r="555" ht="18.0" customHeight="1">
      <c r="A555" s="30"/>
      <c r="B555" s="30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</row>
    <row r="556" ht="18.0" customHeight="1">
      <c r="A556" s="30"/>
      <c r="B556" s="30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</row>
    <row r="557" ht="18.0" customHeight="1">
      <c r="A557" s="30"/>
      <c r="B557" s="30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</row>
    <row r="558" ht="18.0" customHeight="1">
      <c r="A558" s="30"/>
      <c r="B558" s="30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</row>
    <row r="559" ht="18.0" customHeight="1">
      <c r="A559" s="30"/>
      <c r="B559" s="30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</row>
    <row r="560" ht="18.0" customHeight="1">
      <c r="A560" s="30"/>
      <c r="B560" s="30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</row>
    <row r="561" ht="18.0" customHeight="1">
      <c r="A561" s="30"/>
      <c r="B561" s="30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</row>
    <row r="562" ht="18.0" customHeight="1">
      <c r="A562" s="30"/>
      <c r="B562" s="30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</row>
    <row r="563" ht="18.0" customHeight="1">
      <c r="A563" s="30"/>
      <c r="B563" s="30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</row>
    <row r="564" ht="18.0" customHeight="1">
      <c r="A564" s="30"/>
      <c r="B564" s="30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</row>
    <row r="565" ht="18.0" customHeight="1">
      <c r="A565" s="30"/>
      <c r="B565" s="30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</row>
    <row r="566" ht="18.0" customHeight="1">
      <c r="A566" s="30"/>
      <c r="B566" s="30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</row>
    <row r="567" ht="18.0" customHeight="1">
      <c r="A567" s="30"/>
      <c r="B567" s="30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</row>
    <row r="568" ht="18.0" customHeight="1">
      <c r="A568" s="30"/>
      <c r="B568" s="30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</row>
    <row r="569" ht="18.0" customHeight="1">
      <c r="A569" s="30"/>
      <c r="B569" s="30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</row>
    <row r="570" ht="18.0" customHeight="1">
      <c r="A570" s="30"/>
      <c r="B570" s="30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</row>
    <row r="571" ht="18.0" customHeight="1">
      <c r="A571" s="30"/>
      <c r="B571" s="30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</row>
    <row r="572" ht="18.0" customHeight="1">
      <c r="A572" s="30"/>
      <c r="B572" s="30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</row>
    <row r="573" ht="18.0" customHeight="1">
      <c r="A573" s="30"/>
      <c r="B573" s="30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</row>
    <row r="574" ht="18.0" customHeight="1">
      <c r="A574" s="30"/>
      <c r="B574" s="30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</row>
    <row r="575" ht="18.0" customHeight="1">
      <c r="A575" s="30"/>
      <c r="B575" s="30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</row>
    <row r="576" ht="18.0" customHeight="1">
      <c r="A576" s="30"/>
      <c r="B576" s="30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</row>
    <row r="577" ht="18.0" customHeight="1">
      <c r="A577" s="30"/>
      <c r="B577" s="30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</row>
    <row r="578" ht="18.0" customHeight="1">
      <c r="A578" s="30"/>
      <c r="B578" s="30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</row>
    <row r="579" ht="18.0" customHeight="1">
      <c r="A579" s="30"/>
      <c r="B579" s="30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</row>
    <row r="580" ht="18.0" customHeight="1">
      <c r="A580" s="30"/>
      <c r="B580" s="30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</row>
    <row r="581" ht="18.0" customHeight="1">
      <c r="A581" s="30"/>
      <c r="B581" s="30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</row>
    <row r="582" ht="18.0" customHeight="1">
      <c r="A582" s="30"/>
      <c r="B582" s="30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</row>
    <row r="583" ht="18.0" customHeight="1">
      <c r="A583" s="30"/>
      <c r="B583" s="30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</row>
    <row r="584" ht="18.0" customHeight="1">
      <c r="A584" s="30"/>
      <c r="B584" s="30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</row>
    <row r="585" ht="18.0" customHeight="1">
      <c r="A585" s="30"/>
      <c r="B585" s="30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</row>
    <row r="586" ht="18.0" customHeight="1">
      <c r="A586" s="30"/>
      <c r="B586" s="30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</row>
    <row r="587" ht="18.0" customHeight="1">
      <c r="A587" s="30"/>
      <c r="B587" s="30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</row>
    <row r="588" ht="18.0" customHeight="1">
      <c r="A588" s="30"/>
      <c r="B588" s="30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</row>
    <row r="589" ht="18.0" customHeight="1">
      <c r="A589" s="30"/>
      <c r="B589" s="30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</row>
    <row r="590" ht="18.0" customHeight="1">
      <c r="A590" s="30"/>
      <c r="B590" s="30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</row>
    <row r="591" ht="18.0" customHeight="1">
      <c r="A591" s="30"/>
      <c r="B591" s="30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</row>
    <row r="592" ht="18.0" customHeight="1">
      <c r="A592" s="30"/>
      <c r="B592" s="30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</row>
    <row r="593" ht="18.0" customHeight="1">
      <c r="A593" s="30"/>
      <c r="B593" s="30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</row>
    <row r="594" ht="18.0" customHeight="1">
      <c r="A594" s="30"/>
      <c r="B594" s="30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</row>
    <row r="595" ht="18.0" customHeight="1">
      <c r="A595" s="30"/>
      <c r="B595" s="30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</row>
    <row r="596" ht="18.0" customHeight="1">
      <c r="A596" s="30"/>
      <c r="B596" s="30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</row>
    <row r="597" ht="18.0" customHeight="1">
      <c r="A597" s="30"/>
      <c r="B597" s="30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</row>
    <row r="598" ht="18.0" customHeight="1">
      <c r="A598" s="30"/>
      <c r="B598" s="30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</row>
    <row r="599" ht="18.0" customHeight="1">
      <c r="A599" s="30"/>
      <c r="B599" s="30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</row>
    <row r="600" ht="18.0" customHeight="1">
      <c r="A600" s="30"/>
      <c r="B600" s="30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</row>
    <row r="601" ht="18.0" customHeight="1">
      <c r="A601" s="30"/>
      <c r="B601" s="30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</row>
    <row r="602" ht="18.0" customHeight="1">
      <c r="A602" s="30"/>
      <c r="B602" s="30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</row>
    <row r="603" ht="18.0" customHeight="1">
      <c r="A603" s="30"/>
      <c r="B603" s="30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</row>
    <row r="604" ht="18.0" customHeight="1">
      <c r="A604" s="30"/>
      <c r="B604" s="30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</row>
    <row r="605" ht="18.0" customHeight="1">
      <c r="A605" s="30"/>
      <c r="B605" s="30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</row>
    <row r="606" ht="18.0" customHeight="1">
      <c r="A606" s="30"/>
      <c r="B606" s="30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</row>
    <row r="607" ht="18.0" customHeight="1">
      <c r="A607" s="30"/>
      <c r="B607" s="30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</row>
    <row r="608" ht="18.0" customHeight="1">
      <c r="A608" s="30"/>
      <c r="B608" s="30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</row>
    <row r="609" ht="18.0" customHeight="1">
      <c r="A609" s="30"/>
      <c r="B609" s="30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</row>
    <row r="610" ht="18.0" customHeight="1">
      <c r="A610" s="30"/>
      <c r="B610" s="30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</row>
    <row r="611" ht="18.0" customHeight="1">
      <c r="A611" s="30"/>
      <c r="B611" s="30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</row>
    <row r="612" ht="18.0" customHeight="1">
      <c r="A612" s="30"/>
      <c r="B612" s="30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</row>
    <row r="613" ht="18.0" customHeight="1">
      <c r="A613" s="30"/>
      <c r="B613" s="30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</row>
    <row r="614" ht="18.0" customHeight="1">
      <c r="A614" s="30"/>
      <c r="B614" s="30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</row>
    <row r="615" ht="18.0" customHeight="1">
      <c r="A615" s="30"/>
      <c r="B615" s="30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</row>
    <row r="616" ht="18.0" customHeight="1">
      <c r="A616" s="30"/>
      <c r="B616" s="30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</row>
    <row r="617" ht="18.0" customHeight="1">
      <c r="A617" s="30"/>
      <c r="B617" s="30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</row>
    <row r="618" ht="18.0" customHeight="1">
      <c r="A618" s="30"/>
      <c r="B618" s="30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</row>
    <row r="619" ht="18.0" customHeight="1">
      <c r="A619" s="30"/>
      <c r="B619" s="30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</row>
    <row r="620" ht="18.0" customHeight="1">
      <c r="A620" s="30"/>
      <c r="B620" s="30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</row>
    <row r="621" ht="18.0" customHeight="1">
      <c r="A621" s="30"/>
      <c r="B621" s="30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</row>
    <row r="622" ht="18.0" customHeight="1">
      <c r="A622" s="30"/>
      <c r="B622" s="30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</row>
    <row r="623" ht="18.0" customHeight="1">
      <c r="A623" s="30"/>
      <c r="B623" s="30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</row>
    <row r="624" ht="18.0" customHeight="1">
      <c r="A624" s="30"/>
      <c r="B624" s="30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</row>
    <row r="625" ht="18.0" customHeight="1">
      <c r="A625" s="30"/>
      <c r="B625" s="30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</row>
    <row r="626" ht="18.0" customHeight="1">
      <c r="A626" s="30"/>
      <c r="B626" s="30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</row>
    <row r="627" ht="18.0" customHeight="1">
      <c r="A627" s="30"/>
      <c r="B627" s="30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</row>
    <row r="628" ht="18.0" customHeight="1">
      <c r="A628" s="30"/>
      <c r="B628" s="30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</row>
    <row r="629" ht="18.0" customHeight="1">
      <c r="A629" s="30"/>
      <c r="B629" s="30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</row>
    <row r="630" ht="18.0" customHeight="1">
      <c r="A630" s="30"/>
      <c r="B630" s="30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</row>
    <row r="631" ht="18.0" customHeight="1">
      <c r="A631" s="30"/>
      <c r="B631" s="30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</row>
    <row r="632" ht="18.0" customHeight="1">
      <c r="A632" s="30"/>
      <c r="B632" s="30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</row>
    <row r="633" ht="18.0" customHeight="1">
      <c r="A633" s="30"/>
      <c r="B633" s="30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</row>
    <row r="634" ht="18.0" customHeight="1">
      <c r="A634" s="30"/>
      <c r="B634" s="30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</row>
    <row r="635" ht="18.0" customHeight="1">
      <c r="A635" s="30"/>
      <c r="B635" s="30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</row>
    <row r="636" ht="18.0" customHeight="1">
      <c r="A636" s="30"/>
      <c r="B636" s="30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</row>
    <row r="637" ht="18.0" customHeight="1">
      <c r="A637" s="30"/>
      <c r="B637" s="30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</row>
    <row r="638" ht="18.0" customHeight="1">
      <c r="A638" s="30"/>
      <c r="B638" s="30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</row>
    <row r="639" ht="18.0" customHeight="1">
      <c r="A639" s="30"/>
      <c r="B639" s="30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</row>
    <row r="640" ht="18.0" customHeight="1">
      <c r="A640" s="30"/>
      <c r="B640" s="30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</row>
    <row r="641" ht="18.0" customHeight="1">
      <c r="A641" s="30"/>
      <c r="B641" s="30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</row>
    <row r="642" ht="18.0" customHeight="1">
      <c r="A642" s="30"/>
      <c r="B642" s="30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</row>
    <row r="643" ht="18.0" customHeight="1">
      <c r="A643" s="30"/>
      <c r="B643" s="30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</row>
    <row r="644" ht="18.0" customHeight="1">
      <c r="A644" s="30"/>
      <c r="B644" s="30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</row>
    <row r="645" ht="18.0" customHeight="1">
      <c r="A645" s="30"/>
      <c r="B645" s="30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</row>
    <row r="646" ht="18.0" customHeight="1">
      <c r="A646" s="30"/>
      <c r="B646" s="30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</row>
    <row r="647" ht="18.0" customHeight="1">
      <c r="A647" s="30"/>
      <c r="B647" s="30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</row>
    <row r="648" ht="18.0" customHeight="1">
      <c r="A648" s="30"/>
      <c r="B648" s="30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</row>
    <row r="649" ht="18.0" customHeight="1">
      <c r="A649" s="30"/>
      <c r="B649" s="30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</row>
    <row r="650" ht="18.0" customHeight="1">
      <c r="A650" s="30"/>
      <c r="B650" s="30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</row>
    <row r="651" ht="18.0" customHeight="1">
      <c r="A651" s="30"/>
      <c r="B651" s="30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</row>
    <row r="652" ht="18.0" customHeight="1">
      <c r="A652" s="30"/>
      <c r="B652" s="30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</row>
    <row r="653" ht="18.0" customHeight="1">
      <c r="A653" s="30"/>
      <c r="B653" s="30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</row>
    <row r="654" ht="18.0" customHeight="1">
      <c r="A654" s="30"/>
      <c r="B654" s="30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</row>
    <row r="655" ht="18.0" customHeight="1">
      <c r="A655" s="30"/>
      <c r="B655" s="30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</row>
    <row r="656" ht="18.0" customHeight="1">
      <c r="A656" s="30"/>
      <c r="B656" s="30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</row>
    <row r="657" ht="18.0" customHeight="1">
      <c r="A657" s="30"/>
      <c r="B657" s="30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</row>
    <row r="658" ht="18.0" customHeight="1">
      <c r="A658" s="30"/>
      <c r="B658" s="30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</row>
    <row r="659" ht="18.0" customHeight="1">
      <c r="A659" s="30"/>
      <c r="B659" s="30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</row>
    <row r="660" ht="18.0" customHeight="1">
      <c r="A660" s="30"/>
      <c r="B660" s="30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</row>
    <row r="661" ht="18.0" customHeight="1">
      <c r="A661" s="30"/>
      <c r="B661" s="30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</row>
    <row r="662" ht="18.0" customHeight="1">
      <c r="A662" s="30"/>
      <c r="B662" s="30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</row>
    <row r="663" ht="18.0" customHeight="1">
      <c r="A663" s="30"/>
      <c r="B663" s="30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</row>
    <row r="664" ht="18.0" customHeight="1">
      <c r="A664" s="30"/>
      <c r="B664" s="30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</row>
    <row r="665" ht="18.0" customHeight="1">
      <c r="A665" s="30"/>
      <c r="B665" s="30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</row>
    <row r="666" ht="18.0" customHeight="1">
      <c r="A666" s="30"/>
      <c r="B666" s="30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</row>
    <row r="667" ht="18.0" customHeight="1">
      <c r="A667" s="30"/>
      <c r="B667" s="30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</row>
    <row r="668" ht="18.0" customHeight="1">
      <c r="A668" s="30"/>
      <c r="B668" s="30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</row>
    <row r="669" ht="18.0" customHeight="1">
      <c r="A669" s="30"/>
      <c r="B669" s="30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</row>
    <row r="670" ht="18.0" customHeight="1">
      <c r="A670" s="30"/>
      <c r="B670" s="30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</row>
    <row r="671" ht="18.0" customHeight="1">
      <c r="A671" s="30"/>
      <c r="B671" s="30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</row>
    <row r="672" ht="18.0" customHeight="1">
      <c r="A672" s="30"/>
      <c r="B672" s="30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</row>
    <row r="673" ht="18.0" customHeight="1">
      <c r="A673" s="30"/>
      <c r="B673" s="30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</row>
    <row r="674" ht="18.0" customHeight="1">
      <c r="A674" s="30"/>
      <c r="B674" s="30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</row>
    <row r="675" ht="18.0" customHeight="1">
      <c r="A675" s="30"/>
      <c r="B675" s="30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</row>
    <row r="676" ht="18.0" customHeight="1">
      <c r="A676" s="30"/>
      <c r="B676" s="30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</row>
    <row r="677" ht="18.0" customHeight="1">
      <c r="A677" s="30"/>
      <c r="B677" s="30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</row>
    <row r="678" ht="18.0" customHeight="1">
      <c r="A678" s="30"/>
      <c r="B678" s="30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</row>
    <row r="679" ht="18.0" customHeight="1">
      <c r="A679" s="30"/>
      <c r="B679" s="30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</row>
    <row r="680" ht="18.0" customHeight="1">
      <c r="A680" s="30"/>
      <c r="B680" s="30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</row>
    <row r="681" ht="18.0" customHeight="1">
      <c r="A681" s="30"/>
      <c r="B681" s="30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</row>
    <row r="682" ht="18.0" customHeight="1">
      <c r="A682" s="30"/>
      <c r="B682" s="30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</row>
    <row r="683" ht="18.0" customHeight="1">
      <c r="A683" s="30"/>
      <c r="B683" s="30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</row>
    <row r="684" ht="18.0" customHeight="1">
      <c r="A684" s="30"/>
      <c r="B684" s="30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</row>
    <row r="685" ht="18.0" customHeight="1">
      <c r="A685" s="30"/>
      <c r="B685" s="30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</row>
    <row r="686" ht="18.0" customHeight="1">
      <c r="A686" s="30"/>
      <c r="B686" s="30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</row>
    <row r="687" ht="18.0" customHeight="1">
      <c r="A687" s="30"/>
      <c r="B687" s="30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</row>
    <row r="688" ht="18.0" customHeight="1">
      <c r="A688" s="30"/>
      <c r="B688" s="30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</row>
    <row r="689" ht="18.0" customHeight="1">
      <c r="A689" s="30"/>
      <c r="B689" s="30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</row>
    <row r="690" ht="18.0" customHeight="1">
      <c r="A690" s="30"/>
      <c r="B690" s="30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</row>
    <row r="691" ht="18.0" customHeight="1">
      <c r="A691" s="30"/>
      <c r="B691" s="30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</row>
    <row r="692" ht="18.0" customHeight="1">
      <c r="A692" s="30"/>
      <c r="B692" s="30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</row>
    <row r="693" ht="18.0" customHeight="1">
      <c r="A693" s="30"/>
      <c r="B693" s="30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</row>
    <row r="694" ht="18.0" customHeight="1">
      <c r="A694" s="30"/>
      <c r="B694" s="30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</row>
    <row r="695" ht="18.0" customHeight="1">
      <c r="A695" s="30"/>
      <c r="B695" s="30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</row>
    <row r="696" ht="18.0" customHeight="1">
      <c r="A696" s="30"/>
      <c r="B696" s="30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</row>
    <row r="697" ht="18.0" customHeight="1">
      <c r="A697" s="30"/>
      <c r="B697" s="30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</row>
    <row r="698" ht="18.0" customHeight="1">
      <c r="A698" s="30"/>
      <c r="B698" s="30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</row>
    <row r="699" ht="18.0" customHeight="1">
      <c r="A699" s="30"/>
      <c r="B699" s="30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</row>
    <row r="700" ht="18.0" customHeight="1">
      <c r="A700" s="30"/>
      <c r="B700" s="30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</row>
    <row r="701" ht="18.0" customHeight="1">
      <c r="A701" s="30"/>
      <c r="B701" s="30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</row>
    <row r="702" ht="18.0" customHeight="1">
      <c r="A702" s="30"/>
      <c r="B702" s="30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</row>
    <row r="703" ht="18.0" customHeight="1">
      <c r="A703" s="30"/>
      <c r="B703" s="30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</row>
    <row r="704" ht="18.0" customHeight="1">
      <c r="A704" s="30"/>
      <c r="B704" s="30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</row>
    <row r="705" ht="18.0" customHeight="1">
      <c r="A705" s="30"/>
      <c r="B705" s="30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</row>
    <row r="706" ht="18.0" customHeight="1">
      <c r="A706" s="30"/>
      <c r="B706" s="30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</row>
    <row r="707" ht="18.0" customHeight="1">
      <c r="A707" s="30"/>
      <c r="B707" s="30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</row>
    <row r="708" ht="18.0" customHeight="1">
      <c r="A708" s="30"/>
      <c r="B708" s="30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</row>
    <row r="709" ht="18.0" customHeight="1">
      <c r="A709" s="30"/>
      <c r="B709" s="30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</row>
    <row r="710" ht="18.0" customHeight="1">
      <c r="A710" s="30"/>
      <c r="B710" s="30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</row>
    <row r="711" ht="18.0" customHeight="1">
      <c r="A711" s="30"/>
      <c r="B711" s="30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</row>
    <row r="712" ht="18.0" customHeight="1">
      <c r="A712" s="30"/>
      <c r="B712" s="30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</row>
    <row r="713" ht="18.0" customHeight="1">
      <c r="A713" s="30"/>
      <c r="B713" s="30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</row>
    <row r="714" ht="18.0" customHeight="1">
      <c r="A714" s="30"/>
      <c r="B714" s="30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</row>
    <row r="715" ht="18.0" customHeight="1">
      <c r="A715" s="30"/>
      <c r="B715" s="30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</row>
    <row r="716" ht="18.0" customHeight="1">
      <c r="A716" s="30"/>
      <c r="B716" s="30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</row>
    <row r="717" ht="18.0" customHeight="1">
      <c r="A717" s="30"/>
      <c r="B717" s="30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</row>
    <row r="718" ht="18.0" customHeight="1">
      <c r="A718" s="30"/>
      <c r="B718" s="30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</row>
    <row r="719" ht="18.0" customHeight="1">
      <c r="A719" s="30"/>
      <c r="B719" s="30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</row>
    <row r="720" ht="18.0" customHeight="1">
      <c r="A720" s="30"/>
      <c r="B720" s="30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</row>
    <row r="721" ht="18.0" customHeight="1">
      <c r="A721" s="30"/>
      <c r="B721" s="30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</row>
    <row r="722" ht="18.0" customHeight="1">
      <c r="A722" s="30"/>
      <c r="B722" s="30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</row>
    <row r="723" ht="18.0" customHeight="1">
      <c r="A723" s="30"/>
      <c r="B723" s="30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</row>
    <row r="724" ht="18.0" customHeight="1">
      <c r="A724" s="30"/>
      <c r="B724" s="30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</row>
    <row r="725" ht="18.0" customHeight="1">
      <c r="A725" s="30"/>
      <c r="B725" s="30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</row>
    <row r="726" ht="18.0" customHeight="1">
      <c r="A726" s="30"/>
      <c r="B726" s="30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</row>
    <row r="727" ht="18.0" customHeight="1">
      <c r="A727" s="30"/>
      <c r="B727" s="30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</row>
    <row r="728" ht="18.0" customHeight="1">
      <c r="A728" s="30"/>
      <c r="B728" s="30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</row>
    <row r="729" ht="18.0" customHeight="1">
      <c r="A729" s="30"/>
      <c r="B729" s="30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</row>
    <row r="730" ht="18.0" customHeight="1">
      <c r="A730" s="30"/>
      <c r="B730" s="30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</row>
    <row r="731" ht="18.0" customHeight="1">
      <c r="A731" s="30"/>
      <c r="B731" s="30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</row>
    <row r="732" ht="18.0" customHeight="1">
      <c r="A732" s="30"/>
      <c r="B732" s="30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</row>
    <row r="733" ht="18.0" customHeight="1">
      <c r="A733" s="30"/>
      <c r="B733" s="30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</row>
    <row r="734" ht="18.0" customHeight="1">
      <c r="A734" s="30"/>
      <c r="B734" s="30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</row>
    <row r="735" ht="18.0" customHeight="1">
      <c r="A735" s="30"/>
      <c r="B735" s="30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</row>
    <row r="736" ht="18.0" customHeight="1">
      <c r="A736" s="30"/>
      <c r="B736" s="30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</row>
    <row r="737" ht="18.0" customHeight="1">
      <c r="A737" s="30"/>
      <c r="B737" s="30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</row>
    <row r="738" ht="18.0" customHeight="1">
      <c r="A738" s="30"/>
      <c r="B738" s="30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</row>
    <row r="739" ht="18.0" customHeight="1">
      <c r="A739" s="30"/>
      <c r="B739" s="30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</row>
    <row r="740" ht="18.0" customHeight="1">
      <c r="A740" s="30"/>
      <c r="B740" s="30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</row>
    <row r="741" ht="18.0" customHeight="1">
      <c r="A741" s="30"/>
      <c r="B741" s="30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</row>
    <row r="742" ht="18.0" customHeight="1">
      <c r="A742" s="30"/>
      <c r="B742" s="30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</row>
    <row r="743" ht="18.0" customHeight="1">
      <c r="A743" s="30"/>
      <c r="B743" s="30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</row>
    <row r="744" ht="18.0" customHeight="1">
      <c r="A744" s="30"/>
      <c r="B744" s="30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</row>
    <row r="745" ht="18.0" customHeight="1">
      <c r="A745" s="30"/>
      <c r="B745" s="30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</row>
    <row r="746" ht="18.0" customHeight="1">
      <c r="A746" s="30"/>
      <c r="B746" s="30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</row>
    <row r="747" ht="18.0" customHeight="1">
      <c r="A747" s="30"/>
      <c r="B747" s="30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</row>
    <row r="748" ht="18.0" customHeight="1">
      <c r="A748" s="30"/>
      <c r="B748" s="30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</row>
    <row r="749" ht="18.0" customHeight="1">
      <c r="A749" s="30"/>
      <c r="B749" s="30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</row>
    <row r="750" ht="18.0" customHeight="1">
      <c r="A750" s="30"/>
      <c r="B750" s="30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</row>
    <row r="751" ht="18.0" customHeight="1">
      <c r="A751" s="30"/>
      <c r="B751" s="30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</row>
    <row r="752" ht="18.0" customHeight="1">
      <c r="A752" s="30"/>
      <c r="B752" s="30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</row>
    <row r="753" ht="18.0" customHeight="1">
      <c r="A753" s="30"/>
      <c r="B753" s="30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</row>
    <row r="754" ht="18.0" customHeight="1">
      <c r="A754" s="30"/>
      <c r="B754" s="30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</row>
    <row r="755" ht="18.0" customHeight="1">
      <c r="A755" s="30"/>
      <c r="B755" s="30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</row>
    <row r="756" ht="18.0" customHeight="1">
      <c r="A756" s="30"/>
      <c r="B756" s="30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</row>
    <row r="757" ht="18.0" customHeight="1">
      <c r="A757" s="30"/>
      <c r="B757" s="30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</row>
    <row r="758" ht="18.0" customHeight="1">
      <c r="A758" s="30"/>
      <c r="B758" s="30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</row>
    <row r="759" ht="18.0" customHeight="1">
      <c r="A759" s="30"/>
      <c r="B759" s="30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</row>
    <row r="760" ht="18.0" customHeight="1">
      <c r="A760" s="30"/>
      <c r="B760" s="30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</row>
    <row r="761" ht="18.0" customHeight="1">
      <c r="A761" s="30"/>
      <c r="B761" s="30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</row>
    <row r="762" ht="18.0" customHeight="1">
      <c r="A762" s="30"/>
      <c r="B762" s="30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</row>
    <row r="763" ht="18.0" customHeight="1">
      <c r="A763" s="30"/>
      <c r="B763" s="30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</row>
    <row r="764" ht="18.0" customHeight="1">
      <c r="A764" s="30"/>
      <c r="B764" s="30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</row>
    <row r="765" ht="18.0" customHeight="1">
      <c r="A765" s="30"/>
      <c r="B765" s="30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</row>
    <row r="766" ht="18.0" customHeight="1">
      <c r="A766" s="30"/>
      <c r="B766" s="30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</row>
    <row r="767" ht="18.0" customHeight="1">
      <c r="A767" s="30"/>
      <c r="B767" s="30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</row>
    <row r="768" ht="18.0" customHeight="1">
      <c r="A768" s="30"/>
      <c r="B768" s="30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</row>
    <row r="769" ht="18.0" customHeight="1">
      <c r="A769" s="30"/>
      <c r="B769" s="30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</row>
    <row r="770" ht="18.0" customHeight="1">
      <c r="A770" s="30"/>
      <c r="B770" s="30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</row>
    <row r="771" ht="18.0" customHeight="1">
      <c r="A771" s="30"/>
      <c r="B771" s="30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</row>
    <row r="772" ht="18.0" customHeight="1">
      <c r="A772" s="30"/>
      <c r="B772" s="30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</row>
    <row r="773" ht="18.0" customHeight="1">
      <c r="A773" s="30"/>
      <c r="B773" s="30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</row>
    <row r="774" ht="18.0" customHeight="1">
      <c r="A774" s="30"/>
      <c r="B774" s="30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</row>
    <row r="775" ht="18.0" customHeight="1">
      <c r="A775" s="30"/>
      <c r="B775" s="30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</row>
    <row r="776" ht="18.0" customHeight="1">
      <c r="A776" s="30"/>
      <c r="B776" s="30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</row>
    <row r="777" ht="18.0" customHeight="1">
      <c r="A777" s="30"/>
      <c r="B777" s="30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</row>
    <row r="778" ht="18.0" customHeight="1">
      <c r="A778" s="30"/>
      <c r="B778" s="30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</row>
    <row r="779" ht="18.0" customHeight="1">
      <c r="A779" s="30"/>
      <c r="B779" s="30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</row>
    <row r="780" ht="18.0" customHeight="1">
      <c r="A780" s="30"/>
      <c r="B780" s="30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</row>
    <row r="781" ht="18.0" customHeight="1">
      <c r="A781" s="30"/>
      <c r="B781" s="30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</row>
    <row r="782" ht="18.0" customHeight="1">
      <c r="A782" s="30"/>
      <c r="B782" s="30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</row>
    <row r="783" ht="18.0" customHeight="1">
      <c r="A783" s="30"/>
      <c r="B783" s="30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</row>
    <row r="784" ht="18.0" customHeight="1">
      <c r="A784" s="30"/>
      <c r="B784" s="30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</row>
    <row r="785" ht="18.0" customHeight="1">
      <c r="A785" s="30"/>
      <c r="B785" s="30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</row>
    <row r="786" ht="18.0" customHeight="1">
      <c r="A786" s="30"/>
      <c r="B786" s="30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</row>
    <row r="787" ht="18.0" customHeight="1">
      <c r="A787" s="30"/>
      <c r="B787" s="30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</row>
    <row r="788" ht="18.0" customHeight="1">
      <c r="A788" s="30"/>
      <c r="B788" s="30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</row>
    <row r="789" ht="18.0" customHeight="1">
      <c r="A789" s="30"/>
      <c r="B789" s="30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</row>
    <row r="790" ht="18.0" customHeight="1">
      <c r="A790" s="30"/>
      <c r="B790" s="30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</row>
    <row r="791" ht="18.0" customHeight="1">
      <c r="A791" s="30"/>
      <c r="B791" s="30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</row>
    <row r="792" ht="18.0" customHeight="1">
      <c r="A792" s="30"/>
      <c r="B792" s="30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</row>
    <row r="793" ht="18.0" customHeight="1">
      <c r="A793" s="30"/>
      <c r="B793" s="30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</row>
    <row r="794" ht="18.0" customHeight="1">
      <c r="A794" s="30"/>
      <c r="B794" s="30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</row>
    <row r="795" ht="18.0" customHeight="1">
      <c r="A795" s="30"/>
      <c r="B795" s="30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</row>
    <row r="796" ht="18.0" customHeight="1">
      <c r="A796" s="30"/>
      <c r="B796" s="30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</row>
    <row r="797" ht="18.0" customHeight="1">
      <c r="A797" s="30"/>
      <c r="B797" s="30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</row>
    <row r="798" ht="18.0" customHeight="1">
      <c r="A798" s="30"/>
      <c r="B798" s="30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</row>
    <row r="799" ht="18.0" customHeight="1">
      <c r="A799" s="30"/>
      <c r="B799" s="30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</row>
    <row r="800" ht="18.0" customHeight="1">
      <c r="A800" s="30"/>
      <c r="B800" s="30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</row>
    <row r="801" ht="18.0" customHeight="1">
      <c r="A801" s="30"/>
      <c r="B801" s="30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</row>
    <row r="802" ht="18.0" customHeight="1">
      <c r="A802" s="30"/>
      <c r="B802" s="30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</row>
    <row r="803" ht="18.0" customHeight="1">
      <c r="A803" s="30"/>
      <c r="B803" s="30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</row>
    <row r="804" ht="18.0" customHeight="1">
      <c r="A804" s="30"/>
      <c r="B804" s="30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</row>
    <row r="805" ht="18.0" customHeight="1">
      <c r="A805" s="30"/>
      <c r="B805" s="30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</row>
    <row r="806" ht="18.0" customHeight="1">
      <c r="A806" s="30"/>
      <c r="B806" s="30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</row>
    <row r="807" ht="18.0" customHeight="1">
      <c r="A807" s="30"/>
      <c r="B807" s="30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</row>
    <row r="808" ht="18.0" customHeight="1">
      <c r="A808" s="30"/>
      <c r="B808" s="30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</row>
    <row r="809" ht="18.0" customHeight="1">
      <c r="A809" s="30"/>
      <c r="B809" s="30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</row>
    <row r="810" ht="18.0" customHeight="1">
      <c r="A810" s="30"/>
      <c r="B810" s="30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</row>
    <row r="811" ht="18.0" customHeight="1">
      <c r="A811" s="30"/>
      <c r="B811" s="30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</row>
    <row r="812" ht="18.0" customHeight="1">
      <c r="A812" s="30"/>
      <c r="B812" s="30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</row>
    <row r="813" ht="18.0" customHeight="1">
      <c r="A813" s="30"/>
      <c r="B813" s="30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</row>
    <row r="814" ht="18.0" customHeight="1">
      <c r="A814" s="30"/>
      <c r="B814" s="30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</row>
    <row r="815" ht="18.0" customHeight="1">
      <c r="A815" s="30"/>
      <c r="B815" s="30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</row>
    <row r="816" ht="18.0" customHeight="1">
      <c r="A816" s="30"/>
      <c r="B816" s="30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</row>
    <row r="817" ht="18.0" customHeight="1">
      <c r="A817" s="30"/>
      <c r="B817" s="30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</row>
    <row r="818" ht="18.0" customHeight="1">
      <c r="A818" s="30"/>
      <c r="B818" s="30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</row>
    <row r="819" ht="18.0" customHeight="1">
      <c r="A819" s="30"/>
      <c r="B819" s="30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</row>
    <row r="820" ht="18.0" customHeight="1">
      <c r="A820" s="30"/>
      <c r="B820" s="30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</row>
    <row r="821" ht="18.0" customHeight="1">
      <c r="A821" s="30"/>
      <c r="B821" s="30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</row>
    <row r="822" ht="18.0" customHeight="1">
      <c r="A822" s="30"/>
      <c r="B822" s="30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</row>
    <row r="823" ht="18.0" customHeight="1">
      <c r="A823" s="30"/>
      <c r="B823" s="30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</row>
    <row r="824" ht="18.0" customHeight="1">
      <c r="A824" s="30"/>
      <c r="B824" s="30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</row>
    <row r="825" ht="18.0" customHeight="1">
      <c r="A825" s="30"/>
      <c r="B825" s="30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</row>
    <row r="826" ht="18.0" customHeight="1">
      <c r="A826" s="30"/>
      <c r="B826" s="30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</row>
    <row r="827" ht="18.0" customHeight="1">
      <c r="A827" s="30"/>
      <c r="B827" s="30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</row>
    <row r="828" ht="18.0" customHeight="1">
      <c r="A828" s="30"/>
      <c r="B828" s="30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</row>
    <row r="829" ht="18.0" customHeight="1">
      <c r="A829" s="30"/>
      <c r="B829" s="30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</row>
    <row r="830" ht="18.0" customHeight="1">
      <c r="A830" s="30"/>
      <c r="B830" s="30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</row>
    <row r="831" ht="18.0" customHeight="1">
      <c r="A831" s="30"/>
      <c r="B831" s="30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</row>
    <row r="832" ht="18.0" customHeight="1">
      <c r="A832" s="30"/>
      <c r="B832" s="30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</row>
    <row r="833" ht="18.0" customHeight="1">
      <c r="A833" s="30"/>
      <c r="B833" s="30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</row>
    <row r="834" ht="18.0" customHeight="1">
      <c r="A834" s="30"/>
      <c r="B834" s="30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</row>
    <row r="835" ht="18.0" customHeight="1">
      <c r="A835" s="30"/>
      <c r="B835" s="30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</row>
    <row r="836" ht="18.0" customHeight="1">
      <c r="A836" s="30"/>
      <c r="B836" s="30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</row>
    <row r="837" ht="18.0" customHeight="1">
      <c r="A837" s="30"/>
      <c r="B837" s="30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</row>
    <row r="838" ht="18.0" customHeight="1">
      <c r="A838" s="30"/>
      <c r="B838" s="30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</row>
    <row r="839" ht="18.0" customHeight="1">
      <c r="A839" s="30"/>
      <c r="B839" s="30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</row>
    <row r="840" ht="18.0" customHeight="1">
      <c r="A840" s="30"/>
      <c r="B840" s="30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</row>
    <row r="841" ht="18.0" customHeight="1">
      <c r="A841" s="30"/>
      <c r="B841" s="30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</row>
    <row r="842" ht="18.0" customHeight="1">
      <c r="A842" s="30"/>
      <c r="B842" s="30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</row>
    <row r="843" ht="18.0" customHeight="1">
      <c r="A843" s="30"/>
      <c r="B843" s="30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</row>
    <row r="844" ht="18.0" customHeight="1">
      <c r="A844" s="30"/>
      <c r="B844" s="30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</row>
    <row r="845" ht="18.0" customHeight="1">
      <c r="A845" s="30"/>
      <c r="B845" s="30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</row>
    <row r="846" ht="18.0" customHeight="1">
      <c r="A846" s="30"/>
      <c r="B846" s="30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</row>
    <row r="847" ht="18.0" customHeight="1">
      <c r="A847" s="30"/>
      <c r="B847" s="30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</row>
    <row r="848" ht="18.0" customHeight="1">
      <c r="A848" s="30"/>
      <c r="B848" s="30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</row>
    <row r="849" ht="18.0" customHeight="1">
      <c r="A849" s="30"/>
      <c r="B849" s="30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</row>
    <row r="850" ht="18.0" customHeight="1">
      <c r="A850" s="30"/>
      <c r="B850" s="30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</row>
    <row r="851" ht="18.0" customHeight="1">
      <c r="A851" s="30"/>
      <c r="B851" s="30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</row>
    <row r="852" ht="18.0" customHeight="1">
      <c r="A852" s="30"/>
      <c r="B852" s="30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</row>
    <row r="853" ht="18.0" customHeight="1">
      <c r="A853" s="30"/>
      <c r="B853" s="30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</row>
    <row r="854" ht="18.0" customHeight="1">
      <c r="A854" s="30"/>
      <c r="B854" s="30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</row>
    <row r="855" ht="18.0" customHeight="1">
      <c r="A855" s="30"/>
      <c r="B855" s="30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</row>
    <row r="856" ht="18.0" customHeight="1">
      <c r="A856" s="30"/>
      <c r="B856" s="30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</row>
    <row r="857" ht="18.0" customHeight="1">
      <c r="A857" s="30"/>
      <c r="B857" s="30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</row>
    <row r="858" ht="18.0" customHeight="1">
      <c r="A858" s="30"/>
      <c r="B858" s="30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</row>
    <row r="859" ht="18.0" customHeight="1">
      <c r="A859" s="30"/>
      <c r="B859" s="30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</row>
    <row r="860" ht="18.0" customHeight="1">
      <c r="A860" s="30"/>
      <c r="B860" s="30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</row>
    <row r="861" ht="18.0" customHeight="1">
      <c r="A861" s="30"/>
      <c r="B861" s="30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</row>
    <row r="862" ht="18.0" customHeight="1">
      <c r="A862" s="30"/>
      <c r="B862" s="30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</row>
    <row r="863" ht="18.0" customHeight="1">
      <c r="A863" s="30"/>
      <c r="B863" s="30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</row>
    <row r="864" ht="18.0" customHeight="1">
      <c r="A864" s="30"/>
      <c r="B864" s="30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</row>
    <row r="865" ht="18.0" customHeight="1">
      <c r="A865" s="30"/>
      <c r="B865" s="30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</row>
    <row r="866" ht="18.0" customHeight="1">
      <c r="A866" s="30"/>
      <c r="B866" s="30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</row>
    <row r="867" ht="18.0" customHeight="1">
      <c r="A867" s="30"/>
      <c r="B867" s="30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</row>
    <row r="868" ht="18.0" customHeight="1">
      <c r="A868" s="30"/>
      <c r="B868" s="30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</row>
    <row r="869" ht="18.0" customHeight="1">
      <c r="A869" s="30"/>
      <c r="B869" s="30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</row>
    <row r="870" ht="18.0" customHeight="1">
      <c r="A870" s="30"/>
      <c r="B870" s="30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</row>
    <row r="871" ht="18.0" customHeight="1">
      <c r="A871" s="30"/>
      <c r="B871" s="30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</row>
    <row r="872" ht="18.0" customHeight="1">
      <c r="A872" s="30"/>
      <c r="B872" s="30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</row>
    <row r="873" ht="18.0" customHeight="1">
      <c r="A873" s="30"/>
      <c r="B873" s="30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</row>
    <row r="874" ht="18.0" customHeight="1">
      <c r="A874" s="30"/>
      <c r="B874" s="30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</row>
    <row r="875" ht="18.0" customHeight="1">
      <c r="A875" s="30"/>
      <c r="B875" s="30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</row>
    <row r="876" ht="18.0" customHeight="1">
      <c r="A876" s="30"/>
      <c r="B876" s="30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</row>
    <row r="877" ht="18.0" customHeight="1">
      <c r="A877" s="30"/>
      <c r="B877" s="30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</row>
    <row r="878" ht="18.0" customHeight="1">
      <c r="A878" s="30"/>
      <c r="B878" s="30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</row>
    <row r="879" ht="18.0" customHeight="1">
      <c r="A879" s="30"/>
      <c r="B879" s="30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</row>
    <row r="880" ht="18.0" customHeight="1">
      <c r="A880" s="30"/>
      <c r="B880" s="30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</row>
    <row r="881" ht="18.0" customHeight="1">
      <c r="A881" s="30"/>
      <c r="B881" s="30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</row>
    <row r="882" ht="18.0" customHeight="1">
      <c r="A882" s="30"/>
      <c r="B882" s="30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</row>
    <row r="883" ht="18.0" customHeight="1">
      <c r="A883" s="30"/>
      <c r="B883" s="30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</row>
    <row r="884" ht="18.0" customHeight="1">
      <c r="A884" s="30"/>
      <c r="B884" s="30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</row>
    <row r="885" ht="18.0" customHeight="1">
      <c r="A885" s="30"/>
      <c r="B885" s="30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</row>
    <row r="886" ht="18.0" customHeight="1">
      <c r="A886" s="30"/>
      <c r="B886" s="30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</row>
    <row r="887" ht="18.0" customHeight="1">
      <c r="A887" s="30"/>
      <c r="B887" s="30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</row>
    <row r="888" ht="18.0" customHeight="1">
      <c r="A888" s="30"/>
      <c r="B888" s="30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</row>
    <row r="889" ht="18.0" customHeight="1">
      <c r="A889" s="30"/>
      <c r="B889" s="30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</row>
    <row r="890" ht="18.0" customHeight="1">
      <c r="A890" s="30"/>
      <c r="B890" s="30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</row>
    <row r="891" ht="18.0" customHeight="1">
      <c r="A891" s="30"/>
      <c r="B891" s="30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</row>
    <row r="892" ht="18.0" customHeight="1">
      <c r="A892" s="30"/>
      <c r="B892" s="30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</row>
    <row r="893" ht="18.0" customHeight="1">
      <c r="A893" s="30"/>
      <c r="B893" s="30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</row>
    <row r="894" ht="18.0" customHeight="1">
      <c r="A894" s="30"/>
      <c r="B894" s="30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</row>
    <row r="895" ht="18.0" customHeight="1">
      <c r="A895" s="30"/>
      <c r="B895" s="30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</row>
    <row r="896" ht="18.0" customHeight="1">
      <c r="A896" s="30"/>
      <c r="B896" s="30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</row>
    <row r="897" ht="18.0" customHeight="1">
      <c r="A897" s="30"/>
      <c r="B897" s="30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</row>
    <row r="898" ht="18.0" customHeight="1">
      <c r="A898" s="30"/>
      <c r="B898" s="30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</row>
    <row r="899" ht="18.0" customHeight="1">
      <c r="A899" s="30"/>
      <c r="B899" s="30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</row>
    <row r="900" ht="18.0" customHeight="1">
      <c r="A900" s="30"/>
      <c r="B900" s="30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</row>
    <row r="901" ht="18.0" customHeight="1">
      <c r="A901" s="30"/>
      <c r="B901" s="30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</row>
    <row r="902" ht="18.0" customHeight="1">
      <c r="A902" s="30"/>
      <c r="B902" s="30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</row>
    <row r="903" ht="18.0" customHeight="1">
      <c r="A903" s="30"/>
      <c r="B903" s="30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</row>
    <row r="904" ht="18.0" customHeight="1">
      <c r="A904" s="30"/>
      <c r="B904" s="30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</row>
    <row r="905" ht="18.0" customHeight="1">
      <c r="A905" s="30"/>
      <c r="B905" s="30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</row>
    <row r="906" ht="18.0" customHeight="1">
      <c r="A906" s="30"/>
      <c r="B906" s="30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</row>
    <row r="907" ht="18.0" customHeight="1">
      <c r="A907" s="30"/>
      <c r="B907" s="30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</row>
    <row r="908" ht="18.0" customHeight="1">
      <c r="A908" s="30"/>
      <c r="B908" s="30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</row>
    <row r="909" ht="18.0" customHeight="1">
      <c r="A909" s="30"/>
      <c r="B909" s="30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</row>
    <row r="910" ht="18.0" customHeight="1">
      <c r="A910" s="30"/>
      <c r="B910" s="30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</row>
    <row r="911" ht="18.0" customHeight="1">
      <c r="A911" s="30"/>
      <c r="B911" s="30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</row>
    <row r="912" ht="18.0" customHeight="1">
      <c r="A912" s="30"/>
      <c r="B912" s="30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</row>
    <row r="913" ht="18.0" customHeight="1">
      <c r="A913" s="30"/>
      <c r="B913" s="30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</row>
    <row r="914" ht="18.0" customHeight="1">
      <c r="A914" s="30"/>
      <c r="B914" s="30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</row>
    <row r="915" ht="18.0" customHeight="1">
      <c r="A915" s="30"/>
      <c r="B915" s="30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</row>
    <row r="916" ht="18.0" customHeight="1">
      <c r="A916" s="30"/>
      <c r="B916" s="30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</row>
    <row r="917" ht="18.0" customHeight="1">
      <c r="A917" s="30"/>
      <c r="B917" s="30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</row>
    <row r="918" ht="18.0" customHeight="1">
      <c r="A918" s="30"/>
      <c r="B918" s="30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</row>
    <row r="919" ht="18.0" customHeight="1">
      <c r="A919" s="30"/>
      <c r="B919" s="30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</row>
    <row r="920" ht="18.0" customHeight="1">
      <c r="A920" s="30"/>
      <c r="B920" s="30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</row>
    <row r="921" ht="18.0" customHeight="1">
      <c r="A921" s="30"/>
      <c r="B921" s="30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</row>
    <row r="922" ht="18.0" customHeight="1">
      <c r="A922" s="30"/>
      <c r="B922" s="30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</row>
    <row r="923" ht="18.0" customHeight="1">
      <c r="A923" s="30"/>
      <c r="B923" s="30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</row>
    <row r="924" ht="18.0" customHeight="1">
      <c r="A924" s="30"/>
      <c r="B924" s="30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</row>
    <row r="925" ht="18.0" customHeight="1">
      <c r="A925" s="30"/>
      <c r="B925" s="30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</row>
    <row r="926" ht="18.0" customHeight="1">
      <c r="A926" s="30"/>
      <c r="B926" s="30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</row>
    <row r="927" ht="18.0" customHeight="1">
      <c r="A927" s="30"/>
      <c r="B927" s="30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</row>
    <row r="928" ht="18.0" customHeight="1">
      <c r="A928" s="30"/>
      <c r="B928" s="30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</row>
    <row r="929" ht="18.0" customHeight="1">
      <c r="A929" s="30"/>
      <c r="B929" s="30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</row>
    <row r="930" ht="18.0" customHeight="1">
      <c r="A930" s="30"/>
      <c r="B930" s="30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</row>
    <row r="931" ht="18.0" customHeight="1">
      <c r="A931" s="30"/>
      <c r="B931" s="30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</row>
    <row r="932" ht="18.0" customHeight="1">
      <c r="A932" s="30"/>
      <c r="B932" s="30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</row>
    <row r="933" ht="18.0" customHeight="1">
      <c r="A933" s="30"/>
      <c r="B933" s="30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</row>
    <row r="934" ht="18.0" customHeight="1">
      <c r="A934" s="30"/>
      <c r="B934" s="30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</row>
    <row r="935" ht="18.0" customHeight="1">
      <c r="A935" s="30"/>
      <c r="B935" s="30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</row>
    <row r="936" ht="18.0" customHeight="1">
      <c r="A936" s="30"/>
      <c r="B936" s="30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</row>
    <row r="937" ht="18.0" customHeight="1">
      <c r="A937" s="30"/>
      <c r="B937" s="30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</row>
    <row r="938" ht="18.0" customHeight="1">
      <c r="A938" s="30"/>
      <c r="B938" s="30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</row>
    <row r="939" ht="18.0" customHeight="1">
      <c r="A939" s="30"/>
      <c r="B939" s="30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</row>
    <row r="940" ht="18.0" customHeight="1">
      <c r="A940" s="30"/>
      <c r="B940" s="30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</row>
    <row r="941" ht="18.0" customHeight="1">
      <c r="A941" s="30"/>
      <c r="B941" s="30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</row>
    <row r="942" ht="18.0" customHeight="1">
      <c r="A942" s="30"/>
      <c r="B942" s="30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</row>
    <row r="943" ht="18.0" customHeight="1">
      <c r="A943" s="30"/>
      <c r="B943" s="30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</row>
    <row r="944" ht="18.0" customHeight="1">
      <c r="A944" s="30"/>
      <c r="B944" s="30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</row>
    <row r="945" ht="18.0" customHeight="1">
      <c r="A945" s="30"/>
      <c r="B945" s="30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</row>
    <row r="946" ht="18.0" customHeight="1">
      <c r="A946" s="30"/>
      <c r="B946" s="30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</row>
    <row r="947" ht="18.0" customHeight="1">
      <c r="A947" s="30"/>
      <c r="B947" s="30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</row>
    <row r="948" ht="18.0" customHeight="1">
      <c r="A948" s="30"/>
      <c r="B948" s="30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</row>
    <row r="949" ht="18.0" customHeight="1">
      <c r="A949" s="30"/>
      <c r="B949" s="30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</row>
    <row r="950" ht="18.0" customHeight="1">
      <c r="A950" s="30"/>
      <c r="B950" s="30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</row>
    <row r="951" ht="18.0" customHeight="1">
      <c r="A951" s="30"/>
      <c r="B951" s="30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</row>
    <row r="952" ht="18.0" customHeight="1">
      <c r="A952" s="30"/>
      <c r="B952" s="30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</row>
    <row r="953" ht="18.0" customHeight="1">
      <c r="A953" s="30"/>
      <c r="B953" s="30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</row>
    <row r="954" ht="18.0" customHeight="1">
      <c r="A954" s="30"/>
      <c r="B954" s="30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</row>
    <row r="955" ht="18.0" customHeight="1">
      <c r="A955" s="30"/>
      <c r="B955" s="30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</row>
    <row r="956" ht="18.0" customHeight="1">
      <c r="A956" s="30"/>
      <c r="B956" s="30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</row>
    <row r="957" ht="18.0" customHeight="1">
      <c r="A957" s="30"/>
      <c r="B957" s="30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</row>
    <row r="958" ht="18.0" customHeight="1">
      <c r="A958" s="30"/>
      <c r="B958" s="30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</row>
    <row r="959" ht="18.0" customHeight="1">
      <c r="A959" s="30"/>
      <c r="B959" s="30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</row>
    <row r="960" ht="18.0" customHeight="1">
      <c r="A960" s="30"/>
      <c r="B960" s="30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</row>
    <row r="961" ht="18.0" customHeight="1">
      <c r="A961" s="30"/>
      <c r="B961" s="30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</row>
    <row r="962" ht="18.0" customHeight="1">
      <c r="A962" s="30"/>
      <c r="B962" s="30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</row>
    <row r="963" ht="18.0" customHeight="1">
      <c r="A963" s="30"/>
      <c r="B963" s="30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</row>
    <row r="964" ht="18.0" customHeight="1">
      <c r="A964" s="30"/>
      <c r="B964" s="30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</row>
    <row r="965" ht="18.0" customHeight="1">
      <c r="A965" s="30"/>
      <c r="B965" s="30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</row>
    <row r="966" ht="18.0" customHeight="1">
      <c r="A966" s="30"/>
      <c r="B966" s="30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</row>
    <row r="967" ht="18.0" customHeight="1">
      <c r="A967" s="30"/>
      <c r="B967" s="30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</row>
    <row r="968" ht="18.0" customHeight="1">
      <c r="A968" s="30"/>
      <c r="B968" s="30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</row>
    <row r="969" ht="18.0" customHeight="1">
      <c r="A969" s="30"/>
      <c r="B969" s="30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</row>
    <row r="970" ht="18.0" customHeight="1">
      <c r="A970" s="30"/>
      <c r="B970" s="30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</row>
    <row r="971" ht="18.0" customHeight="1">
      <c r="A971" s="30"/>
      <c r="B971" s="30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</row>
    <row r="972" ht="18.0" customHeight="1">
      <c r="A972" s="30"/>
      <c r="B972" s="30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</row>
    <row r="973" ht="18.0" customHeight="1">
      <c r="A973" s="30"/>
      <c r="B973" s="30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</row>
    <row r="974" ht="18.0" customHeight="1">
      <c r="A974" s="30"/>
      <c r="B974" s="30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</row>
    <row r="975" ht="18.0" customHeight="1">
      <c r="A975" s="30"/>
      <c r="B975" s="30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</row>
    <row r="976" ht="18.0" customHeight="1">
      <c r="A976" s="30"/>
      <c r="B976" s="30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</row>
    <row r="977" ht="18.0" customHeight="1">
      <c r="A977" s="30"/>
      <c r="B977" s="30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</row>
    <row r="978" ht="18.0" customHeight="1">
      <c r="A978" s="30"/>
      <c r="B978" s="30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</row>
    <row r="979" ht="18.0" customHeight="1">
      <c r="A979" s="30"/>
      <c r="B979" s="30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</row>
    <row r="980" ht="18.0" customHeight="1">
      <c r="A980" s="30"/>
      <c r="B980" s="30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</row>
    <row r="981" ht="18.0" customHeight="1">
      <c r="A981" s="30"/>
      <c r="B981" s="30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</row>
    <row r="982" ht="18.0" customHeight="1">
      <c r="A982" s="30"/>
      <c r="B982" s="30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</row>
    <row r="983" ht="18.0" customHeight="1">
      <c r="A983" s="30"/>
      <c r="B983" s="30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</row>
    <row r="984" ht="18.0" customHeight="1">
      <c r="A984" s="30"/>
      <c r="B984" s="30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</row>
    <row r="985" ht="18.0" customHeight="1">
      <c r="A985" s="30"/>
      <c r="B985" s="30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</row>
    <row r="986" ht="18.0" customHeight="1">
      <c r="A986" s="30"/>
      <c r="B986" s="30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</row>
    <row r="987" ht="18.0" customHeight="1">
      <c r="A987" s="30"/>
      <c r="B987" s="30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</row>
    <row r="988" ht="18.0" customHeight="1">
      <c r="A988" s="30"/>
      <c r="B988" s="30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</row>
    <row r="989" ht="18.0" customHeight="1">
      <c r="A989" s="30"/>
      <c r="B989" s="30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</row>
    <row r="990" ht="18.0" customHeight="1">
      <c r="A990" s="30"/>
      <c r="B990" s="30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</row>
    <row r="991" ht="18.0" customHeight="1">
      <c r="A991" s="30"/>
      <c r="B991" s="30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</row>
    <row r="992" ht="18.0" customHeight="1">
      <c r="A992" s="30"/>
      <c r="B992" s="30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</row>
    <row r="993" ht="18.0" customHeight="1">
      <c r="A993" s="30"/>
      <c r="B993" s="30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</row>
    <row r="994" ht="18.0" customHeight="1">
      <c r="A994" s="30"/>
      <c r="B994" s="30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</row>
    <row r="995" ht="18.0" customHeight="1">
      <c r="A995" s="30"/>
      <c r="B995" s="30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</row>
    <row r="996" ht="18.0" customHeight="1">
      <c r="A996" s="30"/>
      <c r="B996" s="30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</row>
    <row r="997" ht="18.0" customHeight="1">
      <c r="A997" s="30"/>
      <c r="B997" s="30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</row>
    <row r="998" ht="18.0" customHeight="1">
      <c r="A998" s="30"/>
      <c r="B998" s="30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</row>
    <row r="999" ht="18.0" customHeight="1">
      <c r="A999" s="30"/>
      <c r="B999" s="30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</row>
    <row r="1000" ht="18.0" customHeight="1">
      <c r="A1000" s="30"/>
      <c r="B1000" s="30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</row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8.0"/>
    <col customWidth="1" min="2" max="2" width="21.29"/>
    <col customWidth="1" min="3" max="12" width="18.14"/>
    <col customWidth="1" min="13" max="13" width="11.29"/>
    <col customWidth="1" min="14" max="14" width="23.43"/>
    <col customWidth="1" min="15" max="15" width="11.14"/>
    <col customWidth="1" min="16" max="16" width="11.86"/>
    <col customWidth="1" min="17" max="17" width="63.0"/>
    <col customWidth="1" min="18" max="26" width="8.71"/>
  </cols>
  <sheetData>
    <row r="1" ht="24.75" customHeight="1">
      <c r="A1" s="28" t="s">
        <v>32</v>
      </c>
      <c r="B1" s="28" t="s">
        <v>4</v>
      </c>
      <c r="C1" s="29" t="s">
        <v>5</v>
      </c>
      <c r="D1" s="29" t="s">
        <v>57</v>
      </c>
      <c r="E1" s="29" t="s">
        <v>6</v>
      </c>
      <c r="F1" s="29" t="s">
        <v>7</v>
      </c>
      <c r="G1" s="29" t="s">
        <v>58</v>
      </c>
      <c r="H1" s="29" t="s">
        <v>8</v>
      </c>
      <c r="I1" s="29" t="s">
        <v>9</v>
      </c>
      <c r="J1" s="29" t="s">
        <v>10</v>
      </c>
      <c r="K1" s="29" t="s">
        <v>11</v>
      </c>
      <c r="L1" s="29" t="s">
        <v>12</v>
      </c>
      <c r="M1" s="29" t="s">
        <v>13</v>
      </c>
      <c r="N1" s="28" t="s">
        <v>14</v>
      </c>
      <c r="O1" s="28" t="s">
        <v>15</v>
      </c>
      <c r="P1" s="28" t="s">
        <v>59</v>
      </c>
      <c r="Q1" s="28" t="s">
        <v>60</v>
      </c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1.13298755E8</v>
      </c>
      <c r="D2" s="32">
        <v>1.3313022E7</v>
      </c>
      <c r="E2" s="32">
        <v>3.169508828E9</v>
      </c>
      <c r="F2" s="32">
        <v>1.5798347E7</v>
      </c>
      <c r="G2" s="32">
        <v>1.140303E7</v>
      </c>
      <c r="H2" s="32">
        <v>6.0975261E7</v>
      </c>
      <c r="I2" s="32">
        <v>1.27505869E8</v>
      </c>
      <c r="J2" s="32">
        <v>0.0</v>
      </c>
      <c r="K2" s="32">
        <v>1.8930300875E10</v>
      </c>
      <c r="L2" s="32">
        <v>2.095967435E9</v>
      </c>
      <c r="M2" s="32">
        <v>80149.0</v>
      </c>
      <c r="N2" s="31" t="s">
        <v>34</v>
      </c>
      <c r="O2" s="31">
        <v>25.0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1.030047E8</v>
      </c>
      <c r="D3" s="32">
        <v>6743931.0</v>
      </c>
      <c r="E3" s="32">
        <v>5.025376632E9</v>
      </c>
      <c r="F3" s="32">
        <v>1.9380555E7</v>
      </c>
      <c r="G3" s="32">
        <v>2.3411511E7</v>
      </c>
      <c r="H3" s="32">
        <v>8.0450995E7</v>
      </c>
      <c r="I3" s="32">
        <v>2.10407636E8</v>
      </c>
      <c r="J3" s="32">
        <v>0.0</v>
      </c>
      <c r="K3" s="32">
        <v>3.9249144427E10</v>
      </c>
      <c r="L3" s="32">
        <v>1.4447507139E10</v>
      </c>
      <c r="M3" s="32">
        <v>148010.0</v>
      </c>
      <c r="N3" s="31" t="s">
        <v>34</v>
      </c>
      <c r="O3" s="31">
        <v>25.0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1.01501695E8</v>
      </c>
      <c r="D4" s="32">
        <v>7546452.0</v>
      </c>
      <c r="E4" s="32">
        <v>1.403689506E9</v>
      </c>
      <c r="F4" s="32">
        <v>1.3976374E7</v>
      </c>
      <c r="G4" s="32">
        <v>1.19626732E8</v>
      </c>
      <c r="H4" s="32">
        <v>3.8685296E7</v>
      </c>
      <c r="I4" s="32">
        <v>4.9144708E7</v>
      </c>
      <c r="J4" s="32">
        <v>0.0</v>
      </c>
      <c r="K4" s="32">
        <v>1.3036926E10</v>
      </c>
      <c r="L4" s="32">
        <v>9.7148239E7</v>
      </c>
      <c r="M4" s="32">
        <v>32877.0</v>
      </c>
      <c r="N4" s="31" t="s">
        <v>34</v>
      </c>
      <c r="O4" s="31">
        <v>25.0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1.03336195E8</v>
      </c>
      <c r="B5" s="31" t="s">
        <v>38</v>
      </c>
      <c r="C5" s="32">
        <v>9.5721232E7</v>
      </c>
      <c r="D5" s="32">
        <v>2625490.0</v>
      </c>
      <c r="E5" s="32">
        <v>4.071748196E9</v>
      </c>
      <c r="F5" s="32">
        <v>1.8939597E7</v>
      </c>
      <c r="G5" s="32">
        <v>5.4652872E7</v>
      </c>
      <c r="H5" s="32">
        <v>1.28038388E8</v>
      </c>
      <c r="I5" s="32">
        <v>1.37699932E8</v>
      </c>
      <c r="J5" s="32">
        <v>0.0</v>
      </c>
      <c r="K5" s="32">
        <v>1.6160550307E10</v>
      </c>
      <c r="L5" s="32">
        <v>3.3832410358E10</v>
      </c>
      <c r="M5" s="32">
        <v>129742.0</v>
      </c>
      <c r="N5" s="31" t="s">
        <v>34</v>
      </c>
      <c r="O5" s="31">
        <v>25.0</v>
      </c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6.2576249E7</v>
      </c>
      <c r="B6" s="31" t="s">
        <v>37</v>
      </c>
      <c r="C6" s="32">
        <v>9.534041E7</v>
      </c>
      <c r="D6" s="32">
        <v>5997262.0</v>
      </c>
      <c r="E6" s="32">
        <v>3.726358886E9</v>
      </c>
      <c r="F6" s="32">
        <v>2.2903728E7</v>
      </c>
      <c r="G6" s="32">
        <v>1.38135611E8</v>
      </c>
      <c r="H6" s="32">
        <v>1.05943637E8</v>
      </c>
      <c r="I6" s="32">
        <v>1.29228398E8</v>
      </c>
      <c r="J6" s="32">
        <v>0.0</v>
      </c>
      <c r="K6" s="32">
        <v>2.9571284782E10</v>
      </c>
      <c r="L6" s="32">
        <v>3.3959364731E10</v>
      </c>
      <c r="M6" s="32">
        <v>160780.0</v>
      </c>
      <c r="N6" s="31" t="s">
        <v>34</v>
      </c>
      <c r="O6" s="31">
        <v>25.0</v>
      </c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2463403.0</v>
      </c>
      <c r="B7" s="31" t="s">
        <v>39</v>
      </c>
      <c r="C7" s="32">
        <v>9.0367571E7</v>
      </c>
      <c r="D7" s="32">
        <v>6700490.0</v>
      </c>
      <c r="E7" s="32">
        <v>8.061291032E9</v>
      </c>
      <c r="F7" s="32">
        <v>4.1156294E7</v>
      </c>
      <c r="G7" s="32">
        <v>3.0424042E7</v>
      </c>
      <c r="H7" s="32">
        <v>2.06673518E8</v>
      </c>
      <c r="I7" s="32">
        <v>2.9776442E8</v>
      </c>
      <c r="J7" s="32">
        <v>0.0</v>
      </c>
      <c r="K7" s="32">
        <v>3.0309485075E10</v>
      </c>
      <c r="L7" s="32">
        <v>1.0256888908E10</v>
      </c>
      <c r="M7" s="32">
        <v>280665.0</v>
      </c>
      <c r="N7" s="31" t="s">
        <v>34</v>
      </c>
      <c r="O7" s="31">
        <v>25.0</v>
      </c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7.9650085E7</v>
      </c>
      <c r="B8" s="31" t="s">
        <v>41</v>
      </c>
      <c r="C8" s="32">
        <v>8.8005339E7</v>
      </c>
      <c r="D8" s="32">
        <v>6109780.0</v>
      </c>
      <c r="E8" s="32">
        <v>2.021336942E9</v>
      </c>
      <c r="F8" s="32">
        <v>1.3602965E7</v>
      </c>
      <c r="G8" s="32">
        <v>3.4603542E7</v>
      </c>
      <c r="H8" s="32">
        <v>6.0282327E7</v>
      </c>
      <c r="I8" s="32">
        <v>6.9810442E7</v>
      </c>
      <c r="J8" s="32">
        <v>0.0</v>
      </c>
      <c r="K8" s="32">
        <v>1.6440880858E10</v>
      </c>
      <c r="L8" s="32">
        <v>1.5141538986E10</v>
      </c>
      <c r="M8" s="32">
        <v>105557.0</v>
      </c>
      <c r="N8" s="31" t="s">
        <v>34</v>
      </c>
      <c r="O8" s="31">
        <v>25.0</v>
      </c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6.2691192E7</v>
      </c>
      <c r="B9" s="31" t="s">
        <v>43</v>
      </c>
      <c r="C9" s="32">
        <v>8.70637E7</v>
      </c>
      <c r="D9" s="32">
        <v>1529660.0</v>
      </c>
      <c r="E9" s="32">
        <v>4.93890655E8</v>
      </c>
      <c r="F9" s="32">
        <v>1.8486766E7</v>
      </c>
      <c r="G9" s="32">
        <v>1353556.0</v>
      </c>
      <c r="H9" s="32">
        <v>1.0755283E7</v>
      </c>
      <c r="I9" s="32">
        <v>1.9119738E7</v>
      </c>
      <c r="J9" s="32">
        <v>0.0</v>
      </c>
      <c r="K9" s="32">
        <v>2.108242951E10</v>
      </c>
      <c r="L9" s="32">
        <v>6.538529315E9</v>
      </c>
      <c r="M9" s="32">
        <v>86159.0</v>
      </c>
      <c r="N9" s="31" t="s">
        <v>34</v>
      </c>
      <c r="O9" s="31">
        <v>25.0</v>
      </c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1.71934536E8</v>
      </c>
      <c r="B10" s="31" t="s">
        <v>61</v>
      </c>
      <c r="C10" s="32">
        <v>8.6909776E7</v>
      </c>
      <c r="D10" s="32">
        <v>1650774.0</v>
      </c>
      <c r="E10" s="32">
        <v>7.28045793E8</v>
      </c>
      <c r="F10" s="32">
        <v>2526075.0</v>
      </c>
      <c r="G10" s="32">
        <v>2.2195607E7</v>
      </c>
      <c r="H10" s="32">
        <v>2.4636205E7</v>
      </c>
      <c r="I10" s="32">
        <v>2.2489513E7</v>
      </c>
      <c r="J10" s="32">
        <v>0.0</v>
      </c>
      <c r="K10" s="32">
        <v>1.5679561274E10</v>
      </c>
      <c r="L10" s="32">
        <v>9.58710757E8</v>
      </c>
      <c r="M10" s="32">
        <v>48133.0</v>
      </c>
      <c r="N10" s="31" t="s">
        <v>34</v>
      </c>
      <c r="O10" s="31">
        <v>25.0</v>
      </c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1.3871553E8</v>
      </c>
      <c r="B11" s="31" t="s">
        <v>62</v>
      </c>
      <c r="C11" s="32">
        <v>8.6547432E7</v>
      </c>
      <c r="D11" s="32">
        <v>1796808.0</v>
      </c>
      <c r="E11" s="32">
        <v>9.06547968E8</v>
      </c>
      <c r="F11" s="32">
        <v>1.579346E7</v>
      </c>
      <c r="G11" s="32">
        <v>4.9055881E7</v>
      </c>
      <c r="H11" s="32">
        <v>2.517526E7</v>
      </c>
      <c r="I11" s="32">
        <v>3.1989283E7</v>
      </c>
      <c r="J11" s="32">
        <v>0.0</v>
      </c>
      <c r="K11" s="32">
        <v>1.9849513166E10</v>
      </c>
      <c r="L11" s="32">
        <v>4.647127866E9</v>
      </c>
      <c r="M11" s="32">
        <v>120694.0</v>
      </c>
      <c r="N11" s="31" t="s">
        <v>34</v>
      </c>
      <c r="O11" s="31">
        <v>25.0</v>
      </c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1.1726598E7</v>
      </c>
      <c r="B12" s="31" t="s">
        <v>42</v>
      </c>
      <c r="C12" s="32">
        <v>8.6196341E7</v>
      </c>
      <c r="D12" s="32">
        <v>2095056.0</v>
      </c>
      <c r="E12" s="32">
        <v>9.500770602E9</v>
      </c>
      <c r="F12" s="32">
        <v>2.8439075E7</v>
      </c>
      <c r="G12" s="32">
        <v>8.4598811E7</v>
      </c>
      <c r="H12" s="32">
        <v>2.18679647E8</v>
      </c>
      <c r="I12" s="32">
        <v>3.61589335E8</v>
      </c>
      <c r="J12" s="32">
        <v>3821128.0</v>
      </c>
      <c r="K12" s="32">
        <v>2.3648744398E10</v>
      </c>
      <c r="L12" s="32">
        <v>3.1475752765E10</v>
      </c>
      <c r="M12" s="32">
        <v>179234.0</v>
      </c>
      <c r="N12" s="31" t="s">
        <v>34</v>
      </c>
      <c r="O12" s="31">
        <v>25.0</v>
      </c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6.7071592E7</v>
      </c>
      <c r="B13" s="31" t="s">
        <v>45</v>
      </c>
      <c r="C13" s="32">
        <v>8.59623E7</v>
      </c>
      <c r="D13" s="32">
        <v>1668874.0</v>
      </c>
      <c r="E13" s="32">
        <v>1.0384372382E10</v>
      </c>
      <c r="F13" s="32">
        <v>3.0146979E7</v>
      </c>
      <c r="G13" s="32">
        <v>8.1393051E7</v>
      </c>
      <c r="H13" s="32">
        <v>3.91494651E8</v>
      </c>
      <c r="I13" s="32">
        <v>3.16524772E8</v>
      </c>
      <c r="J13" s="32">
        <v>1804833.0</v>
      </c>
      <c r="K13" s="32">
        <v>3.7625218192E10</v>
      </c>
      <c r="L13" s="32">
        <v>2.5991215882E10</v>
      </c>
      <c r="M13" s="32">
        <v>232906.0</v>
      </c>
      <c r="N13" s="31" t="s">
        <v>34</v>
      </c>
      <c r="O13" s="31">
        <v>25.0</v>
      </c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2.7578537E7</v>
      </c>
      <c r="B14" s="31" t="s">
        <v>48</v>
      </c>
      <c r="C14" s="32">
        <v>8.5836428E7</v>
      </c>
      <c r="D14" s="32">
        <v>6978049.0</v>
      </c>
      <c r="E14" s="32">
        <v>3.273577513E9</v>
      </c>
      <c r="F14" s="32">
        <v>2.6017941E7</v>
      </c>
      <c r="G14" s="32">
        <v>3.4859699E7</v>
      </c>
      <c r="H14" s="32">
        <v>1.04940509E8</v>
      </c>
      <c r="I14" s="32">
        <v>1.09366473E8</v>
      </c>
      <c r="J14" s="32">
        <v>0.0</v>
      </c>
      <c r="K14" s="32">
        <v>2.6561318276E10</v>
      </c>
      <c r="L14" s="32">
        <v>3.4605377792E10</v>
      </c>
      <c r="M14" s="32">
        <v>108184.0</v>
      </c>
      <c r="N14" s="31" t="s">
        <v>34</v>
      </c>
      <c r="O14" s="31">
        <v>25.0</v>
      </c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6.4010776E7</v>
      </c>
      <c r="B15" s="31" t="s">
        <v>63</v>
      </c>
      <c r="C15" s="32">
        <v>8.5227518E7</v>
      </c>
      <c r="D15" s="32">
        <v>4379365.0</v>
      </c>
      <c r="E15" s="32">
        <v>2.453038112E9</v>
      </c>
      <c r="F15" s="32">
        <v>1.9483092E7</v>
      </c>
      <c r="G15" s="32">
        <v>3.5105324E7</v>
      </c>
      <c r="H15" s="32">
        <v>8.1257599E7</v>
      </c>
      <c r="I15" s="32">
        <v>7.9713168E7</v>
      </c>
      <c r="J15" s="32">
        <v>0.0</v>
      </c>
      <c r="K15" s="32">
        <v>2.0533962094E10</v>
      </c>
      <c r="L15" s="32">
        <v>3.2032279846E10</v>
      </c>
      <c r="M15" s="32">
        <v>109801.0</v>
      </c>
      <c r="N15" s="31" t="s">
        <v>34</v>
      </c>
      <c r="O15" s="31">
        <v>25.0</v>
      </c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6.3222201E7</v>
      </c>
      <c r="B16" s="31" t="s">
        <v>64</v>
      </c>
      <c r="C16" s="32">
        <v>8.3375394E7</v>
      </c>
      <c r="D16" s="32">
        <v>3369790.0</v>
      </c>
      <c r="E16" s="32">
        <v>1.983198202E9</v>
      </c>
      <c r="F16" s="32">
        <v>1.8936285E7</v>
      </c>
      <c r="G16" s="32">
        <v>2.1587022E7</v>
      </c>
      <c r="H16" s="32">
        <v>7.9759209E7</v>
      </c>
      <c r="I16" s="32">
        <v>5.7778299E7</v>
      </c>
      <c r="J16" s="32">
        <v>0.0</v>
      </c>
      <c r="K16" s="32">
        <v>3.3660703301E10</v>
      </c>
      <c r="L16" s="32">
        <v>1.1337447834E10</v>
      </c>
      <c r="M16" s="32">
        <v>83235.0</v>
      </c>
      <c r="N16" s="31" t="s">
        <v>34</v>
      </c>
      <c r="O16" s="31">
        <v>25.0</v>
      </c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7.7394861E7</v>
      </c>
      <c r="B17" s="31" t="s">
        <v>50</v>
      </c>
      <c r="C17" s="32">
        <v>8.2339121E7</v>
      </c>
      <c r="D17" s="32">
        <v>3763445.0</v>
      </c>
      <c r="E17" s="32">
        <v>2.738681138E9</v>
      </c>
      <c r="F17" s="32">
        <v>1.7927521E7</v>
      </c>
      <c r="G17" s="32">
        <v>2080373.0</v>
      </c>
      <c r="H17" s="32">
        <v>9.5256703E7</v>
      </c>
      <c r="I17" s="32">
        <v>8.9162161E7</v>
      </c>
      <c r="J17" s="32">
        <v>0.0</v>
      </c>
      <c r="K17" s="32">
        <v>2.8634997738E10</v>
      </c>
      <c r="L17" s="32">
        <v>6.7819671155E10</v>
      </c>
      <c r="M17" s="32">
        <v>185700.0</v>
      </c>
      <c r="N17" s="31" t="s">
        <v>34</v>
      </c>
      <c r="O17" s="31">
        <v>25.0</v>
      </c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1.44109282E8</v>
      </c>
      <c r="B18" s="31" t="s">
        <v>364</v>
      </c>
      <c r="C18" s="32">
        <v>8.2275571E7</v>
      </c>
      <c r="D18" s="32">
        <v>1941442.0</v>
      </c>
      <c r="E18" s="32">
        <v>1.074006804E9</v>
      </c>
      <c r="F18" s="32">
        <v>8420359.0</v>
      </c>
      <c r="G18" s="32">
        <v>1.8074837E8</v>
      </c>
      <c r="H18" s="32">
        <v>4.0456381E7</v>
      </c>
      <c r="I18" s="32">
        <v>3.1359699E7</v>
      </c>
      <c r="J18" s="32">
        <v>0.0</v>
      </c>
      <c r="K18" s="32">
        <v>1.8247703135E10</v>
      </c>
      <c r="L18" s="32">
        <v>4.628200002E9</v>
      </c>
      <c r="M18" s="32">
        <v>76709.0</v>
      </c>
      <c r="N18" s="31" t="s">
        <v>34</v>
      </c>
      <c r="O18" s="31">
        <v>25.0</v>
      </c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4.8741756E7</v>
      </c>
      <c r="B19" s="31" t="s">
        <v>51</v>
      </c>
      <c r="C19" s="32">
        <v>8.2258496E7</v>
      </c>
      <c r="D19" s="32">
        <v>7324698.0</v>
      </c>
      <c r="E19" s="32">
        <v>3.127372051E9</v>
      </c>
      <c r="F19" s="32">
        <v>2.4360001E7</v>
      </c>
      <c r="G19" s="32">
        <v>6.9252136E7</v>
      </c>
      <c r="H19" s="32">
        <v>1.25226217E8</v>
      </c>
      <c r="I19" s="32">
        <v>9.2160936E7</v>
      </c>
      <c r="J19" s="32">
        <v>804578.0</v>
      </c>
      <c r="K19" s="32">
        <v>2.0987033656E10</v>
      </c>
      <c r="L19" s="32">
        <v>2.2698319519E10</v>
      </c>
      <c r="M19" s="32">
        <v>166862.0</v>
      </c>
      <c r="N19" s="31" t="s">
        <v>34</v>
      </c>
      <c r="O19" s="31">
        <v>25.0</v>
      </c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7.1152824E7</v>
      </c>
      <c r="B20" s="31" t="s">
        <v>67</v>
      </c>
      <c r="C20" s="32">
        <v>8.2214356E7</v>
      </c>
      <c r="D20" s="32">
        <v>1153080.0</v>
      </c>
      <c r="E20" s="32">
        <v>1.870976143E9</v>
      </c>
      <c r="F20" s="32">
        <v>1.8266128E7</v>
      </c>
      <c r="G20" s="32">
        <v>6.7889276E7</v>
      </c>
      <c r="H20" s="32">
        <v>7.2754066E7</v>
      </c>
      <c r="I20" s="32">
        <v>5.5116617E7</v>
      </c>
      <c r="J20" s="32">
        <v>313500.0</v>
      </c>
      <c r="K20" s="32">
        <v>2.4381964041E10</v>
      </c>
      <c r="L20" s="32">
        <v>1.1097140581E10</v>
      </c>
      <c r="M20" s="32">
        <v>58727.0</v>
      </c>
      <c r="N20" s="31" t="s">
        <v>34</v>
      </c>
      <c r="O20" s="31">
        <v>25.0</v>
      </c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9.8107237E7</v>
      </c>
      <c r="B21" s="31" t="s">
        <v>68</v>
      </c>
      <c r="C21" s="32">
        <v>8.1505304E7</v>
      </c>
      <c r="D21" s="32">
        <v>7473465.0</v>
      </c>
      <c r="E21" s="32">
        <v>2.838791148E9</v>
      </c>
      <c r="F21" s="32">
        <v>1.8507076E7</v>
      </c>
      <c r="G21" s="32">
        <v>2179180.0</v>
      </c>
      <c r="H21" s="32">
        <v>6.8103973E7</v>
      </c>
      <c r="I21" s="32">
        <v>1.07674009E8</v>
      </c>
      <c r="J21" s="32">
        <v>0.0</v>
      </c>
      <c r="K21" s="32">
        <v>3.6308057114E10</v>
      </c>
      <c r="L21" s="32">
        <v>1.1577531851E10</v>
      </c>
      <c r="M21" s="32">
        <v>92969.0</v>
      </c>
      <c r="N21" s="31" t="s">
        <v>34</v>
      </c>
      <c r="O21" s="31">
        <v>25.0</v>
      </c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7.1613822E7</v>
      </c>
      <c r="B22" s="31" t="s">
        <v>69</v>
      </c>
      <c r="C22" s="32">
        <v>8.1469722E7</v>
      </c>
      <c r="D22" s="32">
        <v>6708480.0</v>
      </c>
      <c r="E22" s="32">
        <v>2.174919522E9</v>
      </c>
      <c r="F22" s="32">
        <v>2.9888813E7</v>
      </c>
      <c r="G22" s="32">
        <v>4.9328971E7</v>
      </c>
      <c r="H22" s="32">
        <v>7.6348594E7</v>
      </c>
      <c r="I22" s="32">
        <v>6.9032122E7</v>
      </c>
      <c r="J22" s="32">
        <v>0.0</v>
      </c>
      <c r="K22" s="32">
        <v>2.5198496641E10</v>
      </c>
      <c r="L22" s="32">
        <v>6.777284955E9</v>
      </c>
      <c r="M22" s="32">
        <v>104402.0</v>
      </c>
      <c r="N22" s="31" t="s">
        <v>34</v>
      </c>
      <c r="O22" s="31">
        <v>25.0</v>
      </c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1.71701107E8</v>
      </c>
      <c r="B23" s="31" t="s">
        <v>73</v>
      </c>
      <c r="C23" s="32">
        <v>8.1443239E7</v>
      </c>
      <c r="D23" s="32">
        <v>485579.0</v>
      </c>
      <c r="E23" s="32">
        <v>6.33774544E8</v>
      </c>
      <c r="F23" s="32">
        <v>3145075.0</v>
      </c>
      <c r="G23" s="32">
        <v>5744360.0</v>
      </c>
      <c r="H23" s="32">
        <v>1.9576617E7</v>
      </c>
      <c r="I23" s="32">
        <v>2.1617604E7</v>
      </c>
      <c r="J23" s="32">
        <v>0.0</v>
      </c>
      <c r="K23" s="32">
        <v>1.0589604187E10</v>
      </c>
      <c r="L23" s="32">
        <v>4.054918782E9</v>
      </c>
      <c r="M23" s="32">
        <v>29411.0</v>
      </c>
      <c r="N23" s="31" t="s">
        <v>34</v>
      </c>
      <c r="O23" s="31">
        <v>25.0</v>
      </c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1.6942777E8</v>
      </c>
      <c r="B24" s="31" t="s">
        <v>71</v>
      </c>
      <c r="C24" s="32">
        <v>7.9858096E7</v>
      </c>
      <c r="D24" s="32">
        <v>8089030.0</v>
      </c>
      <c r="E24" s="32">
        <v>8.11540602E8</v>
      </c>
      <c r="F24" s="32">
        <v>9847625.0</v>
      </c>
      <c r="G24" s="32">
        <v>2495952.0</v>
      </c>
      <c r="H24" s="32">
        <v>2.7188246E7</v>
      </c>
      <c r="I24" s="32">
        <v>2.6633853E7</v>
      </c>
      <c r="J24" s="32">
        <v>0.0</v>
      </c>
      <c r="K24" s="32">
        <v>1.9144920679E10</v>
      </c>
      <c r="L24" s="32">
        <v>7.46897086E8</v>
      </c>
      <c r="M24" s="32">
        <v>109600.0</v>
      </c>
      <c r="N24" s="31" t="s">
        <v>34</v>
      </c>
      <c r="O24" s="31">
        <v>25.0</v>
      </c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7.4556991E7</v>
      </c>
      <c r="B25" s="31" t="s">
        <v>53</v>
      </c>
      <c r="C25" s="32">
        <v>7.92596E7</v>
      </c>
      <c r="D25" s="32">
        <v>6573726.0</v>
      </c>
      <c r="E25" s="32">
        <v>2.870572881E9</v>
      </c>
      <c r="F25" s="32">
        <v>1.4581752E7</v>
      </c>
      <c r="G25" s="32">
        <v>5996255.0</v>
      </c>
      <c r="H25" s="32">
        <v>5.4402349E7</v>
      </c>
      <c r="I25" s="32">
        <v>1.16019488E8</v>
      </c>
      <c r="J25" s="32">
        <v>0.0</v>
      </c>
      <c r="K25" s="32">
        <v>1.8674520929E10</v>
      </c>
      <c r="L25" s="32">
        <v>5.747143886E9</v>
      </c>
      <c r="M25" s="32">
        <v>133613.0</v>
      </c>
      <c r="N25" s="31" t="s">
        <v>34</v>
      </c>
      <c r="O25" s="31">
        <v>25.0</v>
      </c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1.56479771E8</v>
      </c>
      <c r="B26" s="31" t="s">
        <v>70</v>
      </c>
      <c r="C26" s="32">
        <v>7.8733916E7</v>
      </c>
      <c r="D26" s="32">
        <v>1442654.0</v>
      </c>
      <c r="E26" s="32">
        <v>1.692690259E9</v>
      </c>
      <c r="F26" s="32">
        <v>1.0568569E7</v>
      </c>
      <c r="G26" s="32">
        <v>4.0075276E7</v>
      </c>
      <c r="H26" s="32">
        <v>7.0817004E7</v>
      </c>
      <c r="I26" s="32">
        <v>4.6832737E7</v>
      </c>
      <c r="J26" s="32">
        <v>0.0</v>
      </c>
      <c r="K26" s="32">
        <v>1.6924028875E10</v>
      </c>
      <c r="L26" s="32">
        <v>1.0971487032E10</v>
      </c>
      <c r="M26" s="32">
        <v>97116.0</v>
      </c>
      <c r="N26" s="31" t="s">
        <v>34</v>
      </c>
      <c r="O26" s="31">
        <v>25.0</v>
      </c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1.71503078E8</v>
      </c>
      <c r="B27" s="31" t="s">
        <v>72</v>
      </c>
      <c r="C27" s="32">
        <v>7.7796912E7</v>
      </c>
      <c r="D27" s="32">
        <v>3420735.0</v>
      </c>
      <c r="E27" s="32">
        <v>1.481376399E9</v>
      </c>
      <c r="F27" s="32">
        <v>3526719.0</v>
      </c>
      <c r="G27" s="32">
        <v>1.6266335E7</v>
      </c>
      <c r="H27" s="32">
        <v>3.1592453E7</v>
      </c>
      <c r="I27" s="32">
        <v>5.6319089E7</v>
      </c>
      <c r="J27" s="32">
        <v>0.0</v>
      </c>
      <c r="K27" s="32">
        <v>1.9839903215E10</v>
      </c>
      <c r="L27" s="32">
        <v>5.03800407E9</v>
      </c>
      <c r="M27" s="32">
        <v>64400.0</v>
      </c>
      <c r="N27" s="31" t="s">
        <v>34</v>
      </c>
      <c r="O27" s="31">
        <v>25.0</v>
      </c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1.66497805E8</v>
      </c>
      <c r="B28" s="31" t="s">
        <v>77</v>
      </c>
      <c r="C28" s="32">
        <v>7.7067517E7</v>
      </c>
      <c r="D28" s="32">
        <v>2200481.0</v>
      </c>
      <c r="E28" s="32">
        <v>6.25782216E8</v>
      </c>
      <c r="F28" s="32">
        <v>5364231.0</v>
      </c>
      <c r="G28" s="32">
        <v>2158221.0</v>
      </c>
      <c r="H28" s="32">
        <v>2.6298524E7</v>
      </c>
      <c r="I28" s="32">
        <v>1.7608945E7</v>
      </c>
      <c r="J28" s="32">
        <v>0.0</v>
      </c>
      <c r="K28" s="32">
        <v>1.5759699873E10</v>
      </c>
      <c r="L28" s="32">
        <v>3.66763729E8</v>
      </c>
      <c r="M28" s="32">
        <v>65390.0</v>
      </c>
      <c r="N28" s="31" t="s">
        <v>34</v>
      </c>
      <c r="O28" s="31">
        <v>25.0</v>
      </c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1.41154852E8</v>
      </c>
      <c r="B29" s="31" t="s">
        <v>76</v>
      </c>
      <c r="C29" s="32">
        <v>7.6421983E7</v>
      </c>
      <c r="D29" s="32">
        <v>8090339.0</v>
      </c>
      <c r="E29" s="32">
        <v>2.787578812E9</v>
      </c>
      <c r="F29" s="32">
        <v>1.292219E7</v>
      </c>
      <c r="G29" s="32">
        <v>3.258296E7</v>
      </c>
      <c r="H29" s="32">
        <v>1.16560322E8</v>
      </c>
      <c r="I29" s="32">
        <v>7.8581166E7</v>
      </c>
      <c r="J29" s="32">
        <v>0.0</v>
      </c>
      <c r="K29" s="32">
        <v>1.700257778E10</v>
      </c>
      <c r="L29" s="32">
        <v>6.166357243E9</v>
      </c>
      <c r="M29" s="32">
        <v>70728.0</v>
      </c>
      <c r="N29" s="31" t="s">
        <v>34</v>
      </c>
      <c r="O29" s="31">
        <v>25.0</v>
      </c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1.77526978E8</v>
      </c>
      <c r="B30" s="31" t="s">
        <v>74</v>
      </c>
      <c r="C30" s="32">
        <v>7.6396596E7</v>
      </c>
      <c r="D30" s="32">
        <v>1140842.0</v>
      </c>
      <c r="E30" s="32">
        <v>1.05571066E8</v>
      </c>
      <c r="F30" s="32">
        <v>3189237.0</v>
      </c>
      <c r="G30" s="32">
        <v>6554003.0</v>
      </c>
      <c r="H30" s="32">
        <v>3588587.0</v>
      </c>
      <c r="I30" s="32">
        <v>3347183.0</v>
      </c>
      <c r="J30" s="32">
        <v>0.0</v>
      </c>
      <c r="K30" s="32">
        <v>1.030281636E10</v>
      </c>
      <c r="L30" s="32">
        <v>1.2251382248E10</v>
      </c>
      <c r="M30" s="32">
        <v>25851.0</v>
      </c>
      <c r="N30" s="31" t="s">
        <v>34</v>
      </c>
      <c r="O30" s="31">
        <v>25.0</v>
      </c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1.69247313E8</v>
      </c>
      <c r="B31" s="31" t="s">
        <v>75</v>
      </c>
      <c r="C31" s="32">
        <v>7.638926E7</v>
      </c>
      <c r="D31" s="32">
        <v>1.1380099E7</v>
      </c>
      <c r="E31" s="32">
        <v>5.04970419E8</v>
      </c>
      <c r="F31" s="32">
        <v>9559898.0</v>
      </c>
      <c r="G31" s="32">
        <v>4305019.0</v>
      </c>
      <c r="H31" s="32">
        <v>1.825922E7</v>
      </c>
      <c r="I31" s="32">
        <v>1.5218345E7</v>
      </c>
      <c r="J31" s="32">
        <v>0.0</v>
      </c>
      <c r="K31" s="32">
        <v>2.09773517E10</v>
      </c>
      <c r="L31" s="32">
        <v>2.438931466E9</v>
      </c>
      <c r="M31" s="32">
        <v>107175.0</v>
      </c>
      <c r="N31" s="31" t="s">
        <v>34</v>
      </c>
      <c r="O31" s="31">
        <v>25.0</v>
      </c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1.66871338E8</v>
      </c>
      <c r="B32" s="31" t="s">
        <v>78</v>
      </c>
      <c r="C32" s="32">
        <v>7.6000347E7</v>
      </c>
      <c r="D32" s="32">
        <v>3850056.0</v>
      </c>
      <c r="E32" s="32">
        <v>1.006211536E9</v>
      </c>
      <c r="F32" s="32">
        <v>6943839.0</v>
      </c>
      <c r="G32" s="32">
        <v>9.5965493E7</v>
      </c>
      <c r="H32" s="32">
        <v>6.0906835E7</v>
      </c>
      <c r="I32" s="32">
        <v>1.7767005E7</v>
      </c>
      <c r="J32" s="32">
        <v>0.0</v>
      </c>
      <c r="K32" s="32">
        <v>9.363527998E9</v>
      </c>
      <c r="L32" s="32">
        <v>3.117290499E9</v>
      </c>
      <c r="M32" s="32">
        <v>46395.0</v>
      </c>
      <c r="N32" s="31" t="s">
        <v>34</v>
      </c>
      <c r="O32" s="31">
        <v>25.0</v>
      </c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1.71879011E8</v>
      </c>
      <c r="B33" s="31" t="s">
        <v>80</v>
      </c>
      <c r="C33" s="32">
        <v>7.566524E7</v>
      </c>
      <c r="D33" s="32">
        <v>-4860642.0</v>
      </c>
      <c r="E33" s="32">
        <v>4.05833081E8</v>
      </c>
      <c r="F33" s="32">
        <v>4172915.0</v>
      </c>
      <c r="G33" s="32">
        <v>2.7228708E7</v>
      </c>
      <c r="H33" s="32">
        <v>1.1266323E7</v>
      </c>
      <c r="I33" s="32">
        <v>1.4025181E7</v>
      </c>
      <c r="J33" s="32">
        <v>0.0</v>
      </c>
      <c r="K33" s="32">
        <v>1.5078792246E10</v>
      </c>
      <c r="L33" s="32">
        <v>1.808712272E9</v>
      </c>
      <c r="M33" s="32">
        <v>50342.0</v>
      </c>
      <c r="N33" s="31" t="s">
        <v>34</v>
      </c>
      <c r="O33" s="31">
        <v>25.0</v>
      </c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1.69461237E8</v>
      </c>
      <c r="B34" s="31" t="s">
        <v>82</v>
      </c>
      <c r="C34" s="32">
        <v>7.5203764E7</v>
      </c>
      <c r="D34" s="32">
        <v>-4140.0</v>
      </c>
      <c r="E34" s="32">
        <v>3.74816162E8</v>
      </c>
      <c r="F34" s="32">
        <v>3971161.0</v>
      </c>
      <c r="G34" s="32">
        <v>3057052.0</v>
      </c>
      <c r="H34" s="32">
        <v>2.3104818E7</v>
      </c>
      <c r="I34" s="32">
        <v>5769663.0</v>
      </c>
      <c r="J34" s="32">
        <v>0.0</v>
      </c>
      <c r="K34" s="32">
        <v>3.539523329E9</v>
      </c>
      <c r="L34" s="32">
        <v>4.1058231616E10</v>
      </c>
      <c r="M34" s="32">
        <v>20784.0</v>
      </c>
      <c r="N34" s="31" t="s">
        <v>34</v>
      </c>
      <c r="O34" s="31">
        <v>25.0</v>
      </c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1.72041454E8</v>
      </c>
      <c r="B35" s="31" t="s">
        <v>87</v>
      </c>
      <c r="C35" s="32">
        <v>7.484626E7</v>
      </c>
      <c r="D35" s="32">
        <v>8315530.0</v>
      </c>
      <c r="E35" s="32">
        <v>5.21272617E8</v>
      </c>
      <c r="F35" s="32">
        <v>7897711.0</v>
      </c>
      <c r="G35" s="32">
        <v>2.7020696E7</v>
      </c>
      <c r="H35" s="32">
        <v>2.1354051E7</v>
      </c>
      <c r="I35" s="32">
        <v>1.4702791E7</v>
      </c>
      <c r="J35" s="32">
        <v>0.0</v>
      </c>
      <c r="K35" s="32">
        <v>1.1221583181E10</v>
      </c>
      <c r="L35" s="32">
        <v>1.091560618E9</v>
      </c>
      <c r="M35" s="32">
        <v>53018.0</v>
      </c>
      <c r="N35" s="31" t="s">
        <v>34</v>
      </c>
      <c r="O35" s="31">
        <v>25.0</v>
      </c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1.20029911E8</v>
      </c>
      <c r="B36" s="31" t="s">
        <v>79</v>
      </c>
      <c r="C36" s="32">
        <v>7.448029E7</v>
      </c>
      <c r="D36" s="32">
        <v>4171650.0</v>
      </c>
      <c r="E36" s="32">
        <v>1.015526745E9</v>
      </c>
      <c r="F36" s="32">
        <v>1.1128312E7</v>
      </c>
      <c r="G36" s="32">
        <v>1.2500936E7</v>
      </c>
      <c r="H36" s="32">
        <v>4.4554698E7</v>
      </c>
      <c r="I36" s="32">
        <v>2.6876357E7</v>
      </c>
      <c r="J36" s="32">
        <v>135423.0</v>
      </c>
      <c r="K36" s="32">
        <v>1.0962178422E10</v>
      </c>
      <c r="L36" s="32">
        <v>1.7074234312E10</v>
      </c>
      <c r="M36" s="32">
        <v>54140.0</v>
      </c>
      <c r="N36" s="31" t="s">
        <v>34</v>
      </c>
      <c r="O36" s="31">
        <v>25.0</v>
      </c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1.72021868E8</v>
      </c>
      <c r="B37" s="31" t="s">
        <v>81</v>
      </c>
      <c r="C37" s="32">
        <v>7.4308E7</v>
      </c>
      <c r="D37" s="32">
        <v>4728000.0</v>
      </c>
      <c r="E37" s="32">
        <v>1.12954776E9</v>
      </c>
      <c r="F37" s="32">
        <v>4005439.0</v>
      </c>
      <c r="G37" s="32">
        <v>1.78215E7</v>
      </c>
      <c r="H37" s="32">
        <v>1.6266708E7</v>
      </c>
      <c r="I37" s="32">
        <v>4.8074265E7</v>
      </c>
      <c r="J37" s="32">
        <v>0.0</v>
      </c>
      <c r="K37" s="32">
        <v>9.726314601E9</v>
      </c>
      <c r="L37" s="32">
        <v>1.557709172E9</v>
      </c>
      <c r="M37" s="32">
        <v>85149.0</v>
      </c>
      <c r="N37" s="31" t="s">
        <v>34</v>
      </c>
      <c r="O37" s="31">
        <v>25.0</v>
      </c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7887352.0</v>
      </c>
      <c r="B38" s="31" t="s">
        <v>83</v>
      </c>
      <c r="C38" s="32">
        <v>7.4279276E7</v>
      </c>
      <c r="D38" s="32">
        <v>189930.0</v>
      </c>
      <c r="E38" s="32">
        <v>2.194116467E9</v>
      </c>
      <c r="F38" s="32">
        <v>1.6583036E7</v>
      </c>
      <c r="G38" s="32">
        <v>3.4656895E7</v>
      </c>
      <c r="H38" s="32">
        <v>7.0560932E7</v>
      </c>
      <c r="I38" s="32">
        <v>7.3835283E7</v>
      </c>
      <c r="J38" s="32">
        <v>0.0</v>
      </c>
      <c r="K38" s="32">
        <v>1.667304592E10</v>
      </c>
      <c r="L38" s="32">
        <v>1.2713533366E10</v>
      </c>
      <c r="M38" s="32">
        <v>45970.0</v>
      </c>
      <c r="N38" s="31" t="s">
        <v>34</v>
      </c>
      <c r="O38" s="31">
        <v>25.0</v>
      </c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1.71491377E8</v>
      </c>
      <c r="B39" s="31" t="s">
        <v>84</v>
      </c>
      <c r="C39" s="32">
        <v>7.4092915E7</v>
      </c>
      <c r="D39" s="32">
        <v>2284117.0</v>
      </c>
      <c r="E39" s="32">
        <v>5.22106936E8</v>
      </c>
      <c r="F39" s="32">
        <v>3758072.0</v>
      </c>
      <c r="G39" s="32">
        <v>3173440.0</v>
      </c>
      <c r="H39" s="32">
        <v>1.0961757E7</v>
      </c>
      <c r="I39" s="32">
        <v>2.0502835E7</v>
      </c>
      <c r="J39" s="32">
        <v>0.0</v>
      </c>
      <c r="K39" s="32">
        <v>1.3165457925E10</v>
      </c>
      <c r="L39" s="32">
        <v>1.120422782E9</v>
      </c>
      <c r="M39" s="32">
        <v>53282.0</v>
      </c>
      <c r="N39" s="31" t="s">
        <v>34</v>
      </c>
      <c r="O39" s="31">
        <v>25.0</v>
      </c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1.71604682E8</v>
      </c>
      <c r="B40" s="31" t="s">
        <v>86</v>
      </c>
      <c r="C40" s="32">
        <v>7.2988302E7</v>
      </c>
      <c r="D40" s="32">
        <v>5417496.0</v>
      </c>
      <c r="E40" s="32">
        <v>1.390153936E9</v>
      </c>
      <c r="F40" s="32">
        <v>6623206.0</v>
      </c>
      <c r="G40" s="32">
        <v>1.1985612E7</v>
      </c>
      <c r="H40" s="32">
        <v>4.9622991E7</v>
      </c>
      <c r="I40" s="32">
        <v>4.2585254E7</v>
      </c>
      <c r="J40" s="32">
        <v>0.0</v>
      </c>
      <c r="K40" s="32">
        <v>9.548803392E9</v>
      </c>
      <c r="L40" s="32">
        <v>1.590720264E9</v>
      </c>
      <c r="M40" s="32">
        <v>61329.0</v>
      </c>
      <c r="N40" s="31" t="s">
        <v>34</v>
      </c>
      <c r="O40" s="31">
        <v>25.0</v>
      </c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1.71355737E8</v>
      </c>
      <c r="B41" s="31" t="s">
        <v>85</v>
      </c>
      <c r="C41" s="32">
        <v>7.2601197E7</v>
      </c>
      <c r="D41" s="32">
        <v>8571557.0</v>
      </c>
      <c r="E41" s="32">
        <v>7.39440063E8</v>
      </c>
      <c r="F41" s="32">
        <v>5188778.0</v>
      </c>
      <c r="G41" s="32">
        <v>6775155.0</v>
      </c>
      <c r="H41" s="32">
        <v>2.73789E7</v>
      </c>
      <c r="I41" s="32">
        <v>2.3024713E7</v>
      </c>
      <c r="J41" s="32">
        <v>0.0</v>
      </c>
      <c r="K41" s="32">
        <v>1.3792201315E10</v>
      </c>
      <c r="L41" s="32">
        <v>7.894546118E9</v>
      </c>
      <c r="M41" s="32">
        <v>80166.0</v>
      </c>
      <c r="N41" s="31" t="s">
        <v>34</v>
      </c>
      <c r="O41" s="31">
        <v>25.0</v>
      </c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1.4461836E8</v>
      </c>
      <c r="B42" s="31" t="s">
        <v>116</v>
      </c>
      <c r="C42" s="32">
        <v>7.2249804E7</v>
      </c>
      <c r="D42" s="32">
        <v>2181968.0</v>
      </c>
      <c r="E42" s="32">
        <v>3.00609808E8</v>
      </c>
      <c r="F42" s="32">
        <v>3896410.0</v>
      </c>
      <c r="G42" s="32">
        <v>1710212.0</v>
      </c>
      <c r="H42" s="32">
        <v>9878170.0</v>
      </c>
      <c r="I42" s="32">
        <v>9897957.0</v>
      </c>
      <c r="J42" s="32">
        <v>0.0</v>
      </c>
      <c r="K42" s="32">
        <v>9.234198171E9</v>
      </c>
      <c r="L42" s="32">
        <v>5.76487787E8</v>
      </c>
      <c r="M42" s="32">
        <v>42440.0</v>
      </c>
      <c r="N42" s="31" t="s">
        <v>34</v>
      </c>
      <c r="O42" s="31">
        <v>25.0</v>
      </c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1.70866748E8</v>
      </c>
      <c r="B43" s="31" t="s">
        <v>97</v>
      </c>
      <c r="C43" s="32">
        <v>7.1892439E7</v>
      </c>
      <c r="D43" s="32">
        <v>-3587245.0</v>
      </c>
      <c r="E43" s="32">
        <v>6.41573875E8</v>
      </c>
      <c r="F43" s="32">
        <v>5796966.0</v>
      </c>
      <c r="G43" s="32">
        <v>1157986.0</v>
      </c>
      <c r="H43" s="32">
        <v>9181290.0</v>
      </c>
      <c r="I43" s="32">
        <v>2.7411905E7</v>
      </c>
      <c r="J43" s="32">
        <v>0.0</v>
      </c>
      <c r="K43" s="32">
        <v>1.5194853493E10</v>
      </c>
      <c r="L43" s="32">
        <v>2.677127733E9</v>
      </c>
      <c r="M43" s="32">
        <v>33499.0</v>
      </c>
      <c r="N43" s="31" t="s">
        <v>34</v>
      </c>
      <c r="O43" s="31">
        <v>25.0</v>
      </c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1.71927851E8</v>
      </c>
      <c r="B44" s="31" t="s">
        <v>96</v>
      </c>
      <c r="C44" s="32">
        <v>7.162587E7</v>
      </c>
      <c r="D44" s="32">
        <v>-170174.0</v>
      </c>
      <c r="E44" s="32">
        <v>3.37185583E8</v>
      </c>
      <c r="F44" s="32">
        <v>2789101.0</v>
      </c>
      <c r="G44" s="32">
        <v>9960405.0</v>
      </c>
      <c r="H44" s="32">
        <v>5494780.0</v>
      </c>
      <c r="I44" s="32">
        <v>1.3929667E7</v>
      </c>
      <c r="J44" s="32">
        <v>0.0</v>
      </c>
      <c r="K44" s="32">
        <v>9.810890503E9</v>
      </c>
      <c r="L44" s="32">
        <v>1.11744E8</v>
      </c>
      <c r="M44" s="32">
        <v>30758.0</v>
      </c>
      <c r="N44" s="31" t="s">
        <v>34</v>
      </c>
      <c r="O44" s="31">
        <v>25.0</v>
      </c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1.71972257E8</v>
      </c>
      <c r="B45" s="31" t="s">
        <v>90</v>
      </c>
      <c r="C45" s="32">
        <v>7.156179E7</v>
      </c>
      <c r="D45" s="32">
        <v>-4816.0</v>
      </c>
      <c r="E45" s="32">
        <v>6.56822211E8</v>
      </c>
      <c r="F45" s="32">
        <v>5429701.0</v>
      </c>
      <c r="G45" s="32">
        <v>4.6903448E7</v>
      </c>
      <c r="H45" s="32">
        <v>2.4296941E7</v>
      </c>
      <c r="I45" s="32">
        <v>1.9900108E7</v>
      </c>
      <c r="J45" s="32">
        <v>0.0</v>
      </c>
      <c r="K45" s="32">
        <v>1.4020714592E10</v>
      </c>
      <c r="L45" s="32">
        <v>2.981253098E9</v>
      </c>
      <c r="M45" s="32">
        <v>16553.0</v>
      </c>
      <c r="N45" s="31" t="s">
        <v>34</v>
      </c>
      <c r="O45" s="31">
        <v>25.0</v>
      </c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1.5633938E8</v>
      </c>
      <c r="B46" s="31" t="s">
        <v>89</v>
      </c>
      <c r="C46" s="32">
        <v>7.1552446E7</v>
      </c>
      <c r="D46" s="32">
        <v>6366256.0</v>
      </c>
      <c r="E46" s="32">
        <v>6.70368248E8</v>
      </c>
      <c r="F46" s="32">
        <v>9143615.0</v>
      </c>
      <c r="G46" s="32">
        <v>5872340.0</v>
      </c>
      <c r="H46" s="32">
        <v>3.2758074E7</v>
      </c>
      <c r="I46" s="32">
        <v>1.552154E7</v>
      </c>
      <c r="J46" s="32">
        <v>0.0</v>
      </c>
      <c r="K46" s="32">
        <v>1.6078299919E10</v>
      </c>
      <c r="L46" s="32">
        <v>3.839929489E9</v>
      </c>
      <c r="M46" s="32">
        <v>129798.0</v>
      </c>
      <c r="N46" s="31" t="s">
        <v>34</v>
      </c>
      <c r="O46" s="31">
        <v>25.0</v>
      </c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1.69446634E8</v>
      </c>
      <c r="B47" s="31" t="s">
        <v>100</v>
      </c>
      <c r="C47" s="32">
        <v>7.1425698E7</v>
      </c>
      <c r="D47" s="32">
        <v>5077140.0</v>
      </c>
      <c r="E47" s="32">
        <v>2.89858559E8</v>
      </c>
      <c r="F47" s="32">
        <v>9119111.0</v>
      </c>
      <c r="G47" s="32">
        <v>736207.0</v>
      </c>
      <c r="H47" s="32">
        <v>1.0233471E7</v>
      </c>
      <c r="I47" s="32">
        <v>9278206.0</v>
      </c>
      <c r="J47" s="32">
        <v>0.0</v>
      </c>
      <c r="K47" s="32">
        <v>1.168058154E10</v>
      </c>
      <c r="L47" s="32">
        <v>3.09338578E9</v>
      </c>
      <c r="M47" s="32">
        <v>61141.0</v>
      </c>
      <c r="N47" s="31" t="s">
        <v>34</v>
      </c>
      <c r="O47" s="31">
        <v>25.0</v>
      </c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1.72033754E8</v>
      </c>
      <c r="B48" s="31" t="s">
        <v>92</v>
      </c>
      <c r="C48" s="32">
        <v>7.1184872E7</v>
      </c>
      <c r="D48" s="32">
        <v>4471186.0</v>
      </c>
      <c r="E48" s="32">
        <v>5.06345962E8</v>
      </c>
      <c r="F48" s="32">
        <v>7371973.0</v>
      </c>
      <c r="G48" s="32">
        <v>1.7353783E7</v>
      </c>
      <c r="H48" s="32">
        <v>2.47095E7</v>
      </c>
      <c r="I48" s="32">
        <v>1.2048893E7</v>
      </c>
      <c r="J48" s="32">
        <v>0.0</v>
      </c>
      <c r="K48" s="32">
        <v>1.1406213896E10</v>
      </c>
      <c r="L48" s="32">
        <v>1.16993687E9</v>
      </c>
      <c r="M48" s="32">
        <v>36528.0</v>
      </c>
      <c r="N48" s="31" t="s">
        <v>34</v>
      </c>
      <c r="O48" s="31">
        <v>25.0</v>
      </c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5.524249E7</v>
      </c>
      <c r="B49" s="31" t="s">
        <v>88</v>
      </c>
      <c r="C49" s="32">
        <v>7.0785344E7</v>
      </c>
      <c r="D49" s="32">
        <v>2381866.0</v>
      </c>
      <c r="E49" s="32">
        <v>1.044776986E9</v>
      </c>
      <c r="F49" s="32">
        <v>1.099548E7</v>
      </c>
      <c r="G49" s="32">
        <v>1.11725082E8</v>
      </c>
      <c r="H49" s="32">
        <v>2.6163323E7</v>
      </c>
      <c r="I49" s="32">
        <v>3.7336225E7</v>
      </c>
      <c r="J49" s="32">
        <v>0.0</v>
      </c>
      <c r="K49" s="32">
        <v>1.3905347371E10</v>
      </c>
      <c r="L49" s="32">
        <v>5.47576093E9</v>
      </c>
      <c r="M49" s="32">
        <v>54700.0</v>
      </c>
      <c r="N49" s="31" t="s">
        <v>34</v>
      </c>
      <c r="O49" s="31">
        <v>25.0</v>
      </c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1.70708608E8</v>
      </c>
      <c r="B50" s="31" t="s">
        <v>91</v>
      </c>
      <c r="C50" s="32">
        <v>7.0679587E7</v>
      </c>
      <c r="D50" s="32">
        <v>1537622.0</v>
      </c>
      <c r="E50" s="32">
        <v>3.21574378E8</v>
      </c>
      <c r="F50" s="32">
        <v>7375524.0</v>
      </c>
      <c r="G50" s="32">
        <v>4.8036504E7</v>
      </c>
      <c r="H50" s="32">
        <v>8537321.0</v>
      </c>
      <c r="I50" s="32">
        <v>1.1089839E7</v>
      </c>
      <c r="J50" s="32">
        <v>0.0</v>
      </c>
      <c r="K50" s="32">
        <v>1.0524617129E10</v>
      </c>
      <c r="L50" s="32">
        <v>1.58724317E9</v>
      </c>
      <c r="M50" s="32">
        <v>24162.0</v>
      </c>
      <c r="N50" s="31" t="s">
        <v>34</v>
      </c>
      <c r="O50" s="31">
        <v>25.0</v>
      </c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1.44049878E8</v>
      </c>
      <c r="B51" s="31" t="s">
        <v>127</v>
      </c>
      <c r="C51" s="32">
        <v>6.9959522E7</v>
      </c>
      <c r="D51" s="32">
        <v>3673190.0</v>
      </c>
      <c r="E51" s="32">
        <v>3.19955522E8</v>
      </c>
      <c r="F51" s="32">
        <v>9024883.0</v>
      </c>
      <c r="G51" s="32">
        <v>3617362.0</v>
      </c>
      <c r="H51" s="32">
        <v>1.2155635E7</v>
      </c>
      <c r="I51" s="32">
        <v>9711621.0</v>
      </c>
      <c r="J51" s="32">
        <v>0.0</v>
      </c>
      <c r="K51" s="32">
        <v>1.1157284478E10</v>
      </c>
      <c r="L51" s="32">
        <v>7.2816E8</v>
      </c>
      <c r="M51" s="32">
        <v>50617.0</v>
      </c>
      <c r="N51" s="31" t="s">
        <v>66</v>
      </c>
      <c r="O51" s="31">
        <v>25.0</v>
      </c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1.66110884E8</v>
      </c>
      <c r="B52" s="31" t="s">
        <v>95</v>
      </c>
      <c r="C52" s="32">
        <v>6.9867339E7</v>
      </c>
      <c r="D52" s="32">
        <v>-568700.0</v>
      </c>
      <c r="E52" s="32">
        <v>8.8858807E8</v>
      </c>
      <c r="F52" s="32">
        <v>6332992.0</v>
      </c>
      <c r="G52" s="32">
        <v>4.3590233E7</v>
      </c>
      <c r="H52" s="32">
        <v>3.2128306E7</v>
      </c>
      <c r="I52" s="32">
        <v>2.6154176E7</v>
      </c>
      <c r="J52" s="32">
        <v>0.0</v>
      </c>
      <c r="K52" s="32">
        <v>8.832989652E9</v>
      </c>
      <c r="L52" s="32">
        <v>3.624684682E9</v>
      </c>
      <c r="M52" s="32">
        <v>68933.0</v>
      </c>
      <c r="N52" s="31" t="s">
        <v>34</v>
      </c>
      <c r="O52" s="31">
        <v>25.0</v>
      </c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1.69326547E8</v>
      </c>
      <c r="B53" s="31" t="s">
        <v>47</v>
      </c>
      <c r="C53" s="32">
        <v>6.977149E7</v>
      </c>
      <c r="D53" s="32">
        <v>6043053.0</v>
      </c>
      <c r="E53" s="32">
        <v>3.52510965E9</v>
      </c>
      <c r="F53" s="32">
        <v>9441276.0</v>
      </c>
      <c r="G53" s="32">
        <v>8688211.0</v>
      </c>
      <c r="H53" s="32">
        <v>9.1882308E7</v>
      </c>
      <c r="I53" s="32">
        <v>1.28410615E8</v>
      </c>
      <c r="J53" s="32">
        <v>0.0</v>
      </c>
      <c r="K53" s="32">
        <v>1.1261801037E10</v>
      </c>
      <c r="L53" s="32">
        <v>9.470822854E9</v>
      </c>
      <c r="M53" s="32">
        <v>120503.0</v>
      </c>
      <c r="N53" s="31" t="s">
        <v>34</v>
      </c>
      <c r="O53" s="31">
        <v>25.0</v>
      </c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1.68923934E8</v>
      </c>
      <c r="B54" s="31" t="s">
        <v>98</v>
      </c>
      <c r="C54" s="32">
        <v>6.929584E7</v>
      </c>
      <c r="D54" s="32">
        <v>2175235.0</v>
      </c>
      <c r="E54" s="32">
        <v>6.51936541E8</v>
      </c>
      <c r="F54" s="32">
        <v>4716890.0</v>
      </c>
      <c r="G54" s="32">
        <v>4.3000957E7</v>
      </c>
      <c r="H54" s="32">
        <v>2.3538384E7</v>
      </c>
      <c r="I54" s="32">
        <v>1.8544612E7</v>
      </c>
      <c r="J54" s="32">
        <v>0.0</v>
      </c>
      <c r="K54" s="32">
        <v>7.671869815E9</v>
      </c>
      <c r="L54" s="32">
        <v>5.07581842E8</v>
      </c>
      <c r="M54" s="32">
        <v>31214.0</v>
      </c>
      <c r="N54" s="31" t="s">
        <v>34</v>
      </c>
      <c r="O54" s="31">
        <v>25.0</v>
      </c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1.71910225E8</v>
      </c>
      <c r="B55" s="31" t="s">
        <v>99</v>
      </c>
      <c r="C55" s="32">
        <v>6.8288833E7</v>
      </c>
      <c r="D55" s="32">
        <v>2550299.0</v>
      </c>
      <c r="E55" s="32">
        <v>2.24651888E8</v>
      </c>
      <c r="F55" s="32">
        <v>5668164.0</v>
      </c>
      <c r="G55" s="32">
        <v>260484.0</v>
      </c>
      <c r="H55" s="32">
        <v>4099060.0</v>
      </c>
      <c r="I55" s="32">
        <v>9148332.0</v>
      </c>
      <c r="J55" s="32">
        <v>0.0</v>
      </c>
      <c r="K55" s="32">
        <v>1.4974414115E10</v>
      </c>
      <c r="L55" s="32">
        <v>2.120445765E9</v>
      </c>
      <c r="M55" s="32">
        <v>38187.0</v>
      </c>
      <c r="N55" s="31" t="s">
        <v>34</v>
      </c>
      <c r="O55" s="31">
        <v>25.0</v>
      </c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1.68839111E8</v>
      </c>
      <c r="B56" s="31" t="s">
        <v>101</v>
      </c>
      <c r="C56" s="32">
        <v>6.8210246E7</v>
      </c>
      <c r="D56" s="32">
        <v>963666.0</v>
      </c>
      <c r="E56" s="32">
        <v>3.8263087E8</v>
      </c>
      <c r="F56" s="32">
        <v>4816542.0</v>
      </c>
      <c r="G56" s="32">
        <v>2.0289711E7</v>
      </c>
      <c r="H56" s="32">
        <v>2.2926336E7</v>
      </c>
      <c r="I56" s="32">
        <v>7222732.0</v>
      </c>
      <c r="J56" s="32">
        <v>0.0</v>
      </c>
      <c r="K56" s="32">
        <v>1.4517189665E10</v>
      </c>
      <c r="L56" s="32">
        <v>3.111985477E9</v>
      </c>
      <c r="M56" s="32">
        <v>37207.0</v>
      </c>
      <c r="N56" s="31" t="s">
        <v>102</v>
      </c>
      <c r="O56" s="31">
        <v>25.0</v>
      </c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1.46428825E8</v>
      </c>
      <c r="B57" s="31" t="s">
        <v>52</v>
      </c>
      <c r="C57" s="32">
        <v>6.7792558E7</v>
      </c>
      <c r="D57" s="32">
        <v>6299086.0</v>
      </c>
      <c r="E57" s="32">
        <v>2.004158667E9</v>
      </c>
      <c r="F57" s="32">
        <v>1.0487243E7</v>
      </c>
      <c r="G57" s="32">
        <v>1.5628148E7</v>
      </c>
      <c r="H57" s="32">
        <v>6.9395226E7</v>
      </c>
      <c r="I57" s="32">
        <v>6.4840864E7</v>
      </c>
      <c r="J57" s="32">
        <v>0.0</v>
      </c>
      <c r="K57" s="32">
        <v>2.7122974332E10</v>
      </c>
      <c r="L57" s="32">
        <v>9.730981277E9</v>
      </c>
      <c r="M57" s="32">
        <v>136952.0</v>
      </c>
      <c r="N57" s="31" t="s">
        <v>34</v>
      </c>
      <c r="O57" s="31">
        <v>25.0</v>
      </c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1.71799293E8</v>
      </c>
      <c r="B58" s="31" t="s">
        <v>132</v>
      </c>
      <c r="C58" s="32">
        <v>6.6822985E7</v>
      </c>
      <c r="D58" s="32">
        <v>0.0</v>
      </c>
      <c r="E58" s="32">
        <v>2.47221732E8</v>
      </c>
      <c r="F58" s="32">
        <v>2790306.0</v>
      </c>
      <c r="G58" s="32">
        <v>4581202.0</v>
      </c>
      <c r="H58" s="32">
        <v>1.1013872E7</v>
      </c>
      <c r="I58" s="32">
        <v>6606088.0</v>
      </c>
      <c r="J58" s="32">
        <v>0.0</v>
      </c>
      <c r="K58" s="32">
        <v>8.588821132E9</v>
      </c>
      <c r="L58" s="32">
        <v>1.228012902E10</v>
      </c>
      <c r="M58" s="32">
        <v>43699.0</v>
      </c>
      <c r="N58" s="31" t="s">
        <v>66</v>
      </c>
      <c r="O58" s="31">
        <v>25.0</v>
      </c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1.7160984E8</v>
      </c>
      <c r="B59" s="31" t="s">
        <v>103</v>
      </c>
      <c r="C59" s="32">
        <v>6.6706217E7</v>
      </c>
      <c r="D59" s="32">
        <v>2539175.0</v>
      </c>
      <c r="E59" s="32">
        <v>5.8770545E8</v>
      </c>
      <c r="F59" s="32">
        <v>5329520.0</v>
      </c>
      <c r="G59" s="32">
        <v>4501013.0</v>
      </c>
      <c r="H59" s="32">
        <v>1.3687498E7</v>
      </c>
      <c r="I59" s="32">
        <v>2.2215764E7</v>
      </c>
      <c r="J59" s="32">
        <v>0.0</v>
      </c>
      <c r="K59" s="32">
        <v>7.842388443E9</v>
      </c>
      <c r="L59" s="32">
        <v>2.27640069E8</v>
      </c>
      <c r="M59" s="32">
        <v>44566.0</v>
      </c>
      <c r="N59" s="31" t="s">
        <v>34</v>
      </c>
      <c r="O59" s="31">
        <v>25.0</v>
      </c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1.70728362E8</v>
      </c>
      <c r="B60" s="31" t="s">
        <v>104</v>
      </c>
      <c r="C60" s="32">
        <v>6.6220477E7</v>
      </c>
      <c r="D60" s="32">
        <v>7190833.0</v>
      </c>
      <c r="E60" s="32">
        <v>5.24394372E8</v>
      </c>
      <c r="F60" s="32">
        <v>1.006726E7</v>
      </c>
      <c r="G60" s="32">
        <v>1.048377E7</v>
      </c>
      <c r="H60" s="32">
        <v>1.5870113E7</v>
      </c>
      <c r="I60" s="32">
        <v>1.7566454E7</v>
      </c>
      <c r="J60" s="32">
        <v>0.0</v>
      </c>
      <c r="K60" s="32">
        <v>6.995705194E9</v>
      </c>
      <c r="L60" s="32">
        <v>6.299580133E9</v>
      </c>
      <c r="M60" s="32">
        <v>61378.0</v>
      </c>
      <c r="N60" s="31" t="s">
        <v>34</v>
      </c>
      <c r="O60" s="31">
        <v>25.0</v>
      </c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1.71753933E8</v>
      </c>
      <c r="B61" s="31" t="s">
        <v>108</v>
      </c>
      <c r="C61" s="32">
        <v>6.6193423E7</v>
      </c>
      <c r="D61" s="32">
        <v>337310.0</v>
      </c>
      <c r="E61" s="32">
        <v>8.2355616E7</v>
      </c>
      <c r="F61" s="32">
        <v>4571959.0</v>
      </c>
      <c r="G61" s="32">
        <v>254494.0</v>
      </c>
      <c r="H61" s="32">
        <v>2683983.0</v>
      </c>
      <c r="I61" s="32">
        <v>2758148.0</v>
      </c>
      <c r="J61" s="32">
        <v>0.0</v>
      </c>
      <c r="K61" s="32">
        <v>1.2650860405E10</v>
      </c>
      <c r="L61" s="32">
        <v>1.62796998E8</v>
      </c>
      <c r="M61" s="32">
        <v>51969.0</v>
      </c>
      <c r="N61" s="31" t="s">
        <v>34</v>
      </c>
      <c r="O61" s="31">
        <v>25.0</v>
      </c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1.55534128E8</v>
      </c>
      <c r="B62" s="31" t="s">
        <v>105</v>
      </c>
      <c r="C62" s="32">
        <v>6.6169485E7</v>
      </c>
      <c r="D62" s="32">
        <v>2736534.0</v>
      </c>
      <c r="E62" s="32">
        <v>1.106830933E9</v>
      </c>
      <c r="F62" s="32">
        <v>8794989.0</v>
      </c>
      <c r="G62" s="32">
        <v>1.5022987E7</v>
      </c>
      <c r="H62" s="32">
        <v>3.8312967E7</v>
      </c>
      <c r="I62" s="32">
        <v>3.5493379E7</v>
      </c>
      <c r="J62" s="32">
        <v>0.0</v>
      </c>
      <c r="K62" s="32">
        <v>8.154407714E9</v>
      </c>
      <c r="L62" s="32">
        <v>9.17037441E8</v>
      </c>
      <c r="M62" s="32">
        <v>51163.0</v>
      </c>
      <c r="N62" s="31" t="s">
        <v>34</v>
      </c>
      <c r="O62" s="31">
        <v>25.0</v>
      </c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1.53857025E8</v>
      </c>
      <c r="B63" s="31" t="s">
        <v>106</v>
      </c>
      <c r="C63" s="32">
        <v>6.6032325E7</v>
      </c>
      <c r="D63" s="32">
        <v>3383415.0</v>
      </c>
      <c r="E63" s="32">
        <v>1.064333006E9</v>
      </c>
      <c r="F63" s="32">
        <v>7778573.0</v>
      </c>
      <c r="G63" s="32">
        <v>2.4550584E7</v>
      </c>
      <c r="H63" s="32">
        <v>1.8983708E7</v>
      </c>
      <c r="I63" s="32">
        <v>4.3257959E7</v>
      </c>
      <c r="J63" s="32">
        <v>0.0</v>
      </c>
      <c r="K63" s="32">
        <v>1.5223900677E10</v>
      </c>
      <c r="L63" s="32">
        <v>6.917986976E9</v>
      </c>
      <c r="M63" s="32">
        <v>80554.0</v>
      </c>
      <c r="N63" s="31" t="s">
        <v>34</v>
      </c>
      <c r="O63" s="31">
        <v>25.0</v>
      </c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1.6757738E8</v>
      </c>
      <c r="B64" s="31" t="s">
        <v>107</v>
      </c>
      <c r="C64" s="32">
        <v>6.5532922E7</v>
      </c>
      <c r="D64" s="32">
        <v>1432501.0</v>
      </c>
      <c r="E64" s="32">
        <v>3.99007427E8</v>
      </c>
      <c r="F64" s="32">
        <v>5862176.0</v>
      </c>
      <c r="G64" s="32">
        <v>4819417.0</v>
      </c>
      <c r="H64" s="32">
        <v>1.5044354E7</v>
      </c>
      <c r="I64" s="32">
        <v>1.1974773E7</v>
      </c>
      <c r="J64" s="32">
        <v>0.0</v>
      </c>
      <c r="K64" s="32">
        <v>7.745470195E9</v>
      </c>
      <c r="L64" s="32">
        <v>9.70788659E8</v>
      </c>
      <c r="M64" s="32">
        <v>46351.0</v>
      </c>
      <c r="N64" s="31" t="s">
        <v>34</v>
      </c>
      <c r="O64" s="31">
        <v>25.0</v>
      </c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1.67614515E8</v>
      </c>
      <c r="B65" s="31" t="s">
        <v>365</v>
      </c>
      <c r="C65" s="32">
        <v>6.5390554E7</v>
      </c>
      <c r="D65" s="32">
        <v>700788.0</v>
      </c>
      <c r="E65" s="32">
        <v>2.39401476E8</v>
      </c>
      <c r="F65" s="32">
        <v>6176894.0</v>
      </c>
      <c r="G65" s="32">
        <v>1262963.0</v>
      </c>
      <c r="H65" s="32">
        <v>1.2896689E7</v>
      </c>
      <c r="I65" s="32">
        <v>5368117.0</v>
      </c>
      <c r="J65" s="32">
        <v>0.0</v>
      </c>
      <c r="K65" s="32">
        <v>1.4322504162E10</v>
      </c>
      <c r="L65" s="32">
        <v>7.99053053E8</v>
      </c>
      <c r="M65" s="32">
        <v>52719.0</v>
      </c>
      <c r="N65" s="31" t="s">
        <v>34</v>
      </c>
      <c r="O65" s="31">
        <v>25.0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1915332.0</v>
      </c>
      <c r="B66" s="31" t="s">
        <v>110</v>
      </c>
      <c r="C66" s="32">
        <v>6.4811126E7</v>
      </c>
      <c r="D66" s="32">
        <v>2652095.0</v>
      </c>
      <c r="E66" s="32">
        <v>4.17366917E8</v>
      </c>
      <c r="F66" s="32">
        <v>1.1040304E7</v>
      </c>
      <c r="G66" s="32">
        <v>1.7998729E7</v>
      </c>
      <c r="H66" s="32">
        <v>1.6422871E7</v>
      </c>
      <c r="I66" s="32">
        <v>1.1733717E7</v>
      </c>
      <c r="J66" s="32">
        <v>0.0</v>
      </c>
      <c r="K66" s="32">
        <v>7.528293387E9</v>
      </c>
      <c r="L66" s="32">
        <v>4.633362613E9</v>
      </c>
      <c r="M66" s="32">
        <v>33484.0</v>
      </c>
      <c r="N66" s="31" t="s">
        <v>66</v>
      </c>
      <c r="O66" s="31">
        <v>25.0</v>
      </c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1.44684719E8</v>
      </c>
      <c r="B67" s="31" t="s">
        <v>366</v>
      </c>
      <c r="C67" s="32">
        <v>6.4008207E7</v>
      </c>
      <c r="D67" s="32">
        <v>5939782.0</v>
      </c>
      <c r="E67" s="32">
        <v>2.75609629E8</v>
      </c>
      <c r="F67" s="32">
        <v>1.4068923E7</v>
      </c>
      <c r="G67" s="32">
        <v>1746425.0</v>
      </c>
      <c r="H67" s="32">
        <v>9927551.0</v>
      </c>
      <c r="I67" s="32">
        <v>8420785.0</v>
      </c>
      <c r="J67" s="32">
        <v>0.0</v>
      </c>
      <c r="K67" s="32">
        <v>6.859099773E9</v>
      </c>
      <c r="L67" s="32">
        <v>1.636811379E9</v>
      </c>
      <c r="M67" s="32">
        <v>39346.0</v>
      </c>
      <c r="N67" s="31" t="s">
        <v>34</v>
      </c>
      <c r="O67" s="31">
        <v>25.0</v>
      </c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1.71679053E8</v>
      </c>
      <c r="B68" s="31" t="s">
        <v>111</v>
      </c>
      <c r="C68" s="32">
        <v>6.37105E7</v>
      </c>
      <c r="D68" s="32">
        <v>2726953.0</v>
      </c>
      <c r="E68" s="32">
        <v>2.23814132E8</v>
      </c>
      <c r="F68" s="32">
        <v>4278439.0</v>
      </c>
      <c r="G68" s="32">
        <v>719524.0</v>
      </c>
      <c r="H68" s="32">
        <v>7087031.0</v>
      </c>
      <c r="I68" s="32">
        <v>7496644.0</v>
      </c>
      <c r="J68" s="32">
        <v>0.0</v>
      </c>
      <c r="K68" s="32">
        <v>1.0809838929E10</v>
      </c>
      <c r="L68" s="32">
        <v>1.349165371E9</v>
      </c>
      <c r="M68" s="32">
        <v>26769.0</v>
      </c>
      <c r="N68" s="31" t="s">
        <v>34</v>
      </c>
      <c r="O68" s="31">
        <v>25.0</v>
      </c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1.67637163E8</v>
      </c>
      <c r="B69" s="31" t="s">
        <v>113</v>
      </c>
      <c r="C69" s="32">
        <v>6.3629138E7</v>
      </c>
      <c r="D69" s="32">
        <v>1351580.0</v>
      </c>
      <c r="E69" s="32">
        <v>4.85923875E8</v>
      </c>
      <c r="F69" s="32">
        <v>9417228.0</v>
      </c>
      <c r="G69" s="32">
        <v>3258438.0</v>
      </c>
      <c r="H69" s="32">
        <v>2.8077725E7</v>
      </c>
      <c r="I69" s="32">
        <v>9011194.0</v>
      </c>
      <c r="J69" s="32">
        <v>0.0</v>
      </c>
      <c r="K69" s="32">
        <v>1.0301748663E10</v>
      </c>
      <c r="L69" s="32">
        <v>3.2359801778E10</v>
      </c>
      <c r="M69" s="32">
        <v>93951.0</v>
      </c>
      <c r="N69" s="31" t="s">
        <v>34</v>
      </c>
      <c r="O69" s="31">
        <v>25.0</v>
      </c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1.39292614E8</v>
      </c>
      <c r="B70" s="31" t="s">
        <v>112</v>
      </c>
      <c r="C70" s="32">
        <v>6.2962037E7</v>
      </c>
      <c r="D70" s="32">
        <v>3711993.0</v>
      </c>
      <c r="E70" s="32">
        <v>6.91788151E8</v>
      </c>
      <c r="F70" s="32">
        <v>1.1325405E7</v>
      </c>
      <c r="G70" s="32">
        <v>1.8048155E7</v>
      </c>
      <c r="H70" s="32">
        <v>1.5050895E7</v>
      </c>
      <c r="I70" s="32">
        <v>2.6505683E7</v>
      </c>
      <c r="J70" s="32">
        <v>0.0</v>
      </c>
      <c r="K70" s="32">
        <v>1.1723001359E10</v>
      </c>
      <c r="L70" s="32">
        <v>4.528817481E9</v>
      </c>
      <c r="M70" s="32">
        <v>42539.0</v>
      </c>
      <c r="N70" s="31" t="s">
        <v>34</v>
      </c>
      <c r="O70" s="31">
        <v>25.0</v>
      </c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1.71697263E8</v>
      </c>
      <c r="B71" s="31" t="s">
        <v>109</v>
      </c>
      <c r="C71" s="32">
        <v>6.2930667E7</v>
      </c>
      <c r="D71" s="32">
        <v>4335666.0</v>
      </c>
      <c r="E71" s="32">
        <v>4.19705759E8</v>
      </c>
      <c r="F71" s="32">
        <v>1.0073827E7</v>
      </c>
      <c r="G71" s="32">
        <v>1.7155266E7</v>
      </c>
      <c r="H71" s="32">
        <v>1.755173E7</v>
      </c>
      <c r="I71" s="32">
        <v>1.1970514E7</v>
      </c>
      <c r="J71" s="32">
        <v>0.0</v>
      </c>
      <c r="K71" s="32">
        <v>5.558359913E9</v>
      </c>
      <c r="L71" s="32">
        <v>7.96969728E8</v>
      </c>
      <c r="M71" s="32">
        <v>45568.0</v>
      </c>
      <c r="N71" s="31" t="s">
        <v>34</v>
      </c>
      <c r="O71" s="31">
        <v>25.0</v>
      </c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1.71358436E8</v>
      </c>
      <c r="B72" s="31" t="s">
        <v>115</v>
      </c>
      <c r="C72" s="32">
        <v>6.2090319E7</v>
      </c>
      <c r="D72" s="32">
        <v>975132.0</v>
      </c>
      <c r="E72" s="32">
        <v>6.65175103E8</v>
      </c>
      <c r="F72" s="32">
        <v>5833655.0</v>
      </c>
      <c r="G72" s="32">
        <v>6461365.0</v>
      </c>
      <c r="H72" s="32">
        <v>3.001493E7</v>
      </c>
      <c r="I72" s="32">
        <v>1.7332447E7</v>
      </c>
      <c r="J72" s="32">
        <v>0.0</v>
      </c>
      <c r="K72" s="32">
        <v>4.756297097E9</v>
      </c>
      <c r="L72" s="32">
        <v>5.349094086E9</v>
      </c>
      <c r="M72" s="32">
        <v>51066.0</v>
      </c>
      <c r="N72" s="31" t="s">
        <v>34</v>
      </c>
      <c r="O72" s="31">
        <v>25.0</v>
      </c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1.71858863E8</v>
      </c>
      <c r="B73" s="31" t="s">
        <v>120</v>
      </c>
      <c r="C73" s="32">
        <v>6.0168846E7</v>
      </c>
      <c r="D73" s="32">
        <v>394013.0</v>
      </c>
      <c r="E73" s="32">
        <v>4.5445846E7</v>
      </c>
      <c r="F73" s="32">
        <v>4374063.0</v>
      </c>
      <c r="G73" s="32">
        <v>51770.0</v>
      </c>
      <c r="H73" s="32">
        <v>810405.0</v>
      </c>
      <c r="I73" s="32">
        <v>1848552.0</v>
      </c>
      <c r="J73" s="32">
        <v>0.0</v>
      </c>
      <c r="K73" s="32">
        <v>6.479342661E9</v>
      </c>
      <c r="L73" s="32">
        <v>5.215262E8</v>
      </c>
      <c r="M73" s="32">
        <v>8215.0</v>
      </c>
      <c r="N73" s="31" t="s">
        <v>34</v>
      </c>
      <c r="O73" s="31">
        <v>25.0</v>
      </c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1.27560055E8</v>
      </c>
      <c r="B74" s="31" t="s">
        <v>118</v>
      </c>
      <c r="C74" s="32">
        <v>5.9169671E7</v>
      </c>
      <c r="D74" s="32">
        <v>725424.0</v>
      </c>
      <c r="E74" s="32">
        <v>5.37189192E8</v>
      </c>
      <c r="F74" s="32">
        <v>1.6415019E7</v>
      </c>
      <c r="G74" s="32">
        <v>6.0649963E7</v>
      </c>
      <c r="H74" s="32">
        <v>3.5272658E7</v>
      </c>
      <c r="I74" s="32">
        <v>6965049.0</v>
      </c>
      <c r="J74" s="32">
        <v>0.0</v>
      </c>
      <c r="K74" s="32">
        <v>8.963780205E9</v>
      </c>
      <c r="L74" s="32">
        <v>1.426775546E9</v>
      </c>
      <c r="M74" s="32">
        <v>53181.0</v>
      </c>
      <c r="N74" s="31" t="s">
        <v>126</v>
      </c>
      <c r="O74" s="31">
        <v>25.0</v>
      </c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1.69446444E8</v>
      </c>
      <c r="B75" s="31" t="s">
        <v>117</v>
      </c>
      <c r="C75" s="32">
        <v>5.9041846E7</v>
      </c>
      <c r="D75" s="32">
        <v>2537932.0</v>
      </c>
      <c r="E75" s="32">
        <v>1.260367696E9</v>
      </c>
      <c r="F75" s="32">
        <v>7893767.0</v>
      </c>
      <c r="G75" s="32">
        <v>3345134.0</v>
      </c>
      <c r="H75" s="32">
        <v>2.1096204E7</v>
      </c>
      <c r="I75" s="32">
        <v>5.190312E7</v>
      </c>
      <c r="J75" s="32">
        <v>0.0</v>
      </c>
      <c r="K75" s="32">
        <v>6.571035765E9</v>
      </c>
      <c r="L75" s="32">
        <v>7.881136752E9</v>
      </c>
      <c r="M75" s="32">
        <v>77488.0</v>
      </c>
      <c r="N75" s="31" t="s">
        <v>34</v>
      </c>
      <c r="O75" s="31">
        <v>25.0</v>
      </c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1.71827401E8</v>
      </c>
      <c r="B76" s="31" t="s">
        <v>123</v>
      </c>
      <c r="C76" s="32">
        <v>5.88499E7</v>
      </c>
      <c r="D76" s="32">
        <v>0.0</v>
      </c>
      <c r="E76" s="32">
        <v>1.528169813E9</v>
      </c>
      <c r="F76" s="32">
        <v>7975447.0</v>
      </c>
      <c r="G76" s="32">
        <v>4.2447525E7</v>
      </c>
      <c r="H76" s="32">
        <v>1.10599101E8</v>
      </c>
      <c r="I76" s="32">
        <v>1.7289391E7</v>
      </c>
      <c r="J76" s="32">
        <v>0.0</v>
      </c>
      <c r="K76" s="32">
        <v>3.062126535E9</v>
      </c>
      <c r="L76" s="32">
        <v>7.802247764E9</v>
      </c>
      <c r="M76" s="32">
        <v>31864.0</v>
      </c>
      <c r="N76" s="31" t="s">
        <v>124</v>
      </c>
      <c r="O76" s="31">
        <v>25.0</v>
      </c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1.68091444E8</v>
      </c>
      <c r="B77" s="31" t="s">
        <v>121</v>
      </c>
      <c r="C77" s="32">
        <v>5.8754264E7</v>
      </c>
      <c r="D77" s="32">
        <v>558418.0</v>
      </c>
      <c r="E77" s="32">
        <v>1.24242013E8</v>
      </c>
      <c r="F77" s="32">
        <v>7197561.0</v>
      </c>
      <c r="G77" s="32">
        <v>415679.0</v>
      </c>
      <c r="H77" s="32">
        <v>6792299.0</v>
      </c>
      <c r="I77" s="32">
        <v>2752223.0</v>
      </c>
      <c r="J77" s="32">
        <v>0.0</v>
      </c>
      <c r="K77" s="32">
        <v>7.700663163E9</v>
      </c>
      <c r="L77" s="32">
        <v>7.83144414E8</v>
      </c>
      <c r="M77" s="32">
        <v>44987.0</v>
      </c>
      <c r="N77" s="31" t="s">
        <v>34</v>
      </c>
      <c r="O77" s="31">
        <v>25.0</v>
      </c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1.61646318E8</v>
      </c>
      <c r="B78" s="31" t="s">
        <v>122</v>
      </c>
      <c r="C78" s="32">
        <v>5.8326706E7</v>
      </c>
      <c r="D78" s="32">
        <v>3021991.0</v>
      </c>
      <c r="E78" s="32">
        <v>2.58781694E8</v>
      </c>
      <c r="F78" s="32">
        <v>6535473.0</v>
      </c>
      <c r="G78" s="32">
        <v>663252.0</v>
      </c>
      <c r="H78" s="32">
        <v>9726074.0</v>
      </c>
      <c r="I78" s="32">
        <v>7997408.0</v>
      </c>
      <c r="J78" s="32">
        <v>0.0</v>
      </c>
      <c r="K78" s="32">
        <v>1.4447776078E10</v>
      </c>
      <c r="L78" s="32">
        <v>2.67164973E9</v>
      </c>
      <c r="M78" s="32">
        <v>47815.0</v>
      </c>
      <c r="N78" s="31" t="s">
        <v>34</v>
      </c>
      <c r="O78" s="31">
        <v>25.0</v>
      </c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1.51360763E8</v>
      </c>
      <c r="B79" s="31" t="s">
        <v>367</v>
      </c>
      <c r="C79" s="32">
        <v>5.8272949E7</v>
      </c>
      <c r="D79" s="32">
        <v>623837.0</v>
      </c>
      <c r="E79" s="32">
        <v>1.08387168E8</v>
      </c>
      <c r="F79" s="32">
        <v>5276511.0</v>
      </c>
      <c r="G79" s="32">
        <v>5777521.0</v>
      </c>
      <c r="H79" s="32">
        <v>5808403.0</v>
      </c>
      <c r="I79" s="32">
        <v>2424474.0</v>
      </c>
      <c r="J79" s="32">
        <v>0.0</v>
      </c>
      <c r="K79" s="32">
        <v>2.6474457229E10</v>
      </c>
      <c r="L79" s="32">
        <v>1.4628012042E10</v>
      </c>
      <c r="M79" s="32">
        <v>19633.0</v>
      </c>
      <c r="N79" s="31" t="s">
        <v>165</v>
      </c>
      <c r="O79" s="31">
        <v>25.0</v>
      </c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2.1489428E7</v>
      </c>
      <c r="B80" s="31" t="s">
        <v>125</v>
      </c>
      <c r="C80" s="32">
        <v>5.736597E7</v>
      </c>
      <c r="D80" s="32">
        <v>0.0</v>
      </c>
      <c r="E80" s="32">
        <v>5.8051737E8</v>
      </c>
      <c r="F80" s="32">
        <v>1.7688104E7</v>
      </c>
      <c r="G80" s="32">
        <v>1083192.0</v>
      </c>
      <c r="H80" s="32">
        <v>1.8483076E7</v>
      </c>
      <c r="I80" s="32">
        <v>1.95188E7</v>
      </c>
      <c r="J80" s="32">
        <v>0.0</v>
      </c>
      <c r="K80" s="32">
        <v>1.6049999344E10</v>
      </c>
      <c r="L80" s="32">
        <v>9.234571546E9</v>
      </c>
      <c r="M80" s="32">
        <v>44877.0</v>
      </c>
      <c r="N80" s="31" t="s">
        <v>126</v>
      </c>
      <c r="O80" s="31">
        <v>25.0</v>
      </c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1.58817223E8</v>
      </c>
      <c r="B81" s="31" t="s">
        <v>131</v>
      </c>
      <c r="C81" s="32">
        <v>5.5638755E7</v>
      </c>
      <c r="D81" s="32">
        <v>1527312.0</v>
      </c>
      <c r="E81" s="32">
        <v>2.41431504E8</v>
      </c>
      <c r="F81" s="32">
        <v>7583606.0</v>
      </c>
      <c r="G81" s="32">
        <v>5303964.0</v>
      </c>
      <c r="H81" s="32">
        <v>9241914.0</v>
      </c>
      <c r="I81" s="32">
        <v>6868782.0</v>
      </c>
      <c r="J81" s="32">
        <v>0.0</v>
      </c>
      <c r="K81" s="32">
        <v>6.649183579E9</v>
      </c>
      <c r="L81" s="32">
        <v>4.670025581E9</v>
      </c>
      <c r="M81" s="32">
        <v>37436.0</v>
      </c>
      <c r="N81" s="31" t="s">
        <v>34</v>
      </c>
      <c r="O81" s="31">
        <v>25.0</v>
      </c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1.69672885E8</v>
      </c>
      <c r="B82" s="31" t="s">
        <v>129</v>
      </c>
      <c r="C82" s="32">
        <v>5.5634973E7</v>
      </c>
      <c r="D82" s="32">
        <v>3490010.0</v>
      </c>
      <c r="E82" s="32">
        <v>4.28904904E8</v>
      </c>
      <c r="F82" s="32">
        <v>8406848.0</v>
      </c>
      <c r="G82" s="32">
        <v>8834282.0</v>
      </c>
      <c r="H82" s="32">
        <v>1.8454466E7</v>
      </c>
      <c r="I82" s="32">
        <v>1.1510999E7</v>
      </c>
      <c r="J82" s="32">
        <v>0.0</v>
      </c>
      <c r="K82" s="32">
        <v>7.277133913E9</v>
      </c>
      <c r="L82" s="32">
        <v>5.531989826E9</v>
      </c>
      <c r="M82" s="32">
        <v>33250.0</v>
      </c>
      <c r="N82" s="31" t="s">
        <v>34</v>
      </c>
      <c r="O82" s="31">
        <v>25.0</v>
      </c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1.44608345E8</v>
      </c>
      <c r="B83" s="31" t="s">
        <v>130</v>
      </c>
      <c r="C83" s="32">
        <v>5.5360781E7</v>
      </c>
      <c r="D83" s="32">
        <v>0.0</v>
      </c>
      <c r="E83" s="32">
        <v>7.65689757E8</v>
      </c>
      <c r="F83" s="32">
        <v>8735512.0</v>
      </c>
      <c r="G83" s="32">
        <v>2.8854245E7</v>
      </c>
      <c r="H83" s="32">
        <v>5.4433437E7</v>
      </c>
      <c r="I83" s="32">
        <v>9097261.0</v>
      </c>
      <c r="J83" s="32">
        <v>0.0</v>
      </c>
      <c r="K83" s="32">
        <v>1.1148634329E10</v>
      </c>
      <c r="L83" s="32">
        <v>1.177270686E9</v>
      </c>
      <c r="M83" s="32">
        <v>31440.0</v>
      </c>
      <c r="N83" s="31" t="s">
        <v>66</v>
      </c>
      <c r="O83" s="31">
        <v>25.0</v>
      </c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1.69363448E8</v>
      </c>
      <c r="B84" s="31" t="s">
        <v>133</v>
      </c>
      <c r="C84" s="32">
        <v>5.2883722E7</v>
      </c>
      <c r="D84" s="32">
        <v>5658311.0</v>
      </c>
      <c r="E84" s="32">
        <v>3.31612418E8</v>
      </c>
      <c r="F84" s="32">
        <v>6506816.0</v>
      </c>
      <c r="G84" s="32">
        <v>1816902.0</v>
      </c>
      <c r="H84" s="32">
        <v>1.6986852E7</v>
      </c>
      <c r="I84" s="32">
        <v>7640210.0</v>
      </c>
      <c r="J84" s="32">
        <v>0.0</v>
      </c>
      <c r="K84" s="32">
        <v>8.412281256E9</v>
      </c>
      <c r="L84" s="32">
        <v>6.677116137E9</v>
      </c>
      <c r="M84" s="32">
        <v>44435.0</v>
      </c>
      <c r="N84" s="31" t="s">
        <v>34</v>
      </c>
      <c r="O84" s="31">
        <v>25.0</v>
      </c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1.71976226E8</v>
      </c>
      <c r="B85" s="31" t="s">
        <v>150</v>
      </c>
      <c r="C85" s="32">
        <v>5.281286E7</v>
      </c>
      <c r="D85" s="32">
        <v>0.0</v>
      </c>
      <c r="E85" s="32">
        <v>1.64014989E8</v>
      </c>
      <c r="F85" s="32">
        <v>3629566.0</v>
      </c>
      <c r="G85" s="32">
        <v>731767.0</v>
      </c>
      <c r="H85" s="32">
        <v>9270248.0</v>
      </c>
      <c r="I85" s="32">
        <v>2928274.0</v>
      </c>
      <c r="J85" s="32">
        <v>0.0</v>
      </c>
      <c r="K85" s="32">
        <v>7.001860102E9</v>
      </c>
      <c r="L85" s="32">
        <v>2.827541422E9</v>
      </c>
      <c r="M85" s="32">
        <v>16004.0</v>
      </c>
      <c r="N85" s="31" t="s">
        <v>66</v>
      </c>
      <c r="O85" s="31">
        <v>25.0</v>
      </c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1.36662717E8</v>
      </c>
      <c r="B86" s="31" t="s">
        <v>368</v>
      </c>
      <c r="C86" s="32">
        <v>5.0752105E7</v>
      </c>
      <c r="D86" s="32">
        <v>-228262.0</v>
      </c>
      <c r="E86" s="32">
        <v>6.42591057E8</v>
      </c>
      <c r="F86" s="32">
        <v>5983193.0</v>
      </c>
      <c r="G86" s="32">
        <v>9070828.0</v>
      </c>
      <c r="H86" s="32">
        <v>2.1875352E7</v>
      </c>
      <c r="I86" s="32">
        <v>2.0746119E7</v>
      </c>
      <c r="J86" s="32">
        <v>0.0</v>
      </c>
      <c r="K86" s="32">
        <v>8.831173216E9</v>
      </c>
      <c r="L86" s="32">
        <v>6.263611637E9</v>
      </c>
      <c r="M86" s="32">
        <v>53612.0</v>
      </c>
      <c r="N86" s="31" t="s">
        <v>34</v>
      </c>
      <c r="O86" s="31">
        <v>25.0</v>
      </c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1.69420296E8</v>
      </c>
      <c r="B87" s="31" t="s">
        <v>136</v>
      </c>
      <c r="C87" s="32">
        <v>5.0004886E7</v>
      </c>
      <c r="D87" s="32">
        <v>652058.0</v>
      </c>
      <c r="E87" s="32">
        <v>1.93082585E8</v>
      </c>
      <c r="F87" s="32">
        <v>6148103.0</v>
      </c>
      <c r="G87" s="32">
        <v>213155.0</v>
      </c>
      <c r="H87" s="32">
        <v>4857028.0</v>
      </c>
      <c r="I87" s="32">
        <v>7205750.0</v>
      </c>
      <c r="J87" s="32">
        <v>0.0</v>
      </c>
      <c r="K87" s="32">
        <v>1.3996640017E10</v>
      </c>
      <c r="L87" s="32">
        <v>4.23272131E8</v>
      </c>
      <c r="M87" s="32">
        <v>32994.0</v>
      </c>
      <c r="N87" s="31" t="s">
        <v>34</v>
      </c>
      <c r="O87" s="31">
        <v>25.0</v>
      </c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1.66234202E8</v>
      </c>
      <c r="B88" s="31" t="s">
        <v>135</v>
      </c>
      <c r="C88" s="32">
        <v>4.9794084E7</v>
      </c>
      <c r="D88" s="32">
        <v>563080.0</v>
      </c>
      <c r="E88" s="32">
        <v>2.93244994E8</v>
      </c>
      <c r="F88" s="32">
        <v>4637371.0</v>
      </c>
      <c r="G88" s="32">
        <v>1992214.0</v>
      </c>
      <c r="H88" s="32">
        <v>1.3803324E7</v>
      </c>
      <c r="I88" s="32">
        <v>6532470.0</v>
      </c>
      <c r="J88" s="32">
        <v>0.0</v>
      </c>
      <c r="K88" s="32">
        <v>1.155336365E10</v>
      </c>
      <c r="L88" s="32">
        <v>1.48881707E9</v>
      </c>
      <c r="M88" s="32">
        <v>33583.0</v>
      </c>
      <c r="N88" s="31" t="s">
        <v>66</v>
      </c>
      <c r="O88" s="31">
        <v>25.0</v>
      </c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1.59857111E8</v>
      </c>
      <c r="B89" s="31" t="s">
        <v>369</v>
      </c>
      <c r="C89" s="32">
        <v>4.930245E7</v>
      </c>
      <c r="D89" s="32">
        <v>0.0</v>
      </c>
      <c r="E89" s="32">
        <v>4.6722209E8</v>
      </c>
      <c r="F89" s="32">
        <v>3125000.0</v>
      </c>
      <c r="G89" s="32">
        <v>2.1498954E7</v>
      </c>
      <c r="H89" s="32">
        <v>3.5659456E7</v>
      </c>
      <c r="I89" s="32">
        <v>4964351.0</v>
      </c>
      <c r="J89" s="32">
        <v>0.0</v>
      </c>
      <c r="K89" s="32">
        <v>8.153917113E9</v>
      </c>
      <c r="L89" s="32">
        <v>3.350520456E9</v>
      </c>
      <c r="M89" s="32">
        <v>37327.0</v>
      </c>
      <c r="N89" s="31" t="s">
        <v>66</v>
      </c>
      <c r="O89" s="31">
        <v>25.0</v>
      </c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1.6901814E8</v>
      </c>
      <c r="B90" s="31" t="s">
        <v>137</v>
      </c>
      <c r="C90" s="32">
        <v>4.8428442E7</v>
      </c>
      <c r="D90" s="32">
        <v>2683432.0</v>
      </c>
      <c r="E90" s="32">
        <v>1.70501159E8</v>
      </c>
      <c r="F90" s="32">
        <v>5121209.0</v>
      </c>
      <c r="G90" s="32">
        <v>430096.0</v>
      </c>
      <c r="H90" s="32">
        <v>6535314.0</v>
      </c>
      <c r="I90" s="32">
        <v>5208981.0</v>
      </c>
      <c r="J90" s="32">
        <v>0.0</v>
      </c>
      <c r="K90" s="32">
        <v>1.278914583E10</v>
      </c>
      <c r="L90" s="32">
        <v>3.120148407E9</v>
      </c>
      <c r="M90" s="32">
        <v>33132.0</v>
      </c>
      <c r="N90" s="31" t="s">
        <v>34</v>
      </c>
      <c r="O90" s="31">
        <v>25.0</v>
      </c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1.0047682E8</v>
      </c>
      <c r="B91" s="31" t="s">
        <v>370</v>
      </c>
      <c r="C91" s="32">
        <v>4.8194942E7</v>
      </c>
      <c r="D91" s="32">
        <v>2076172.0</v>
      </c>
      <c r="E91" s="32">
        <v>1.21018092E8</v>
      </c>
      <c r="F91" s="32">
        <v>1.1170739E7</v>
      </c>
      <c r="G91" s="32">
        <v>103221.0</v>
      </c>
      <c r="H91" s="32">
        <v>4411680.0</v>
      </c>
      <c r="I91" s="32">
        <v>3834578.0</v>
      </c>
      <c r="J91" s="32">
        <v>0.0</v>
      </c>
      <c r="K91" s="32">
        <v>3.6674524152E10</v>
      </c>
      <c r="L91" s="32">
        <v>4.569894928E10</v>
      </c>
      <c r="M91" s="32">
        <v>21491.0</v>
      </c>
      <c r="N91" s="31" t="s">
        <v>34</v>
      </c>
      <c r="O91" s="31">
        <v>25.0</v>
      </c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1.76044158E8</v>
      </c>
      <c r="B92" s="31" t="s">
        <v>139</v>
      </c>
      <c r="C92" s="32">
        <v>4.8111223E7</v>
      </c>
      <c r="D92" s="32">
        <v>4372804.0</v>
      </c>
      <c r="E92" s="32">
        <v>1.3115959E8</v>
      </c>
      <c r="F92" s="32">
        <v>5233878.0</v>
      </c>
      <c r="G92" s="32">
        <v>341163.0</v>
      </c>
      <c r="H92" s="32">
        <v>2945478.0</v>
      </c>
      <c r="I92" s="32">
        <v>5065195.0</v>
      </c>
      <c r="J92" s="32">
        <v>0.0</v>
      </c>
      <c r="K92" s="32">
        <v>1.8451388565E10</v>
      </c>
      <c r="L92" s="32">
        <v>4.284536539E9</v>
      </c>
      <c r="M92" s="32">
        <v>17498.0</v>
      </c>
      <c r="N92" s="31" t="s">
        <v>34</v>
      </c>
      <c r="O92" s="31">
        <v>25.0</v>
      </c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1.71945722E8</v>
      </c>
      <c r="B93" s="31" t="s">
        <v>371</v>
      </c>
      <c r="C93" s="32">
        <v>4.728299E7</v>
      </c>
      <c r="D93" s="32">
        <v>458669.0</v>
      </c>
      <c r="E93" s="32">
        <v>6.8650463E7</v>
      </c>
      <c r="F93" s="32">
        <v>4591934.0</v>
      </c>
      <c r="G93" s="32">
        <v>107866.0</v>
      </c>
      <c r="H93" s="32">
        <v>3122424.0</v>
      </c>
      <c r="I93" s="32">
        <v>1861297.0</v>
      </c>
      <c r="J93" s="32">
        <v>0.0</v>
      </c>
      <c r="K93" s="32">
        <v>1.1511344733E10</v>
      </c>
      <c r="L93" s="32">
        <v>4.48745022E9</v>
      </c>
      <c r="M93" s="32">
        <v>16854.0</v>
      </c>
      <c r="N93" s="31" t="s">
        <v>34</v>
      </c>
      <c r="O93" s="31">
        <v>25.0</v>
      </c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1.71654758E8</v>
      </c>
      <c r="B94" s="31" t="s">
        <v>141</v>
      </c>
      <c r="C94" s="32">
        <v>4.6644897E7</v>
      </c>
      <c r="D94" s="32">
        <v>32000.0</v>
      </c>
      <c r="E94" s="32">
        <v>4.0440159E8</v>
      </c>
      <c r="F94" s="32">
        <v>3418248.0</v>
      </c>
      <c r="G94" s="32">
        <v>3663871.0</v>
      </c>
      <c r="H94" s="32">
        <v>1.1207415E7</v>
      </c>
      <c r="I94" s="32">
        <v>1.4537692E7</v>
      </c>
      <c r="J94" s="32">
        <v>0.0</v>
      </c>
      <c r="K94" s="32">
        <v>6.432716951E9</v>
      </c>
      <c r="L94" s="32">
        <v>2.35303952E8</v>
      </c>
      <c r="M94" s="32">
        <v>31935.0</v>
      </c>
      <c r="N94" s="31" t="s">
        <v>66</v>
      </c>
      <c r="O94" s="31">
        <v>25.0</v>
      </c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5.2078022E7</v>
      </c>
      <c r="B95" s="31" t="s">
        <v>142</v>
      </c>
      <c r="C95" s="32">
        <v>4.5686979E7</v>
      </c>
      <c r="D95" s="32">
        <v>0.0</v>
      </c>
      <c r="E95" s="32">
        <v>1.19794627E8</v>
      </c>
      <c r="F95" s="32">
        <v>9110198.0</v>
      </c>
      <c r="G95" s="32">
        <v>2813886.0</v>
      </c>
      <c r="H95" s="32">
        <v>4796766.0</v>
      </c>
      <c r="I95" s="32">
        <v>3472801.0</v>
      </c>
      <c r="J95" s="32">
        <v>0.0</v>
      </c>
      <c r="K95" s="32">
        <v>1.3771953875E10</v>
      </c>
      <c r="L95" s="32">
        <v>1.8000763012E10</v>
      </c>
      <c r="M95" s="32">
        <v>23529.0</v>
      </c>
      <c r="N95" s="31" t="s">
        <v>34</v>
      </c>
      <c r="O95" s="31">
        <v>25.0</v>
      </c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1.15990558E8</v>
      </c>
      <c r="B96" s="31" t="s">
        <v>143</v>
      </c>
      <c r="C96" s="32">
        <v>4.5000369E7</v>
      </c>
      <c r="D96" s="32">
        <v>40000.0</v>
      </c>
      <c r="E96" s="32">
        <v>2.11639595E8</v>
      </c>
      <c r="F96" s="32">
        <v>4961941.0</v>
      </c>
      <c r="G96" s="32">
        <v>1801665.0</v>
      </c>
      <c r="H96" s="32">
        <v>1.2433106E7</v>
      </c>
      <c r="I96" s="32">
        <v>3575331.0</v>
      </c>
      <c r="J96" s="32">
        <v>1288645.0</v>
      </c>
      <c r="K96" s="32">
        <v>8.666737392E9</v>
      </c>
      <c r="L96" s="32">
        <v>1.81565802E9</v>
      </c>
      <c r="M96" s="32">
        <v>19391.0</v>
      </c>
      <c r="N96" s="31" t="s">
        <v>66</v>
      </c>
      <c r="O96" s="31">
        <v>25.0</v>
      </c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1.60258193E8</v>
      </c>
      <c r="B97" s="31" t="s">
        <v>145</v>
      </c>
      <c r="C97" s="32">
        <v>4.4711051E7</v>
      </c>
      <c r="D97" s="32">
        <v>330800.0</v>
      </c>
      <c r="E97" s="32">
        <v>5.1421949E7</v>
      </c>
      <c r="F97" s="32">
        <v>2440420.0</v>
      </c>
      <c r="G97" s="32">
        <v>1459647.0</v>
      </c>
      <c r="H97" s="32">
        <v>2780175.0</v>
      </c>
      <c r="I97" s="32">
        <v>1047346.0</v>
      </c>
      <c r="J97" s="32">
        <v>0.0</v>
      </c>
      <c r="K97" s="32">
        <v>6.813770758E9</v>
      </c>
      <c r="L97" s="32">
        <v>1.934461103E9</v>
      </c>
      <c r="M97" s="32">
        <v>23075.0</v>
      </c>
      <c r="N97" s="31" t="s">
        <v>102</v>
      </c>
      <c r="O97" s="31">
        <v>25.0</v>
      </c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1.4361245E8</v>
      </c>
      <c r="B98" s="31" t="s">
        <v>144</v>
      </c>
      <c r="C98" s="32">
        <v>4.4643896E7</v>
      </c>
      <c r="D98" s="32">
        <v>844995.0</v>
      </c>
      <c r="E98" s="32">
        <v>5.53982957E8</v>
      </c>
      <c r="F98" s="32">
        <v>4794956.0</v>
      </c>
      <c r="G98" s="32">
        <v>4579765.0</v>
      </c>
      <c r="H98" s="32">
        <v>2.8856326E7</v>
      </c>
      <c r="I98" s="32">
        <v>1.2672659E7</v>
      </c>
      <c r="J98" s="32">
        <v>0.0</v>
      </c>
      <c r="K98" s="32">
        <v>1.06181162E10</v>
      </c>
      <c r="L98" s="32">
        <v>7.163666033E9</v>
      </c>
      <c r="M98" s="32">
        <v>33063.0</v>
      </c>
      <c r="N98" s="31" t="s">
        <v>34</v>
      </c>
      <c r="O98" s="31">
        <v>25.0</v>
      </c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1.71830779E8</v>
      </c>
      <c r="B99" s="31" t="s">
        <v>372</v>
      </c>
      <c r="C99" s="32">
        <v>4.3665698E7</v>
      </c>
      <c r="D99" s="32">
        <v>2511596.0</v>
      </c>
      <c r="E99" s="32">
        <v>2.1895536E8</v>
      </c>
      <c r="F99" s="32">
        <v>6886230.0</v>
      </c>
      <c r="G99" s="32">
        <v>897212.0</v>
      </c>
      <c r="H99" s="32">
        <v>1.1189916E7</v>
      </c>
      <c r="I99" s="32">
        <v>5281233.0</v>
      </c>
      <c r="J99" s="32">
        <v>0.0</v>
      </c>
      <c r="K99" s="32">
        <v>6.930455861E9</v>
      </c>
      <c r="L99" s="32">
        <v>5.773506E8</v>
      </c>
      <c r="M99" s="32">
        <v>45544.0</v>
      </c>
      <c r="N99" s="31" t="s">
        <v>34</v>
      </c>
      <c r="O99" s="31">
        <v>25.0</v>
      </c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1.68025153E8</v>
      </c>
      <c r="B100" s="31" t="s">
        <v>146</v>
      </c>
      <c r="C100" s="32">
        <v>4.3378811E7</v>
      </c>
      <c r="D100" s="32">
        <v>-6102117.0</v>
      </c>
      <c r="E100" s="32">
        <v>2.8188141E7</v>
      </c>
      <c r="F100" s="32">
        <v>1667579.0</v>
      </c>
      <c r="G100" s="32">
        <v>260005.0</v>
      </c>
      <c r="H100" s="32">
        <v>748668.0</v>
      </c>
      <c r="I100" s="32">
        <v>1032023.0</v>
      </c>
      <c r="J100" s="32">
        <v>0.0</v>
      </c>
      <c r="K100" s="32">
        <v>3.923046479E9</v>
      </c>
      <c r="L100" s="32">
        <v>4.409142711E9</v>
      </c>
      <c r="M100" s="32">
        <v>4558.0</v>
      </c>
      <c r="N100" s="31" t="s">
        <v>147</v>
      </c>
      <c r="O100" s="31">
        <v>25.0</v>
      </c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8.8110635E7</v>
      </c>
      <c r="B101" s="31" t="s">
        <v>149</v>
      </c>
      <c r="C101" s="32">
        <v>4.2824177E7</v>
      </c>
      <c r="D101" s="32">
        <v>0.0</v>
      </c>
      <c r="E101" s="32">
        <v>3.6234973E7</v>
      </c>
      <c r="F101" s="32">
        <v>6531506.0</v>
      </c>
      <c r="G101" s="32">
        <v>32907.0</v>
      </c>
      <c r="H101" s="32">
        <v>941976.0</v>
      </c>
      <c r="I101" s="32">
        <v>1302977.0</v>
      </c>
      <c r="J101" s="32">
        <v>0.0</v>
      </c>
      <c r="K101" s="32">
        <v>9.056445524E9</v>
      </c>
      <c r="L101" s="32">
        <v>1.05797584E8</v>
      </c>
      <c r="M101" s="32">
        <v>13089.0</v>
      </c>
      <c r="N101" s="31" t="s">
        <v>126</v>
      </c>
      <c r="O101" s="31">
        <v>25.0</v>
      </c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1.43551941E8</v>
      </c>
      <c r="B102" s="31" t="s">
        <v>151</v>
      </c>
      <c r="C102" s="32">
        <v>4.2659191E7</v>
      </c>
      <c r="D102" s="32">
        <v>0.0</v>
      </c>
      <c r="E102" s="32">
        <v>1.46157717E8</v>
      </c>
      <c r="F102" s="32">
        <v>2445001.0</v>
      </c>
      <c r="G102" s="32">
        <v>1655199.0</v>
      </c>
      <c r="H102" s="32">
        <v>9930156.0</v>
      </c>
      <c r="I102" s="32">
        <v>2043226.0</v>
      </c>
      <c r="J102" s="32">
        <v>0.0</v>
      </c>
      <c r="K102" s="32">
        <v>7.011555418E9</v>
      </c>
      <c r="L102" s="32">
        <v>3.2640001E7</v>
      </c>
      <c r="M102" s="32">
        <v>26468.0</v>
      </c>
      <c r="N102" s="31" t="s">
        <v>66</v>
      </c>
      <c r="O102" s="31">
        <v>25.0</v>
      </c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1.72029365E8</v>
      </c>
      <c r="B103" s="31" t="s">
        <v>148</v>
      </c>
      <c r="C103" s="32">
        <v>4.2188662E7</v>
      </c>
      <c r="D103" s="32">
        <v>3403541.0</v>
      </c>
      <c r="E103" s="32">
        <v>1.71300154E8</v>
      </c>
      <c r="F103" s="32">
        <v>9260755.0</v>
      </c>
      <c r="G103" s="32">
        <v>692642.0</v>
      </c>
      <c r="H103" s="32">
        <v>4635038.0</v>
      </c>
      <c r="I103" s="32">
        <v>6158889.0</v>
      </c>
      <c r="J103" s="32">
        <v>0.0</v>
      </c>
      <c r="K103" s="32">
        <v>6.060955476E9</v>
      </c>
      <c r="L103" s="32">
        <v>1.169311746E9</v>
      </c>
      <c r="M103" s="32">
        <v>19457.0</v>
      </c>
      <c r="N103" s="31" t="s">
        <v>34</v>
      </c>
      <c r="O103" s="31">
        <v>25.0</v>
      </c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1.44088316E8</v>
      </c>
      <c r="B104" s="31" t="s">
        <v>152</v>
      </c>
      <c r="C104" s="32">
        <v>4.1189485E7</v>
      </c>
      <c r="D104" s="32">
        <v>288749.0</v>
      </c>
      <c r="E104" s="32">
        <v>4.2555014E7</v>
      </c>
      <c r="F104" s="32">
        <v>4390339.0</v>
      </c>
      <c r="G104" s="32">
        <v>456983.0</v>
      </c>
      <c r="H104" s="32">
        <v>939021.0</v>
      </c>
      <c r="I104" s="32">
        <v>1357682.0</v>
      </c>
      <c r="J104" s="32">
        <v>0.0</v>
      </c>
      <c r="K104" s="32">
        <v>1.139844571E10</v>
      </c>
      <c r="L104" s="32">
        <v>1.45E9</v>
      </c>
      <c r="M104" s="32">
        <v>13349.0</v>
      </c>
      <c r="N104" s="31" t="s">
        <v>153</v>
      </c>
      <c r="O104" s="31">
        <v>25.0</v>
      </c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1.75650426E8</v>
      </c>
      <c r="B105" s="31" t="s">
        <v>154</v>
      </c>
      <c r="C105" s="32">
        <v>4.0932963E7</v>
      </c>
      <c r="D105" s="32">
        <v>2315284.0</v>
      </c>
      <c r="E105" s="32">
        <v>2.19785478E8</v>
      </c>
      <c r="F105" s="32">
        <v>7845079.0</v>
      </c>
      <c r="G105" s="32">
        <v>6316310.0</v>
      </c>
      <c r="H105" s="32">
        <v>8899148.0</v>
      </c>
      <c r="I105" s="32">
        <v>5741460.0</v>
      </c>
      <c r="J105" s="32">
        <v>0.0</v>
      </c>
      <c r="K105" s="32">
        <v>6.336339602E9</v>
      </c>
      <c r="L105" s="32">
        <v>6.960476892E9</v>
      </c>
      <c r="M105" s="32">
        <v>19556.0</v>
      </c>
      <c r="N105" s="31" t="s">
        <v>34</v>
      </c>
      <c r="O105" s="31">
        <v>25.0</v>
      </c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1.44089349E8</v>
      </c>
      <c r="B106" s="31" t="s">
        <v>155</v>
      </c>
      <c r="C106" s="32">
        <v>4.0900474E7</v>
      </c>
      <c r="D106" s="32">
        <v>0.0</v>
      </c>
      <c r="E106" s="32">
        <v>6.5808604E7</v>
      </c>
      <c r="F106" s="32">
        <v>748431.0</v>
      </c>
      <c r="G106" s="32">
        <v>5505113.0</v>
      </c>
      <c r="H106" s="32">
        <v>4623754.0</v>
      </c>
      <c r="I106" s="32">
        <v>522724.0</v>
      </c>
      <c r="J106" s="32">
        <v>0.0</v>
      </c>
      <c r="K106" s="32">
        <v>7.58797152E9</v>
      </c>
      <c r="L106" s="32">
        <v>5.012015494E9</v>
      </c>
      <c r="M106" s="32">
        <v>41945.0</v>
      </c>
      <c r="N106" s="31" t="s">
        <v>66</v>
      </c>
      <c r="O106" s="31">
        <v>25.0</v>
      </c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1.45948216E8</v>
      </c>
      <c r="B107" s="31" t="s">
        <v>167</v>
      </c>
      <c r="C107" s="32">
        <v>3.9848172E7</v>
      </c>
      <c r="D107" s="32">
        <v>2124937.0</v>
      </c>
      <c r="E107" s="32">
        <v>7.1196332E7</v>
      </c>
      <c r="F107" s="32">
        <v>5143452.0</v>
      </c>
      <c r="G107" s="32">
        <v>52210.0</v>
      </c>
      <c r="H107" s="32">
        <v>1616036.0</v>
      </c>
      <c r="I107" s="32">
        <v>2739176.0</v>
      </c>
      <c r="J107" s="32">
        <v>0.0</v>
      </c>
      <c r="K107" s="32">
        <v>1.1089704291E10</v>
      </c>
      <c r="L107" s="32">
        <v>6.908628877E9</v>
      </c>
      <c r="M107" s="32">
        <v>10674.0</v>
      </c>
      <c r="N107" s="31" t="s">
        <v>94</v>
      </c>
      <c r="O107" s="31">
        <v>25.0</v>
      </c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1.71821621E8</v>
      </c>
      <c r="B108" s="31" t="s">
        <v>156</v>
      </c>
      <c r="C108" s="32">
        <v>3.8270126E7</v>
      </c>
      <c r="D108" s="32">
        <v>0.0</v>
      </c>
      <c r="E108" s="32">
        <v>1.09474872E8</v>
      </c>
      <c r="F108" s="32">
        <v>6107237.0</v>
      </c>
      <c r="G108" s="32">
        <v>1438724.0</v>
      </c>
      <c r="H108" s="32">
        <v>4837171.0</v>
      </c>
      <c r="I108" s="32">
        <v>3005428.0</v>
      </c>
      <c r="J108" s="32">
        <v>0.0</v>
      </c>
      <c r="K108" s="32">
        <v>1.382184731E9</v>
      </c>
      <c r="L108" s="32">
        <v>1007394.0</v>
      </c>
      <c r="M108" s="32">
        <v>3428.0</v>
      </c>
      <c r="N108" s="31" t="s">
        <v>66</v>
      </c>
      <c r="O108" s="31">
        <v>25.0</v>
      </c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6.5948574E7</v>
      </c>
      <c r="B109" s="31" t="s">
        <v>157</v>
      </c>
      <c r="C109" s="32">
        <v>3.717596E7</v>
      </c>
      <c r="D109" s="32">
        <v>-289504.0</v>
      </c>
      <c r="E109" s="32">
        <v>1.24170104E8</v>
      </c>
      <c r="F109" s="32">
        <v>9830566.0</v>
      </c>
      <c r="G109" s="32">
        <v>920251.0</v>
      </c>
      <c r="H109" s="32">
        <v>5068670.0</v>
      </c>
      <c r="I109" s="32">
        <v>3533523.0</v>
      </c>
      <c r="J109" s="32">
        <v>0.0</v>
      </c>
      <c r="K109" s="32">
        <v>2.2033023651E10</v>
      </c>
      <c r="L109" s="32">
        <v>2.3958373403E10</v>
      </c>
      <c r="M109" s="32">
        <v>21556.0</v>
      </c>
      <c r="N109" s="31" t="s">
        <v>94</v>
      </c>
      <c r="O109" s="31">
        <v>25.0</v>
      </c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1.43328412E8</v>
      </c>
      <c r="B110" s="31" t="s">
        <v>158</v>
      </c>
      <c r="C110" s="32">
        <v>3.6939579E7</v>
      </c>
      <c r="D110" s="32">
        <v>39200.0</v>
      </c>
      <c r="E110" s="32">
        <v>3.24920088E8</v>
      </c>
      <c r="F110" s="32">
        <v>5751734.0</v>
      </c>
      <c r="G110" s="32">
        <v>2657791.0</v>
      </c>
      <c r="H110" s="32">
        <v>2.4253096E7</v>
      </c>
      <c r="I110" s="32">
        <v>3145842.0</v>
      </c>
      <c r="J110" s="32">
        <v>0.0</v>
      </c>
      <c r="K110" s="32">
        <v>1.0062343813E10</v>
      </c>
      <c r="L110" s="32">
        <v>8.501035607E9</v>
      </c>
      <c r="M110" s="32">
        <v>30029.0</v>
      </c>
      <c r="N110" s="31" t="s">
        <v>94</v>
      </c>
      <c r="O110" s="31">
        <v>25.0</v>
      </c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1.38607608E8</v>
      </c>
      <c r="B111" s="31" t="s">
        <v>160</v>
      </c>
      <c r="C111" s="32">
        <v>3.6379331E7</v>
      </c>
      <c r="D111" s="32">
        <v>0.0</v>
      </c>
      <c r="E111" s="32">
        <v>5.7040295E7</v>
      </c>
      <c r="F111" s="32">
        <v>280059.0</v>
      </c>
      <c r="G111" s="32">
        <v>623719.0</v>
      </c>
      <c r="H111" s="32">
        <v>4407858.0</v>
      </c>
      <c r="I111" s="32">
        <v>470882.0</v>
      </c>
      <c r="J111" s="32">
        <v>0.0</v>
      </c>
      <c r="K111" s="32">
        <v>2.811784267E9</v>
      </c>
      <c r="L111" s="32">
        <v>7.6065663E7</v>
      </c>
      <c r="M111" s="32">
        <v>5188.0</v>
      </c>
      <c r="N111" s="31" t="s">
        <v>119</v>
      </c>
      <c r="O111" s="31">
        <v>25.0</v>
      </c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6.6847214E7</v>
      </c>
      <c r="B112" s="31" t="s">
        <v>159</v>
      </c>
      <c r="C112" s="32">
        <v>3.624023E7</v>
      </c>
      <c r="D112" s="32">
        <v>1527069.0</v>
      </c>
      <c r="E112" s="32">
        <v>1.39803986E8</v>
      </c>
      <c r="F112" s="32">
        <v>8101933.0</v>
      </c>
      <c r="G112" s="32">
        <v>258753.0</v>
      </c>
      <c r="H112" s="32">
        <v>4448459.0</v>
      </c>
      <c r="I112" s="32">
        <v>4692336.0</v>
      </c>
      <c r="J112" s="32">
        <v>0.0</v>
      </c>
      <c r="K112" s="32">
        <v>1.3235008713E10</v>
      </c>
      <c r="L112" s="32">
        <v>1.80841986E10</v>
      </c>
      <c r="M112" s="32">
        <v>8498.0</v>
      </c>
      <c r="N112" s="31" t="s">
        <v>147</v>
      </c>
      <c r="O112" s="31">
        <v>25.0</v>
      </c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1.44052871E8</v>
      </c>
      <c r="B113" s="31" t="s">
        <v>162</v>
      </c>
      <c r="C113" s="32">
        <v>3.6057028E7</v>
      </c>
      <c r="D113" s="32">
        <v>1674888.0</v>
      </c>
      <c r="E113" s="32">
        <v>1.1269343E7</v>
      </c>
      <c r="F113" s="32">
        <v>7302778.0</v>
      </c>
      <c r="G113" s="32">
        <v>294567.0</v>
      </c>
      <c r="H113" s="32">
        <v>393296.0</v>
      </c>
      <c r="I113" s="32">
        <v>238415.0</v>
      </c>
      <c r="J113" s="32">
        <v>0.0</v>
      </c>
      <c r="K113" s="32">
        <v>5.585779717E9</v>
      </c>
      <c r="L113" s="32">
        <v>64161.0</v>
      </c>
      <c r="M113" s="32">
        <v>316.0</v>
      </c>
      <c r="N113" s="31" t="s">
        <v>66</v>
      </c>
      <c r="O113" s="31">
        <v>25.0</v>
      </c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1.71860424E8</v>
      </c>
      <c r="B114" s="31" t="s">
        <v>163</v>
      </c>
      <c r="C114" s="32">
        <v>3.5363957E7</v>
      </c>
      <c r="D114" s="32">
        <v>-3113156.0</v>
      </c>
      <c r="E114" s="32">
        <v>5.9278593E7</v>
      </c>
      <c r="F114" s="32">
        <v>2644580.0</v>
      </c>
      <c r="G114" s="32">
        <v>90287.0</v>
      </c>
      <c r="H114" s="32">
        <v>3461829.0</v>
      </c>
      <c r="I114" s="32">
        <v>1198410.0</v>
      </c>
      <c r="J114" s="32">
        <v>0.0</v>
      </c>
      <c r="K114" s="32">
        <v>1.66233519E9</v>
      </c>
      <c r="L114" s="32">
        <v>1.117255173E9</v>
      </c>
      <c r="M114" s="32">
        <v>16703.0</v>
      </c>
      <c r="N114" s="31" t="s">
        <v>66</v>
      </c>
      <c r="O114" s="31">
        <v>25.0</v>
      </c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1.44059309E8</v>
      </c>
      <c r="B115" s="31" t="s">
        <v>164</v>
      </c>
      <c r="C115" s="32">
        <v>3.4932325E7</v>
      </c>
      <c r="D115" s="32">
        <v>165216.0</v>
      </c>
      <c r="E115" s="32">
        <v>1.8394042E7</v>
      </c>
      <c r="F115" s="32">
        <v>8745984.0</v>
      </c>
      <c r="G115" s="32">
        <v>561062.0</v>
      </c>
      <c r="H115" s="32">
        <v>673203.0</v>
      </c>
      <c r="I115" s="32">
        <v>269406.0</v>
      </c>
      <c r="J115" s="32">
        <v>0.0</v>
      </c>
      <c r="K115" s="32">
        <v>4.046364255E9</v>
      </c>
      <c r="L115" s="32">
        <v>719086.0</v>
      </c>
      <c r="M115" s="32">
        <v>2351.0</v>
      </c>
      <c r="N115" s="31" t="s">
        <v>165</v>
      </c>
      <c r="O115" s="31">
        <v>25.0</v>
      </c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3">
        <v>1.73621774E8</v>
      </c>
      <c r="B116" s="33" t="s">
        <v>168</v>
      </c>
      <c r="C116" s="34">
        <v>3.3875956E7</v>
      </c>
      <c r="D116" s="34">
        <v>278149.0</v>
      </c>
      <c r="E116" s="34">
        <v>5371343.0</v>
      </c>
      <c r="F116" s="34">
        <v>1065662.0</v>
      </c>
      <c r="G116" s="34">
        <v>253769.0</v>
      </c>
      <c r="H116" s="34">
        <v>215029.0</v>
      </c>
      <c r="I116" s="34">
        <v>107306.0</v>
      </c>
      <c r="J116" s="34">
        <v>0.0</v>
      </c>
      <c r="K116" s="34">
        <v>1.1158223913E10</v>
      </c>
      <c r="L116" s="34">
        <v>9.81689886E9</v>
      </c>
      <c r="M116" s="34">
        <v>5283.0</v>
      </c>
      <c r="N116" s="33" t="s">
        <v>34</v>
      </c>
      <c r="O116" s="33">
        <v>24.0</v>
      </c>
      <c r="P116" s="33"/>
      <c r="Q116" s="33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1.81527216E8</v>
      </c>
      <c r="B117" s="31" t="s">
        <v>166</v>
      </c>
      <c r="C117" s="32">
        <v>3.3801193E7</v>
      </c>
      <c r="D117" s="32">
        <v>151400.0</v>
      </c>
      <c r="E117" s="32">
        <v>8713098.0</v>
      </c>
      <c r="F117" s="32">
        <v>3721329.0</v>
      </c>
      <c r="G117" s="32">
        <v>367661.0</v>
      </c>
      <c r="H117" s="32">
        <v>395838.0</v>
      </c>
      <c r="I117" s="32">
        <v>233744.0</v>
      </c>
      <c r="J117" s="32">
        <v>0.0</v>
      </c>
      <c r="K117" s="32">
        <v>3.885285825E9</v>
      </c>
      <c r="L117" s="32">
        <v>0.0</v>
      </c>
      <c r="M117" s="32">
        <v>5306.0</v>
      </c>
      <c r="N117" s="31" t="s">
        <v>165</v>
      </c>
      <c r="O117" s="31">
        <v>25.0</v>
      </c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1.4402476E8</v>
      </c>
      <c r="B118" s="31" t="s">
        <v>171</v>
      </c>
      <c r="C118" s="32">
        <v>3.3493445E7</v>
      </c>
      <c r="D118" s="32">
        <v>0.0</v>
      </c>
      <c r="E118" s="32">
        <v>4.7975587E7</v>
      </c>
      <c r="F118" s="32">
        <v>2015763.0</v>
      </c>
      <c r="G118" s="32">
        <v>477686.0</v>
      </c>
      <c r="H118" s="32">
        <v>2545067.0</v>
      </c>
      <c r="I118" s="32">
        <v>1010178.0</v>
      </c>
      <c r="J118" s="32">
        <v>0.0</v>
      </c>
      <c r="K118" s="32">
        <v>7.011384508E9</v>
      </c>
      <c r="L118" s="32">
        <v>1.3833088E7</v>
      </c>
      <c r="M118" s="32">
        <v>9138.0</v>
      </c>
      <c r="N118" s="31" t="s">
        <v>66</v>
      </c>
      <c r="O118" s="31">
        <v>25.0</v>
      </c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1.72219261E8</v>
      </c>
      <c r="B119" s="31" t="s">
        <v>185</v>
      </c>
      <c r="C119" s="32">
        <v>3.3192206E7</v>
      </c>
      <c r="D119" s="32">
        <v>262300.0</v>
      </c>
      <c r="E119" s="32">
        <v>9107647.0</v>
      </c>
      <c r="F119" s="32">
        <v>4088173.0</v>
      </c>
      <c r="G119" s="32">
        <v>80005.0</v>
      </c>
      <c r="H119" s="32">
        <v>224964.0</v>
      </c>
      <c r="I119" s="32">
        <v>333443.0</v>
      </c>
      <c r="J119" s="32">
        <v>0.0</v>
      </c>
      <c r="K119" s="32">
        <v>4.917968103E9</v>
      </c>
      <c r="L119" s="32">
        <v>2.75E7</v>
      </c>
      <c r="M119" s="32">
        <v>3837.0</v>
      </c>
      <c r="N119" s="31" t="s">
        <v>119</v>
      </c>
      <c r="O119" s="31">
        <v>25.0</v>
      </c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1.81734011E8</v>
      </c>
      <c r="B120" s="31" t="s">
        <v>169</v>
      </c>
      <c r="C120" s="32">
        <v>3.2725218E7</v>
      </c>
      <c r="D120" s="32">
        <v>2571439.0</v>
      </c>
      <c r="E120" s="32">
        <v>8.4623892E7</v>
      </c>
      <c r="F120" s="32">
        <v>3526936.0</v>
      </c>
      <c r="G120" s="32">
        <v>236563.0</v>
      </c>
      <c r="H120" s="32">
        <v>2817968.0</v>
      </c>
      <c r="I120" s="32">
        <v>2628787.0</v>
      </c>
      <c r="J120" s="32">
        <v>0.0</v>
      </c>
      <c r="K120" s="32">
        <v>8.416969895E9</v>
      </c>
      <c r="L120" s="32">
        <v>2.39070088E8</v>
      </c>
      <c r="M120" s="32">
        <v>12697.0</v>
      </c>
      <c r="N120" s="31" t="s">
        <v>34</v>
      </c>
      <c r="O120" s="31">
        <v>25.0</v>
      </c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1.48890128E8</v>
      </c>
      <c r="B121" s="31" t="s">
        <v>170</v>
      </c>
      <c r="C121" s="32">
        <v>3.2673801E7</v>
      </c>
      <c r="D121" s="32">
        <v>32200.0</v>
      </c>
      <c r="E121" s="32">
        <v>2.6185762E7</v>
      </c>
      <c r="F121" s="32">
        <v>4350443.0</v>
      </c>
      <c r="G121" s="32">
        <v>269772.0</v>
      </c>
      <c r="H121" s="32">
        <v>1744020.0</v>
      </c>
      <c r="I121" s="32">
        <v>330142.0</v>
      </c>
      <c r="J121" s="32">
        <v>0.0</v>
      </c>
      <c r="K121" s="32">
        <v>8.269709204E9</v>
      </c>
      <c r="L121" s="32">
        <v>4.011433363E9</v>
      </c>
      <c r="M121" s="32">
        <v>6507.0</v>
      </c>
      <c r="N121" s="31" t="s">
        <v>126</v>
      </c>
      <c r="O121" s="31">
        <v>25.0</v>
      </c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1.39139149E8</v>
      </c>
      <c r="B122" s="31" t="s">
        <v>172</v>
      </c>
      <c r="C122" s="32">
        <v>3.2418591E7</v>
      </c>
      <c r="D122" s="32">
        <v>43928.0</v>
      </c>
      <c r="E122" s="32">
        <v>3.2066717E8</v>
      </c>
      <c r="F122" s="32">
        <v>5005600.0</v>
      </c>
      <c r="G122" s="32">
        <v>1.3375761E7</v>
      </c>
      <c r="H122" s="32">
        <v>2.1995011E7</v>
      </c>
      <c r="I122" s="32">
        <v>4331928.0</v>
      </c>
      <c r="J122" s="32">
        <v>0.0</v>
      </c>
      <c r="K122" s="32">
        <v>7.611448376E9</v>
      </c>
      <c r="L122" s="32">
        <v>5.98299802E8</v>
      </c>
      <c r="M122" s="32">
        <v>23375.0</v>
      </c>
      <c r="N122" s="31" t="s">
        <v>66</v>
      </c>
      <c r="O122" s="31">
        <v>25.0</v>
      </c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1.44039036E8</v>
      </c>
      <c r="B123" s="31" t="s">
        <v>177</v>
      </c>
      <c r="C123" s="32">
        <v>3.1340165E7</v>
      </c>
      <c r="D123" s="32">
        <v>0.0</v>
      </c>
      <c r="E123" s="32">
        <v>3.0798715E7</v>
      </c>
      <c r="F123" s="32">
        <v>2954008.0</v>
      </c>
      <c r="G123" s="32">
        <v>159969.0</v>
      </c>
      <c r="H123" s="32">
        <v>2570716.0</v>
      </c>
      <c r="I123" s="32">
        <v>220177.0</v>
      </c>
      <c r="J123" s="32">
        <v>0.0</v>
      </c>
      <c r="K123" s="32">
        <v>2.976187255E9</v>
      </c>
      <c r="L123" s="32">
        <v>4000000.0</v>
      </c>
      <c r="M123" s="32">
        <v>4477.0</v>
      </c>
      <c r="N123" s="31" t="s">
        <v>66</v>
      </c>
      <c r="O123" s="31">
        <v>25.0</v>
      </c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1.44022385E8</v>
      </c>
      <c r="B124" s="31" t="s">
        <v>182</v>
      </c>
      <c r="C124" s="32">
        <v>3.0962747E7</v>
      </c>
      <c r="D124" s="32">
        <v>-4960426.0</v>
      </c>
      <c r="E124" s="32">
        <v>4.8974645E7</v>
      </c>
      <c r="F124" s="32">
        <v>2318694.0</v>
      </c>
      <c r="G124" s="32">
        <v>732439.0</v>
      </c>
      <c r="H124" s="32">
        <v>3345738.0</v>
      </c>
      <c r="I124" s="32">
        <v>669646.0</v>
      </c>
      <c r="J124" s="32">
        <v>0.0</v>
      </c>
      <c r="K124" s="32">
        <v>4.919262822E9</v>
      </c>
      <c r="L124" s="32">
        <v>3.7075938E7</v>
      </c>
      <c r="M124" s="32">
        <v>8840.0</v>
      </c>
      <c r="N124" s="31" t="s">
        <v>66</v>
      </c>
      <c r="O124" s="31">
        <v>25.0</v>
      </c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1.44046322E8</v>
      </c>
      <c r="B125" s="31" t="s">
        <v>180</v>
      </c>
      <c r="C125" s="32">
        <v>3.0920733E7</v>
      </c>
      <c r="D125" s="32">
        <v>0.0</v>
      </c>
      <c r="E125" s="32">
        <v>8494096.0</v>
      </c>
      <c r="F125" s="32">
        <v>3782729.0</v>
      </c>
      <c r="G125" s="32">
        <v>150382.0</v>
      </c>
      <c r="H125" s="32">
        <v>500008.0</v>
      </c>
      <c r="I125" s="32">
        <v>98276.0</v>
      </c>
      <c r="J125" s="32">
        <v>0.0</v>
      </c>
      <c r="K125" s="32">
        <v>4.041409519E9</v>
      </c>
      <c r="L125" s="32">
        <v>0.0</v>
      </c>
      <c r="M125" s="32">
        <v>1808.0</v>
      </c>
      <c r="N125" s="31" t="s">
        <v>373</v>
      </c>
      <c r="O125" s="31">
        <v>25.0</v>
      </c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6.1881204E7</v>
      </c>
      <c r="B126" s="31" t="s">
        <v>178</v>
      </c>
      <c r="C126" s="32">
        <v>3.0563218E7</v>
      </c>
      <c r="D126" s="32">
        <v>-353176.0</v>
      </c>
      <c r="E126" s="32">
        <v>6.4328779E7</v>
      </c>
      <c r="F126" s="32">
        <v>1.0290878E7</v>
      </c>
      <c r="G126" s="32">
        <v>729778.0</v>
      </c>
      <c r="H126" s="32">
        <v>1791230.0</v>
      </c>
      <c r="I126" s="32">
        <v>2260934.0</v>
      </c>
      <c r="J126" s="32">
        <v>0.0</v>
      </c>
      <c r="K126" s="32">
        <v>1.7504068593E10</v>
      </c>
      <c r="L126" s="32">
        <v>2.0083637095E10</v>
      </c>
      <c r="M126" s="32">
        <v>11361.0</v>
      </c>
      <c r="N126" s="31" t="s">
        <v>147</v>
      </c>
      <c r="O126" s="31">
        <v>25.0</v>
      </c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1.38608103E8</v>
      </c>
      <c r="B127" s="31" t="s">
        <v>183</v>
      </c>
      <c r="C127" s="32">
        <v>3.0559231E7</v>
      </c>
      <c r="D127" s="32">
        <v>0.0</v>
      </c>
      <c r="E127" s="32">
        <v>1.08660338E8</v>
      </c>
      <c r="F127" s="32">
        <v>2886766.0</v>
      </c>
      <c r="G127" s="32">
        <v>3206750.0</v>
      </c>
      <c r="H127" s="32">
        <v>8903873.0</v>
      </c>
      <c r="I127" s="32">
        <v>571389.0</v>
      </c>
      <c r="J127" s="32">
        <v>0.0</v>
      </c>
      <c r="K127" s="32">
        <v>2.832279686E9</v>
      </c>
      <c r="L127" s="32">
        <v>4.3806745E8</v>
      </c>
      <c r="M127" s="32">
        <v>12017.0</v>
      </c>
      <c r="N127" s="31" t="s">
        <v>119</v>
      </c>
      <c r="O127" s="31">
        <v>25.0</v>
      </c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1.75314255E8</v>
      </c>
      <c r="B128" s="31" t="s">
        <v>179</v>
      </c>
      <c r="C128" s="32">
        <v>3.0547097E7</v>
      </c>
      <c r="D128" s="32">
        <v>578729.0</v>
      </c>
      <c r="E128" s="32">
        <v>2.2789289E7</v>
      </c>
      <c r="F128" s="32">
        <v>3647337.0</v>
      </c>
      <c r="G128" s="32">
        <v>281976.0</v>
      </c>
      <c r="H128" s="32">
        <v>1320134.0</v>
      </c>
      <c r="I128" s="32">
        <v>451278.0</v>
      </c>
      <c r="J128" s="32">
        <v>0.0</v>
      </c>
      <c r="K128" s="32">
        <v>4.119006404E9</v>
      </c>
      <c r="L128" s="32">
        <v>1.22435684E8</v>
      </c>
      <c r="M128" s="32">
        <v>8945.0</v>
      </c>
      <c r="N128" s="31" t="s">
        <v>94</v>
      </c>
      <c r="O128" s="31">
        <v>25.0</v>
      </c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3">
        <v>1.70449746E8</v>
      </c>
      <c r="B129" s="33" t="s">
        <v>184</v>
      </c>
      <c r="C129" s="34">
        <v>3.024891E7</v>
      </c>
      <c r="D129" s="34">
        <v>130188.0</v>
      </c>
      <c r="E129" s="34">
        <v>5291709.0</v>
      </c>
      <c r="F129" s="34">
        <v>102004.0</v>
      </c>
      <c r="G129" s="34">
        <v>305.0</v>
      </c>
      <c r="H129" s="34">
        <v>362162.0</v>
      </c>
      <c r="I129" s="34">
        <v>82623.0</v>
      </c>
      <c r="J129" s="34">
        <v>0.0</v>
      </c>
      <c r="K129" s="34">
        <v>6.692597017E9</v>
      </c>
      <c r="L129" s="34">
        <v>6.20272539E9</v>
      </c>
      <c r="M129" s="34">
        <v>2883.0</v>
      </c>
      <c r="N129" s="33" t="s">
        <v>94</v>
      </c>
      <c r="O129" s="33">
        <v>23.0</v>
      </c>
      <c r="P129" s="33"/>
      <c r="Q129" s="33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1.47116341E8</v>
      </c>
      <c r="B130" s="31" t="s">
        <v>374</v>
      </c>
      <c r="C130" s="32">
        <v>3.0171324E7</v>
      </c>
      <c r="D130" s="32">
        <v>101350.0</v>
      </c>
      <c r="E130" s="32">
        <v>1.3529689E7</v>
      </c>
      <c r="F130" s="32">
        <v>526000.0</v>
      </c>
      <c r="G130" s="32">
        <v>308.0</v>
      </c>
      <c r="H130" s="32">
        <v>807831.0</v>
      </c>
      <c r="I130" s="32">
        <v>271954.0</v>
      </c>
      <c r="J130" s="32">
        <v>0.0</v>
      </c>
      <c r="K130" s="32">
        <v>6.316712656E9</v>
      </c>
      <c r="L130" s="32">
        <v>6.724585973E9</v>
      </c>
      <c r="M130" s="32">
        <v>2908.0</v>
      </c>
      <c r="N130" s="31" t="s">
        <v>165</v>
      </c>
      <c r="O130" s="31">
        <v>25.0</v>
      </c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1.44094596E8</v>
      </c>
      <c r="B131" s="31" t="s">
        <v>189</v>
      </c>
      <c r="C131" s="32">
        <v>2.9989921E7</v>
      </c>
      <c r="D131" s="32">
        <v>0.0</v>
      </c>
      <c r="E131" s="32">
        <v>8.5944516E7</v>
      </c>
      <c r="F131" s="32">
        <v>3031180.0</v>
      </c>
      <c r="G131" s="32">
        <v>1.3616531E7</v>
      </c>
      <c r="H131" s="32">
        <v>5274309.0</v>
      </c>
      <c r="I131" s="32">
        <v>1435775.0</v>
      </c>
      <c r="J131" s="32">
        <v>0.0</v>
      </c>
      <c r="K131" s="32">
        <v>5.357258082E9</v>
      </c>
      <c r="L131" s="32">
        <v>1.2391473E7</v>
      </c>
      <c r="M131" s="32">
        <v>9785.0</v>
      </c>
      <c r="N131" s="31" t="s">
        <v>66</v>
      </c>
      <c r="O131" s="31">
        <v>25.0</v>
      </c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1.44104572E8</v>
      </c>
      <c r="B132" s="31" t="s">
        <v>196</v>
      </c>
      <c r="C132" s="32">
        <v>2.8455529E7</v>
      </c>
      <c r="D132" s="32">
        <v>0.0</v>
      </c>
      <c r="E132" s="32">
        <v>2.5680783E7</v>
      </c>
      <c r="F132" s="32">
        <v>2999268.0</v>
      </c>
      <c r="G132" s="32">
        <v>4109706.0</v>
      </c>
      <c r="H132" s="32">
        <v>1511050.0</v>
      </c>
      <c r="I132" s="32">
        <v>334000.0</v>
      </c>
      <c r="J132" s="32">
        <v>0.0</v>
      </c>
      <c r="K132" s="32">
        <v>2.914147196E9</v>
      </c>
      <c r="L132" s="32">
        <v>8.33264E7</v>
      </c>
      <c r="M132" s="32">
        <v>5955.0</v>
      </c>
      <c r="N132" s="31" t="s">
        <v>119</v>
      </c>
      <c r="O132" s="31">
        <v>25.0</v>
      </c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1.1363981E7</v>
      </c>
      <c r="B133" s="31" t="s">
        <v>188</v>
      </c>
      <c r="C133" s="32">
        <v>2.8448419E7</v>
      </c>
      <c r="D133" s="32">
        <v>417320.0</v>
      </c>
      <c r="E133" s="32">
        <v>2.05426442E8</v>
      </c>
      <c r="F133" s="32">
        <v>8381484.0</v>
      </c>
      <c r="G133" s="32">
        <v>883504.0</v>
      </c>
      <c r="H133" s="32">
        <v>7786499.0</v>
      </c>
      <c r="I133" s="32">
        <v>6260570.0</v>
      </c>
      <c r="J133" s="32">
        <v>0.0</v>
      </c>
      <c r="K133" s="32">
        <v>1.0870800015E10</v>
      </c>
      <c r="L133" s="32">
        <v>1.478163898E10</v>
      </c>
      <c r="M133" s="32">
        <v>12073.0</v>
      </c>
      <c r="N133" s="31" t="s">
        <v>34</v>
      </c>
      <c r="O133" s="31">
        <v>25.0</v>
      </c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6.3513788E7</v>
      </c>
      <c r="B134" s="31" t="s">
        <v>190</v>
      </c>
      <c r="C134" s="32">
        <v>2.834597E7</v>
      </c>
      <c r="D134" s="32">
        <v>-78500.0</v>
      </c>
      <c r="E134" s="32">
        <v>3.5067748E7</v>
      </c>
      <c r="F134" s="32">
        <v>8961628.0</v>
      </c>
      <c r="G134" s="32">
        <v>22581.0</v>
      </c>
      <c r="H134" s="32">
        <v>1179501.0</v>
      </c>
      <c r="I134" s="32">
        <v>1151796.0</v>
      </c>
      <c r="J134" s="32">
        <v>0.0</v>
      </c>
      <c r="K134" s="32">
        <v>1.7717614335E10</v>
      </c>
      <c r="L134" s="32">
        <v>1.9831032386E10</v>
      </c>
      <c r="M134" s="32">
        <v>8450.0</v>
      </c>
      <c r="N134" s="31" t="s">
        <v>147</v>
      </c>
      <c r="O134" s="31">
        <v>25.0</v>
      </c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1.38821863E8</v>
      </c>
      <c r="B135" s="31" t="s">
        <v>186</v>
      </c>
      <c r="C135" s="32">
        <v>2.8323569E7</v>
      </c>
      <c r="D135" s="32">
        <v>-1584491.0</v>
      </c>
      <c r="E135" s="32">
        <v>3.6296436E7</v>
      </c>
      <c r="F135" s="32">
        <v>1877852.0</v>
      </c>
      <c r="G135" s="32">
        <v>397842.0</v>
      </c>
      <c r="H135" s="32">
        <v>3109284.0</v>
      </c>
      <c r="I135" s="32">
        <v>109825.0</v>
      </c>
      <c r="J135" s="32">
        <v>0.0</v>
      </c>
      <c r="K135" s="32">
        <v>4.993341586E9</v>
      </c>
      <c r="L135" s="32">
        <v>6.36064786E8</v>
      </c>
      <c r="M135" s="32">
        <v>8603.0</v>
      </c>
      <c r="N135" s="31" t="s">
        <v>66</v>
      </c>
      <c r="O135" s="31">
        <v>25.0</v>
      </c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7.9647211E7</v>
      </c>
      <c r="B136" s="31" t="s">
        <v>191</v>
      </c>
      <c r="C136" s="32">
        <v>2.8289141E7</v>
      </c>
      <c r="D136" s="32">
        <v>857084.0</v>
      </c>
      <c r="E136" s="32">
        <v>3.8627397E7</v>
      </c>
      <c r="F136" s="32">
        <v>1940975.0</v>
      </c>
      <c r="G136" s="32">
        <v>4479.0</v>
      </c>
      <c r="H136" s="32">
        <v>1218274.0</v>
      </c>
      <c r="I136" s="32">
        <v>1319807.0</v>
      </c>
      <c r="J136" s="32">
        <v>0.0</v>
      </c>
      <c r="K136" s="32">
        <v>6.613846251E9</v>
      </c>
      <c r="L136" s="32">
        <v>1.0662920798E10</v>
      </c>
      <c r="M136" s="32">
        <v>3598.0</v>
      </c>
      <c r="N136" s="31" t="s">
        <v>34</v>
      </c>
      <c r="O136" s="31">
        <v>25.0</v>
      </c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1.44637263E8</v>
      </c>
      <c r="B137" s="31" t="s">
        <v>192</v>
      </c>
      <c r="C137" s="32">
        <v>2.8065865E7</v>
      </c>
      <c r="D137" s="32">
        <v>0.0</v>
      </c>
      <c r="E137" s="32">
        <v>6.9725268E7</v>
      </c>
      <c r="F137" s="32">
        <v>3582025.0</v>
      </c>
      <c r="G137" s="32">
        <v>794551.0</v>
      </c>
      <c r="H137" s="32">
        <v>4624058.0</v>
      </c>
      <c r="I137" s="32">
        <v>1029805.0</v>
      </c>
      <c r="J137" s="32">
        <v>0.0</v>
      </c>
      <c r="K137" s="32">
        <v>5.083440858E9</v>
      </c>
      <c r="L137" s="32">
        <v>1.485775749E9</v>
      </c>
      <c r="M137" s="32">
        <v>20419.0</v>
      </c>
      <c r="N137" s="31" t="s">
        <v>66</v>
      </c>
      <c r="O137" s="31">
        <v>25.0</v>
      </c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1.26732488E8</v>
      </c>
      <c r="B138" s="31" t="s">
        <v>375</v>
      </c>
      <c r="C138" s="32">
        <v>2.7826852E7</v>
      </c>
      <c r="D138" s="32">
        <v>-1513308.0</v>
      </c>
      <c r="E138" s="32">
        <v>7.505286E7</v>
      </c>
      <c r="F138" s="32">
        <v>2857863.0</v>
      </c>
      <c r="G138" s="32">
        <v>1767333.0</v>
      </c>
      <c r="H138" s="32">
        <v>5847614.0</v>
      </c>
      <c r="I138" s="32">
        <v>618582.0</v>
      </c>
      <c r="J138" s="32">
        <v>0.0</v>
      </c>
      <c r="K138" s="32">
        <v>4.868025488E9</v>
      </c>
      <c r="L138" s="32">
        <v>5.51118928E8</v>
      </c>
      <c r="M138" s="32">
        <v>16114.0</v>
      </c>
      <c r="N138" s="31" t="s">
        <v>66</v>
      </c>
      <c r="O138" s="31">
        <v>25.0</v>
      </c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1.7395388E8</v>
      </c>
      <c r="B139" s="31" t="s">
        <v>194</v>
      </c>
      <c r="C139" s="32">
        <v>2.7499054E7</v>
      </c>
      <c r="D139" s="32">
        <v>90100.0</v>
      </c>
      <c r="E139" s="32">
        <v>1648460.0</v>
      </c>
      <c r="F139" s="32">
        <v>1653283.0</v>
      </c>
      <c r="G139" s="32">
        <v>0.0</v>
      </c>
      <c r="H139" s="32">
        <v>106204.0</v>
      </c>
      <c r="I139" s="32">
        <v>28128.0</v>
      </c>
      <c r="J139" s="32">
        <v>0.0</v>
      </c>
      <c r="K139" s="32">
        <v>4.939248874E9</v>
      </c>
      <c r="L139" s="32">
        <v>3.346021861E9</v>
      </c>
      <c r="M139" s="32">
        <v>2422.0</v>
      </c>
      <c r="N139" s="31" t="s">
        <v>147</v>
      </c>
      <c r="O139" s="31">
        <v>25.0</v>
      </c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1.46036286E8</v>
      </c>
      <c r="B140" s="31" t="s">
        <v>205</v>
      </c>
      <c r="C140" s="32">
        <v>2.7376224E7</v>
      </c>
      <c r="D140" s="32">
        <v>87936.0</v>
      </c>
      <c r="E140" s="32">
        <v>4.2109155E7</v>
      </c>
      <c r="F140" s="32">
        <v>4833560.0</v>
      </c>
      <c r="G140" s="32">
        <v>591938.0</v>
      </c>
      <c r="H140" s="32">
        <v>2771473.0</v>
      </c>
      <c r="I140" s="32">
        <v>524455.0</v>
      </c>
      <c r="J140" s="32">
        <v>0.0</v>
      </c>
      <c r="K140" s="32">
        <v>2.0543157707E10</v>
      </c>
      <c r="L140" s="32">
        <v>1.1736223974E10</v>
      </c>
      <c r="M140" s="32">
        <v>5765.0</v>
      </c>
      <c r="N140" s="31" t="s">
        <v>153</v>
      </c>
      <c r="O140" s="31">
        <v>25.0</v>
      </c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7.7474302E7</v>
      </c>
      <c r="B141" s="31" t="s">
        <v>195</v>
      </c>
      <c r="C141" s="32">
        <v>2.729644E7</v>
      </c>
      <c r="D141" s="32">
        <v>-100000.0</v>
      </c>
      <c r="E141" s="32">
        <v>3.8235651E7</v>
      </c>
      <c r="F141" s="32">
        <v>4747649.0</v>
      </c>
      <c r="G141" s="32">
        <v>164935.0</v>
      </c>
      <c r="H141" s="32">
        <v>925311.0</v>
      </c>
      <c r="I141" s="32">
        <v>1410586.0</v>
      </c>
      <c r="J141" s="32">
        <v>0.0</v>
      </c>
      <c r="K141" s="32">
        <v>1.4371464022E10</v>
      </c>
      <c r="L141" s="32">
        <v>1.7098971925E10</v>
      </c>
      <c r="M141" s="32">
        <v>9300.0</v>
      </c>
      <c r="N141" s="31" t="s">
        <v>147</v>
      </c>
      <c r="O141" s="31">
        <v>25.0</v>
      </c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1.1279231E8</v>
      </c>
      <c r="B142" s="31" t="s">
        <v>197</v>
      </c>
      <c r="C142" s="32">
        <v>2.6474993E7</v>
      </c>
      <c r="D142" s="32">
        <v>3267605.0</v>
      </c>
      <c r="E142" s="32">
        <v>6.2286967E7</v>
      </c>
      <c r="F142" s="32">
        <v>6292337.0</v>
      </c>
      <c r="G142" s="32">
        <v>979215.0</v>
      </c>
      <c r="H142" s="32">
        <v>2324487.0</v>
      </c>
      <c r="I142" s="32">
        <v>1792717.0</v>
      </c>
      <c r="J142" s="32">
        <v>0.0</v>
      </c>
      <c r="K142" s="32">
        <v>3.1782724374E10</v>
      </c>
      <c r="L142" s="32">
        <v>3.4405762438E10</v>
      </c>
      <c r="M142" s="32">
        <v>12403.0</v>
      </c>
      <c r="N142" s="31" t="s">
        <v>34</v>
      </c>
      <c r="O142" s="31">
        <v>25.0</v>
      </c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1.44004212E8</v>
      </c>
      <c r="B143" s="31" t="s">
        <v>376</v>
      </c>
      <c r="C143" s="32">
        <v>2.596351E7</v>
      </c>
      <c r="D143" s="32">
        <v>-1100579.0</v>
      </c>
      <c r="E143" s="32">
        <v>1.3768277E7</v>
      </c>
      <c r="F143" s="32">
        <v>1687796.0</v>
      </c>
      <c r="G143" s="32">
        <v>52235.0</v>
      </c>
      <c r="H143" s="32">
        <v>966880.0</v>
      </c>
      <c r="I143" s="32">
        <v>198951.0</v>
      </c>
      <c r="J143" s="32">
        <v>0.0</v>
      </c>
      <c r="K143" s="32">
        <v>2.978119449E9</v>
      </c>
      <c r="L143" s="32">
        <v>1.0329075E7</v>
      </c>
      <c r="M143" s="32">
        <v>4058.0</v>
      </c>
      <c r="N143" s="31" t="s">
        <v>66</v>
      </c>
      <c r="O143" s="31">
        <v>25.0</v>
      </c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3">
        <v>7.1189562E7</v>
      </c>
      <c r="B144" s="33" t="s">
        <v>199</v>
      </c>
      <c r="C144" s="34">
        <v>2.586008E7</v>
      </c>
      <c r="D144" s="34">
        <v>49732.0</v>
      </c>
      <c r="E144" s="34">
        <v>2408509.0</v>
      </c>
      <c r="F144" s="34">
        <v>823250.0</v>
      </c>
      <c r="G144" s="34">
        <v>18168.0</v>
      </c>
      <c r="H144" s="34">
        <v>172952.0</v>
      </c>
      <c r="I144" s="34">
        <v>26188.0</v>
      </c>
      <c r="J144" s="34">
        <v>0.0</v>
      </c>
      <c r="K144" s="34">
        <v>1.4563970003E10</v>
      </c>
      <c r="L144" s="34">
        <v>1.5124513151E10</v>
      </c>
      <c r="M144" s="34">
        <v>3376.0</v>
      </c>
      <c r="N144" s="33" t="s">
        <v>153</v>
      </c>
      <c r="O144" s="33">
        <v>24.0</v>
      </c>
      <c r="P144" s="33"/>
      <c r="Q144" s="33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1.58265064E8</v>
      </c>
      <c r="B145" s="31" t="s">
        <v>200</v>
      </c>
      <c r="C145" s="32">
        <v>2.5711762E7</v>
      </c>
      <c r="D145" s="32">
        <v>315282.0</v>
      </c>
      <c r="E145" s="32">
        <v>1.1312096E7</v>
      </c>
      <c r="F145" s="32">
        <v>1040720.0</v>
      </c>
      <c r="G145" s="32">
        <v>238681.0</v>
      </c>
      <c r="H145" s="32">
        <v>435809.0</v>
      </c>
      <c r="I145" s="32">
        <v>209818.0</v>
      </c>
      <c r="J145" s="32">
        <v>0.0</v>
      </c>
      <c r="K145" s="32">
        <v>3.813850192E9</v>
      </c>
      <c r="L145" s="32">
        <v>2.856723815E9</v>
      </c>
      <c r="M145" s="32">
        <v>8681.0</v>
      </c>
      <c r="N145" s="31" t="s">
        <v>147</v>
      </c>
      <c r="O145" s="31">
        <v>25.0</v>
      </c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6.1106312E7</v>
      </c>
      <c r="B146" s="31" t="s">
        <v>201</v>
      </c>
      <c r="C146" s="32">
        <v>2.5245254E7</v>
      </c>
      <c r="D146" s="32">
        <v>0.0</v>
      </c>
      <c r="E146" s="32">
        <v>1.37061894E8</v>
      </c>
      <c r="F146" s="32">
        <v>6457701.0</v>
      </c>
      <c r="G146" s="32">
        <v>1064273.0</v>
      </c>
      <c r="H146" s="32">
        <v>8566764.0</v>
      </c>
      <c r="I146" s="32">
        <v>1635188.0</v>
      </c>
      <c r="J146" s="32">
        <v>0.0</v>
      </c>
      <c r="K146" s="32">
        <v>1.5616660462E10</v>
      </c>
      <c r="L146" s="32">
        <v>1.6233438464E10</v>
      </c>
      <c r="M146" s="32">
        <v>12410.0</v>
      </c>
      <c r="N146" s="31" t="s">
        <v>34</v>
      </c>
      <c r="O146" s="31">
        <v>25.0</v>
      </c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1.66394798E8</v>
      </c>
      <c r="B147" s="31" t="s">
        <v>202</v>
      </c>
      <c r="C147" s="32">
        <v>2.509401E7</v>
      </c>
      <c r="D147" s="32">
        <v>-33000.0</v>
      </c>
      <c r="E147" s="32">
        <v>4.8823301E7</v>
      </c>
      <c r="F147" s="32">
        <v>2377006.0</v>
      </c>
      <c r="G147" s="32">
        <v>567889.0</v>
      </c>
      <c r="H147" s="32">
        <v>3113738.0</v>
      </c>
      <c r="I147" s="32">
        <v>686427.0</v>
      </c>
      <c r="J147" s="32">
        <v>0.0</v>
      </c>
      <c r="K147" s="32">
        <v>6.518067008E9</v>
      </c>
      <c r="L147" s="32">
        <v>1.563279624E10</v>
      </c>
      <c r="M147" s="32">
        <v>12338.0</v>
      </c>
      <c r="N147" s="31" t="s">
        <v>34</v>
      </c>
      <c r="O147" s="31">
        <v>25.0</v>
      </c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7.7531879E7</v>
      </c>
      <c r="B148" s="31" t="s">
        <v>204</v>
      </c>
      <c r="C148" s="32">
        <v>2.4378635E7</v>
      </c>
      <c r="D148" s="32">
        <v>803.0</v>
      </c>
      <c r="E148" s="32">
        <v>4537895.0</v>
      </c>
      <c r="F148" s="32">
        <v>76522.0</v>
      </c>
      <c r="G148" s="32">
        <v>36.0</v>
      </c>
      <c r="H148" s="32">
        <v>104025.0</v>
      </c>
      <c r="I148" s="32">
        <v>174604.0</v>
      </c>
      <c r="J148" s="32">
        <v>0.0</v>
      </c>
      <c r="K148" s="32">
        <v>9.555911001E9</v>
      </c>
      <c r="L148" s="32">
        <v>1.1235078215E10</v>
      </c>
      <c r="M148" s="32">
        <v>3933.0</v>
      </c>
      <c r="N148" s="31" t="s">
        <v>153</v>
      </c>
      <c r="O148" s="31">
        <v>25.0</v>
      </c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1.86763477E8</v>
      </c>
      <c r="B149" s="31" t="s">
        <v>203</v>
      </c>
      <c r="C149" s="32">
        <v>2.420475E7</v>
      </c>
      <c r="D149" s="32">
        <v>182400.0</v>
      </c>
      <c r="E149" s="32">
        <v>1.3552118E7</v>
      </c>
      <c r="F149" s="32">
        <v>3029900.0</v>
      </c>
      <c r="G149" s="32">
        <v>487244.0</v>
      </c>
      <c r="H149" s="32">
        <v>748513.0</v>
      </c>
      <c r="I149" s="32">
        <v>165273.0</v>
      </c>
      <c r="J149" s="32">
        <v>0.0</v>
      </c>
      <c r="K149" s="32">
        <v>2.473029659E9</v>
      </c>
      <c r="L149" s="32">
        <v>1.628E7</v>
      </c>
      <c r="M149" s="32">
        <v>10852.0</v>
      </c>
      <c r="N149" s="31" t="s">
        <v>34</v>
      </c>
      <c r="O149" s="31">
        <v>25.0</v>
      </c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3">
        <v>1.85391227E8</v>
      </c>
      <c r="B150" s="33" t="s">
        <v>207</v>
      </c>
      <c r="C150" s="34">
        <v>2.3785554E7</v>
      </c>
      <c r="D150" s="34">
        <v>-525328.0</v>
      </c>
      <c r="E150" s="34">
        <v>5185717.0</v>
      </c>
      <c r="F150" s="34">
        <v>1123408.0</v>
      </c>
      <c r="G150" s="34">
        <v>186.0</v>
      </c>
      <c r="H150" s="34">
        <v>214.0</v>
      </c>
      <c r="I150" s="34">
        <v>259177.0</v>
      </c>
      <c r="J150" s="34">
        <v>0.0</v>
      </c>
      <c r="K150" s="34">
        <v>8.282774066E9</v>
      </c>
      <c r="L150" s="34">
        <v>5.777495661E9</v>
      </c>
      <c r="M150" s="34">
        <v>2536.0</v>
      </c>
      <c r="N150" s="33" t="s">
        <v>94</v>
      </c>
      <c r="O150" s="33">
        <v>24.0</v>
      </c>
      <c r="P150" s="33"/>
      <c r="Q150" s="33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3">
        <v>4.8558795E7</v>
      </c>
      <c r="B151" s="33" t="s">
        <v>208</v>
      </c>
      <c r="C151" s="34">
        <v>2.3701479E7</v>
      </c>
      <c r="D151" s="34">
        <v>135504.0</v>
      </c>
      <c r="E151" s="34">
        <v>1928497.0</v>
      </c>
      <c r="F151" s="34">
        <v>461565.0</v>
      </c>
      <c r="G151" s="34">
        <v>485.0</v>
      </c>
      <c r="H151" s="34">
        <v>141444.0</v>
      </c>
      <c r="I151" s="34">
        <v>25698.0</v>
      </c>
      <c r="J151" s="34">
        <v>0.0</v>
      </c>
      <c r="K151" s="34">
        <v>1.2936085686E10</v>
      </c>
      <c r="L151" s="34">
        <v>1.559696354E10</v>
      </c>
      <c r="M151" s="34">
        <v>2887.0</v>
      </c>
      <c r="N151" s="33" t="s">
        <v>153</v>
      </c>
      <c r="O151" s="33">
        <v>24.0</v>
      </c>
      <c r="P151" s="33"/>
      <c r="Q151" s="33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1.45035808E8</v>
      </c>
      <c r="B152" s="31" t="s">
        <v>377</v>
      </c>
      <c r="C152" s="32">
        <v>2.3698376E7</v>
      </c>
      <c r="D152" s="32">
        <v>0.0</v>
      </c>
      <c r="E152" s="32">
        <v>8082943.0</v>
      </c>
      <c r="F152" s="32">
        <v>3793049.0</v>
      </c>
      <c r="G152" s="32">
        <v>-1.0</v>
      </c>
      <c r="H152" s="32">
        <v>-1.0</v>
      </c>
      <c r="I152" s="32">
        <v>-1.0</v>
      </c>
      <c r="J152" s="32">
        <v>-1.0</v>
      </c>
      <c r="K152" s="32">
        <v>9.21087513E8</v>
      </c>
      <c r="L152" s="32">
        <v>2.7480865E7</v>
      </c>
      <c r="M152" s="32">
        <v>4462.0</v>
      </c>
      <c r="N152" s="31" t="s">
        <v>165</v>
      </c>
      <c r="O152" s="31">
        <v>25.0</v>
      </c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1.16558461E8</v>
      </c>
      <c r="B153" s="31" t="s">
        <v>210</v>
      </c>
      <c r="C153" s="32">
        <v>2.3138262E7</v>
      </c>
      <c r="D153" s="32">
        <v>-1364441.0</v>
      </c>
      <c r="E153" s="32">
        <v>3.3859972E7</v>
      </c>
      <c r="F153" s="32">
        <v>4255903.0</v>
      </c>
      <c r="G153" s="32">
        <v>1350254.0</v>
      </c>
      <c r="H153" s="32">
        <v>1905068.0</v>
      </c>
      <c r="I153" s="32">
        <v>290095.0</v>
      </c>
      <c r="J153" s="32">
        <v>0.0</v>
      </c>
      <c r="K153" s="32">
        <v>5.032696181E9</v>
      </c>
      <c r="L153" s="32">
        <v>5.2E7</v>
      </c>
      <c r="M153" s="32">
        <v>2355.0</v>
      </c>
      <c r="N153" s="31" t="s">
        <v>66</v>
      </c>
      <c r="O153" s="31">
        <v>25.0</v>
      </c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1.71556791E8</v>
      </c>
      <c r="B154" s="31" t="s">
        <v>211</v>
      </c>
      <c r="C154" s="32">
        <v>2.3111593E7</v>
      </c>
      <c r="D154" s="32">
        <v>-362976.0</v>
      </c>
      <c r="E154" s="32">
        <v>5022699.0</v>
      </c>
      <c r="F154" s="32">
        <v>626101.0</v>
      </c>
      <c r="G154" s="32">
        <v>25466.0</v>
      </c>
      <c r="H154" s="32">
        <v>210000.0</v>
      </c>
      <c r="I154" s="32">
        <v>119921.0</v>
      </c>
      <c r="J154" s="32">
        <v>0.0</v>
      </c>
      <c r="K154" s="32">
        <v>8.473214632E9</v>
      </c>
      <c r="L154" s="32">
        <v>1.5298876E10</v>
      </c>
      <c r="M154" s="32">
        <v>3646.0</v>
      </c>
      <c r="N154" s="31" t="s">
        <v>34</v>
      </c>
      <c r="O154" s="31">
        <v>25.0</v>
      </c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3">
        <v>1.72587132E8</v>
      </c>
      <c r="B155" s="33" t="s">
        <v>212</v>
      </c>
      <c r="C155" s="34">
        <v>2.3100683E7</v>
      </c>
      <c r="D155" s="34">
        <v>87230.0</v>
      </c>
      <c r="E155" s="34">
        <v>6742383.0</v>
      </c>
      <c r="F155" s="34">
        <v>1608532.0</v>
      </c>
      <c r="G155" s="34">
        <v>280268.0</v>
      </c>
      <c r="H155" s="34">
        <v>464875.0</v>
      </c>
      <c r="I155" s="34">
        <v>86281.0</v>
      </c>
      <c r="J155" s="34">
        <v>0.0</v>
      </c>
      <c r="K155" s="34">
        <v>1.3527791926E10</v>
      </c>
      <c r="L155" s="34">
        <v>1.2811436288E10</v>
      </c>
      <c r="M155" s="34">
        <v>4193.0</v>
      </c>
      <c r="N155" s="33" t="s">
        <v>94</v>
      </c>
      <c r="O155" s="33">
        <v>23.0</v>
      </c>
      <c r="P155" s="33"/>
      <c r="Q155" s="33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1.74530133E8</v>
      </c>
      <c r="B156" s="31" t="s">
        <v>214</v>
      </c>
      <c r="C156" s="32">
        <v>2.2905441E7</v>
      </c>
      <c r="D156" s="32">
        <v>1600.0</v>
      </c>
      <c r="E156" s="32">
        <v>2253561.0</v>
      </c>
      <c r="F156" s="32">
        <v>331940.0</v>
      </c>
      <c r="G156" s="32">
        <v>3127.0</v>
      </c>
      <c r="H156" s="32">
        <v>27691.0</v>
      </c>
      <c r="I156" s="32">
        <v>96770.0</v>
      </c>
      <c r="J156" s="32">
        <v>0.0</v>
      </c>
      <c r="K156" s="32">
        <v>1.6666258275E10</v>
      </c>
      <c r="L156" s="32">
        <v>1.3337260959E10</v>
      </c>
      <c r="M156" s="32">
        <v>3732.0</v>
      </c>
      <c r="N156" s="31" t="s">
        <v>165</v>
      </c>
      <c r="O156" s="31">
        <v>25.0</v>
      </c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1.44034173E8</v>
      </c>
      <c r="B157" s="31" t="s">
        <v>215</v>
      </c>
      <c r="C157" s="32">
        <v>2.2882721E7</v>
      </c>
      <c r="D157" s="32">
        <v>21600.0</v>
      </c>
      <c r="E157" s="32">
        <v>5.8304964E7</v>
      </c>
      <c r="F157" s="32">
        <v>2384004.0</v>
      </c>
      <c r="G157" s="32">
        <v>2479362.0</v>
      </c>
      <c r="H157" s="32">
        <v>2537151.0</v>
      </c>
      <c r="I157" s="32">
        <v>327251.0</v>
      </c>
      <c r="J157" s="32">
        <v>0.0</v>
      </c>
      <c r="K157" s="32">
        <v>3.646994224E9</v>
      </c>
      <c r="L157" s="32">
        <v>73477.0</v>
      </c>
      <c r="M157" s="32">
        <v>12475.0</v>
      </c>
      <c r="N157" s="31" t="s">
        <v>119</v>
      </c>
      <c r="O157" s="31">
        <v>25.0</v>
      </c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1.58392134E8</v>
      </c>
      <c r="B158" s="31" t="s">
        <v>217</v>
      </c>
      <c r="C158" s="32">
        <v>2.2493678E7</v>
      </c>
      <c r="D158" s="32">
        <v>780560.0</v>
      </c>
      <c r="E158" s="32">
        <v>4.6688262E7</v>
      </c>
      <c r="F158" s="32">
        <v>3322532.0</v>
      </c>
      <c r="G158" s="32">
        <v>1517402.0</v>
      </c>
      <c r="H158" s="32">
        <v>2548069.0</v>
      </c>
      <c r="I158" s="32">
        <v>768431.0</v>
      </c>
      <c r="J158" s="32">
        <v>0.0</v>
      </c>
      <c r="K158" s="32">
        <v>4.180712804E9</v>
      </c>
      <c r="L158" s="32">
        <v>2.858249361E9</v>
      </c>
      <c r="M158" s="32">
        <v>13869.0</v>
      </c>
      <c r="N158" s="31" t="s">
        <v>34</v>
      </c>
      <c r="O158" s="31">
        <v>25.0</v>
      </c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1.44048678E8</v>
      </c>
      <c r="B159" s="31" t="s">
        <v>378</v>
      </c>
      <c r="C159" s="32">
        <v>2.28695E7</v>
      </c>
      <c r="D159" s="32">
        <v>0.0</v>
      </c>
      <c r="E159" s="32">
        <v>2.9011803E7</v>
      </c>
      <c r="F159" s="32">
        <v>1132703.0</v>
      </c>
      <c r="G159" s="32">
        <v>1935146.0</v>
      </c>
      <c r="H159" s="32">
        <v>2138865.0</v>
      </c>
      <c r="I159" s="32">
        <v>118356.0</v>
      </c>
      <c r="J159" s="32">
        <v>0.0</v>
      </c>
      <c r="K159" s="32">
        <v>3.112206198E9</v>
      </c>
      <c r="L159" s="32">
        <v>4727048.0</v>
      </c>
      <c r="M159" s="32">
        <v>8309.0</v>
      </c>
      <c r="N159" s="31" t="s">
        <v>66</v>
      </c>
      <c r="O159" s="31">
        <v>25.0</v>
      </c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1.44112459E8</v>
      </c>
      <c r="B160" s="31" t="s">
        <v>379</v>
      </c>
      <c r="C160" s="32">
        <v>2.280237E7</v>
      </c>
      <c r="D160" s="32">
        <v>0.0</v>
      </c>
      <c r="E160" s="32">
        <v>696518.0</v>
      </c>
      <c r="F160" s="32">
        <v>49469.0</v>
      </c>
      <c r="G160" s="32">
        <v>6563.0</v>
      </c>
      <c r="H160" s="32">
        <v>9190.0</v>
      </c>
      <c r="I160" s="32">
        <v>0.0</v>
      </c>
      <c r="J160" s="32">
        <v>0.0</v>
      </c>
      <c r="K160" s="32">
        <v>1.962412431E9</v>
      </c>
      <c r="L160" s="32">
        <v>0.0</v>
      </c>
      <c r="M160" s="32">
        <v>1289.0</v>
      </c>
      <c r="N160" s="31" t="s">
        <v>66</v>
      </c>
      <c r="O160" s="31">
        <v>25.0</v>
      </c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3">
        <v>9.716129E7</v>
      </c>
      <c r="B161" s="33" t="s">
        <v>216</v>
      </c>
      <c r="C161" s="34">
        <v>2.2421153E7</v>
      </c>
      <c r="D161" s="34">
        <v>162300.0</v>
      </c>
      <c r="E161" s="34">
        <v>663448.0</v>
      </c>
      <c r="F161" s="34">
        <v>580431.0</v>
      </c>
      <c r="G161" s="34">
        <v>3771.0</v>
      </c>
      <c r="H161" s="34">
        <v>10201.0</v>
      </c>
      <c r="I161" s="34">
        <v>27973.0</v>
      </c>
      <c r="J161" s="34">
        <v>0.0</v>
      </c>
      <c r="K161" s="34">
        <v>4.607927276E9</v>
      </c>
      <c r="L161" s="34">
        <v>1.672147062E9</v>
      </c>
      <c r="M161" s="34">
        <v>799.0</v>
      </c>
      <c r="N161" s="33" t="s">
        <v>34</v>
      </c>
      <c r="O161" s="33">
        <v>24.0</v>
      </c>
      <c r="P161" s="33"/>
      <c r="Q161" s="33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3">
        <v>1.75706269E8</v>
      </c>
      <c r="B162" s="33" t="s">
        <v>219</v>
      </c>
      <c r="C162" s="34">
        <v>2.215863E7</v>
      </c>
      <c r="D162" s="34">
        <v>98744.0</v>
      </c>
      <c r="E162" s="34">
        <v>1.1298132E7</v>
      </c>
      <c r="F162" s="34">
        <v>1519238.0</v>
      </c>
      <c r="G162" s="34">
        <v>21032.0</v>
      </c>
      <c r="H162" s="34">
        <v>1057725.0</v>
      </c>
      <c r="I162" s="34">
        <v>23044.0</v>
      </c>
      <c r="J162" s="34">
        <v>0.0</v>
      </c>
      <c r="K162" s="34">
        <v>2.936277449E9</v>
      </c>
      <c r="L162" s="34">
        <v>3.22468511E8</v>
      </c>
      <c r="M162" s="34">
        <v>1071.0</v>
      </c>
      <c r="N162" s="33" t="s">
        <v>220</v>
      </c>
      <c r="O162" s="33">
        <v>24.0</v>
      </c>
      <c r="P162" s="33"/>
      <c r="Q162" s="33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6.9795161E7</v>
      </c>
      <c r="B163" s="31" t="s">
        <v>218</v>
      </c>
      <c r="C163" s="32">
        <v>2.2094309E7</v>
      </c>
      <c r="D163" s="32">
        <v>766212.0</v>
      </c>
      <c r="E163" s="32">
        <v>1005744.0</v>
      </c>
      <c r="F163" s="32">
        <v>680216.0</v>
      </c>
      <c r="G163" s="32">
        <v>542.0</v>
      </c>
      <c r="H163" s="32">
        <v>2.0</v>
      </c>
      <c r="I163" s="32">
        <v>-1.0</v>
      </c>
      <c r="J163" s="32">
        <v>-1.0</v>
      </c>
      <c r="K163" s="32">
        <v>5.287101987E9</v>
      </c>
      <c r="L163" s="32">
        <v>2.966813705E9</v>
      </c>
      <c r="M163" s="32">
        <v>2149.0</v>
      </c>
      <c r="N163" s="31" t="s">
        <v>147</v>
      </c>
      <c r="O163" s="31">
        <v>25.0</v>
      </c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1.72508036E8</v>
      </c>
      <c r="B164" s="31" t="s">
        <v>213</v>
      </c>
      <c r="C164" s="32">
        <v>2.1989245E7</v>
      </c>
      <c r="D164" s="32">
        <v>777863.0</v>
      </c>
      <c r="E164" s="32">
        <v>4819548.0</v>
      </c>
      <c r="F164" s="32">
        <v>678453.0</v>
      </c>
      <c r="G164" s="32">
        <v>0.0</v>
      </c>
      <c r="H164" s="32">
        <v>26217.0</v>
      </c>
      <c r="I164" s="32">
        <v>227689.0</v>
      </c>
      <c r="J164" s="32">
        <v>0.0</v>
      </c>
      <c r="K164" s="32">
        <v>4.282131757E9</v>
      </c>
      <c r="L164" s="32">
        <v>1.2904E9</v>
      </c>
      <c r="M164" s="32">
        <v>1328.0</v>
      </c>
      <c r="N164" s="31" t="s">
        <v>34</v>
      </c>
      <c r="O164" s="31">
        <v>25.0</v>
      </c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3">
        <v>1.72730913E8</v>
      </c>
      <c r="B165" s="33" t="s">
        <v>221</v>
      </c>
      <c r="C165" s="34">
        <v>2.1478017E7</v>
      </c>
      <c r="D165" s="34">
        <v>48300.0</v>
      </c>
      <c r="E165" s="34">
        <v>-1.0</v>
      </c>
      <c r="F165" s="34">
        <v>0.0</v>
      </c>
      <c r="G165" s="34">
        <v>0.0</v>
      </c>
      <c r="H165" s="34">
        <v>0.0</v>
      </c>
      <c r="I165" s="34">
        <v>0.0</v>
      </c>
      <c r="J165" s="34">
        <v>0.0</v>
      </c>
      <c r="K165" s="34">
        <v>5.301517944E9</v>
      </c>
      <c r="L165" s="34">
        <v>1.54E7</v>
      </c>
      <c r="M165" s="34">
        <v>1821.0</v>
      </c>
      <c r="N165" s="33" t="s">
        <v>153</v>
      </c>
      <c r="O165" s="33">
        <v>23.0</v>
      </c>
      <c r="P165" s="33"/>
      <c r="Q165" s="33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1.4586076E8</v>
      </c>
      <c r="B166" s="31" t="s">
        <v>223</v>
      </c>
      <c r="C166" s="32">
        <v>2.1288346E7</v>
      </c>
      <c r="D166" s="32">
        <v>0.0</v>
      </c>
      <c r="E166" s="32">
        <v>2503746.0</v>
      </c>
      <c r="F166" s="32">
        <v>641516.0</v>
      </c>
      <c r="G166" s="32">
        <v>196473.0</v>
      </c>
      <c r="H166" s="32">
        <v>204412.0</v>
      </c>
      <c r="I166" s="32">
        <v>0.0</v>
      </c>
      <c r="J166" s="32">
        <v>0.0</v>
      </c>
      <c r="K166" s="32">
        <v>7.46532347E9</v>
      </c>
      <c r="L166" s="32">
        <v>7.106242499E9</v>
      </c>
      <c r="M166" s="32">
        <v>3185.0</v>
      </c>
      <c r="N166" s="31" t="s">
        <v>153</v>
      </c>
      <c r="O166" s="31">
        <v>25.0</v>
      </c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7521367.0</v>
      </c>
      <c r="B167" s="31" t="s">
        <v>234</v>
      </c>
      <c r="C167" s="32">
        <v>2.1077149E7</v>
      </c>
      <c r="D167" s="32">
        <v>139720.0</v>
      </c>
      <c r="E167" s="32">
        <v>5.71434E7</v>
      </c>
      <c r="F167" s="32">
        <v>2406092.0</v>
      </c>
      <c r="G167" s="32">
        <v>197902.0</v>
      </c>
      <c r="H167" s="32">
        <v>2458366.0</v>
      </c>
      <c r="I167" s="32">
        <v>1621125.0</v>
      </c>
      <c r="J167" s="32">
        <v>0.0</v>
      </c>
      <c r="K167" s="32">
        <v>7.474697806E9</v>
      </c>
      <c r="L167" s="32">
        <v>7.085159383E9</v>
      </c>
      <c r="M167" s="32">
        <v>3703.0</v>
      </c>
      <c r="N167" s="31" t="s">
        <v>147</v>
      </c>
      <c r="O167" s="31">
        <v>25.0</v>
      </c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1.44115924E8</v>
      </c>
      <c r="B168" s="31" t="s">
        <v>245</v>
      </c>
      <c r="C168" s="32">
        <v>2.1071594E7</v>
      </c>
      <c r="D168" s="32">
        <v>0.0</v>
      </c>
      <c r="E168" s="32">
        <v>1.8555592E7</v>
      </c>
      <c r="F168" s="32">
        <v>1278616.0</v>
      </c>
      <c r="G168" s="32">
        <v>125254.0</v>
      </c>
      <c r="H168" s="32">
        <v>1502357.0</v>
      </c>
      <c r="I168" s="32">
        <v>95988.0</v>
      </c>
      <c r="J168" s="32">
        <v>0.0</v>
      </c>
      <c r="K168" s="32">
        <v>2.705792817E9</v>
      </c>
      <c r="L168" s="32">
        <v>1.1541555E7</v>
      </c>
      <c r="M168" s="32">
        <v>8448.0</v>
      </c>
      <c r="N168" s="31" t="s">
        <v>66</v>
      </c>
      <c r="O168" s="31">
        <v>25.0</v>
      </c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3">
        <v>1.71989291E8</v>
      </c>
      <c r="B169" s="33" t="s">
        <v>224</v>
      </c>
      <c r="C169" s="34">
        <v>2.0913058E7</v>
      </c>
      <c r="D169" s="34">
        <v>139800.0</v>
      </c>
      <c r="E169" s="34">
        <v>1953757.0</v>
      </c>
      <c r="F169" s="34">
        <v>1329583.0</v>
      </c>
      <c r="G169" s="34">
        <v>1398.0</v>
      </c>
      <c r="H169" s="34">
        <v>2019.0</v>
      </c>
      <c r="I169" s="34">
        <v>94344.0</v>
      </c>
      <c r="J169" s="34">
        <v>0.0</v>
      </c>
      <c r="K169" s="34">
        <v>1.0142100542E10</v>
      </c>
      <c r="L169" s="34">
        <v>9.45522926E9</v>
      </c>
      <c r="M169" s="34">
        <v>3518.0</v>
      </c>
      <c r="N169" s="33" t="s">
        <v>153</v>
      </c>
      <c r="O169" s="33">
        <v>24.0</v>
      </c>
      <c r="P169" s="33"/>
      <c r="Q169" s="33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1.24153706E8</v>
      </c>
      <c r="B170" s="31" t="s">
        <v>226</v>
      </c>
      <c r="C170" s="32">
        <v>2.0711229E7</v>
      </c>
      <c r="D170" s="32">
        <v>-1233554.0</v>
      </c>
      <c r="E170" s="32">
        <v>5961830.0</v>
      </c>
      <c r="F170" s="32">
        <v>2019501.0</v>
      </c>
      <c r="G170" s="32">
        <v>332923.0</v>
      </c>
      <c r="H170" s="32">
        <v>471947.0</v>
      </c>
      <c r="I170" s="32">
        <v>54058.0</v>
      </c>
      <c r="J170" s="32">
        <v>0.0</v>
      </c>
      <c r="K170" s="32">
        <v>5.416644796E9</v>
      </c>
      <c r="L170" s="32">
        <v>5.642037005E9</v>
      </c>
      <c r="M170" s="32">
        <v>10246.0</v>
      </c>
      <c r="N170" s="31" t="s">
        <v>153</v>
      </c>
      <c r="O170" s="31">
        <v>25.0</v>
      </c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1.0996021E8</v>
      </c>
      <c r="B171" s="31" t="s">
        <v>227</v>
      </c>
      <c r="C171" s="32">
        <v>2.0250404E7</v>
      </c>
      <c r="D171" s="32">
        <v>750184.0</v>
      </c>
      <c r="E171" s="32">
        <v>1.0316509E7</v>
      </c>
      <c r="F171" s="32">
        <v>537460.0</v>
      </c>
      <c r="G171" s="32">
        <v>1229.0</v>
      </c>
      <c r="H171" s="32">
        <v>313298.0</v>
      </c>
      <c r="I171" s="32">
        <v>359153.0</v>
      </c>
      <c r="J171" s="32">
        <v>0.0</v>
      </c>
      <c r="K171" s="32">
        <v>3.331679529E9</v>
      </c>
      <c r="L171" s="32">
        <v>1.108856569E9</v>
      </c>
      <c r="M171" s="32">
        <v>1432.0</v>
      </c>
      <c r="N171" s="31" t="s">
        <v>34</v>
      </c>
      <c r="O171" s="31">
        <v>25.0</v>
      </c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1.07309959E8</v>
      </c>
      <c r="B172" s="31" t="s">
        <v>229</v>
      </c>
      <c r="C172" s="32">
        <v>2.0208155E7</v>
      </c>
      <c r="D172" s="32">
        <v>20000.0</v>
      </c>
      <c r="E172" s="32">
        <v>880638.0</v>
      </c>
      <c r="F172" s="32">
        <v>633209.0</v>
      </c>
      <c r="G172" s="32">
        <v>24063.0</v>
      </c>
      <c r="H172" s="32">
        <v>19253.0</v>
      </c>
      <c r="I172" s="32">
        <v>0.0</v>
      </c>
      <c r="J172" s="32">
        <v>0.0</v>
      </c>
      <c r="K172" s="32">
        <v>4.595756387E9</v>
      </c>
      <c r="L172" s="32">
        <v>1.692E9</v>
      </c>
      <c r="M172" s="32">
        <v>2356.0</v>
      </c>
      <c r="N172" s="31" t="s">
        <v>153</v>
      </c>
      <c r="O172" s="31">
        <v>25.0</v>
      </c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3">
        <v>1.4404346E8</v>
      </c>
      <c r="B173" s="33" t="s">
        <v>231</v>
      </c>
      <c r="C173" s="34">
        <v>1.9969872E7</v>
      </c>
      <c r="D173" s="34">
        <v>468119.0</v>
      </c>
      <c r="E173" s="34">
        <v>2445760.0</v>
      </c>
      <c r="F173" s="34">
        <v>213678.0</v>
      </c>
      <c r="G173" s="34">
        <v>156164.0</v>
      </c>
      <c r="H173" s="34">
        <v>6083.0</v>
      </c>
      <c r="I173" s="34">
        <v>0.0</v>
      </c>
      <c r="J173" s="34">
        <v>0.0</v>
      </c>
      <c r="K173" s="34">
        <v>2.618742075E9</v>
      </c>
      <c r="L173" s="34">
        <v>0.0</v>
      </c>
      <c r="M173" s="34">
        <v>1428.0</v>
      </c>
      <c r="N173" s="33" t="s">
        <v>165</v>
      </c>
      <c r="O173" s="33">
        <v>24.0</v>
      </c>
      <c r="P173" s="33"/>
      <c r="Q173" s="33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3">
        <v>1.47792502E8</v>
      </c>
      <c r="B174" s="33" t="s">
        <v>232</v>
      </c>
      <c r="C174" s="34">
        <v>1.9964726E7</v>
      </c>
      <c r="D174" s="34">
        <v>0.0</v>
      </c>
      <c r="E174" s="34">
        <v>1.5553596E7</v>
      </c>
      <c r="F174" s="34">
        <v>501345.0</v>
      </c>
      <c r="G174" s="34">
        <v>265931.0</v>
      </c>
      <c r="H174" s="34">
        <v>1325650.0</v>
      </c>
      <c r="I174" s="34">
        <v>68313.0</v>
      </c>
      <c r="J174" s="34">
        <v>0.0</v>
      </c>
      <c r="K174" s="34">
        <v>1.9120384253E10</v>
      </c>
      <c r="L174" s="34">
        <v>1.7534045568E10</v>
      </c>
      <c r="M174" s="34">
        <v>6861.0</v>
      </c>
      <c r="N174" s="33" t="s">
        <v>153</v>
      </c>
      <c r="O174" s="33">
        <v>24.0</v>
      </c>
      <c r="P174" s="33"/>
      <c r="Q174" s="33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1.37982827E8</v>
      </c>
      <c r="B175" s="31" t="s">
        <v>230</v>
      </c>
      <c r="C175" s="32">
        <v>1.995326E7</v>
      </c>
      <c r="D175" s="32">
        <v>106872.0</v>
      </c>
      <c r="E175" s="32">
        <v>1033440.0</v>
      </c>
      <c r="F175" s="32">
        <v>1686588.0</v>
      </c>
      <c r="G175" s="32">
        <v>928101.0</v>
      </c>
      <c r="H175" s="32">
        <v>2888.0</v>
      </c>
      <c r="I175" s="32">
        <v>37966.0</v>
      </c>
      <c r="J175" s="32">
        <v>0.0</v>
      </c>
      <c r="K175" s="32">
        <v>2.2453495916E10</v>
      </c>
      <c r="L175" s="32">
        <v>2.3894156934E10</v>
      </c>
      <c r="M175" s="32">
        <v>4665.0</v>
      </c>
      <c r="N175" s="31" t="s">
        <v>153</v>
      </c>
      <c r="O175" s="31">
        <v>25.0</v>
      </c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3">
        <v>1.73351722E8</v>
      </c>
      <c r="B176" s="33" t="s">
        <v>236</v>
      </c>
      <c r="C176" s="34">
        <v>1.9597936E7</v>
      </c>
      <c r="D176" s="34">
        <v>-1710531.0</v>
      </c>
      <c r="E176" s="34">
        <v>7225708.0</v>
      </c>
      <c r="F176" s="34">
        <v>550547.0</v>
      </c>
      <c r="G176" s="34">
        <v>323190.0</v>
      </c>
      <c r="H176" s="34">
        <v>336667.0</v>
      </c>
      <c r="I176" s="34">
        <v>189720.0</v>
      </c>
      <c r="J176" s="34">
        <v>0.0</v>
      </c>
      <c r="K176" s="34">
        <v>1.0674788043E10</v>
      </c>
      <c r="L176" s="34">
        <v>6.658700087E9</v>
      </c>
      <c r="M176" s="34">
        <v>1981.0</v>
      </c>
      <c r="N176" s="33" t="s">
        <v>153</v>
      </c>
      <c r="O176" s="33">
        <v>24.0</v>
      </c>
      <c r="P176" s="33"/>
      <c r="Q176" s="33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1.57398284E8</v>
      </c>
      <c r="B177" s="31" t="s">
        <v>380</v>
      </c>
      <c r="C177" s="32">
        <v>1.9329035E7</v>
      </c>
      <c r="D177" s="32">
        <v>-6768758.0</v>
      </c>
      <c r="E177" s="32">
        <v>5014598.0</v>
      </c>
      <c r="F177" s="32">
        <v>2683778.0</v>
      </c>
      <c r="G177" s="32">
        <v>482602.0</v>
      </c>
      <c r="H177" s="32">
        <v>321254.0</v>
      </c>
      <c r="I177" s="32">
        <v>58101.0</v>
      </c>
      <c r="J177" s="32">
        <v>0.0</v>
      </c>
      <c r="K177" s="32">
        <v>1.3946483653E10</v>
      </c>
      <c r="L177" s="32">
        <v>8.904E9</v>
      </c>
      <c r="M177" s="32">
        <v>4376.0</v>
      </c>
      <c r="N177" s="31" t="s">
        <v>34</v>
      </c>
      <c r="O177" s="31">
        <v>25.0</v>
      </c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1.44034439E8</v>
      </c>
      <c r="B178" s="31" t="s">
        <v>235</v>
      </c>
      <c r="C178" s="32">
        <v>1.9345881E7</v>
      </c>
      <c r="D178" s="32">
        <v>108800.0</v>
      </c>
      <c r="E178" s="32">
        <v>3185436.0</v>
      </c>
      <c r="F178" s="32">
        <v>5053227.0</v>
      </c>
      <c r="G178" s="32">
        <v>37361.0</v>
      </c>
      <c r="H178" s="32">
        <v>106493.0</v>
      </c>
      <c r="I178" s="32">
        <v>89020.0</v>
      </c>
      <c r="J178" s="32">
        <v>0.0</v>
      </c>
      <c r="K178" s="32">
        <v>1.0032892276E10</v>
      </c>
      <c r="L178" s="32">
        <v>0.0</v>
      </c>
      <c r="M178" s="32">
        <v>7406.0</v>
      </c>
      <c r="N178" s="31" t="s">
        <v>165</v>
      </c>
      <c r="O178" s="31">
        <v>25.0</v>
      </c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3">
        <v>1.84287725E8</v>
      </c>
      <c r="B179" s="33" t="s">
        <v>233</v>
      </c>
      <c r="C179" s="34">
        <v>1.9331774E7</v>
      </c>
      <c r="D179" s="34">
        <v>282815.0</v>
      </c>
      <c r="E179" s="34">
        <v>3323800.0</v>
      </c>
      <c r="F179" s="34">
        <v>0.0</v>
      </c>
      <c r="G179" s="34">
        <v>0.0</v>
      </c>
      <c r="H179" s="34">
        <v>94068.0</v>
      </c>
      <c r="I179" s="34">
        <v>119156.0</v>
      </c>
      <c r="J179" s="34">
        <v>0.0</v>
      </c>
      <c r="K179" s="34">
        <v>4.298951789E9</v>
      </c>
      <c r="L179" s="34">
        <v>9.48629321E8</v>
      </c>
      <c r="M179" s="34">
        <v>857.0</v>
      </c>
      <c r="N179" s="33" t="s">
        <v>94</v>
      </c>
      <c r="O179" s="33">
        <v>23.0</v>
      </c>
      <c r="P179" s="33"/>
      <c r="Q179" s="33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3">
        <v>1.44114159E8</v>
      </c>
      <c r="B180" s="33" t="s">
        <v>241</v>
      </c>
      <c r="C180" s="34">
        <v>1.8895267E7</v>
      </c>
      <c r="D180" s="34">
        <v>0.0</v>
      </c>
      <c r="E180" s="34">
        <v>606950.0</v>
      </c>
      <c r="F180" s="34">
        <v>78932.0</v>
      </c>
      <c r="G180" s="34">
        <v>21961.0</v>
      </c>
      <c r="H180" s="34">
        <v>9565.0</v>
      </c>
      <c r="I180" s="34">
        <v>11469.0</v>
      </c>
      <c r="J180" s="34">
        <v>0.0</v>
      </c>
      <c r="K180" s="34">
        <v>1.594669494E9</v>
      </c>
      <c r="L180" s="34">
        <v>1424156.0</v>
      </c>
      <c r="M180" s="34">
        <v>1973.0</v>
      </c>
      <c r="N180" s="33" t="s">
        <v>165</v>
      </c>
      <c r="O180" s="33">
        <v>23.0</v>
      </c>
      <c r="P180" s="33"/>
      <c r="Q180" s="33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1.44068963E8</v>
      </c>
      <c r="B181" s="31" t="s">
        <v>239</v>
      </c>
      <c r="C181" s="32">
        <v>1.8851363E7</v>
      </c>
      <c r="D181" s="32">
        <v>55200.0</v>
      </c>
      <c r="E181" s="32">
        <v>1242154.0</v>
      </c>
      <c r="F181" s="32">
        <v>1892316.0</v>
      </c>
      <c r="G181" s="32">
        <v>10404.0</v>
      </c>
      <c r="H181" s="32">
        <v>7009.0</v>
      </c>
      <c r="I181" s="32">
        <v>57313.0</v>
      </c>
      <c r="J181" s="32">
        <v>0.0</v>
      </c>
      <c r="K181" s="32">
        <v>1.816496074E9</v>
      </c>
      <c r="L181" s="32">
        <v>200000.0</v>
      </c>
      <c r="M181" s="32">
        <v>323.0</v>
      </c>
      <c r="N181" s="31" t="s">
        <v>240</v>
      </c>
      <c r="O181" s="31">
        <v>25.0</v>
      </c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1.20777788E8</v>
      </c>
      <c r="B182" s="31" t="s">
        <v>243</v>
      </c>
      <c r="C182" s="32">
        <v>1.8732955E7</v>
      </c>
      <c r="D182" s="32">
        <v>0.0</v>
      </c>
      <c r="E182" s="32">
        <v>4909327.0</v>
      </c>
      <c r="F182" s="32">
        <v>2915331.0</v>
      </c>
      <c r="G182" s="32">
        <v>140139.0</v>
      </c>
      <c r="H182" s="32">
        <v>337930.0</v>
      </c>
      <c r="I182" s="32">
        <v>75001.0</v>
      </c>
      <c r="J182" s="32">
        <v>0.0</v>
      </c>
      <c r="K182" s="32">
        <v>8.548492805E9</v>
      </c>
      <c r="L182" s="32">
        <v>5.753862172E9</v>
      </c>
      <c r="M182" s="32">
        <v>2456.0</v>
      </c>
      <c r="N182" s="31" t="s">
        <v>66</v>
      </c>
      <c r="O182" s="31">
        <v>25.0</v>
      </c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3">
        <v>1.90203348E8</v>
      </c>
      <c r="B183" s="33" t="s">
        <v>237</v>
      </c>
      <c r="C183" s="34">
        <v>1.8652329E7</v>
      </c>
      <c r="D183" s="34">
        <v>140968.0</v>
      </c>
      <c r="E183" s="34">
        <v>943.0</v>
      </c>
      <c r="F183" s="34">
        <v>0.0</v>
      </c>
      <c r="G183" s="34">
        <v>4717.0</v>
      </c>
      <c r="H183" s="34">
        <v>0.0</v>
      </c>
      <c r="I183" s="34">
        <v>0.0</v>
      </c>
      <c r="J183" s="34">
        <v>0.0</v>
      </c>
      <c r="K183" s="34">
        <v>4.383767871E9</v>
      </c>
      <c r="L183" s="34">
        <v>1.981971695E9</v>
      </c>
      <c r="M183" s="34">
        <v>1038.0</v>
      </c>
      <c r="N183" s="33" t="s">
        <v>147</v>
      </c>
      <c r="O183" s="33">
        <v>24.0</v>
      </c>
      <c r="P183" s="33"/>
      <c r="Q183" s="33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3">
        <v>1.4065212E8</v>
      </c>
      <c r="B184" s="33" t="s">
        <v>238</v>
      </c>
      <c r="C184" s="34">
        <v>1.8604211E7</v>
      </c>
      <c r="D184" s="34">
        <v>38400.0</v>
      </c>
      <c r="E184" s="34">
        <v>4736361.0</v>
      </c>
      <c r="F184" s="34">
        <v>2093014.0</v>
      </c>
      <c r="G184" s="34">
        <v>14525.0</v>
      </c>
      <c r="H184" s="34">
        <v>310893.0</v>
      </c>
      <c r="I184" s="34">
        <v>81061.0</v>
      </c>
      <c r="J184" s="34">
        <v>0.0</v>
      </c>
      <c r="K184" s="34">
        <v>1.6107520299E10</v>
      </c>
      <c r="L184" s="34">
        <v>1.7189586733E10</v>
      </c>
      <c r="M184" s="34">
        <v>5690.0</v>
      </c>
      <c r="N184" s="33" t="s">
        <v>153</v>
      </c>
      <c r="O184" s="33">
        <v>24.0</v>
      </c>
      <c r="P184" s="33"/>
      <c r="Q184" s="33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3">
        <v>1.26974968E8</v>
      </c>
      <c r="B185" s="33" t="s">
        <v>244</v>
      </c>
      <c r="C185" s="34">
        <v>1.847953E7</v>
      </c>
      <c r="D185" s="34">
        <v>19500.0</v>
      </c>
      <c r="E185" s="34">
        <v>1232807.0</v>
      </c>
      <c r="F185" s="34">
        <v>877225.0</v>
      </c>
      <c r="G185" s="34">
        <v>5599.0</v>
      </c>
      <c r="H185" s="34">
        <v>56920.0</v>
      </c>
      <c r="I185" s="34">
        <v>25459.0</v>
      </c>
      <c r="J185" s="34">
        <v>0.0</v>
      </c>
      <c r="K185" s="34">
        <v>9.135160941E9</v>
      </c>
      <c r="L185" s="34">
        <v>1.0744214727E10</v>
      </c>
      <c r="M185" s="34">
        <v>2696.0</v>
      </c>
      <c r="N185" s="33" t="s">
        <v>94</v>
      </c>
      <c r="O185" s="33">
        <v>24.0</v>
      </c>
      <c r="P185" s="33"/>
      <c r="Q185" s="33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3">
        <v>1.77786882E8</v>
      </c>
      <c r="B186" s="33" t="s">
        <v>242</v>
      </c>
      <c r="C186" s="34">
        <v>1.7926067E7</v>
      </c>
      <c r="D186" s="34">
        <v>-373991.0</v>
      </c>
      <c r="E186" s="34">
        <v>828975.0</v>
      </c>
      <c r="F186" s="34">
        <v>2048.0</v>
      </c>
      <c r="G186" s="34">
        <v>227.0</v>
      </c>
      <c r="H186" s="34">
        <v>6051.0</v>
      </c>
      <c r="I186" s="34">
        <v>38421.0</v>
      </c>
      <c r="J186" s="34">
        <v>0.0</v>
      </c>
      <c r="K186" s="34">
        <v>1.2094837789E10</v>
      </c>
      <c r="L186" s="34">
        <v>7.062626932E9</v>
      </c>
      <c r="M186" s="34">
        <v>3207.0</v>
      </c>
      <c r="N186" s="33" t="s">
        <v>153</v>
      </c>
      <c r="O186" s="33">
        <v>24.0</v>
      </c>
      <c r="P186" s="33"/>
      <c r="Q186" s="33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3">
        <v>1.81616674E8</v>
      </c>
      <c r="B187" s="33" t="s">
        <v>247</v>
      </c>
      <c r="C187" s="34">
        <v>1.7817026E7</v>
      </c>
      <c r="D187" s="34">
        <v>181318.0</v>
      </c>
      <c r="E187" s="34">
        <v>-1.0</v>
      </c>
      <c r="F187" s="34">
        <v>0.0</v>
      </c>
      <c r="G187" s="34">
        <v>0.0</v>
      </c>
      <c r="H187" s="34">
        <v>0.0</v>
      </c>
      <c r="I187" s="34">
        <v>0.0</v>
      </c>
      <c r="J187" s="34">
        <v>0.0</v>
      </c>
      <c r="K187" s="34">
        <v>3.901612887E9</v>
      </c>
      <c r="L187" s="34">
        <v>3.231E9</v>
      </c>
      <c r="M187" s="34">
        <v>1131.0</v>
      </c>
      <c r="N187" s="33" t="s">
        <v>94</v>
      </c>
      <c r="O187" s="33">
        <v>23.0</v>
      </c>
      <c r="P187" s="33"/>
      <c r="Q187" s="33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3">
        <v>6.8552994E7</v>
      </c>
      <c r="B188" s="33" t="s">
        <v>246</v>
      </c>
      <c r="C188" s="34">
        <v>1.7753007E7</v>
      </c>
      <c r="D188" s="34">
        <v>209837.0</v>
      </c>
      <c r="E188" s="34">
        <v>1055186.0</v>
      </c>
      <c r="F188" s="34">
        <v>689492.0</v>
      </c>
      <c r="G188" s="34">
        <v>237673.0</v>
      </c>
      <c r="H188" s="34">
        <v>11356.0</v>
      </c>
      <c r="I188" s="34">
        <v>11638.0</v>
      </c>
      <c r="J188" s="34">
        <v>0.0</v>
      </c>
      <c r="K188" s="34">
        <v>8.487004637E9</v>
      </c>
      <c r="L188" s="34">
        <v>5.375385608E9</v>
      </c>
      <c r="M188" s="34">
        <v>4792.0</v>
      </c>
      <c r="N188" s="33" t="s">
        <v>153</v>
      </c>
      <c r="O188" s="33">
        <v>23.0</v>
      </c>
      <c r="P188" s="33"/>
      <c r="Q188" s="33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3">
        <v>1.78556109E8</v>
      </c>
      <c r="B189" s="33" t="s">
        <v>248</v>
      </c>
      <c r="C189" s="34">
        <v>1.7752316E7</v>
      </c>
      <c r="D189" s="34">
        <v>0.0</v>
      </c>
      <c r="E189" s="34">
        <v>1240300.0</v>
      </c>
      <c r="F189" s="34">
        <v>125805.0</v>
      </c>
      <c r="G189" s="34">
        <v>0.0</v>
      </c>
      <c r="H189" s="34">
        <v>7308.0</v>
      </c>
      <c r="I189" s="34">
        <v>58361.0</v>
      </c>
      <c r="J189" s="34">
        <v>0.0</v>
      </c>
      <c r="K189" s="34">
        <v>1.3593082137E10</v>
      </c>
      <c r="L189" s="34">
        <v>1.2953362345E10</v>
      </c>
      <c r="M189" s="34">
        <v>3715.0</v>
      </c>
      <c r="N189" s="33" t="s">
        <v>153</v>
      </c>
      <c r="O189" s="33">
        <v>24.0</v>
      </c>
      <c r="P189" s="33"/>
      <c r="Q189" s="33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1.27147255E8</v>
      </c>
      <c r="B190" s="31" t="s">
        <v>249</v>
      </c>
      <c r="C190" s="32">
        <v>1.7672503E7</v>
      </c>
      <c r="D190" s="32">
        <v>4800.0</v>
      </c>
      <c r="E190" s="32">
        <v>1404762.0</v>
      </c>
      <c r="F190" s="32">
        <v>1620937.0</v>
      </c>
      <c r="G190" s="32">
        <v>43.0</v>
      </c>
      <c r="H190" s="32">
        <v>23523.0</v>
      </c>
      <c r="I190" s="32">
        <v>57743.0</v>
      </c>
      <c r="J190" s="32">
        <v>0.0</v>
      </c>
      <c r="K190" s="32">
        <v>1.0095629667E10</v>
      </c>
      <c r="L190" s="32">
        <v>1.4714686735E10</v>
      </c>
      <c r="M190" s="32">
        <v>2973.0</v>
      </c>
      <c r="N190" s="31" t="s">
        <v>94</v>
      </c>
      <c r="O190" s="31">
        <v>25.0</v>
      </c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3">
        <v>1.79309911E8</v>
      </c>
      <c r="B191" s="33" t="s">
        <v>250</v>
      </c>
      <c r="C191" s="34">
        <v>1.7432837E7</v>
      </c>
      <c r="D191" s="34">
        <v>-1887379.0</v>
      </c>
      <c r="E191" s="34">
        <v>3592254.0</v>
      </c>
      <c r="F191" s="34">
        <v>1965416.0</v>
      </c>
      <c r="G191" s="34">
        <v>53021.0</v>
      </c>
      <c r="H191" s="34">
        <v>321382.0</v>
      </c>
      <c r="I191" s="34">
        <v>8301.0</v>
      </c>
      <c r="J191" s="34">
        <v>0.0</v>
      </c>
      <c r="K191" s="34">
        <v>5.677136432E9</v>
      </c>
      <c r="L191" s="34">
        <v>3.928426222E9</v>
      </c>
      <c r="M191" s="34">
        <v>1482.0</v>
      </c>
      <c r="N191" s="33" t="s">
        <v>94</v>
      </c>
      <c r="O191" s="33">
        <v>24.0</v>
      </c>
      <c r="P191" s="33"/>
      <c r="Q191" s="33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9.9317493E7</v>
      </c>
      <c r="B192" s="31" t="s">
        <v>252</v>
      </c>
      <c r="C192" s="32">
        <v>1.7273554E7</v>
      </c>
      <c r="D192" s="32">
        <v>0.0</v>
      </c>
      <c r="E192" s="32">
        <v>1.1147718E7</v>
      </c>
      <c r="F192" s="32">
        <v>2481046.0</v>
      </c>
      <c r="G192" s="32">
        <v>49534.0</v>
      </c>
      <c r="H192" s="32">
        <v>893317.0</v>
      </c>
      <c r="I192" s="32">
        <v>67760.0</v>
      </c>
      <c r="J192" s="32">
        <v>0.0</v>
      </c>
      <c r="K192" s="32">
        <v>2.983028283E9</v>
      </c>
      <c r="L192" s="32">
        <v>5.3065867E7</v>
      </c>
      <c r="M192" s="32">
        <v>3769.0</v>
      </c>
      <c r="N192" s="31" t="s">
        <v>126</v>
      </c>
      <c r="O192" s="31">
        <v>25.0</v>
      </c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1.54073945E8</v>
      </c>
      <c r="B193" s="31" t="s">
        <v>381</v>
      </c>
      <c r="C193" s="32">
        <v>1.691523E7</v>
      </c>
      <c r="D193" s="32">
        <v>39490.0</v>
      </c>
      <c r="E193" s="32">
        <v>3284697.0</v>
      </c>
      <c r="F193" s="32">
        <v>4029606.0</v>
      </c>
      <c r="G193" s="32">
        <v>307.0</v>
      </c>
      <c r="H193" s="32">
        <v>299366.0</v>
      </c>
      <c r="I193" s="32">
        <v>14399.0</v>
      </c>
      <c r="J193" s="32">
        <v>0.0</v>
      </c>
      <c r="K193" s="32">
        <v>6.529085335E9</v>
      </c>
      <c r="L193" s="32">
        <v>2.449004947E9</v>
      </c>
      <c r="M193" s="32">
        <v>1592.0</v>
      </c>
      <c r="N193" s="31" t="s">
        <v>66</v>
      </c>
      <c r="O193" s="31">
        <v>25.0</v>
      </c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3">
        <v>1.28213955E8</v>
      </c>
      <c r="B194" s="33" t="s">
        <v>253</v>
      </c>
      <c r="C194" s="34">
        <v>1.6903627E7</v>
      </c>
      <c r="D194" s="34">
        <v>4800.0</v>
      </c>
      <c r="E194" s="34">
        <v>75852.0</v>
      </c>
      <c r="F194" s="34">
        <v>0.0</v>
      </c>
      <c r="G194" s="34">
        <v>720.0</v>
      </c>
      <c r="H194" s="34">
        <v>1254.0</v>
      </c>
      <c r="I194" s="34">
        <v>0.0</v>
      </c>
      <c r="J194" s="34">
        <v>0.0</v>
      </c>
      <c r="K194" s="34">
        <v>1.0035358001E10</v>
      </c>
      <c r="L194" s="34">
        <v>1.1921863581E10</v>
      </c>
      <c r="M194" s="34">
        <v>2517.0</v>
      </c>
      <c r="N194" s="33" t="s">
        <v>94</v>
      </c>
      <c r="O194" s="33">
        <v>24.0</v>
      </c>
      <c r="P194" s="33"/>
      <c r="Q194" s="33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1">
        <v>7.1555883E7</v>
      </c>
      <c r="B195" s="31" t="s">
        <v>255</v>
      </c>
      <c r="C195" s="32">
        <v>1.6657197E7</v>
      </c>
      <c r="D195" s="32">
        <v>0.0</v>
      </c>
      <c r="E195" s="32">
        <v>1838661.0</v>
      </c>
      <c r="F195" s="32">
        <v>1117765.0</v>
      </c>
      <c r="G195" s="32">
        <v>5589.0</v>
      </c>
      <c r="H195" s="32">
        <v>146958.0</v>
      </c>
      <c r="I195" s="32">
        <v>16770.0</v>
      </c>
      <c r="J195" s="32">
        <v>0.0</v>
      </c>
      <c r="K195" s="32">
        <v>6.469889917E9</v>
      </c>
      <c r="L195" s="32">
        <v>3.468927907E9</v>
      </c>
      <c r="M195" s="32">
        <v>2204.0</v>
      </c>
      <c r="N195" s="31" t="s">
        <v>66</v>
      </c>
      <c r="O195" s="31">
        <v>25.0</v>
      </c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9.3652844E7</v>
      </c>
      <c r="B196" s="31" t="s">
        <v>256</v>
      </c>
      <c r="C196" s="32">
        <v>1.6574697E7</v>
      </c>
      <c r="D196" s="32">
        <v>5020.0</v>
      </c>
      <c r="E196" s="32">
        <v>155776.0</v>
      </c>
      <c r="F196" s="32">
        <v>1024.0</v>
      </c>
      <c r="G196" s="32">
        <v>9910.0</v>
      </c>
      <c r="H196" s="32">
        <v>3171.0</v>
      </c>
      <c r="I196" s="32">
        <v>4808.0</v>
      </c>
      <c r="J196" s="32">
        <v>0.0</v>
      </c>
      <c r="K196" s="32">
        <v>6.284912587E9</v>
      </c>
      <c r="L196" s="32">
        <v>5.567250887E9</v>
      </c>
      <c r="M196" s="32">
        <v>1998.0</v>
      </c>
      <c r="N196" s="31" t="s">
        <v>153</v>
      </c>
      <c r="O196" s="31">
        <v>25.0</v>
      </c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1">
        <v>3.5412124E7</v>
      </c>
      <c r="B197" s="31" t="s">
        <v>251</v>
      </c>
      <c r="C197" s="32">
        <v>1.6399133E7</v>
      </c>
      <c r="D197" s="32">
        <v>27200.0</v>
      </c>
      <c r="E197" s="32">
        <v>1.0090278E7</v>
      </c>
      <c r="F197" s="32">
        <v>1122929.0</v>
      </c>
      <c r="G197" s="32">
        <v>597662.0</v>
      </c>
      <c r="H197" s="32">
        <v>478561.0</v>
      </c>
      <c r="I197" s="32">
        <v>75045.0</v>
      </c>
      <c r="J197" s="32">
        <v>0.0</v>
      </c>
      <c r="K197" s="32">
        <v>4.16279169E8</v>
      </c>
      <c r="L197" s="32">
        <v>1709320.0</v>
      </c>
      <c r="M197" s="32">
        <v>1148.0</v>
      </c>
      <c r="N197" s="31" t="s">
        <v>165</v>
      </c>
      <c r="O197" s="31">
        <v>25.0</v>
      </c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3">
        <v>1.67715529E8</v>
      </c>
      <c r="B198" s="33" t="s">
        <v>257</v>
      </c>
      <c r="C198" s="34">
        <v>1.6068547E7</v>
      </c>
      <c r="D198" s="34">
        <v>96000.0</v>
      </c>
      <c r="E198" s="34">
        <v>45360.0</v>
      </c>
      <c r="F198" s="34">
        <v>0.0</v>
      </c>
      <c r="G198" s="34">
        <v>0.0</v>
      </c>
      <c r="H198" s="34">
        <v>1832.0</v>
      </c>
      <c r="I198" s="34">
        <v>1352.0</v>
      </c>
      <c r="J198" s="34">
        <v>0.0</v>
      </c>
      <c r="K198" s="34">
        <v>8.873211657E9</v>
      </c>
      <c r="L198" s="34">
        <v>6.044415749E9</v>
      </c>
      <c r="M198" s="34">
        <v>1861.0</v>
      </c>
      <c r="N198" s="33" t="s">
        <v>153</v>
      </c>
      <c r="O198" s="33">
        <v>24.0</v>
      </c>
      <c r="P198" s="33"/>
      <c r="Q198" s="33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3">
        <v>1.59674611E8</v>
      </c>
      <c r="B199" s="33" t="s">
        <v>260</v>
      </c>
      <c r="C199" s="34">
        <v>1.5936268E7</v>
      </c>
      <c r="D199" s="34">
        <v>-4128346.0</v>
      </c>
      <c r="E199" s="34">
        <v>932235.0</v>
      </c>
      <c r="F199" s="34">
        <v>136798.0</v>
      </c>
      <c r="G199" s="34">
        <v>509198.0</v>
      </c>
      <c r="H199" s="34">
        <v>5166.0</v>
      </c>
      <c r="I199" s="34">
        <v>0.0</v>
      </c>
      <c r="J199" s="34">
        <v>0.0</v>
      </c>
      <c r="K199" s="34">
        <v>3.151139275E9</v>
      </c>
      <c r="L199" s="34">
        <v>8.00719676E8</v>
      </c>
      <c r="M199" s="34">
        <v>2388.0</v>
      </c>
      <c r="N199" s="33" t="s">
        <v>94</v>
      </c>
      <c r="O199" s="33">
        <v>23.0</v>
      </c>
      <c r="P199" s="33"/>
      <c r="Q199" s="33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3">
        <v>1.59431767E8</v>
      </c>
      <c r="B200" s="33" t="s">
        <v>258</v>
      </c>
      <c r="C200" s="34">
        <v>1.5611848E7</v>
      </c>
      <c r="D200" s="34">
        <v>99849.0</v>
      </c>
      <c r="E200" s="34">
        <v>-1.0</v>
      </c>
      <c r="F200" s="34">
        <v>0.0</v>
      </c>
      <c r="G200" s="34">
        <v>0.0</v>
      </c>
      <c r="H200" s="34">
        <v>0.0</v>
      </c>
      <c r="I200" s="34">
        <v>0.0</v>
      </c>
      <c r="J200" s="34">
        <v>0.0</v>
      </c>
      <c r="K200" s="34">
        <v>4.930879631E9</v>
      </c>
      <c r="L200" s="34">
        <v>2.92994722E9</v>
      </c>
      <c r="M200" s="34">
        <v>1050.0</v>
      </c>
      <c r="N200" s="33" t="s">
        <v>153</v>
      </c>
      <c r="O200" s="33">
        <v>24.0</v>
      </c>
      <c r="P200" s="33"/>
      <c r="Q200" s="33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3">
        <v>6.0296031E7</v>
      </c>
      <c r="B201" s="33" t="s">
        <v>259</v>
      </c>
      <c r="C201" s="34">
        <v>1.5444793E7</v>
      </c>
      <c r="D201" s="34">
        <v>338475.0</v>
      </c>
      <c r="E201" s="34">
        <v>1625285.0</v>
      </c>
      <c r="F201" s="34">
        <v>620082.0</v>
      </c>
      <c r="G201" s="34">
        <v>235309.0</v>
      </c>
      <c r="H201" s="34">
        <v>66549.0</v>
      </c>
      <c r="I201" s="34">
        <v>10739.0</v>
      </c>
      <c r="J201" s="34">
        <v>0.0</v>
      </c>
      <c r="K201" s="34">
        <v>1.48747099E8</v>
      </c>
      <c r="L201" s="34">
        <v>1.8999572E7</v>
      </c>
      <c r="M201" s="34">
        <v>1572.0</v>
      </c>
      <c r="N201" s="33" t="s">
        <v>66</v>
      </c>
      <c r="O201" s="33">
        <v>23.0</v>
      </c>
      <c r="P201" s="33"/>
      <c r="Q201" s="33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1.75281453E8</v>
      </c>
      <c r="B202" s="31" t="s">
        <v>262</v>
      </c>
      <c r="C202" s="32">
        <v>1.5443322E7</v>
      </c>
      <c r="D202" s="32">
        <v>0.0</v>
      </c>
      <c r="E202" s="32">
        <v>1.212492E7</v>
      </c>
      <c r="F202" s="32">
        <v>1075106.0</v>
      </c>
      <c r="G202" s="32">
        <v>633100.0</v>
      </c>
      <c r="H202" s="32">
        <v>323471.0</v>
      </c>
      <c r="I202" s="32">
        <v>252193.0</v>
      </c>
      <c r="J202" s="32">
        <v>0.0</v>
      </c>
      <c r="K202" s="32">
        <v>3.991526195E9</v>
      </c>
      <c r="L202" s="32">
        <v>3.141644157E9</v>
      </c>
      <c r="M202" s="32">
        <v>12695.0</v>
      </c>
      <c r="N202" s="31" t="s">
        <v>66</v>
      </c>
      <c r="O202" s="31">
        <v>25.0</v>
      </c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1.96555794E8</v>
      </c>
      <c r="B203" s="33" t="s">
        <v>261</v>
      </c>
      <c r="C203" s="34">
        <v>1.5431998E7</v>
      </c>
      <c r="D203" s="34">
        <v>5300.0</v>
      </c>
      <c r="E203" s="34">
        <v>112502.0</v>
      </c>
      <c r="F203" s="34">
        <v>0.0</v>
      </c>
      <c r="G203" s="34">
        <v>105330.0</v>
      </c>
      <c r="H203" s="34">
        <v>401.0</v>
      </c>
      <c r="I203" s="34">
        <v>158.0</v>
      </c>
      <c r="J203" s="34">
        <v>0.0</v>
      </c>
      <c r="K203" s="34">
        <v>4.942797284E9</v>
      </c>
      <c r="L203" s="34">
        <v>2.2616587E9</v>
      </c>
      <c r="M203" s="34">
        <v>2745.0</v>
      </c>
      <c r="N203" s="33" t="s">
        <v>94</v>
      </c>
      <c r="O203" s="33">
        <v>23.0</v>
      </c>
      <c r="P203" s="33"/>
      <c r="Q203" s="33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3">
        <v>1.63370871E8</v>
      </c>
      <c r="B204" s="33" t="s">
        <v>382</v>
      </c>
      <c r="C204" s="34">
        <v>1.5238667E7</v>
      </c>
      <c r="D204" s="34">
        <v>0.0</v>
      </c>
      <c r="E204" s="34">
        <v>1.132494E7</v>
      </c>
      <c r="F204" s="34">
        <v>1294035.0</v>
      </c>
      <c r="G204" s="34">
        <v>2144.0</v>
      </c>
      <c r="H204" s="34">
        <v>1048121.0</v>
      </c>
      <c r="I204" s="34">
        <v>39320.0</v>
      </c>
      <c r="J204" s="34">
        <v>0.0</v>
      </c>
      <c r="K204" s="34">
        <v>6.1344494E9</v>
      </c>
      <c r="L204" s="34">
        <v>1.22210377E9</v>
      </c>
      <c r="M204" s="34">
        <v>3855.0</v>
      </c>
      <c r="N204" s="33" t="s">
        <v>66</v>
      </c>
      <c r="O204" s="33">
        <v>24.0</v>
      </c>
      <c r="P204" s="33"/>
      <c r="Q204" s="33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3">
        <v>1.67721298E8</v>
      </c>
      <c r="B205" s="33" t="s">
        <v>266</v>
      </c>
      <c r="C205" s="34">
        <v>1.5023101E7</v>
      </c>
      <c r="D205" s="34">
        <v>12900.0</v>
      </c>
      <c r="E205" s="34">
        <v>8969284.0</v>
      </c>
      <c r="F205" s="34">
        <v>1497386.0</v>
      </c>
      <c r="G205" s="34">
        <v>45213.0</v>
      </c>
      <c r="H205" s="34">
        <v>642441.0</v>
      </c>
      <c r="I205" s="34">
        <v>114691.0</v>
      </c>
      <c r="J205" s="34">
        <v>0.0</v>
      </c>
      <c r="K205" s="34">
        <v>1.3261509294E10</v>
      </c>
      <c r="L205" s="34">
        <v>1.0235811063E10</v>
      </c>
      <c r="M205" s="34">
        <v>2303.0</v>
      </c>
      <c r="N205" s="33" t="s">
        <v>94</v>
      </c>
      <c r="O205" s="33">
        <v>24.0</v>
      </c>
      <c r="P205" s="33"/>
      <c r="Q205" s="33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3">
        <v>1.44078795E8</v>
      </c>
      <c r="B206" s="33" t="s">
        <v>263</v>
      </c>
      <c r="C206" s="34">
        <v>1.4995682E7</v>
      </c>
      <c r="D206" s="34">
        <v>302143.0</v>
      </c>
      <c r="E206" s="34">
        <v>625179.0</v>
      </c>
      <c r="F206" s="34">
        <v>811915.0</v>
      </c>
      <c r="G206" s="34">
        <v>1515.0</v>
      </c>
      <c r="H206" s="34">
        <v>40282.0</v>
      </c>
      <c r="I206" s="34">
        <v>10908.0</v>
      </c>
      <c r="J206" s="34">
        <v>0.0</v>
      </c>
      <c r="K206" s="34">
        <v>1.694133E7</v>
      </c>
      <c r="L206" s="34">
        <v>3904993.0</v>
      </c>
      <c r="M206" s="34">
        <v>1678.0</v>
      </c>
      <c r="N206" s="33" t="s">
        <v>264</v>
      </c>
      <c r="O206" s="33">
        <v>22.0</v>
      </c>
      <c r="P206" s="33"/>
      <c r="Q206" s="33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1">
        <v>1.50861707E8</v>
      </c>
      <c r="B207" s="31" t="s">
        <v>383</v>
      </c>
      <c r="C207" s="32">
        <v>1.4955691E7</v>
      </c>
      <c r="D207" s="32">
        <v>-49480.0</v>
      </c>
      <c r="E207" s="32">
        <v>144961.0</v>
      </c>
      <c r="F207" s="32">
        <v>268080.0</v>
      </c>
      <c r="G207" s="32">
        <v>3157.0</v>
      </c>
      <c r="H207" s="32">
        <v>7001.0</v>
      </c>
      <c r="I207" s="32">
        <v>1167.0</v>
      </c>
      <c r="J207" s="32">
        <v>0.0</v>
      </c>
      <c r="K207" s="32">
        <v>2.115031058E9</v>
      </c>
      <c r="L207" s="32">
        <v>5.16520147E8</v>
      </c>
      <c r="M207" s="32">
        <v>1235.0</v>
      </c>
      <c r="N207" s="31" t="s">
        <v>165</v>
      </c>
      <c r="O207" s="31">
        <v>25.0</v>
      </c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1.80504744E8</v>
      </c>
      <c r="B208" s="31" t="s">
        <v>384</v>
      </c>
      <c r="C208" s="32">
        <v>1.4854619E7</v>
      </c>
      <c r="D208" s="32">
        <v>-1227164.0</v>
      </c>
      <c r="E208" s="32">
        <v>646300.0</v>
      </c>
      <c r="F208" s="32">
        <v>682678.0</v>
      </c>
      <c r="G208" s="32">
        <v>26994.0</v>
      </c>
      <c r="H208" s="32">
        <v>61147.0</v>
      </c>
      <c r="I208" s="32">
        <v>951.0</v>
      </c>
      <c r="J208" s="32">
        <v>0.0</v>
      </c>
      <c r="K208" s="32">
        <v>2.149280426E9</v>
      </c>
      <c r="L208" s="32">
        <v>6.82759846E8</v>
      </c>
      <c r="M208" s="32">
        <v>888.0</v>
      </c>
      <c r="N208" s="31" t="s">
        <v>165</v>
      </c>
      <c r="O208" s="31">
        <v>25.0</v>
      </c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3">
        <v>1.44056117E8</v>
      </c>
      <c r="B209" s="33" t="s">
        <v>269</v>
      </c>
      <c r="C209" s="34">
        <v>1.4811502E7</v>
      </c>
      <c r="D209" s="34">
        <v>51755.0</v>
      </c>
      <c r="E209" s="34">
        <v>3285581.0</v>
      </c>
      <c r="F209" s="34">
        <v>1090347.0</v>
      </c>
      <c r="G209" s="34">
        <v>90017.0</v>
      </c>
      <c r="H209" s="34">
        <v>134161.0</v>
      </c>
      <c r="I209" s="34">
        <v>41198.0</v>
      </c>
      <c r="J209" s="34">
        <v>0.0</v>
      </c>
      <c r="K209" s="34">
        <v>2.618983945E9</v>
      </c>
      <c r="L209" s="34">
        <v>1030848.0</v>
      </c>
      <c r="M209" s="34">
        <v>860.0</v>
      </c>
      <c r="N209" s="33" t="s">
        <v>66</v>
      </c>
      <c r="O209" s="33">
        <v>23.0</v>
      </c>
      <c r="P209" s="33"/>
      <c r="Q209" s="33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3">
        <v>1.92309473E8</v>
      </c>
      <c r="B210" s="33" t="s">
        <v>270</v>
      </c>
      <c r="C210" s="34">
        <v>1.4785227E7</v>
      </c>
      <c r="D210" s="34">
        <v>1600.0</v>
      </c>
      <c r="E210" s="34">
        <v>-1.0</v>
      </c>
      <c r="F210" s="34">
        <v>0.0</v>
      </c>
      <c r="G210" s="34">
        <v>0.0</v>
      </c>
      <c r="H210" s="34">
        <v>0.0</v>
      </c>
      <c r="I210" s="34">
        <v>0.0</v>
      </c>
      <c r="J210" s="34">
        <v>0.0</v>
      </c>
      <c r="K210" s="34">
        <v>6.001314158E9</v>
      </c>
      <c r="L210" s="34">
        <v>2.406281775E9</v>
      </c>
      <c r="M210" s="34">
        <v>1324.0</v>
      </c>
      <c r="N210" s="33" t="s">
        <v>153</v>
      </c>
      <c r="O210" s="33">
        <v>24.0</v>
      </c>
      <c r="P210" s="33"/>
      <c r="Q210" s="33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3">
        <v>1.31105326E8</v>
      </c>
      <c r="B211" s="33" t="s">
        <v>271</v>
      </c>
      <c r="C211" s="34">
        <v>1.477816E7</v>
      </c>
      <c r="D211" s="34">
        <v>8000.0</v>
      </c>
      <c r="E211" s="34">
        <v>52342.0</v>
      </c>
      <c r="F211" s="34">
        <v>0.0</v>
      </c>
      <c r="G211" s="34">
        <v>8582.0</v>
      </c>
      <c r="H211" s="34">
        <v>3649.0</v>
      </c>
      <c r="I211" s="34">
        <v>0.0</v>
      </c>
      <c r="J211" s="34">
        <v>0.0</v>
      </c>
      <c r="K211" s="34">
        <v>7.953880062E9</v>
      </c>
      <c r="L211" s="34">
        <v>9.478520967E9</v>
      </c>
      <c r="M211" s="34">
        <v>1651.0</v>
      </c>
      <c r="N211" s="33" t="s">
        <v>94</v>
      </c>
      <c r="O211" s="33">
        <v>24.0</v>
      </c>
      <c r="P211" s="33"/>
      <c r="Q211" s="33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1.92376835E8</v>
      </c>
      <c r="B212" s="33" t="s">
        <v>272</v>
      </c>
      <c r="C212" s="34">
        <v>1.4704541E7</v>
      </c>
      <c r="D212" s="34">
        <v>1600.0</v>
      </c>
      <c r="E212" s="34">
        <v>-1.0</v>
      </c>
      <c r="F212" s="34">
        <v>0.0</v>
      </c>
      <c r="G212" s="34">
        <v>0.0</v>
      </c>
      <c r="H212" s="34">
        <v>0.0</v>
      </c>
      <c r="I212" s="34">
        <v>0.0</v>
      </c>
      <c r="J212" s="34">
        <v>0.0</v>
      </c>
      <c r="K212" s="34">
        <v>5.754253702E9</v>
      </c>
      <c r="L212" s="34">
        <v>2.225148957E9</v>
      </c>
      <c r="M212" s="34">
        <v>1346.0</v>
      </c>
      <c r="N212" s="33" t="s">
        <v>153</v>
      </c>
      <c r="O212" s="33">
        <v>24.0</v>
      </c>
      <c r="P212" s="33"/>
      <c r="Q212" s="33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1.68857269E8</v>
      </c>
      <c r="B213" s="33" t="s">
        <v>273</v>
      </c>
      <c r="C213" s="34">
        <v>1.4624462E7</v>
      </c>
      <c r="D213" s="34">
        <v>0.0</v>
      </c>
      <c r="E213" s="34">
        <v>6789291.0</v>
      </c>
      <c r="F213" s="34">
        <v>1357929.0</v>
      </c>
      <c r="G213" s="34">
        <v>39286.0</v>
      </c>
      <c r="H213" s="34">
        <v>609241.0</v>
      </c>
      <c r="I213" s="34">
        <v>31548.0</v>
      </c>
      <c r="J213" s="34">
        <v>0.0</v>
      </c>
      <c r="K213" s="34">
        <v>4.006456684E9</v>
      </c>
      <c r="L213" s="34">
        <v>1.10214296E9</v>
      </c>
      <c r="M213" s="34">
        <v>1629.0</v>
      </c>
      <c r="N213" s="33" t="s">
        <v>66</v>
      </c>
      <c r="O213" s="33">
        <v>24.0</v>
      </c>
      <c r="P213" s="33"/>
      <c r="Q213" s="33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1.77632834E8</v>
      </c>
      <c r="B214" s="33" t="s">
        <v>268</v>
      </c>
      <c r="C214" s="34">
        <v>1.4565394E7</v>
      </c>
      <c r="D214" s="34">
        <v>131838.0</v>
      </c>
      <c r="E214" s="34">
        <v>1711538.0</v>
      </c>
      <c r="F214" s="34">
        <v>980481.0</v>
      </c>
      <c r="G214" s="34">
        <v>1912.0</v>
      </c>
      <c r="H214" s="34">
        <v>19146.0</v>
      </c>
      <c r="I214" s="34">
        <v>75090.0</v>
      </c>
      <c r="J214" s="34">
        <v>0.0</v>
      </c>
      <c r="K214" s="34">
        <v>1.854463419E9</v>
      </c>
      <c r="L214" s="34">
        <v>6.37001512E8</v>
      </c>
      <c r="M214" s="34">
        <v>1177.0</v>
      </c>
      <c r="N214" s="33" t="s">
        <v>147</v>
      </c>
      <c r="O214" s="33">
        <v>24.0</v>
      </c>
      <c r="P214" s="33"/>
      <c r="Q214" s="33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9.0073079E7</v>
      </c>
      <c r="B215" s="33" t="s">
        <v>275</v>
      </c>
      <c r="C215" s="34">
        <v>1.4300737E7</v>
      </c>
      <c r="D215" s="34">
        <v>24168.0</v>
      </c>
      <c r="E215" s="34">
        <v>442264.0</v>
      </c>
      <c r="F215" s="34">
        <v>12587.0</v>
      </c>
      <c r="G215" s="34">
        <v>95320.0</v>
      </c>
      <c r="H215" s="34">
        <v>8707.0</v>
      </c>
      <c r="I215" s="34">
        <v>0.0</v>
      </c>
      <c r="J215" s="34">
        <v>0.0</v>
      </c>
      <c r="K215" s="34">
        <v>1.2140153567E10</v>
      </c>
      <c r="L215" s="34">
        <v>1.4125839151E10</v>
      </c>
      <c r="M215" s="34">
        <v>5207.0</v>
      </c>
      <c r="N215" s="33" t="s">
        <v>94</v>
      </c>
      <c r="O215" s="33">
        <v>22.0</v>
      </c>
      <c r="P215" s="33"/>
      <c r="Q215" s="33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1.83302822E8</v>
      </c>
      <c r="B216" s="33" t="s">
        <v>280</v>
      </c>
      <c r="C216" s="34">
        <v>1.4224228E7</v>
      </c>
      <c r="D216" s="34">
        <v>-1730519.0</v>
      </c>
      <c r="E216" s="34">
        <v>1125566.0</v>
      </c>
      <c r="F216" s="34">
        <v>1686760.0</v>
      </c>
      <c r="G216" s="34">
        <v>28604.0</v>
      </c>
      <c r="H216" s="34">
        <v>64450.0</v>
      </c>
      <c r="I216" s="34">
        <v>16429.0</v>
      </c>
      <c r="J216" s="34">
        <v>0.0</v>
      </c>
      <c r="K216" s="34">
        <v>4.524666294E9</v>
      </c>
      <c r="L216" s="34">
        <v>3.570526469E9</v>
      </c>
      <c r="M216" s="34">
        <v>1428.0</v>
      </c>
      <c r="N216" s="33" t="s">
        <v>94</v>
      </c>
      <c r="O216" s="33">
        <v>24.0</v>
      </c>
      <c r="P216" s="33"/>
      <c r="Q216" s="33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3">
        <v>1.76614955E8</v>
      </c>
      <c r="B217" s="33" t="s">
        <v>274</v>
      </c>
      <c r="C217" s="34">
        <v>1.422068E7</v>
      </c>
      <c r="D217" s="34">
        <v>24000.0</v>
      </c>
      <c r="E217" s="34">
        <v>2911595.0</v>
      </c>
      <c r="F217" s="34">
        <v>178776.0</v>
      </c>
      <c r="G217" s="34">
        <v>206889.0</v>
      </c>
      <c r="H217" s="34">
        <v>246985.0</v>
      </c>
      <c r="I217" s="34">
        <v>1.0</v>
      </c>
      <c r="J217" s="34">
        <v>0.0</v>
      </c>
      <c r="K217" s="34">
        <v>1.0585310277E10</v>
      </c>
      <c r="L217" s="34">
        <v>9.643822428E9</v>
      </c>
      <c r="M217" s="34">
        <v>5031.0</v>
      </c>
      <c r="N217" s="33" t="s">
        <v>153</v>
      </c>
      <c r="O217" s="33">
        <v>24.0</v>
      </c>
      <c r="P217" s="33"/>
      <c r="Q217" s="33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8.7312053E7</v>
      </c>
      <c r="B218" s="33" t="s">
        <v>279</v>
      </c>
      <c r="C218" s="34">
        <v>1.4047279E7</v>
      </c>
      <c r="D218" s="34">
        <v>25359.0</v>
      </c>
      <c r="E218" s="34">
        <v>1422545.0</v>
      </c>
      <c r="F218" s="34">
        <v>137846.0</v>
      </c>
      <c r="G218" s="34">
        <v>205069.0</v>
      </c>
      <c r="H218" s="34">
        <v>11703.0</v>
      </c>
      <c r="I218" s="34">
        <v>0.0</v>
      </c>
      <c r="J218" s="34">
        <v>0.0</v>
      </c>
      <c r="K218" s="34">
        <v>1.1723025775E10</v>
      </c>
      <c r="L218" s="34">
        <v>1.2807495307E10</v>
      </c>
      <c r="M218" s="34">
        <v>6533.0</v>
      </c>
      <c r="N218" s="33" t="s">
        <v>94</v>
      </c>
      <c r="O218" s="33">
        <v>22.0</v>
      </c>
      <c r="P218" s="33"/>
      <c r="Q218" s="33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1">
        <v>7.1567044E7</v>
      </c>
      <c r="B219" s="31" t="s">
        <v>281</v>
      </c>
      <c r="C219" s="32">
        <v>1.3821078E7</v>
      </c>
      <c r="D219" s="32">
        <v>0.0</v>
      </c>
      <c r="E219" s="32">
        <v>1250888.0</v>
      </c>
      <c r="F219" s="32">
        <v>1994097.0</v>
      </c>
      <c r="G219" s="32">
        <v>5454.0</v>
      </c>
      <c r="H219" s="32">
        <v>85522.0</v>
      </c>
      <c r="I219" s="32">
        <v>16819.0</v>
      </c>
      <c r="J219" s="32">
        <v>0.0</v>
      </c>
      <c r="K219" s="32">
        <v>6.310019388E9</v>
      </c>
      <c r="L219" s="32">
        <v>3.794800747E9</v>
      </c>
      <c r="M219" s="32">
        <v>2201.0</v>
      </c>
      <c r="N219" s="31" t="s">
        <v>66</v>
      </c>
      <c r="O219" s="31">
        <v>25.0</v>
      </c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1.68821399E8</v>
      </c>
      <c r="B220" s="31" t="s">
        <v>385</v>
      </c>
      <c r="C220" s="32">
        <v>1.3627762E7</v>
      </c>
      <c r="D220" s="32">
        <v>0.0</v>
      </c>
      <c r="E220" s="32">
        <v>3357118.0</v>
      </c>
      <c r="F220" s="32">
        <v>1916784.0</v>
      </c>
      <c r="G220" s="32">
        <v>328231.0</v>
      </c>
      <c r="H220" s="32">
        <v>286104.0</v>
      </c>
      <c r="I220" s="32">
        <v>14726.0</v>
      </c>
      <c r="J220" s="32">
        <v>0.0</v>
      </c>
      <c r="K220" s="32">
        <v>8.222301729E9</v>
      </c>
      <c r="L220" s="32">
        <v>5.038681193E9</v>
      </c>
      <c r="M220" s="32">
        <v>1815.0</v>
      </c>
      <c r="N220" s="31" t="s">
        <v>66</v>
      </c>
      <c r="O220" s="31">
        <v>25.0</v>
      </c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1">
        <v>6.7692991E7</v>
      </c>
      <c r="B221" s="31" t="s">
        <v>284</v>
      </c>
      <c r="C221" s="32">
        <v>1.3619031E7</v>
      </c>
      <c r="D221" s="32">
        <v>-3049248.0</v>
      </c>
      <c r="E221" s="32">
        <v>5.5674397E7</v>
      </c>
      <c r="F221" s="32">
        <v>3523654.0</v>
      </c>
      <c r="G221" s="32">
        <v>254237.0</v>
      </c>
      <c r="H221" s="32">
        <v>2653898.0</v>
      </c>
      <c r="I221" s="32">
        <v>1373193.0</v>
      </c>
      <c r="J221" s="32">
        <v>0.0</v>
      </c>
      <c r="K221" s="32">
        <v>6.51617566E9</v>
      </c>
      <c r="L221" s="32">
        <v>5.997427785E9</v>
      </c>
      <c r="M221" s="32">
        <v>5142.0</v>
      </c>
      <c r="N221" s="31" t="s">
        <v>147</v>
      </c>
      <c r="O221" s="31">
        <v>25.0</v>
      </c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4.7157775E7</v>
      </c>
      <c r="B222" s="33" t="s">
        <v>276</v>
      </c>
      <c r="C222" s="34">
        <v>1.3579686E7</v>
      </c>
      <c r="D222" s="34">
        <v>150790.0</v>
      </c>
      <c r="E222" s="34">
        <v>469490.0</v>
      </c>
      <c r="F222" s="34">
        <v>719004.0</v>
      </c>
      <c r="G222" s="34">
        <v>1153.0</v>
      </c>
      <c r="H222" s="34">
        <v>7698.0</v>
      </c>
      <c r="I222" s="34">
        <v>10645.0</v>
      </c>
      <c r="J222" s="34">
        <v>0.0</v>
      </c>
      <c r="K222" s="34">
        <v>2.4072935832E10</v>
      </c>
      <c r="L222" s="34">
        <v>2.2769300142E10</v>
      </c>
      <c r="M222" s="34">
        <v>3063.0</v>
      </c>
      <c r="N222" s="33" t="s">
        <v>153</v>
      </c>
      <c r="O222" s="33">
        <v>24.0</v>
      </c>
      <c r="P222" s="33"/>
      <c r="Q222" s="33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8.9432154E7</v>
      </c>
      <c r="B223" s="33" t="s">
        <v>285</v>
      </c>
      <c r="C223" s="34">
        <v>1.3568545E7</v>
      </c>
      <c r="D223" s="34">
        <v>9098.0</v>
      </c>
      <c r="E223" s="34">
        <v>2306854.0</v>
      </c>
      <c r="F223" s="34">
        <v>552580.0</v>
      </c>
      <c r="G223" s="34">
        <v>11044.0</v>
      </c>
      <c r="H223" s="34">
        <v>192874.0</v>
      </c>
      <c r="I223" s="34">
        <v>0.0</v>
      </c>
      <c r="J223" s="34">
        <v>0.0</v>
      </c>
      <c r="K223" s="34">
        <v>1.2073550954E10</v>
      </c>
      <c r="L223" s="34">
        <v>1.3664419277E10</v>
      </c>
      <c r="M223" s="34">
        <v>4634.0</v>
      </c>
      <c r="N223" s="33" t="s">
        <v>94</v>
      </c>
      <c r="O223" s="33">
        <v>22.0</v>
      </c>
      <c r="P223" s="33"/>
      <c r="Q223" s="33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1.5265234E8</v>
      </c>
      <c r="B224" s="33" t="s">
        <v>286</v>
      </c>
      <c r="C224" s="34">
        <v>1.3557395E7</v>
      </c>
      <c r="D224" s="34">
        <v>17400.0</v>
      </c>
      <c r="E224" s="34">
        <v>3280939.0</v>
      </c>
      <c r="F224" s="34">
        <v>2379037.0</v>
      </c>
      <c r="G224" s="34">
        <v>18066.0</v>
      </c>
      <c r="H224" s="34">
        <v>179178.0</v>
      </c>
      <c r="I224" s="34">
        <v>53452.0</v>
      </c>
      <c r="J224" s="34">
        <v>0.0</v>
      </c>
      <c r="K224" s="34">
        <v>7.994502065E9</v>
      </c>
      <c r="L224" s="34">
        <v>6.079254025E9</v>
      </c>
      <c r="M224" s="34">
        <v>1602.0</v>
      </c>
      <c r="N224" s="33" t="s">
        <v>94</v>
      </c>
      <c r="O224" s="33">
        <v>24.0</v>
      </c>
      <c r="P224" s="33"/>
      <c r="Q224" s="33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3">
        <v>1.44075646E8</v>
      </c>
      <c r="B225" s="33" t="s">
        <v>286</v>
      </c>
      <c r="C225" s="34">
        <v>1.3486768E7</v>
      </c>
      <c r="D225" s="34">
        <v>206960.0</v>
      </c>
      <c r="E225" s="34">
        <v>7432.0</v>
      </c>
      <c r="F225" s="34">
        <v>0.0</v>
      </c>
      <c r="G225" s="34">
        <v>1501.0</v>
      </c>
      <c r="H225" s="34">
        <v>379.0</v>
      </c>
      <c r="I225" s="34">
        <v>0.0</v>
      </c>
      <c r="J225" s="34">
        <v>0.0</v>
      </c>
      <c r="K225" s="34">
        <v>6.44463224E8</v>
      </c>
      <c r="L225" s="34">
        <v>0.0</v>
      </c>
      <c r="M225" s="34">
        <v>439.0</v>
      </c>
      <c r="N225" s="33" t="s">
        <v>165</v>
      </c>
      <c r="O225" s="33">
        <v>22.0</v>
      </c>
      <c r="P225" s="33"/>
      <c r="Q225" s="33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1.90202885E8</v>
      </c>
      <c r="B226" s="33" t="s">
        <v>278</v>
      </c>
      <c r="C226" s="34">
        <v>1.3582651E7</v>
      </c>
      <c r="D226" s="34">
        <v>461574.0</v>
      </c>
      <c r="E226" s="34">
        <v>6.0</v>
      </c>
      <c r="F226" s="34">
        <v>0.0</v>
      </c>
      <c r="G226" s="34">
        <v>30.0</v>
      </c>
      <c r="H226" s="34">
        <v>0.0</v>
      </c>
      <c r="I226" s="34">
        <v>0.0</v>
      </c>
      <c r="J226" s="34">
        <v>0.0</v>
      </c>
      <c r="K226" s="34">
        <v>3.031042408E9</v>
      </c>
      <c r="L226" s="34">
        <v>1.05660658E9</v>
      </c>
      <c r="M226" s="34">
        <v>1166.0</v>
      </c>
      <c r="N226" s="33" t="s">
        <v>153</v>
      </c>
      <c r="O226" s="33">
        <v>23.0</v>
      </c>
      <c r="P226" s="33"/>
      <c r="Q226" s="33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3">
        <v>1.52653457E8</v>
      </c>
      <c r="B227" s="33" t="s">
        <v>287</v>
      </c>
      <c r="C227" s="34">
        <v>1.3243136E7</v>
      </c>
      <c r="D227" s="34">
        <v>3200.0</v>
      </c>
      <c r="E227" s="34">
        <v>3195669.0</v>
      </c>
      <c r="F227" s="34">
        <v>2692068.0</v>
      </c>
      <c r="G227" s="34">
        <v>37019.0</v>
      </c>
      <c r="H227" s="34">
        <v>144359.0</v>
      </c>
      <c r="I227" s="34">
        <v>72708.0</v>
      </c>
      <c r="J227" s="34">
        <v>0.0</v>
      </c>
      <c r="K227" s="34">
        <v>7.983590622E9</v>
      </c>
      <c r="L227" s="34">
        <v>5.980600601E9</v>
      </c>
      <c r="M227" s="34">
        <v>1526.0</v>
      </c>
      <c r="N227" s="33" t="s">
        <v>94</v>
      </c>
      <c r="O227" s="33">
        <v>24.0</v>
      </c>
      <c r="P227" s="33"/>
      <c r="Q227" s="33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3">
        <v>8.7531547E7</v>
      </c>
      <c r="B228" s="33" t="s">
        <v>288</v>
      </c>
      <c r="C228" s="34">
        <v>1.3219951E7</v>
      </c>
      <c r="D228" s="34">
        <v>32527.0</v>
      </c>
      <c r="E228" s="34">
        <v>1588813.0</v>
      </c>
      <c r="F228" s="34">
        <v>692135.0</v>
      </c>
      <c r="G228" s="34">
        <v>309639.0</v>
      </c>
      <c r="H228" s="34">
        <v>82124.0</v>
      </c>
      <c r="I228" s="34">
        <v>962.0</v>
      </c>
      <c r="J228" s="34">
        <v>0.0</v>
      </c>
      <c r="K228" s="34">
        <v>1.0949079083E10</v>
      </c>
      <c r="L228" s="34">
        <v>1.1860015365E10</v>
      </c>
      <c r="M228" s="34">
        <v>4068.0</v>
      </c>
      <c r="N228" s="33" t="s">
        <v>94</v>
      </c>
      <c r="O228" s="33">
        <v>22.0</v>
      </c>
      <c r="P228" s="33"/>
      <c r="Q228" s="33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1.51248241E8</v>
      </c>
      <c r="B229" s="33" t="s">
        <v>290</v>
      </c>
      <c r="C229" s="34">
        <v>1.3121626E7</v>
      </c>
      <c r="D229" s="34">
        <v>25600.0</v>
      </c>
      <c r="E229" s="34">
        <v>1371541.0</v>
      </c>
      <c r="F229" s="34">
        <v>94486.0</v>
      </c>
      <c r="G229" s="34">
        <v>6395.0</v>
      </c>
      <c r="H229" s="34">
        <v>126790.0</v>
      </c>
      <c r="I229" s="34">
        <v>0.0</v>
      </c>
      <c r="J229" s="34">
        <v>0.0</v>
      </c>
      <c r="K229" s="34">
        <v>2.981431477E9</v>
      </c>
      <c r="L229" s="34">
        <v>7.26817496E8</v>
      </c>
      <c r="M229" s="34">
        <v>5935.0</v>
      </c>
      <c r="N229" s="33" t="s">
        <v>94</v>
      </c>
      <c r="O229" s="33">
        <v>24.0</v>
      </c>
      <c r="P229" s="33"/>
      <c r="Q229" s="33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3">
        <v>2.4777206E7</v>
      </c>
      <c r="B230" s="33" t="s">
        <v>289</v>
      </c>
      <c r="C230" s="34">
        <v>1.3084879E7</v>
      </c>
      <c r="D230" s="34">
        <v>11200.0</v>
      </c>
      <c r="E230" s="34">
        <v>3178989.0</v>
      </c>
      <c r="F230" s="34">
        <v>1435029.0</v>
      </c>
      <c r="G230" s="34">
        <v>23338.0</v>
      </c>
      <c r="H230" s="34">
        <v>52691.0</v>
      </c>
      <c r="I230" s="34">
        <v>90243.0</v>
      </c>
      <c r="J230" s="34">
        <v>0.0</v>
      </c>
      <c r="K230" s="34">
        <v>4.028478033E9</v>
      </c>
      <c r="L230" s="34">
        <v>6.196163634E9</v>
      </c>
      <c r="M230" s="34">
        <v>2576.0</v>
      </c>
      <c r="N230" s="33" t="s">
        <v>153</v>
      </c>
      <c r="O230" s="33">
        <v>23.0</v>
      </c>
      <c r="P230" s="33"/>
      <c r="Q230" s="33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1">
        <v>1.79651678E8</v>
      </c>
      <c r="B231" s="31" t="s">
        <v>283</v>
      </c>
      <c r="C231" s="32">
        <v>1.3025317E7</v>
      </c>
      <c r="D231" s="32">
        <v>-560706.0</v>
      </c>
      <c r="E231" s="32">
        <v>9687290.0</v>
      </c>
      <c r="F231" s="32">
        <v>1786794.0</v>
      </c>
      <c r="G231" s="32">
        <v>593624.0</v>
      </c>
      <c r="H231" s="32">
        <v>647464.0</v>
      </c>
      <c r="I231" s="32">
        <v>150139.0</v>
      </c>
      <c r="J231" s="32">
        <v>0.0</v>
      </c>
      <c r="K231" s="32">
        <v>5.491874077E9</v>
      </c>
      <c r="L231" s="32">
        <v>3.687058363E9</v>
      </c>
      <c r="M231" s="32">
        <v>2195.0</v>
      </c>
      <c r="N231" s="31" t="s">
        <v>153</v>
      </c>
      <c r="O231" s="31">
        <v>25.0</v>
      </c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3">
        <v>1.78759749E8</v>
      </c>
      <c r="B232" s="33" t="s">
        <v>294</v>
      </c>
      <c r="C232" s="34">
        <v>1.2749151E7</v>
      </c>
      <c r="D232" s="34">
        <v>38400.0</v>
      </c>
      <c r="E232" s="34">
        <v>123088.0</v>
      </c>
      <c r="F232" s="34">
        <v>127880.0</v>
      </c>
      <c r="G232" s="34">
        <v>362.0</v>
      </c>
      <c r="H232" s="34">
        <v>8565.0</v>
      </c>
      <c r="I232" s="34">
        <v>0.0</v>
      </c>
      <c r="J232" s="34">
        <v>0.0</v>
      </c>
      <c r="K232" s="34">
        <v>7.042585208E9</v>
      </c>
      <c r="L232" s="34">
        <v>5.702011369E9</v>
      </c>
      <c r="M232" s="34">
        <v>1537.0</v>
      </c>
      <c r="N232" s="33" t="s">
        <v>153</v>
      </c>
      <c r="O232" s="33">
        <v>24.0</v>
      </c>
      <c r="P232" s="33"/>
      <c r="Q232" s="33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1.77647871E8</v>
      </c>
      <c r="B233" s="33" t="s">
        <v>293</v>
      </c>
      <c r="C233" s="34">
        <v>1.2726423E7</v>
      </c>
      <c r="D233" s="34">
        <v>111500.0</v>
      </c>
      <c r="E233" s="34">
        <v>255311.0</v>
      </c>
      <c r="F233" s="34">
        <v>0.0</v>
      </c>
      <c r="G233" s="34">
        <v>21295.0</v>
      </c>
      <c r="H233" s="34">
        <v>14770.0</v>
      </c>
      <c r="I233" s="34">
        <v>0.0</v>
      </c>
      <c r="J233" s="34">
        <v>0.0</v>
      </c>
      <c r="K233" s="34">
        <v>2.230616045E9</v>
      </c>
      <c r="L233" s="34">
        <v>2.153868023E9</v>
      </c>
      <c r="M233" s="34">
        <v>792.0</v>
      </c>
      <c r="N233" s="33" t="s">
        <v>153</v>
      </c>
      <c r="O233" s="33">
        <v>23.0</v>
      </c>
      <c r="P233" s="33"/>
      <c r="Q233" s="33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3">
        <v>7.7397858E7</v>
      </c>
      <c r="B234" s="33" t="s">
        <v>297</v>
      </c>
      <c r="C234" s="34">
        <v>1.2722638E7</v>
      </c>
      <c r="D234" s="34">
        <v>156003.0</v>
      </c>
      <c r="E234" s="34">
        <v>6039713.0</v>
      </c>
      <c r="F234" s="34">
        <v>1121881.0</v>
      </c>
      <c r="G234" s="34">
        <v>201117.0</v>
      </c>
      <c r="H234" s="34">
        <v>295460.0</v>
      </c>
      <c r="I234" s="34">
        <v>51656.0</v>
      </c>
      <c r="J234" s="34">
        <v>0.0</v>
      </c>
      <c r="K234" s="34">
        <v>7.21492209E8</v>
      </c>
      <c r="L234" s="34">
        <v>0.0</v>
      </c>
      <c r="M234" s="34">
        <v>1095.0</v>
      </c>
      <c r="N234" s="33" t="s">
        <v>66</v>
      </c>
      <c r="O234" s="33">
        <v>23.0</v>
      </c>
      <c r="P234" s="33"/>
      <c r="Q234" s="33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1.44003473E8</v>
      </c>
      <c r="B235" s="33" t="s">
        <v>295</v>
      </c>
      <c r="C235" s="34">
        <v>1.2690407E7</v>
      </c>
      <c r="D235" s="34">
        <v>3568.0</v>
      </c>
      <c r="E235" s="34">
        <v>2748308.0</v>
      </c>
      <c r="F235" s="34">
        <v>799051.0</v>
      </c>
      <c r="G235" s="34">
        <v>10740.0</v>
      </c>
      <c r="H235" s="34">
        <v>206424.0</v>
      </c>
      <c r="I235" s="34">
        <v>26473.0</v>
      </c>
      <c r="J235" s="34">
        <v>0.0</v>
      </c>
      <c r="K235" s="34">
        <v>6.624929489E9</v>
      </c>
      <c r="L235" s="34">
        <v>3.39326158E9</v>
      </c>
      <c r="M235" s="34">
        <v>2531.0</v>
      </c>
      <c r="N235" s="33" t="s">
        <v>94</v>
      </c>
      <c r="O235" s="33">
        <v>24.0</v>
      </c>
      <c r="P235" s="33"/>
      <c r="Q235" s="33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1">
        <v>1.4402991E8</v>
      </c>
      <c r="B236" s="31" t="s">
        <v>296</v>
      </c>
      <c r="C236" s="32">
        <v>1.2669434E7</v>
      </c>
      <c r="D236" s="32">
        <v>203428.0</v>
      </c>
      <c r="E236" s="32">
        <v>6837594.0</v>
      </c>
      <c r="F236" s="32">
        <v>1758438.0</v>
      </c>
      <c r="G236" s="32">
        <v>22980.0</v>
      </c>
      <c r="H236" s="32">
        <v>464968.0</v>
      </c>
      <c r="I236" s="32">
        <v>71229.0</v>
      </c>
      <c r="J236" s="32">
        <v>0.0</v>
      </c>
      <c r="K236" s="32">
        <v>6.248484968E9</v>
      </c>
      <c r="L236" s="32">
        <v>4.559048087E9</v>
      </c>
      <c r="M236" s="32">
        <v>3241.0</v>
      </c>
      <c r="N236" s="31" t="s">
        <v>373</v>
      </c>
      <c r="O236" s="31">
        <v>25.0</v>
      </c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1">
        <v>1.00844055E8</v>
      </c>
      <c r="B237" s="31" t="s">
        <v>386</v>
      </c>
      <c r="C237" s="32">
        <v>1.2649126E7</v>
      </c>
      <c r="D237" s="32">
        <v>4800.0</v>
      </c>
      <c r="E237" s="32">
        <v>8818085.0</v>
      </c>
      <c r="F237" s="32">
        <v>1945308.0</v>
      </c>
      <c r="G237" s="32">
        <v>18479.0</v>
      </c>
      <c r="H237" s="32">
        <v>815682.0</v>
      </c>
      <c r="I237" s="32">
        <v>22112.0</v>
      </c>
      <c r="J237" s="32">
        <v>0.0</v>
      </c>
      <c r="K237" s="32">
        <v>3.646047485E9</v>
      </c>
      <c r="L237" s="32">
        <v>1.980573306E9</v>
      </c>
      <c r="M237" s="32">
        <v>7456.0</v>
      </c>
      <c r="N237" s="31" t="s">
        <v>153</v>
      </c>
      <c r="O237" s="31">
        <v>25.0</v>
      </c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3">
        <v>1.77225071E8</v>
      </c>
      <c r="B238" s="33" t="s">
        <v>298</v>
      </c>
      <c r="C238" s="34">
        <v>1.2542369E7</v>
      </c>
      <c r="D238" s="34">
        <v>0.0</v>
      </c>
      <c r="E238" s="34">
        <v>1033872.0</v>
      </c>
      <c r="F238" s="34">
        <v>2192960.0</v>
      </c>
      <c r="G238" s="34">
        <v>662231.0</v>
      </c>
      <c r="H238" s="34">
        <v>58320.0</v>
      </c>
      <c r="I238" s="34">
        <v>9575.0</v>
      </c>
      <c r="J238" s="34">
        <v>0.0</v>
      </c>
      <c r="K238" s="34">
        <v>6.099153127E9</v>
      </c>
      <c r="L238" s="34">
        <v>5.689647737E9</v>
      </c>
      <c r="M238" s="34">
        <v>1461.0</v>
      </c>
      <c r="N238" s="33" t="s">
        <v>147</v>
      </c>
      <c r="O238" s="33">
        <v>24.0</v>
      </c>
      <c r="P238" s="33"/>
      <c r="Q238" s="33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3">
        <v>1.77721232E8</v>
      </c>
      <c r="B239" s="33" t="s">
        <v>299</v>
      </c>
      <c r="C239" s="34">
        <v>1.2437786E7</v>
      </c>
      <c r="D239" s="34">
        <v>10800.0</v>
      </c>
      <c r="E239" s="34">
        <v>169357.0</v>
      </c>
      <c r="F239" s="34">
        <v>716670.0</v>
      </c>
      <c r="G239" s="34">
        <v>3768.0</v>
      </c>
      <c r="H239" s="34">
        <v>16742.0</v>
      </c>
      <c r="I239" s="34">
        <v>0.0</v>
      </c>
      <c r="J239" s="34">
        <v>0.0</v>
      </c>
      <c r="K239" s="34">
        <v>8.273435375E9</v>
      </c>
      <c r="L239" s="34">
        <v>7.889427E9</v>
      </c>
      <c r="M239" s="34">
        <v>2758.0</v>
      </c>
      <c r="N239" s="33" t="s">
        <v>153</v>
      </c>
      <c r="O239" s="33">
        <v>23.0</v>
      </c>
      <c r="P239" s="33"/>
      <c r="Q239" s="33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8.7273183E7</v>
      </c>
      <c r="B240" s="33" t="s">
        <v>301</v>
      </c>
      <c r="C240" s="34">
        <v>1.237139E7</v>
      </c>
      <c r="D240" s="34">
        <v>10679.0</v>
      </c>
      <c r="E240" s="34">
        <v>1562113.0</v>
      </c>
      <c r="F240" s="34">
        <v>629419.0</v>
      </c>
      <c r="G240" s="34">
        <v>84546.0</v>
      </c>
      <c r="H240" s="34">
        <v>135458.0</v>
      </c>
      <c r="I240" s="34">
        <v>0.0</v>
      </c>
      <c r="J240" s="34">
        <v>0.0</v>
      </c>
      <c r="K240" s="34">
        <v>1.1534806731E10</v>
      </c>
      <c r="L240" s="34">
        <v>1.2264202682E10</v>
      </c>
      <c r="M240" s="34">
        <v>4504.0</v>
      </c>
      <c r="N240" s="33" t="s">
        <v>94</v>
      </c>
      <c r="O240" s="33">
        <v>22.0</v>
      </c>
      <c r="P240" s="33"/>
      <c r="Q240" s="33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1">
        <v>6.5702055E7</v>
      </c>
      <c r="B241" s="31" t="s">
        <v>302</v>
      </c>
      <c r="C241" s="32">
        <v>1.2366549E7</v>
      </c>
      <c r="D241" s="32">
        <v>0.0</v>
      </c>
      <c r="E241" s="32">
        <v>506067.0</v>
      </c>
      <c r="F241" s="32">
        <v>795024.0</v>
      </c>
      <c r="G241" s="32">
        <v>28966.0</v>
      </c>
      <c r="H241" s="32">
        <v>25195.0</v>
      </c>
      <c r="I241" s="32">
        <v>3024.0</v>
      </c>
      <c r="J241" s="32">
        <v>0.0</v>
      </c>
      <c r="K241" s="32">
        <v>9.89119157E9</v>
      </c>
      <c r="L241" s="32">
        <v>1.0218488381E10</v>
      </c>
      <c r="M241" s="32">
        <v>2186.0</v>
      </c>
      <c r="N241" s="31" t="s">
        <v>153</v>
      </c>
      <c r="O241" s="31">
        <v>25.0</v>
      </c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1.73868631E8</v>
      </c>
      <c r="B242" s="33" t="s">
        <v>291</v>
      </c>
      <c r="C242" s="34">
        <v>1.2315112E7</v>
      </c>
      <c r="D242" s="34">
        <v>486212.0</v>
      </c>
      <c r="E242" s="34">
        <v>994926.0</v>
      </c>
      <c r="F242" s="34">
        <v>242253.0</v>
      </c>
      <c r="G242" s="34">
        <v>19361.0</v>
      </c>
      <c r="H242" s="34">
        <v>3755.0</v>
      </c>
      <c r="I242" s="34">
        <v>0.0</v>
      </c>
      <c r="J242" s="34">
        <v>0.0</v>
      </c>
      <c r="K242" s="34">
        <v>6.607483666E9</v>
      </c>
      <c r="L242" s="34">
        <v>9.65895874E9</v>
      </c>
      <c r="M242" s="34">
        <v>2461.0</v>
      </c>
      <c r="N242" s="33" t="s">
        <v>94</v>
      </c>
      <c r="O242" s="33">
        <v>22.0</v>
      </c>
      <c r="P242" s="33"/>
      <c r="Q242" s="33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1.73962432E8</v>
      </c>
      <c r="B243" s="33" t="s">
        <v>292</v>
      </c>
      <c r="C243" s="34">
        <v>1.2116002E7</v>
      </c>
      <c r="D243" s="34">
        <v>434908.0</v>
      </c>
      <c r="E243" s="34">
        <v>602784.0</v>
      </c>
      <c r="F243" s="34">
        <v>53647.0</v>
      </c>
      <c r="G243" s="34">
        <v>74.0</v>
      </c>
      <c r="H243" s="34">
        <v>56829.0</v>
      </c>
      <c r="I243" s="34">
        <v>1724.0</v>
      </c>
      <c r="J243" s="34">
        <v>0.0</v>
      </c>
      <c r="K243" s="34">
        <v>4.855165293E9</v>
      </c>
      <c r="L243" s="34">
        <v>6.231882195E9</v>
      </c>
      <c r="M243" s="34">
        <v>1535.0</v>
      </c>
      <c r="N243" s="33" t="s">
        <v>94</v>
      </c>
      <c r="O243" s="33">
        <v>23.0</v>
      </c>
      <c r="P243" s="33"/>
      <c r="Q243" s="33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6.7568162E7</v>
      </c>
      <c r="B244" s="33" t="s">
        <v>300</v>
      </c>
      <c r="C244" s="34">
        <v>1.2111629E7</v>
      </c>
      <c r="D244" s="34">
        <v>89600.0</v>
      </c>
      <c r="E244" s="34">
        <v>202704.0</v>
      </c>
      <c r="F244" s="34">
        <v>42020.0</v>
      </c>
      <c r="G244" s="34">
        <v>26634.0</v>
      </c>
      <c r="H244" s="34">
        <v>0.0</v>
      </c>
      <c r="I244" s="34">
        <v>5336.0</v>
      </c>
      <c r="J244" s="34">
        <v>0.0</v>
      </c>
      <c r="K244" s="34">
        <v>6.111408061E9</v>
      </c>
      <c r="L244" s="34">
        <v>3.794132451E9</v>
      </c>
      <c r="M244" s="34">
        <v>1657.0</v>
      </c>
      <c r="N244" s="33" t="s">
        <v>153</v>
      </c>
      <c r="O244" s="33">
        <v>24.0</v>
      </c>
      <c r="P244" s="33"/>
      <c r="Q244" s="33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3">
        <v>1.38285772E8</v>
      </c>
      <c r="B245" s="33" t="s">
        <v>305</v>
      </c>
      <c r="C245" s="34">
        <v>1.1989617E7</v>
      </c>
      <c r="D245" s="34">
        <v>11200.0</v>
      </c>
      <c r="E245" s="34">
        <v>188240.0</v>
      </c>
      <c r="F245" s="34">
        <v>31313.0</v>
      </c>
      <c r="G245" s="34">
        <v>0.0</v>
      </c>
      <c r="H245" s="34">
        <v>18824.0</v>
      </c>
      <c r="I245" s="34">
        <v>0.0</v>
      </c>
      <c r="J245" s="34">
        <v>0.0</v>
      </c>
      <c r="K245" s="34">
        <v>7.239800065E9</v>
      </c>
      <c r="L245" s="34">
        <v>9.374770241E9</v>
      </c>
      <c r="M245" s="34">
        <v>1457.0</v>
      </c>
      <c r="N245" s="33" t="s">
        <v>94</v>
      </c>
      <c r="O245" s="33">
        <v>24.0</v>
      </c>
      <c r="P245" s="33"/>
      <c r="Q245" s="33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1.6604384E8</v>
      </c>
      <c r="B246" s="33" t="s">
        <v>306</v>
      </c>
      <c r="C246" s="34">
        <v>1.1896485E7</v>
      </c>
      <c r="D246" s="34">
        <v>36925.0</v>
      </c>
      <c r="E246" s="34">
        <v>36517.0</v>
      </c>
      <c r="F246" s="34">
        <v>0.0</v>
      </c>
      <c r="G246" s="34">
        <v>7887.0</v>
      </c>
      <c r="H246" s="34">
        <v>3055.0</v>
      </c>
      <c r="I246" s="34">
        <v>0.0</v>
      </c>
      <c r="J246" s="34">
        <v>0.0</v>
      </c>
      <c r="K246" s="34">
        <v>7.940704649E9</v>
      </c>
      <c r="L246" s="34">
        <v>7.874301476E9</v>
      </c>
      <c r="M246" s="34">
        <v>2976.0</v>
      </c>
      <c r="N246" s="33" t="s">
        <v>94</v>
      </c>
      <c r="O246" s="33">
        <v>23.0</v>
      </c>
      <c r="P246" s="33"/>
      <c r="Q246" s="33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1.57465282E8</v>
      </c>
      <c r="B247" s="33" t="s">
        <v>387</v>
      </c>
      <c r="C247" s="34">
        <v>1.1854456E7</v>
      </c>
      <c r="D247" s="34">
        <v>47100.0</v>
      </c>
      <c r="E247" s="34">
        <v>1059330.0</v>
      </c>
      <c r="F247" s="34">
        <v>435892.0</v>
      </c>
      <c r="G247" s="34">
        <v>81933.0</v>
      </c>
      <c r="H247" s="34">
        <v>58926.0</v>
      </c>
      <c r="I247" s="34">
        <v>5178.0</v>
      </c>
      <c r="J247" s="34">
        <v>0.0</v>
      </c>
      <c r="K247" s="34">
        <v>8.385575154E9</v>
      </c>
      <c r="L247" s="34">
        <v>2.366887416E9</v>
      </c>
      <c r="M247" s="34">
        <v>1868.0</v>
      </c>
      <c r="N247" s="33" t="s">
        <v>165</v>
      </c>
      <c r="O247" s="33">
        <v>22.0</v>
      </c>
      <c r="P247" s="33"/>
      <c r="Q247" s="33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1">
        <v>1.84527302E8</v>
      </c>
      <c r="B248" s="31" t="s">
        <v>304</v>
      </c>
      <c r="C248" s="32">
        <v>1.1901122E7</v>
      </c>
      <c r="D248" s="32">
        <v>103697.0</v>
      </c>
      <c r="E248" s="32">
        <v>145500.0</v>
      </c>
      <c r="F248" s="32">
        <v>67634.0</v>
      </c>
      <c r="G248" s="32">
        <v>0.0</v>
      </c>
      <c r="H248" s="32">
        <v>2922.0</v>
      </c>
      <c r="I248" s="32">
        <v>5814.0</v>
      </c>
      <c r="J248" s="32">
        <v>0.0</v>
      </c>
      <c r="K248" s="32">
        <v>2.3301845E9</v>
      </c>
      <c r="L248" s="32">
        <v>1.1313724893E10</v>
      </c>
      <c r="M248" s="32">
        <v>597.0</v>
      </c>
      <c r="N248" s="31" t="s">
        <v>34</v>
      </c>
      <c r="O248" s="31">
        <v>25.0</v>
      </c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1">
        <v>9.6284047E7</v>
      </c>
      <c r="B249" s="31" t="s">
        <v>308</v>
      </c>
      <c r="C249" s="32">
        <v>1.1831939E7</v>
      </c>
      <c r="D249" s="32">
        <v>13998.0</v>
      </c>
      <c r="E249" s="32">
        <v>43742.0</v>
      </c>
      <c r="F249" s="32">
        <v>57258.0</v>
      </c>
      <c r="G249" s="32">
        <v>913.0</v>
      </c>
      <c r="H249" s="32">
        <v>1456.0</v>
      </c>
      <c r="I249" s="32">
        <v>1390.0</v>
      </c>
      <c r="J249" s="32">
        <v>0.0</v>
      </c>
      <c r="K249" s="32">
        <v>2.446561185E9</v>
      </c>
      <c r="L249" s="32">
        <v>1.994469657E9</v>
      </c>
      <c r="M249" s="32">
        <v>971.0</v>
      </c>
      <c r="N249" s="31" t="s">
        <v>153</v>
      </c>
      <c r="O249" s="31">
        <v>25.0</v>
      </c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1.72151323E8</v>
      </c>
      <c r="B250" s="33" t="s">
        <v>303</v>
      </c>
      <c r="C250" s="34">
        <v>1.1708863E7</v>
      </c>
      <c r="D250" s="34">
        <v>631862.0</v>
      </c>
      <c r="E250" s="34">
        <v>887439.0</v>
      </c>
      <c r="F250" s="34">
        <v>781079.0</v>
      </c>
      <c r="G250" s="34">
        <v>24025.0</v>
      </c>
      <c r="H250" s="34">
        <v>15840.0</v>
      </c>
      <c r="I250" s="34">
        <v>33010.0</v>
      </c>
      <c r="J250" s="34">
        <v>0.0</v>
      </c>
      <c r="K250" s="34">
        <v>1.336167296E9</v>
      </c>
      <c r="L250" s="34">
        <v>5.89290943E8</v>
      </c>
      <c r="M250" s="34">
        <v>6462.0</v>
      </c>
      <c r="N250" s="33" t="s">
        <v>94</v>
      </c>
      <c r="O250" s="33">
        <v>24.0</v>
      </c>
      <c r="P250" s="33"/>
      <c r="Q250" s="33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1.4410611E8</v>
      </c>
      <c r="B251" s="33" t="s">
        <v>388</v>
      </c>
      <c r="C251" s="34">
        <v>1.1620614E7</v>
      </c>
      <c r="D251" s="34">
        <v>0.0</v>
      </c>
      <c r="E251" s="34">
        <v>656603.0</v>
      </c>
      <c r="F251" s="34">
        <v>5965.0</v>
      </c>
      <c r="G251" s="34">
        <v>10778.0</v>
      </c>
      <c r="H251" s="34">
        <v>43294.0</v>
      </c>
      <c r="I251" s="34">
        <v>9312.0</v>
      </c>
      <c r="J251" s="34">
        <v>0.0</v>
      </c>
      <c r="K251" s="34">
        <v>5.01095304E8</v>
      </c>
      <c r="L251" s="34">
        <v>1460384.0</v>
      </c>
      <c r="M251" s="34">
        <v>62.0</v>
      </c>
      <c r="N251" s="33" t="s">
        <v>66</v>
      </c>
      <c r="O251" s="33">
        <v>24.0</v>
      </c>
      <c r="P251" s="33"/>
      <c r="Q251" s="33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1.04333804E8</v>
      </c>
      <c r="B252" s="33" t="s">
        <v>309</v>
      </c>
      <c r="C252" s="34">
        <v>1.1467796E7</v>
      </c>
      <c r="D252" s="34">
        <v>214964.0</v>
      </c>
      <c r="E252" s="34">
        <v>1832974.0</v>
      </c>
      <c r="F252" s="34">
        <v>665217.0</v>
      </c>
      <c r="G252" s="34">
        <v>175972.0</v>
      </c>
      <c r="H252" s="34">
        <v>105192.0</v>
      </c>
      <c r="I252" s="34">
        <v>13980.0</v>
      </c>
      <c r="J252" s="34">
        <v>0.0</v>
      </c>
      <c r="K252" s="34">
        <v>3.93247873E8</v>
      </c>
      <c r="L252" s="34">
        <v>0.0</v>
      </c>
      <c r="M252" s="34">
        <v>1193.0</v>
      </c>
      <c r="N252" s="33" t="s">
        <v>165</v>
      </c>
      <c r="O252" s="33">
        <v>24.0</v>
      </c>
      <c r="P252" s="33"/>
      <c r="Q252" s="33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1.28382827E8</v>
      </c>
      <c r="B253" s="33" t="s">
        <v>312</v>
      </c>
      <c r="C253" s="34">
        <v>1.1441492E7</v>
      </c>
      <c r="D253" s="34">
        <v>6400.0</v>
      </c>
      <c r="E253" s="34">
        <v>5689027.0</v>
      </c>
      <c r="F253" s="34">
        <v>1604666.0</v>
      </c>
      <c r="G253" s="34">
        <v>26229.0</v>
      </c>
      <c r="H253" s="34">
        <v>520858.0</v>
      </c>
      <c r="I253" s="34">
        <v>20165.0</v>
      </c>
      <c r="J253" s="34">
        <v>0.0</v>
      </c>
      <c r="K253" s="34">
        <v>9.822443574E9</v>
      </c>
      <c r="L253" s="34">
        <v>1.164495703E10</v>
      </c>
      <c r="M253" s="34">
        <v>2137.0</v>
      </c>
      <c r="N253" s="33" t="s">
        <v>94</v>
      </c>
      <c r="O253" s="33">
        <v>24.0</v>
      </c>
      <c r="P253" s="33"/>
      <c r="Q253" s="33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3.1303775E7</v>
      </c>
      <c r="B254" s="33" t="s">
        <v>311</v>
      </c>
      <c r="C254" s="34">
        <v>1.1403601E7</v>
      </c>
      <c r="D254" s="34">
        <v>31800.0</v>
      </c>
      <c r="E254" s="34">
        <v>8644167.0</v>
      </c>
      <c r="F254" s="34">
        <v>1667127.0</v>
      </c>
      <c r="G254" s="34">
        <v>297318.0</v>
      </c>
      <c r="H254" s="34">
        <v>388443.0</v>
      </c>
      <c r="I254" s="34">
        <v>111080.0</v>
      </c>
      <c r="J254" s="34">
        <v>0.0</v>
      </c>
      <c r="K254" s="34">
        <v>4.111834047E9</v>
      </c>
      <c r="L254" s="34">
        <v>6.02326523E9</v>
      </c>
      <c r="M254" s="34">
        <v>1827.0</v>
      </c>
      <c r="N254" s="33" t="s">
        <v>153</v>
      </c>
      <c r="O254" s="33">
        <v>24.0</v>
      </c>
      <c r="P254" s="33"/>
      <c r="Q254" s="33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3">
        <v>1.83887182E8</v>
      </c>
      <c r="B255" s="33" t="s">
        <v>313</v>
      </c>
      <c r="C255" s="34">
        <v>1.1402996E7</v>
      </c>
      <c r="D255" s="34">
        <v>1196.0</v>
      </c>
      <c r="E255" s="34">
        <v>2537211.0</v>
      </c>
      <c r="F255" s="34">
        <v>800103.0</v>
      </c>
      <c r="G255" s="34">
        <v>4358.0</v>
      </c>
      <c r="H255" s="34">
        <v>234472.0</v>
      </c>
      <c r="I255" s="34">
        <v>7693.0</v>
      </c>
      <c r="J255" s="34">
        <v>0.0</v>
      </c>
      <c r="K255" s="34">
        <v>2.683882265E9</v>
      </c>
      <c r="L255" s="34">
        <v>9.3810346E8</v>
      </c>
      <c r="M255" s="34">
        <v>1099.0</v>
      </c>
      <c r="N255" s="33" t="s">
        <v>153</v>
      </c>
      <c r="O255" s="33">
        <v>24.0</v>
      </c>
      <c r="P255" s="33"/>
      <c r="Q255" s="33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6.9287686E7</v>
      </c>
      <c r="B256" s="33" t="s">
        <v>316</v>
      </c>
      <c r="C256" s="34">
        <v>1.1194132E7</v>
      </c>
      <c r="D256" s="34">
        <v>42439.0</v>
      </c>
      <c r="E256" s="34">
        <v>2027902.0</v>
      </c>
      <c r="F256" s="34">
        <v>235658.0</v>
      </c>
      <c r="G256" s="34">
        <v>457711.0</v>
      </c>
      <c r="H256" s="34">
        <v>39331.0</v>
      </c>
      <c r="I256" s="34">
        <v>0.0</v>
      </c>
      <c r="J256" s="34">
        <v>0.0</v>
      </c>
      <c r="K256" s="34">
        <v>6.212933033E9</v>
      </c>
      <c r="L256" s="34">
        <v>5.785956295E9</v>
      </c>
      <c r="M256" s="34">
        <v>3883.0</v>
      </c>
      <c r="N256" s="33" t="s">
        <v>94</v>
      </c>
      <c r="O256" s="33">
        <v>24.0</v>
      </c>
      <c r="P256" s="33"/>
      <c r="Q256" s="33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1.9932468E8</v>
      </c>
      <c r="B257" s="33" t="s">
        <v>314</v>
      </c>
      <c r="C257" s="34">
        <v>1.1134985E7</v>
      </c>
      <c r="D257" s="34">
        <v>201879.0</v>
      </c>
      <c r="E257" s="34">
        <v>11640.0</v>
      </c>
      <c r="F257" s="34">
        <v>0.0</v>
      </c>
      <c r="G257" s="34">
        <v>0.0</v>
      </c>
      <c r="H257" s="34">
        <v>0.0</v>
      </c>
      <c r="I257" s="34">
        <v>0.0</v>
      </c>
      <c r="J257" s="34">
        <v>0.0</v>
      </c>
      <c r="K257" s="34">
        <v>2.094728929E9</v>
      </c>
      <c r="L257" s="34">
        <v>1.4332E9</v>
      </c>
      <c r="M257" s="34">
        <v>521.0</v>
      </c>
      <c r="N257" s="33" t="s">
        <v>94</v>
      </c>
      <c r="O257" s="33">
        <v>22.0</v>
      </c>
      <c r="P257" s="33"/>
      <c r="Q257" s="33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1.81171114E8</v>
      </c>
      <c r="B258" s="33" t="s">
        <v>310</v>
      </c>
      <c r="C258" s="34">
        <v>1.0960906E7</v>
      </c>
      <c r="D258" s="34">
        <v>1005596.0</v>
      </c>
      <c r="E258" s="34">
        <v>32912.0</v>
      </c>
      <c r="F258" s="34">
        <v>0.0</v>
      </c>
      <c r="G258" s="34">
        <v>0.0</v>
      </c>
      <c r="H258" s="34">
        <v>270.0</v>
      </c>
      <c r="I258" s="34">
        <v>1333.0</v>
      </c>
      <c r="J258" s="34">
        <v>0.0</v>
      </c>
      <c r="K258" s="34">
        <v>2.938617221E9</v>
      </c>
      <c r="L258" s="34">
        <v>3.614743741E9</v>
      </c>
      <c r="M258" s="34">
        <v>837.0</v>
      </c>
      <c r="N258" s="33" t="s">
        <v>165</v>
      </c>
      <c r="O258" s="33">
        <v>23.0</v>
      </c>
      <c r="P258" s="33"/>
      <c r="Q258" s="33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3">
        <v>1.67125555E8</v>
      </c>
      <c r="B259" s="33" t="s">
        <v>318</v>
      </c>
      <c r="C259" s="34">
        <v>1.0912332E7</v>
      </c>
      <c r="D259" s="34">
        <v>19338.0</v>
      </c>
      <c r="E259" s="34">
        <v>53959.0</v>
      </c>
      <c r="F259" s="34">
        <v>0.0</v>
      </c>
      <c r="G259" s="34">
        <v>2077.0</v>
      </c>
      <c r="H259" s="34">
        <v>4939.0</v>
      </c>
      <c r="I259" s="34">
        <v>0.0</v>
      </c>
      <c r="J259" s="34">
        <v>0.0</v>
      </c>
      <c r="K259" s="34">
        <v>7.577602989E9</v>
      </c>
      <c r="L259" s="34">
        <v>7.238948566E9</v>
      </c>
      <c r="M259" s="34">
        <v>1638.0</v>
      </c>
      <c r="N259" s="33" t="s">
        <v>94</v>
      </c>
      <c r="O259" s="33">
        <v>23.0</v>
      </c>
      <c r="P259" s="33"/>
      <c r="Q259" s="33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1.4410355E8</v>
      </c>
      <c r="B260" s="33" t="s">
        <v>389</v>
      </c>
      <c r="C260" s="34">
        <v>1.0821958E7</v>
      </c>
      <c r="D260" s="34">
        <v>0.0</v>
      </c>
      <c r="E260" s="34">
        <v>2832430.0</v>
      </c>
      <c r="F260" s="34">
        <v>721357.0</v>
      </c>
      <c r="G260" s="34">
        <v>53764.0</v>
      </c>
      <c r="H260" s="34">
        <v>127406.0</v>
      </c>
      <c r="I260" s="34">
        <v>62037.0</v>
      </c>
      <c r="J260" s="34">
        <v>0.0</v>
      </c>
      <c r="K260" s="34">
        <v>7.8384522E8</v>
      </c>
      <c r="L260" s="34">
        <v>28750.0</v>
      </c>
      <c r="M260" s="34">
        <v>2050.0</v>
      </c>
      <c r="N260" s="33" t="s">
        <v>66</v>
      </c>
      <c r="O260" s="33">
        <v>23.0</v>
      </c>
      <c r="P260" s="33"/>
      <c r="Q260" s="33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3">
        <v>1.59650107E8</v>
      </c>
      <c r="B261" s="33" t="s">
        <v>319</v>
      </c>
      <c r="C261" s="34">
        <v>1.0793873E7</v>
      </c>
      <c r="D261" s="34">
        <v>16152.0</v>
      </c>
      <c r="E261" s="34">
        <v>1536602.0</v>
      </c>
      <c r="F261" s="34">
        <v>1041916.0</v>
      </c>
      <c r="G261" s="34">
        <v>7593.0</v>
      </c>
      <c r="H261" s="34">
        <v>41874.0</v>
      </c>
      <c r="I261" s="34">
        <v>55798.0</v>
      </c>
      <c r="J261" s="34">
        <v>0.0</v>
      </c>
      <c r="K261" s="34">
        <v>3.856345131E9</v>
      </c>
      <c r="L261" s="34">
        <v>6.306110993E9</v>
      </c>
      <c r="M261" s="34">
        <v>1037.0</v>
      </c>
      <c r="N261" s="33" t="s">
        <v>153</v>
      </c>
      <c r="O261" s="33">
        <v>22.0</v>
      </c>
      <c r="P261" s="33"/>
      <c r="Q261" s="33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1.99425708E8</v>
      </c>
      <c r="B262" s="33" t="s">
        <v>320</v>
      </c>
      <c r="C262" s="34">
        <v>1.0734407E7</v>
      </c>
      <c r="D262" s="34">
        <v>142406.0</v>
      </c>
      <c r="E262" s="34">
        <v>-1.0</v>
      </c>
      <c r="F262" s="34">
        <v>0.0</v>
      </c>
      <c r="G262" s="34">
        <v>0.0</v>
      </c>
      <c r="H262" s="34">
        <v>0.0</v>
      </c>
      <c r="I262" s="34">
        <v>0.0</v>
      </c>
      <c r="J262" s="34">
        <v>0.0</v>
      </c>
      <c r="K262" s="34">
        <v>2.067625067E9</v>
      </c>
      <c r="L262" s="34">
        <v>1.233E9</v>
      </c>
      <c r="M262" s="34">
        <v>520.0</v>
      </c>
      <c r="N262" s="33" t="s">
        <v>94</v>
      </c>
      <c r="O262" s="33">
        <v>22.0</v>
      </c>
      <c r="P262" s="33"/>
      <c r="Q262" s="33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1.3787251E8</v>
      </c>
      <c r="B263" s="33" t="s">
        <v>321</v>
      </c>
      <c r="C263" s="34">
        <v>1.0696952E7</v>
      </c>
      <c r="D263" s="34">
        <v>0.0</v>
      </c>
      <c r="E263" s="34">
        <v>2140053.0</v>
      </c>
      <c r="F263" s="34">
        <v>385943.0</v>
      </c>
      <c r="G263" s="34">
        <v>301186.0</v>
      </c>
      <c r="H263" s="34">
        <v>122211.0</v>
      </c>
      <c r="I263" s="34">
        <v>1027.0</v>
      </c>
      <c r="J263" s="34">
        <v>0.0</v>
      </c>
      <c r="K263" s="34">
        <v>8.96881258E8</v>
      </c>
      <c r="L263" s="34">
        <v>1.2769745E7</v>
      </c>
      <c r="M263" s="34">
        <v>7816.0</v>
      </c>
      <c r="N263" s="33" t="s">
        <v>66</v>
      </c>
      <c r="O263" s="33">
        <v>23.0</v>
      </c>
      <c r="P263" s="33"/>
      <c r="Q263" s="33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2.02638038E8</v>
      </c>
      <c r="B264" s="33" t="s">
        <v>322</v>
      </c>
      <c r="C264" s="34">
        <v>1.0601697E7</v>
      </c>
      <c r="D264" s="34">
        <v>800.0</v>
      </c>
      <c r="E264" s="34">
        <v>145261.0</v>
      </c>
      <c r="F264" s="34">
        <v>30575.0</v>
      </c>
      <c r="G264" s="34">
        <v>456.0</v>
      </c>
      <c r="H264" s="34">
        <v>829.0</v>
      </c>
      <c r="I264" s="34">
        <v>6844.0</v>
      </c>
      <c r="J264" s="34">
        <v>0.0</v>
      </c>
      <c r="K264" s="34">
        <v>5.884105567E9</v>
      </c>
      <c r="L264" s="34">
        <v>3.246591544E9</v>
      </c>
      <c r="M264" s="34">
        <v>871.0</v>
      </c>
      <c r="N264" s="33" t="s">
        <v>165</v>
      </c>
      <c r="O264" s="33">
        <v>23.0</v>
      </c>
      <c r="P264" s="33"/>
      <c r="Q264" s="33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3">
        <v>1.66124388E8</v>
      </c>
      <c r="B265" s="33" t="s">
        <v>323</v>
      </c>
      <c r="C265" s="34">
        <v>1.0537822E7</v>
      </c>
      <c r="D265" s="34">
        <v>0.0</v>
      </c>
      <c r="E265" s="34">
        <v>2289901.0</v>
      </c>
      <c r="F265" s="34">
        <v>910305.0</v>
      </c>
      <c r="G265" s="34">
        <v>71285.0</v>
      </c>
      <c r="H265" s="34">
        <v>187987.0</v>
      </c>
      <c r="I265" s="34">
        <v>18297.0</v>
      </c>
      <c r="J265" s="34">
        <v>0.0</v>
      </c>
      <c r="K265" s="34">
        <v>4.008354244E9</v>
      </c>
      <c r="L265" s="34">
        <v>2.79174755E9</v>
      </c>
      <c r="M265" s="34">
        <v>1545.0</v>
      </c>
      <c r="N265" s="33" t="s">
        <v>94</v>
      </c>
      <c r="O265" s="33">
        <v>23.0</v>
      </c>
      <c r="P265" s="33"/>
      <c r="Q265" s="33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3">
        <v>1.98793501E8</v>
      </c>
      <c r="B266" s="33" t="s">
        <v>390</v>
      </c>
      <c r="C266" s="34">
        <v>1.0428897E7</v>
      </c>
      <c r="D266" s="34">
        <v>150050.0</v>
      </c>
      <c r="E266" s="34">
        <v>20800.0</v>
      </c>
      <c r="F266" s="34">
        <v>0.0</v>
      </c>
      <c r="G266" s="34">
        <v>0.0</v>
      </c>
      <c r="H266" s="34">
        <v>0.0</v>
      </c>
      <c r="I266" s="34">
        <v>1040.0</v>
      </c>
      <c r="J266" s="34">
        <v>0.0</v>
      </c>
      <c r="K266" s="34">
        <v>4.676698802E9</v>
      </c>
      <c r="L266" s="34">
        <v>4.892905721E9</v>
      </c>
      <c r="M266" s="34">
        <v>1187.0</v>
      </c>
      <c r="N266" s="33" t="s">
        <v>153</v>
      </c>
      <c r="O266" s="33">
        <v>24.0</v>
      </c>
      <c r="P266" s="33"/>
      <c r="Q266" s="33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1.83817841E8</v>
      </c>
      <c r="B267" s="33" t="s">
        <v>315</v>
      </c>
      <c r="C267" s="34">
        <v>1.0350502E7</v>
      </c>
      <c r="D267" s="34">
        <v>48791.0</v>
      </c>
      <c r="E267" s="34">
        <v>710476.0</v>
      </c>
      <c r="F267" s="34">
        <v>892251.0</v>
      </c>
      <c r="G267" s="34">
        <v>294.0</v>
      </c>
      <c r="H267" s="34">
        <v>34167.0</v>
      </c>
      <c r="I267" s="34">
        <v>18431.0</v>
      </c>
      <c r="J267" s="34">
        <v>0.0</v>
      </c>
      <c r="K267" s="34">
        <v>1.076053079E9</v>
      </c>
      <c r="L267" s="34">
        <v>0.0</v>
      </c>
      <c r="M267" s="34">
        <v>287.0</v>
      </c>
      <c r="N267" s="33" t="s">
        <v>165</v>
      </c>
      <c r="O267" s="33">
        <v>23.0</v>
      </c>
      <c r="P267" s="33"/>
      <c r="Q267" s="33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1.71233186E8</v>
      </c>
      <c r="B268" s="33" t="s">
        <v>329</v>
      </c>
      <c r="C268" s="34">
        <v>1.0256376E7</v>
      </c>
      <c r="D268" s="34">
        <v>0.0</v>
      </c>
      <c r="E268" s="34">
        <v>971104.0</v>
      </c>
      <c r="F268" s="34">
        <v>4667.0</v>
      </c>
      <c r="G268" s="34">
        <v>0.0</v>
      </c>
      <c r="H268" s="34">
        <v>90418.0</v>
      </c>
      <c r="I268" s="34">
        <v>2023.0</v>
      </c>
      <c r="J268" s="34">
        <v>0.0</v>
      </c>
      <c r="K268" s="34">
        <v>9.255182211E9</v>
      </c>
      <c r="L268" s="34">
        <v>6.74164768E9</v>
      </c>
      <c r="M268" s="34">
        <v>2210.0</v>
      </c>
      <c r="N268" s="33" t="s">
        <v>153</v>
      </c>
      <c r="O268" s="33">
        <v>23.0</v>
      </c>
      <c r="P268" s="33"/>
      <c r="Q268" s="33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1.44044666E8</v>
      </c>
      <c r="B269" s="33" t="s">
        <v>391</v>
      </c>
      <c r="C269" s="34">
        <v>1.0242189E7</v>
      </c>
      <c r="D269" s="34">
        <v>0.0</v>
      </c>
      <c r="E269" s="34">
        <v>2388163.0</v>
      </c>
      <c r="F269" s="34">
        <v>898490.0</v>
      </c>
      <c r="G269" s="34">
        <v>166627.0</v>
      </c>
      <c r="H269" s="34">
        <v>60679.0</v>
      </c>
      <c r="I269" s="34">
        <v>0.0</v>
      </c>
      <c r="J269" s="34">
        <v>0.0</v>
      </c>
      <c r="K269" s="34">
        <v>8.86208627E8</v>
      </c>
      <c r="L269" s="34">
        <v>5.4341218E7</v>
      </c>
      <c r="M269" s="34">
        <v>3309.0</v>
      </c>
      <c r="N269" s="33" t="s">
        <v>165</v>
      </c>
      <c r="O269" s="33">
        <v>22.0</v>
      </c>
      <c r="P269" s="33"/>
      <c r="Q269" s="33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1.53741092E8</v>
      </c>
      <c r="B270" s="33" t="s">
        <v>328</v>
      </c>
      <c r="C270" s="34">
        <v>1.0212738E7</v>
      </c>
      <c r="D270" s="34">
        <v>0.0</v>
      </c>
      <c r="E270" s="34">
        <v>2348401.0</v>
      </c>
      <c r="F270" s="34">
        <v>533005.0</v>
      </c>
      <c r="G270" s="34">
        <v>250069.0</v>
      </c>
      <c r="H270" s="34">
        <v>100259.0</v>
      </c>
      <c r="I270" s="34">
        <v>0.0</v>
      </c>
      <c r="J270" s="34">
        <v>0.0</v>
      </c>
      <c r="K270" s="34">
        <v>1.228889481E9</v>
      </c>
      <c r="L270" s="34">
        <v>8.08909335E8</v>
      </c>
      <c r="M270" s="34">
        <v>6484.0</v>
      </c>
      <c r="N270" s="33" t="s">
        <v>94</v>
      </c>
      <c r="O270" s="33">
        <v>23.0</v>
      </c>
      <c r="P270" s="33"/>
      <c r="Q270" s="33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1.49335105E8</v>
      </c>
      <c r="B271" s="33" t="s">
        <v>331</v>
      </c>
      <c r="C271" s="34">
        <v>1.0131011E7</v>
      </c>
      <c r="D271" s="34">
        <v>79723.0</v>
      </c>
      <c r="E271" s="34">
        <v>557579.0</v>
      </c>
      <c r="F271" s="34">
        <v>217099.0</v>
      </c>
      <c r="G271" s="34">
        <v>558.0</v>
      </c>
      <c r="H271" s="34">
        <v>38148.0</v>
      </c>
      <c r="I271" s="34">
        <v>0.0</v>
      </c>
      <c r="J271" s="34">
        <v>0.0</v>
      </c>
      <c r="K271" s="34">
        <v>5.761277687E9</v>
      </c>
      <c r="L271" s="34">
        <v>5.254169928E9</v>
      </c>
      <c r="M271" s="34">
        <v>1140.0</v>
      </c>
      <c r="N271" s="33" t="s">
        <v>94</v>
      </c>
      <c r="O271" s="33">
        <v>23.0</v>
      </c>
      <c r="P271" s="33"/>
      <c r="Q271" s="33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1.16447776E8</v>
      </c>
      <c r="B272" s="33" t="s">
        <v>333</v>
      </c>
      <c r="C272" s="34">
        <v>1.0097564E7</v>
      </c>
      <c r="D272" s="34">
        <v>0.0</v>
      </c>
      <c r="E272" s="34">
        <v>2486609.0</v>
      </c>
      <c r="F272" s="34">
        <v>450509.0</v>
      </c>
      <c r="G272" s="34">
        <v>585868.0</v>
      </c>
      <c r="H272" s="34">
        <v>32871.0</v>
      </c>
      <c r="I272" s="34">
        <v>23136.0</v>
      </c>
      <c r="J272" s="34">
        <v>0.0</v>
      </c>
      <c r="K272" s="34">
        <v>3.8301185E9</v>
      </c>
      <c r="L272" s="34">
        <v>5.344709311E9</v>
      </c>
      <c r="M272" s="34">
        <v>1594.0</v>
      </c>
      <c r="N272" s="33" t="s">
        <v>153</v>
      </c>
      <c r="O272" s="33">
        <v>22.0</v>
      </c>
      <c r="P272" s="33"/>
      <c r="Q272" s="33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9.9531415E7</v>
      </c>
      <c r="B273" s="33" t="s">
        <v>392</v>
      </c>
      <c r="C273" s="34">
        <v>9932201.0</v>
      </c>
      <c r="D273" s="34">
        <v>0.0</v>
      </c>
      <c r="E273" s="34">
        <v>7285178.0</v>
      </c>
      <c r="F273" s="34">
        <v>1634329.0</v>
      </c>
      <c r="G273" s="34">
        <v>549491.0</v>
      </c>
      <c r="H273" s="34">
        <v>192250.0</v>
      </c>
      <c r="I273" s="34">
        <v>94272.0</v>
      </c>
      <c r="J273" s="34">
        <v>0.0</v>
      </c>
      <c r="K273" s="34">
        <v>9.06363485E8</v>
      </c>
      <c r="L273" s="34">
        <v>1.0635596E7</v>
      </c>
      <c r="M273" s="34">
        <v>2697.0</v>
      </c>
      <c r="N273" s="33" t="s">
        <v>66</v>
      </c>
      <c r="O273" s="33">
        <v>23.0</v>
      </c>
      <c r="P273" s="33"/>
      <c r="Q273" s="33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1.81177912E8</v>
      </c>
      <c r="B274" s="33" t="s">
        <v>393</v>
      </c>
      <c r="C274" s="34">
        <v>9922100.0</v>
      </c>
      <c r="D274" s="34">
        <v>0.0</v>
      </c>
      <c r="E274" s="34">
        <v>-1.0</v>
      </c>
      <c r="F274" s="34">
        <v>0.0</v>
      </c>
      <c r="G274" s="34">
        <v>0.0</v>
      </c>
      <c r="H274" s="34">
        <v>0.0</v>
      </c>
      <c r="I274" s="34">
        <v>0.0</v>
      </c>
      <c r="J274" s="34">
        <v>0.0</v>
      </c>
      <c r="K274" s="34">
        <v>2.568217265E9</v>
      </c>
      <c r="L274" s="34">
        <v>3.294566607E9</v>
      </c>
      <c r="M274" s="34">
        <v>771.0</v>
      </c>
      <c r="N274" s="33" t="s">
        <v>94</v>
      </c>
      <c r="O274" s="33">
        <v>23.0</v>
      </c>
      <c r="P274" s="33"/>
      <c r="Q274" s="33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1.64582241E8</v>
      </c>
      <c r="B275" s="33" t="s">
        <v>334</v>
      </c>
      <c r="C275" s="34">
        <v>9808274.0</v>
      </c>
      <c r="D275" s="34">
        <v>58000.0</v>
      </c>
      <c r="E275" s="34">
        <v>1504070.0</v>
      </c>
      <c r="F275" s="34">
        <v>332313.0</v>
      </c>
      <c r="G275" s="34">
        <v>326762.0</v>
      </c>
      <c r="H275" s="34">
        <v>74899.0</v>
      </c>
      <c r="I275" s="34">
        <v>1706.0</v>
      </c>
      <c r="J275" s="34">
        <v>0.0</v>
      </c>
      <c r="K275" s="34">
        <v>1.914646824E9</v>
      </c>
      <c r="L275" s="34">
        <v>2.241757028E9</v>
      </c>
      <c r="M275" s="34">
        <v>742.0</v>
      </c>
      <c r="N275" s="33" t="s">
        <v>153</v>
      </c>
      <c r="O275" s="33">
        <v>22.0</v>
      </c>
      <c r="P275" s="33"/>
      <c r="Q275" s="33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1">
        <v>1.71293992E8</v>
      </c>
      <c r="B276" s="31" t="s">
        <v>335</v>
      </c>
      <c r="C276" s="32">
        <v>9800491.0</v>
      </c>
      <c r="D276" s="32">
        <v>156200.0</v>
      </c>
      <c r="E276" s="32">
        <v>1539071.0</v>
      </c>
      <c r="F276" s="32">
        <v>1163927.0</v>
      </c>
      <c r="G276" s="32">
        <v>265108.0</v>
      </c>
      <c r="H276" s="32">
        <v>99031.0</v>
      </c>
      <c r="I276" s="32">
        <v>16819.0</v>
      </c>
      <c r="J276" s="32">
        <v>0.0</v>
      </c>
      <c r="K276" s="32">
        <v>1.858934807E9</v>
      </c>
      <c r="L276" s="32">
        <v>1.776949545E9</v>
      </c>
      <c r="M276" s="32">
        <v>906.0</v>
      </c>
      <c r="N276" s="31" t="s">
        <v>153</v>
      </c>
      <c r="O276" s="31">
        <v>25.0</v>
      </c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1">
        <v>1.43357945E8</v>
      </c>
      <c r="B277" s="31" t="s">
        <v>394</v>
      </c>
      <c r="C277" s="32">
        <v>9780596.0</v>
      </c>
      <c r="D277" s="32">
        <v>0.0</v>
      </c>
      <c r="E277" s="32">
        <v>3.4889049E7</v>
      </c>
      <c r="F277" s="32">
        <v>665229.0</v>
      </c>
      <c r="G277" s="32">
        <v>1846925.0</v>
      </c>
      <c r="H277" s="32">
        <v>333888.0</v>
      </c>
      <c r="I277" s="32">
        <v>4740.0</v>
      </c>
      <c r="J277" s="32">
        <v>0.0</v>
      </c>
      <c r="K277" s="32">
        <v>8.07895111E8</v>
      </c>
      <c r="L277" s="32">
        <v>1592532.0</v>
      </c>
      <c r="M277" s="32">
        <v>4824.0</v>
      </c>
      <c r="N277" s="31" t="s">
        <v>66</v>
      </c>
      <c r="O277" s="31">
        <v>24.0</v>
      </c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1">
        <v>1.51510542E8</v>
      </c>
      <c r="B278" s="31" t="s">
        <v>332</v>
      </c>
      <c r="C278" s="32">
        <v>9774161.0</v>
      </c>
      <c r="D278" s="32">
        <v>0.0</v>
      </c>
      <c r="E278" s="32">
        <v>2999963.0</v>
      </c>
      <c r="F278" s="32">
        <v>396601.0</v>
      </c>
      <c r="G278" s="32">
        <v>540468.0</v>
      </c>
      <c r="H278" s="32">
        <v>1031.0</v>
      </c>
      <c r="I278" s="32">
        <v>12810.0</v>
      </c>
      <c r="J278" s="32">
        <v>0.0</v>
      </c>
      <c r="K278" s="32">
        <v>1.357599499E9</v>
      </c>
      <c r="L278" s="32">
        <v>2085843.0</v>
      </c>
      <c r="M278" s="32">
        <v>5443.0</v>
      </c>
      <c r="N278" s="31" t="s">
        <v>153</v>
      </c>
      <c r="O278" s="31">
        <v>23.0</v>
      </c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1">
        <v>1.86292814E8</v>
      </c>
      <c r="B279" s="31" t="s">
        <v>317</v>
      </c>
      <c r="C279" s="32">
        <v>9748991.0</v>
      </c>
      <c r="D279" s="32">
        <v>0.0</v>
      </c>
      <c r="E279" s="32">
        <v>-1.0</v>
      </c>
      <c r="F279" s="32">
        <v>1713.0</v>
      </c>
      <c r="G279" s="32">
        <v>0.0</v>
      </c>
      <c r="H279" s="32">
        <v>0.0</v>
      </c>
      <c r="I279" s="32">
        <v>0.0</v>
      </c>
      <c r="J279" s="32">
        <v>0.0</v>
      </c>
      <c r="K279" s="32">
        <v>1.47387813E9</v>
      </c>
      <c r="L279" s="32">
        <v>0.0</v>
      </c>
      <c r="M279" s="32">
        <v>502.0</v>
      </c>
      <c r="N279" s="31" t="s">
        <v>153</v>
      </c>
      <c r="O279" s="31">
        <v>24.0</v>
      </c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1">
        <v>1.41091437E8</v>
      </c>
      <c r="B280" s="31" t="s">
        <v>338</v>
      </c>
      <c r="C280" s="32">
        <v>9641351.0</v>
      </c>
      <c r="D280" s="32">
        <v>0.0</v>
      </c>
      <c r="E280" s="32">
        <v>1337037.0</v>
      </c>
      <c r="F280" s="32">
        <v>173605.0</v>
      </c>
      <c r="G280" s="32">
        <v>87575.0</v>
      </c>
      <c r="H280" s="32">
        <v>10403.0</v>
      </c>
      <c r="I280" s="32">
        <v>0.0</v>
      </c>
      <c r="J280" s="32">
        <v>0.0</v>
      </c>
      <c r="K280" s="32">
        <v>9.08699116E8</v>
      </c>
      <c r="L280" s="32">
        <v>1769053.0</v>
      </c>
      <c r="M280" s="32">
        <v>2025.0</v>
      </c>
      <c r="N280" s="31" t="s">
        <v>66</v>
      </c>
      <c r="O280" s="31">
        <v>23.0</v>
      </c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1">
        <v>1.49337313E8</v>
      </c>
      <c r="B281" s="31" t="s">
        <v>339</v>
      </c>
      <c r="C281" s="32">
        <v>9593467.0</v>
      </c>
      <c r="D281" s="32">
        <v>0.0</v>
      </c>
      <c r="E281" s="32">
        <v>36814.0</v>
      </c>
      <c r="F281" s="32">
        <v>0.0</v>
      </c>
      <c r="G281" s="32">
        <v>0.0</v>
      </c>
      <c r="H281" s="32">
        <v>2163.0</v>
      </c>
      <c r="I281" s="32">
        <v>0.0</v>
      </c>
      <c r="J281" s="32">
        <v>0.0</v>
      </c>
      <c r="K281" s="32">
        <v>5.611024485E9</v>
      </c>
      <c r="L281" s="32">
        <v>4.828599969E9</v>
      </c>
      <c r="M281" s="32">
        <v>1019.0</v>
      </c>
      <c r="N281" s="31" t="s">
        <v>94</v>
      </c>
      <c r="O281" s="31">
        <v>23.0</v>
      </c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1">
        <v>1.13555236E8</v>
      </c>
      <c r="B282" s="31" t="s">
        <v>337</v>
      </c>
      <c r="C282" s="32">
        <v>9560666.0</v>
      </c>
      <c r="D282" s="32">
        <v>-988044.0</v>
      </c>
      <c r="E282" s="32">
        <v>103512.0</v>
      </c>
      <c r="F282" s="32">
        <v>134884.0</v>
      </c>
      <c r="G282" s="32">
        <v>463.0</v>
      </c>
      <c r="H282" s="32">
        <v>1291.0</v>
      </c>
      <c r="I282" s="32">
        <v>2911.0</v>
      </c>
      <c r="J282" s="32">
        <v>0.0</v>
      </c>
      <c r="K282" s="32">
        <v>3.263030814E9</v>
      </c>
      <c r="L282" s="32">
        <v>1.962394998E9</v>
      </c>
      <c r="M282" s="32">
        <v>2780.0</v>
      </c>
      <c r="N282" s="31" t="s">
        <v>153</v>
      </c>
      <c r="O282" s="31">
        <v>23.0</v>
      </c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1">
        <v>1.58044546E8</v>
      </c>
      <c r="B283" s="31" t="s">
        <v>341</v>
      </c>
      <c r="C283" s="32">
        <v>9469484.0</v>
      </c>
      <c r="D283" s="32">
        <v>0.0</v>
      </c>
      <c r="E283" s="32">
        <v>91788.0</v>
      </c>
      <c r="F283" s="32">
        <v>5755.0</v>
      </c>
      <c r="G283" s="32">
        <v>53153.0</v>
      </c>
      <c r="H283" s="32">
        <v>0.0</v>
      </c>
      <c r="I283" s="32">
        <v>342.0</v>
      </c>
      <c r="J283" s="32">
        <v>0.0</v>
      </c>
      <c r="K283" s="32">
        <v>3.960747568E9</v>
      </c>
      <c r="L283" s="32">
        <v>3.177650281E9</v>
      </c>
      <c r="M283" s="32">
        <v>2606.0</v>
      </c>
      <c r="N283" s="31" t="s">
        <v>153</v>
      </c>
      <c r="O283" s="31">
        <v>24.0</v>
      </c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1">
        <v>1.44046071E8</v>
      </c>
      <c r="B284" s="31" t="s">
        <v>395</v>
      </c>
      <c r="C284" s="32">
        <v>9468073.0</v>
      </c>
      <c r="D284" s="32">
        <v>0.0</v>
      </c>
      <c r="E284" s="32">
        <v>1467738.0</v>
      </c>
      <c r="F284" s="32">
        <v>49501.0</v>
      </c>
      <c r="G284" s="32">
        <v>90851.0</v>
      </c>
      <c r="H284" s="32">
        <v>15361.0</v>
      </c>
      <c r="I284" s="32">
        <v>0.0</v>
      </c>
      <c r="J284" s="32">
        <v>0.0</v>
      </c>
      <c r="K284" s="32">
        <v>1.055392291E9</v>
      </c>
      <c r="L284" s="32">
        <v>1816616.0</v>
      </c>
      <c r="M284" s="32">
        <v>5875.0</v>
      </c>
      <c r="N284" s="31" t="s">
        <v>396</v>
      </c>
      <c r="O284" s="31">
        <v>23.0</v>
      </c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1">
        <v>1.30732227E8</v>
      </c>
      <c r="B285" s="31" t="s">
        <v>344</v>
      </c>
      <c r="C285" s="32">
        <v>9454724.0</v>
      </c>
      <c r="D285" s="32">
        <v>0.0</v>
      </c>
      <c r="E285" s="32">
        <v>7108.0</v>
      </c>
      <c r="F285" s="32">
        <v>190.0</v>
      </c>
      <c r="G285" s="32">
        <v>0.0</v>
      </c>
      <c r="H285" s="32">
        <v>0.0</v>
      </c>
      <c r="I285" s="32">
        <v>0.0</v>
      </c>
      <c r="J285" s="32">
        <v>0.0</v>
      </c>
      <c r="K285" s="32">
        <v>5.78299348E9</v>
      </c>
      <c r="L285" s="32">
        <v>4.866498155E9</v>
      </c>
      <c r="M285" s="32">
        <v>865.0</v>
      </c>
      <c r="N285" s="31" t="s">
        <v>153</v>
      </c>
      <c r="O285" s="31">
        <v>24.0</v>
      </c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1">
        <v>1.14834828E8</v>
      </c>
      <c r="B286" s="31" t="s">
        <v>326</v>
      </c>
      <c r="C286" s="32">
        <v>9473134.0</v>
      </c>
      <c r="D286" s="32">
        <v>0.0</v>
      </c>
      <c r="E286" s="32">
        <v>2501890.0</v>
      </c>
      <c r="F286" s="32">
        <v>595169.0</v>
      </c>
      <c r="G286" s="32">
        <v>181924.0</v>
      </c>
      <c r="H286" s="32">
        <v>64602.0</v>
      </c>
      <c r="I286" s="32">
        <v>21492.0</v>
      </c>
      <c r="J286" s="32">
        <v>0.0</v>
      </c>
      <c r="K286" s="32">
        <v>2.123827401E9</v>
      </c>
      <c r="L286" s="32">
        <v>6.8812007E8</v>
      </c>
      <c r="M286" s="32">
        <v>1446.0</v>
      </c>
      <c r="N286" s="31" t="s">
        <v>153</v>
      </c>
      <c r="O286" s="31">
        <v>23.0</v>
      </c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1">
        <v>1.27163066E8</v>
      </c>
      <c r="B287" s="31" t="s">
        <v>397</v>
      </c>
      <c r="C287" s="32">
        <v>9294715.0</v>
      </c>
      <c r="D287" s="32">
        <v>0.0</v>
      </c>
      <c r="E287" s="32">
        <v>1178466.0</v>
      </c>
      <c r="F287" s="32">
        <v>247740.0</v>
      </c>
      <c r="G287" s="32">
        <v>26983.0</v>
      </c>
      <c r="H287" s="32">
        <v>91348.0</v>
      </c>
      <c r="I287" s="32">
        <v>0.0</v>
      </c>
      <c r="J287" s="32">
        <v>0.0</v>
      </c>
      <c r="K287" s="32">
        <v>5.35097802E8</v>
      </c>
      <c r="L287" s="32">
        <v>0.0</v>
      </c>
      <c r="M287" s="32">
        <v>1102.0</v>
      </c>
      <c r="N287" s="31" t="s">
        <v>66</v>
      </c>
      <c r="O287" s="31">
        <v>21.0</v>
      </c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1">
        <v>1.30729732E8</v>
      </c>
      <c r="B288" s="31" t="s">
        <v>346</v>
      </c>
      <c r="C288" s="32">
        <v>9271066.0</v>
      </c>
      <c r="D288" s="32">
        <v>0.0</v>
      </c>
      <c r="E288" s="32">
        <v>13.0</v>
      </c>
      <c r="F288" s="32">
        <v>0.0</v>
      </c>
      <c r="G288" s="32">
        <v>69.0</v>
      </c>
      <c r="H288" s="32">
        <v>0.0</v>
      </c>
      <c r="I288" s="32">
        <v>0.0</v>
      </c>
      <c r="J288" s="32">
        <v>0.0</v>
      </c>
      <c r="K288" s="32">
        <v>5.76653004E9</v>
      </c>
      <c r="L288" s="32">
        <v>4.885459754E9</v>
      </c>
      <c r="M288" s="32">
        <v>862.0</v>
      </c>
      <c r="N288" s="31" t="s">
        <v>153</v>
      </c>
      <c r="O288" s="31">
        <v>24.0</v>
      </c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1">
        <v>1.46791843E8</v>
      </c>
      <c r="B289" s="31" t="s">
        <v>348</v>
      </c>
      <c r="C289" s="32">
        <v>9123579.0</v>
      </c>
      <c r="D289" s="32">
        <v>0.0</v>
      </c>
      <c r="E289" s="32">
        <v>125882.0</v>
      </c>
      <c r="F289" s="32">
        <v>16780.0</v>
      </c>
      <c r="G289" s="32">
        <v>5953.0</v>
      </c>
      <c r="H289" s="32">
        <v>3548.0</v>
      </c>
      <c r="I289" s="32">
        <v>66.0</v>
      </c>
      <c r="J289" s="32">
        <v>0.0</v>
      </c>
      <c r="K289" s="32">
        <v>1.0181597121E10</v>
      </c>
      <c r="L289" s="32">
        <v>6.531025561E9</v>
      </c>
      <c r="M289" s="32">
        <v>2321.0</v>
      </c>
      <c r="N289" s="31" t="s">
        <v>153</v>
      </c>
      <c r="O289" s="31">
        <v>24.0</v>
      </c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1">
        <v>1.86991365E8</v>
      </c>
      <c r="B290" s="31" t="s">
        <v>336</v>
      </c>
      <c r="C290" s="32">
        <v>9083841.0</v>
      </c>
      <c r="D290" s="32">
        <v>0.0</v>
      </c>
      <c r="E290" s="32">
        <v>-1.0</v>
      </c>
      <c r="F290" s="32">
        <v>0.0</v>
      </c>
      <c r="G290" s="32">
        <v>0.0</v>
      </c>
      <c r="H290" s="32">
        <v>0.0</v>
      </c>
      <c r="I290" s="32">
        <v>0.0</v>
      </c>
      <c r="J290" s="32">
        <v>0.0</v>
      </c>
      <c r="K290" s="32">
        <v>1.371493586E9</v>
      </c>
      <c r="L290" s="32">
        <v>1.908487848E9</v>
      </c>
      <c r="M290" s="32">
        <v>665.0</v>
      </c>
      <c r="N290" s="31" t="s">
        <v>153</v>
      </c>
      <c r="O290" s="31">
        <v>23.0</v>
      </c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1">
        <v>1.30726561E8</v>
      </c>
      <c r="B291" s="31" t="s">
        <v>349</v>
      </c>
      <c r="C291" s="32">
        <v>8998420.0</v>
      </c>
      <c r="D291" s="32">
        <v>0.0</v>
      </c>
      <c r="E291" s="32">
        <v>-1.0</v>
      </c>
      <c r="F291" s="32">
        <v>0.0</v>
      </c>
      <c r="G291" s="32">
        <v>0.0</v>
      </c>
      <c r="H291" s="32">
        <v>0.0</v>
      </c>
      <c r="I291" s="32">
        <v>0.0</v>
      </c>
      <c r="J291" s="32">
        <v>0.0</v>
      </c>
      <c r="K291" s="32">
        <v>2.554256613E9</v>
      </c>
      <c r="L291" s="32">
        <v>2.578029474E9</v>
      </c>
      <c r="M291" s="32">
        <v>844.0</v>
      </c>
      <c r="N291" s="31" t="s">
        <v>153</v>
      </c>
      <c r="O291" s="31">
        <v>24.0</v>
      </c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1">
        <v>1.95973792E8</v>
      </c>
      <c r="B292" s="31" t="s">
        <v>343</v>
      </c>
      <c r="C292" s="32">
        <v>8981745.0</v>
      </c>
      <c r="D292" s="32">
        <v>0.0</v>
      </c>
      <c r="E292" s="32">
        <v>6509754.0</v>
      </c>
      <c r="F292" s="32">
        <v>883943.0</v>
      </c>
      <c r="G292" s="32">
        <v>24230.0</v>
      </c>
      <c r="H292" s="32">
        <v>602788.0</v>
      </c>
      <c r="I292" s="32">
        <v>17457.0</v>
      </c>
      <c r="J292" s="32">
        <v>0.0</v>
      </c>
      <c r="K292" s="32">
        <v>3.721127085E9</v>
      </c>
      <c r="L292" s="32">
        <v>4.208555423E9</v>
      </c>
      <c r="M292" s="32">
        <v>1301.0</v>
      </c>
      <c r="N292" s="31" t="s">
        <v>153</v>
      </c>
      <c r="O292" s="31">
        <v>22.0</v>
      </c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1">
        <v>1.86999076E8</v>
      </c>
      <c r="B293" s="31" t="s">
        <v>340</v>
      </c>
      <c r="C293" s="32">
        <v>8712445.0</v>
      </c>
      <c r="D293" s="32">
        <v>0.0</v>
      </c>
      <c r="E293" s="32">
        <v>-1.0</v>
      </c>
      <c r="F293" s="32">
        <v>0.0</v>
      </c>
      <c r="G293" s="32">
        <v>0.0</v>
      </c>
      <c r="H293" s="32">
        <v>0.0</v>
      </c>
      <c r="I293" s="32">
        <v>0.0</v>
      </c>
      <c r="J293" s="32">
        <v>0.0</v>
      </c>
      <c r="K293" s="32">
        <v>1.030611453E9</v>
      </c>
      <c r="L293" s="32">
        <v>1.185546864E9</v>
      </c>
      <c r="M293" s="32">
        <v>455.0</v>
      </c>
      <c r="N293" s="31" t="s">
        <v>165</v>
      </c>
      <c r="O293" s="31">
        <v>23.0</v>
      </c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1">
        <v>1.92123692E8</v>
      </c>
      <c r="B294" s="31" t="s">
        <v>353</v>
      </c>
      <c r="C294" s="32">
        <v>8697089.0</v>
      </c>
      <c r="D294" s="32">
        <v>0.0</v>
      </c>
      <c r="E294" s="32">
        <v>-1.0</v>
      </c>
      <c r="F294" s="32">
        <v>0.0</v>
      </c>
      <c r="G294" s="32">
        <v>0.0</v>
      </c>
      <c r="H294" s="32">
        <v>0.0</v>
      </c>
      <c r="I294" s="32">
        <v>0.0</v>
      </c>
      <c r="J294" s="32">
        <v>0.0</v>
      </c>
      <c r="K294" s="32">
        <v>5.993934225E9</v>
      </c>
      <c r="L294" s="32">
        <v>4.772167122E9</v>
      </c>
      <c r="M294" s="32">
        <v>845.0</v>
      </c>
      <c r="N294" s="31" t="s">
        <v>153</v>
      </c>
      <c r="O294" s="31">
        <v>24.0</v>
      </c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1">
        <v>2.12123377E8</v>
      </c>
      <c r="B295" s="31" t="s">
        <v>342</v>
      </c>
      <c r="C295" s="32">
        <v>8676035.0</v>
      </c>
      <c r="D295" s="32">
        <v>0.0</v>
      </c>
      <c r="E295" s="32">
        <v>-1.0</v>
      </c>
      <c r="F295" s="32">
        <v>0.0</v>
      </c>
      <c r="G295" s="32">
        <v>0.0</v>
      </c>
      <c r="H295" s="32">
        <v>0.0</v>
      </c>
      <c r="I295" s="32">
        <v>0.0</v>
      </c>
      <c r="J295" s="32">
        <v>0.0</v>
      </c>
      <c r="K295" s="32">
        <v>6.94142436E8</v>
      </c>
      <c r="L295" s="32">
        <v>1200000.0</v>
      </c>
      <c r="M295" s="32">
        <v>713.0</v>
      </c>
      <c r="N295" s="31" t="s">
        <v>94</v>
      </c>
      <c r="O295" s="31">
        <v>23.0</v>
      </c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1">
        <v>1.92121692E8</v>
      </c>
      <c r="B296" s="31" t="s">
        <v>354</v>
      </c>
      <c r="C296" s="32">
        <v>8674311.0</v>
      </c>
      <c r="D296" s="32">
        <v>0.0</v>
      </c>
      <c r="E296" s="32">
        <v>-1.0</v>
      </c>
      <c r="F296" s="32">
        <v>0.0</v>
      </c>
      <c r="G296" s="32">
        <v>0.0</v>
      </c>
      <c r="H296" s="32">
        <v>0.0</v>
      </c>
      <c r="I296" s="32">
        <v>0.0</v>
      </c>
      <c r="J296" s="32">
        <v>0.0</v>
      </c>
      <c r="K296" s="32">
        <v>5.693360403E9</v>
      </c>
      <c r="L296" s="32">
        <v>4.7179605E9</v>
      </c>
      <c r="M296" s="32">
        <v>858.0</v>
      </c>
      <c r="N296" s="31" t="s">
        <v>153</v>
      </c>
      <c r="O296" s="31">
        <v>24.0</v>
      </c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1">
        <v>9.1314103E7</v>
      </c>
      <c r="B297" s="31" t="s">
        <v>347</v>
      </c>
      <c r="C297" s="32">
        <v>8655492.0</v>
      </c>
      <c r="D297" s="32">
        <v>0.0</v>
      </c>
      <c r="E297" s="32">
        <v>1077100.0</v>
      </c>
      <c r="F297" s="32">
        <v>21803.0</v>
      </c>
      <c r="G297" s="32">
        <v>921711.0</v>
      </c>
      <c r="H297" s="32">
        <v>688.0</v>
      </c>
      <c r="I297" s="32">
        <v>0.0</v>
      </c>
      <c r="J297" s="32">
        <v>0.0</v>
      </c>
      <c r="K297" s="32">
        <v>2.08694574E9</v>
      </c>
      <c r="L297" s="32">
        <v>2.12476198E8</v>
      </c>
      <c r="M297" s="32">
        <v>2366.0</v>
      </c>
      <c r="N297" s="31" t="s">
        <v>153</v>
      </c>
      <c r="O297" s="31">
        <v>22.0</v>
      </c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1">
        <v>1.6750682E8</v>
      </c>
      <c r="B298" s="31" t="s">
        <v>352</v>
      </c>
      <c r="C298" s="32">
        <v>8581259.0</v>
      </c>
      <c r="D298" s="32">
        <v>0.0</v>
      </c>
      <c r="E298" s="32">
        <v>66486.0</v>
      </c>
      <c r="F298" s="32">
        <v>0.0</v>
      </c>
      <c r="G298" s="32">
        <v>1633.0</v>
      </c>
      <c r="H298" s="32">
        <v>6616.0</v>
      </c>
      <c r="I298" s="32">
        <v>0.0</v>
      </c>
      <c r="J298" s="32">
        <v>0.0</v>
      </c>
      <c r="K298" s="32">
        <v>1.339347202E9</v>
      </c>
      <c r="L298" s="32">
        <v>1.840356735E9</v>
      </c>
      <c r="M298" s="32">
        <v>961.0</v>
      </c>
      <c r="N298" s="31" t="s">
        <v>153</v>
      </c>
      <c r="O298" s="31">
        <v>22.0</v>
      </c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1">
        <v>6.8375667E7</v>
      </c>
      <c r="B299" s="31" t="s">
        <v>345</v>
      </c>
      <c r="C299" s="32">
        <v>8427973.0</v>
      </c>
      <c r="D299" s="32">
        <v>0.0</v>
      </c>
      <c r="E299" s="32">
        <v>5464.0</v>
      </c>
      <c r="F299" s="32">
        <v>0.0</v>
      </c>
      <c r="G299" s="32">
        <v>1771.0</v>
      </c>
      <c r="H299" s="32">
        <v>0.0</v>
      </c>
      <c r="I299" s="32">
        <v>0.0</v>
      </c>
      <c r="J299" s="32">
        <v>0.0</v>
      </c>
      <c r="K299" s="32">
        <v>1.885164212E9</v>
      </c>
      <c r="L299" s="32">
        <v>0.0</v>
      </c>
      <c r="M299" s="32">
        <v>368.0</v>
      </c>
      <c r="N299" s="31" t="s">
        <v>153</v>
      </c>
      <c r="O299" s="31">
        <v>24.0</v>
      </c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1">
        <v>9.0288938E7</v>
      </c>
      <c r="B300" s="31" t="s">
        <v>356</v>
      </c>
      <c r="C300" s="32">
        <v>8395685.0</v>
      </c>
      <c r="D300" s="32">
        <v>0.0</v>
      </c>
      <c r="E300" s="32">
        <v>1217786.0</v>
      </c>
      <c r="F300" s="32">
        <v>2291738.0</v>
      </c>
      <c r="G300" s="32">
        <v>128951.0</v>
      </c>
      <c r="H300" s="32">
        <v>52036.0</v>
      </c>
      <c r="I300" s="32">
        <v>14292.0</v>
      </c>
      <c r="J300" s="32">
        <v>0.0</v>
      </c>
      <c r="K300" s="32">
        <v>1.0306862619E10</v>
      </c>
      <c r="L300" s="32">
        <v>1.0949511248E10</v>
      </c>
      <c r="M300" s="32">
        <v>4968.0</v>
      </c>
      <c r="N300" s="31" t="s">
        <v>94</v>
      </c>
      <c r="O300" s="31">
        <v>22.0</v>
      </c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1">
        <v>8.4542248E7</v>
      </c>
      <c r="B301" s="31" t="s">
        <v>398</v>
      </c>
      <c r="C301" s="32">
        <v>8253006.0</v>
      </c>
      <c r="D301" s="32">
        <v>0.0</v>
      </c>
      <c r="E301" s="32">
        <v>1186508.0</v>
      </c>
      <c r="F301" s="32">
        <v>512974.0</v>
      </c>
      <c r="G301" s="32">
        <v>94131.0</v>
      </c>
      <c r="H301" s="32">
        <v>73559.0</v>
      </c>
      <c r="I301" s="32">
        <v>5508.0</v>
      </c>
      <c r="J301" s="32">
        <v>0.0</v>
      </c>
      <c r="K301" s="32">
        <v>1.114456912E9</v>
      </c>
      <c r="L301" s="32">
        <v>1.235E7</v>
      </c>
      <c r="M301" s="32">
        <v>7366.0</v>
      </c>
      <c r="N301" s="31" t="s">
        <v>66</v>
      </c>
      <c r="O301" s="31">
        <v>23.0</v>
      </c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M302" si="1">SUM(C2:C301)</f>
        <v>10627628032</v>
      </c>
      <c r="D302" s="36">
        <f t="shared" si="1"/>
        <v>276637046</v>
      </c>
      <c r="E302" s="36">
        <f t="shared" si="1"/>
        <v>126113301935</v>
      </c>
      <c r="F302" s="36">
        <f t="shared" si="1"/>
        <v>1310026390</v>
      </c>
      <c r="G302" s="36">
        <f t="shared" si="1"/>
        <v>2280944598</v>
      </c>
      <c r="H302" s="36">
        <f t="shared" si="1"/>
        <v>4156723611</v>
      </c>
      <c r="I302" s="36">
        <f t="shared" si="1"/>
        <v>4115976231</v>
      </c>
      <c r="J302" s="36">
        <f t="shared" si="1"/>
        <v>8168105</v>
      </c>
      <c r="K302" s="36">
        <f t="shared" si="1"/>
        <v>2688552357725</v>
      </c>
      <c r="L302" s="36">
        <f t="shared" si="1"/>
        <v>1801637524548</v>
      </c>
      <c r="M302" s="36">
        <f t="shared" si="1"/>
        <v>7380596</v>
      </c>
      <c r="N302" s="35"/>
      <c r="O302" s="35">
        <f>COUNT(O2:O301)</f>
        <v>300</v>
      </c>
      <c r="P302" s="35"/>
      <c r="Q302" s="35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 t="shared" ref="C303:M303" si="2">SUMIFS(C2:C301, $O$2:$O$301,"25")</f>
        <v>9064615185</v>
      </c>
      <c r="D303" s="38">
        <f t="shared" si="2"/>
        <v>279375853</v>
      </c>
      <c r="E303" s="38">
        <f t="shared" si="2"/>
        <v>125854355640</v>
      </c>
      <c r="F303" s="38">
        <f t="shared" si="2"/>
        <v>1249742749</v>
      </c>
      <c r="G303" s="38">
        <f t="shared" si="2"/>
        <v>2268859755</v>
      </c>
      <c r="H303" s="38">
        <f t="shared" si="2"/>
        <v>4143527779</v>
      </c>
      <c r="I303" s="38">
        <f t="shared" si="2"/>
        <v>4113401510</v>
      </c>
      <c r="J303" s="38">
        <f t="shared" si="2"/>
        <v>8168105</v>
      </c>
      <c r="K303" s="38">
        <f t="shared" si="2"/>
        <v>2042738283309</v>
      </c>
      <c r="L303" s="38">
        <f t="shared" si="2"/>
        <v>1262231639804</v>
      </c>
      <c r="M303" s="38">
        <f t="shared" si="2"/>
        <v>7110283</v>
      </c>
      <c r="N303" s="37" t="s">
        <v>363</v>
      </c>
      <c r="O303" s="37">
        <f>COUNTIF(O2:O301,"25")</f>
        <v>185</v>
      </c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22.29"/>
    <col customWidth="1" min="3" max="12" width="18.0"/>
    <col customWidth="1" min="13" max="13" width="13.0"/>
    <col customWidth="1" min="14" max="14" width="25.57"/>
    <col customWidth="1" min="15" max="15" width="13.0"/>
    <col customWidth="1" min="16" max="16" width="13.86"/>
    <col customWidth="1" min="17" max="17" width="63.86"/>
    <col customWidth="1" min="18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57</v>
      </c>
      <c r="E1" s="29" t="s">
        <v>6</v>
      </c>
      <c r="F1" s="29" t="s">
        <v>7</v>
      </c>
      <c r="G1" s="29" t="s">
        <v>58</v>
      </c>
      <c r="H1" s="29" t="s">
        <v>8</v>
      </c>
      <c r="I1" s="29" t="s">
        <v>9</v>
      </c>
      <c r="J1" s="29" t="s">
        <v>10</v>
      </c>
      <c r="K1" s="29" t="s">
        <v>11</v>
      </c>
      <c r="L1" s="29" t="s">
        <v>12</v>
      </c>
      <c r="M1" s="29" t="s">
        <v>13</v>
      </c>
      <c r="N1" s="28" t="s">
        <v>14</v>
      </c>
      <c r="O1" s="28" t="s">
        <v>15</v>
      </c>
      <c r="P1" s="28" t="s">
        <v>59</v>
      </c>
      <c r="Q1" s="28" t="s">
        <v>60</v>
      </c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9.9985733E7</v>
      </c>
      <c r="D2" s="32">
        <v>4817612.0</v>
      </c>
      <c r="E2" s="32">
        <v>3.169508828E9</v>
      </c>
      <c r="F2" s="32">
        <v>1.5798347E7</v>
      </c>
      <c r="G2" s="32">
        <v>1.140303E7</v>
      </c>
      <c r="H2" s="32">
        <v>6.0975261E7</v>
      </c>
      <c r="I2" s="32">
        <v>1.27505869E8</v>
      </c>
      <c r="J2" s="32">
        <v>0.0</v>
      </c>
      <c r="K2" s="32">
        <v>1.8715748557E10</v>
      </c>
      <c r="L2" s="32">
        <v>2.095967435E9</v>
      </c>
      <c r="M2" s="32">
        <v>79715.0</v>
      </c>
      <c r="N2" s="31" t="s">
        <v>34</v>
      </c>
      <c r="O2" s="31">
        <v>25.0</v>
      </c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9.6260769E7</v>
      </c>
      <c r="D3" s="32">
        <v>833684.0</v>
      </c>
      <c r="E3" s="32">
        <v>5.022559932E9</v>
      </c>
      <c r="F3" s="32">
        <v>1.9380555E7</v>
      </c>
      <c r="G3" s="32">
        <v>2.3411511E7</v>
      </c>
      <c r="H3" s="32">
        <v>8.0443841E7</v>
      </c>
      <c r="I3" s="32">
        <v>2.10270378E8</v>
      </c>
      <c r="J3" s="32">
        <v>0.0</v>
      </c>
      <c r="K3" s="32">
        <v>3.9129902749E10</v>
      </c>
      <c r="L3" s="32">
        <v>1.4447507139E10</v>
      </c>
      <c r="M3" s="32">
        <v>147328.0</v>
      </c>
      <c r="N3" s="31" t="s">
        <v>34</v>
      </c>
      <c r="O3" s="31">
        <v>25.0</v>
      </c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9.3955243E7</v>
      </c>
      <c r="D4" s="32">
        <v>2273616.0</v>
      </c>
      <c r="E4" s="32">
        <v>1.403689506E9</v>
      </c>
      <c r="F4" s="32">
        <v>1.3976374E7</v>
      </c>
      <c r="G4" s="32">
        <v>1.19626732E8</v>
      </c>
      <c r="H4" s="32">
        <v>3.8685296E7</v>
      </c>
      <c r="I4" s="32">
        <v>4.9144708E7</v>
      </c>
      <c r="J4" s="32">
        <v>0.0</v>
      </c>
      <c r="K4" s="32">
        <v>1.299566559E10</v>
      </c>
      <c r="L4" s="32">
        <v>9.7148239E7</v>
      </c>
      <c r="M4" s="32">
        <v>32741.0</v>
      </c>
      <c r="N4" s="31" t="s">
        <v>66</v>
      </c>
      <c r="O4" s="31">
        <v>25.0</v>
      </c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1.03336195E8</v>
      </c>
      <c r="B5" s="31" t="s">
        <v>38</v>
      </c>
      <c r="C5" s="32">
        <v>9.3095742E7</v>
      </c>
      <c r="D5" s="32">
        <v>1676960.0</v>
      </c>
      <c r="E5" s="32">
        <v>4.070219096E9</v>
      </c>
      <c r="F5" s="32">
        <v>1.8939597E7</v>
      </c>
      <c r="G5" s="32">
        <v>5.4652872E7</v>
      </c>
      <c r="H5" s="32">
        <v>1.27885478E8</v>
      </c>
      <c r="I5" s="32">
        <v>1.37699932E8</v>
      </c>
      <c r="J5" s="32">
        <v>0.0</v>
      </c>
      <c r="K5" s="32">
        <v>1.6141545406E10</v>
      </c>
      <c r="L5" s="32">
        <v>3.3782410358E10</v>
      </c>
      <c r="M5" s="32">
        <v>129659.0</v>
      </c>
      <c r="N5" s="31" t="s">
        <v>34</v>
      </c>
      <c r="O5" s="31">
        <v>25.0</v>
      </c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6.2576249E7</v>
      </c>
      <c r="B6" s="31" t="s">
        <v>37</v>
      </c>
      <c r="C6" s="32">
        <v>8.9343148E7</v>
      </c>
      <c r="D6" s="32">
        <v>1073494.0</v>
      </c>
      <c r="E6" s="32">
        <v>3.713319547E9</v>
      </c>
      <c r="F6" s="32">
        <v>2.2870119E7</v>
      </c>
      <c r="G6" s="32">
        <v>1.37698395E8</v>
      </c>
      <c r="H6" s="32">
        <v>1.04673011E8</v>
      </c>
      <c r="I6" s="32">
        <v>1.29228398E8</v>
      </c>
      <c r="J6" s="32">
        <v>0.0</v>
      </c>
      <c r="K6" s="32">
        <v>2.9457459296E10</v>
      </c>
      <c r="L6" s="32">
        <v>3.3949364731E10</v>
      </c>
      <c r="M6" s="32">
        <v>160401.0</v>
      </c>
      <c r="N6" s="31" t="s">
        <v>34</v>
      </c>
      <c r="O6" s="31">
        <v>25.0</v>
      </c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6.2691192E7</v>
      </c>
      <c r="B7" s="31" t="s">
        <v>43</v>
      </c>
      <c r="C7" s="32">
        <v>8.553404E7</v>
      </c>
      <c r="D7" s="32">
        <v>1424040.0</v>
      </c>
      <c r="E7" s="32">
        <v>4.93890655E8</v>
      </c>
      <c r="F7" s="32">
        <v>1.8486766E7</v>
      </c>
      <c r="G7" s="32">
        <v>1353556.0</v>
      </c>
      <c r="H7" s="32">
        <v>1.0755283E7</v>
      </c>
      <c r="I7" s="32">
        <v>1.9119738E7</v>
      </c>
      <c r="J7" s="32">
        <v>0.0</v>
      </c>
      <c r="K7" s="32">
        <v>2.1060485298E10</v>
      </c>
      <c r="L7" s="32">
        <v>6.538529315E9</v>
      </c>
      <c r="M7" s="32">
        <v>86151.0</v>
      </c>
      <c r="N7" s="31" t="s">
        <v>34</v>
      </c>
      <c r="O7" s="31">
        <v>25.0</v>
      </c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1.71934536E8</v>
      </c>
      <c r="B8" s="31" t="s">
        <v>61</v>
      </c>
      <c r="C8" s="32">
        <v>8.5259002E7</v>
      </c>
      <c r="D8" s="32">
        <v>335130.0</v>
      </c>
      <c r="E8" s="32">
        <v>7.28045793E8</v>
      </c>
      <c r="F8" s="32">
        <v>2526075.0</v>
      </c>
      <c r="G8" s="32">
        <v>2.2195607E7</v>
      </c>
      <c r="H8" s="32">
        <v>2.4636205E7</v>
      </c>
      <c r="I8" s="32">
        <v>2.2489513E7</v>
      </c>
      <c r="J8" s="32">
        <v>0.0</v>
      </c>
      <c r="K8" s="32">
        <v>1.56673629E10</v>
      </c>
      <c r="L8" s="32">
        <v>9.58710757E8</v>
      </c>
      <c r="M8" s="32">
        <v>48125.0</v>
      </c>
      <c r="N8" s="31" t="s">
        <v>34</v>
      </c>
      <c r="O8" s="31">
        <v>25.0</v>
      </c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1.3871553E8</v>
      </c>
      <c r="B9" s="31" t="s">
        <v>62</v>
      </c>
      <c r="C9" s="32">
        <v>8.4750624E7</v>
      </c>
      <c r="D9" s="32">
        <v>832702.0</v>
      </c>
      <c r="E9" s="32">
        <v>9.06547968E8</v>
      </c>
      <c r="F9" s="32">
        <v>1.579346E7</v>
      </c>
      <c r="G9" s="32">
        <v>4.9055881E7</v>
      </c>
      <c r="H9" s="32">
        <v>2.517526E7</v>
      </c>
      <c r="I9" s="32">
        <v>3.1989283E7</v>
      </c>
      <c r="J9" s="32">
        <v>0.0</v>
      </c>
      <c r="K9" s="32">
        <v>1.9805278682E10</v>
      </c>
      <c r="L9" s="32">
        <v>4.647127866E9</v>
      </c>
      <c r="M9" s="32">
        <v>120573.0</v>
      </c>
      <c r="N9" s="31" t="s">
        <v>34</v>
      </c>
      <c r="O9" s="31">
        <v>25.0</v>
      </c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6.7071592E7</v>
      </c>
      <c r="B10" s="31" t="s">
        <v>45</v>
      </c>
      <c r="C10" s="32">
        <v>8.4293426E7</v>
      </c>
      <c r="D10" s="32">
        <v>2326424.0</v>
      </c>
      <c r="E10" s="32">
        <v>1.0368793243E10</v>
      </c>
      <c r="F10" s="32">
        <v>3.0027527E7</v>
      </c>
      <c r="G10" s="32">
        <v>8.1220306E7</v>
      </c>
      <c r="H10" s="32">
        <v>3.91002636E8</v>
      </c>
      <c r="I10" s="32">
        <v>3.15993574E8</v>
      </c>
      <c r="J10" s="32">
        <v>1804833.0</v>
      </c>
      <c r="K10" s="32">
        <v>3.7582221929E10</v>
      </c>
      <c r="L10" s="32">
        <v>2.5961215882E10</v>
      </c>
      <c r="M10" s="32">
        <v>232371.0</v>
      </c>
      <c r="N10" s="31" t="s">
        <v>34</v>
      </c>
      <c r="O10" s="31">
        <v>25.0</v>
      </c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1.1726598E7</v>
      </c>
      <c r="B11" s="31" t="s">
        <v>42</v>
      </c>
      <c r="C11" s="32">
        <v>8.4101285E7</v>
      </c>
      <c r="D11" s="32">
        <v>2911100.0</v>
      </c>
      <c r="E11" s="32">
        <v>9.478470632E9</v>
      </c>
      <c r="F11" s="32">
        <v>2.8439075E7</v>
      </c>
      <c r="G11" s="32">
        <v>8.4598811E7</v>
      </c>
      <c r="H11" s="32">
        <v>2.1778125E8</v>
      </c>
      <c r="I11" s="32">
        <v>3.60923535E8</v>
      </c>
      <c r="J11" s="32">
        <v>3821128.0</v>
      </c>
      <c r="K11" s="32">
        <v>2.3582338524E10</v>
      </c>
      <c r="L11" s="32">
        <v>3.1467472765E10</v>
      </c>
      <c r="M11" s="32">
        <v>178742.0</v>
      </c>
      <c r="N11" s="31" t="s">
        <v>66</v>
      </c>
      <c r="O11" s="31">
        <v>25.0</v>
      </c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2463403.0</v>
      </c>
      <c r="B12" s="31" t="s">
        <v>39</v>
      </c>
      <c r="C12" s="32">
        <v>8.3667081E7</v>
      </c>
      <c r="D12" s="32">
        <v>2472891.0</v>
      </c>
      <c r="E12" s="32">
        <v>8.053667912E9</v>
      </c>
      <c r="F12" s="32">
        <v>4.1156294E7</v>
      </c>
      <c r="G12" s="32">
        <v>3.0424042E7</v>
      </c>
      <c r="H12" s="32">
        <v>2.05911206E8</v>
      </c>
      <c r="I12" s="32">
        <v>2.9776442E8</v>
      </c>
      <c r="J12" s="32">
        <v>0.0</v>
      </c>
      <c r="K12" s="32">
        <v>3.0252683221E10</v>
      </c>
      <c r="L12" s="32">
        <v>1.0256888908E10</v>
      </c>
      <c r="M12" s="32">
        <v>279623.0</v>
      </c>
      <c r="N12" s="31" t="s">
        <v>34</v>
      </c>
      <c r="O12" s="31">
        <v>25.0</v>
      </c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7.9650085E7</v>
      </c>
      <c r="B13" s="31" t="s">
        <v>41</v>
      </c>
      <c r="C13" s="32">
        <v>8.1895559E7</v>
      </c>
      <c r="D13" s="32">
        <v>812000.0</v>
      </c>
      <c r="E13" s="32">
        <v>2.021311363E9</v>
      </c>
      <c r="F13" s="32">
        <v>1.3444162E7</v>
      </c>
      <c r="G13" s="32">
        <v>3.4594796E7</v>
      </c>
      <c r="H13" s="32">
        <v>6.0282058E7</v>
      </c>
      <c r="I13" s="32">
        <v>6.9809385E7</v>
      </c>
      <c r="J13" s="32">
        <v>0.0</v>
      </c>
      <c r="K13" s="32">
        <v>1.6395162724E10</v>
      </c>
      <c r="L13" s="32">
        <v>1.5131538986E10</v>
      </c>
      <c r="M13" s="32">
        <v>105488.0</v>
      </c>
      <c r="N13" s="31" t="s">
        <v>34</v>
      </c>
      <c r="O13" s="31">
        <v>25.0</v>
      </c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7.1152824E7</v>
      </c>
      <c r="B14" s="31" t="s">
        <v>67</v>
      </c>
      <c r="C14" s="32">
        <v>8.1061276E7</v>
      </c>
      <c r="D14" s="32">
        <v>2006320.0</v>
      </c>
      <c r="E14" s="32">
        <v>1.870976143E9</v>
      </c>
      <c r="F14" s="32">
        <v>1.8266128E7</v>
      </c>
      <c r="G14" s="32">
        <v>6.7889276E7</v>
      </c>
      <c r="H14" s="32">
        <v>7.2754066E7</v>
      </c>
      <c r="I14" s="32">
        <v>5.5116617E7</v>
      </c>
      <c r="J14" s="32">
        <v>313500.0</v>
      </c>
      <c r="K14" s="32">
        <v>2.4326159739E10</v>
      </c>
      <c r="L14" s="32">
        <v>1.1097140581E10</v>
      </c>
      <c r="M14" s="32">
        <v>58617.0</v>
      </c>
      <c r="N14" s="31" t="s">
        <v>34</v>
      </c>
      <c r="O14" s="31">
        <v>25.0</v>
      </c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2.989016E7</v>
      </c>
      <c r="B15" s="31" t="s">
        <v>399</v>
      </c>
      <c r="C15" s="32">
        <v>8.0994894E7</v>
      </c>
      <c r="D15" s="32">
        <v>4591200.0</v>
      </c>
      <c r="E15" s="32">
        <v>8.60391973E8</v>
      </c>
      <c r="F15" s="32">
        <v>3.1099649E7</v>
      </c>
      <c r="G15" s="32">
        <v>9.7711156E7</v>
      </c>
      <c r="H15" s="32">
        <v>3.0642648E7</v>
      </c>
      <c r="I15" s="32">
        <v>2.5853605E7</v>
      </c>
      <c r="J15" s="32">
        <v>0.0</v>
      </c>
      <c r="K15" s="32">
        <v>2.0003213202E10</v>
      </c>
      <c r="L15" s="32">
        <v>5.308872359E9</v>
      </c>
      <c r="M15" s="32">
        <v>64176.0</v>
      </c>
      <c r="N15" s="31" t="s">
        <v>34</v>
      </c>
      <c r="O15" s="31">
        <v>25.0</v>
      </c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1.71701107E8</v>
      </c>
      <c r="B16" s="31" t="s">
        <v>73</v>
      </c>
      <c r="C16" s="32">
        <v>8.095766E7</v>
      </c>
      <c r="D16" s="32">
        <v>1254210.0</v>
      </c>
      <c r="E16" s="32">
        <v>6.22799072E8</v>
      </c>
      <c r="F16" s="32">
        <v>3089328.0</v>
      </c>
      <c r="G16" s="32">
        <v>5719252.0</v>
      </c>
      <c r="H16" s="32">
        <v>1.8542597E7</v>
      </c>
      <c r="I16" s="32">
        <v>2.1617056E7</v>
      </c>
      <c r="J16" s="32">
        <v>0.0</v>
      </c>
      <c r="K16" s="32">
        <v>1.0546873242E10</v>
      </c>
      <c r="L16" s="32">
        <v>4.054918782E9</v>
      </c>
      <c r="M16" s="32">
        <v>29271.0</v>
      </c>
      <c r="N16" s="31" t="s">
        <v>34</v>
      </c>
      <c r="O16" s="31">
        <v>25.0</v>
      </c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6.4010776E7</v>
      </c>
      <c r="B17" s="31" t="s">
        <v>63</v>
      </c>
      <c r="C17" s="32">
        <v>8.0848153E7</v>
      </c>
      <c r="D17" s="32">
        <v>1490212.0</v>
      </c>
      <c r="E17" s="32">
        <v>2.453038112E9</v>
      </c>
      <c r="F17" s="32">
        <v>1.9483092E7</v>
      </c>
      <c r="G17" s="32">
        <v>3.5105324E7</v>
      </c>
      <c r="H17" s="32">
        <v>8.1257599E7</v>
      </c>
      <c r="I17" s="32">
        <v>7.9713168E7</v>
      </c>
      <c r="J17" s="32">
        <v>0.0</v>
      </c>
      <c r="K17" s="32">
        <v>2.0533136613E10</v>
      </c>
      <c r="L17" s="32">
        <v>3.2032279846E10</v>
      </c>
      <c r="M17" s="32">
        <v>109689.0</v>
      </c>
      <c r="N17" s="31" t="s">
        <v>34</v>
      </c>
      <c r="O17" s="31">
        <v>25.0</v>
      </c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1.71879011E8</v>
      </c>
      <c r="B18" s="31" t="s">
        <v>80</v>
      </c>
      <c r="C18" s="32">
        <v>8.0525882E7</v>
      </c>
      <c r="D18" s="32">
        <v>2225540.0</v>
      </c>
      <c r="E18" s="32">
        <v>4.05524065E8</v>
      </c>
      <c r="F18" s="32">
        <v>3137263.0</v>
      </c>
      <c r="G18" s="32">
        <v>2.7223078E7</v>
      </c>
      <c r="H18" s="32">
        <v>1.1262738E7</v>
      </c>
      <c r="I18" s="32">
        <v>1.4011579E7</v>
      </c>
      <c r="J18" s="32">
        <v>0.0</v>
      </c>
      <c r="K18" s="32">
        <v>1.4982256532E10</v>
      </c>
      <c r="L18" s="32">
        <v>1.808712272E9</v>
      </c>
      <c r="M18" s="32">
        <v>50195.0</v>
      </c>
      <c r="N18" s="31" t="s">
        <v>34</v>
      </c>
      <c r="O18" s="31">
        <v>25.0</v>
      </c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1.44109282E8</v>
      </c>
      <c r="B19" s="31" t="s">
        <v>364</v>
      </c>
      <c r="C19" s="32">
        <v>8.0334129E7</v>
      </c>
      <c r="D19" s="32">
        <v>8713872.0</v>
      </c>
      <c r="E19" s="32">
        <v>1.056067121E9</v>
      </c>
      <c r="F19" s="32">
        <v>8365381.0</v>
      </c>
      <c r="G19" s="32">
        <v>1.80719899E8</v>
      </c>
      <c r="H19" s="32">
        <v>3.8790196E7</v>
      </c>
      <c r="I19" s="32">
        <v>3.129618E7</v>
      </c>
      <c r="J19" s="32">
        <v>0.0</v>
      </c>
      <c r="K19" s="32">
        <v>1.8213690803E10</v>
      </c>
      <c r="L19" s="32">
        <v>4.628200002E9</v>
      </c>
      <c r="M19" s="32">
        <v>75573.0</v>
      </c>
      <c r="N19" s="31" t="s">
        <v>34</v>
      </c>
      <c r="O19" s="31">
        <v>25.0</v>
      </c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6.3222201E7</v>
      </c>
      <c r="B20" s="31" t="s">
        <v>64</v>
      </c>
      <c r="C20" s="32">
        <v>8.0005604E7</v>
      </c>
      <c r="D20" s="32">
        <v>367418.0</v>
      </c>
      <c r="E20" s="32">
        <v>1.983198202E9</v>
      </c>
      <c r="F20" s="32">
        <v>1.8936285E7</v>
      </c>
      <c r="G20" s="32">
        <v>2.1587022E7</v>
      </c>
      <c r="H20" s="32">
        <v>7.9759209E7</v>
      </c>
      <c r="I20" s="32">
        <v>5.7778299E7</v>
      </c>
      <c r="J20" s="32">
        <v>0.0</v>
      </c>
      <c r="K20" s="32">
        <v>3.358244003E10</v>
      </c>
      <c r="L20" s="32">
        <v>1.1337447834E10</v>
      </c>
      <c r="M20" s="32">
        <v>83185.0</v>
      </c>
      <c r="N20" s="31" t="s">
        <v>34</v>
      </c>
      <c r="O20" s="31">
        <v>25.0</v>
      </c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2.7578537E7</v>
      </c>
      <c r="B21" s="31" t="s">
        <v>48</v>
      </c>
      <c r="C21" s="32">
        <v>7.8858379E7</v>
      </c>
      <c r="D21" s="32">
        <v>632172.0</v>
      </c>
      <c r="E21" s="32">
        <v>3.273577513E9</v>
      </c>
      <c r="F21" s="32">
        <v>2.6017941E7</v>
      </c>
      <c r="G21" s="32">
        <v>3.4859699E7</v>
      </c>
      <c r="H21" s="32">
        <v>1.04940509E8</v>
      </c>
      <c r="I21" s="32">
        <v>1.09366473E8</v>
      </c>
      <c r="J21" s="32">
        <v>0.0</v>
      </c>
      <c r="K21" s="32">
        <v>2.6360042141E10</v>
      </c>
      <c r="L21" s="32">
        <v>3.3759195642E10</v>
      </c>
      <c r="M21" s="32">
        <v>108054.0</v>
      </c>
      <c r="N21" s="31" t="s">
        <v>34</v>
      </c>
      <c r="O21" s="31">
        <v>25.0</v>
      </c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7.7394861E7</v>
      </c>
      <c r="B22" s="31" t="s">
        <v>50</v>
      </c>
      <c r="C22" s="32">
        <v>7.8575676E7</v>
      </c>
      <c r="D22" s="32">
        <v>3741969.0</v>
      </c>
      <c r="E22" s="32">
        <v>2.738681138E9</v>
      </c>
      <c r="F22" s="32">
        <v>1.7927521E7</v>
      </c>
      <c r="G22" s="32">
        <v>2080373.0</v>
      </c>
      <c r="H22" s="32">
        <v>9.5256703E7</v>
      </c>
      <c r="I22" s="32">
        <v>8.9162161E7</v>
      </c>
      <c r="J22" s="32">
        <v>0.0</v>
      </c>
      <c r="K22" s="32">
        <v>2.8528377514E10</v>
      </c>
      <c r="L22" s="32">
        <v>6.7810471155E10</v>
      </c>
      <c r="M22" s="32">
        <v>185495.0</v>
      </c>
      <c r="N22" s="31" t="s">
        <v>34</v>
      </c>
      <c r="O22" s="31">
        <v>25.0</v>
      </c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1.15125159E8</v>
      </c>
      <c r="B23" s="31" t="s">
        <v>400</v>
      </c>
      <c r="C23" s="32">
        <v>7.774728E7</v>
      </c>
      <c r="D23" s="32">
        <v>114100.0</v>
      </c>
      <c r="E23" s="32">
        <v>6.03176421E8</v>
      </c>
      <c r="F23" s="32">
        <v>1.0127466E7</v>
      </c>
      <c r="G23" s="32">
        <v>2309595.0</v>
      </c>
      <c r="H23" s="32">
        <v>2.3143921E7</v>
      </c>
      <c r="I23" s="32">
        <v>1.78829E7</v>
      </c>
      <c r="J23" s="32">
        <v>19919.0</v>
      </c>
      <c r="K23" s="32">
        <v>1.3145030227E10</v>
      </c>
      <c r="L23" s="32">
        <v>2.957793162E9</v>
      </c>
      <c r="M23" s="32">
        <v>50449.0</v>
      </c>
      <c r="N23" s="31" t="s">
        <v>66</v>
      </c>
      <c r="O23" s="31">
        <v>25.0</v>
      </c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1.56479771E8</v>
      </c>
      <c r="B24" s="31" t="s">
        <v>70</v>
      </c>
      <c r="C24" s="32">
        <v>7.7291262E7</v>
      </c>
      <c r="D24" s="32">
        <v>3144762.0</v>
      </c>
      <c r="E24" s="32">
        <v>1.692690259E9</v>
      </c>
      <c r="F24" s="32">
        <v>1.0568569E7</v>
      </c>
      <c r="G24" s="32">
        <v>4.0075276E7</v>
      </c>
      <c r="H24" s="32">
        <v>7.0817004E7</v>
      </c>
      <c r="I24" s="32">
        <v>4.6832737E7</v>
      </c>
      <c r="J24" s="32">
        <v>0.0</v>
      </c>
      <c r="K24" s="32">
        <v>1.6893258327E10</v>
      </c>
      <c r="L24" s="32">
        <v>1.0581487032E10</v>
      </c>
      <c r="M24" s="32">
        <v>97063.0</v>
      </c>
      <c r="N24" s="31" t="s">
        <v>34</v>
      </c>
      <c r="O24" s="31">
        <v>25.0</v>
      </c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1.4572491E7</v>
      </c>
      <c r="B25" s="31" t="s">
        <v>46</v>
      </c>
      <c r="C25" s="32">
        <v>7.6524775E7</v>
      </c>
      <c r="D25" s="32">
        <v>0.0</v>
      </c>
      <c r="E25" s="32">
        <v>7.041934438E9</v>
      </c>
      <c r="F25" s="32">
        <v>6.3318543E7</v>
      </c>
      <c r="G25" s="32">
        <v>5.6830191E7</v>
      </c>
      <c r="H25" s="32">
        <v>2.11050446E8</v>
      </c>
      <c r="I25" s="32">
        <v>2.42804049E8</v>
      </c>
      <c r="J25" s="32">
        <v>0.0</v>
      </c>
      <c r="K25" s="32">
        <v>1.9421089683E10</v>
      </c>
      <c r="L25" s="32">
        <v>4.7723874529E10</v>
      </c>
      <c r="M25" s="32">
        <v>178678.0</v>
      </c>
      <c r="N25" s="31" t="s">
        <v>34</v>
      </c>
      <c r="O25" s="31">
        <v>25.0</v>
      </c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1.70866748E8</v>
      </c>
      <c r="B26" s="31" t="s">
        <v>97</v>
      </c>
      <c r="C26" s="32">
        <v>7.5479684E7</v>
      </c>
      <c r="D26" s="32">
        <v>6603120.0</v>
      </c>
      <c r="E26" s="32">
        <v>6.40450638E8</v>
      </c>
      <c r="F26" s="32">
        <v>5742571.0</v>
      </c>
      <c r="G26" s="32">
        <v>1157141.0</v>
      </c>
      <c r="H26" s="32">
        <v>9181208.0</v>
      </c>
      <c r="I26" s="32">
        <v>2.7355805E7</v>
      </c>
      <c r="J26" s="32">
        <v>0.0</v>
      </c>
      <c r="K26" s="32">
        <v>1.5085294532E10</v>
      </c>
      <c r="L26" s="32">
        <v>2.677127733E9</v>
      </c>
      <c r="M26" s="32">
        <v>33416.0</v>
      </c>
      <c r="N26" s="31" t="s">
        <v>34</v>
      </c>
      <c r="O26" s="31">
        <v>25.0</v>
      </c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1.77526978E8</v>
      </c>
      <c r="B27" s="31" t="s">
        <v>74</v>
      </c>
      <c r="C27" s="32">
        <v>7.5255754E7</v>
      </c>
      <c r="D27" s="32">
        <v>1259030.0</v>
      </c>
      <c r="E27" s="32">
        <v>1.05571066E8</v>
      </c>
      <c r="F27" s="32">
        <v>3189237.0</v>
      </c>
      <c r="G27" s="32">
        <v>6554003.0</v>
      </c>
      <c r="H27" s="32">
        <v>3588587.0</v>
      </c>
      <c r="I27" s="32">
        <v>3347183.0</v>
      </c>
      <c r="J27" s="32">
        <v>0.0</v>
      </c>
      <c r="K27" s="32">
        <v>1.0124732228E10</v>
      </c>
      <c r="L27" s="32">
        <v>1.0921382248E10</v>
      </c>
      <c r="M27" s="32">
        <v>25662.0</v>
      </c>
      <c r="N27" s="31" t="s">
        <v>34</v>
      </c>
      <c r="O27" s="31">
        <v>25.0</v>
      </c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1.69461237E8</v>
      </c>
      <c r="B28" s="31" t="s">
        <v>82</v>
      </c>
      <c r="C28" s="32">
        <v>7.5207904E7</v>
      </c>
      <c r="D28" s="32">
        <v>-2570.0</v>
      </c>
      <c r="E28" s="32">
        <v>3.74816162E8</v>
      </c>
      <c r="F28" s="32">
        <v>3971161.0</v>
      </c>
      <c r="G28" s="32">
        <v>3057052.0</v>
      </c>
      <c r="H28" s="32">
        <v>2.3104818E7</v>
      </c>
      <c r="I28" s="32">
        <v>5769663.0</v>
      </c>
      <c r="J28" s="32">
        <v>0.0</v>
      </c>
      <c r="K28" s="32">
        <v>3.476288369E9</v>
      </c>
      <c r="L28" s="32">
        <v>4.1058231616E10</v>
      </c>
      <c r="M28" s="32">
        <v>20656.0</v>
      </c>
      <c r="N28" s="31" t="s">
        <v>34</v>
      </c>
      <c r="O28" s="31">
        <v>25.0</v>
      </c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4.8741756E7</v>
      </c>
      <c r="B29" s="31" t="s">
        <v>51</v>
      </c>
      <c r="C29" s="32">
        <v>7.4933798E7</v>
      </c>
      <c r="D29" s="32">
        <v>1195770.0</v>
      </c>
      <c r="E29" s="32">
        <v>3.127372051E9</v>
      </c>
      <c r="F29" s="32">
        <v>2.4360001E7</v>
      </c>
      <c r="G29" s="32">
        <v>6.9252136E7</v>
      </c>
      <c r="H29" s="32">
        <v>1.25226217E8</v>
      </c>
      <c r="I29" s="32">
        <v>9.2160936E7</v>
      </c>
      <c r="J29" s="32">
        <v>804578.0</v>
      </c>
      <c r="K29" s="32">
        <v>2.0866878778E10</v>
      </c>
      <c r="L29" s="32">
        <v>2.2685439519E10</v>
      </c>
      <c r="M29" s="32">
        <v>166452.0</v>
      </c>
      <c r="N29" s="31" t="s">
        <v>34</v>
      </c>
      <c r="O29" s="31">
        <v>25.0</v>
      </c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1.66497805E8</v>
      </c>
      <c r="B30" s="31" t="s">
        <v>77</v>
      </c>
      <c r="C30" s="32">
        <v>7.4867036E7</v>
      </c>
      <c r="D30" s="32">
        <v>2136520.0</v>
      </c>
      <c r="E30" s="32">
        <v>6.22436986E8</v>
      </c>
      <c r="F30" s="32">
        <v>5364231.0</v>
      </c>
      <c r="G30" s="32">
        <v>2158221.0</v>
      </c>
      <c r="H30" s="32">
        <v>2.5964001E7</v>
      </c>
      <c r="I30" s="32">
        <v>1.7608945E7</v>
      </c>
      <c r="J30" s="32">
        <v>0.0</v>
      </c>
      <c r="K30" s="32">
        <v>1.5637811266E10</v>
      </c>
      <c r="L30" s="32">
        <v>3.56763729E8</v>
      </c>
      <c r="M30" s="32">
        <v>64865.0</v>
      </c>
      <c r="N30" s="31" t="s">
        <v>34</v>
      </c>
      <c r="O30" s="31">
        <v>25.0</v>
      </c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7.1613822E7</v>
      </c>
      <c r="B31" s="31" t="s">
        <v>69</v>
      </c>
      <c r="C31" s="32">
        <v>7.4761242E7</v>
      </c>
      <c r="D31" s="32">
        <v>2568670.0</v>
      </c>
      <c r="E31" s="32">
        <v>2.174919522E9</v>
      </c>
      <c r="F31" s="32">
        <v>2.9888813E7</v>
      </c>
      <c r="G31" s="32">
        <v>4.9328971E7</v>
      </c>
      <c r="H31" s="32">
        <v>7.6348594E7</v>
      </c>
      <c r="I31" s="32">
        <v>6.9032122E7</v>
      </c>
      <c r="J31" s="32">
        <v>0.0</v>
      </c>
      <c r="K31" s="32">
        <v>2.5119943408E10</v>
      </c>
      <c r="L31" s="32">
        <v>6.537284955E9</v>
      </c>
      <c r="M31" s="32">
        <v>104361.0</v>
      </c>
      <c r="N31" s="31" t="s">
        <v>34</v>
      </c>
      <c r="O31" s="31">
        <v>25.0</v>
      </c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1.71503078E8</v>
      </c>
      <c r="B32" s="31" t="s">
        <v>72</v>
      </c>
      <c r="C32" s="32">
        <v>7.4376177E7</v>
      </c>
      <c r="D32" s="32">
        <v>3601216.0</v>
      </c>
      <c r="E32" s="32">
        <v>1.481376399E9</v>
      </c>
      <c r="F32" s="32">
        <v>3526719.0</v>
      </c>
      <c r="G32" s="32">
        <v>1.6266335E7</v>
      </c>
      <c r="H32" s="32">
        <v>3.1592453E7</v>
      </c>
      <c r="I32" s="32">
        <v>5.6319089E7</v>
      </c>
      <c r="J32" s="32">
        <v>0.0</v>
      </c>
      <c r="K32" s="32">
        <v>1.9723333458E10</v>
      </c>
      <c r="L32" s="32">
        <v>5.02248407E9</v>
      </c>
      <c r="M32" s="32">
        <v>64058.0</v>
      </c>
      <c r="N32" s="31" t="s">
        <v>34</v>
      </c>
      <c r="O32" s="31">
        <v>25.0</v>
      </c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1.36378574E8</v>
      </c>
      <c r="B33" s="31" t="s">
        <v>401</v>
      </c>
      <c r="C33" s="32">
        <v>7.4161918E7</v>
      </c>
      <c r="D33" s="32">
        <v>281515.0</v>
      </c>
      <c r="E33" s="32">
        <v>5.98467976E8</v>
      </c>
      <c r="F33" s="32">
        <v>6823289.0</v>
      </c>
      <c r="G33" s="32">
        <v>5150003.0</v>
      </c>
      <c r="H33" s="32">
        <v>2.979345E7</v>
      </c>
      <c r="I33" s="32">
        <v>1.4389592E7</v>
      </c>
      <c r="J33" s="32">
        <v>0.0</v>
      </c>
      <c r="K33" s="32">
        <v>1.9709605652E10</v>
      </c>
      <c r="L33" s="32">
        <v>9.741231848E9</v>
      </c>
      <c r="M33" s="32">
        <v>27282.0</v>
      </c>
      <c r="N33" s="31" t="s">
        <v>34</v>
      </c>
      <c r="O33" s="31">
        <v>25.0</v>
      </c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7887352.0</v>
      </c>
      <c r="B34" s="31" t="s">
        <v>83</v>
      </c>
      <c r="C34" s="32">
        <v>7.4089346E7</v>
      </c>
      <c r="D34" s="32">
        <v>33200.0</v>
      </c>
      <c r="E34" s="32">
        <v>2.194116467E9</v>
      </c>
      <c r="F34" s="32">
        <v>1.6583036E7</v>
      </c>
      <c r="G34" s="32">
        <v>3.4656895E7</v>
      </c>
      <c r="H34" s="32">
        <v>7.0560932E7</v>
      </c>
      <c r="I34" s="32">
        <v>7.3835283E7</v>
      </c>
      <c r="J34" s="32">
        <v>0.0</v>
      </c>
      <c r="K34" s="32">
        <v>1.6660839505E10</v>
      </c>
      <c r="L34" s="32">
        <v>1.2713533366E10</v>
      </c>
      <c r="M34" s="32">
        <v>45902.0</v>
      </c>
      <c r="N34" s="31" t="s">
        <v>66</v>
      </c>
      <c r="O34" s="31">
        <v>25.0</v>
      </c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9.8107237E7</v>
      </c>
      <c r="B35" s="31" t="s">
        <v>68</v>
      </c>
      <c r="C35" s="32">
        <v>7.4031839E7</v>
      </c>
      <c r="D35" s="32">
        <v>4574830.0</v>
      </c>
      <c r="E35" s="32">
        <v>2.832410348E9</v>
      </c>
      <c r="F35" s="32">
        <v>1.8507076E7</v>
      </c>
      <c r="G35" s="32">
        <v>2179180.0</v>
      </c>
      <c r="H35" s="32">
        <v>6.7509547E7</v>
      </c>
      <c r="I35" s="32">
        <v>1.07652182E8</v>
      </c>
      <c r="J35" s="32">
        <v>0.0</v>
      </c>
      <c r="K35" s="32">
        <v>3.6120100243E10</v>
      </c>
      <c r="L35" s="32">
        <v>1.1527531851E10</v>
      </c>
      <c r="M35" s="32">
        <v>92636.0</v>
      </c>
      <c r="N35" s="31" t="s">
        <v>34</v>
      </c>
      <c r="O35" s="31">
        <v>25.0</v>
      </c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1.1409556E7</v>
      </c>
      <c r="B36" s="31" t="s">
        <v>402</v>
      </c>
      <c r="C36" s="32">
        <v>7.3629101E7</v>
      </c>
      <c r="D36" s="32">
        <v>0.0</v>
      </c>
      <c r="E36" s="32">
        <v>5.82419822E8</v>
      </c>
      <c r="F36" s="32">
        <v>1.5648218E7</v>
      </c>
      <c r="G36" s="32">
        <v>1.9002422E7</v>
      </c>
      <c r="H36" s="32">
        <v>3.07815E7</v>
      </c>
      <c r="I36" s="32">
        <v>1.2851588E7</v>
      </c>
      <c r="J36" s="32">
        <v>0.0</v>
      </c>
      <c r="K36" s="32">
        <v>1.5740599884E10</v>
      </c>
      <c r="L36" s="32">
        <v>5.766935771E9</v>
      </c>
      <c r="M36" s="32">
        <v>86842.0</v>
      </c>
      <c r="N36" s="31" t="s">
        <v>147</v>
      </c>
      <c r="O36" s="31">
        <v>25.0</v>
      </c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1.40009179E8</v>
      </c>
      <c r="B37" s="31" t="s">
        <v>403</v>
      </c>
      <c r="C37" s="32">
        <v>7.3208966E7</v>
      </c>
      <c r="D37" s="32">
        <v>0.0</v>
      </c>
      <c r="E37" s="32">
        <v>1.039163439E9</v>
      </c>
      <c r="F37" s="32">
        <v>1.0543562E7</v>
      </c>
      <c r="G37" s="32">
        <v>2.8697919E7</v>
      </c>
      <c r="H37" s="32">
        <v>5.8790027E7</v>
      </c>
      <c r="I37" s="32">
        <v>2.1885816E7</v>
      </c>
      <c r="J37" s="32">
        <v>0.0</v>
      </c>
      <c r="K37" s="32">
        <v>1.3854215909E10</v>
      </c>
      <c r="L37" s="32">
        <v>2.648117913E9</v>
      </c>
      <c r="M37" s="32">
        <v>35720.0</v>
      </c>
      <c r="N37" s="31" t="s">
        <v>147</v>
      </c>
      <c r="O37" s="31">
        <v>25.0</v>
      </c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7.4556991E7</v>
      </c>
      <c r="B38" s="31" t="s">
        <v>204</v>
      </c>
      <c r="C38" s="32">
        <v>7.2685874E7</v>
      </c>
      <c r="D38" s="32">
        <v>1866004.0</v>
      </c>
      <c r="E38" s="32">
        <v>2.870572881E9</v>
      </c>
      <c r="F38" s="32">
        <v>1.4581752E7</v>
      </c>
      <c r="G38" s="32">
        <v>5996255.0</v>
      </c>
      <c r="H38" s="32">
        <v>5.4402349E7</v>
      </c>
      <c r="I38" s="32">
        <v>1.16019488E8</v>
      </c>
      <c r="J38" s="32">
        <v>0.0</v>
      </c>
      <c r="K38" s="32">
        <v>1.862050701E10</v>
      </c>
      <c r="L38" s="32">
        <v>5.737943886E9</v>
      </c>
      <c r="M38" s="32">
        <v>133322.0</v>
      </c>
      <c r="N38" s="31" t="s">
        <v>34</v>
      </c>
      <c r="O38" s="31">
        <v>25.0</v>
      </c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1.66871338E8</v>
      </c>
      <c r="B39" s="31" t="s">
        <v>78</v>
      </c>
      <c r="C39" s="32">
        <v>7.2150291E7</v>
      </c>
      <c r="D39" s="32">
        <v>3527704.0</v>
      </c>
      <c r="E39" s="32">
        <v>9.89392376E8</v>
      </c>
      <c r="F39" s="32">
        <v>6943839.0</v>
      </c>
      <c r="G39" s="32">
        <v>9.5965493E7</v>
      </c>
      <c r="H39" s="32">
        <v>6.0906835E7</v>
      </c>
      <c r="I39" s="32">
        <v>1.6926047E7</v>
      </c>
      <c r="J39" s="32">
        <v>0.0</v>
      </c>
      <c r="K39" s="32">
        <v>9.305234262E9</v>
      </c>
      <c r="L39" s="32">
        <v>3.117290499E9</v>
      </c>
      <c r="M39" s="32">
        <v>46352.0</v>
      </c>
      <c r="N39" s="31" t="s">
        <v>34</v>
      </c>
      <c r="O39" s="31">
        <v>25.0</v>
      </c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1.71491377E8</v>
      </c>
      <c r="B40" s="31" t="s">
        <v>84</v>
      </c>
      <c r="C40" s="32">
        <v>7.1808798E7</v>
      </c>
      <c r="D40" s="32">
        <v>1390048.0</v>
      </c>
      <c r="E40" s="32">
        <v>5.22106936E8</v>
      </c>
      <c r="F40" s="32">
        <v>3758072.0</v>
      </c>
      <c r="G40" s="32">
        <v>3173440.0</v>
      </c>
      <c r="H40" s="32">
        <v>1.0961757E7</v>
      </c>
      <c r="I40" s="32">
        <v>2.0502835E7</v>
      </c>
      <c r="J40" s="32">
        <v>0.0</v>
      </c>
      <c r="K40" s="32">
        <v>1.2995700318E10</v>
      </c>
      <c r="L40" s="32">
        <v>1.080422782E9</v>
      </c>
      <c r="M40" s="32">
        <v>53190.0</v>
      </c>
      <c r="N40" s="31" t="s">
        <v>34</v>
      </c>
      <c r="O40" s="31">
        <v>25.0</v>
      </c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1.71927851E8</v>
      </c>
      <c r="B41" s="31" t="s">
        <v>96</v>
      </c>
      <c r="C41" s="32">
        <v>7.1796044E7</v>
      </c>
      <c r="D41" s="32">
        <v>395092.0</v>
      </c>
      <c r="E41" s="32">
        <v>3.37185583E8</v>
      </c>
      <c r="F41" s="32">
        <v>2789101.0</v>
      </c>
      <c r="G41" s="32">
        <v>9960405.0</v>
      </c>
      <c r="H41" s="32">
        <v>5494780.0</v>
      </c>
      <c r="I41" s="32">
        <v>1.3929667E7</v>
      </c>
      <c r="J41" s="32">
        <v>0.0</v>
      </c>
      <c r="K41" s="32">
        <v>9.718111718E9</v>
      </c>
      <c r="L41" s="32">
        <v>1.01624E8</v>
      </c>
      <c r="M41" s="32">
        <v>30577.0</v>
      </c>
      <c r="N41" s="31" t="s">
        <v>34</v>
      </c>
      <c r="O41" s="31">
        <v>25.0</v>
      </c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1.6942777E8</v>
      </c>
      <c r="B42" s="31" t="s">
        <v>71</v>
      </c>
      <c r="C42" s="32">
        <v>7.1769066E7</v>
      </c>
      <c r="D42" s="32">
        <v>1645282.0</v>
      </c>
      <c r="E42" s="32">
        <v>8.11052722E8</v>
      </c>
      <c r="F42" s="32">
        <v>9847625.0</v>
      </c>
      <c r="G42" s="32">
        <v>2495952.0</v>
      </c>
      <c r="H42" s="32">
        <v>2.7188246E7</v>
      </c>
      <c r="I42" s="32">
        <v>2.6609459E7</v>
      </c>
      <c r="J42" s="32">
        <v>0.0</v>
      </c>
      <c r="K42" s="32">
        <v>1.8999779606E10</v>
      </c>
      <c r="L42" s="32">
        <v>6.86897086E8</v>
      </c>
      <c r="M42" s="32">
        <v>109210.0</v>
      </c>
      <c r="N42" s="31" t="s">
        <v>34</v>
      </c>
      <c r="O42" s="31">
        <v>25.0</v>
      </c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1.71972257E8</v>
      </c>
      <c r="B43" s="31" t="s">
        <v>90</v>
      </c>
      <c r="C43" s="32">
        <v>7.1566606E7</v>
      </c>
      <c r="D43" s="32">
        <v>3521740.0</v>
      </c>
      <c r="E43" s="32">
        <v>6.55613436E8</v>
      </c>
      <c r="F43" s="32">
        <v>5092090.0</v>
      </c>
      <c r="G43" s="32">
        <v>4.681122E7</v>
      </c>
      <c r="H43" s="32">
        <v>2.4188052E7</v>
      </c>
      <c r="I43" s="32">
        <v>1.9900108E7</v>
      </c>
      <c r="J43" s="32">
        <v>0.0</v>
      </c>
      <c r="K43" s="32">
        <v>1.3935793218E10</v>
      </c>
      <c r="L43" s="32">
        <v>2.961253098E9</v>
      </c>
      <c r="M43" s="32">
        <v>16436.0</v>
      </c>
      <c r="N43" s="31" t="s">
        <v>34</v>
      </c>
      <c r="O43" s="31">
        <v>25.0</v>
      </c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1.66110884E8</v>
      </c>
      <c r="B44" s="31" t="s">
        <v>95</v>
      </c>
      <c r="C44" s="32">
        <v>7.0436039E7</v>
      </c>
      <c r="D44" s="32">
        <v>638000.0</v>
      </c>
      <c r="E44" s="32">
        <v>8.8858807E8</v>
      </c>
      <c r="F44" s="32">
        <v>6332992.0</v>
      </c>
      <c r="G44" s="32">
        <v>4.3590233E7</v>
      </c>
      <c r="H44" s="32">
        <v>3.2128306E7</v>
      </c>
      <c r="I44" s="32">
        <v>2.6154176E7</v>
      </c>
      <c r="J44" s="32">
        <v>0.0</v>
      </c>
      <c r="K44" s="32">
        <v>8.801234989E9</v>
      </c>
      <c r="L44" s="32">
        <v>3.624684682E9</v>
      </c>
      <c r="M44" s="32">
        <v>68883.0</v>
      </c>
      <c r="N44" s="31" t="s">
        <v>34</v>
      </c>
      <c r="O44" s="31">
        <v>25.0</v>
      </c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1.43088559E8</v>
      </c>
      <c r="B45" s="31" t="s">
        <v>93</v>
      </c>
      <c r="C45" s="32">
        <v>7.0338733E7</v>
      </c>
      <c r="D45" s="32">
        <v>0.0</v>
      </c>
      <c r="E45" s="32">
        <v>4.63290559E8</v>
      </c>
      <c r="F45" s="32">
        <v>4093564.0</v>
      </c>
      <c r="G45" s="32">
        <v>1.0480295E7</v>
      </c>
      <c r="H45" s="32">
        <v>2.6725717E7</v>
      </c>
      <c r="I45" s="32">
        <v>8944637.0</v>
      </c>
      <c r="J45" s="32">
        <v>0.0</v>
      </c>
      <c r="K45" s="32">
        <v>1.2955117867E10</v>
      </c>
      <c r="L45" s="32">
        <v>2.11081372E9</v>
      </c>
      <c r="M45" s="32">
        <v>36439.0</v>
      </c>
      <c r="N45" s="31" t="s">
        <v>66</v>
      </c>
      <c r="O45" s="31">
        <v>25.0</v>
      </c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1.20029911E8</v>
      </c>
      <c r="B46" s="31" t="s">
        <v>79</v>
      </c>
      <c r="C46" s="32">
        <v>7.030864E7</v>
      </c>
      <c r="D46" s="32">
        <v>6256996.0</v>
      </c>
      <c r="E46" s="32">
        <v>1.015526745E9</v>
      </c>
      <c r="F46" s="32">
        <v>1.1128312E7</v>
      </c>
      <c r="G46" s="32">
        <v>1.2500936E7</v>
      </c>
      <c r="H46" s="32">
        <v>4.4554698E7</v>
      </c>
      <c r="I46" s="32">
        <v>2.6876357E7</v>
      </c>
      <c r="J46" s="32">
        <v>135423.0</v>
      </c>
      <c r="K46" s="32">
        <v>1.0826643468E10</v>
      </c>
      <c r="L46" s="32">
        <v>1.7074234312E10</v>
      </c>
      <c r="M46" s="32">
        <v>53959.0</v>
      </c>
      <c r="N46" s="31" t="s">
        <v>34</v>
      </c>
      <c r="O46" s="31">
        <v>25.0</v>
      </c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1.4461836E8</v>
      </c>
      <c r="B47" s="31" t="s">
        <v>116</v>
      </c>
      <c r="C47" s="32">
        <v>7.0067836E7</v>
      </c>
      <c r="D47" s="32">
        <v>4278890.0</v>
      </c>
      <c r="E47" s="32">
        <v>3.00036548E8</v>
      </c>
      <c r="F47" s="32">
        <v>3896410.0</v>
      </c>
      <c r="G47" s="32">
        <v>1710212.0</v>
      </c>
      <c r="H47" s="32">
        <v>9878170.0</v>
      </c>
      <c r="I47" s="32">
        <v>9869294.0</v>
      </c>
      <c r="J47" s="32">
        <v>0.0</v>
      </c>
      <c r="K47" s="32">
        <v>9.227284475E9</v>
      </c>
      <c r="L47" s="32">
        <v>5.66487787E8</v>
      </c>
      <c r="M47" s="32">
        <v>42369.0</v>
      </c>
      <c r="N47" s="31" t="s">
        <v>34</v>
      </c>
      <c r="O47" s="31">
        <v>25.0</v>
      </c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1.72021868E8</v>
      </c>
      <c r="B48" s="31" t="s">
        <v>81</v>
      </c>
      <c r="C48" s="32">
        <v>6.958E7</v>
      </c>
      <c r="D48" s="32">
        <v>1218370.0</v>
      </c>
      <c r="E48" s="32">
        <v>1.12586876E9</v>
      </c>
      <c r="F48" s="32">
        <v>4005439.0</v>
      </c>
      <c r="G48" s="32">
        <v>1.78215E7</v>
      </c>
      <c r="H48" s="32">
        <v>1.6266708E7</v>
      </c>
      <c r="I48" s="32">
        <v>4.7890315E7</v>
      </c>
      <c r="J48" s="32">
        <v>0.0</v>
      </c>
      <c r="K48" s="32">
        <v>9.698045333E9</v>
      </c>
      <c r="L48" s="32">
        <v>1.517709172E9</v>
      </c>
      <c r="M48" s="32">
        <v>84292.0</v>
      </c>
      <c r="N48" s="31" t="s">
        <v>34</v>
      </c>
      <c r="O48" s="31">
        <v>25.0</v>
      </c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1.70708608E8</v>
      </c>
      <c r="B49" s="31" t="s">
        <v>91</v>
      </c>
      <c r="C49" s="32">
        <v>6.9141965E7</v>
      </c>
      <c r="D49" s="32">
        <v>963710.0</v>
      </c>
      <c r="E49" s="32">
        <v>3.21574378E8</v>
      </c>
      <c r="F49" s="32">
        <v>7375524.0</v>
      </c>
      <c r="G49" s="32">
        <v>4.8036504E7</v>
      </c>
      <c r="H49" s="32">
        <v>8537321.0</v>
      </c>
      <c r="I49" s="32">
        <v>1.1089839E7</v>
      </c>
      <c r="J49" s="32">
        <v>0.0</v>
      </c>
      <c r="K49" s="32">
        <v>1.0407940093E10</v>
      </c>
      <c r="L49" s="32">
        <v>1.58724317E9</v>
      </c>
      <c r="M49" s="32">
        <v>24014.0</v>
      </c>
      <c r="N49" s="31" t="s">
        <v>34</v>
      </c>
      <c r="O49" s="31">
        <v>25.0</v>
      </c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5.524249E7</v>
      </c>
      <c r="B50" s="31" t="s">
        <v>88</v>
      </c>
      <c r="C50" s="32">
        <v>6.8403478E7</v>
      </c>
      <c r="D50" s="32">
        <v>-133398.0</v>
      </c>
      <c r="E50" s="32">
        <v>1.042828988E9</v>
      </c>
      <c r="F50" s="32">
        <v>1.099548E7</v>
      </c>
      <c r="G50" s="32">
        <v>1.11689494E8</v>
      </c>
      <c r="H50" s="32">
        <v>2.6163323E7</v>
      </c>
      <c r="I50" s="32">
        <v>3.7239181E7</v>
      </c>
      <c r="J50" s="32">
        <v>0.0</v>
      </c>
      <c r="K50" s="32">
        <v>1.3836295994E10</v>
      </c>
      <c r="L50" s="32">
        <v>5.43576093E9</v>
      </c>
      <c r="M50" s="32">
        <v>54420.0</v>
      </c>
      <c r="N50" s="31" t="s">
        <v>34</v>
      </c>
      <c r="O50" s="31">
        <v>25.0</v>
      </c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1.41154852E8</v>
      </c>
      <c r="B51" s="31" t="s">
        <v>76</v>
      </c>
      <c r="C51" s="32">
        <v>6.8331644E7</v>
      </c>
      <c r="D51" s="32">
        <v>1081100.0</v>
      </c>
      <c r="E51" s="32">
        <v>2.787578812E9</v>
      </c>
      <c r="F51" s="32">
        <v>1.292219E7</v>
      </c>
      <c r="G51" s="32">
        <v>3.258296E7</v>
      </c>
      <c r="H51" s="32">
        <v>1.16560322E8</v>
      </c>
      <c r="I51" s="32">
        <v>7.8581166E7</v>
      </c>
      <c r="J51" s="32">
        <v>0.0</v>
      </c>
      <c r="K51" s="32">
        <v>1.6940268688E10</v>
      </c>
      <c r="L51" s="32">
        <v>6.166357243E9</v>
      </c>
      <c r="M51" s="32">
        <v>70604.0</v>
      </c>
      <c r="N51" s="31" t="s">
        <v>34</v>
      </c>
      <c r="O51" s="31">
        <v>25.0</v>
      </c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1.66807426E8</v>
      </c>
      <c r="B52" s="31" t="s">
        <v>404</v>
      </c>
      <c r="C52" s="32">
        <v>6.7952226E7</v>
      </c>
      <c r="D52" s="32">
        <v>2472546.0</v>
      </c>
      <c r="E52" s="32">
        <v>3.75707852E8</v>
      </c>
      <c r="F52" s="32">
        <v>6005224.0</v>
      </c>
      <c r="G52" s="32">
        <v>5.4946713E7</v>
      </c>
      <c r="H52" s="32">
        <v>1.5784835E7</v>
      </c>
      <c r="I52" s="32">
        <v>1.0256001E7</v>
      </c>
      <c r="J52" s="32">
        <v>0.0</v>
      </c>
      <c r="K52" s="32">
        <v>4.636875271E9</v>
      </c>
      <c r="L52" s="32">
        <v>3.02842793E9</v>
      </c>
      <c r="M52" s="32">
        <v>51072.0</v>
      </c>
      <c r="N52" s="31" t="s">
        <v>34</v>
      </c>
      <c r="O52" s="31">
        <v>25.0</v>
      </c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1.71604682E8</v>
      </c>
      <c r="B53" s="31" t="s">
        <v>86</v>
      </c>
      <c r="C53" s="32">
        <v>6.7570806E7</v>
      </c>
      <c r="D53" s="32">
        <v>2729200.0</v>
      </c>
      <c r="E53" s="32">
        <v>1.381096664E9</v>
      </c>
      <c r="F53" s="32">
        <v>6597922.0</v>
      </c>
      <c r="G53" s="32">
        <v>1.1888012E7</v>
      </c>
      <c r="H53" s="32">
        <v>4.8774541E7</v>
      </c>
      <c r="I53" s="32">
        <v>4.2558907E7</v>
      </c>
      <c r="J53" s="32">
        <v>0.0</v>
      </c>
      <c r="K53" s="32">
        <v>9.42990922E9</v>
      </c>
      <c r="L53" s="32">
        <v>1.580720264E9</v>
      </c>
      <c r="M53" s="32">
        <v>61024.0</v>
      </c>
      <c r="N53" s="31" t="s">
        <v>34</v>
      </c>
      <c r="O53" s="31">
        <v>25.0</v>
      </c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1.68839111E8</v>
      </c>
      <c r="B54" s="31" t="s">
        <v>101</v>
      </c>
      <c r="C54" s="32">
        <v>6.724658E7</v>
      </c>
      <c r="D54" s="32">
        <v>-791395.0</v>
      </c>
      <c r="E54" s="32">
        <v>3.8263087E8</v>
      </c>
      <c r="F54" s="32">
        <v>4816542.0</v>
      </c>
      <c r="G54" s="32">
        <v>2.0289711E7</v>
      </c>
      <c r="H54" s="32">
        <v>2.2926336E7</v>
      </c>
      <c r="I54" s="32">
        <v>7222732.0</v>
      </c>
      <c r="J54" s="32">
        <v>0.0</v>
      </c>
      <c r="K54" s="32">
        <v>1.4509878482E10</v>
      </c>
      <c r="L54" s="32">
        <v>3.111985477E9</v>
      </c>
      <c r="M54" s="32">
        <v>37207.0</v>
      </c>
      <c r="N54" s="31" t="s">
        <v>102</v>
      </c>
      <c r="O54" s="31">
        <v>25.0</v>
      </c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1.68923934E8</v>
      </c>
      <c r="B55" s="31" t="s">
        <v>98</v>
      </c>
      <c r="C55" s="32">
        <v>6.7120605E7</v>
      </c>
      <c r="D55" s="32">
        <v>6616414.0</v>
      </c>
      <c r="E55" s="32">
        <v>6.42698403E8</v>
      </c>
      <c r="F55" s="32">
        <v>4716890.0</v>
      </c>
      <c r="G55" s="32">
        <v>4.3000957E7</v>
      </c>
      <c r="H55" s="32">
        <v>2.2787195E7</v>
      </c>
      <c r="I55" s="32">
        <v>1.8544612E7</v>
      </c>
      <c r="J55" s="32">
        <v>0.0</v>
      </c>
      <c r="K55" s="32">
        <v>7.627363318E9</v>
      </c>
      <c r="L55" s="32">
        <v>4.97581842E8</v>
      </c>
      <c r="M55" s="32">
        <v>31002.0</v>
      </c>
      <c r="N55" s="31" t="s">
        <v>34</v>
      </c>
      <c r="O55" s="31">
        <v>25.0</v>
      </c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1.71799293E8</v>
      </c>
      <c r="B56" s="31" t="s">
        <v>132</v>
      </c>
      <c r="C56" s="32">
        <v>6.6822985E7</v>
      </c>
      <c r="D56" s="32">
        <v>160000.0</v>
      </c>
      <c r="E56" s="32">
        <v>2.47221732E8</v>
      </c>
      <c r="F56" s="32">
        <v>2790306.0</v>
      </c>
      <c r="G56" s="32">
        <v>4581202.0</v>
      </c>
      <c r="H56" s="32">
        <v>1.1013872E7</v>
      </c>
      <c r="I56" s="32">
        <v>6606088.0</v>
      </c>
      <c r="J56" s="32">
        <v>0.0</v>
      </c>
      <c r="K56" s="32">
        <v>8.588821132E9</v>
      </c>
      <c r="L56" s="32">
        <v>1.228012902E10</v>
      </c>
      <c r="M56" s="32">
        <v>43699.0</v>
      </c>
      <c r="N56" s="31" t="s">
        <v>66</v>
      </c>
      <c r="O56" s="31">
        <v>25.0</v>
      </c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1.72033754E8</v>
      </c>
      <c r="B57" s="31" t="s">
        <v>92</v>
      </c>
      <c r="C57" s="32">
        <v>6.6713686E7</v>
      </c>
      <c r="D57" s="32">
        <v>860910.0</v>
      </c>
      <c r="E57" s="32">
        <v>4.84872769E8</v>
      </c>
      <c r="F57" s="32">
        <v>7205475.0</v>
      </c>
      <c r="G57" s="32">
        <v>1.6490527E7</v>
      </c>
      <c r="H57" s="32">
        <v>2.2581714E7</v>
      </c>
      <c r="I57" s="32">
        <v>1.2048893E7</v>
      </c>
      <c r="J57" s="32">
        <v>0.0</v>
      </c>
      <c r="K57" s="32">
        <v>1.1334046134E10</v>
      </c>
      <c r="L57" s="32">
        <v>1.15993687E9</v>
      </c>
      <c r="M57" s="32">
        <v>36163.0</v>
      </c>
      <c r="N57" s="31" t="s">
        <v>34</v>
      </c>
      <c r="O57" s="31">
        <v>25.0</v>
      </c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1.72041454E8</v>
      </c>
      <c r="B58" s="31" t="s">
        <v>87</v>
      </c>
      <c r="C58" s="32">
        <v>6.653073E7</v>
      </c>
      <c r="D58" s="32">
        <v>1969380.0</v>
      </c>
      <c r="E58" s="32">
        <v>5.19473267E8</v>
      </c>
      <c r="F58" s="32">
        <v>7897711.0</v>
      </c>
      <c r="G58" s="32">
        <v>2.7020696E7</v>
      </c>
      <c r="H58" s="32">
        <v>2.1191454E7</v>
      </c>
      <c r="I58" s="32">
        <v>1.4694122E7</v>
      </c>
      <c r="J58" s="32">
        <v>0.0</v>
      </c>
      <c r="K58" s="32">
        <v>1.1132948267E10</v>
      </c>
      <c r="L58" s="32">
        <v>1.081560618E9</v>
      </c>
      <c r="M58" s="32">
        <v>52574.0</v>
      </c>
      <c r="N58" s="31" t="s">
        <v>34</v>
      </c>
      <c r="O58" s="31">
        <v>25.0</v>
      </c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1.69446634E8</v>
      </c>
      <c r="B59" s="31" t="s">
        <v>405</v>
      </c>
      <c r="C59" s="32">
        <v>6.6348558E7</v>
      </c>
      <c r="D59" s="32">
        <v>518730.0</v>
      </c>
      <c r="E59" s="32">
        <v>2.89858559E8</v>
      </c>
      <c r="F59" s="32">
        <v>9119111.0</v>
      </c>
      <c r="G59" s="32">
        <v>736207.0</v>
      </c>
      <c r="H59" s="32">
        <v>1.0233471E7</v>
      </c>
      <c r="I59" s="32">
        <v>9278206.0</v>
      </c>
      <c r="J59" s="32">
        <v>0.0</v>
      </c>
      <c r="K59" s="32">
        <v>1.1586394855E10</v>
      </c>
      <c r="L59" s="32">
        <v>5.0338578E8</v>
      </c>
      <c r="M59" s="32">
        <v>61113.0</v>
      </c>
      <c r="N59" s="31" t="s">
        <v>34</v>
      </c>
      <c r="O59" s="31">
        <v>25.0</v>
      </c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1.44049878E8</v>
      </c>
      <c r="B60" s="31" t="s">
        <v>127</v>
      </c>
      <c r="C60" s="32">
        <v>6.6286332E7</v>
      </c>
      <c r="D60" s="32">
        <v>3291939.0</v>
      </c>
      <c r="E60" s="32">
        <v>3.19955522E8</v>
      </c>
      <c r="F60" s="32">
        <v>9024883.0</v>
      </c>
      <c r="G60" s="32">
        <v>3617362.0</v>
      </c>
      <c r="H60" s="32">
        <v>1.2155635E7</v>
      </c>
      <c r="I60" s="32">
        <v>9711621.0</v>
      </c>
      <c r="J60" s="32">
        <v>0.0</v>
      </c>
      <c r="K60" s="32">
        <v>1.1148734534E10</v>
      </c>
      <c r="L60" s="32">
        <v>7.2816E8</v>
      </c>
      <c r="M60" s="32">
        <v>50602.0</v>
      </c>
      <c r="N60" s="31" t="s">
        <v>147</v>
      </c>
      <c r="O60" s="31">
        <v>25.0</v>
      </c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1.71753933E8</v>
      </c>
      <c r="B61" s="31" t="s">
        <v>108</v>
      </c>
      <c r="C61" s="32">
        <v>6.5856113E7</v>
      </c>
      <c r="D61" s="32">
        <v>513350.0</v>
      </c>
      <c r="E61" s="32">
        <v>8.2355616E7</v>
      </c>
      <c r="F61" s="32">
        <v>4571959.0</v>
      </c>
      <c r="G61" s="32">
        <v>254494.0</v>
      </c>
      <c r="H61" s="32">
        <v>2683983.0</v>
      </c>
      <c r="I61" s="32">
        <v>2758148.0</v>
      </c>
      <c r="J61" s="32">
        <v>0.0</v>
      </c>
      <c r="K61" s="32">
        <v>1.2581301663E10</v>
      </c>
      <c r="L61" s="32">
        <v>1.52796998E8</v>
      </c>
      <c r="M61" s="32">
        <v>51864.0</v>
      </c>
      <c r="N61" s="31" t="s">
        <v>34</v>
      </c>
      <c r="O61" s="31">
        <v>25.0</v>
      </c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1.71910225E8</v>
      </c>
      <c r="B62" s="31" t="s">
        <v>99</v>
      </c>
      <c r="C62" s="32">
        <v>6.5738534E7</v>
      </c>
      <c r="D62" s="32">
        <v>862324.0</v>
      </c>
      <c r="E62" s="32">
        <v>2.24651888E8</v>
      </c>
      <c r="F62" s="32">
        <v>5668164.0</v>
      </c>
      <c r="G62" s="32">
        <v>260484.0</v>
      </c>
      <c r="H62" s="32">
        <v>4099060.0</v>
      </c>
      <c r="I62" s="32">
        <v>9148332.0</v>
      </c>
      <c r="J62" s="32">
        <v>0.0</v>
      </c>
      <c r="K62" s="32">
        <v>1.4829658168E10</v>
      </c>
      <c r="L62" s="32">
        <v>2.107133765E9</v>
      </c>
      <c r="M62" s="32">
        <v>37882.0</v>
      </c>
      <c r="N62" s="31" t="s">
        <v>34</v>
      </c>
      <c r="O62" s="31">
        <v>25.0</v>
      </c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1.5633938E8</v>
      </c>
      <c r="B63" s="31" t="s">
        <v>89</v>
      </c>
      <c r="C63" s="32">
        <v>6.518619E7</v>
      </c>
      <c r="D63" s="32">
        <v>1964196.0</v>
      </c>
      <c r="E63" s="32">
        <v>6.65439428E8</v>
      </c>
      <c r="F63" s="32">
        <v>9143615.0</v>
      </c>
      <c r="G63" s="32">
        <v>5872340.0</v>
      </c>
      <c r="H63" s="32">
        <v>3.2265192E7</v>
      </c>
      <c r="I63" s="32">
        <v>1.552154E7</v>
      </c>
      <c r="J63" s="32">
        <v>0.0</v>
      </c>
      <c r="K63" s="32">
        <v>1.5980006944E10</v>
      </c>
      <c r="L63" s="32">
        <v>3.799929489E9</v>
      </c>
      <c r="M63" s="32">
        <v>129054.0</v>
      </c>
      <c r="N63" s="31" t="s">
        <v>34</v>
      </c>
      <c r="O63" s="31">
        <v>25.0</v>
      </c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1.69247313E8</v>
      </c>
      <c r="B64" s="31" t="s">
        <v>75</v>
      </c>
      <c r="C64" s="32">
        <v>6.5009161E7</v>
      </c>
      <c r="D64" s="32">
        <v>1181818.0</v>
      </c>
      <c r="E64" s="32">
        <v>5.00172159E8</v>
      </c>
      <c r="F64" s="32">
        <v>9559898.0</v>
      </c>
      <c r="G64" s="32">
        <v>4110019.0</v>
      </c>
      <c r="H64" s="32">
        <v>1.7783294E7</v>
      </c>
      <c r="I64" s="32">
        <v>1.5218345E7</v>
      </c>
      <c r="J64" s="32">
        <v>0.0</v>
      </c>
      <c r="K64" s="32">
        <v>2.0888727809E10</v>
      </c>
      <c r="L64" s="32">
        <v>2.429731466E9</v>
      </c>
      <c r="M64" s="32">
        <v>106981.0</v>
      </c>
      <c r="N64" s="31" t="s">
        <v>34</v>
      </c>
      <c r="O64" s="31">
        <v>25.0</v>
      </c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1.70972148E8</v>
      </c>
      <c r="B65" s="31" t="s">
        <v>406</v>
      </c>
      <c r="C65" s="32">
        <v>6.4778734E7</v>
      </c>
      <c r="D65" s="32">
        <v>2151813.0</v>
      </c>
      <c r="E65" s="32">
        <v>2.52698313E8</v>
      </c>
      <c r="F65" s="32">
        <v>4742352.0</v>
      </c>
      <c r="G65" s="32">
        <v>1.4898589E7</v>
      </c>
      <c r="H65" s="32">
        <v>9322136.0</v>
      </c>
      <c r="I65" s="32">
        <v>7736620.0</v>
      </c>
      <c r="J65" s="32">
        <v>0.0</v>
      </c>
      <c r="K65" s="32">
        <v>1.1125358492E10</v>
      </c>
      <c r="L65" s="32">
        <v>1.613960679E9</v>
      </c>
      <c r="M65" s="32">
        <v>27141.0</v>
      </c>
      <c r="N65" s="31" t="s">
        <v>34</v>
      </c>
      <c r="O65" s="31">
        <v>25.0</v>
      </c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1.67614515E8</v>
      </c>
      <c r="B66" s="31" t="s">
        <v>365</v>
      </c>
      <c r="C66" s="32">
        <v>6.4689766E7</v>
      </c>
      <c r="D66" s="32">
        <v>1160009.0</v>
      </c>
      <c r="E66" s="32">
        <v>2.39401476E8</v>
      </c>
      <c r="F66" s="32">
        <v>6176894.0</v>
      </c>
      <c r="G66" s="32">
        <v>1262963.0</v>
      </c>
      <c r="H66" s="32">
        <v>1.2896689E7</v>
      </c>
      <c r="I66" s="32">
        <v>5368117.0</v>
      </c>
      <c r="J66" s="32">
        <v>0.0</v>
      </c>
      <c r="K66" s="32">
        <v>1.424754888E10</v>
      </c>
      <c r="L66" s="32">
        <v>7.99053053E8</v>
      </c>
      <c r="M66" s="32">
        <v>52396.0</v>
      </c>
      <c r="N66" s="31" t="s">
        <v>34</v>
      </c>
      <c r="O66" s="31">
        <v>25.0</v>
      </c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1.7160984E8</v>
      </c>
      <c r="B67" s="31" t="s">
        <v>103</v>
      </c>
      <c r="C67" s="32">
        <v>6.4167042E7</v>
      </c>
      <c r="D67" s="32">
        <v>2533594.0</v>
      </c>
      <c r="E67" s="32">
        <v>5.8770545E8</v>
      </c>
      <c r="F67" s="32">
        <v>5329520.0</v>
      </c>
      <c r="G67" s="32">
        <v>4501013.0</v>
      </c>
      <c r="H67" s="32">
        <v>1.3687498E7</v>
      </c>
      <c r="I67" s="32">
        <v>2.2215764E7</v>
      </c>
      <c r="J67" s="32">
        <v>0.0</v>
      </c>
      <c r="K67" s="32">
        <v>7.794554352E9</v>
      </c>
      <c r="L67" s="32">
        <v>2.27640069E8</v>
      </c>
      <c r="M67" s="32">
        <v>44395.0</v>
      </c>
      <c r="N67" s="31" t="s">
        <v>34</v>
      </c>
      <c r="O67" s="31">
        <v>25.0</v>
      </c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1.6757738E8</v>
      </c>
      <c r="B68" s="31" t="s">
        <v>107</v>
      </c>
      <c r="C68" s="32">
        <v>6.4100421E7</v>
      </c>
      <c r="D68" s="32">
        <v>1458844.0</v>
      </c>
      <c r="E68" s="32">
        <v>3.99007427E8</v>
      </c>
      <c r="F68" s="32">
        <v>5862176.0</v>
      </c>
      <c r="G68" s="32">
        <v>4819417.0</v>
      </c>
      <c r="H68" s="32">
        <v>1.5044354E7</v>
      </c>
      <c r="I68" s="32">
        <v>1.1974773E7</v>
      </c>
      <c r="J68" s="32">
        <v>0.0</v>
      </c>
      <c r="K68" s="32">
        <v>7.745470172E9</v>
      </c>
      <c r="L68" s="32">
        <v>9.70788659E8</v>
      </c>
      <c r="M68" s="32">
        <v>46343.0</v>
      </c>
      <c r="N68" s="31" t="s">
        <v>34</v>
      </c>
      <c r="O68" s="31">
        <v>25.0</v>
      </c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1.71355737E8</v>
      </c>
      <c r="B69" s="31" t="s">
        <v>85</v>
      </c>
      <c r="C69" s="32">
        <v>6.402964E7</v>
      </c>
      <c r="D69" s="32">
        <v>2678064.0</v>
      </c>
      <c r="E69" s="32">
        <v>7.39225923E8</v>
      </c>
      <c r="F69" s="32">
        <v>5188778.0</v>
      </c>
      <c r="G69" s="32">
        <v>6775155.0</v>
      </c>
      <c r="H69" s="32">
        <v>2.73789E7</v>
      </c>
      <c r="I69" s="32">
        <v>2.3014006E7</v>
      </c>
      <c r="J69" s="32">
        <v>0.0</v>
      </c>
      <c r="K69" s="32">
        <v>1.3706023348E10</v>
      </c>
      <c r="L69" s="32">
        <v>7.884546118E9</v>
      </c>
      <c r="M69" s="32">
        <v>79454.0</v>
      </c>
      <c r="N69" s="31" t="s">
        <v>34</v>
      </c>
      <c r="O69" s="31">
        <v>25.0</v>
      </c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1.69326547E8</v>
      </c>
      <c r="B70" s="31" t="s">
        <v>47</v>
      </c>
      <c r="C70" s="32">
        <v>6.3728437E7</v>
      </c>
      <c r="D70" s="32">
        <v>543630.0</v>
      </c>
      <c r="E70" s="32">
        <v>3.521797936E9</v>
      </c>
      <c r="F70" s="32">
        <v>9381202.0</v>
      </c>
      <c r="G70" s="32">
        <v>8687192.0</v>
      </c>
      <c r="H70" s="32">
        <v>9.1554801E7</v>
      </c>
      <c r="I70" s="32">
        <v>1.28408793E8</v>
      </c>
      <c r="J70" s="32">
        <v>0.0</v>
      </c>
      <c r="K70" s="32">
        <v>1.1155074294E10</v>
      </c>
      <c r="L70" s="32">
        <v>9.430822854E9</v>
      </c>
      <c r="M70" s="32">
        <v>120001.0</v>
      </c>
      <c r="N70" s="31" t="s">
        <v>34</v>
      </c>
      <c r="O70" s="31">
        <v>25.0</v>
      </c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1.55534128E8</v>
      </c>
      <c r="B71" s="31" t="s">
        <v>105</v>
      </c>
      <c r="C71" s="32">
        <v>6.3432951E7</v>
      </c>
      <c r="D71" s="32">
        <v>1817292.0</v>
      </c>
      <c r="E71" s="32">
        <v>1.106830933E9</v>
      </c>
      <c r="F71" s="32">
        <v>8794989.0</v>
      </c>
      <c r="G71" s="32">
        <v>1.5022987E7</v>
      </c>
      <c r="H71" s="32">
        <v>3.8312967E7</v>
      </c>
      <c r="I71" s="32">
        <v>3.5493379E7</v>
      </c>
      <c r="J71" s="32">
        <v>0.0</v>
      </c>
      <c r="K71" s="32">
        <v>8.128808537E9</v>
      </c>
      <c r="L71" s="32">
        <v>9.17037441E8</v>
      </c>
      <c r="M71" s="32">
        <v>51151.0</v>
      </c>
      <c r="N71" s="31" t="s">
        <v>34</v>
      </c>
      <c r="O71" s="31">
        <v>25.0</v>
      </c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1.53857025E8</v>
      </c>
      <c r="B72" s="31" t="s">
        <v>106</v>
      </c>
      <c r="C72" s="32">
        <v>6.264891E7</v>
      </c>
      <c r="D72" s="32">
        <v>1232562.0</v>
      </c>
      <c r="E72" s="32">
        <v>1.062839116E9</v>
      </c>
      <c r="F72" s="32">
        <v>7778573.0</v>
      </c>
      <c r="G72" s="32">
        <v>2.4550584E7</v>
      </c>
      <c r="H72" s="32">
        <v>1.8834319E7</v>
      </c>
      <c r="I72" s="32">
        <v>4.3257959E7</v>
      </c>
      <c r="J72" s="32">
        <v>0.0</v>
      </c>
      <c r="K72" s="32">
        <v>1.5135693098E10</v>
      </c>
      <c r="L72" s="32">
        <v>6.904186976E9</v>
      </c>
      <c r="M72" s="32">
        <v>79581.0</v>
      </c>
      <c r="N72" s="31" t="s">
        <v>34</v>
      </c>
      <c r="O72" s="31">
        <v>25.0</v>
      </c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1.67637163E8</v>
      </c>
      <c r="B73" s="31" t="s">
        <v>113</v>
      </c>
      <c r="C73" s="32">
        <v>6.2277558E7</v>
      </c>
      <c r="D73" s="32">
        <v>863185.0</v>
      </c>
      <c r="E73" s="32">
        <v>4.85923875E8</v>
      </c>
      <c r="F73" s="32">
        <v>9417228.0</v>
      </c>
      <c r="G73" s="32">
        <v>3258438.0</v>
      </c>
      <c r="H73" s="32">
        <v>2.8077725E7</v>
      </c>
      <c r="I73" s="32">
        <v>9011194.0</v>
      </c>
      <c r="J73" s="32">
        <v>0.0</v>
      </c>
      <c r="K73" s="32">
        <v>1.0189632881E10</v>
      </c>
      <c r="L73" s="32">
        <v>3.2359801778E10</v>
      </c>
      <c r="M73" s="32">
        <v>93857.0</v>
      </c>
      <c r="N73" s="31" t="s">
        <v>34</v>
      </c>
      <c r="O73" s="31">
        <v>25.0</v>
      </c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1915332.0</v>
      </c>
      <c r="B74" s="31" t="s">
        <v>110</v>
      </c>
      <c r="C74" s="32">
        <v>6.2159031E7</v>
      </c>
      <c r="D74" s="32">
        <v>2042622.0</v>
      </c>
      <c r="E74" s="32">
        <v>4.14277666E8</v>
      </c>
      <c r="F74" s="32">
        <v>1.0839574E7</v>
      </c>
      <c r="G74" s="32">
        <v>1.7934372E7</v>
      </c>
      <c r="H74" s="32">
        <v>1.6343011E7</v>
      </c>
      <c r="I74" s="32">
        <v>1.1619839E7</v>
      </c>
      <c r="J74" s="32">
        <v>0.0</v>
      </c>
      <c r="K74" s="32">
        <v>7.478660497E9</v>
      </c>
      <c r="L74" s="32">
        <v>4.025499586E9</v>
      </c>
      <c r="M74" s="32">
        <v>33436.0</v>
      </c>
      <c r="N74" s="31" t="s">
        <v>34</v>
      </c>
      <c r="O74" s="31">
        <v>25.0</v>
      </c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1.44010731E8</v>
      </c>
      <c r="B75" s="31" t="s">
        <v>407</v>
      </c>
      <c r="C75" s="32">
        <v>6.209383E7</v>
      </c>
      <c r="D75" s="32">
        <v>789316.0</v>
      </c>
      <c r="E75" s="32">
        <v>1.38689525E8</v>
      </c>
      <c r="F75" s="32">
        <v>9210269.0</v>
      </c>
      <c r="G75" s="32">
        <v>144855.0</v>
      </c>
      <c r="H75" s="32">
        <v>3315954.0</v>
      </c>
      <c r="I75" s="32">
        <v>5181643.0</v>
      </c>
      <c r="J75" s="32">
        <v>0.0</v>
      </c>
      <c r="K75" s="32">
        <v>8.226044679E9</v>
      </c>
      <c r="L75" s="32">
        <v>7.02856257E8</v>
      </c>
      <c r="M75" s="32">
        <v>32047.0</v>
      </c>
      <c r="N75" s="31" t="s">
        <v>34</v>
      </c>
      <c r="O75" s="31">
        <v>25.0</v>
      </c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1.71983336E8</v>
      </c>
      <c r="B76" s="31" t="s">
        <v>408</v>
      </c>
      <c r="C76" s="32">
        <v>6.207315E7</v>
      </c>
      <c r="D76" s="32">
        <v>384400.0</v>
      </c>
      <c r="E76" s="32">
        <v>3.3054712E8</v>
      </c>
      <c r="F76" s="32">
        <v>5911547.0</v>
      </c>
      <c r="G76" s="32">
        <v>7639754.0</v>
      </c>
      <c r="H76" s="32">
        <v>1.2037626E7</v>
      </c>
      <c r="I76" s="32">
        <v>1.0031169E7</v>
      </c>
      <c r="J76" s="32">
        <v>0.0</v>
      </c>
      <c r="K76" s="32">
        <v>1.4452931936E10</v>
      </c>
      <c r="L76" s="32">
        <v>1.0714010297E10</v>
      </c>
      <c r="M76" s="32">
        <v>105716.0</v>
      </c>
      <c r="N76" s="31" t="s">
        <v>34</v>
      </c>
      <c r="O76" s="31">
        <v>25.0</v>
      </c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1.71982346E8</v>
      </c>
      <c r="B77" s="31" t="s">
        <v>409</v>
      </c>
      <c r="C77" s="32">
        <v>6.1787229E7</v>
      </c>
      <c r="D77" s="32">
        <v>1326997.0</v>
      </c>
      <c r="E77" s="32">
        <v>1.14241869E8</v>
      </c>
      <c r="F77" s="32">
        <v>4040905.0</v>
      </c>
      <c r="G77" s="32">
        <v>111988.0</v>
      </c>
      <c r="H77" s="32">
        <v>3834809.0</v>
      </c>
      <c r="I77" s="32">
        <v>3763749.0</v>
      </c>
      <c r="J77" s="32">
        <v>0.0</v>
      </c>
      <c r="K77" s="32">
        <v>6.845499945E9</v>
      </c>
      <c r="L77" s="32">
        <v>4.33818604E8</v>
      </c>
      <c r="M77" s="32">
        <v>23096.0</v>
      </c>
      <c r="N77" s="31" t="s">
        <v>34</v>
      </c>
      <c r="O77" s="31">
        <v>25.0</v>
      </c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1.46428825E8</v>
      </c>
      <c r="B78" s="31" t="s">
        <v>52</v>
      </c>
      <c r="C78" s="32">
        <v>6.1493472E7</v>
      </c>
      <c r="D78" s="32">
        <v>419200.0</v>
      </c>
      <c r="E78" s="32">
        <v>2.004158667E9</v>
      </c>
      <c r="F78" s="32">
        <v>1.0487243E7</v>
      </c>
      <c r="G78" s="32">
        <v>1.5628148E7</v>
      </c>
      <c r="H78" s="32">
        <v>6.9395226E7</v>
      </c>
      <c r="I78" s="32">
        <v>6.4840864E7</v>
      </c>
      <c r="J78" s="32">
        <v>0.0</v>
      </c>
      <c r="K78" s="32">
        <v>2.6963338311E10</v>
      </c>
      <c r="L78" s="32">
        <v>9.720861277E9</v>
      </c>
      <c r="M78" s="32">
        <v>136694.0</v>
      </c>
      <c r="N78" s="31" t="s">
        <v>34</v>
      </c>
      <c r="O78" s="31">
        <v>25.0</v>
      </c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1.71358436E8</v>
      </c>
      <c r="B79" s="31" t="s">
        <v>115</v>
      </c>
      <c r="C79" s="32">
        <v>6.1115187E7</v>
      </c>
      <c r="D79" s="32">
        <v>-783902.0</v>
      </c>
      <c r="E79" s="32">
        <v>6.65175103E8</v>
      </c>
      <c r="F79" s="32">
        <v>5833655.0</v>
      </c>
      <c r="G79" s="32">
        <v>6461365.0</v>
      </c>
      <c r="H79" s="32">
        <v>3.001493E7</v>
      </c>
      <c r="I79" s="32">
        <v>1.7332447E7</v>
      </c>
      <c r="J79" s="32">
        <v>0.0</v>
      </c>
      <c r="K79" s="32">
        <v>4.690132324E9</v>
      </c>
      <c r="L79" s="32">
        <v>5.349094086E9</v>
      </c>
      <c r="M79" s="32">
        <v>51023.0</v>
      </c>
      <c r="N79" s="31" t="s">
        <v>34</v>
      </c>
      <c r="O79" s="31">
        <v>25.0</v>
      </c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1.71679053E8</v>
      </c>
      <c r="B80" s="31" t="s">
        <v>111</v>
      </c>
      <c r="C80" s="32">
        <v>6.0983547E7</v>
      </c>
      <c r="D80" s="32">
        <v>1135148.0</v>
      </c>
      <c r="E80" s="32">
        <v>2.23814132E8</v>
      </c>
      <c r="F80" s="32">
        <v>4278439.0</v>
      </c>
      <c r="G80" s="32">
        <v>719524.0</v>
      </c>
      <c r="H80" s="32">
        <v>7087031.0</v>
      </c>
      <c r="I80" s="32">
        <v>7496644.0</v>
      </c>
      <c r="J80" s="32">
        <v>0.0</v>
      </c>
      <c r="K80" s="32">
        <v>1.0703128867E10</v>
      </c>
      <c r="L80" s="32">
        <v>1.339045371E9</v>
      </c>
      <c r="M80" s="32">
        <v>26668.0</v>
      </c>
      <c r="N80" s="31" t="s">
        <v>34</v>
      </c>
      <c r="O80" s="31">
        <v>25.0</v>
      </c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1.71858863E8</v>
      </c>
      <c r="B81" s="31" t="s">
        <v>120</v>
      </c>
      <c r="C81" s="32">
        <v>5.9774833E7</v>
      </c>
      <c r="D81" s="32">
        <v>3298390.0</v>
      </c>
      <c r="E81" s="32">
        <v>4.5445846E7</v>
      </c>
      <c r="F81" s="32">
        <v>4374063.0</v>
      </c>
      <c r="G81" s="32">
        <v>51770.0</v>
      </c>
      <c r="H81" s="32">
        <v>810405.0</v>
      </c>
      <c r="I81" s="32">
        <v>1848552.0</v>
      </c>
      <c r="J81" s="32">
        <v>0.0</v>
      </c>
      <c r="K81" s="32">
        <v>6.468136011E9</v>
      </c>
      <c r="L81" s="32">
        <v>5.215262E8</v>
      </c>
      <c r="M81" s="32">
        <v>8202.0</v>
      </c>
      <c r="N81" s="31" t="s">
        <v>34</v>
      </c>
      <c r="O81" s="31">
        <v>25.0</v>
      </c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1.63138873E8</v>
      </c>
      <c r="B82" s="31" t="s">
        <v>410</v>
      </c>
      <c r="C82" s="32">
        <v>5.9290802E7</v>
      </c>
      <c r="D82" s="32">
        <v>848486.0</v>
      </c>
      <c r="E82" s="32">
        <v>1.21004207E8</v>
      </c>
      <c r="F82" s="32">
        <v>8486318.0</v>
      </c>
      <c r="G82" s="32">
        <v>5273325.0</v>
      </c>
      <c r="H82" s="32">
        <v>5597987.0</v>
      </c>
      <c r="I82" s="32">
        <v>3122211.0</v>
      </c>
      <c r="J82" s="32">
        <v>0.0</v>
      </c>
      <c r="K82" s="32">
        <v>4.192037151E9</v>
      </c>
      <c r="L82" s="32">
        <v>8.9424236E8</v>
      </c>
      <c r="M82" s="32">
        <v>18668.0</v>
      </c>
      <c r="N82" s="31" t="s">
        <v>34</v>
      </c>
      <c r="O82" s="31">
        <v>25.0</v>
      </c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1.39292614E8</v>
      </c>
      <c r="B83" s="31" t="s">
        <v>112</v>
      </c>
      <c r="C83" s="32">
        <v>5.9250044E7</v>
      </c>
      <c r="D83" s="32">
        <v>655900.0</v>
      </c>
      <c r="E83" s="32">
        <v>6.91788151E8</v>
      </c>
      <c r="F83" s="32">
        <v>1.1325405E7</v>
      </c>
      <c r="G83" s="32">
        <v>1.8048155E7</v>
      </c>
      <c r="H83" s="32">
        <v>1.5050895E7</v>
      </c>
      <c r="I83" s="32">
        <v>2.6505683E7</v>
      </c>
      <c r="J83" s="32">
        <v>0.0</v>
      </c>
      <c r="K83" s="32">
        <v>1.165119961E10</v>
      </c>
      <c r="L83" s="32">
        <v>4.518817481E9</v>
      </c>
      <c r="M83" s="32">
        <v>42230.0</v>
      </c>
      <c r="N83" s="31" t="s">
        <v>34</v>
      </c>
      <c r="O83" s="31">
        <v>25.0</v>
      </c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1.70728362E8</v>
      </c>
      <c r="B84" s="31" t="s">
        <v>104</v>
      </c>
      <c r="C84" s="32">
        <v>5.9029644E7</v>
      </c>
      <c r="D84" s="32">
        <v>3873072.0</v>
      </c>
      <c r="E84" s="32">
        <v>5.23973532E8</v>
      </c>
      <c r="F84" s="32">
        <v>1.006726E7</v>
      </c>
      <c r="G84" s="32">
        <v>1.048377E7</v>
      </c>
      <c r="H84" s="32">
        <v>1.5870113E7</v>
      </c>
      <c r="I84" s="32">
        <v>1.7545412E7</v>
      </c>
      <c r="J84" s="32">
        <v>0.0</v>
      </c>
      <c r="K84" s="32">
        <v>6.952282997E9</v>
      </c>
      <c r="L84" s="32">
        <v>6.259580133E9</v>
      </c>
      <c r="M84" s="32">
        <v>61206.0</v>
      </c>
      <c r="N84" s="31" t="s">
        <v>34</v>
      </c>
      <c r="O84" s="31">
        <v>25.0</v>
      </c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1.71827401E8</v>
      </c>
      <c r="B85" s="31" t="s">
        <v>123</v>
      </c>
      <c r="C85" s="32">
        <v>5.88499E7</v>
      </c>
      <c r="D85" s="32">
        <v>65566.0</v>
      </c>
      <c r="E85" s="32">
        <v>1.528169813E9</v>
      </c>
      <c r="F85" s="32">
        <v>7975447.0</v>
      </c>
      <c r="G85" s="32">
        <v>4.2447525E7</v>
      </c>
      <c r="H85" s="32">
        <v>1.10599101E8</v>
      </c>
      <c r="I85" s="32">
        <v>1.7289391E7</v>
      </c>
      <c r="J85" s="32">
        <v>0.0</v>
      </c>
      <c r="K85" s="32">
        <v>3.062126535E9</v>
      </c>
      <c r="L85" s="32">
        <v>7.802247764E9</v>
      </c>
      <c r="M85" s="32">
        <v>31864.0</v>
      </c>
      <c r="N85" s="31" t="s">
        <v>124</v>
      </c>
      <c r="O85" s="31">
        <v>25.0</v>
      </c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1.71697263E8</v>
      </c>
      <c r="B86" s="31" t="s">
        <v>109</v>
      </c>
      <c r="C86" s="32">
        <v>5.8595001E7</v>
      </c>
      <c r="D86" s="32">
        <v>3126227.0</v>
      </c>
      <c r="E86" s="32">
        <v>4.19441559E8</v>
      </c>
      <c r="F86" s="32">
        <v>1.0073827E7</v>
      </c>
      <c r="G86" s="32">
        <v>1.7155266E7</v>
      </c>
      <c r="H86" s="32">
        <v>1.755173E7</v>
      </c>
      <c r="I86" s="32">
        <v>1.1957304E7</v>
      </c>
      <c r="J86" s="32">
        <v>0.0</v>
      </c>
      <c r="K86" s="32">
        <v>5.50691139E9</v>
      </c>
      <c r="L86" s="32">
        <v>6.76969728E8</v>
      </c>
      <c r="M86" s="32">
        <v>45292.0</v>
      </c>
      <c r="N86" s="31" t="s">
        <v>34</v>
      </c>
      <c r="O86" s="31">
        <v>25.0</v>
      </c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1.27560055E8</v>
      </c>
      <c r="B87" s="31" t="s">
        <v>118</v>
      </c>
      <c r="C87" s="32">
        <v>5.8444247E7</v>
      </c>
      <c r="D87" s="32">
        <v>3000473.0</v>
      </c>
      <c r="E87" s="32">
        <v>5.37189192E8</v>
      </c>
      <c r="F87" s="32">
        <v>1.6415019E7</v>
      </c>
      <c r="G87" s="32">
        <v>6.0649963E7</v>
      </c>
      <c r="H87" s="32">
        <v>3.5272658E7</v>
      </c>
      <c r="I87" s="32">
        <v>6965049.0</v>
      </c>
      <c r="J87" s="32">
        <v>0.0</v>
      </c>
      <c r="K87" s="32">
        <v>8.931240116E9</v>
      </c>
      <c r="L87" s="32">
        <v>1.426775546E9</v>
      </c>
      <c r="M87" s="32">
        <v>53177.0</v>
      </c>
      <c r="N87" s="31" t="s">
        <v>411</v>
      </c>
      <c r="O87" s="31">
        <v>25.0</v>
      </c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1.68091444E8</v>
      </c>
      <c r="B88" s="31" t="s">
        <v>121</v>
      </c>
      <c r="C88" s="32">
        <v>5.8195846E7</v>
      </c>
      <c r="D88" s="32">
        <v>678248.0</v>
      </c>
      <c r="E88" s="32">
        <v>1.23470753E8</v>
      </c>
      <c r="F88" s="32">
        <v>7197561.0</v>
      </c>
      <c r="G88" s="32">
        <v>415679.0</v>
      </c>
      <c r="H88" s="32">
        <v>6792299.0</v>
      </c>
      <c r="I88" s="32">
        <v>2713660.0</v>
      </c>
      <c r="J88" s="32">
        <v>0.0</v>
      </c>
      <c r="K88" s="32">
        <v>7.589434812E9</v>
      </c>
      <c r="L88" s="32">
        <v>7.60264414E8</v>
      </c>
      <c r="M88" s="32">
        <v>44523.0</v>
      </c>
      <c r="N88" s="31" t="s">
        <v>34</v>
      </c>
      <c r="O88" s="31">
        <v>25.0</v>
      </c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1.44684719E8</v>
      </c>
      <c r="B89" s="31" t="s">
        <v>366</v>
      </c>
      <c r="C89" s="32">
        <v>5.8068425E7</v>
      </c>
      <c r="D89" s="32">
        <v>1099164.0</v>
      </c>
      <c r="E89" s="32">
        <v>2.72269356E8</v>
      </c>
      <c r="F89" s="32">
        <v>1.4068923E7</v>
      </c>
      <c r="G89" s="32">
        <v>1716392.0</v>
      </c>
      <c r="H89" s="32">
        <v>9836815.0</v>
      </c>
      <c r="I89" s="32">
        <v>8420785.0</v>
      </c>
      <c r="J89" s="32">
        <v>0.0</v>
      </c>
      <c r="K89" s="32">
        <v>6.825238155E9</v>
      </c>
      <c r="L89" s="32">
        <v>1.456811379E9</v>
      </c>
      <c r="M89" s="32">
        <v>39241.0</v>
      </c>
      <c r="N89" s="31" t="s">
        <v>34</v>
      </c>
      <c r="O89" s="31">
        <v>25.0</v>
      </c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1.4406546E8</v>
      </c>
      <c r="B90" s="31" t="s">
        <v>412</v>
      </c>
      <c r="C90" s="32">
        <v>5.7667155E7</v>
      </c>
      <c r="D90" s="32">
        <v>6453244.0</v>
      </c>
      <c r="E90" s="32">
        <v>1.16386789E8</v>
      </c>
      <c r="F90" s="32">
        <v>7135665.0</v>
      </c>
      <c r="G90" s="32">
        <v>173335.0</v>
      </c>
      <c r="H90" s="32">
        <v>2182784.0</v>
      </c>
      <c r="I90" s="32">
        <v>4704822.0</v>
      </c>
      <c r="J90" s="32">
        <v>0.0</v>
      </c>
      <c r="K90" s="32">
        <v>1.1770079573E10</v>
      </c>
      <c r="L90" s="32">
        <v>4.97472383E8</v>
      </c>
      <c r="M90" s="32">
        <v>49441.0</v>
      </c>
      <c r="N90" s="31" t="s">
        <v>66</v>
      </c>
      <c r="O90" s="31">
        <v>25.0</v>
      </c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1.51360763E8</v>
      </c>
      <c r="B91" s="31" t="s">
        <v>367</v>
      </c>
      <c r="C91" s="32">
        <v>5.7649112E7</v>
      </c>
      <c r="D91" s="32">
        <v>-13679.0</v>
      </c>
      <c r="E91" s="32">
        <v>1.08387168E8</v>
      </c>
      <c r="F91" s="32">
        <v>5276511.0</v>
      </c>
      <c r="G91" s="32">
        <v>5777521.0</v>
      </c>
      <c r="H91" s="32">
        <v>5808403.0</v>
      </c>
      <c r="I91" s="32">
        <v>2424474.0</v>
      </c>
      <c r="J91" s="32">
        <v>0.0</v>
      </c>
      <c r="K91" s="32">
        <v>2.6283035365E10</v>
      </c>
      <c r="L91" s="32">
        <v>1.4628012042E10</v>
      </c>
      <c r="M91" s="32">
        <v>19611.0</v>
      </c>
      <c r="N91" s="31" t="s">
        <v>165</v>
      </c>
      <c r="O91" s="31">
        <v>25.0</v>
      </c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2.1489428E7</v>
      </c>
      <c r="B92" s="31" t="s">
        <v>125</v>
      </c>
      <c r="C92" s="32">
        <v>5.736597E7</v>
      </c>
      <c r="D92" s="32">
        <v>-4837895.0</v>
      </c>
      <c r="E92" s="32">
        <v>5.8051737E8</v>
      </c>
      <c r="F92" s="32">
        <v>1.7688104E7</v>
      </c>
      <c r="G92" s="32">
        <v>1083192.0</v>
      </c>
      <c r="H92" s="32">
        <v>1.8483076E7</v>
      </c>
      <c r="I92" s="32">
        <v>1.95188E7</v>
      </c>
      <c r="J92" s="32">
        <v>0.0</v>
      </c>
      <c r="K92" s="32">
        <v>1.6049999344E10</v>
      </c>
      <c r="L92" s="32">
        <v>9.234571546E9</v>
      </c>
      <c r="M92" s="32">
        <v>44877.0</v>
      </c>
      <c r="N92" s="31" t="s">
        <v>126</v>
      </c>
      <c r="O92" s="31">
        <v>25.0</v>
      </c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1.69446444E8</v>
      </c>
      <c r="B93" s="31" t="s">
        <v>117</v>
      </c>
      <c r="C93" s="32">
        <v>5.6503914E7</v>
      </c>
      <c r="D93" s="32">
        <v>426290.0</v>
      </c>
      <c r="E93" s="32">
        <v>1.254304636E9</v>
      </c>
      <c r="F93" s="32">
        <v>7889115.0</v>
      </c>
      <c r="G93" s="32">
        <v>3345134.0</v>
      </c>
      <c r="H93" s="32">
        <v>2.1096204E7</v>
      </c>
      <c r="I93" s="32">
        <v>5.1599967E7</v>
      </c>
      <c r="J93" s="32">
        <v>0.0</v>
      </c>
      <c r="K93" s="32">
        <v>6.53573044E9</v>
      </c>
      <c r="L93" s="32">
        <v>7.871136751E9</v>
      </c>
      <c r="M93" s="32">
        <v>77155.0</v>
      </c>
      <c r="N93" s="31" t="s">
        <v>34</v>
      </c>
      <c r="O93" s="31">
        <v>25.0</v>
      </c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1.61646318E8</v>
      </c>
      <c r="B94" s="31" t="s">
        <v>122</v>
      </c>
      <c r="C94" s="32">
        <v>5.5304715E7</v>
      </c>
      <c r="D94" s="32">
        <v>1182270.0</v>
      </c>
      <c r="E94" s="32">
        <v>2.58781694E8</v>
      </c>
      <c r="F94" s="32">
        <v>6535473.0</v>
      </c>
      <c r="G94" s="32">
        <v>663252.0</v>
      </c>
      <c r="H94" s="32">
        <v>9726074.0</v>
      </c>
      <c r="I94" s="32">
        <v>7997408.0</v>
      </c>
      <c r="J94" s="32">
        <v>0.0</v>
      </c>
      <c r="K94" s="32">
        <v>1.4330882376E10</v>
      </c>
      <c r="L94" s="32">
        <v>2.66164973E9</v>
      </c>
      <c r="M94" s="32">
        <v>47604.0</v>
      </c>
      <c r="N94" s="31" t="s">
        <v>34</v>
      </c>
      <c r="O94" s="31">
        <v>25.0</v>
      </c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1.58817223E8</v>
      </c>
      <c r="B95" s="31" t="s">
        <v>131</v>
      </c>
      <c r="C95" s="32">
        <v>5.4111443E7</v>
      </c>
      <c r="D95" s="32">
        <v>207882.0</v>
      </c>
      <c r="E95" s="32">
        <v>2.41431504E8</v>
      </c>
      <c r="F95" s="32">
        <v>7583606.0</v>
      </c>
      <c r="G95" s="32">
        <v>5303964.0</v>
      </c>
      <c r="H95" s="32">
        <v>9241914.0</v>
      </c>
      <c r="I95" s="32">
        <v>6868782.0</v>
      </c>
      <c r="J95" s="32">
        <v>0.0</v>
      </c>
      <c r="K95" s="32">
        <v>6.643015486E9</v>
      </c>
      <c r="L95" s="32">
        <v>4.670025581E9</v>
      </c>
      <c r="M95" s="32">
        <v>37427.0</v>
      </c>
      <c r="N95" s="31" t="s">
        <v>34</v>
      </c>
      <c r="O95" s="31">
        <v>25.0</v>
      </c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1.69672885E8</v>
      </c>
      <c r="B96" s="31" t="s">
        <v>129</v>
      </c>
      <c r="C96" s="32">
        <v>5.2144963E7</v>
      </c>
      <c r="D96" s="32">
        <v>3146272.0</v>
      </c>
      <c r="E96" s="32">
        <v>4.28904904E8</v>
      </c>
      <c r="F96" s="32">
        <v>8406848.0</v>
      </c>
      <c r="G96" s="32">
        <v>8834282.0</v>
      </c>
      <c r="H96" s="32">
        <v>1.8454466E7</v>
      </c>
      <c r="I96" s="32">
        <v>1.1510999E7</v>
      </c>
      <c r="J96" s="32">
        <v>0.0</v>
      </c>
      <c r="K96" s="32">
        <v>7.193295784E9</v>
      </c>
      <c r="L96" s="32">
        <v>5.531989826E9</v>
      </c>
      <c r="M96" s="32">
        <v>33069.0</v>
      </c>
      <c r="N96" s="31" t="s">
        <v>34</v>
      </c>
      <c r="O96" s="31">
        <v>25.0</v>
      </c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1.36662717E8</v>
      </c>
      <c r="B97" s="31" t="s">
        <v>368</v>
      </c>
      <c r="C97" s="32">
        <v>5.0980367E7</v>
      </c>
      <c r="D97" s="32">
        <v>805220.0</v>
      </c>
      <c r="E97" s="32">
        <v>6.42591057E8</v>
      </c>
      <c r="F97" s="32">
        <v>5983193.0</v>
      </c>
      <c r="G97" s="32">
        <v>9070828.0</v>
      </c>
      <c r="H97" s="32">
        <v>2.1875352E7</v>
      </c>
      <c r="I97" s="32">
        <v>2.0746119E7</v>
      </c>
      <c r="J97" s="32">
        <v>0.0</v>
      </c>
      <c r="K97" s="32">
        <v>8.726491677E9</v>
      </c>
      <c r="L97" s="32">
        <v>6.253611637E9</v>
      </c>
      <c r="M97" s="32">
        <v>53508.0</v>
      </c>
      <c r="N97" s="31" t="s">
        <v>34</v>
      </c>
      <c r="O97" s="31">
        <v>25.0</v>
      </c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1.56007436E8</v>
      </c>
      <c r="B98" s="31" t="s">
        <v>413</v>
      </c>
      <c r="C98" s="32">
        <v>4.9651499E7</v>
      </c>
      <c r="D98" s="32">
        <v>802800.0</v>
      </c>
      <c r="E98" s="32">
        <v>1.64639347E8</v>
      </c>
      <c r="F98" s="32">
        <v>1.1355509E7</v>
      </c>
      <c r="G98" s="32">
        <v>432186.0</v>
      </c>
      <c r="H98" s="32">
        <v>5075177.0</v>
      </c>
      <c r="I98" s="32">
        <v>5619834.0</v>
      </c>
      <c r="J98" s="32">
        <v>0.0</v>
      </c>
      <c r="K98" s="32">
        <v>1.1460476819E10</v>
      </c>
      <c r="L98" s="32">
        <v>1.357531292E9</v>
      </c>
      <c r="M98" s="32">
        <v>15561.0</v>
      </c>
      <c r="N98" s="31" t="s">
        <v>34</v>
      </c>
      <c r="O98" s="31">
        <v>25.0</v>
      </c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1.38753793E8</v>
      </c>
      <c r="B99" s="31" t="s">
        <v>414</v>
      </c>
      <c r="C99" s="32">
        <v>4.9495714E7</v>
      </c>
      <c r="D99" s="32">
        <v>0.0</v>
      </c>
      <c r="E99" s="32">
        <v>2.21881485E8</v>
      </c>
      <c r="F99" s="32">
        <v>9087947.0</v>
      </c>
      <c r="G99" s="32">
        <v>1.3147095E7</v>
      </c>
      <c r="H99" s="32">
        <v>1.5505381E7</v>
      </c>
      <c r="I99" s="32">
        <v>2848817.0</v>
      </c>
      <c r="J99" s="32">
        <v>0.0</v>
      </c>
      <c r="K99" s="32">
        <v>5.305338131E9</v>
      </c>
      <c r="L99" s="32">
        <v>1.293921062E9</v>
      </c>
      <c r="M99" s="32">
        <v>26823.0</v>
      </c>
      <c r="N99" s="31" t="s">
        <v>66</v>
      </c>
      <c r="O99" s="31">
        <v>25.0</v>
      </c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1.68025153E8</v>
      </c>
      <c r="B100" s="31" t="s">
        <v>146</v>
      </c>
      <c r="C100" s="32">
        <v>4.9480928E7</v>
      </c>
      <c r="D100" s="32">
        <v>491738.0</v>
      </c>
      <c r="E100" s="32">
        <v>2.8188141E7</v>
      </c>
      <c r="F100" s="32">
        <v>1667579.0</v>
      </c>
      <c r="G100" s="32">
        <v>260005.0</v>
      </c>
      <c r="H100" s="32">
        <v>748668.0</v>
      </c>
      <c r="I100" s="32">
        <v>1032023.0</v>
      </c>
      <c r="J100" s="32">
        <v>0.0</v>
      </c>
      <c r="K100" s="32">
        <v>3.913449479E9</v>
      </c>
      <c r="L100" s="32">
        <v>2.779142711E9</v>
      </c>
      <c r="M100" s="32">
        <v>4554.0</v>
      </c>
      <c r="N100" s="31" t="s">
        <v>147</v>
      </c>
      <c r="O100" s="31">
        <v>25.0</v>
      </c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1.69420296E8</v>
      </c>
      <c r="B101" s="31" t="s">
        <v>136</v>
      </c>
      <c r="C101" s="32">
        <v>4.9352828E7</v>
      </c>
      <c r="D101" s="32">
        <v>6134.0</v>
      </c>
      <c r="E101" s="32">
        <v>1.93082585E8</v>
      </c>
      <c r="F101" s="32">
        <v>6148103.0</v>
      </c>
      <c r="G101" s="32">
        <v>213155.0</v>
      </c>
      <c r="H101" s="32">
        <v>4857028.0</v>
      </c>
      <c r="I101" s="32">
        <v>7205750.0</v>
      </c>
      <c r="J101" s="32">
        <v>0.0</v>
      </c>
      <c r="K101" s="32">
        <v>1.3901319955E10</v>
      </c>
      <c r="L101" s="32">
        <v>4.23272131E8</v>
      </c>
      <c r="M101" s="32">
        <v>32939.0</v>
      </c>
      <c r="N101" s="31" t="s">
        <v>34</v>
      </c>
      <c r="O101" s="31">
        <v>25.0</v>
      </c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1.59857111E8</v>
      </c>
      <c r="B102" s="31" t="s">
        <v>369</v>
      </c>
      <c r="C102" s="32">
        <v>4.930245E7</v>
      </c>
      <c r="D102" s="32">
        <v>195954.0</v>
      </c>
      <c r="E102" s="32">
        <v>4.6722209E8</v>
      </c>
      <c r="F102" s="32">
        <v>3125000.0</v>
      </c>
      <c r="G102" s="32">
        <v>2.1498954E7</v>
      </c>
      <c r="H102" s="32">
        <v>3.5659456E7</v>
      </c>
      <c r="I102" s="32">
        <v>4964351.0</v>
      </c>
      <c r="J102" s="32">
        <v>0.0</v>
      </c>
      <c r="K102" s="32">
        <v>8.153917113E9</v>
      </c>
      <c r="L102" s="32">
        <v>3.350520456E9</v>
      </c>
      <c r="M102" s="32">
        <v>37327.0</v>
      </c>
      <c r="N102" s="31" t="s">
        <v>66</v>
      </c>
      <c r="O102" s="31">
        <v>25.0</v>
      </c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1.66234202E8</v>
      </c>
      <c r="B103" s="31" t="s">
        <v>135</v>
      </c>
      <c r="C103" s="32">
        <v>4.9231004E7</v>
      </c>
      <c r="D103" s="32">
        <v>1413716.0</v>
      </c>
      <c r="E103" s="32">
        <v>2.93244994E8</v>
      </c>
      <c r="F103" s="32">
        <v>4637371.0</v>
      </c>
      <c r="G103" s="32">
        <v>1992214.0</v>
      </c>
      <c r="H103" s="32">
        <v>1.3803324E7</v>
      </c>
      <c r="I103" s="32">
        <v>6532470.0</v>
      </c>
      <c r="J103" s="32">
        <v>0.0</v>
      </c>
      <c r="K103" s="32">
        <v>1.155336365E10</v>
      </c>
      <c r="L103" s="32">
        <v>1.48881707E9</v>
      </c>
      <c r="M103" s="32">
        <v>33583.0</v>
      </c>
      <c r="N103" s="31" t="s">
        <v>66</v>
      </c>
      <c r="O103" s="31">
        <v>25.0</v>
      </c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1.69953509E8</v>
      </c>
      <c r="B104" s="31" t="s">
        <v>415</v>
      </c>
      <c r="C104" s="32">
        <v>4.8803573E7</v>
      </c>
      <c r="D104" s="32">
        <v>1718948.0</v>
      </c>
      <c r="E104" s="32">
        <v>2.65359171E8</v>
      </c>
      <c r="F104" s="32">
        <v>6805624.0</v>
      </c>
      <c r="G104" s="32">
        <v>6.6332756E7</v>
      </c>
      <c r="H104" s="32">
        <v>8157372.0</v>
      </c>
      <c r="I104" s="32">
        <v>7967953.0</v>
      </c>
      <c r="J104" s="32">
        <v>0.0</v>
      </c>
      <c r="K104" s="32">
        <v>9.72030644E9</v>
      </c>
      <c r="L104" s="32">
        <v>2.274309821E9</v>
      </c>
      <c r="M104" s="32">
        <v>21106.0</v>
      </c>
      <c r="N104" s="31" t="s">
        <v>34</v>
      </c>
      <c r="O104" s="31">
        <v>25.0</v>
      </c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1.44064126E8</v>
      </c>
      <c r="B105" s="31" t="s">
        <v>416</v>
      </c>
      <c r="C105" s="32">
        <v>4.876065E7</v>
      </c>
      <c r="D105" s="32">
        <v>386218.0</v>
      </c>
      <c r="E105" s="32">
        <v>3.28313084E8</v>
      </c>
      <c r="F105" s="32">
        <v>8224568.0</v>
      </c>
      <c r="G105" s="32">
        <v>5000101.0</v>
      </c>
      <c r="H105" s="32">
        <v>1.8254451E7</v>
      </c>
      <c r="I105" s="32">
        <v>5172191.0</v>
      </c>
      <c r="J105" s="32">
        <v>0.0</v>
      </c>
      <c r="K105" s="32">
        <v>9.206029545E9</v>
      </c>
      <c r="L105" s="32">
        <v>4.867183E7</v>
      </c>
      <c r="M105" s="32">
        <v>13851.0</v>
      </c>
      <c r="N105" s="31" t="s">
        <v>66</v>
      </c>
      <c r="O105" s="31">
        <v>25.0</v>
      </c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1.69363448E8</v>
      </c>
      <c r="B106" s="31" t="s">
        <v>133</v>
      </c>
      <c r="C106" s="32">
        <v>4.7225411E7</v>
      </c>
      <c r="D106" s="32">
        <v>430201.0</v>
      </c>
      <c r="E106" s="32">
        <v>3.31612418E8</v>
      </c>
      <c r="F106" s="32">
        <v>6506816.0</v>
      </c>
      <c r="G106" s="32">
        <v>1816902.0</v>
      </c>
      <c r="H106" s="32">
        <v>1.6986852E7</v>
      </c>
      <c r="I106" s="32">
        <v>7640210.0</v>
      </c>
      <c r="J106" s="32">
        <v>0.0</v>
      </c>
      <c r="K106" s="32">
        <v>8.357957132E9</v>
      </c>
      <c r="L106" s="32">
        <v>6.667116137E9</v>
      </c>
      <c r="M106" s="32">
        <v>43548.0</v>
      </c>
      <c r="N106" s="31" t="s">
        <v>34</v>
      </c>
      <c r="O106" s="31">
        <v>25.0</v>
      </c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1.44114697E8</v>
      </c>
      <c r="B107" s="31" t="s">
        <v>417</v>
      </c>
      <c r="C107" s="32">
        <v>4.6905906E7</v>
      </c>
      <c r="D107" s="32">
        <v>0.0</v>
      </c>
      <c r="E107" s="32">
        <v>2.01875553E8</v>
      </c>
      <c r="F107" s="32">
        <v>4023063.0</v>
      </c>
      <c r="G107" s="32">
        <v>682449.0</v>
      </c>
      <c r="H107" s="32">
        <v>7945813.0</v>
      </c>
      <c r="I107" s="32">
        <v>5801472.0</v>
      </c>
      <c r="J107" s="32">
        <v>0.0</v>
      </c>
      <c r="K107" s="32">
        <v>9.961200077E9</v>
      </c>
      <c r="L107" s="32">
        <v>4.278847644E9</v>
      </c>
      <c r="M107" s="32">
        <v>35353.0</v>
      </c>
      <c r="N107" s="31" t="s">
        <v>66</v>
      </c>
      <c r="O107" s="31">
        <v>25.0</v>
      </c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1.71945722E8</v>
      </c>
      <c r="B108" s="31" t="s">
        <v>371</v>
      </c>
      <c r="C108" s="32">
        <v>4.6824321E7</v>
      </c>
      <c r="D108" s="32">
        <v>1760315.0</v>
      </c>
      <c r="E108" s="32">
        <v>6.8650463E7</v>
      </c>
      <c r="F108" s="32">
        <v>4591934.0</v>
      </c>
      <c r="G108" s="32">
        <v>107866.0</v>
      </c>
      <c r="H108" s="32">
        <v>3122424.0</v>
      </c>
      <c r="I108" s="32">
        <v>1861297.0</v>
      </c>
      <c r="J108" s="32">
        <v>0.0</v>
      </c>
      <c r="K108" s="32">
        <v>1.1445801074E10</v>
      </c>
      <c r="L108" s="32">
        <v>4.47825022E9</v>
      </c>
      <c r="M108" s="32">
        <v>16793.0</v>
      </c>
      <c r="N108" s="31" t="s">
        <v>34</v>
      </c>
      <c r="O108" s="31">
        <v>25.0</v>
      </c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1.71654758E8</v>
      </c>
      <c r="B109" s="31" t="s">
        <v>141</v>
      </c>
      <c r="C109" s="32">
        <v>4.6612897E7</v>
      </c>
      <c r="D109" s="32">
        <v>208439.0</v>
      </c>
      <c r="E109" s="32">
        <v>4.0440159E8</v>
      </c>
      <c r="F109" s="32">
        <v>3418248.0</v>
      </c>
      <c r="G109" s="32">
        <v>3663871.0</v>
      </c>
      <c r="H109" s="32">
        <v>1.1207415E7</v>
      </c>
      <c r="I109" s="32">
        <v>1.4537692E7</v>
      </c>
      <c r="J109" s="32">
        <v>0.0</v>
      </c>
      <c r="K109" s="32">
        <v>6.432716951E9</v>
      </c>
      <c r="L109" s="32">
        <v>2.35303952E8</v>
      </c>
      <c r="M109" s="32">
        <v>31935.0</v>
      </c>
      <c r="N109" s="31" t="s">
        <v>66</v>
      </c>
      <c r="O109" s="31">
        <v>25.0</v>
      </c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1.77187021E8</v>
      </c>
      <c r="B110" s="31" t="s">
        <v>418</v>
      </c>
      <c r="C110" s="32">
        <v>4.6544181E7</v>
      </c>
      <c r="D110" s="32">
        <v>1755564.0</v>
      </c>
      <c r="E110" s="32">
        <v>1.12836446E8</v>
      </c>
      <c r="F110" s="32">
        <v>8020575.0</v>
      </c>
      <c r="G110" s="32">
        <v>465612.0</v>
      </c>
      <c r="H110" s="32">
        <v>2727783.0</v>
      </c>
      <c r="I110" s="32">
        <v>4256918.0</v>
      </c>
      <c r="J110" s="32">
        <v>0.0</v>
      </c>
      <c r="K110" s="32">
        <v>9.311605447E9</v>
      </c>
      <c r="L110" s="32">
        <v>7.08430819E8</v>
      </c>
      <c r="M110" s="32">
        <v>25363.0</v>
      </c>
      <c r="N110" s="31" t="s">
        <v>34</v>
      </c>
      <c r="O110" s="31">
        <v>25.0</v>
      </c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1.0047682E8</v>
      </c>
      <c r="B111" s="31" t="s">
        <v>370</v>
      </c>
      <c r="C111" s="32">
        <v>4.611877E7</v>
      </c>
      <c r="D111" s="32">
        <v>730816.0</v>
      </c>
      <c r="E111" s="32">
        <v>1.20692072E8</v>
      </c>
      <c r="F111" s="32">
        <v>1.1170739E7</v>
      </c>
      <c r="G111" s="32">
        <v>103221.0</v>
      </c>
      <c r="H111" s="32">
        <v>4411680.0</v>
      </c>
      <c r="I111" s="32">
        <v>3818277.0</v>
      </c>
      <c r="J111" s="32">
        <v>0.0</v>
      </c>
      <c r="K111" s="32">
        <v>3.6454873052E10</v>
      </c>
      <c r="L111" s="32">
        <v>4.569894928E10</v>
      </c>
      <c r="M111" s="32">
        <v>21408.0</v>
      </c>
      <c r="N111" s="31" t="s">
        <v>34</v>
      </c>
      <c r="O111" s="31">
        <v>25.0</v>
      </c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1.6901814E8</v>
      </c>
      <c r="B112" s="31" t="s">
        <v>137</v>
      </c>
      <c r="C112" s="32">
        <v>4.574501E7</v>
      </c>
      <c r="D112" s="32">
        <v>836409.0</v>
      </c>
      <c r="E112" s="32">
        <v>1.70501159E8</v>
      </c>
      <c r="F112" s="32">
        <v>5121209.0</v>
      </c>
      <c r="G112" s="32">
        <v>430096.0</v>
      </c>
      <c r="H112" s="32">
        <v>6535314.0</v>
      </c>
      <c r="I112" s="32">
        <v>5208981.0</v>
      </c>
      <c r="J112" s="32">
        <v>0.0</v>
      </c>
      <c r="K112" s="32">
        <v>1.2693778207E10</v>
      </c>
      <c r="L112" s="32">
        <v>3.107268407E9</v>
      </c>
      <c r="M112" s="32">
        <v>32959.0</v>
      </c>
      <c r="N112" s="31" t="s">
        <v>34</v>
      </c>
      <c r="O112" s="31">
        <v>25.0</v>
      </c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1.72015122E8</v>
      </c>
      <c r="B113" s="31" t="s">
        <v>419</v>
      </c>
      <c r="C113" s="32">
        <v>4.4999609E7</v>
      </c>
      <c r="D113" s="32">
        <v>0.0</v>
      </c>
      <c r="E113" s="32">
        <v>7.0578736E7</v>
      </c>
      <c r="F113" s="32">
        <v>6420273.0</v>
      </c>
      <c r="G113" s="32">
        <v>1149740.0</v>
      </c>
      <c r="H113" s="32">
        <v>4123036.0</v>
      </c>
      <c r="I113" s="32">
        <v>1327670.0</v>
      </c>
      <c r="J113" s="32">
        <v>0.0</v>
      </c>
      <c r="K113" s="32">
        <v>6.320081165E9</v>
      </c>
      <c r="L113" s="32">
        <v>2.255803635E9</v>
      </c>
      <c r="M113" s="32">
        <v>14160.0</v>
      </c>
      <c r="N113" s="31" t="s">
        <v>66</v>
      </c>
      <c r="O113" s="31">
        <v>25.0</v>
      </c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1.15990558E8</v>
      </c>
      <c r="B114" s="31" t="s">
        <v>143</v>
      </c>
      <c r="C114" s="32">
        <v>4.4960369E7</v>
      </c>
      <c r="D114" s="32">
        <v>0.0</v>
      </c>
      <c r="E114" s="32">
        <v>2.11639595E8</v>
      </c>
      <c r="F114" s="32">
        <v>4961941.0</v>
      </c>
      <c r="G114" s="32">
        <v>1801665.0</v>
      </c>
      <c r="H114" s="32">
        <v>1.2433106E7</v>
      </c>
      <c r="I114" s="32">
        <v>3575331.0</v>
      </c>
      <c r="J114" s="32">
        <v>1288645.0</v>
      </c>
      <c r="K114" s="32">
        <v>8.666737392E9</v>
      </c>
      <c r="L114" s="32">
        <v>1.81565802E9</v>
      </c>
      <c r="M114" s="32">
        <v>19391.0</v>
      </c>
      <c r="N114" s="31" t="s">
        <v>66</v>
      </c>
      <c r="O114" s="31">
        <v>25.0</v>
      </c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1.60258193E8</v>
      </c>
      <c r="B115" s="31" t="s">
        <v>145</v>
      </c>
      <c r="C115" s="32">
        <v>4.4380251E7</v>
      </c>
      <c r="D115" s="32">
        <v>530486.0</v>
      </c>
      <c r="E115" s="32">
        <v>5.1421949E7</v>
      </c>
      <c r="F115" s="32">
        <v>2440420.0</v>
      </c>
      <c r="G115" s="32">
        <v>1459647.0</v>
      </c>
      <c r="H115" s="32">
        <v>2780175.0</v>
      </c>
      <c r="I115" s="32">
        <v>1047346.0</v>
      </c>
      <c r="J115" s="32">
        <v>0.0</v>
      </c>
      <c r="K115" s="32">
        <v>6.790815297E9</v>
      </c>
      <c r="L115" s="32">
        <v>1.934461103E9</v>
      </c>
      <c r="M115" s="32">
        <v>23074.0</v>
      </c>
      <c r="N115" s="31" t="s">
        <v>102</v>
      </c>
      <c r="O115" s="31">
        <v>25.0</v>
      </c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1.4361245E8</v>
      </c>
      <c r="B116" s="31" t="s">
        <v>144</v>
      </c>
      <c r="C116" s="32">
        <v>4.3798901E7</v>
      </c>
      <c r="D116" s="32">
        <v>2626540.0</v>
      </c>
      <c r="E116" s="32">
        <v>5.53982957E8</v>
      </c>
      <c r="F116" s="32">
        <v>4794956.0</v>
      </c>
      <c r="G116" s="32">
        <v>4579765.0</v>
      </c>
      <c r="H116" s="32">
        <v>2.8856326E7</v>
      </c>
      <c r="I116" s="32">
        <v>1.2672659E7</v>
      </c>
      <c r="J116" s="32">
        <v>0.0</v>
      </c>
      <c r="K116" s="32">
        <v>1.0530598941E10</v>
      </c>
      <c r="L116" s="32">
        <v>7.147666033E9</v>
      </c>
      <c r="M116" s="32">
        <v>32907.0</v>
      </c>
      <c r="N116" s="31" t="s">
        <v>34</v>
      </c>
      <c r="O116" s="31">
        <v>25.0</v>
      </c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1.76044158E8</v>
      </c>
      <c r="B117" s="31" t="s">
        <v>139</v>
      </c>
      <c r="C117" s="32">
        <v>4.3738419E7</v>
      </c>
      <c r="D117" s="32">
        <v>1070819.0</v>
      </c>
      <c r="E117" s="32">
        <v>1.3115959E8</v>
      </c>
      <c r="F117" s="32">
        <v>5233878.0</v>
      </c>
      <c r="G117" s="32">
        <v>341163.0</v>
      </c>
      <c r="H117" s="32">
        <v>2945478.0</v>
      </c>
      <c r="I117" s="32">
        <v>5065195.0</v>
      </c>
      <c r="J117" s="32">
        <v>0.0</v>
      </c>
      <c r="K117" s="32">
        <v>1.8240647273E10</v>
      </c>
      <c r="L117" s="32">
        <v>4.244536539E9</v>
      </c>
      <c r="M117" s="32">
        <v>17346.0</v>
      </c>
      <c r="N117" s="31" t="s">
        <v>34</v>
      </c>
      <c r="O117" s="31">
        <v>25.0</v>
      </c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8.8110635E7</v>
      </c>
      <c r="B118" s="31" t="s">
        <v>149</v>
      </c>
      <c r="C118" s="32">
        <v>4.2824177E7</v>
      </c>
      <c r="D118" s="32">
        <v>147466.0</v>
      </c>
      <c r="E118" s="32">
        <v>3.6234973E7</v>
      </c>
      <c r="F118" s="32">
        <v>6531506.0</v>
      </c>
      <c r="G118" s="32">
        <v>32907.0</v>
      </c>
      <c r="H118" s="32">
        <v>941976.0</v>
      </c>
      <c r="I118" s="32">
        <v>1302977.0</v>
      </c>
      <c r="J118" s="32">
        <v>0.0</v>
      </c>
      <c r="K118" s="32">
        <v>9.056445524E9</v>
      </c>
      <c r="L118" s="32">
        <v>1.05797584E8</v>
      </c>
      <c r="M118" s="32">
        <v>13088.0</v>
      </c>
      <c r="N118" s="31" t="s">
        <v>126</v>
      </c>
      <c r="O118" s="31">
        <v>25.0</v>
      </c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1.71922856E8</v>
      </c>
      <c r="B119" s="31" t="s">
        <v>420</v>
      </c>
      <c r="C119" s="32">
        <v>4.2801992E7</v>
      </c>
      <c r="D119" s="32">
        <v>895486.0</v>
      </c>
      <c r="E119" s="32">
        <v>7.3341659E7</v>
      </c>
      <c r="F119" s="32">
        <v>3755193.0</v>
      </c>
      <c r="G119" s="32">
        <v>184046.0</v>
      </c>
      <c r="H119" s="32">
        <v>2710905.0</v>
      </c>
      <c r="I119" s="32">
        <v>1993277.0</v>
      </c>
      <c r="J119" s="32">
        <v>0.0</v>
      </c>
      <c r="K119" s="32">
        <v>5.413554827E9</v>
      </c>
      <c r="L119" s="32">
        <v>5.66068641E8</v>
      </c>
      <c r="M119" s="32">
        <v>17657.0</v>
      </c>
      <c r="N119" s="31" t="s">
        <v>34</v>
      </c>
      <c r="O119" s="31">
        <v>25.0</v>
      </c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1.43551941E8</v>
      </c>
      <c r="B120" s="31" t="s">
        <v>151</v>
      </c>
      <c r="C120" s="32">
        <v>4.2659191E7</v>
      </c>
      <c r="D120" s="32">
        <v>0.0</v>
      </c>
      <c r="E120" s="32">
        <v>1.46157717E8</v>
      </c>
      <c r="F120" s="32">
        <v>2445001.0</v>
      </c>
      <c r="G120" s="32">
        <v>1655199.0</v>
      </c>
      <c r="H120" s="32">
        <v>9930156.0</v>
      </c>
      <c r="I120" s="32">
        <v>2043226.0</v>
      </c>
      <c r="J120" s="32">
        <v>0.0</v>
      </c>
      <c r="K120" s="32">
        <v>7.011555418E9</v>
      </c>
      <c r="L120" s="32">
        <v>3.2640001E7</v>
      </c>
      <c r="M120" s="32">
        <v>26468.0</v>
      </c>
      <c r="N120" s="31" t="s">
        <v>66</v>
      </c>
      <c r="O120" s="31">
        <v>25.0</v>
      </c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1.71830779E8</v>
      </c>
      <c r="B121" s="31" t="s">
        <v>372</v>
      </c>
      <c r="C121" s="32">
        <v>4.1154102E7</v>
      </c>
      <c r="D121" s="32">
        <v>806523.0</v>
      </c>
      <c r="E121" s="32">
        <v>2.1895536E8</v>
      </c>
      <c r="F121" s="32">
        <v>6886230.0</v>
      </c>
      <c r="G121" s="32">
        <v>897212.0</v>
      </c>
      <c r="H121" s="32">
        <v>1.1189916E7</v>
      </c>
      <c r="I121" s="32">
        <v>5281233.0</v>
      </c>
      <c r="J121" s="32">
        <v>0.0</v>
      </c>
      <c r="K121" s="32">
        <v>6.891050618E9</v>
      </c>
      <c r="L121" s="32">
        <v>5.681506E8</v>
      </c>
      <c r="M121" s="32">
        <v>45476.0</v>
      </c>
      <c r="N121" s="31" t="s">
        <v>34</v>
      </c>
      <c r="O121" s="31">
        <v>25.0</v>
      </c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1.44088316E8</v>
      </c>
      <c r="B122" s="31" t="s">
        <v>152</v>
      </c>
      <c r="C122" s="32">
        <v>4.0900736E7</v>
      </c>
      <c r="D122" s="32">
        <v>-8338120.0</v>
      </c>
      <c r="E122" s="32">
        <v>4.2555014E7</v>
      </c>
      <c r="F122" s="32">
        <v>4390339.0</v>
      </c>
      <c r="G122" s="32">
        <v>456983.0</v>
      </c>
      <c r="H122" s="32">
        <v>939021.0</v>
      </c>
      <c r="I122" s="32">
        <v>1357682.0</v>
      </c>
      <c r="J122" s="32">
        <v>0.0</v>
      </c>
      <c r="K122" s="32">
        <v>1.1361388449E10</v>
      </c>
      <c r="L122" s="32">
        <v>1.45E9</v>
      </c>
      <c r="M122" s="32">
        <v>13342.0</v>
      </c>
      <c r="N122" s="31" t="s">
        <v>153</v>
      </c>
      <c r="O122" s="31">
        <v>25.0</v>
      </c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1.72029365E8</v>
      </c>
      <c r="B123" s="31" t="s">
        <v>148</v>
      </c>
      <c r="C123" s="32">
        <v>3.8785121E7</v>
      </c>
      <c r="D123" s="32">
        <v>1371972.0</v>
      </c>
      <c r="E123" s="32">
        <v>1.71300154E8</v>
      </c>
      <c r="F123" s="32">
        <v>9260755.0</v>
      </c>
      <c r="G123" s="32">
        <v>692642.0</v>
      </c>
      <c r="H123" s="32">
        <v>4635038.0</v>
      </c>
      <c r="I123" s="32">
        <v>6158889.0</v>
      </c>
      <c r="J123" s="32">
        <v>0.0</v>
      </c>
      <c r="K123" s="32">
        <v>6.040950989E9</v>
      </c>
      <c r="L123" s="32">
        <v>1.169311746E9</v>
      </c>
      <c r="M123" s="32">
        <v>19329.0</v>
      </c>
      <c r="N123" s="31" t="s">
        <v>34</v>
      </c>
      <c r="O123" s="31">
        <v>25.0</v>
      </c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1.75650426E8</v>
      </c>
      <c r="B124" s="31" t="s">
        <v>154</v>
      </c>
      <c r="C124" s="32">
        <v>3.8617679E7</v>
      </c>
      <c r="D124" s="32">
        <v>26256.0</v>
      </c>
      <c r="E124" s="32">
        <v>2.19785478E8</v>
      </c>
      <c r="F124" s="32">
        <v>7845079.0</v>
      </c>
      <c r="G124" s="32">
        <v>6316310.0</v>
      </c>
      <c r="H124" s="32">
        <v>8899148.0</v>
      </c>
      <c r="I124" s="32">
        <v>5741460.0</v>
      </c>
      <c r="J124" s="32">
        <v>0.0</v>
      </c>
      <c r="K124" s="32">
        <v>6.282554217E9</v>
      </c>
      <c r="L124" s="32">
        <v>6.960476892E9</v>
      </c>
      <c r="M124" s="32">
        <v>19526.0</v>
      </c>
      <c r="N124" s="31" t="s">
        <v>34</v>
      </c>
      <c r="O124" s="31">
        <v>25.0</v>
      </c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1.71860424E8</v>
      </c>
      <c r="B125" s="31" t="s">
        <v>163</v>
      </c>
      <c r="C125" s="32">
        <v>3.8477113E7</v>
      </c>
      <c r="D125" s="32">
        <v>0.0</v>
      </c>
      <c r="E125" s="32">
        <v>5.8453793E7</v>
      </c>
      <c r="F125" s="32">
        <v>2193341.0</v>
      </c>
      <c r="G125" s="32">
        <v>90287.0</v>
      </c>
      <c r="H125" s="32">
        <v>3443249.0</v>
      </c>
      <c r="I125" s="32">
        <v>1166460.0</v>
      </c>
      <c r="J125" s="32">
        <v>0.0</v>
      </c>
      <c r="K125" s="32">
        <v>1.66233519E9</v>
      </c>
      <c r="L125" s="32">
        <v>1.117255173E9</v>
      </c>
      <c r="M125" s="32">
        <v>16703.0</v>
      </c>
      <c r="N125" s="31" t="s">
        <v>66</v>
      </c>
      <c r="O125" s="31">
        <v>25.0</v>
      </c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1.71821621E8</v>
      </c>
      <c r="B126" s="31" t="s">
        <v>156</v>
      </c>
      <c r="C126" s="32">
        <v>3.8270126E7</v>
      </c>
      <c r="D126" s="32">
        <v>0.0</v>
      </c>
      <c r="E126" s="32">
        <v>1.09474872E8</v>
      </c>
      <c r="F126" s="32">
        <v>6107237.0</v>
      </c>
      <c r="G126" s="32">
        <v>1438724.0</v>
      </c>
      <c r="H126" s="32">
        <v>4837171.0</v>
      </c>
      <c r="I126" s="32">
        <v>3005428.0</v>
      </c>
      <c r="J126" s="32">
        <v>0.0</v>
      </c>
      <c r="K126" s="32">
        <v>1.382184731E9</v>
      </c>
      <c r="L126" s="32">
        <v>1007394.0</v>
      </c>
      <c r="M126" s="32">
        <v>3428.0</v>
      </c>
      <c r="N126" s="31" t="s">
        <v>66</v>
      </c>
      <c r="O126" s="31">
        <v>25.0</v>
      </c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1.45948216E8</v>
      </c>
      <c r="B127" s="31" t="s">
        <v>167</v>
      </c>
      <c r="C127" s="32">
        <v>3.7723235E7</v>
      </c>
      <c r="D127" s="32">
        <v>1183875.0</v>
      </c>
      <c r="E127" s="32">
        <v>7.1196332E7</v>
      </c>
      <c r="F127" s="32">
        <v>5143452.0</v>
      </c>
      <c r="G127" s="32">
        <v>52210.0</v>
      </c>
      <c r="H127" s="32">
        <v>1616036.0</v>
      </c>
      <c r="I127" s="32">
        <v>2739176.0</v>
      </c>
      <c r="J127" s="32">
        <v>0.0</v>
      </c>
      <c r="K127" s="32">
        <v>1.1044248301E10</v>
      </c>
      <c r="L127" s="32">
        <v>6.908628877E9</v>
      </c>
      <c r="M127" s="32">
        <v>10658.0</v>
      </c>
      <c r="N127" s="31" t="s">
        <v>94</v>
      </c>
      <c r="O127" s="31">
        <v>25.0</v>
      </c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6.5948574E7</v>
      </c>
      <c r="B128" s="31" t="s">
        <v>157</v>
      </c>
      <c r="C128" s="32">
        <v>3.7465464E7</v>
      </c>
      <c r="D128" s="32">
        <v>50592.0</v>
      </c>
      <c r="E128" s="32">
        <v>1.24170104E8</v>
      </c>
      <c r="F128" s="32">
        <v>9830566.0</v>
      </c>
      <c r="G128" s="32">
        <v>920251.0</v>
      </c>
      <c r="H128" s="32">
        <v>5068670.0</v>
      </c>
      <c r="I128" s="32">
        <v>3533523.0</v>
      </c>
      <c r="J128" s="32">
        <v>0.0</v>
      </c>
      <c r="K128" s="32">
        <v>2.1997888604E10</v>
      </c>
      <c r="L128" s="32">
        <v>2.3958373403E10</v>
      </c>
      <c r="M128" s="32">
        <v>21550.0</v>
      </c>
      <c r="N128" s="31" t="s">
        <v>34</v>
      </c>
      <c r="O128" s="31">
        <v>25.0</v>
      </c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1.43328412E8</v>
      </c>
      <c r="B129" s="31" t="s">
        <v>158</v>
      </c>
      <c r="C129" s="32">
        <v>3.6900379E7</v>
      </c>
      <c r="D129" s="32">
        <v>19600.0</v>
      </c>
      <c r="E129" s="32">
        <v>3.24920088E8</v>
      </c>
      <c r="F129" s="32">
        <v>5751734.0</v>
      </c>
      <c r="G129" s="32">
        <v>2657791.0</v>
      </c>
      <c r="H129" s="32">
        <v>2.4253096E7</v>
      </c>
      <c r="I129" s="32">
        <v>3145842.0</v>
      </c>
      <c r="J129" s="32">
        <v>0.0</v>
      </c>
      <c r="K129" s="32">
        <v>1.0062343813E10</v>
      </c>
      <c r="L129" s="32">
        <v>8.501035607E9</v>
      </c>
      <c r="M129" s="32">
        <v>30026.0</v>
      </c>
      <c r="N129" s="31" t="s">
        <v>94</v>
      </c>
      <c r="O129" s="31">
        <v>25.0</v>
      </c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1.44022385E8</v>
      </c>
      <c r="B130" s="31" t="s">
        <v>182</v>
      </c>
      <c r="C130" s="32">
        <v>3.5923173E7</v>
      </c>
      <c r="D130" s="32">
        <v>29600.0</v>
      </c>
      <c r="E130" s="32">
        <v>4.3924458E7</v>
      </c>
      <c r="F130" s="32">
        <v>872957.0</v>
      </c>
      <c r="G130" s="32">
        <v>547201.0</v>
      </c>
      <c r="H130" s="32">
        <v>2911642.0</v>
      </c>
      <c r="I130" s="32">
        <v>636037.0</v>
      </c>
      <c r="J130" s="32">
        <v>0.0</v>
      </c>
      <c r="K130" s="32">
        <v>4.913649522E9</v>
      </c>
      <c r="L130" s="32">
        <v>3.7075938E7</v>
      </c>
      <c r="M130" s="32">
        <v>8840.0</v>
      </c>
      <c r="N130" s="31" t="s">
        <v>66</v>
      </c>
      <c r="O130" s="31">
        <v>25.0</v>
      </c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1.44059309E8</v>
      </c>
      <c r="B131" s="31" t="s">
        <v>164</v>
      </c>
      <c r="C131" s="32">
        <v>3.4767109E7</v>
      </c>
      <c r="D131" s="32">
        <v>342350.0</v>
      </c>
      <c r="E131" s="32">
        <v>1.7598036E7</v>
      </c>
      <c r="F131" s="32">
        <v>8743288.0</v>
      </c>
      <c r="G131" s="32">
        <v>557123.0</v>
      </c>
      <c r="H131" s="32">
        <v>628313.0</v>
      </c>
      <c r="I131" s="32">
        <v>269406.0</v>
      </c>
      <c r="J131" s="32">
        <v>0.0</v>
      </c>
      <c r="K131" s="32">
        <v>4.038633055E9</v>
      </c>
      <c r="L131" s="32">
        <v>719086.0</v>
      </c>
      <c r="M131" s="32">
        <v>2335.0</v>
      </c>
      <c r="N131" s="31" t="s">
        <v>165</v>
      </c>
      <c r="O131" s="31">
        <v>25.0</v>
      </c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6.6847214E7</v>
      </c>
      <c r="B132" s="31" t="s">
        <v>159</v>
      </c>
      <c r="C132" s="32">
        <v>3.4713161E7</v>
      </c>
      <c r="D132" s="32">
        <v>279100.0</v>
      </c>
      <c r="E132" s="32">
        <v>1.39786213E8</v>
      </c>
      <c r="F132" s="32">
        <v>7894135.0</v>
      </c>
      <c r="G132" s="32">
        <v>258487.0</v>
      </c>
      <c r="H132" s="32">
        <v>4448253.0</v>
      </c>
      <c r="I132" s="32">
        <v>4691553.0</v>
      </c>
      <c r="J132" s="32">
        <v>0.0</v>
      </c>
      <c r="K132" s="32">
        <v>1.3120839261E10</v>
      </c>
      <c r="L132" s="32">
        <v>1.80841986E10</v>
      </c>
      <c r="M132" s="32">
        <v>8428.0</v>
      </c>
      <c r="N132" s="31" t="s">
        <v>34</v>
      </c>
      <c r="O132" s="31">
        <v>25.0</v>
      </c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1.44052871E8</v>
      </c>
      <c r="B133" s="31" t="s">
        <v>162</v>
      </c>
      <c r="C133" s="32">
        <v>3.438214E7</v>
      </c>
      <c r="D133" s="32">
        <v>-2114656.0</v>
      </c>
      <c r="E133" s="32">
        <v>1.1269343E7</v>
      </c>
      <c r="F133" s="32">
        <v>7302778.0</v>
      </c>
      <c r="G133" s="32">
        <v>294567.0</v>
      </c>
      <c r="H133" s="32">
        <v>393296.0</v>
      </c>
      <c r="I133" s="32">
        <v>238415.0</v>
      </c>
      <c r="J133" s="32">
        <v>0.0</v>
      </c>
      <c r="K133" s="32">
        <v>5.585779717E9</v>
      </c>
      <c r="L133" s="32">
        <v>64161.0</v>
      </c>
      <c r="M133" s="32">
        <v>316.0</v>
      </c>
      <c r="N133" s="31" t="s">
        <v>66</v>
      </c>
      <c r="O133" s="31">
        <v>25.0</v>
      </c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1.81527216E8</v>
      </c>
      <c r="B134" s="31" t="s">
        <v>166</v>
      </c>
      <c r="C134" s="32">
        <v>3.3649793E7</v>
      </c>
      <c r="D134" s="32">
        <v>658105.0</v>
      </c>
      <c r="E134" s="32">
        <v>8713098.0</v>
      </c>
      <c r="F134" s="32">
        <v>3721329.0</v>
      </c>
      <c r="G134" s="32">
        <v>367661.0</v>
      </c>
      <c r="H134" s="32">
        <v>395838.0</v>
      </c>
      <c r="I134" s="32">
        <v>233744.0</v>
      </c>
      <c r="J134" s="32">
        <v>0.0</v>
      </c>
      <c r="K134" s="32">
        <v>3.865664402E9</v>
      </c>
      <c r="L134" s="32">
        <v>0.0</v>
      </c>
      <c r="M134" s="32">
        <v>5299.0</v>
      </c>
      <c r="N134" s="31" t="s">
        <v>165</v>
      </c>
      <c r="O134" s="31">
        <v>25.0</v>
      </c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3">
        <v>1.73621774E8</v>
      </c>
      <c r="B135" s="33" t="s">
        <v>421</v>
      </c>
      <c r="C135" s="34">
        <v>3.3597807E7</v>
      </c>
      <c r="D135" s="32">
        <v>216248.0</v>
      </c>
      <c r="E135" s="34">
        <v>5371343.0</v>
      </c>
      <c r="F135" s="34">
        <v>1065662.0</v>
      </c>
      <c r="G135" s="34">
        <v>253769.0</v>
      </c>
      <c r="H135" s="34">
        <v>215029.0</v>
      </c>
      <c r="I135" s="34">
        <v>107306.0</v>
      </c>
      <c r="J135" s="34">
        <v>0.0</v>
      </c>
      <c r="K135" s="34">
        <v>1.1070514395E10</v>
      </c>
      <c r="L135" s="34">
        <v>2.797921909E9</v>
      </c>
      <c r="M135" s="34">
        <v>5268.0</v>
      </c>
      <c r="N135" s="33" t="s">
        <v>153</v>
      </c>
      <c r="O135" s="33">
        <v>24.0</v>
      </c>
      <c r="P135" s="33"/>
      <c r="Q135" s="33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1.4402476E8</v>
      </c>
      <c r="B136" s="31" t="s">
        <v>171</v>
      </c>
      <c r="C136" s="32">
        <v>3.3493445E7</v>
      </c>
      <c r="D136" s="32">
        <v>0.0</v>
      </c>
      <c r="E136" s="32">
        <v>4.7975587E7</v>
      </c>
      <c r="F136" s="32">
        <v>2015763.0</v>
      </c>
      <c r="G136" s="32">
        <v>477686.0</v>
      </c>
      <c r="H136" s="32">
        <v>2545067.0</v>
      </c>
      <c r="I136" s="32">
        <v>1010178.0</v>
      </c>
      <c r="J136" s="32">
        <v>0.0</v>
      </c>
      <c r="K136" s="32">
        <v>7.011384508E9</v>
      </c>
      <c r="L136" s="32">
        <v>1.3833088E7</v>
      </c>
      <c r="M136" s="32">
        <v>9138.0</v>
      </c>
      <c r="N136" s="31" t="s">
        <v>66</v>
      </c>
      <c r="O136" s="31">
        <v>25.0</v>
      </c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1.72219261E8</v>
      </c>
      <c r="B137" s="31" t="s">
        <v>185</v>
      </c>
      <c r="C137" s="32">
        <v>3.2929906E7</v>
      </c>
      <c r="D137" s="32">
        <v>681184.0</v>
      </c>
      <c r="E137" s="32">
        <v>9107647.0</v>
      </c>
      <c r="F137" s="32">
        <v>4088173.0</v>
      </c>
      <c r="G137" s="32">
        <v>80005.0</v>
      </c>
      <c r="H137" s="32">
        <v>224964.0</v>
      </c>
      <c r="I137" s="32">
        <v>333443.0</v>
      </c>
      <c r="J137" s="32">
        <v>0.0</v>
      </c>
      <c r="K137" s="32">
        <v>4.874417229E9</v>
      </c>
      <c r="L137" s="32">
        <v>2.75E7</v>
      </c>
      <c r="M137" s="32">
        <v>3820.0</v>
      </c>
      <c r="N137" s="31" t="s">
        <v>119</v>
      </c>
      <c r="O137" s="31">
        <v>25.0</v>
      </c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1.48890128E8</v>
      </c>
      <c r="B138" s="31" t="s">
        <v>170</v>
      </c>
      <c r="C138" s="32">
        <v>3.2641601E7</v>
      </c>
      <c r="D138" s="32">
        <v>824441.0</v>
      </c>
      <c r="E138" s="32">
        <v>2.6185762E7</v>
      </c>
      <c r="F138" s="32">
        <v>4350443.0</v>
      </c>
      <c r="G138" s="32">
        <v>269772.0</v>
      </c>
      <c r="H138" s="32">
        <v>1744020.0</v>
      </c>
      <c r="I138" s="32">
        <v>330142.0</v>
      </c>
      <c r="J138" s="32">
        <v>0.0</v>
      </c>
      <c r="K138" s="32">
        <v>8.250172118E9</v>
      </c>
      <c r="L138" s="32">
        <v>4.011433363E9</v>
      </c>
      <c r="M138" s="32">
        <v>6506.0</v>
      </c>
      <c r="N138" s="31" t="s">
        <v>126</v>
      </c>
      <c r="O138" s="31">
        <v>25.0</v>
      </c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1.39139149E8</v>
      </c>
      <c r="B139" s="31" t="s">
        <v>172</v>
      </c>
      <c r="C139" s="32">
        <v>3.2374663E7</v>
      </c>
      <c r="D139" s="32">
        <v>31500.0</v>
      </c>
      <c r="E139" s="32">
        <v>3.2066717E8</v>
      </c>
      <c r="F139" s="32">
        <v>5005600.0</v>
      </c>
      <c r="G139" s="32">
        <v>1.3375761E7</v>
      </c>
      <c r="H139" s="32">
        <v>2.1995011E7</v>
      </c>
      <c r="I139" s="32">
        <v>4331928.0</v>
      </c>
      <c r="J139" s="32">
        <v>0.0</v>
      </c>
      <c r="K139" s="32">
        <v>7.611448376E9</v>
      </c>
      <c r="L139" s="32">
        <v>5.98299802E8</v>
      </c>
      <c r="M139" s="32">
        <v>23375.0</v>
      </c>
      <c r="N139" s="31" t="s">
        <v>66</v>
      </c>
      <c r="O139" s="31">
        <v>25.0</v>
      </c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1.44039036E8</v>
      </c>
      <c r="B140" s="31" t="s">
        <v>177</v>
      </c>
      <c r="C140" s="32">
        <v>3.1340165E7</v>
      </c>
      <c r="D140" s="32">
        <v>0.0</v>
      </c>
      <c r="E140" s="32">
        <v>3.0798715E7</v>
      </c>
      <c r="F140" s="32">
        <v>2954008.0</v>
      </c>
      <c r="G140" s="32">
        <v>159969.0</v>
      </c>
      <c r="H140" s="32">
        <v>2570716.0</v>
      </c>
      <c r="I140" s="32">
        <v>220177.0</v>
      </c>
      <c r="J140" s="32">
        <v>0.0</v>
      </c>
      <c r="K140" s="32">
        <v>2.976187255E9</v>
      </c>
      <c r="L140" s="32">
        <v>4000000.0</v>
      </c>
      <c r="M140" s="32">
        <v>4477.0</v>
      </c>
      <c r="N140" s="31" t="s">
        <v>66</v>
      </c>
      <c r="O140" s="31">
        <v>25.0</v>
      </c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6.1881204E7</v>
      </c>
      <c r="B141" s="31" t="s">
        <v>178</v>
      </c>
      <c r="C141" s="32">
        <v>3.0916394E7</v>
      </c>
      <c r="D141" s="32">
        <v>176000.0</v>
      </c>
      <c r="E141" s="32">
        <v>6.3523739E7</v>
      </c>
      <c r="F141" s="32">
        <v>1.0290878E7</v>
      </c>
      <c r="G141" s="32">
        <v>729778.0</v>
      </c>
      <c r="H141" s="32">
        <v>1791230.0</v>
      </c>
      <c r="I141" s="32">
        <v>2220682.0</v>
      </c>
      <c r="J141" s="32">
        <v>0.0</v>
      </c>
      <c r="K141" s="32">
        <v>1.7409900757E10</v>
      </c>
      <c r="L141" s="32">
        <v>2.0083637095E10</v>
      </c>
      <c r="M141" s="32">
        <v>11342.0</v>
      </c>
      <c r="N141" s="31" t="s">
        <v>147</v>
      </c>
      <c r="O141" s="31">
        <v>25.0</v>
      </c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1.81734011E8</v>
      </c>
      <c r="B142" s="31" t="s">
        <v>169</v>
      </c>
      <c r="C142" s="32">
        <v>3.0153779E7</v>
      </c>
      <c r="D142" s="32">
        <v>810733.0</v>
      </c>
      <c r="E142" s="32">
        <v>8.4623892E7</v>
      </c>
      <c r="F142" s="32">
        <v>3526936.0</v>
      </c>
      <c r="G142" s="32">
        <v>236563.0</v>
      </c>
      <c r="H142" s="32">
        <v>2817968.0</v>
      </c>
      <c r="I142" s="32">
        <v>2628787.0</v>
      </c>
      <c r="J142" s="32">
        <v>0.0</v>
      </c>
      <c r="K142" s="32">
        <v>8.375983053E9</v>
      </c>
      <c r="L142" s="32">
        <v>2.29070088E8</v>
      </c>
      <c r="M142" s="32">
        <v>12670.0</v>
      </c>
      <c r="N142" s="31" t="s">
        <v>34</v>
      </c>
      <c r="O142" s="31">
        <v>25.0</v>
      </c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3">
        <v>1.70449746E8</v>
      </c>
      <c r="B143" s="33" t="s">
        <v>184</v>
      </c>
      <c r="C143" s="34">
        <v>3.0118722E7</v>
      </c>
      <c r="D143" s="32">
        <v>339112.0</v>
      </c>
      <c r="E143" s="34">
        <v>5291709.0</v>
      </c>
      <c r="F143" s="34">
        <v>102004.0</v>
      </c>
      <c r="G143" s="34">
        <v>305.0</v>
      </c>
      <c r="H143" s="34">
        <v>362162.0</v>
      </c>
      <c r="I143" s="34">
        <v>82623.0</v>
      </c>
      <c r="J143" s="34">
        <v>0.0</v>
      </c>
      <c r="K143" s="34">
        <v>6.582202872E9</v>
      </c>
      <c r="L143" s="34">
        <v>5.630139492E9</v>
      </c>
      <c r="M143" s="34">
        <v>2850.0</v>
      </c>
      <c r="N143" s="33" t="s">
        <v>153</v>
      </c>
      <c r="O143" s="33">
        <v>23.0</v>
      </c>
      <c r="P143" s="33"/>
      <c r="Q143" s="33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1.47116341E8</v>
      </c>
      <c r="B144" s="31" t="s">
        <v>374</v>
      </c>
      <c r="C144" s="32">
        <v>3.0069974E7</v>
      </c>
      <c r="D144" s="32">
        <v>78663.0</v>
      </c>
      <c r="E144" s="32">
        <v>1.3529689E7</v>
      </c>
      <c r="F144" s="32">
        <v>526000.0</v>
      </c>
      <c r="G144" s="32">
        <v>308.0</v>
      </c>
      <c r="H144" s="32">
        <v>807831.0</v>
      </c>
      <c r="I144" s="32">
        <v>271954.0</v>
      </c>
      <c r="J144" s="32">
        <v>0.0</v>
      </c>
      <c r="K144" s="32">
        <v>6.269761886E9</v>
      </c>
      <c r="L144" s="32">
        <v>6.456585973E9</v>
      </c>
      <c r="M144" s="32">
        <v>2900.0</v>
      </c>
      <c r="N144" s="31" t="s">
        <v>165</v>
      </c>
      <c r="O144" s="31">
        <v>25.0</v>
      </c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1.44094596E8</v>
      </c>
      <c r="B145" s="31" t="s">
        <v>189</v>
      </c>
      <c r="C145" s="32">
        <v>2.9989921E7</v>
      </c>
      <c r="D145" s="32">
        <v>0.0</v>
      </c>
      <c r="E145" s="32">
        <v>8.5944516E7</v>
      </c>
      <c r="F145" s="32">
        <v>3031180.0</v>
      </c>
      <c r="G145" s="32">
        <v>1.3616531E7</v>
      </c>
      <c r="H145" s="32">
        <v>5274309.0</v>
      </c>
      <c r="I145" s="32">
        <v>1435775.0</v>
      </c>
      <c r="J145" s="32">
        <v>0.0</v>
      </c>
      <c r="K145" s="32">
        <v>5.357258082E9</v>
      </c>
      <c r="L145" s="32">
        <v>1.2391473E7</v>
      </c>
      <c r="M145" s="32">
        <v>9785.0</v>
      </c>
      <c r="N145" s="31" t="s">
        <v>66</v>
      </c>
      <c r="O145" s="31">
        <v>25.0</v>
      </c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1.75314255E8</v>
      </c>
      <c r="B146" s="31" t="s">
        <v>179</v>
      </c>
      <c r="C146" s="32">
        <v>2.9968368E7</v>
      </c>
      <c r="D146" s="32">
        <v>2673396.0</v>
      </c>
      <c r="E146" s="32">
        <v>2.2789289E7</v>
      </c>
      <c r="F146" s="32">
        <v>3647337.0</v>
      </c>
      <c r="G146" s="32">
        <v>281976.0</v>
      </c>
      <c r="H146" s="32">
        <v>1320134.0</v>
      </c>
      <c r="I146" s="32">
        <v>451278.0</v>
      </c>
      <c r="J146" s="32">
        <v>0.0</v>
      </c>
      <c r="K146" s="32">
        <v>4.107379853E9</v>
      </c>
      <c r="L146" s="32">
        <v>1.22435684E8</v>
      </c>
      <c r="M146" s="32">
        <v>8935.0</v>
      </c>
      <c r="N146" s="31" t="s">
        <v>153</v>
      </c>
      <c r="O146" s="31">
        <v>25.0</v>
      </c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1.38821863E8</v>
      </c>
      <c r="B147" s="31" t="s">
        <v>186</v>
      </c>
      <c r="C147" s="32">
        <v>2.990806E7</v>
      </c>
      <c r="D147" s="32">
        <v>708922.0</v>
      </c>
      <c r="E147" s="32">
        <v>2.5263796E7</v>
      </c>
      <c r="F147" s="32">
        <v>1656998.0</v>
      </c>
      <c r="G147" s="32">
        <v>397842.0</v>
      </c>
      <c r="H147" s="32">
        <v>2006020.0</v>
      </c>
      <c r="I147" s="32">
        <v>109825.0</v>
      </c>
      <c r="J147" s="32">
        <v>0.0</v>
      </c>
      <c r="K147" s="32">
        <v>4.978925611E9</v>
      </c>
      <c r="L147" s="32">
        <v>6.36064786E8</v>
      </c>
      <c r="M147" s="32">
        <v>8600.0</v>
      </c>
      <c r="N147" s="31" t="s">
        <v>34</v>
      </c>
      <c r="O147" s="31">
        <v>25.0</v>
      </c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1.26732488E8</v>
      </c>
      <c r="B148" s="31" t="s">
        <v>375</v>
      </c>
      <c r="C148" s="32">
        <v>2.934016E7</v>
      </c>
      <c r="D148" s="32">
        <v>0.0</v>
      </c>
      <c r="E148" s="32">
        <v>7.451252E7</v>
      </c>
      <c r="F148" s="32">
        <v>2711862.0</v>
      </c>
      <c r="G148" s="32">
        <v>1767333.0</v>
      </c>
      <c r="H148" s="32">
        <v>5847614.0</v>
      </c>
      <c r="I148" s="32">
        <v>591565.0</v>
      </c>
      <c r="J148" s="32">
        <v>0.0</v>
      </c>
      <c r="K148" s="32">
        <v>4.868025488E9</v>
      </c>
      <c r="L148" s="32">
        <v>5.51118928E8</v>
      </c>
      <c r="M148" s="32">
        <v>16114.0</v>
      </c>
      <c r="N148" s="31" t="s">
        <v>66</v>
      </c>
      <c r="O148" s="31">
        <v>25.0</v>
      </c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1.44104572E8</v>
      </c>
      <c r="B149" s="31" t="s">
        <v>196</v>
      </c>
      <c r="C149" s="32">
        <v>2.8455529E7</v>
      </c>
      <c r="D149" s="32">
        <v>1298000.0</v>
      </c>
      <c r="E149" s="32">
        <v>2.5680783E7</v>
      </c>
      <c r="F149" s="32">
        <v>2999268.0</v>
      </c>
      <c r="G149" s="32">
        <v>4109706.0</v>
      </c>
      <c r="H149" s="32">
        <v>1511050.0</v>
      </c>
      <c r="I149" s="32">
        <v>334000.0</v>
      </c>
      <c r="J149" s="32">
        <v>0.0</v>
      </c>
      <c r="K149" s="32">
        <v>2.914147196E9</v>
      </c>
      <c r="L149" s="32">
        <v>8.33264E7</v>
      </c>
      <c r="M149" s="32">
        <v>5954.0</v>
      </c>
      <c r="N149" s="31" t="s">
        <v>119</v>
      </c>
      <c r="O149" s="31">
        <v>25.0</v>
      </c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6.3513788E7</v>
      </c>
      <c r="B150" s="31" t="s">
        <v>190</v>
      </c>
      <c r="C150" s="32">
        <v>2.842447E7</v>
      </c>
      <c r="D150" s="32">
        <v>134300.0</v>
      </c>
      <c r="E150" s="32">
        <v>3.5067748E7</v>
      </c>
      <c r="F150" s="32">
        <v>8961628.0</v>
      </c>
      <c r="G150" s="32">
        <v>22581.0</v>
      </c>
      <c r="H150" s="32">
        <v>1179501.0</v>
      </c>
      <c r="I150" s="32">
        <v>1151796.0</v>
      </c>
      <c r="J150" s="32">
        <v>0.0</v>
      </c>
      <c r="K150" s="32">
        <v>1.7617848779E10</v>
      </c>
      <c r="L150" s="32">
        <v>1.9831032386E10</v>
      </c>
      <c r="M150" s="32">
        <v>8431.0</v>
      </c>
      <c r="N150" s="31" t="s">
        <v>147</v>
      </c>
      <c r="O150" s="31">
        <v>25.0</v>
      </c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1.44637263E8</v>
      </c>
      <c r="B151" s="31" t="s">
        <v>192</v>
      </c>
      <c r="C151" s="32">
        <v>2.8065865E7</v>
      </c>
      <c r="D151" s="32">
        <v>0.0</v>
      </c>
      <c r="E151" s="32">
        <v>6.9725268E7</v>
      </c>
      <c r="F151" s="32">
        <v>3582025.0</v>
      </c>
      <c r="G151" s="32">
        <v>794551.0</v>
      </c>
      <c r="H151" s="32">
        <v>4624058.0</v>
      </c>
      <c r="I151" s="32">
        <v>1029805.0</v>
      </c>
      <c r="J151" s="32">
        <v>0.0</v>
      </c>
      <c r="K151" s="32">
        <v>5.083440858E9</v>
      </c>
      <c r="L151" s="32">
        <v>1.485775749E9</v>
      </c>
      <c r="M151" s="32">
        <v>20419.0</v>
      </c>
      <c r="N151" s="31" t="s">
        <v>66</v>
      </c>
      <c r="O151" s="31">
        <v>25.0</v>
      </c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1.1363981E7</v>
      </c>
      <c r="B152" s="31" t="s">
        <v>188</v>
      </c>
      <c r="C152" s="32">
        <v>2.8031099E7</v>
      </c>
      <c r="D152" s="32">
        <v>1015960.0</v>
      </c>
      <c r="E152" s="32">
        <v>2.05426442E8</v>
      </c>
      <c r="F152" s="32">
        <v>8381484.0</v>
      </c>
      <c r="G152" s="32">
        <v>883504.0</v>
      </c>
      <c r="H152" s="32">
        <v>7786499.0</v>
      </c>
      <c r="I152" s="32">
        <v>6260570.0</v>
      </c>
      <c r="J152" s="32">
        <v>0.0</v>
      </c>
      <c r="K152" s="32">
        <v>1.082462679E10</v>
      </c>
      <c r="L152" s="32">
        <v>1.478163898E10</v>
      </c>
      <c r="M152" s="32">
        <v>12005.0</v>
      </c>
      <c r="N152" s="31" t="s">
        <v>34</v>
      </c>
      <c r="O152" s="31">
        <v>25.0</v>
      </c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7.9647211E7</v>
      </c>
      <c r="B153" s="31" t="s">
        <v>191</v>
      </c>
      <c r="C153" s="32">
        <v>2.7432057E7</v>
      </c>
      <c r="D153" s="32">
        <v>417842.0</v>
      </c>
      <c r="E153" s="32">
        <v>3.8627397E7</v>
      </c>
      <c r="F153" s="32">
        <v>1940975.0</v>
      </c>
      <c r="G153" s="32">
        <v>4479.0</v>
      </c>
      <c r="H153" s="32">
        <v>1218274.0</v>
      </c>
      <c r="I153" s="32">
        <v>1319807.0</v>
      </c>
      <c r="J153" s="32">
        <v>0.0</v>
      </c>
      <c r="K153" s="32">
        <v>6.498735628E9</v>
      </c>
      <c r="L153" s="32">
        <v>1.0628320798E10</v>
      </c>
      <c r="M153" s="32">
        <v>3546.0</v>
      </c>
      <c r="N153" s="31" t="s">
        <v>34</v>
      </c>
      <c r="O153" s="31">
        <v>25.0</v>
      </c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1.7395388E8</v>
      </c>
      <c r="B154" s="31" t="s">
        <v>422</v>
      </c>
      <c r="C154" s="32">
        <v>2.7408954E7</v>
      </c>
      <c r="D154" s="32">
        <v>354278.0</v>
      </c>
      <c r="E154" s="32">
        <v>1648460.0</v>
      </c>
      <c r="F154" s="32">
        <v>1653283.0</v>
      </c>
      <c r="G154" s="32">
        <v>0.0</v>
      </c>
      <c r="H154" s="32">
        <v>106204.0</v>
      </c>
      <c r="I154" s="32">
        <v>28128.0</v>
      </c>
      <c r="J154" s="32">
        <v>0.0</v>
      </c>
      <c r="K154" s="32">
        <v>4.90758875E9</v>
      </c>
      <c r="L154" s="32">
        <v>3.346021861E9</v>
      </c>
      <c r="M154" s="32">
        <v>2414.0</v>
      </c>
      <c r="N154" s="31" t="s">
        <v>147</v>
      </c>
      <c r="O154" s="31">
        <v>25.0</v>
      </c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7.7474302E7</v>
      </c>
      <c r="B155" s="31" t="s">
        <v>195</v>
      </c>
      <c r="C155" s="32">
        <v>2.739644E7</v>
      </c>
      <c r="D155" s="32">
        <v>187556.0</v>
      </c>
      <c r="E155" s="32">
        <v>3.8235651E7</v>
      </c>
      <c r="F155" s="32">
        <v>4747649.0</v>
      </c>
      <c r="G155" s="32">
        <v>164935.0</v>
      </c>
      <c r="H155" s="32">
        <v>925311.0</v>
      </c>
      <c r="I155" s="32">
        <v>1410586.0</v>
      </c>
      <c r="J155" s="32">
        <v>0.0</v>
      </c>
      <c r="K155" s="32">
        <v>1.4270601865E10</v>
      </c>
      <c r="L155" s="32">
        <v>1.7098971925E10</v>
      </c>
      <c r="M155" s="32">
        <v>9281.0</v>
      </c>
      <c r="N155" s="31" t="s">
        <v>147</v>
      </c>
      <c r="O155" s="31">
        <v>25.0</v>
      </c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1.46036286E8</v>
      </c>
      <c r="B156" s="31" t="s">
        <v>205</v>
      </c>
      <c r="C156" s="32">
        <v>2.7288288E7</v>
      </c>
      <c r="D156" s="32">
        <v>182943.0</v>
      </c>
      <c r="E156" s="32">
        <v>4.2109155E7</v>
      </c>
      <c r="F156" s="32">
        <v>4833560.0</v>
      </c>
      <c r="G156" s="32">
        <v>591938.0</v>
      </c>
      <c r="H156" s="32">
        <v>2771473.0</v>
      </c>
      <c r="I156" s="32">
        <v>524455.0</v>
      </c>
      <c r="J156" s="32">
        <v>0.0</v>
      </c>
      <c r="K156" s="32">
        <v>2.0422004552E10</v>
      </c>
      <c r="L156" s="32">
        <v>1.1736223974E10</v>
      </c>
      <c r="M156" s="32">
        <v>5750.0</v>
      </c>
      <c r="N156" s="31" t="s">
        <v>153</v>
      </c>
      <c r="O156" s="31">
        <v>25.0</v>
      </c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1.44004212E8</v>
      </c>
      <c r="B157" s="31" t="s">
        <v>376</v>
      </c>
      <c r="C157" s="32">
        <v>2.7064089E7</v>
      </c>
      <c r="D157" s="32">
        <v>1315466.0</v>
      </c>
      <c r="E157" s="32">
        <v>1.3461537E7</v>
      </c>
      <c r="F157" s="32">
        <v>1333055.0</v>
      </c>
      <c r="G157" s="32">
        <v>52235.0</v>
      </c>
      <c r="H157" s="32">
        <v>966880.0</v>
      </c>
      <c r="I157" s="32">
        <v>183614.0</v>
      </c>
      <c r="J157" s="32">
        <v>0.0</v>
      </c>
      <c r="K157" s="32">
        <v>2.945295138E9</v>
      </c>
      <c r="L157" s="32">
        <v>1.0329075E7</v>
      </c>
      <c r="M157" s="32">
        <v>4051.0</v>
      </c>
      <c r="N157" s="31" t="s">
        <v>66</v>
      </c>
      <c r="O157" s="31">
        <v>25.0</v>
      </c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1.45295709E8</v>
      </c>
      <c r="B158" s="31" t="s">
        <v>423</v>
      </c>
      <c r="C158" s="32">
        <v>2.6623989E7</v>
      </c>
      <c r="D158" s="32">
        <v>334843.0</v>
      </c>
      <c r="E158" s="32">
        <v>3.3008222E7</v>
      </c>
      <c r="F158" s="32">
        <v>2275922.0</v>
      </c>
      <c r="G158" s="32">
        <v>3893494.0</v>
      </c>
      <c r="H158" s="32">
        <v>1891027.0</v>
      </c>
      <c r="I158" s="32">
        <v>389473.0</v>
      </c>
      <c r="J158" s="32">
        <v>0.0</v>
      </c>
      <c r="K158" s="32">
        <v>2.75326985E9</v>
      </c>
      <c r="L158" s="32">
        <v>8.1594054E7</v>
      </c>
      <c r="M158" s="32">
        <v>7474.0</v>
      </c>
      <c r="N158" s="31" t="s">
        <v>66</v>
      </c>
      <c r="O158" s="31">
        <v>25.0</v>
      </c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1.57398284E8</v>
      </c>
      <c r="B159" s="31" t="s">
        <v>380</v>
      </c>
      <c r="C159" s="32">
        <v>2.6097793E7</v>
      </c>
      <c r="D159" s="32">
        <v>155200.0</v>
      </c>
      <c r="E159" s="32">
        <v>4812381.0</v>
      </c>
      <c r="F159" s="32">
        <v>1021778.0</v>
      </c>
      <c r="G159" s="32">
        <v>124957.0</v>
      </c>
      <c r="H159" s="32">
        <v>318827.0</v>
      </c>
      <c r="I159" s="32">
        <v>52796.0</v>
      </c>
      <c r="J159" s="32">
        <v>0.0</v>
      </c>
      <c r="K159" s="32">
        <v>1.3822482615E10</v>
      </c>
      <c r="L159" s="32">
        <v>6.116E9</v>
      </c>
      <c r="M159" s="32">
        <v>4354.0</v>
      </c>
      <c r="N159" s="31" t="s">
        <v>165</v>
      </c>
      <c r="O159" s="31">
        <v>25.0</v>
      </c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3">
        <v>7.1189562E7</v>
      </c>
      <c r="B160" s="33" t="s">
        <v>199</v>
      </c>
      <c r="C160" s="34">
        <v>2.5810348E7</v>
      </c>
      <c r="D160" s="32">
        <v>263864.0</v>
      </c>
      <c r="E160" s="34">
        <v>2408509.0</v>
      </c>
      <c r="F160" s="34">
        <v>823250.0</v>
      </c>
      <c r="G160" s="34">
        <v>18168.0</v>
      </c>
      <c r="H160" s="34">
        <v>172952.0</v>
      </c>
      <c r="I160" s="34">
        <v>26188.0</v>
      </c>
      <c r="J160" s="34">
        <v>0.0</v>
      </c>
      <c r="K160" s="34">
        <v>1.4275756112E10</v>
      </c>
      <c r="L160" s="34">
        <v>1.5124513151E10</v>
      </c>
      <c r="M160" s="34">
        <v>3313.0</v>
      </c>
      <c r="N160" s="33" t="s">
        <v>153</v>
      </c>
      <c r="O160" s="33">
        <v>24.0</v>
      </c>
      <c r="P160" s="33"/>
      <c r="Q160" s="33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1.58265064E8</v>
      </c>
      <c r="B161" s="31" t="s">
        <v>200</v>
      </c>
      <c r="C161" s="32">
        <v>2.539648E7</v>
      </c>
      <c r="D161" s="32">
        <v>229752.0</v>
      </c>
      <c r="E161" s="32">
        <v>1.1312096E7</v>
      </c>
      <c r="F161" s="32">
        <v>1040720.0</v>
      </c>
      <c r="G161" s="32">
        <v>238681.0</v>
      </c>
      <c r="H161" s="32">
        <v>435809.0</v>
      </c>
      <c r="I161" s="32">
        <v>209818.0</v>
      </c>
      <c r="J161" s="32">
        <v>0.0</v>
      </c>
      <c r="K161" s="32">
        <v>3.805975192E9</v>
      </c>
      <c r="L161" s="32">
        <v>2.856723815E9</v>
      </c>
      <c r="M161" s="32">
        <v>8676.0</v>
      </c>
      <c r="N161" s="31" t="s">
        <v>147</v>
      </c>
      <c r="O161" s="31">
        <v>25.0</v>
      </c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6.1106312E7</v>
      </c>
      <c r="B162" s="31" t="s">
        <v>201</v>
      </c>
      <c r="C162" s="32">
        <v>2.5245254E7</v>
      </c>
      <c r="D162" s="32">
        <v>0.0</v>
      </c>
      <c r="E162" s="32">
        <v>1.37061894E8</v>
      </c>
      <c r="F162" s="32">
        <v>6457701.0</v>
      </c>
      <c r="G162" s="32">
        <v>1064273.0</v>
      </c>
      <c r="H162" s="32">
        <v>8566764.0</v>
      </c>
      <c r="I162" s="32">
        <v>1635188.0</v>
      </c>
      <c r="J162" s="32">
        <v>0.0</v>
      </c>
      <c r="K162" s="32">
        <v>1.5532022074E10</v>
      </c>
      <c r="L162" s="32">
        <v>1.6233438464E10</v>
      </c>
      <c r="M162" s="32">
        <v>12399.0</v>
      </c>
      <c r="N162" s="31" t="s">
        <v>34</v>
      </c>
      <c r="O162" s="31">
        <v>25.0</v>
      </c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1.66394798E8</v>
      </c>
      <c r="B163" s="31" t="s">
        <v>202</v>
      </c>
      <c r="C163" s="32">
        <v>2.512701E7</v>
      </c>
      <c r="D163" s="32">
        <v>32000.0</v>
      </c>
      <c r="E163" s="32">
        <v>4.8823301E7</v>
      </c>
      <c r="F163" s="32">
        <v>2377006.0</v>
      </c>
      <c r="G163" s="32">
        <v>567889.0</v>
      </c>
      <c r="H163" s="32">
        <v>3113738.0</v>
      </c>
      <c r="I163" s="32">
        <v>686427.0</v>
      </c>
      <c r="J163" s="32">
        <v>0.0</v>
      </c>
      <c r="K163" s="32">
        <v>6.390190815E9</v>
      </c>
      <c r="L163" s="32">
        <v>1.563279624E10</v>
      </c>
      <c r="M163" s="32">
        <v>12298.0</v>
      </c>
      <c r="N163" s="31" t="s">
        <v>34</v>
      </c>
      <c r="O163" s="31">
        <v>25.0</v>
      </c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1.16558461E8</v>
      </c>
      <c r="B164" s="31" t="s">
        <v>210</v>
      </c>
      <c r="C164" s="32">
        <v>2.4502703E7</v>
      </c>
      <c r="D164" s="32">
        <v>0.0</v>
      </c>
      <c r="E164" s="32">
        <v>2.7313532E7</v>
      </c>
      <c r="F164" s="32">
        <v>3735086.0</v>
      </c>
      <c r="G164" s="32">
        <v>804564.0</v>
      </c>
      <c r="H164" s="32">
        <v>1891906.0</v>
      </c>
      <c r="I164" s="32">
        <v>259337.0</v>
      </c>
      <c r="J164" s="32">
        <v>0.0</v>
      </c>
      <c r="K164" s="32">
        <v>4.987719501E9</v>
      </c>
      <c r="L164" s="32">
        <v>5.2E7</v>
      </c>
      <c r="M164" s="32">
        <v>2355.0</v>
      </c>
      <c r="N164" s="31" t="s">
        <v>66</v>
      </c>
      <c r="O164" s="31">
        <v>25.0</v>
      </c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7.7531879E7</v>
      </c>
      <c r="B165" s="31" t="s">
        <v>424</v>
      </c>
      <c r="C165" s="32">
        <v>2.4377832E7</v>
      </c>
      <c r="D165" s="32">
        <v>844172.0</v>
      </c>
      <c r="E165" s="32">
        <v>4537895.0</v>
      </c>
      <c r="F165" s="32">
        <v>76522.0</v>
      </c>
      <c r="G165" s="32">
        <v>36.0</v>
      </c>
      <c r="H165" s="32">
        <v>104025.0</v>
      </c>
      <c r="I165" s="32">
        <v>174604.0</v>
      </c>
      <c r="J165" s="32">
        <v>0.0</v>
      </c>
      <c r="K165" s="32">
        <v>9.488713773E9</v>
      </c>
      <c r="L165" s="32">
        <v>1.1235078215E10</v>
      </c>
      <c r="M165" s="32">
        <v>3925.0</v>
      </c>
      <c r="N165" s="31" t="s">
        <v>147</v>
      </c>
      <c r="O165" s="31">
        <v>25.0</v>
      </c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3">
        <v>1.85391227E8</v>
      </c>
      <c r="B166" s="33" t="s">
        <v>207</v>
      </c>
      <c r="C166" s="34">
        <v>2.4310882E7</v>
      </c>
      <c r="D166" s="32">
        <v>737504.0</v>
      </c>
      <c r="E166" s="34">
        <v>4933077.0</v>
      </c>
      <c r="F166" s="34">
        <v>964026.0</v>
      </c>
      <c r="G166" s="34">
        <v>186.0</v>
      </c>
      <c r="H166" s="34">
        <v>214.0</v>
      </c>
      <c r="I166" s="34">
        <v>246545.0</v>
      </c>
      <c r="J166" s="34">
        <v>0.0</v>
      </c>
      <c r="K166" s="34">
        <v>8.14654131E9</v>
      </c>
      <c r="L166" s="34">
        <v>5.777495661E9</v>
      </c>
      <c r="M166" s="34">
        <v>2514.0</v>
      </c>
      <c r="N166" s="33" t="s">
        <v>94</v>
      </c>
      <c r="O166" s="33">
        <v>24.0</v>
      </c>
      <c r="P166" s="33"/>
      <c r="Q166" s="33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1.86763477E8</v>
      </c>
      <c r="B167" s="31" t="s">
        <v>203</v>
      </c>
      <c r="C167" s="32">
        <v>2.402235E7</v>
      </c>
      <c r="D167" s="32">
        <v>0.0</v>
      </c>
      <c r="E167" s="32">
        <v>1.3552118E7</v>
      </c>
      <c r="F167" s="32">
        <v>3029900.0</v>
      </c>
      <c r="G167" s="32">
        <v>487244.0</v>
      </c>
      <c r="H167" s="32">
        <v>748513.0</v>
      </c>
      <c r="I167" s="32">
        <v>165273.0</v>
      </c>
      <c r="J167" s="32">
        <v>0.0</v>
      </c>
      <c r="K167" s="32">
        <v>2.384102193E9</v>
      </c>
      <c r="L167" s="32">
        <v>8000000.0</v>
      </c>
      <c r="M167" s="32">
        <v>10675.0</v>
      </c>
      <c r="N167" s="31" t="s">
        <v>34</v>
      </c>
      <c r="O167" s="31">
        <v>25.0</v>
      </c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1.45035808E8</v>
      </c>
      <c r="B168" s="31" t="s">
        <v>377</v>
      </c>
      <c r="C168" s="32">
        <v>2.3698376E7</v>
      </c>
      <c r="D168" s="32">
        <v>110600.0</v>
      </c>
      <c r="E168" s="32">
        <v>8082943.0</v>
      </c>
      <c r="F168" s="32">
        <v>3793049.0</v>
      </c>
      <c r="G168" s="32">
        <v>173077.0</v>
      </c>
      <c r="H168" s="32">
        <v>262708.0</v>
      </c>
      <c r="I168" s="32">
        <v>230216.0</v>
      </c>
      <c r="J168" s="32">
        <v>0.0</v>
      </c>
      <c r="K168" s="32">
        <v>9.21087513E8</v>
      </c>
      <c r="L168" s="32">
        <v>2.7480865E7</v>
      </c>
      <c r="M168" s="32">
        <v>4462.0</v>
      </c>
      <c r="N168" s="31" t="s">
        <v>165</v>
      </c>
      <c r="O168" s="31">
        <v>25.0</v>
      </c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3">
        <v>4.8558795E7</v>
      </c>
      <c r="B169" s="33" t="s">
        <v>208</v>
      </c>
      <c r="C169" s="34">
        <v>2.3565975E7</v>
      </c>
      <c r="D169" s="32">
        <v>171020.0</v>
      </c>
      <c r="E169" s="34">
        <v>1928497.0</v>
      </c>
      <c r="F169" s="34">
        <v>461565.0</v>
      </c>
      <c r="G169" s="34">
        <v>485.0</v>
      </c>
      <c r="H169" s="34">
        <v>141444.0</v>
      </c>
      <c r="I169" s="34">
        <v>25698.0</v>
      </c>
      <c r="J169" s="34">
        <v>0.0</v>
      </c>
      <c r="K169" s="34">
        <v>1.2719513266E10</v>
      </c>
      <c r="L169" s="34">
        <v>1.559696354E10</v>
      </c>
      <c r="M169" s="34">
        <v>2842.0</v>
      </c>
      <c r="N169" s="33" t="s">
        <v>153</v>
      </c>
      <c r="O169" s="33">
        <v>24.0</v>
      </c>
      <c r="P169" s="33"/>
      <c r="Q169" s="33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1.71556791E8</v>
      </c>
      <c r="B170" s="31" t="s">
        <v>211</v>
      </c>
      <c r="C170" s="32">
        <v>2.3474569E7</v>
      </c>
      <c r="D170" s="32">
        <v>1079303.0</v>
      </c>
      <c r="E170" s="32">
        <v>5022699.0</v>
      </c>
      <c r="F170" s="32">
        <v>626101.0</v>
      </c>
      <c r="G170" s="32">
        <v>25466.0</v>
      </c>
      <c r="H170" s="32">
        <v>210000.0</v>
      </c>
      <c r="I170" s="32">
        <v>119921.0</v>
      </c>
      <c r="J170" s="32">
        <v>0.0</v>
      </c>
      <c r="K170" s="32">
        <v>8.351922618E9</v>
      </c>
      <c r="L170" s="32">
        <v>1.5298876E10</v>
      </c>
      <c r="M170" s="32">
        <v>3588.0</v>
      </c>
      <c r="N170" s="31" t="s">
        <v>34</v>
      </c>
      <c r="O170" s="31">
        <v>25.0</v>
      </c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1.90550149E8</v>
      </c>
      <c r="B171" s="31" t="s">
        <v>425</v>
      </c>
      <c r="C171" s="32">
        <v>2.3280229E7</v>
      </c>
      <c r="D171" s="32">
        <v>349900.0</v>
      </c>
      <c r="E171" s="32">
        <v>3.7921371E7</v>
      </c>
      <c r="F171" s="32">
        <v>2949176.0</v>
      </c>
      <c r="G171" s="32">
        <v>3459476.0</v>
      </c>
      <c r="H171" s="32">
        <v>1883595.0</v>
      </c>
      <c r="I171" s="32">
        <v>363915.0</v>
      </c>
      <c r="J171" s="32">
        <v>0.0</v>
      </c>
      <c r="K171" s="32">
        <v>2.344408488E9</v>
      </c>
      <c r="L171" s="32">
        <v>1.32787435E8</v>
      </c>
      <c r="M171" s="32">
        <v>6512.0</v>
      </c>
      <c r="N171" s="31" t="s">
        <v>426</v>
      </c>
      <c r="O171" s="31">
        <v>25.0</v>
      </c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1.48355572E8</v>
      </c>
      <c r="B172" s="31" t="s">
        <v>209</v>
      </c>
      <c r="C172" s="32">
        <v>2.3266596E7</v>
      </c>
      <c r="D172" s="32">
        <v>109150.0</v>
      </c>
      <c r="E172" s="32">
        <v>9182905.0</v>
      </c>
      <c r="F172" s="32">
        <v>2301777.0</v>
      </c>
      <c r="G172" s="32">
        <v>57025.0</v>
      </c>
      <c r="H172" s="32">
        <v>645107.0</v>
      </c>
      <c r="I172" s="32">
        <v>114714.0</v>
      </c>
      <c r="J172" s="32">
        <v>0.0</v>
      </c>
      <c r="K172" s="32">
        <v>2.357741223E9</v>
      </c>
      <c r="L172" s="32">
        <v>2.23164667E8</v>
      </c>
      <c r="M172" s="32">
        <v>1682.0</v>
      </c>
      <c r="N172" s="31" t="s">
        <v>147</v>
      </c>
      <c r="O172" s="31">
        <v>25.0</v>
      </c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1.1279231E8</v>
      </c>
      <c r="B173" s="31" t="s">
        <v>197</v>
      </c>
      <c r="C173" s="32">
        <v>2.3207388E7</v>
      </c>
      <c r="D173" s="32">
        <v>295500.0</v>
      </c>
      <c r="E173" s="32">
        <v>6.2268691E7</v>
      </c>
      <c r="F173" s="32">
        <v>6139427.0</v>
      </c>
      <c r="G173" s="32">
        <v>979015.0</v>
      </c>
      <c r="H173" s="32">
        <v>2324271.0</v>
      </c>
      <c r="I173" s="32">
        <v>1791954.0</v>
      </c>
      <c r="J173" s="32">
        <v>0.0</v>
      </c>
      <c r="K173" s="32">
        <v>3.1643623524E10</v>
      </c>
      <c r="L173" s="32">
        <v>3.4355762438E10</v>
      </c>
      <c r="M173" s="32">
        <v>12359.0</v>
      </c>
      <c r="N173" s="31" t="s">
        <v>34</v>
      </c>
      <c r="O173" s="31">
        <v>25.0</v>
      </c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3">
        <v>1.72587132E8</v>
      </c>
      <c r="B174" s="33" t="s">
        <v>212</v>
      </c>
      <c r="C174" s="34">
        <v>2.3013453E7</v>
      </c>
      <c r="D174" s="32">
        <v>975096.0</v>
      </c>
      <c r="E174" s="34">
        <v>4830923.0</v>
      </c>
      <c r="F174" s="34">
        <v>1608532.0</v>
      </c>
      <c r="G174" s="34">
        <v>280268.0</v>
      </c>
      <c r="H174" s="34">
        <v>383297.0</v>
      </c>
      <c r="I174" s="34">
        <v>31497.0</v>
      </c>
      <c r="J174" s="34">
        <v>0.0</v>
      </c>
      <c r="K174" s="34">
        <v>1.3391325275E10</v>
      </c>
      <c r="L174" s="34">
        <v>1.2811436288E10</v>
      </c>
      <c r="M174" s="34">
        <v>4167.0</v>
      </c>
      <c r="N174" s="33" t="s">
        <v>94</v>
      </c>
      <c r="O174" s="33">
        <v>23.0</v>
      </c>
      <c r="P174" s="33"/>
      <c r="Q174" s="33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1.74530133E8</v>
      </c>
      <c r="B175" s="31" t="s">
        <v>214</v>
      </c>
      <c r="C175" s="32">
        <v>2.2903841E7</v>
      </c>
      <c r="D175" s="32">
        <v>5600.0</v>
      </c>
      <c r="E175" s="32">
        <v>2253561.0</v>
      </c>
      <c r="F175" s="32">
        <v>331940.0</v>
      </c>
      <c r="G175" s="32">
        <v>3127.0</v>
      </c>
      <c r="H175" s="32">
        <v>27691.0</v>
      </c>
      <c r="I175" s="32">
        <v>96770.0</v>
      </c>
      <c r="J175" s="32">
        <v>0.0</v>
      </c>
      <c r="K175" s="32">
        <v>1.647869517E10</v>
      </c>
      <c r="L175" s="32">
        <v>1.3337260959E10</v>
      </c>
      <c r="M175" s="32">
        <v>3716.0</v>
      </c>
      <c r="N175" s="31" t="s">
        <v>165</v>
      </c>
      <c r="O175" s="31">
        <v>25.0</v>
      </c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1.44048678E8</v>
      </c>
      <c r="B176" s="31" t="s">
        <v>378</v>
      </c>
      <c r="C176" s="32">
        <v>2.28695E7</v>
      </c>
      <c r="D176" s="32">
        <v>0.0</v>
      </c>
      <c r="E176" s="32">
        <v>2.9011803E7</v>
      </c>
      <c r="F176" s="32">
        <v>1132703.0</v>
      </c>
      <c r="G176" s="32">
        <v>1935146.0</v>
      </c>
      <c r="H176" s="32">
        <v>2138865.0</v>
      </c>
      <c r="I176" s="32">
        <v>118356.0</v>
      </c>
      <c r="J176" s="32">
        <v>0.0</v>
      </c>
      <c r="K176" s="32">
        <v>3.112206198E9</v>
      </c>
      <c r="L176" s="32">
        <v>4727048.0</v>
      </c>
      <c r="M176" s="32">
        <v>8309.0</v>
      </c>
      <c r="N176" s="31" t="s">
        <v>66</v>
      </c>
      <c r="O176" s="31">
        <v>25.0</v>
      </c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1.44034173E8</v>
      </c>
      <c r="B177" s="31" t="s">
        <v>427</v>
      </c>
      <c r="C177" s="32">
        <v>2.2861121E7</v>
      </c>
      <c r="D177" s="32">
        <v>173919.0</v>
      </c>
      <c r="E177" s="32">
        <v>5.8304964E7</v>
      </c>
      <c r="F177" s="32">
        <v>2384004.0</v>
      </c>
      <c r="G177" s="32">
        <v>2479362.0</v>
      </c>
      <c r="H177" s="32">
        <v>2537151.0</v>
      </c>
      <c r="I177" s="32">
        <v>327251.0</v>
      </c>
      <c r="J177" s="32">
        <v>0.0</v>
      </c>
      <c r="K177" s="32">
        <v>3.646994224E9</v>
      </c>
      <c r="L177" s="32">
        <v>73477.0</v>
      </c>
      <c r="M177" s="32">
        <v>12474.0</v>
      </c>
      <c r="N177" s="31" t="s">
        <v>119</v>
      </c>
      <c r="O177" s="31">
        <v>25.0</v>
      </c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1.44112459E8</v>
      </c>
      <c r="B178" s="31" t="s">
        <v>379</v>
      </c>
      <c r="C178" s="32">
        <v>2.280237E7</v>
      </c>
      <c r="D178" s="32">
        <v>0.0</v>
      </c>
      <c r="E178" s="32">
        <v>696518.0</v>
      </c>
      <c r="F178" s="32">
        <v>49469.0</v>
      </c>
      <c r="G178" s="32">
        <v>6563.0</v>
      </c>
      <c r="H178" s="32">
        <v>9190.0</v>
      </c>
      <c r="I178" s="32">
        <v>0.0</v>
      </c>
      <c r="J178" s="32">
        <v>0.0</v>
      </c>
      <c r="K178" s="32">
        <v>1.962412431E9</v>
      </c>
      <c r="L178" s="32">
        <v>0.0</v>
      </c>
      <c r="M178" s="32">
        <v>1289.0</v>
      </c>
      <c r="N178" s="31" t="s">
        <v>66</v>
      </c>
      <c r="O178" s="31">
        <v>25.0</v>
      </c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3">
        <v>9.716129E7</v>
      </c>
      <c r="B179" s="33" t="s">
        <v>216</v>
      </c>
      <c r="C179" s="34">
        <v>2.2258853E7</v>
      </c>
      <c r="D179" s="32">
        <v>349599.0</v>
      </c>
      <c r="E179" s="34">
        <v>663448.0</v>
      </c>
      <c r="F179" s="34">
        <v>580431.0</v>
      </c>
      <c r="G179" s="34">
        <v>3771.0</v>
      </c>
      <c r="H179" s="34">
        <v>10201.0</v>
      </c>
      <c r="I179" s="34">
        <v>27973.0</v>
      </c>
      <c r="J179" s="34">
        <v>0.0</v>
      </c>
      <c r="K179" s="34">
        <v>4.429053015E9</v>
      </c>
      <c r="L179" s="34">
        <v>1.480147062E9</v>
      </c>
      <c r="M179" s="34">
        <v>724.0</v>
      </c>
      <c r="N179" s="33" t="s">
        <v>34</v>
      </c>
      <c r="O179" s="33">
        <v>24.0</v>
      </c>
      <c r="P179" s="33"/>
      <c r="Q179" s="33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3">
        <v>1.75706269E8</v>
      </c>
      <c r="B180" s="33" t="s">
        <v>219</v>
      </c>
      <c r="C180" s="34">
        <v>2.2059886E7</v>
      </c>
      <c r="D180" s="32">
        <v>495782.0</v>
      </c>
      <c r="E180" s="34">
        <v>8860602.0</v>
      </c>
      <c r="F180" s="34">
        <v>1519238.0</v>
      </c>
      <c r="G180" s="34">
        <v>21032.0</v>
      </c>
      <c r="H180" s="34">
        <v>813972.0</v>
      </c>
      <c r="I180" s="34">
        <v>23044.0</v>
      </c>
      <c r="J180" s="34">
        <v>0.0</v>
      </c>
      <c r="K180" s="34">
        <v>2.934936006E9</v>
      </c>
      <c r="L180" s="34">
        <v>3.22468511E8</v>
      </c>
      <c r="M180" s="34">
        <v>1071.0</v>
      </c>
      <c r="N180" s="33" t="s">
        <v>220</v>
      </c>
      <c r="O180" s="33">
        <v>24.0</v>
      </c>
      <c r="P180" s="33"/>
      <c r="Q180" s="33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1.24153706E8</v>
      </c>
      <c r="B181" s="31" t="s">
        <v>226</v>
      </c>
      <c r="C181" s="32">
        <v>2.1944783E7</v>
      </c>
      <c r="D181" s="32">
        <v>212509.0</v>
      </c>
      <c r="E181" s="32">
        <v>5922068.0</v>
      </c>
      <c r="F181" s="32">
        <v>1692075.0</v>
      </c>
      <c r="G181" s="32">
        <v>330724.0</v>
      </c>
      <c r="H181" s="32">
        <v>470573.0</v>
      </c>
      <c r="I181" s="32">
        <v>52787.0</v>
      </c>
      <c r="J181" s="32">
        <v>0.0</v>
      </c>
      <c r="K181" s="32">
        <v>5.319472645E9</v>
      </c>
      <c r="L181" s="32">
        <v>5.642037005E9</v>
      </c>
      <c r="M181" s="32">
        <v>10209.0</v>
      </c>
      <c r="N181" s="31" t="s">
        <v>153</v>
      </c>
      <c r="O181" s="31">
        <v>25.0</v>
      </c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1.58392134E8</v>
      </c>
      <c r="B182" s="31" t="s">
        <v>428</v>
      </c>
      <c r="C182" s="32">
        <v>2.1713118E7</v>
      </c>
      <c r="D182" s="32">
        <v>689308.0</v>
      </c>
      <c r="E182" s="32">
        <v>4.6661522E7</v>
      </c>
      <c r="F182" s="32">
        <v>3322532.0</v>
      </c>
      <c r="G182" s="32">
        <v>1517402.0</v>
      </c>
      <c r="H182" s="32">
        <v>2548069.0</v>
      </c>
      <c r="I182" s="32">
        <v>767094.0</v>
      </c>
      <c r="J182" s="32">
        <v>0.0</v>
      </c>
      <c r="K182" s="32">
        <v>4.07815513E9</v>
      </c>
      <c r="L182" s="32">
        <v>2.858249361E9</v>
      </c>
      <c r="M182" s="32">
        <v>13829.0</v>
      </c>
      <c r="N182" s="31" t="s">
        <v>34</v>
      </c>
      <c r="O182" s="31">
        <v>25.0</v>
      </c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3">
        <v>1.72730913E8</v>
      </c>
      <c r="B183" s="33" t="s">
        <v>221</v>
      </c>
      <c r="C183" s="34">
        <v>2.1429717E7</v>
      </c>
      <c r="D183" s="32">
        <v>404458.0</v>
      </c>
      <c r="E183" s="34">
        <v>-1.0</v>
      </c>
      <c r="F183" s="34">
        <v>0.0</v>
      </c>
      <c r="G183" s="34">
        <v>0.0</v>
      </c>
      <c r="H183" s="34">
        <v>0.0</v>
      </c>
      <c r="I183" s="34">
        <v>0.0</v>
      </c>
      <c r="J183" s="34">
        <v>0.0</v>
      </c>
      <c r="K183" s="34">
        <v>5.239700274E9</v>
      </c>
      <c r="L183" s="34">
        <v>1.54E7</v>
      </c>
      <c r="M183" s="34">
        <v>1802.0</v>
      </c>
      <c r="N183" s="33" t="s">
        <v>153</v>
      </c>
      <c r="O183" s="33">
        <v>23.0</v>
      </c>
      <c r="P183" s="33"/>
      <c r="Q183" s="33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6.9795161E7</v>
      </c>
      <c r="B184" s="31" t="s">
        <v>218</v>
      </c>
      <c r="C184" s="32">
        <v>2.1328097E7</v>
      </c>
      <c r="D184" s="32">
        <v>94400.0</v>
      </c>
      <c r="E184" s="32">
        <v>1005744.0</v>
      </c>
      <c r="F184" s="32">
        <v>680216.0</v>
      </c>
      <c r="G184" s="32">
        <v>3542.0</v>
      </c>
      <c r="H184" s="32">
        <v>22474.0</v>
      </c>
      <c r="I184" s="32">
        <v>38910.0</v>
      </c>
      <c r="J184" s="32">
        <v>0.0</v>
      </c>
      <c r="K184" s="32">
        <v>5.272769487E9</v>
      </c>
      <c r="L184" s="32">
        <v>2.966813705E9</v>
      </c>
      <c r="M184" s="32">
        <v>2145.0</v>
      </c>
      <c r="N184" s="31" t="s">
        <v>147</v>
      </c>
      <c r="O184" s="31">
        <v>25.0</v>
      </c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3">
        <v>1.73351722E8</v>
      </c>
      <c r="B185" s="33" t="s">
        <v>236</v>
      </c>
      <c r="C185" s="34">
        <v>2.1308467E7</v>
      </c>
      <c r="D185" s="32">
        <v>521014.0</v>
      </c>
      <c r="E185" s="34">
        <v>7033148.0</v>
      </c>
      <c r="F185" s="34">
        <v>471728.0</v>
      </c>
      <c r="G185" s="34">
        <v>323190.0</v>
      </c>
      <c r="H185" s="34">
        <v>336667.0</v>
      </c>
      <c r="I185" s="34">
        <v>180092.0</v>
      </c>
      <c r="J185" s="34">
        <v>0.0</v>
      </c>
      <c r="K185" s="34">
        <v>1.0559708086E10</v>
      </c>
      <c r="L185" s="34">
        <v>6.658700087E9</v>
      </c>
      <c r="M185" s="34">
        <v>1959.0</v>
      </c>
      <c r="N185" s="33" t="s">
        <v>153</v>
      </c>
      <c r="O185" s="33">
        <v>24.0</v>
      </c>
      <c r="P185" s="33"/>
      <c r="Q185" s="33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1.4586076E8</v>
      </c>
      <c r="B186" s="31" t="s">
        <v>223</v>
      </c>
      <c r="C186" s="32">
        <v>2.1288346E7</v>
      </c>
      <c r="D186" s="32">
        <v>571761.0</v>
      </c>
      <c r="E186" s="32">
        <v>2503746.0</v>
      </c>
      <c r="F186" s="32">
        <v>641516.0</v>
      </c>
      <c r="G186" s="32">
        <v>196473.0</v>
      </c>
      <c r="H186" s="32">
        <v>204412.0</v>
      </c>
      <c r="I186" s="32">
        <v>0.0</v>
      </c>
      <c r="J186" s="32">
        <v>0.0</v>
      </c>
      <c r="K186" s="32">
        <v>7.442111383E9</v>
      </c>
      <c r="L186" s="32">
        <v>7.106242499E9</v>
      </c>
      <c r="M186" s="32">
        <v>3183.0</v>
      </c>
      <c r="N186" s="31" t="s">
        <v>153</v>
      </c>
      <c r="O186" s="31">
        <v>25.0</v>
      </c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1.72508036E8</v>
      </c>
      <c r="B187" s="31" t="s">
        <v>213</v>
      </c>
      <c r="C187" s="32">
        <v>2.1211382E7</v>
      </c>
      <c r="D187" s="32">
        <v>534690.0</v>
      </c>
      <c r="E187" s="32">
        <v>4236308.0</v>
      </c>
      <c r="F187" s="32">
        <v>678453.0</v>
      </c>
      <c r="G187" s="32">
        <v>0.0</v>
      </c>
      <c r="H187" s="32">
        <v>26217.0</v>
      </c>
      <c r="I187" s="32">
        <v>198527.0</v>
      </c>
      <c r="J187" s="32">
        <v>0.0</v>
      </c>
      <c r="K187" s="32">
        <v>4.204106689E9</v>
      </c>
      <c r="L187" s="32">
        <v>1.2904E9</v>
      </c>
      <c r="M187" s="32">
        <v>1267.0</v>
      </c>
      <c r="N187" s="31" t="s">
        <v>34</v>
      </c>
      <c r="O187" s="31">
        <v>25.0</v>
      </c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7521367.0</v>
      </c>
      <c r="B188" s="31" t="s">
        <v>234</v>
      </c>
      <c r="C188" s="32">
        <v>2.0937429E7</v>
      </c>
      <c r="D188" s="32">
        <v>537536.0</v>
      </c>
      <c r="E188" s="32">
        <v>5.71434E7</v>
      </c>
      <c r="F188" s="32">
        <v>2406092.0</v>
      </c>
      <c r="G188" s="32">
        <v>197902.0</v>
      </c>
      <c r="H188" s="32">
        <v>2458366.0</v>
      </c>
      <c r="I188" s="32">
        <v>1621125.0</v>
      </c>
      <c r="J188" s="32">
        <v>0.0</v>
      </c>
      <c r="K188" s="32">
        <v>7.425657556E9</v>
      </c>
      <c r="L188" s="32">
        <v>7.085159383E9</v>
      </c>
      <c r="M188" s="32">
        <v>3687.0</v>
      </c>
      <c r="N188" s="31" t="s">
        <v>147</v>
      </c>
      <c r="O188" s="31">
        <v>25.0</v>
      </c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3">
        <v>1.71989291E8</v>
      </c>
      <c r="B189" s="33" t="s">
        <v>224</v>
      </c>
      <c r="C189" s="34">
        <v>2.0773258E7</v>
      </c>
      <c r="D189" s="32">
        <v>60513.0</v>
      </c>
      <c r="E189" s="34">
        <v>1953757.0</v>
      </c>
      <c r="F189" s="34">
        <v>1329583.0</v>
      </c>
      <c r="G189" s="34">
        <v>1398.0</v>
      </c>
      <c r="H189" s="34">
        <v>2019.0</v>
      </c>
      <c r="I189" s="34">
        <v>94344.0</v>
      </c>
      <c r="J189" s="34">
        <v>0.0</v>
      </c>
      <c r="K189" s="34">
        <v>1.0066209091E10</v>
      </c>
      <c r="L189" s="34">
        <v>9.45522926E9</v>
      </c>
      <c r="M189" s="34">
        <v>3502.0</v>
      </c>
      <c r="N189" s="33" t="s">
        <v>153</v>
      </c>
      <c r="O189" s="33">
        <v>24.0</v>
      </c>
      <c r="P189" s="33"/>
      <c r="Q189" s="33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1.07309959E8</v>
      </c>
      <c r="B190" s="31" t="s">
        <v>229</v>
      </c>
      <c r="C190" s="32">
        <v>2.0188155E7</v>
      </c>
      <c r="D190" s="32">
        <v>71790.0</v>
      </c>
      <c r="E190" s="32">
        <v>880638.0</v>
      </c>
      <c r="F190" s="32">
        <v>633209.0</v>
      </c>
      <c r="G190" s="32">
        <v>24063.0</v>
      </c>
      <c r="H190" s="32">
        <v>19253.0</v>
      </c>
      <c r="I190" s="32">
        <v>0.0</v>
      </c>
      <c r="J190" s="32">
        <v>0.0</v>
      </c>
      <c r="K190" s="32">
        <v>4.5724519E9</v>
      </c>
      <c r="L190" s="32">
        <v>1.692E9</v>
      </c>
      <c r="M190" s="32">
        <v>2353.0</v>
      </c>
      <c r="N190" s="31" t="s">
        <v>153</v>
      </c>
      <c r="O190" s="31">
        <v>25.0</v>
      </c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3">
        <v>1.59674611E8</v>
      </c>
      <c r="B191" s="33" t="s">
        <v>260</v>
      </c>
      <c r="C191" s="34">
        <v>2.0064614E7</v>
      </c>
      <c r="D191" s="32">
        <v>93964.0</v>
      </c>
      <c r="E191" s="34">
        <v>932235.0</v>
      </c>
      <c r="F191" s="34">
        <v>136798.0</v>
      </c>
      <c r="G191" s="34">
        <v>509198.0</v>
      </c>
      <c r="H191" s="34">
        <v>5166.0</v>
      </c>
      <c r="I191" s="34">
        <v>0.0</v>
      </c>
      <c r="J191" s="34">
        <v>0.0</v>
      </c>
      <c r="K191" s="34">
        <v>3.139554102E9</v>
      </c>
      <c r="L191" s="34">
        <v>8.00719676E8</v>
      </c>
      <c r="M191" s="34">
        <v>2386.0</v>
      </c>
      <c r="N191" s="33" t="s">
        <v>94</v>
      </c>
      <c r="O191" s="33">
        <v>23.0</v>
      </c>
      <c r="P191" s="33"/>
      <c r="Q191" s="33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3">
        <v>1.47792502E8</v>
      </c>
      <c r="B192" s="33" t="s">
        <v>232</v>
      </c>
      <c r="C192" s="34">
        <v>1.9964726E7</v>
      </c>
      <c r="D192" s="32">
        <v>7200.0</v>
      </c>
      <c r="E192" s="34">
        <v>1.5553596E7</v>
      </c>
      <c r="F192" s="34">
        <v>501345.0</v>
      </c>
      <c r="G192" s="34">
        <v>265931.0</v>
      </c>
      <c r="H192" s="34">
        <v>1325650.0</v>
      </c>
      <c r="I192" s="34">
        <v>68313.0</v>
      </c>
      <c r="J192" s="34">
        <v>0.0</v>
      </c>
      <c r="K192" s="34">
        <v>1.9017206963E10</v>
      </c>
      <c r="L192" s="34">
        <v>1.7534045568E10</v>
      </c>
      <c r="M192" s="34">
        <v>6827.0</v>
      </c>
      <c r="N192" s="33" t="s">
        <v>153</v>
      </c>
      <c r="O192" s="33">
        <v>24.0</v>
      </c>
      <c r="P192" s="33"/>
      <c r="Q192" s="33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1.37982827E8</v>
      </c>
      <c r="B193" s="31" t="s">
        <v>230</v>
      </c>
      <c r="C193" s="32">
        <v>1.9846388E7</v>
      </c>
      <c r="D193" s="32">
        <v>289600.0</v>
      </c>
      <c r="E193" s="32">
        <v>1033440.0</v>
      </c>
      <c r="F193" s="32">
        <v>1686588.0</v>
      </c>
      <c r="G193" s="32">
        <v>928101.0</v>
      </c>
      <c r="H193" s="32">
        <v>2888.0</v>
      </c>
      <c r="I193" s="32">
        <v>37966.0</v>
      </c>
      <c r="J193" s="32">
        <v>0.0</v>
      </c>
      <c r="K193" s="32">
        <v>2.2222494164E10</v>
      </c>
      <c r="L193" s="32">
        <v>2.3894156934E10</v>
      </c>
      <c r="M193" s="32">
        <v>4617.0</v>
      </c>
      <c r="N193" s="31" t="s">
        <v>153</v>
      </c>
      <c r="O193" s="31">
        <v>25.0</v>
      </c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3">
        <v>1.4404346E8</v>
      </c>
      <c r="B194" s="33" t="s">
        <v>231</v>
      </c>
      <c r="C194" s="34">
        <v>1.9501753E7</v>
      </c>
      <c r="D194" s="32">
        <v>2245139.0</v>
      </c>
      <c r="E194" s="34">
        <v>2445760.0</v>
      </c>
      <c r="F194" s="34">
        <v>213678.0</v>
      </c>
      <c r="G194" s="34">
        <v>156164.0</v>
      </c>
      <c r="H194" s="34">
        <v>6083.0</v>
      </c>
      <c r="I194" s="34">
        <v>0.0</v>
      </c>
      <c r="J194" s="34">
        <v>0.0</v>
      </c>
      <c r="K194" s="34">
        <v>2.553370616E9</v>
      </c>
      <c r="L194" s="34">
        <v>0.0</v>
      </c>
      <c r="M194" s="34">
        <v>1417.0</v>
      </c>
      <c r="N194" s="33" t="s">
        <v>165</v>
      </c>
      <c r="O194" s="33">
        <v>24.0</v>
      </c>
      <c r="P194" s="33"/>
      <c r="Q194" s="33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1">
        <v>1.0996021E8</v>
      </c>
      <c r="B195" s="31" t="s">
        <v>227</v>
      </c>
      <c r="C195" s="32">
        <v>1.950022E7</v>
      </c>
      <c r="D195" s="32">
        <v>188072.0</v>
      </c>
      <c r="E195" s="32">
        <v>1.0316509E7</v>
      </c>
      <c r="F195" s="32">
        <v>537460.0</v>
      </c>
      <c r="G195" s="32">
        <v>1229.0</v>
      </c>
      <c r="H195" s="32">
        <v>313298.0</v>
      </c>
      <c r="I195" s="32">
        <v>359153.0</v>
      </c>
      <c r="J195" s="32">
        <v>0.0</v>
      </c>
      <c r="K195" s="32">
        <v>3.205509282E9</v>
      </c>
      <c r="L195" s="32">
        <v>1.108856569E9</v>
      </c>
      <c r="M195" s="32">
        <v>1387.0</v>
      </c>
      <c r="N195" s="31" t="s">
        <v>34</v>
      </c>
      <c r="O195" s="31">
        <v>25.0</v>
      </c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1.56369343E8</v>
      </c>
      <c r="B196" s="31" t="s">
        <v>429</v>
      </c>
      <c r="C196" s="32">
        <v>1.9426097E7</v>
      </c>
      <c r="D196" s="32">
        <v>-712695.0</v>
      </c>
      <c r="E196" s="32">
        <v>3841633.0</v>
      </c>
      <c r="F196" s="32">
        <v>249543.0</v>
      </c>
      <c r="G196" s="32">
        <v>26836.0</v>
      </c>
      <c r="H196" s="32">
        <v>365508.0</v>
      </c>
      <c r="I196" s="32">
        <v>7588.0</v>
      </c>
      <c r="J196" s="32">
        <v>0.0</v>
      </c>
      <c r="K196" s="32">
        <v>2.089857744E9</v>
      </c>
      <c r="L196" s="32">
        <v>0.0</v>
      </c>
      <c r="M196" s="32">
        <v>1328.0</v>
      </c>
      <c r="N196" s="31" t="s">
        <v>66</v>
      </c>
      <c r="O196" s="31">
        <v>25.0</v>
      </c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3">
        <v>1.79309911E8</v>
      </c>
      <c r="B197" s="33" t="s">
        <v>250</v>
      </c>
      <c r="C197" s="34">
        <v>1.9320216E7</v>
      </c>
      <c r="D197" s="32">
        <v>78000.0</v>
      </c>
      <c r="E197" s="34">
        <v>3539957.0</v>
      </c>
      <c r="F197" s="34">
        <v>1463306.0</v>
      </c>
      <c r="G197" s="34">
        <v>52987.0</v>
      </c>
      <c r="H197" s="34">
        <v>321378.0</v>
      </c>
      <c r="I197" s="34">
        <v>5689.0</v>
      </c>
      <c r="J197" s="34">
        <v>0.0</v>
      </c>
      <c r="K197" s="34">
        <v>5.635087676E9</v>
      </c>
      <c r="L197" s="34">
        <v>3.928426222E9</v>
      </c>
      <c r="M197" s="34">
        <v>1475.0</v>
      </c>
      <c r="N197" s="33" t="s">
        <v>94</v>
      </c>
      <c r="O197" s="33">
        <v>24.0</v>
      </c>
      <c r="P197" s="33"/>
      <c r="Q197" s="33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1.44034439E8</v>
      </c>
      <c r="B198" s="31" t="s">
        <v>235</v>
      </c>
      <c r="C198" s="32">
        <v>1.9237081E7</v>
      </c>
      <c r="D198" s="32">
        <v>305800.0</v>
      </c>
      <c r="E198" s="32">
        <v>3185436.0</v>
      </c>
      <c r="F198" s="32">
        <v>5053227.0</v>
      </c>
      <c r="G198" s="32">
        <v>37361.0</v>
      </c>
      <c r="H198" s="32">
        <v>106493.0</v>
      </c>
      <c r="I198" s="32">
        <v>89020.0</v>
      </c>
      <c r="J198" s="32">
        <v>0.0</v>
      </c>
      <c r="K198" s="32">
        <v>9.963205091E9</v>
      </c>
      <c r="L198" s="32">
        <v>0.0</v>
      </c>
      <c r="M198" s="32">
        <v>7395.0</v>
      </c>
      <c r="N198" s="31" t="s">
        <v>165</v>
      </c>
      <c r="O198" s="31">
        <v>25.0</v>
      </c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3">
        <v>1.84287725E8</v>
      </c>
      <c r="B199" s="33" t="s">
        <v>233</v>
      </c>
      <c r="C199" s="34">
        <v>1.9048959E7</v>
      </c>
      <c r="D199" s="32">
        <v>916042.0</v>
      </c>
      <c r="E199" s="34">
        <v>173990.0</v>
      </c>
      <c r="F199" s="34">
        <v>0.0</v>
      </c>
      <c r="G199" s="34">
        <v>0.0</v>
      </c>
      <c r="H199" s="34">
        <v>6551.0</v>
      </c>
      <c r="I199" s="34">
        <v>5424.0</v>
      </c>
      <c r="J199" s="34">
        <v>0.0</v>
      </c>
      <c r="K199" s="34">
        <v>4.160139327E9</v>
      </c>
      <c r="L199" s="34">
        <v>9.48629321E8</v>
      </c>
      <c r="M199" s="34">
        <v>828.0</v>
      </c>
      <c r="N199" s="33" t="s">
        <v>94</v>
      </c>
      <c r="O199" s="33">
        <v>23.0</v>
      </c>
      <c r="P199" s="33"/>
      <c r="Q199" s="33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3">
        <v>1.44114159E8</v>
      </c>
      <c r="B200" s="33" t="s">
        <v>241</v>
      </c>
      <c r="C200" s="34">
        <v>1.8895267E7</v>
      </c>
      <c r="D200" s="32">
        <v>448204.0</v>
      </c>
      <c r="E200" s="34">
        <v>606950.0</v>
      </c>
      <c r="F200" s="34">
        <v>78932.0</v>
      </c>
      <c r="G200" s="34">
        <v>21961.0</v>
      </c>
      <c r="H200" s="34">
        <v>9565.0</v>
      </c>
      <c r="I200" s="34">
        <v>11469.0</v>
      </c>
      <c r="J200" s="34">
        <v>0.0</v>
      </c>
      <c r="K200" s="34">
        <v>1.594669494E9</v>
      </c>
      <c r="L200" s="34">
        <v>1424156.0</v>
      </c>
      <c r="M200" s="34">
        <v>1973.0</v>
      </c>
      <c r="N200" s="33" t="s">
        <v>165</v>
      </c>
      <c r="O200" s="33">
        <v>23.0</v>
      </c>
      <c r="P200" s="33"/>
      <c r="Q200" s="33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1.44068963E8</v>
      </c>
      <c r="B201" s="31" t="s">
        <v>239</v>
      </c>
      <c r="C201" s="32">
        <v>1.8796163E7</v>
      </c>
      <c r="D201" s="32">
        <v>182369.0</v>
      </c>
      <c r="E201" s="32">
        <v>1242154.0</v>
      </c>
      <c r="F201" s="32">
        <v>1892316.0</v>
      </c>
      <c r="G201" s="32">
        <v>10404.0</v>
      </c>
      <c r="H201" s="32">
        <v>7009.0</v>
      </c>
      <c r="I201" s="32">
        <v>57313.0</v>
      </c>
      <c r="J201" s="32">
        <v>0.0</v>
      </c>
      <c r="K201" s="32">
        <v>1.815078574E9</v>
      </c>
      <c r="L201" s="32">
        <v>200000.0</v>
      </c>
      <c r="M201" s="32">
        <v>323.0</v>
      </c>
      <c r="N201" s="31" t="s">
        <v>240</v>
      </c>
      <c r="O201" s="31">
        <v>25.0</v>
      </c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1.20777788E8</v>
      </c>
      <c r="B202" s="31" t="s">
        <v>243</v>
      </c>
      <c r="C202" s="32">
        <v>1.8732955E7</v>
      </c>
      <c r="D202" s="32">
        <v>157071.0</v>
      </c>
      <c r="E202" s="32">
        <v>4909327.0</v>
      </c>
      <c r="F202" s="32">
        <v>2915331.0</v>
      </c>
      <c r="G202" s="32">
        <v>140139.0</v>
      </c>
      <c r="H202" s="32">
        <v>337930.0</v>
      </c>
      <c r="I202" s="32">
        <v>75001.0</v>
      </c>
      <c r="J202" s="32">
        <v>0.0</v>
      </c>
      <c r="K202" s="32">
        <v>8.548492805E9</v>
      </c>
      <c r="L202" s="32">
        <v>5.753862172E9</v>
      </c>
      <c r="M202" s="32">
        <v>2456.0</v>
      </c>
      <c r="N202" s="31" t="s">
        <v>66</v>
      </c>
      <c r="O202" s="31">
        <v>25.0</v>
      </c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1.4065212E8</v>
      </c>
      <c r="B203" s="33" t="s">
        <v>238</v>
      </c>
      <c r="C203" s="34">
        <v>1.8565811E7</v>
      </c>
      <c r="D203" s="32">
        <v>272200.0</v>
      </c>
      <c r="E203" s="34">
        <v>4736361.0</v>
      </c>
      <c r="F203" s="34">
        <v>2093014.0</v>
      </c>
      <c r="G203" s="34">
        <v>14525.0</v>
      </c>
      <c r="H203" s="34">
        <v>310893.0</v>
      </c>
      <c r="I203" s="34">
        <v>81061.0</v>
      </c>
      <c r="J203" s="34">
        <v>0.0</v>
      </c>
      <c r="K203" s="34">
        <v>1.5980460941E10</v>
      </c>
      <c r="L203" s="34">
        <v>1.7189586733E10</v>
      </c>
      <c r="M203" s="34">
        <v>5648.0</v>
      </c>
      <c r="N203" s="33" t="s">
        <v>153</v>
      </c>
      <c r="O203" s="33">
        <v>24.0</v>
      </c>
      <c r="P203" s="33"/>
      <c r="Q203" s="33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3">
        <v>1.90203348E8</v>
      </c>
      <c r="B204" s="33" t="s">
        <v>237</v>
      </c>
      <c r="C204" s="34">
        <v>1.8511361E7</v>
      </c>
      <c r="D204" s="32">
        <v>529358.0</v>
      </c>
      <c r="E204" s="34">
        <v>943.0</v>
      </c>
      <c r="F204" s="34">
        <v>0.0</v>
      </c>
      <c r="G204" s="34">
        <v>4717.0</v>
      </c>
      <c r="H204" s="34">
        <v>0.0</v>
      </c>
      <c r="I204" s="34">
        <v>0.0</v>
      </c>
      <c r="J204" s="34">
        <v>0.0</v>
      </c>
      <c r="K204" s="34">
        <v>4.262527525E9</v>
      </c>
      <c r="L204" s="34">
        <v>1.981971695E9</v>
      </c>
      <c r="M204" s="34">
        <v>1015.0</v>
      </c>
      <c r="N204" s="33" t="s">
        <v>147</v>
      </c>
      <c r="O204" s="33">
        <v>24.0</v>
      </c>
      <c r="P204" s="33"/>
      <c r="Q204" s="33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3">
        <v>1.26974968E8</v>
      </c>
      <c r="B205" s="33" t="s">
        <v>244</v>
      </c>
      <c r="C205" s="34">
        <v>1.846003E7</v>
      </c>
      <c r="D205" s="32">
        <v>11200.0</v>
      </c>
      <c r="E205" s="34">
        <v>1232807.0</v>
      </c>
      <c r="F205" s="34">
        <v>877225.0</v>
      </c>
      <c r="G205" s="34">
        <v>5599.0</v>
      </c>
      <c r="H205" s="34">
        <v>56920.0</v>
      </c>
      <c r="I205" s="34">
        <v>25459.0</v>
      </c>
      <c r="J205" s="34">
        <v>0.0</v>
      </c>
      <c r="K205" s="34">
        <v>9.081024081E9</v>
      </c>
      <c r="L205" s="34">
        <v>1.0674079205E10</v>
      </c>
      <c r="M205" s="34">
        <v>2682.0</v>
      </c>
      <c r="N205" s="33" t="s">
        <v>94</v>
      </c>
      <c r="O205" s="33">
        <v>24.0</v>
      </c>
      <c r="P205" s="33"/>
      <c r="Q205" s="33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3">
        <v>1.77786882E8</v>
      </c>
      <c r="B206" s="33" t="s">
        <v>242</v>
      </c>
      <c r="C206" s="34">
        <v>1.8300058E7</v>
      </c>
      <c r="D206" s="32">
        <v>335321.0</v>
      </c>
      <c r="E206" s="34">
        <v>734715.0</v>
      </c>
      <c r="F206" s="34">
        <v>2048.0</v>
      </c>
      <c r="G206" s="34">
        <v>227.0</v>
      </c>
      <c r="H206" s="34">
        <v>6051.0</v>
      </c>
      <c r="I206" s="34">
        <v>33708.0</v>
      </c>
      <c r="J206" s="34">
        <v>0.0</v>
      </c>
      <c r="K206" s="34">
        <v>1.1991203001E10</v>
      </c>
      <c r="L206" s="34">
        <v>7.062626932E9</v>
      </c>
      <c r="M206" s="34">
        <v>3186.0</v>
      </c>
      <c r="N206" s="33" t="s">
        <v>153</v>
      </c>
      <c r="O206" s="33">
        <v>24.0</v>
      </c>
      <c r="P206" s="33"/>
      <c r="Q206" s="33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3">
        <v>1.78556109E8</v>
      </c>
      <c r="B207" s="33" t="s">
        <v>248</v>
      </c>
      <c r="C207" s="34">
        <v>1.7752316E7</v>
      </c>
      <c r="D207" s="32">
        <v>0.0</v>
      </c>
      <c r="E207" s="34">
        <v>1240300.0</v>
      </c>
      <c r="F207" s="34">
        <v>125805.0</v>
      </c>
      <c r="G207" s="34">
        <v>0.0</v>
      </c>
      <c r="H207" s="34">
        <v>7308.0</v>
      </c>
      <c r="I207" s="34">
        <v>58361.0</v>
      </c>
      <c r="J207" s="34">
        <v>0.0</v>
      </c>
      <c r="K207" s="34">
        <v>1.3464979219E10</v>
      </c>
      <c r="L207" s="34">
        <v>1.2953362345E10</v>
      </c>
      <c r="M207" s="34">
        <v>3689.0</v>
      </c>
      <c r="N207" s="33" t="s">
        <v>153</v>
      </c>
      <c r="O207" s="33">
        <v>24.0</v>
      </c>
      <c r="P207" s="33"/>
      <c r="Q207" s="33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1.27147255E8</v>
      </c>
      <c r="B208" s="31" t="s">
        <v>249</v>
      </c>
      <c r="C208" s="32">
        <v>1.7667703E7</v>
      </c>
      <c r="D208" s="32">
        <v>6400.0</v>
      </c>
      <c r="E208" s="32">
        <v>1404762.0</v>
      </c>
      <c r="F208" s="32">
        <v>1620937.0</v>
      </c>
      <c r="G208" s="32">
        <v>43.0</v>
      </c>
      <c r="H208" s="32">
        <v>23523.0</v>
      </c>
      <c r="I208" s="32">
        <v>57743.0</v>
      </c>
      <c r="J208" s="32">
        <v>0.0</v>
      </c>
      <c r="K208" s="32">
        <v>1.0045180929E10</v>
      </c>
      <c r="L208" s="32">
        <v>1.4547992905E10</v>
      </c>
      <c r="M208" s="32">
        <v>2961.0</v>
      </c>
      <c r="N208" s="31" t="s">
        <v>94</v>
      </c>
      <c r="O208" s="31">
        <v>25.0</v>
      </c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3">
        <v>1.81616674E8</v>
      </c>
      <c r="B209" s="33" t="s">
        <v>247</v>
      </c>
      <c r="C209" s="34">
        <v>1.7635708E7</v>
      </c>
      <c r="D209" s="32">
        <v>364475.0</v>
      </c>
      <c r="E209" s="34">
        <v>-1.0</v>
      </c>
      <c r="F209" s="34">
        <v>0.0</v>
      </c>
      <c r="G209" s="34">
        <v>0.0</v>
      </c>
      <c r="H209" s="34">
        <v>0.0</v>
      </c>
      <c r="I209" s="34">
        <v>0.0</v>
      </c>
      <c r="J209" s="34">
        <v>0.0</v>
      </c>
      <c r="K209" s="34">
        <v>3.786473437E9</v>
      </c>
      <c r="L209" s="34">
        <v>2.739E9</v>
      </c>
      <c r="M209" s="34">
        <v>1094.0</v>
      </c>
      <c r="N209" s="33" t="s">
        <v>153</v>
      </c>
      <c r="O209" s="33">
        <v>23.0</v>
      </c>
      <c r="P209" s="33"/>
      <c r="Q209" s="33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3">
        <v>6.8552994E7</v>
      </c>
      <c r="B210" s="33" t="s">
        <v>246</v>
      </c>
      <c r="C210" s="34">
        <v>1.754317E7</v>
      </c>
      <c r="D210" s="32">
        <v>676959.0</v>
      </c>
      <c r="E210" s="34">
        <v>1055186.0</v>
      </c>
      <c r="F210" s="34">
        <v>689492.0</v>
      </c>
      <c r="G210" s="34">
        <v>237673.0</v>
      </c>
      <c r="H210" s="34">
        <v>11356.0</v>
      </c>
      <c r="I210" s="34">
        <v>11638.0</v>
      </c>
      <c r="J210" s="34">
        <v>0.0</v>
      </c>
      <c r="K210" s="34">
        <v>8.397320195E9</v>
      </c>
      <c r="L210" s="34">
        <v>5.375385608E9</v>
      </c>
      <c r="M210" s="34">
        <v>4777.0</v>
      </c>
      <c r="N210" s="33" t="s">
        <v>153</v>
      </c>
      <c r="O210" s="33">
        <v>23.0</v>
      </c>
      <c r="P210" s="33"/>
      <c r="Q210" s="33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9.9317493E7</v>
      </c>
      <c r="B211" s="31" t="s">
        <v>252</v>
      </c>
      <c r="C211" s="32">
        <v>1.7273554E7</v>
      </c>
      <c r="D211" s="32">
        <v>18000.0</v>
      </c>
      <c r="E211" s="32">
        <v>1.1147718E7</v>
      </c>
      <c r="F211" s="32">
        <v>2481046.0</v>
      </c>
      <c r="G211" s="32">
        <v>49534.0</v>
      </c>
      <c r="H211" s="32">
        <v>893317.0</v>
      </c>
      <c r="I211" s="32">
        <v>67760.0</v>
      </c>
      <c r="J211" s="32">
        <v>0.0</v>
      </c>
      <c r="K211" s="32">
        <v>2.983028283E9</v>
      </c>
      <c r="L211" s="32">
        <v>5.3065867E7</v>
      </c>
      <c r="M211" s="32">
        <v>3768.0</v>
      </c>
      <c r="N211" s="31" t="s">
        <v>126</v>
      </c>
      <c r="O211" s="31">
        <v>25.0</v>
      </c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1.28213955E8</v>
      </c>
      <c r="B212" s="33" t="s">
        <v>253</v>
      </c>
      <c r="C212" s="34">
        <v>1.6898827E7</v>
      </c>
      <c r="D212" s="32">
        <v>3200.0</v>
      </c>
      <c r="E212" s="34">
        <v>75852.0</v>
      </c>
      <c r="F212" s="34">
        <v>0.0</v>
      </c>
      <c r="G212" s="34">
        <v>720.0</v>
      </c>
      <c r="H212" s="34">
        <v>1254.0</v>
      </c>
      <c r="I212" s="34">
        <v>0.0</v>
      </c>
      <c r="J212" s="34">
        <v>0.0</v>
      </c>
      <c r="K212" s="34">
        <v>9.991954058E9</v>
      </c>
      <c r="L212" s="34">
        <v>1.176530727E10</v>
      </c>
      <c r="M212" s="34">
        <v>2505.0</v>
      </c>
      <c r="N212" s="33" t="s">
        <v>94</v>
      </c>
      <c r="O212" s="33">
        <v>24.0</v>
      </c>
      <c r="P212" s="33"/>
      <c r="Q212" s="33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1">
        <v>1.54073945E8</v>
      </c>
      <c r="B213" s="31" t="s">
        <v>381</v>
      </c>
      <c r="C213" s="32">
        <v>1.687574E7</v>
      </c>
      <c r="D213" s="32">
        <v>0.0</v>
      </c>
      <c r="E213" s="32">
        <v>3284697.0</v>
      </c>
      <c r="F213" s="32">
        <v>4029606.0</v>
      </c>
      <c r="G213" s="32">
        <v>307.0</v>
      </c>
      <c r="H213" s="32">
        <v>299366.0</v>
      </c>
      <c r="I213" s="32">
        <v>14399.0</v>
      </c>
      <c r="J213" s="32">
        <v>0.0</v>
      </c>
      <c r="K213" s="32">
        <v>6.529085335E9</v>
      </c>
      <c r="L213" s="32">
        <v>2.449004947E9</v>
      </c>
      <c r="M213" s="32">
        <v>1589.0</v>
      </c>
      <c r="N213" s="31" t="s">
        <v>430</v>
      </c>
      <c r="O213" s="31">
        <v>25.0</v>
      </c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1">
        <v>6.7692991E7</v>
      </c>
      <c r="B214" s="31" t="s">
        <v>284</v>
      </c>
      <c r="C214" s="32">
        <v>1.6668279E7</v>
      </c>
      <c r="D214" s="32">
        <v>0.0</v>
      </c>
      <c r="E214" s="32">
        <v>5.5174357E7</v>
      </c>
      <c r="F214" s="32">
        <v>2761342.0</v>
      </c>
      <c r="G214" s="32">
        <v>254236.0</v>
      </c>
      <c r="H214" s="32">
        <v>2653898.0</v>
      </c>
      <c r="I214" s="32">
        <v>1348191.0</v>
      </c>
      <c r="J214" s="32">
        <v>0.0</v>
      </c>
      <c r="K214" s="32">
        <v>6.46669336E9</v>
      </c>
      <c r="L214" s="32">
        <v>5.997427785E9</v>
      </c>
      <c r="M214" s="32">
        <v>5127.0</v>
      </c>
      <c r="N214" s="31" t="s">
        <v>147</v>
      </c>
      <c r="O214" s="31">
        <v>25.0</v>
      </c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1">
        <v>9.3652844E7</v>
      </c>
      <c r="B215" s="31" t="s">
        <v>256</v>
      </c>
      <c r="C215" s="32">
        <v>1.6569677E7</v>
      </c>
      <c r="D215" s="32">
        <v>13321.0</v>
      </c>
      <c r="E215" s="32">
        <v>155776.0</v>
      </c>
      <c r="F215" s="32">
        <v>1024.0</v>
      </c>
      <c r="G215" s="32">
        <v>9910.0</v>
      </c>
      <c r="H215" s="32">
        <v>3171.0</v>
      </c>
      <c r="I215" s="32">
        <v>4808.0</v>
      </c>
      <c r="J215" s="32">
        <v>0.0</v>
      </c>
      <c r="K215" s="32">
        <v>6.22011291E9</v>
      </c>
      <c r="L215" s="32">
        <v>5.567250887E9</v>
      </c>
      <c r="M215" s="32">
        <v>1992.0</v>
      </c>
      <c r="N215" s="31" t="s">
        <v>147</v>
      </c>
      <c r="O215" s="31">
        <v>25.0</v>
      </c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1">
        <v>3.5412124E7</v>
      </c>
      <c r="B216" s="31" t="s">
        <v>251</v>
      </c>
      <c r="C216" s="32">
        <v>1.6371933E7</v>
      </c>
      <c r="D216" s="32">
        <v>81600.0</v>
      </c>
      <c r="E216" s="32">
        <v>1.0090278E7</v>
      </c>
      <c r="F216" s="32">
        <v>1122929.0</v>
      </c>
      <c r="G216" s="32">
        <v>597662.0</v>
      </c>
      <c r="H216" s="32">
        <v>478561.0</v>
      </c>
      <c r="I216" s="32">
        <v>75045.0</v>
      </c>
      <c r="J216" s="32">
        <v>0.0</v>
      </c>
      <c r="K216" s="32">
        <v>4.16279169E8</v>
      </c>
      <c r="L216" s="32">
        <v>1709320.0</v>
      </c>
      <c r="M216" s="32">
        <v>1147.0</v>
      </c>
      <c r="N216" s="31" t="s">
        <v>165</v>
      </c>
      <c r="O216" s="31">
        <v>25.0</v>
      </c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1">
        <v>1.80504744E8</v>
      </c>
      <c r="B217" s="31" t="s">
        <v>384</v>
      </c>
      <c r="C217" s="32">
        <v>1.6081783E7</v>
      </c>
      <c r="D217" s="32">
        <v>467545.0</v>
      </c>
      <c r="E217" s="32">
        <v>63296.0</v>
      </c>
      <c r="F217" s="32">
        <v>183910.0</v>
      </c>
      <c r="G217" s="32">
        <v>1162.0</v>
      </c>
      <c r="H217" s="32">
        <v>3864.0</v>
      </c>
      <c r="I217" s="32">
        <v>951.0</v>
      </c>
      <c r="J217" s="32">
        <v>0.0</v>
      </c>
      <c r="K217" s="32">
        <v>2.140455964E9</v>
      </c>
      <c r="L217" s="32">
        <v>6.82759846E8</v>
      </c>
      <c r="M217" s="32">
        <v>884.0</v>
      </c>
      <c r="N217" s="31" t="s">
        <v>165</v>
      </c>
      <c r="O217" s="31">
        <v>25.0</v>
      </c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1.67715529E8</v>
      </c>
      <c r="B218" s="33" t="s">
        <v>257</v>
      </c>
      <c r="C218" s="34">
        <v>1.5972547E7</v>
      </c>
      <c r="D218" s="32">
        <v>211200.0</v>
      </c>
      <c r="E218" s="34">
        <v>45360.0</v>
      </c>
      <c r="F218" s="34">
        <v>0.0</v>
      </c>
      <c r="G218" s="34">
        <v>0.0</v>
      </c>
      <c r="H218" s="34">
        <v>1832.0</v>
      </c>
      <c r="I218" s="34">
        <v>1352.0</v>
      </c>
      <c r="J218" s="34">
        <v>0.0</v>
      </c>
      <c r="K218" s="34">
        <v>8.7759833E9</v>
      </c>
      <c r="L218" s="34">
        <v>6.044415749E9</v>
      </c>
      <c r="M218" s="34">
        <v>1841.0</v>
      </c>
      <c r="N218" s="33" t="s">
        <v>153</v>
      </c>
      <c r="O218" s="33">
        <v>24.0</v>
      </c>
      <c r="P218" s="33"/>
      <c r="Q218" s="33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1.83302822E8</v>
      </c>
      <c r="B219" s="33" t="s">
        <v>280</v>
      </c>
      <c r="C219" s="34">
        <v>1.5954747E7</v>
      </c>
      <c r="D219" s="32">
        <v>76800.0</v>
      </c>
      <c r="E219" s="34">
        <v>877526.0</v>
      </c>
      <c r="F219" s="34">
        <v>1168563.0</v>
      </c>
      <c r="G219" s="34">
        <v>28604.0</v>
      </c>
      <c r="H219" s="34">
        <v>64450.0</v>
      </c>
      <c r="I219" s="34">
        <v>4027.0</v>
      </c>
      <c r="J219" s="34">
        <v>0.0</v>
      </c>
      <c r="K219" s="34">
        <v>4.481282693E9</v>
      </c>
      <c r="L219" s="34">
        <v>3.570526469E9</v>
      </c>
      <c r="M219" s="34">
        <v>1416.0</v>
      </c>
      <c r="N219" s="33" t="s">
        <v>94</v>
      </c>
      <c r="O219" s="33">
        <v>24.0</v>
      </c>
      <c r="P219" s="33"/>
      <c r="Q219" s="33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1.43620977E8</v>
      </c>
      <c r="B220" s="31" t="s">
        <v>431</v>
      </c>
      <c r="C220" s="32">
        <v>1.5566517E7</v>
      </c>
      <c r="D220" s="32">
        <v>0.0</v>
      </c>
      <c r="E220" s="32">
        <v>5.200476E7</v>
      </c>
      <c r="F220" s="32">
        <v>332874.0</v>
      </c>
      <c r="G220" s="32">
        <v>1691450.0</v>
      </c>
      <c r="H220" s="32">
        <v>3683186.0</v>
      </c>
      <c r="I220" s="32">
        <v>34407.0</v>
      </c>
      <c r="J220" s="32">
        <v>0.0</v>
      </c>
      <c r="K220" s="32">
        <v>1.713992871E9</v>
      </c>
      <c r="L220" s="32">
        <v>1.0987594E7</v>
      </c>
      <c r="M220" s="32">
        <v>6036.0</v>
      </c>
      <c r="N220" s="31" t="s">
        <v>66</v>
      </c>
      <c r="O220" s="31">
        <v>25.0</v>
      </c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1.59431767E8</v>
      </c>
      <c r="B221" s="33" t="s">
        <v>258</v>
      </c>
      <c r="C221" s="34">
        <v>1.5511999E7</v>
      </c>
      <c r="D221" s="32">
        <v>211521.0</v>
      </c>
      <c r="E221" s="34">
        <v>-1.0</v>
      </c>
      <c r="F221" s="34">
        <v>0.0</v>
      </c>
      <c r="G221" s="34">
        <v>0.0</v>
      </c>
      <c r="H221" s="34">
        <v>0.0</v>
      </c>
      <c r="I221" s="34">
        <v>0.0</v>
      </c>
      <c r="J221" s="34">
        <v>0.0</v>
      </c>
      <c r="K221" s="34">
        <v>4.649428545E9</v>
      </c>
      <c r="L221" s="34">
        <v>2.92994722E9</v>
      </c>
      <c r="M221" s="34">
        <v>1007.0</v>
      </c>
      <c r="N221" s="33" t="s">
        <v>153</v>
      </c>
      <c r="O221" s="33">
        <v>24.0</v>
      </c>
      <c r="P221" s="33"/>
      <c r="Q221" s="33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1">
        <v>1.75281453E8</v>
      </c>
      <c r="B222" s="31" t="s">
        <v>262</v>
      </c>
      <c r="C222" s="32">
        <v>1.5443322E7</v>
      </c>
      <c r="D222" s="32">
        <v>-102560.0</v>
      </c>
      <c r="E222" s="32">
        <v>1.212492E7</v>
      </c>
      <c r="F222" s="32">
        <v>1075106.0</v>
      </c>
      <c r="G222" s="32">
        <v>633100.0</v>
      </c>
      <c r="H222" s="32">
        <v>323471.0</v>
      </c>
      <c r="I222" s="32">
        <v>252193.0</v>
      </c>
      <c r="J222" s="32">
        <v>0.0</v>
      </c>
      <c r="K222" s="32">
        <v>3.991526195E9</v>
      </c>
      <c r="L222" s="32">
        <v>3.141644157E9</v>
      </c>
      <c r="M222" s="32">
        <v>12695.0</v>
      </c>
      <c r="N222" s="31" t="s">
        <v>153</v>
      </c>
      <c r="O222" s="31">
        <v>25.0</v>
      </c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1.96555794E8</v>
      </c>
      <c r="B223" s="33" t="s">
        <v>261</v>
      </c>
      <c r="C223" s="34">
        <v>1.5426698E7</v>
      </c>
      <c r="D223" s="32">
        <v>0.0</v>
      </c>
      <c r="E223" s="34">
        <v>112502.0</v>
      </c>
      <c r="F223" s="34">
        <v>0.0</v>
      </c>
      <c r="G223" s="34">
        <v>105330.0</v>
      </c>
      <c r="H223" s="34">
        <v>401.0</v>
      </c>
      <c r="I223" s="34">
        <v>158.0</v>
      </c>
      <c r="J223" s="34">
        <v>0.0</v>
      </c>
      <c r="K223" s="34">
        <v>4.824351287E9</v>
      </c>
      <c r="L223" s="34">
        <v>2.2616587E9</v>
      </c>
      <c r="M223" s="34">
        <v>2723.0</v>
      </c>
      <c r="N223" s="33" t="s">
        <v>94</v>
      </c>
      <c r="O223" s="33">
        <v>23.0</v>
      </c>
      <c r="P223" s="33"/>
      <c r="Q223" s="33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1.63370871E8</v>
      </c>
      <c r="B224" s="33" t="s">
        <v>382</v>
      </c>
      <c r="C224" s="34">
        <v>1.5238667E7</v>
      </c>
      <c r="D224" s="32">
        <v>-4164424.0</v>
      </c>
      <c r="E224" s="34">
        <v>1.132494E7</v>
      </c>
      <c r="F224" s="34">
        <v>1294035.0</v>
      </c>
      <c r="G224" s="34">
        <v>2144.0</v>
      </c>
      <c r="H224" s="34">
        <v>1048121.0</v>
      </c>
      <c r="I224" s="34">
        <v>39320.0</v>
      </c>
      <c r="J224" s="34">
        <v>0.0</v>
      </c>
      <c r="K224" s="34">
        <v>6.1344494E9</v>
      </c>
      <c r="L224" s="34">
        <v>1.22210377E9</v>
      </c>
      <c r="M224" s="34">
        <v>3855.0</v>
      </c>
      <c r="N224" s="33" t="s">
        <v>66</v>
      </c>
      <c r="O224" s="33">
        <v>24.0</v>
      </c>
      <c r="P224" s="33"/>
      <c r="Q224" s="33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3">
        <v>6.0296031E7</v>
      </c>
      <c r="B225" s="33" t="s">
        <v>259</v>
      </c>
      <c r="C225" s="34">
        <v>1.5106318E7</v>
      </c>
      <c r="D225" s="32">
        <v>691110.0</v>
      </c>
      <c r="E225" s="34">
        <v>1625285.0</v>
      </c>
      <c r="F225" s="34">
        <v>620082.0</v>
      </c>
      <c r="G225" s="34">
        <v>235309.0</v>
      </c>
      <c r="H225" s="34">
        <v>66549.0</v>
      </c>
      <c r="I225" s="34">
        <v>10739.0</v>
      </c>
      <c r="J225" s="34">
        <v>0.0</v>
      </c>
      <c r="K225" s="34">
        <v>1.48747099E8</v>
      </c>
      <c r="L225" s="34">
        <v>1.8999572E7</v>
      </c>
      <c r="M225" s="34">
        <v>1550.0</v>
      </c>
      <c r="N225" s="33" t="s">
        <v>66</v>
      </c>
      <c r="O225" s="33">
        <v>23.0</v>
      </c>
      <c r="P225" s="33"/>
      <c r="Q225" s="33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1.67721298E8</v>
      </c>
      <c r="B226" s="33" t="s">
        <v>266</v>
      </c>
      <c r="C226" s="34">
        <v>1.5010201E7</v>
      </c>
      <c r="D226" s="32">
        <v>38400.0</v>
      </c>
      <c r="E226" s="34">
        <v>8969284.0</v>
      </c>
      <c r="F226" s="34">
        <v>1497386.0</v>
      </c>
      <c r="G226" s="34">
        <v>45213.0</v>
      </c>
      <c r="H226" s="34">
        <v>642441.0</v>
      </c>
      <c r="I226" s="34">
        <v>114691.0</v>
      </c>
      <c r="J226" s="34">
        <v>0.0</v>
      </c>
      <c r="K226" s="34">
        <v>1.3128008804E10</v>
      </c>
      <c r="L226" s="34">
        <v>1.0235811063E10</v>
      </c>
      <c r="M226" s="34">
        <v>2294.0</v>
      </c>
      <c r="N226" s="33" t="s">
        <v>94</v>
      </c>
      <c r="O226" s="33">
        <v>24.0</v>
      </c>
      <c r="P226" s="33"/>
      <c r="Q226" s="33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1.50861707E8</v>
      </c>
      <c r="B227" s="31" t="s">
        <v>383</v>
      </c>
      <c r="C227" s="32">
        <v>1.5005171E7</v>
      </c>
      <c r="D227" s="32">
        <v>8200.0</v>
      </c>
      <c r="E227" s="32">
        <v>101747.0</v>
      </c>
      <c r="F227" s="32">
        <v>235680.0</v>
      </c>
      <c r="G227" s="32">
        <v>25.0</v>
      </c>
      <c r="H227" s="32">
        <v>2763.0</v>
      </c>
      <c r="I227" s="32">
        <v>1167.0</v>
      </c>
      <c r="J227" s="32">
        <v>0.0</v>
      </c>
      <c r="K227" s="32">
        <v>2.110086346E9</v>
      </c>
      <c r="L227" s="32">
        <v>5.16520147E8</v>
      </c>
      <c r="M227" s="32">
        <v>1233.0</v>
      </c>
      <c r="N227" s="31" t="s">
        <v>165</v>
      </c>
      <c r="O227" s="31">
        <v>25.0</v>
      </c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3">
        <v>1.92309473E8</v>
      </c>
      <c r="B228" s="33" t="s">
        <v>270</v>
      </c>
      <c r="C228" s="34">
        <v>1.4783627E7</v>
      </c>
      <c r="D228" s="32">
        <v>3300.0</v>
      </c>
      <c r="E228" s="34">
        <v>-1.0</v>
      </c>
      <c r="F228" s="34">
        <v>0.0</v>
      </c>
      <c r="G228" s="34">
        <v>0.0</v>
      </c>
      <c r="H228" s="34">
        <v>0.0</v>
      </c>
      <c r="I228" s="34">
        <v>0.0</v>
      </c>
      <c r="J228" s="34">
        <v>0.0</v>
      </c>
      <c r="K228" s="34">
        <v>5.925670166E9</v>
      </c>
      <c r="L228" s="34">
        <v>2.406281775E9</v>
      </c>
      <c r="M228" s="34">
        <v>1304.0</v>
      </c>
      <c r="N228" s="33" t="s">
        <v>153</v>
      </c>
      <c r="O228" s="33">
        <v>24.0</v>
      </c>
      <c r="P228" s="33"/>
      <c r="Q228" s="33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1.31105326E8</v>
      </c>
      <c r="B229" s="33" t="s">
        <v>271</v>
      </c>
      <c r="C229" s="34">
        <v>1.477016E7</v>
      </c>
      <c r="D229" s="32">
        <v>4800.0</v>
      </c>
      <c r="E229" s="34">
        <v>52342.0</v>
      </c>
      <c r="F229" s="34">
        <v>0.0</v>
      </c>
      <c r="G229" s="34">
        <v>8582.0</v>
      </c>
      <c r="H229" s="34">
        <v>3649.0</v>
      </c>
      <c r="I229" s="34">
        <v>0.0</v>
      </c>
      <c r="J229" s="34">
        <v>0.0</v>
      </c>
      <c r="K229" s="34">
        <v>7.903225684E9</v>
      </c>
      <c r="L229" s="34">
        <v>9.315666456E9</v>
      </c>
      <c r="M229" s="34">
        <v>1640.0</v>
      </c>
      <c r="N229" s="33" t="s">
        <v>94</v>
      </c>
      <c r="O229" s="33">
        <v>24.0</v>
      </c>
      <c r="P229" s="33"/>
      <c r="Q229" s="33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3">
        <v>1.44056117E8</v>
      </c>
      <c r="B230" s="33" t="s">
        <v>269</v>
      </c>
      <c r="C230" s="34">
        <v>1.4759747E7</v>
      </c>
      <c r="D230" s="32">
        <v>31736.0</v>
      </c>
      <c r="E230" s="34">
        <v>3285581.0</v>
      </c>
      <c r="F230" s="34">
        <v>1090347.0</v>
      </c>
      <c r="G230" s="34">
        <v>90017.0</v>
      </c>
      <c r="H230" s="34">
        <v>134161.0</v>
      </c>
      <c r="I230" s="34">
        <v>41198.0</v>
      </c>
      <c r="J230" s="34">
        <v>0.0</v>
      </c>
      <c r="K230" s="34">
        <v>2.618983945E9</v>
      </c>
      <c r="L230" s="34">
        <v>1030848.0</v>
      </c>
      <c r="M230" s="34">
        <v>860.0</v>
      </c>
      <c r="N230" s="33" t="s">
        <v>66</v>
      </c>
      <c r="O230" s="33">
        <v>23.0</v>
      </c>
      <c r="P230" s="33"/>
      <c r="Q230" s="33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1.92376835E8</v>
      </c>
      <c r="B231" s="33" t="s">
        <v>272</v>
      </c>
      <c r="C231" s="34">
        <v>1.4702941E7</v>
      </c>
      <c r="D231" s="32">
        <v>0.0</v>
      </c>
      <c r="E231" s="34">
        <v>-1.0</v>
      </c>
      <c r="F231" s="34">
        <v>0.0</v>
      </c>
      <c r="G231" s="34">
        <v>0.0</v>
      </c>
      <c r="H231" s="34">
        <v>0.0</v>
      </c>
      <c r="I231" s="34">
        <v>0.0</v>
      </c>
      <c r="J231" s="34">
        <v>0.0</v>
      </c>
      <c r="K231" s="34">
        <v>5.69192123E9</v>
      </c>
      <c r="L231" s="34">
        <v>2.225148957E9</v>
      </c>
      <c r="M231" s="34">
        <v>1325.0</v>
      </c>
      <c r="N231" s="33" t="s">
        <v>153</v>
      </c>
      <c r="O231" s="33">
        <v>24.0</v>
      </c>
      <c r="P231" s="33"/>
      <c r="Q231" s="33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3">
        <v>1.44078795E8</v>
      </c>
      <c r="B232" s="33" t="s">
        <v>263</v>
      </c>
      <c r="C232" s="34">
        <v>1.4693539E7</v>
      </c>
      <c r="D232" s="32">
        <v>-358542.0</v>
      </c>
      <c r="E232" s="34">
        <v>625179.0</v>
      </c>
      <c r="F232" s="34">
        <v>811915.0</v>
      </c>
      <c r="G232" s="34">
        <v>1515.0</v>
      </c>
      <c r="H232" s="34">
        <v>40282.0</v>
      </c>
      <c r="I232" s="34">
        <v>10908.0</v>
      </c>
      <c r="J232" s="34">
        <v>0.0</v>
      </c>
      <c r="K232" s="34">
        <v>1.66263E7</v>
      </c>
      <c r="L232" s="34">
        <v>3904993.0</v>
      </c>
      <c r="M232" s="34">
        <v>1676.0</v>
      </c>
      <c r="N232" s="33" t="s">
        <v>264</v>
      </c>
      <c r="O232" s="33">
        <v>22.0</v>
      </c>
      <c r="P232" s="33"/>
      <c r="Q232" s="33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1.68857269E8</v>
      </c>
      <c r="B233" s="33" t="s">
        <v>273</v>
      </c>
      <c r="C233" s="34">
        <v>1.4624462E7</v>
      </c>
      <c r="D233" s="32">
        <v>534476.0</v>
      </c>
      <c r="E233" s="34">
        <v>6789291.0</v>
      </c>
      <c r="F233" s="34">
        <v>1357929.0</v>
      </c>
      <c r="G233" s="34">
        <v>39286.0</v>
      </c>
      <c r="H233" s="34">
        <v>609241.0</v>
      </c>
      <c r="I233" s="34">
        <v>31548.0</v>
      </c>
      <c r="J233" s="34">
        <v>0.0</v>
      </c>
      <c r="K233" s="34">
        <v>4.006456684E9</v>
      </c>
      <c r="L233" s="34">
        <v>1.10214296E9</v>
      </c>
      <c r="M233" s="34">
        <v>1629.0</v>
      </c>
      <c r="N233" s="33" t="s">
        <v>66</v>
      </c>
      <c r="O233" s="33">
        <v>24.0</v>
      </c>
      <c r="P233" s="33"/>
      <c r="Q233" s="33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3">
        <v>1.77632834E8</v>
      </c>
      <c r="B234" s="33" t="s">
        <v>268</v>
      </c>
      <c r="C234" s="34">
        <v>1.4433556E7</v>
      </c>
      <c r="D234" s="32">
        <v>99131.0</v>
      </c>
      <c r="E234" s="34">
        <v>1711538.0</v>
      </c>
      <c r="F234" s="34">
        <v>980481.0</v>
      </c>
      <c r="G234" s="34">
        <v>1912.0</v>
      </c>
      <c r="H234" s="34">
        <v>19146.0</v>
      </c>
      <c r="I234" s="34">
        <v>75090.0</v>
      </c>
      <c r="J234" s="34">
        <v>0.0</v>
      </c>
      <c r="K234" s="34">
        <v>1.837379919E9</v>
      </c>
      <c r="L234" s="34">
        <v>6.37001512E8</v>
      </c>
      <c r="M234" s="34">
        <v>1172.0</v>
      </c>
      <c r="N234" s="33" t="s">
        <v>147</v>
      </c>
      <c r="O234" s="33">
        <v>24.0</v>
      </c>
      <c r="P234" s="33"/>
      <c r="Q234" s="33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9.0073079E7</v>
      </c>
      <c r="B235" s="33" t="s">
        <v>275</v>
      </c>
      <c r="C235" s="34">
        <v>1.4276569E7</v>
      </c>
      <c r="D235" s="32">
        <v>16972.0</v>
      </c>
      <c r="E235" s="34">
        <v>442264.0</v>
      </c>
      <c r="F235" s="34">
        <v>12587.0</v>
      </c>
      <c r="G235" s="34">
        <v>95320.0</v>
      </c>
      <c r="H235" s="34">
        <v>8707.0</v>
      </c>
      <c r="I235" s="34">
        <v>0.0</v>
      </c>
      <c r="J235" s="34">
        <v>0.0</v>
      </c>
      <c r="K235" s="34">
        <v>1.2113814015E10</v>
      </c>
      <c r="L235" s="34">
        <v>1.4086436204E10</v>
      </c>
      <c r="M235" s="34">
        <v>5197.0</v>
      </c>
      <c r="N235" s="33" t="s">
        <v>94</v>
      </c>
      <c r="O235" s="33">
        <v>22.0</v>
      </c>
      <c r="P235" s="33"/>
      <c r="Q235" s="33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1.76614955E8</v>
      </c>
      <c r="B236" s="33" t="s">
        <v>274</v>
      </c>
      <c r="C236" s="34">
        <v>1.419668E7</v>
      </c>
      <c r="D236" s="32">
        <v>24000.0</v>
      </c>
      <c r="E236" s="34">
        <v>2911595.0</v>
      </c>
      <c r="F236" s="34">
        <v>178776.0</v>
      </c>
      <c r="G236" s="34">
        <v>206889.0</v>
      </c>
      <c r="H236" s="34">
        <v>246985.0</v>
      </c>
      <c r="I236" s="34">
        <v>1.0</v>
      </c>
      <c r="J236" s="34">
        <v>0.0</v>
      </c>
      <c r="K236" s="34">
        <v>1.0506214874E10</v>
      </c>
      <c r="L236" s="34">
        <v>9.643822428E9</v>
      </c>
      <c r="M236" s="34">
        <v>5010.0</v>
      </c>
      <c r="N236" s="33" t="s">
        <v>153</v>
      </c>
      <c r="O236" s="33">
        <v>24.0</v>
      </c>
      <c r="P236" s="33"/>
      <c r="Q236" s="33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8.7312053E7</v>
      </c>
      <c r="B237" s="33" t="s">
        <v>279</v>
      </c>
      <c r="C237" s="34">
        <v>1.402192E7</v>
      </c>
      <c r="D237" s="32">
        <v>6510.0</v>
      </c>
      <c r="E237" s="34">
        <v>1422545.0</v>
      </c>
      <c r="F237" s="34">
        <v>137846.0</v>
      </c>
      <c r="G237" s="34">
        <v>205069.0</v>
      </c>
      <c r="H237" s="34">
        <v>11703.0</v>
      </c>
      <c r="I237" s="34">
        <v>0.0</v>
      </c>
      <c r="J237" s="34">
        <v>0.0</v>
      </c>
      <c r="K237" s="34">
        <v>1.1694660237E10</v>
      </c>
      <c r="L237" s="34">
        <v>1.2757029695E10</v>
      </c>
      <c r="M237" s="34">
        <v>6522.0</v>
      </c>
      <c r="N237" s="33" t="s">
        <v>94</v>
      </c>
      <c r="O237" s="33">
        <v>22.0</v>
      </c>
      <c r="P237" s="33"/>
      <c r="Q237" s="33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1.68821399E8</v>
      </c>
      <c r="B238" s="31" t="s">
        <v>385</v>
      </c>
      <c r="C238" s="32">
        <v>1.3627762E7</v>
      </c>
      <c r="D238" s="32">
        <v>0.0</v>
      </c>
      <c r="E238" s="32">
        <v>3357118.0</v>
      </c>
      <c r="F238" s="32">
        <v>1916784.0</v>
      </c>
      <c r="G238" s="32">
        <v>328231.0</v>
      </c>
      <c r="H238" s="32">
        <v>286104.0</v>
      </c>
      <c r="I238" s="32">
        <v>14726.0</v>
      </c>
      <c r="J238" s="32">
        <v>0.0</v>
      </c>
      <c r="K238" s="32">
        <v>8.222301729E9</v>
      </c>
      <c r="L238" s="32">
        <v>5.038681193E9</v>
      </c>
      <c r="M238" s="32">
        <v>1812.0</v>
      </c>
      <c r="N238" s="31" t="s">
        <v>430</v>
      </c>
      <c r="O238" s="31">
        <v>25.0</v>
      </c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1.79651678E8</v>
      </c>
      <c r="B239" s="31" t="s">
        <v>283</v>
      </c>
      <c r="C239" s="32">
        <v>1.3586023E7</v>
      </c>
      <c r="D239" s="32">
        <v>361080.0</v>
      </c>
      <c r="E239" s="32">
        <v>9596330.0</v>
      </c>
      <c r="F239" s="32">
        <v>1786794.0</v>
      </c>
      <c r="G239" s="32">
        <v>593624.0</v>
      </c>
      <c r="H239" s="32">
        <v>647464.0</v>
      </c>
      <c r="I239" s="32">
        <v>145591.0</v>
      </c>
      <c r="J239" s="32">
        <v>0.0</v>
      </c>
      <c r="K239" s="32">
        <v>5.433199389E9</v>
      </c>
      <c r="L239" s="32">
        <v>3.447058363E9</v>
      </c>
      <c r="M239" s="32">
        <v>2180.0</v>
      </c>
      <c r="N239" s="31" t="s">
        <v>147</v>
      </c>
      <c r="O239" s="31">
        <v>25.0</v>
      </c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8.9432154E7</v>
      </c>
      <c r="B240" s="33" t="s">
        <v>285</v>
      </c>
      <c r="C240" s="34">
        <v>1.3559447E7</v>
      </c>
      <c r="D240" s="32">
        <v>7960.0</v>
      </c>
      <c r="E240" s="34">
        <v>2306854.0</v>
      </c>
      <c r="F240" s="34">
        <v>552580.0</v>
      </c>
      <c r="G240" s="34">
        <v>11044.0</v>
      </c>
      <c r="H240" s="34">
        <v>192874.0</v>
      </c>
      <c r="I240" s="34">
        <v>0.0</v>
      </c>
      <c r="J240" s="34">
        <v>0.0</v>
      </c>
      <c r="K240" s="34">
        <v>1.2045696837E10</v>
      </c>
      <c r="L240" s="34">
        <v>1.3664419277E10</v>
      </c>
      <c r="M240" s="34">
        <v>4626.0</v>
      </c>
      <c r="N240" s="33" t="s">
        <v>94</v>
      </c>
      <c r="O240" s="33">
        <v>22.0</v>
      </c>
      <c r="P240" s="33"/>
      <c r="Q240" s="33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1.5265234E8</v>
      </c>
      <c r="B241" s="33" t="s">
        <v>286</v>
      </c>
      <c r="C241" s="34">
        <v>1.3539995E7</v>
      </c>
      <c r="D241" s="32">
        <v>0.0</v>
      </c>
      <c r="E241" s="34">
        <v>3280939.0</v>
      </c>
      <c r="F241" s="34">
        <v>2379037.0</v>
      </c>
      <c r="G241" s="34">
        <v>18066.0</v>
      </c>
      <c r="H241" s="34">
        <v>179178.0</v>
      </c>
      <c r="I241" s="34">
        <v>53452.0</v>
      </c>
      <c r="J241" s="34">
        <v>0.0</v>
      </c>
      <c r="K241" s="34">
        <v>7.971087543E9</v>
      </c>
      <c r="L241" s="34">
        <v>5.89559026E9</v>
      </c>
      <c r="M241" s="34">
        <v>1595.0</v>
      </c>
      <c r="N241" s="33" t="s">
        <v>94</v>
      </c>
      <c r="O241" s="33">
        <v>24.0</v>
      </c>
      <c r="P241" s="33"/>
      <c r="Q241" s="33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4.7157775E7</v>
      </c>
      <c r="B242" s="33" t="s">
        <v>276</v>
      </c>
      <c r="C242" s="34">
        <v>1.3428896E7</v>
      </c>
      <c r="D242" s="32">
        <v>201333.0</v>
      </c>
      <c r="E242" s="34">
        <v>469490.0</v>
      </c>
      <c r="F242" s="34">
        <v>719004.0</v>
      </c>
      <c r="G242" s="34">
        <v>1153.0</v>
      </c>
      <c r="H242" s="34">
        <v>7698.0</v>
      </c>
      <c r="I242" s="34">
        <v>10645.0</v>
      </c>
      <c r="J242" s="34">
        <v>0.0</v>
      </c>
      <c r="K242" s="34">
        <v>2.3781647607E10</v>
      </c>
      <c r="L242" s="34">
        <v>2.2769300142E10</v>
      </c>
      <c r="M242" s="34">
        <v>3015.0</v>
      </c>
      <c r="N242" s="33" t="s">
        <v>153</v>
      </c>
      <c r="O242" s="33">
        <v>24.0</v>
      </c>
      <c r="P242" s="33"/>
      <c r="Q242" s="33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1.44075646E8</v>
      </c>
      <c r="B243" s="33" t="s">
        <v>277</v>
      </c>
      <c r="C243" s="34">
        <v>1.3279808E7</v>
      </c>
      <c r="D243" s="32">
        <v>375832.0</v>
      </c>
      <c r="E243" s="34">
        <v>7432.0</v>
      </c>
      <c r="F243" s="34">
        <v>0.0</v>
      </c>
      <c r="G243" s="34">
        <v>1501.0</v>
      </c>
      <c r="H243" s="34">
        <v>379.0</v>
      </c>
      <c r="I243" s="34">
        <v>0.0</v>
      </c>
      <c r="J243" s="34">
        <v>0.0</v>
      </c>
      <c r="K243" s="34">
        <v>6.39606974E8</v>
      </c>
      <c r="L243" s="34">
        <v>0.0</v>
      </c>
      <c r="M243" s="34">
        <v>437.0</v>
      </c>
      <c r="N243" s="33" t="s">
        <v>165</v>
      </c>
      <c r="O243" s="33">
        <v>22.0</v>
      </c>
      <c r="P243" s="33"/>
      <c r="Q243" s="33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1">
        <v>1.69610538E8</v>
      </c>
      <c r="B244" s="31" t="s">
        <v>432</v>
      </c>
      <c r="C244" s="32">
        <v>1.3265376E7</v>
      </c>
      <c r="D244" s="32">
        <v>0.0</v>
      </c>
      <c r="E244" s="32">
        <v>492926.0</v>
      </c>
      <c r="F244" s="32">
        <v>1569585.0</v>
      </c>
      <c r="G244" s="32">
        <v>3.0</v>
      </c>
      <c r="H244" s="32">
        <v>4092.0</v>
      </c>
      <c r="I244" s="32">
        <v>21064.0</v>
      </c>
      <c r="J244" s="32">
        <v>0.0</v>
      </c>
      <c r="K244" s="32">
        <v>9.111540523E9</v>
      </c>
      <c r="L244" s="32">
        <v>6.097343244E9</v>
      </c>
      <c r="M244" s="32">
        <v>1535.0</v>
      </c>
      <c r="N244" s="31" t="s">
        <v>430</v>
      </c>
      <c r="O244" s="31">
        <v>25.0</v>
      </c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3">
        <v>1.52653457E8</v>
      </c>
      <c r="B245" s="33" t="s">
        <v>287</v>
      </c>
      <c r="C245" s="34">
        <v>1.3239936E7</v>
      </c>
      <c r="D245" s="32">
        <v>1600.0</v>
      </c>
      <c r="E245" s="34">
        <v>3195669.0</v>
      </c>
      <c r="F245" s="34">
        <v>2692068.0</v>
      </c>
      <c r="G245" s="34">
        <v>37019.0</v>
      </c>
      <c r="H245" s="34">
        <v>144359.0</v>
      </c>
      <c r="I245" s="34">
        <v>72708.0</v>
      </c>
      <c r="J245" s="34">
        <v>0.0</v>
      </c>
      <c r="K245" s="34">
        <v>7.962521325E9</v>
      </c>
      <c r="L245" s="34">
        <v>5.854807495E9</v>
      </c>
      <c r="M245" s="34">
        <v>1519.0</v>
      </c>
      <c r="N245" s="33" t="s">
        <v>94</v>
      </c>
      <c r="O245" s="33">
        <v>24.0</v>
      </c>
      <c r="P245" s="33"/>
      <c r="Q245" s="33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8.7531547E7</v>
      </c>
      <c r="B246" s="33" t="s">
        <v>288</v>
      </c>
      <c r="C246" s="34">
        <v>1.3187424E7</v>
      </c>
      <c r="D246" s="32">
        <v>538.0</v>
      </c>
      <c r="E246" s="34">
        <v>1588813.0</v>
      </c>
      <c r="F246" s="34">
        <v>692135.0</v>
      </c>
      <c r="G246" s="34">
        <v>309639.0</v>
      </c>
      <c r="H246" s="34">
        <v>82124.0</v>
      </c>
      <c r="I246" s="34">
        <v>962.0</v>
      </c>
      <c r="J246" s="34">
        <v>0.0</v>
      </c>
      <c r="K246" s="34">
        <v>1.0926220461E10</v>
      </c>
      <c r="L246" s="34">
        <v>1.1824939469E10</v>
      </c>
      <c r="M246" s="34">
        <v>4059.0</v>
      </c>
      <c r="N246" s="33" t="s">
        <v>94</v>
      </c>
      <c r="O246" s="33">
        <v>22.0</v>
      </c>
      <c r="P246" s="33"/>
      <c r="Q246" s="33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1.21407372E8</v>
      </c>
      <c r="B247" s="33" t="s">
        <v>433</v>
      </c>
      <c r="C247" s="34">
        <v>1.3151937E7</v>
      </c>
      <c r="D247" s="32">
        <v>0.0</v>
      </c>
      <c r="E247" s="34">
        <v>212428.0</v>
      </c>
      <c r="F247" s="34">
        <v>59062.0</v>
      </c>
      <c r="G247" s="34">
        <v>10974.0</v>
      </c>
      <c r="H247" s="34">
        <v>8297.0</v>
      </c>
      <c r="I247" s="34">
        <v>0.0</v>
      </c>
      <c r="J247" s="34">
        <v>0.0</v>
      </c>
      <c r="K247" s="34">
        <v>1.439251517E9</v>
      </c>
      <c r="L247" s="34">
        <v>0.0</v>
      </c>
      <c r="M247" s="34">
        <v>683.0</v>
      </c>
      <c r="N247" s="33" t="s">
        <v>119</v>
      </c>
      <c r="O247" s="33">
        <v>24.0</v>
      </c>
      <c r="P247" s="33"/>
      <c r="Q247" s="33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1.90202885E8</v>
      </c>
      <c r="B248" s="33" t="s">
        <v>278</v>
      </c>
      <c r="C248" s="34">
        <v>1.3121077E7</v>
      </c>
      <c r="D248" s="32">
        <v>735164.0</v>
      </c>
      <c r="E248" s="34">
        <v>6.0</v>
      </c>
      <c r="F248" s="34">
        <v>0.0</v>
      </c>
      <c r="G248" s="34">
        <v>30.0</v>
      </c>
      <c r="H248" s="34">
        <v>0.0</v>
      </c>
      <c r="I248" s="34">
        <v>0.0</v>
      </c>
      <c r="J248" s="34">
        <v>0.0</v>
      </c>
      <c r="K248" s="34">
        <v>2.90817254E9</v>
      </c>
      <c r="L248" s="34">
        <v>1.05660658E9</v>
      </c>
      <c r="M248" s="34">
        <v>1144.0</v>
      </c>
      <c r="N248" s="33" t="s">
        <v>153</v>
      </c>
      <c r="O248" s="33">
        <v>23.0</v>
      </c>
      <c r="P248" s="33"/>
      <c r="Q248" s="33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1.51248241E8</v>
      </c>
      <c r="B249" s="33" t="s">
        <v>290</v>
      </c>
      <c r="C249" s="34">
        <v>1.3096026E7</v>
      </c>
      <c r="D249" s="32">
        <v>57600.0</v>
      </c>
      <c r="E249" s="34">
        <v>1371541.0</v>
      </c>
      <c r="F249" s="34">
        <v>94486.0</v>
      </c>
      <c r="G249" s="34">
        <v>6395.0</v>
      </c>
      <c r="H249" s="34">
        <v>126790.0</v>
      </c>
      <c r="I249" s="34">
        <v>0.0</v>
      </c>
      <c r="J249" s="34">
        <v>0.0</v>
      </c>
      <c r="K249" s="34">
        <v>2.902542889E9</v>
      </c>
      <c r="L249" s="34">
        <v>7.26817496E8</v>
      </c>
      <c r="M249" s="34">
        <v>5923.0</v>
      </c>
      <c r="N249" s="33" t="s">
        <v>94</v>
      </c>
      <c r="O249" s="33">
        <v>24.0</v>
      </c>
      <c r="P249" s="33"/>
      <c r="Q249" s="33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2.4777206E7</v>
      </c>
      <c r="B250" s="33" t="s">
        <v>289</v>
      </c>
      <c r="C250" s="34">
        <v>1.3073679E7</v>
      </c>
      <c r="D250" s="32">
        <v>115355.0</v>
      </c>
      <c r="E250" s="34">
        <v>3178989.0</v>
      </c>
      <c r="F250" s="34">
        <v>1435029.0</v>
      </c>
      <c r="G250" s="34">
        <v>23338.0</v>
      </c>
      <c r="H250" s="34">
        <v>52691.0</v>
      </c>
      <c r="I250" s="34">
        <v>90243.0</v>
      </c>
      <c r="J250" s="34">
        <v>0.0</v>
      </c>
      <c r="K250" s="34">
        <v>4.007233859E9</v>
      </c>
      <c r="L250" s="34">
        <v>6.196163634E9</v>
      </c>
      <c r="M250" s="34">
        <v>2573.0</v>
      </c>
      <c r="N250" s="33" t="s">
        <v>153</v>
      </c>
      <c r="O250" s="33">
        <v>23.0</v>
      </c>
      <c r="P250" s="33"/>
      <c r="Q250" s="33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1.91592529E8</v>
      </c>
      <c r="B251" s="33" t="s">
        <v>434</v>
      </c>
      <c r="C251" s="34">
        <v>1.2989816E7</v>
      </c>
      <c r="D251" s="32">
        <v>664846.0</v>
      </c>
      <c r="E251" s="34">
        <v>1.3108347E7</v>
      </c>
      <c r="F251" s="34">
        <v>1739921.0</v>
      </c>
      <c r="G251" s="34">
        <v>800028.0</v>
      </c>
      <c r="H251" s="34">
        <v>821951.0</v>
      </c>
      <c r="I251" s="34">
        <v>101415.0</v>
      </c>
      <c r="J251" s="34">
        <v>0.0</v>
      </c>
      <c r="K251" s="34">
        <v>1.163011987E9</v>
      </c>
      <c r="L251" s="34">
        <v>1.48087262E8</v>
      </c>
      <c r="M251" s="34">
        <v>2715.0</v>
      </c>
      <c r="N251" s="33" t="s">
        <v>426</v>
      </c>
      <c r="O251" s="33">
        <v>24.0</v>
      </c>
      <c r="P251" s="33"/>
      <c r="Q251" s="33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1">
        <v>1.80743895E8</v>
      </c>
      <c r="B252" s="31" t="s">
        <v>435</v>
      </c>
      <c r="C252" s="32">
        <v>1.2885777E7</v>
      </c>
      <c r="D252" s="32">
        <v>0.0</v>
      </c>
      <c r="E252" s="32">
        <v>1283072.0</v>
      </c>
      <c r="F252" s="32">
        <v>1893314.0</v>
      </c>
      <c r="G252" s="32">
        <v>4711.0</v>
      </c>
      <c r="H252" s="32">
        <v>13098.0</v>
      </c>
      <c r="I252" s="32">
        <v>56755.0</v>
      </c>
      <c r="J252" s="32">
        <v>0.0</v>
      </c>
      <c r="K252" s="32">
        <v>4.339534007E9</v>
      </c>
      <c r="L252" s="32">
        <v>3.349477122E9</v>
      </c>
      <c r="M252" s="32">
        <v>1960.0</v>
      </c>
      <c r="N252" s="31" t="s">
        <v>153</v>
      </c>
      <c r="O252" s="31">
        <v>25.0</v>
      </c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1.78759749E8</v>
      </c>
      <c r="B253" s="33" t="s">
        <v>294</v>
      </c>
      <c r="C253" s="34">
        <v>1.2710751E7</v>
      </c>
      <c r="D253" s="32">
        <v>127192.0</v>
      </c>
      <c r="E253" s="34">
        <v>123088.0</v>
      </c>
      <c r="F253" s="34">
        <v>127880.0</v>
      </c>
      <c r="G253" s="34">
        <v>362.0</v>
      </c>
      <c r="H253" s="34">
        <v>8565.0</v>
      </c>
      <c r="I253" s="34">
        <v>0.0</v>
      </c>
      <c r="J253" s="34">
        <v>0.0</v>
      </c>
      <c r="K253" s="34">
        <v>6.942821144E9</v>
      </c>
      <c r="L253" s="34">
        <v>5.702011369E9</v>
      </c>
      <c r="M253" s="34">
        <v>1520.0</v>
      </c>
      <c r="N253" s="33" t="s">
        <v>153</v>
      </c>
      <c r="O253" s="33">
        <v>24.0</v>
      </c>
      <c r="P253" s="33"/>
      <c r="Q253" s="33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1.44003473E8</v>
      </c>
      <c r="B254" s="33" t="s">
        <v>295</v>
      </c>
      <c r="C254" s="34">
        <v>1.2686839E7</v>
      </c>
      <c r="D254" s="32">
        <v>135147.0</v>
      </c>
      <c r="E254" s="34">
        <v>2748308.0</v>
      </c>
      <c r="F254" s="34">
        <v>799051.0</v>
      </c>
      <c r="G254" s="34">
        <v>10740.0</v>
      </c>
      <c r="H254" s="34">
        <v>206424.0</v>
      </c>
      <c r="I254" s="34">
        <v>26473.0</v>
      </c>
      <c r="J254" s="34">
        <v>0.0</v>
      </c>
      <c r="K254" s="34">
        <v>6.534202405E9</v>
      </c>
      <c r="L254" s="34">
        <v>3.39326158E9</v>
      </c>
      <c r="M254" s="34">
        <v>2518.0</v>
      </c>
      <c r="N254" s="33" t="s">
        <v>94</v>
      </c>
      <c r="O254" s="33">
        <v>24.0</v>
      </c>
      <c r="P254" s="33"/>
      <c r="Q254" s="33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1">
        <v>1.00844055E8</v>
      </c>
      <c r="B255" s="31" t="s">
        <v>386</v>
      </c>
      <c r="C255" s="32">
        <v>1.2644326E7</v>
      </c>
      <c r="D255" s="32">
        <v>4800.0</v>
      </c>
      <c r="E255" s="32">
        <v>8818085.0</v>
      </c>
      <c r="F255" s="32">
        <v>1945308.0</v>
      </c>
      <c r="G255" s="32">
        <v>18479.0</v>
      </c>
      <c r="H255" s="32">
        <v>815682.0</v>
      </c>
      <c r="I255" s="32">
        <v>22112.0</v>
      </c>
      <c r="J255" s="32">
        <v>0.0</v>
      </c>
      <c r="K255" s="32">
        <v>3.631619294E9</v>
      </c>
      <c r="L255" s="32">
        <v>1.980573306E9</v>
      </c>
      <c r="M255" s="32">
        <v>7453.0</v>
      </c>
      <c r="N255" s="31" t="s">
        <v>153</v>
      </c>
      <c r="O255" s="31">
        <v>25.0</v>
      </c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1.77647871E8</v>
      </c>
      <c r="B256" s="33" t="s">
        <v>293</v>
      </c>
      <c r="C256" s="34">
        <v>1.2614923E7</v>
      </c>
      <c r="D256" s="32">
        <v>139400.0</v>
      </c>
      <c r="E256" s="34">
        <v>255311.0</v>
      </c>
      <c r="F256" s="34">
        <v>0.0</v>
      </c>
      <c r="G256" s="34">
        <v>21295.0</v>
      </c>
      <c r="H256" s="34">
        <v>14770.0</v>
      </c>
      <c r="I256" s="34">
        <v>0.0</v>
      </c>
      <c r="J256" s="34">
        <v>0.0</v>
      </c>
      <c r="K256" s="34">
        <v>2.1989E9</v>
      </c>
      <c r="L256" s="34">
        <v>2.153868023E9</v>
      </c>
      <c r="M256" s="34">
        <v>789.0</v>
      </c>
      <c r="N256" s="33" t="s">
        <v>153</v>
      </c>
      <c r="O256" s="33">
        <v>23.0</v>
      </c>
      <c r="P256" s="33"/>
      <c r="Q256" s="33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7.7397858E7</v>
      </c>
      <c r="B257" s="33" t="s">
        <v>297</v>
      </c>
      <c r="C257" s="34">
        <v>1.2566635E7</v>
      </c>
      <c r="D257" s="32">
        <v>0.0</v>
      </c>
      <c r="E257" s="34">
        <v>6039713.0</v>
      </c>
      <c r="F257" s="34">
        <v>1121881.0</v>
      </c>
      <c r="G257" s="34">
        <v>201117.0</v>
      </c>
      <c r="H257" s="34">
        <v>295460.0</v>
      </c>
      <c r="I257" s="34">
        <v>51656.0</v>
      </c>
      <c r="J257" s="34">
        <v>0.0</v>
      </c>
      <c r="K257" s="34">
        <v>7.21492209E8</v>
      </c>
      <c r="L257" s="34">
        <v>0.0</v>
      </c>
      <c r="M257" s="34">
        <v>1095.0</v>
      </c>
      <c r="N257" s="33" t="s">
        <v>66</v>
      </c>
      <c r="O257" s="33">
        <v>23.0</v>
      </c>
      <c r="P257" s="33"/>
      <c r="Q257" s="33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1.77225071E8</v>
      </c>
      <c r="B258" s="33" t="s">
        <v>298</v>
      </c>
      <c r="C258" s="34">
        <v>1.2542369E7</v>
      </c>
      <c r="D258" s="32">
        <v>0.0</v>
      </c>
      <c r="E258" s="34">
        <v>1033872.0</v>
      </c>
      <c r="F258" s="34">
        <v>2192960.0</v>
      </c>
      <c r="G258" s="34">
        <v>662231.0</v>
      </c>
      <c r="H258" s="34">
        <v>58320.0</v>
      </c>
      <c r="I258" s="34">
        <v>9575.0</v>
      </c>
      <c r="J258" s="34">
        <v>0.0</v>
      </c>
      <c r="K258" s="34">
        <v>6.072262102E9</v>
      </c>
      <c r="L258" s="34">
        <v>5.689647737E9</v>
      </c>
      <c r="M258" s="34">
        <v>1454.0</v>
      </c>
      <c r="N258" s="33" t="s">
        <v>147</v>
      </c>
      <c r="O258" s="33">
        <v>24.0</v>
      </c>
      <c r="P258" s="33"/>
      <c r="Q258" s="33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1.4402991E8</v>
      </c>
      <c r="B259" s="31" t="s">
        <v>296</v>
      </c>
      <c r="C259" s="32">
        <v>1.2466006E7</v>
      </c>
      <c r="D259" s="32">
        <v>251986.0</v>
      </c>
      <c r="E259" s="32">
        <v>6837594.0</v>
      </c>
      <c r="F259" s="32">
        <v>1758438.0</v>
      </c>
      <c r="G259" s="32">
        <v>22980.0</v>
      </c>
      <c r="H259" s="32">
        <v>464968.0</v>
      </c>
      <c r="I259" s="32">
        <v>71229.0</v>
      </c>
      <c r="J259" s="32">
        <v>0.0</v>
      </c>
      <c r="K259" s="32">
        <v>6.195221097E9</v>
      </c>
      <c r="L259" s="32">
        <v>4.559048087E9</v>
      </c>
      <c r="M259" s="32">
        <v>3241.0</v>
      </c>
      <c r="N259" s="31" t="s">
        <v>373</v>
      </c>
      <c r="O259" s="31">
        <v>25.0</v>
      </c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1.77721232E8</v>
      </c>
      <c r="B260" s="33" t="s">
        <v>299</v>
      </c>
      <c r="C260" s="34">
        <v>1.2426986E7</v>
      </c>
      <c r="D260" s="32">
        <v>94600.0</v>
      </c>
      <c r="E260" s="34">
        <v>169357.0</v>
      </c>
      <c r="F260" s="34">
        <v>716670.0</v>
      </c>
      <c r="G260" s="34">
        <v>3768.0</v>
      </c>
      <c r="H260" s="34">
        <v>16742.0</v>
      </c>
      <c r="I260" s="34">
        <v>0.0</v>
      </c>
      <c r="J260" s="34">
        <v>0.0</v>
      </c>
      <c r="K260" s="34">
        <v>8.203498662E9</v>
      </c>
      <c r="L260" s="34">
        <v>7.889427E9</v>
      </c>
      <c r="M260" s="34">
        <v>2739.0</v>
      </c>
      <c r="N260" s="33" t="s">
        <v>153</v>
      </c>
      <c r="O260" s="33">
        <v>23.0</v>
      </c>
      <c r="P260" s="33"/>
      <c r="Q260" s="33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1">
        <v>6.5702055E7</v>
      </c>
      <c r="B261" s="31" t="s">
        <v>302</v>
      </c>
      <c r="C261" s="32">
        <v>1.2366549E7</v>
      </c>
      <c r="D261" s="32">
        <v>1174.0</v>
      </c>
      <c r="E261" s="32">
        <v>506067.0</v>
      </c>
      <c r="F261" s="32">
        <v>795024.0</v>
      </c>
      <c r="G261" s="32">
        <v>28966.0</v>
      </c>
      <c r="H261" s="32">
        <v>25195.0</v>
      </c>
      <c r="I261" s="32">
        <v>3024.0</v>
      </c>
      <c r="J261" s="32">
        <v>0.0</v>
      </c>
      <c r="K261" s="32">
        <v>9.81149338E9</v>
      </c>
      <c r="L261" s="32">
        <v>1.0218488381E10</v>
      </c>
      <c r="M261" s="32">
        <v>2177.0</v>
      </c>
      <c r="N261" s="31" t="s">
        <v>153</v>
      </c>
      <c r="O261" s="31">
        <v>25.0</v>
      </c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8.7273183E7</v>
      </c>
      <c r="B262" s="33" t="s">
        <v>301</v>
      </c>
      <c r="C262" s="34">
        <v>1.2360711E7</v>
      </c>
      <c r="D262" s="32">
        <v>2700.0</v>
      </c>
      <c r="E262" s="34">
        <v>1562113.0</v>
      </c>
      <c r="F262" s="34">
        <v>629419.0</v>
      </c>
      <c r="G262" s="34">
        <v>84546.0</v>
      </c>
      <c r="H262" s="34">
        <v>135458.0</v>
      </c>
      <c r="I262" s="34">
        <v>0.0</v>
      </c>
      <c r="J262" s="34">
        <v>0.0</v>
      </c>
      <c r="K262" s="34">
        <v>1.1511057905E10</v>
      </c>
      <c r="L262" s="34">
        <v>1.2230901439E10</v>
      </c>
      <c r="M262" s="34">
        <v>4496.0</v>
      </c>
      <c r="N262" s="33" t="s">
        <v>94</v>
      </c>
      <c r="O262" s="33">
        <v>22.0</v>
      </c>
      <c r="P262" s="33"/>
      <c r="Q262" s="33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6.7568162E7</v>
      </c>
      <c r="B263" s="33" t="s">
        <v>300</v>
      </c>
      <c r="C263" s="34">
        <v>1.2022029E7</v>
      </c>
      <c r="D263" s="32">
        <v>161594.0</v>
      </c>
      <c r="E263" s="34">
        <v>202704.0</v>
      </c>
      <c r="F263" s="34">
        <v>42020.0</v>
      </c>
      <c r="G263" s="34">
        <v>26634.0</v>
      </c>
      <c r="H263" s="34">
        <v>0.0</v>
      </c>
      <c r="I263" s="34">
        <v>5336.0</v>
      </c>
      <c r="J263" s="34">
        <v>0.0</v>
      </c>
      <c r="K263" s="34">
        <v>6.009504647E9</v>
      </c>
      <c r="L263" s="34">
        <v>3.794132451E9</v>
      </c>
      <c r="M263" s="34">
        <v>1634.0</v>
      </c>
      <c r="N263" s="33" t="s">
        <v>153</v>
      </c>
      <c r="O263" s="33">
        <v>24.0</v>
      </c>
      <c r="P263" s="33"/>
      <c r="Q263" s="33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1.38285772E8</v>
      </c>
      <c r="B264" s="33" t="s">
        <v>305</v>
      </c>
      <c r="C264" s="34">
        <v>1.1978417E7</v>
      </c>
      <c r="D264" s="32">
        <v>75240.0</v>
      </c>
      <c r="E264" s="34">
        <v>188240.0</v>
      </c>
      <c r="F264" s="34">
        <v>31313.0</v>
      </c>
      <c r="G264" s="34">
        <v>0.0</v>
      </c>
      <c r="H264" s="34">
        <v>18824.0</v>
      </c>
      <c r="I264" s="34">
        <v>0.0</v>
      </c>
      <c r="J264" s="34">
        <v>0.0</v>
      </c>
      <c r="K264" s="34">
        <v>7.185926887E9</v>
      </c>
      <c r="L264" s="34">
        <v>9.257324727E9</v>
      </c>
      <c r="M264" s="34">
        <v>1445.0</v>
      </c>
      <c r="N264" s="33" t="s">
        <v>94</v>
      </c>
      <c r="O264" s="33">
        <v>24.0</v>
      </c>
      <c r="P264" s="33"/>
      <c r="Q264" s="33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3">
        <v>1.6604384E8</v>
      </c>
      <c r="B265" s="33" t="s">
        <v>306</v>
      </c>
      <c r="C265" s="34">
        <v>1.185956E7</v>
      </c>
      <c r="D265" s="32">
        <v>11860.0</v>
      </c>
      <c r="E265" s="34">
        <v>36517.0</v>
      </c>
      <c r="F265" s="34">
        <v>0.0</v>
      </c>
      <c r="G265" s="34">
        <v>7887.0</v>
      </c>
      <c r="H265" s="34">
        <v>3055.0</v>
      </c>
      <c r="I265" s="34">
        <v>0.0</v>
      </c>
      <c r="J265" s="34">
        <v>0.0</v>
      </c>
      <c r="K265" s="34">
        <v>7.904404046E9</v>
      </c>
      <c r="L265" s="34">
        <v>7.823731124E9</v>
      </c>
      <c r="M265" s="34">
        <v>2965.0</v>
      </c>
      <c r="N265" s="33" t="s">
        <v>94</v>
      </c>
      <c r="O265" s="33">
        <v>23.0</v>
      </c>
      <c r="P265" s="33"/>
      <c r="Q265" s="33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1">
        <v>9.6284047E7</v>
      </c>
      <c r="B266" s="31" t="s">
        <v>308</v>
      </c>
      <c r="C266" s="32">
        <v>1.1817941E7</v>
      </c>
      <c r="D266" s="32">
        <v>5800.0</v>
      </c>
      <c r="E266" s="32">
        <v>43742.0</v>
      </c>
      <c r="F266" s="32">
        <v>57258.0</v>
      </c>
      <c r="G266" s="32">
        <v>913.0</v>
      </c>
      <c r="H266" s="32">
        <v>1456.0</v>
      </c>
      <c r="I266" s="32">
        <v>1390.0</v>
      </c>
      <c r="J266" s="32">
        <v>0.0</v>
      </c>
      <c r="K266" s="32">
        <v>2.398972494E9</v>
      </c>
      <c r="L266" s="32">
        <v>1.994469657E9</v>
      </c>
      <c r="M266" s="32">
        <v>964.0</v>
      </c>
      <c r="N266" s="31" t="s">
        <v>147</v>
      </c>
      <c r="O266" s="31">
        <v>25.0</v>
      </c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1.73868631E8</v>
      </c>
      <c r="B267" s="33" t="s">
        <v>291</v>
      </c>
      <c r="C267" s="34">
        <v>1.18289E7</v>
      </c>
      <c r="D267" s="32">
        <v>1494214.0</v>
      </c>
      <c r="E267" s="34">
        <v>994926.0</v>
      </c>
      <c r="F267" s="34">
        <v>242253.0</v>
      </c>
      <c r="G267" s="34">
        <v>19361.0</v>
      </c>
      <c r="H267" s="34">
        <v>3755.0</v>
      </c>
      <c r="I267" s="34">
        <v>0.0</v>
      </c>
      <c r="J267" s="34">
        <v>0.0</v>
      </c>
      <c r="K267" s="34">
        <v>6.510515206E9</v>
      </c>
      <c r="L267" s="34">
        <v>9.65895874E9</v>
      </c>
      <c r="M267" s="34">
        <v>2443.0</v>
      </c>
      <c r="N267" s="33" t="s">
        <v>94</v>
      </c>
      <c r="O267" s="33">
        <v>22.0</v>
      </c>
      <c r="P267" s="33"/>
      <c r="Q267" s="33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1.57465282E8</v>
      </c>
      <c r="B268" s="33" t="s">
        <v>387</v>
      </c>
      <c r="C268" s="34">
        <v>1.1807356E7</v>
      </c>
      <c r="D268" s="32">
        <v>176367.0</v>
      </c>
      <c r="E268" s="34">
        <v>1059330.0</v>
      </c>
      <c r="F268" s="34">
        <v>435892.0</v>
      </c>
      <c r="G268" s="34">
        <v>81933.0</v>
      </c>
      <c r="H268" s="34">
        <v>58926.0</v>
      </c>
      <c r="I268" s="34">
        <v>5178.0</v>
      </c>
      <c r="J268" s="34">
        <v>0.0</v>
      </c>
      <c r="K268" s="34">
        <v>8.276122358E9</v>
      </c>
      <c r="L268" s="34">
        <v>2.366887416E9</v>
      </c>
      <c r="M268" s="34">
        <v>1857.0</v>
      </c>
      <c r="N268" s="33" t="s">
        <v>165</v>
      </c>
      <c r="O268" s="33">
        <v>22.0</v>
      </c>
      <c r="P268" s="33"/>
      <c r="Q268" s="33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1">
        <v>1.84527302E8</v>
      </c>
      <c r="B269" s="31" t="s">
        <v>304</v>
      </c>
      <c r="C269" s="32">
        <v>1.1797425E7</v>
      </c>
      <c r="D269" s="32">
        <v>466983.0</v>
      </c>
      <c r="E269" s="32">
        <v>145500.0</v>
      </c>
      <c r="F269" s="32">
        <v>67634.0</v>
      </c>
      <c r="G269" s="32">
        <v>0.0</v>
      </c>
      <c r="H269" s="32">
        <v>2922.0</v>
      </c>
      <c r="I269" s="32">
        <v>5814.0</v>
      </c>
      <c r="J269" s="32">
        <v>0.0</v>
      </c>
      <c r="K269" s="32">
        <v>2.3301845E9</v>
      </c>
      <c r="L269" s="32">
        <v>1.1313724893E10</v>
      </c>
      <c r="M269" s="32">
        <v>595.0</v>
      </c>
      <c r="N269" s="31" t="s">
        <v>34</v>
      </c>
      <c r="O269" s="31">
        <v>25.0</v>
      </c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1">
        <v>1.52201713E8</v>
      </c>
      <c r="B270" s="31" t="s">
        <v>436</v>
      </c>
      <c r="C270" s="32">
        <v>1.1688249E7</v>
      </c>
      <c r="D270" s="32">
        <v>0.0</v>
      </c>
      <c r="E270" s="32">
        <v>909034.0</v>
      </c>
      <c r="F270" s="32">
        <v>1197900.0</v>
      </c>
      <c r="G270" s="32">
        <v>0.0</v>
      </c>
      <c r="H270" s="32">
        <v>79442.0</v>
      </c>
      <c r="I270" s="32">
        <v>4810.0</v>
      </c>
      <c r="J270" s="32">
        <v>0.0</v>
      </c>
      <c r="K270" s="32">
        <v>2.748555482E9</v>
      </c>
      <c r="L270" s="32">
        <v>1.843640216E9</v>
      </c>
      <c r="M270" s="32">
        <v>901.0</v>
      </c>
      <c r="N270" s="31" t="s">
        <v>153</v>
      </c>
      <c r="O270" s="31">
        <v>25.0</v>
      </c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1.73962432E8</v>
      </c>
      <c r="B271" s="33" t="s">
        <v>292</v>
      </c>
      <c r="C271" s="34">
        <v>1.1681094E7</v>
      </c>
      <c r="D271" s="32">
        <v>0.0</v>
      </c>
      <c r="E271" s="34">
        <v>602784.0</v>
      </c>
      <c r="F271" s="34">
        <v>53647.0</v>
      </c>
      <c r="G271" s="34">
        <v>74.0</v>
      </c>
      <c r="H271" s="34">
        <v>56829.0</v>
      </c>
      <c r="I271" s="34">
        <v>1724.0</v>
      </c>
      <c r="J271" s="34">
        <v>0.0</v>
      </c>
      <c r="K271" s="34">
        <v>4.760560704E9</v>
      </c>
      <c r="L271" s="34">
        <v>6.231882195E9</v>
      </c>
      <c r="M271" s="34">
        <v>1521.0</v>
      </c>
      <c r="N271" s="33" t="s">
        <v>94</v>
      </c>
      <c r="O271" s="33">
        <v>23.0</v>
      </c>
      <c r="P271" s="33"/>
      <c r="Q271" s="33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1.44098997E8</v>
      </c>
      <c r="B272" s="33" t="s">
        <v>437</v>
      </c>
      <c r="C272" s="34">
        <v>1.1624335E7</v>
      </c>
      <c r="D272" s="32">
        <v>0.0</v>
      </c>
      <c r="E272" s="34">
        <v>2085911.0</v>
      </c>
      <c r="F272" s="34">
        <v>1773255.0</v>
      </c>
      <c r="G272" s="34">
        <v>121189.0</v>
      </c>
      <c r="H272" s="34">
        <v>57689.0</v>
      </c>
      <c r="I272" s="34">
        <v>40024.0</v>
      </c>
      <c r="J272" s="34">
        <v>0.0</v>
      </c>
      <c r="K272" s="34">
        <v>1.622310278E9</v>
      </c>
      <c r="L272" s="34">
        <v>3047603.0</v>
      </c>
      <c r="M272" s="34">
        <v>1458.0</v>
      </c>
      <c r="N272" s="33" t="s">
        <v>126</v>
      </c>
      <c r="O272" s="33">
        <v>24.0</v>
      </c>
      <c r="P272" s="33"/>
      <c r="Q272" s="33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1.4410611E8</v>
      </c>
      <c r="B273" s="33" t="s">
        <v>388</v>
      </c>
      <c r="C273" s="34">
        <v>1.1620614E7</v>
      </c>
      <c r="D273" s="32">
        <v>0.0</v>
      </c>
      <c r="E273" s="34">
        <v>656603.0</v>
      </c>
      <c r="F273" s="34">
        <v>5965.0</v>
      </c>
      <c r="G273" s="34">
        <v>10778.0</v>
      </c>
      <c r="H273" s="34">
        <v>43294.0</v>
      </c>
      <c r="I273" s="34">
        <v>9312.0</v>
      </c>
      <c r="J273" s="34">
        <v>0.0</v>
      </c>
      <c r="K273" s="34">
        <v>5.01095304E8</v>
      </c>
      <c r="L273" s="34">
        <v>1460384.0</v>
      </c>
      <c r="M273" s="34">
        <v>62.0</v>
      </c>
      <c r="N273" s="33" t="s">
        <v>66</v>
      </c>
      <c r="O273" s="33">
        <v>24.0</v>
      </c>
      <c r="P273" s="33"/>
      <c r="Q273" s="33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1.28382827E8</v>
      </c>
      <c r="B274" s="33" t="s">
        <v>312</v>
      </c>
      <c r="C274" s="34">
        <v>1.1435092E7</v>
      </c>
      <c r="D274" s="32">
        <v>6400.0</v>
      </c>
      <c r="E274" s="34">
        <v>5689027.0</v>
      </c>
      <c r="F274" s="34">
        <v>1604666.0</v>
      </c>
      <c r="G274" s="34">
        <v>26229.0</v>
      </c>
      <c r="H274" s="34">
        <v>520858.0</v>
      </c>
      <c r="I274" s="34">
        <v>20165.0</v>
      </c>
      <c r="J274" s="34">
        <v>0.0</v>
      </c>
      <c r="K274" s="34">
        <v>9.777874882E9</v>
      </c>
      <c r="L274" s="34">
        <v>1.1508192512E10</v>
      </c>
      <c r="M274" s="34">
        <v>2126.0</v>
      </c>
      <c r="N274" s="33" t="s">
        <v>94</v>
      </c>
      <c r="O274" s="33">
        <v>24.0</v>
      </c>
      <c r="P274" s="33"/>
      <c r="Q274" s="33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1.83887182E8</v>
      </c>
      <c r="B275" s="33" t="s">
        <v>313</v>
      </c>
      <c r="C275" s="34">
        <v>1.14018E7</v>
      </c>
      <c r="D275" s="32">
        <v>0.0</v>
      </c>
      <c r="E275" s="34">
        <v>2537211.0</v>
      </c>
      <c r="F275" s="34">
        <v>800103.0</v>
      </c>
      <c r="G275" s="34">
        <v>4358.0</v>
      </c>
      <c r="H275" s="34">
        <v>234472.0</v>
      </c>
      <c r="I275" s="34">
        <v>7693.0</v>
      </c>
      <c r="J275" s="34">
        <v>0.0</v>
      </c>
      <c r="K275" s="34">
        <v>2.673356298E9</v>
      </c>
      <c r="L275" s="34">
        <v>9.3810346E8</v>
      </c>
      <c r="M275" s="34">
        <v>1097.0</v>
      </c>
      <c r="N275" s="33" t="s">
        <v>66</v>
      </c>
      <c r="O275" s="33">
        <v>24.0</v>
      </c>
      <c r="P275" s="33"/>
      <c r="Q275" s="33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3.1303775E7</v>
      </c>
      <c r="B276" s="33" t="s">
        <v>311</v>
      </c>
      <c r="C276" s="34">
        <v>1.1371801E7</v>
      </c>
      <c r="D276" s="32">
        <v>251866.0</v>
      </c>
      <c r="E276" s="34">
        <v>8644167.0</v>
      </c>
      <c r="F276" s="34">
        <v>1667127.0</v>
      </c>
      <c r="G276" s="34">
        <v>297318.0</v>
      </c>
      <c r="H276" s="34">
        <v>388443.0</v>
      </c>
      <c r="I276" s="34">
        <v>111080.0</v>
      </c>
      <c r="J276" s="34">
        <v>0.0</v>
      </c>
      <c r="K276" s="34">
        <v>4.092087171E9</v>
      </c>
      <c r="L276" s="34">
        <v>6.02326523E9</v>
      </c>
      <c r="M276" s="34">
        <v>1823.0</v>
      </c>
      <c r="N276" s="33" t="s">
        <v>153</v>
      </c>
      <c r="O276" s="33">
        <v>24.0</v>
      </c>
      <c r="P276" s="33"/>
      <c r="Q276" s="33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1.04333804E8</v>
      </c>
      <c r="B277" s="33" t="s">
        <v>309</v>
      </c>
      <c r="C277" s="34">
        <v>1.1252832E7</v>
      </c>
      <c r="D277" s="32">
        <v>0.0</v>
      </c>
      <c r="E277" s="34">
        <v>1832974.0</v>
      </c>
      <c r="F277" s="34">
        <v>665217.0</v>
      </c>
      <c r="G277" s="34">
        <v>175972.0</v>
      </c>
      <c r="H277" s="34">
        <v>105192.0</v>
      </c>
      <c r="I277" s="34">
        <v>13980.0</v>
      </c>
      <c r="J277" s="34">
        <v>0.0</v>
      </c>
      <c r="K277" s="34">
        <v>3.83837249E8</v>
      </c>
      <c r="L277" s="34">
        <v>0.0</v>
      </c>
      <c r="M277" s="34">
        <v>1184.0</v>
      </c>
      <c r="N277" s="33" t="s">
        <v>165</v>
      </c>
      <c r="O277" s="33">
        <v>24.0</v>
      </c>
      <c r="P277" s="33"/>
      <c r="Q277" s="33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3">
        <v>6.9287686E7</v>
      </c>
      <c r="B278" s="33" t="s">
        <v>316</v>
      </c>
      <c r="C278" s="34">
        <v>1.1151693E7</v>
      </c>
      <c r="D278" s="32">
        <v>4800.0</v>
      </c>
      <c r="E278" s="34">
        <v>2027902.0</v>
      </c>
      <c r="F278" s="34">
        <v>235658.0</v>
      </c>
      <c r="G278" s="34">
        <v>457711.0</v>
      </c>
      <c r="H278" s="34">
        <v>39331.0</v>
      </c>
      <c r="I278" s="34">
        <v>0.0</v>
      </c>
      <c r="J278" s="34">
        <v>0.0</v>
      </c>
      <c r="K278" s="34">
        <v>6.172893677E9</v>
      </c>
      <c r="L278" s="34">
        <v>5.712717325E9</v>
      </c>
      <c r="M278" s="34">
        <v>3872.0</v>
      </c>
      <c r="N278" s="33" t="s">
        <v>94</v>
      </c>
      <c r="O278" s="33">
        <v>24.0</v>
      </c>
      <c r="P278" s="33"/>
      <c r="Q278" s="33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1.72151323E8</v>
      </c>
      <c r="B279" s="33" t="s">
        <v>303</v>
      </c>
      <c r="C279" s="34">
        <v>1.1077001E7</v>
      </c>
      <c r="D279" s="32">
        <v>0.0</v>
      </c>
      <c r="E279" s="34">
        <v>887439.0</v>
      </c>
      <c r="F279" s="34">
        <v>781079.0</v>
      </c>
      <c r="G279" s="34">
        <v>24025.0</v>
      </c>
      <c r="H279" s="34">
        <v>15840.0</v>
      </c>
      <c r="I279" s="34">
        <v>33010.0</v>
      </c>
      <c r="J279" s="34">
        <v>0.0</v>
      </c>
      <c r="K279" s="34">
        <v>1.217299691E9</v>
      </c>
      <c r="L279" s="34">
        <v>5.89290943E8</v>
      </c>
      <c r="M279" s="34">
        <v>6441.0</v>
      </c>
      <c r="N279" s="33" t="s">
        <v>94</v>
      </c>
      <c r="O279" s="33">
        <v>24.0</v>
      </c>
      <c r="P279" s="33"/>
      <c r="Q279" s="33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1.9932468E8</v>
      </c>
      <c r="B280" s="33" t="s">
        <v>314</v>
      </c>
      <c r="C280" s="34">
        <v>1.0933106E7</v>
      </c>
      <c r="D280" s="32">
        <v>538190.0</v>
      </c>
      <c r="E280" s="34">
        <v>11640.0</v>
      </c>
      <c r="F280" s="34">
        <v>0.0</v>
      </c>
      <c r="G280" s="34">
        <v>0.0</v>
      </c>
      <c r="H280" s="34">
        <v>0.0</v>
      </c>
      <c r="I280" s="34">
        <v>0.0</v>
      </c>
      <c r="J280" s="34">
        <v>0.0</v>
      </c>
      <c r="K280" s="34">
        <v>1.997855953E9</v>
      </c>
      <c r="L280" s="34">
        <v>9.52E7</v>
      </c>
      <c r="M280" s="34">
        <v>490.0</v>
      </c>
      <c r="N280" s="33" t="s">
        <v>94</v>
      </c>
      <c r="O280" s="33">
        <v>22.0</v>
      </c>
      <c r="P280" s="33"/>
      <c r="Q280" s="33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1.67125555E8</v>
      </c>
      <c r="B281" s="33" t="s">
        <v>318</v>
      </c>
      <c r="C281" s="34">
        <v>1.0892994E7</v>
      </c>
      <c r="D281" s="32">
        <v>19682.0</v>
      </c>
      <c r="E281" s="34">
        <v>53959.0</v>
      </c>
      <c r="F281" s="34">
        <v>0.0</v>
      </c>
      <c r="G281" s="34">
        <v>2077.0</v>
      </c>
      <c r="H281" s="34">
        <v>4939.0</v>
      </c>
      <c r="I281" s="34">
        <v>0.0</v>
      </c>
      <c r="J281" s="34">
        <v>0.0</v>
      </c>
      <c r="K281" s="34">
        <v>7.542467674E9</v>
      </c>
      <c r="L281" s="34">
        <v>7.193569092E9</v>
      </c>
      <c r="M281" s="34">
        <v>1627.0</v>
      </c>
      <c r="N281" s="33" t="s">
        <v>94</v>
      </c>
      <c r="O281" s="33">
        <v>23.0</v>
      </c>
      <c r="P281" s="33"/>
      <c r="Q281" s="33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1.4410355E8</v>
      </c>
      <c r="B282" s="33" t="s">
        <v>389</v>
      </c>
      <c r="C282" s="34">
        <v>1.0821958E7</v>
      </c>
      <c r="D282" s="32">
        <v>0.0</v>
      </c>
      <c r="E282" s="34">
        <v>2832430.0</v>
      </c>
      <c r="F282" s="34">
        <v>721357.0</v>
      </c>
      <c r="G282" s="34">
        <v>53764.0</v>
      </c>
      <c r="H282" s="34">
        <v>127406.0</v>
      </c>
      <c r="I282" s="34">
        <v>62037.0</v>
      </c>
      <c r="J282" s="34">
        <v>0.0</v>
      </c>
      <c r="K282" s="34">
        <v>7.8384522E8</v>
      </c>
      <c r="L282" s="34">
        <v>28750.0</v>
      </c>
      <c r="M282" s="34">
        <v>2050.0</v>
      </c>
      <c r="N282" s="33" t="s">
        <v>66</v>
      </c>
      <c r="O282" s="33">
        <v>23.0</v>
      </c>
      <c r="P282" s="33"/>
      <c r="Q282" s="33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1.59650107E8</v>
      </c>
      <c r="B283" s="33" t="s">
        <v>319</v>
      </c>
      <c r="C283" s="34">
        <v>1.0777721E7</v>
      </c>
      <c r="D283" s="32">
        <v>118055.0</v>
      </c>
      <c r="E283" s="34">
        <v>1536602.0</v>
      </c>
      <c r="F283" s="34">
        <v>1041916.0</v>
      </c>
      <c r="G283" s="34">
        <v>7593.0</v>
      </c>
      <c r="H283" s="34">
        <v>41874.0</v>
      </c>
      <c r="I283" s="34">
        <v>55798.0</v>
      </c>
      <c r="J283" s="34">
        <v>0.0</v>
      </c>
      <c r="K283" s="34">
        <v>3.842649746E9</v>
      </c>
      <c r="L283" s="34">
        <v>6.306110993E9</v>
      </c>
      <c r="M283" s="34">
        <v>1034.0</v>
      </c>
      <c r="N283" s="33" t="s">
        <v>153</v>
      </c>
      <c r="O283" s="33">
        <v>22.0</v>
      </c>
      <c r="P283" s="33"/>
      <c r="Q283" s="33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1.3787251E8</v>
      </c>
      <c r="B284" s="33" t="s">
        <v>321</v>
      </c>
      <c r="C284" s="34">
        <v>1.0696952E7</v>
      </c>
      <c r="D284" s="32">
        <v>0.0</v>
      </c>
      <c r="E284" s="34">
        <v>2140053.0</v>
      </c>
      <c r="F284" s="34">
        <v>385943.0</v>
      </c>
      <c r="G284" s="34">
        <v>301186.0</v>
      </c>
      <c r="H284" s="34">
        <v>122211.0</v>
      </c>
      <c r="I284" s="34">
        <v>1027.0</v>
      </c>
      <c r="J284" s="34">
        <v>0.0</v>
      </c>
      <c r="K284" s="34">
        <v>8.96881258E8</v>
      </c>
      <c r="L284" s="34">
        <v>1.2769745E7</v>
      </c>
      <c r="M284" s="34">
        <v>7816.0</v>
      </c>
      <c r="N284" s="33" t="s">
        <v>66</v>
      </c>
      <c r="O284" s="33">
        <v>23.0</v>
      </c>
      <c r="P284" s="33"/>
      <c r="Q284" s="33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2.02638038E8</v>
      </c>
      <c r="B285" s="33" t="s">
        <v>322</v>
      </c>
      <c r="C285" s="34">
        <v>1.0600897E7</v>
      </c>
      <c r="D285" s="32">
        <v>9400.0</v>
      </c>
      <c r="E285" s="34">
        <v>145261.0</v>
      </c>
      <c r="F285" s="34">
        <v>30575.0</v>
      </c>
      <c r="G285" s="34">
        <v>456.0</v>
      </c>
      <c r="H285" s="34">
        <v>829.0</v>
      </c>
      <c r="I285" s="34">
        <v>6844.0</v>
      </c>
      <c r="J285" s="34">
        <v>0.0</v>
      </c>
      <c r="K285" s="34">
        <v>5.697161007E9</v>
      </c>
      <c r="L285" s="34">
        <v>3.246591544E9</v>
      </c>
      <c r="M285" s="34">
        <v>855.0</v>
      </c>
      <c r="N285" s="33" t="s">
        <v>165</v>
      </c>
      <c r="O285" s="33">
        <v>23.0</v>
      </c>
      <c r="P285" s="33"/>
      <c r="Q285" s="33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1.99425708E8</v>
      </c>
      <c r="B286" s="33" t="s">
        <v>320</v>
      </c>
      <c r="C286" s="34">
        <v>1.0592001E7</v>
      </c>
      <c r="D286" s="32">
        <v>0.0</v>
      </c>
      <c r="E286" s="34">
        <v>-1.0</v>
      </c>
      <c r="F286" s="34">
        <v>0.0</v>
      </c>
      <c r="G286" s="34">
        <v>0.0</v>
      </c>
      <c r="H286" s="34">
        <v>0.0</v>
      </c>
      <c r="I286" s="34">
        <v>0.0</v>
      </c>
      <c r="J286" s="34">
        <v>0.0</v>
      </c>
      <c r="K286" s="34">
        <v>1.967735988E9</v>
      </c>
      <c r="L286" s="34">
        <v>9.6E7</v>
      </c>
      <c r="M286" s="34">
        <v>483.0</v>
      </c>
      <c r="N286" s="33" t="s">
        <v>94</v>
      </c>
      <c r="O286" s="33">
        <v>22.0</v>
      </c>
      <c r="P286" s="33"/>
      <c r="Q286" s="33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1.13555236E8</v>
      </c>
      <c r="B287" s="33" t="s">
        <v>337</v>
      </c>
      <c r="C287" s="34">
        <v>1.054871E7</v>
      </c>
      <c r="D287" s="32">
        <v>0.0</v>
      </c>
      <c r="E287" s="34">
        <v>103512.0</v>
      </c>
      <c r="F287" s="34">
        <v>134884.0</v>
      </c>
      <c r="G287" s="34">
        <v>463.0</v>
      </c>
      <c r="H287" s="34">
        <v>1291.0</v>
      </c>
      <c r="I287" s="34">
        <v>2911.0</v>
      </c>
      <c r="J287" s="34">
        <v>0.0</v>
      </c>
      <c r="K287" s="34">
        <v>3.16410769E9</v>
      </c>
      <c r="L287" s="34">
        <v>1.962394998E9</v>
      </c>
      <c r="M287" s="34">
        <v>2750.0</v>
      </c>
      <c r="N287" s="33" t="s">
        <v>153</v>
      </c>
      <c r="O287" s="33">
        <v>23.0</v>
      </c>
      <c r="P287" s="33"/>
      <c r="Q287" s="33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3">
        <v>1.66124388E8</v>
      </c>
      <c r="B288" s="33" t="s">
        <v>323</v>
      </c>
      <c r="C288" s="34">
        <v>1.0537822E7</v>
      </c>
      <c r="D288" s="32">
        <v>112200.0</v>
      </c>
      <c r="E288" s="34">
        <v>2289901.0</v>
      </c>
      <c r="F288" s="34">
        <v>910305.0</v>
      </c>
      <c r="G288" s="34">
        <v>71285.0</v>
      </c>
      <c r="H288" s="34">
        <v>187987.0</v>
      </c>
      <c r="I288" s="34">
        <v>18297.0</v>
      </c>
      <c r="J288" s="34">
        <v>0.0</v>
      </c>
      <c r="K288" s="34">
        <v>4.008354244E9</v>
      </c>
      <c r="L288" s="34">
        <v>2.79174755E9</v>
      </c>
      <c r="M288" s="34">
        <v>1545.0</v>
      </c>
      <c r="N288" s="33" t="s">
        <v>94</v>
      </c>
      <c r="O288" s="33">
        <v>23.0</v>
      </c>
      <c r="P288" s="33"/>
      <c r="Q288" s="33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1.44102316E8</v>
      </c>
      <c r="B289" s="33" t="s">
        <v>438</v>
      </c>
      <c r="C289" s="34">
        <v>1.0304939E7</v>
      </c>
      <c r="D289" s="32">
        <v>0.0</v>
      </c>
      <c r="E289" s="34">
        <v>490740.0</v>
      </c>
      <c r="F289" s="34">
        <v>984224.0</v>
      </c>
      <c r="G289" s="34">
        <v>73360.0</v>
      </c>
      <c r="H289" s="34">
        <v>21282.0</v>
      </c>
      <c r="I289" s="34">
        <v>12439.0</v>
      </c>
      <c r="J289" s="34">
        <v>0.0</v>
      </c>
      <c r="K289" s="34">
        <v>9.44211236E8</v>
      </c>
      <c r="L289" s="34">
        <v>1200000.0</v>
      </c>
      <c r="M289" s="34">
        <v>349.0</v>
      </c>
      <c r="N289" s="33" t="s">
        <v>165</v>
      </c>
      <c r="O289" s="33">
        <v>24.0</v>
      </c>
      <c r="P289" s="33"/>
      <c r="Q289" s="33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1.83817841E8</v>
      </c>
      <c r="B290" s="33" t="s">
        <v>315</v>
      </c>
      <c r="C290" s="34">
        <v>1.0301711E7</v>
      </c>
      <c r="D290" s="32">
        <v>0.0</v>
      </c>
      <c r="E290" s="34">
        <v>688911.0</v>
      </c>
      <c r="F290" s="34">
        <v>892251.0</v>
      </c>
      <c r="G290" s="34">
        <v>56.0</v>
      </c>
      <c r="H290" s="34">
        <v>32028.0</v>
      </c>
      <c r="I290" s="34">
        <v>18431.0</v>
      </c>
      <c r="J290" s="34">
        <v>0.0</v>
      </c>
      <c r="K290" s="34">
        <v>1.065357088E9</v>
      </c>
      <c r="L290" s="34">
        <v>0.0</v>
      </c>
      <c r="M290" s="34">
        <v>284.0</v>
      </c>
      <c r="N290" s="33" t="s">
        <v>165</v>
      </c>
      <c r="O290" s="33">
        <v>23.0</v>
      </c>
      <c r="P290" s="33"/>
      <c r="Q290" s="33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1.98793501E8</v>
      </c>
      <c r="B291" s="33" t="s">
        <v>390</v>
      </c>
      <c r="C291" s="34">
        <v>1.0278847E7</v>
      </c>
      <c r="D291" s="32">
        <v>0.0</v>
      </c>
      <c r="E291" s="34">
        <v>20800.0</v>
      </c>
      <c r="F291" s="34">
        <v>0.0</v>
      </c>
      <c r="G291" s="34">
        <v>0.0</v>
      </c>
      <c r="H291" s="34">
        <v>0.0</v>
      </c>
      <c r="I291" s="34">
        <v>1040.0</v>
      </c>
      <c r="J291" s="34">
        <v>0.0</v>
      </c>
      <c r="K291" s="34">
        <v>4.582902637E9</v>
      </c>
      <c r="L291" s="34">
        <v>1.527538159E9</v>
      </c>
      <c r="M291" s="34">
        <v>1157.0</v>
      </c>
      <c r="N291" s="33" t="s">
        <v>153</v>
      </c>
      <c r="O291" s="33">
        <v>24.0</v>
      </c>
      <c r="P291" s="33"/>
      <c r="Q291" s="33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1.71233186E8</v>
      </c>
      <c r="B292" s="33" t="s">
        <v>329</v>
      </c>
      <c r="C292" s="34">
        <v>1.0256376E7</v>
      </c>
      <c r="D292" s="32">
        <v>0.0</v>
      </c>
      <c r="E292" s="34">
        <v>971104.0</v>
      </c>
      <c r="F292" s="34">
        <v>4667.0</v>
      </c>
      <c r="G292" s="34">
        <v>0.0</v>
      </c>
      <c r="H292" s="34">
        <v>90418.0</v>
      </c>
      <c r="I292" s="34">
        <v>2023.0</v>
      </c>
      <c r="J292" s="34">
        <v>0.0</v>
      </c>
      <c r="K292" s="34">
        <v>9.092198061E9</v>
      </c>
      <c r="L292" s="34">
        <v>6.74164768E9</v>
      </c>
      <c r="M292" s="34">
        <v>2187.0</v>
      </c>
      <c r="N292" s="33" t="s">
        <v>153</v>
      </c>
      <c r="O292" s="33">
        <v>23.0</v>
      </c>
      <c r="P292" s="33"/>
      <c r="Q292" s="33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1.44044666E8</v>
      </c>
      <c r="B293" s="33" t="s">
        <v>391</v>
      </c>
      <c r="C293" s="34">
        <v>1.0242189E7</v>
      </c>
      <c r="D293" s="32">
        <v>0.0</v>
      </c>
      <c r="E293" s="34">
        <v>2388163.0</v>
      </c>
      <c r="F293" s="34">
        <v>898490.0</v>
      </c>
      <c r="G293" s="34">
        <v>166627.0</v>
      </c>
      <c r="H293" s="34">
        <v>60679.0</v>
      </c>
      <c r="I293" s="34">
        <v>0.0</v>
      </c>
      <c r="J293" s="34">
        <v>0.0</v>
      </c>
      <c r="K293" s="34">
        <v>8.86208627E8</v>
      </c>
      <c r="L293" s="34">
        <v>5.4341218E7</v>
      </c>
      <c r="M293" s="34">
        <v>3309.0</v>
      </c>
      <c r="N293" s="33" t="s">
        <v>165</v>
      </c>
      <c r="O293" s="33">
        <v>22.0</v>
      </c>
      <c r="P293" s="33"/>
      <c r="Q293" s="33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1.53741092E8</v>
      </c>
      <c r="B294" s="33" t="s">
        <v>328</v>
      </c>
      <c r="C294" s="34">
        <v>1.0212738E7</v>
      </c>
      <c r="D294" s="32">
        <v>0.0</v>
      </c>
      <c r="E294" s="34">
        <v>2348401.0</v>
      </c>
      <c r="F294" s="34">
        <v>533005.0</v>
      </c>
      <c r="G294" s="34">
        <v>250069.0</v>
      </c>
      <c r="H294" s="34">
        <v>100259.0</v>
      </c>
      <c r="I294" s="34">
        <v>0.0</v>
      </c>
      <c r="J294" s="34">
        <v>0.0</v>
      </c>
      <c r="K294" s="34">
        <v>1.228889481E9</v>
      </c>
      <c r="L294" s="34">
        <v>8.08909335E8</v>
      </c>
      <c r="M294" s="34">
        <v>6484.0</v>
      </c>
      <c r="N294" s="33" t="s">
        <v>94</v>
      </c>
      <c r="O294" s="33">
        <v>23.0</v>
      </c>
      <c r="P294" s="33"/>
      <c r="Q294" s="33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1.49335105E8</v>
      </c>
      <c r="B295" s="33" t="s">
        <v>331</v>
      </c>
      <c r="C295" s="34">
        <v>1.0051288E7</v>
      </c>
      <c r="D295" s="32">
        <v>0.0</v>
      </c>
      <c r="E295" s="34">
        <v>557579.0</v>
      </c>
      <c r="F295" s="34">
        <v>217099.0</v>
      </c>
      <c r="G295" s="34">
        <v>558.0</v>
      </c>
      <c r="H295" s="34">
        <v>38148.0</v>
      </c>
      <c r="I295" s="34">
        <v>0.0</v>
      </c>
      <c r="J295" s="34">
        <v>0.0</v>
      </c>
      <c r="K295" s="34">
        <v>5.732363271E9</v>
      </c>
      <c r="L295" s="34">
        <v>5.254169928E9</v>
      </c>
      <c r="M295" s="34">
        <v>1128.0</v>
      </c>
      <c r="N295" s="33" t="s">
        <v>94</v>
      </c>
      <c r="O295" s="33">
        <v>23.0</v>
      </c>
      <c r="P295" s="33"/>
      <c r="Q295" s="33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1.81171114E8</v>
      </c>
      <c r="B296" s="33" t="s">
        <v>310</v>
      </c>
      <c r="C296" s="34">
        <v>9955310.0</v>
      </c>
      <c r="D296" s="32">
        <v>0.0</v>
      </c>
      <c r="E296" s="34">
        <v>32912.0</v>
      </c>
      <c r="F296" s="34">
        <v>0.0</v>
      </c>
      <c r="G296" s="34">
        <v>0.0</v>
      </c>
      <c r="H296" s="34">
        <v>270.0</v>
      </c>
      <c r="I296" s="34">
        <v>1333.0</v>
      </c>
      <c r="J296" s="34">
        <v>0.0</v>
      </c>
      <c r="K296" s="34">
        <v>2.834562233E9</v>
      </c>
      <c r="L296" s="34">
        <v>3.614743741E9</v>
      </c>
      <c r="M296" s="34">
        <v>823.0</v>
      </c>
      <c r="N296" s="33" t="s">
        <v>165</v>
      </c>
      <c r="O296" s="33">
        <v>23.0</v>
      </c>
      <c r="P296" s="33"/>
      <c r="Q296" s="33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9.9531415E7</v>
      </c>
      <c r="B297" s="33" t="s">
        <v>392</v>
      </c>
      <c r="C297" s="34">
        <v>9932201.0</v>
      </c>
      <c r="D297" s="32">
        <v>-931555.0</v>
      </c>
      <c r="E297" s="34">
        <v>7285178.0</v>
      </c>
      <c r="F297" s="34">
        <v>1634329.0</v>
      </c>
      <c r="G297" s="34">
        <v>549491.0</v>
      </c>
      <c r="H297" s="34">
        <v>192250.0</v>
      </c>
      <c r="I297" s="34">
        <v>94272.0</v>
      </c>
      <c r="J297" s="34">
        <v>0.0</v>
      </c>
      <c r="K297" s="34">
        <v>9.06363485E8</v>
      </c>
      <c r="L297" s="34">
        <v>1.0635596E7</v>
      </c>
      <c r="M297" s="34">
        <v>2697.0</v>
      </c>
      <c r="N297" s="33" t="s">
        <v>66</v>
      </c>
      <c r="O297" s="33">
        <v>23.0</v>
      </c>
      <c r="P297" s="33"/>
      <c r="Q297" s="33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1.43357945E8</v>
      </c>
      <c r="B298" s="33" t="s">
        <v>394</v>
      </c>
      <c r="C298" s="34">
        <v>9780596.0</v>
      </c>
      <c r="D298" s="32">
        <v>0.0</v>
      </c>
      <c r="E298" s="34">
        <v>3.4889049E7</v>
      </c>
      <c r="F298" s="34">
        <v>665229.0</v>
      </c>
      <c r="G298" s="34">
        <v>1846925.0</v>
      </c>
      <c r="H298" s="34">
        <v>333888.0</v>
      </c>
      <c r="I298" s="34">
        <v>4740.0</v>
      </c>
      <c r="J298" s="34">
        <v>0.0</v>
      </c>
      <c r="K298" s="34">
        <v>8.07895111E8</v>
      </c>
      <c r="L298" s="34">
        <v>1592532.0</v>
      </c>
      <c r="M298" s="34">
        <v>4824.0</v>
      </c>
      <c r="N298" s="33" t="s">
        <v>66</v>
      </c>
      <c r="O298" s="33">
        <v>24.0</v>
      </c>
      <c r="P298" s="33"/>
      <c r="Q298" s="33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1.64582241E8</v>
      </c>
      <c r="B299" s="33" t="s">
        <v>334</v>
      </c>
      <c r="C299" s="34">
        <v>9750274.0</v>
      </c>
      <c r="D299" s="32">
        <v>0.0</v>
      </c>
      <c r="E299" s="34">
        <v>1504070.0</v>
      </c>
      <c r="F299" s="34">
        <v>332313.0</v>
      </c>
      <c r="G299" s="34">
        <v>326762.0</v>
      </c>
      <c r="H299" s="34">
        <v>74899.0</v>
      </c>
      <c r="I299" s="34">
        <v>1706.0</v>
      </c>
      <c r="J299" s="34">
        <v>0.0</v>
      </c>
      <c r="K299" s="34">
        <v>1.882129374E9</v>
      </c>
      <c r="L299" s="34">
        <v>2.241757028E9</v>
      </c>
      <c r="M299" s="34">
        <v>739.0</v>
      </c>
      <c r="N299" s="33" t="s">
        <v>153</v>
      </c>
      <c r="O299" s="33">
        <v>22.0</v>
      </c>
      <c r="P299" s="33"/>
      <c r="Q299" s="33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1.78008792E8</v>
      </c>
      <c r="B300" s="33" t="s">
        <v>439</v>
      </c>
      <c r="C300" s="34">
        <v>9707009.0</v>
      </c>
      <c r="D300" s="32">
        <v>0.0</v>
      </c>
      <c r="E300" s="34">
        <v>117310.0</v>
      </c>
      <c r="F300" s="34">
        <v>242431.0</v>
      </c>
      <c r="G300" s="34">
        <v>0.0</v>
      </c>
      <c r="H300" s="34">
        <v>11383.0</v>
      </c>
      <c r="I300" s="34">
        <v>174.0</v>
      </c>
      <c r="J300" s="34">
        <v>0.0</v>
      </c>
      <c r="K300" s="34">
        <v>4.836671961E9</v>
      </c>
      <c r="L300" s="34">
        <v>3.186299495E9</v>
      </c>
      <c r="M300" s="34">
        <v>838.0</v>
      </c>
      <c r="N300" s="33" t="s">
        <v>430</v>
      </c>
      <c r="O300" s="33">
        <v>24.0</v>
      </c>
      <c r="P300" s="33"/>
      <c r="Q300" s="33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1">
        <v>1.71293992E8</v>
      </c>
      <c r="B301" s="31" t="s">
        <v>335</v>
      </c>
      <c r="C301" s="32">
        <v>9644291.0</v>
      </c>
      <c r="D301" s="32">
        <v>0.0</v>
      </c>
      <c r="E301" s="32">
        <v>1539071.0</v>
      </c>
      <c r="F301" s="32">
        <v>1163927.0</v>
      </c>
      <c r="G301" s="32">
        <v>265108.0</v>
      </c>
      <c r="H301" s="32">
        <v>99031.0</v>
      </c>
      <c r="I301" s="32">
        <v>16819.0</v>
      </c>
      <c r="J301" s="32">
        <v>0.0</v>
      </c>
      <c r="K301" s="32">
        <v>1.813028912E9</v>
      </c>
      <c r="L301" s="32">
        <v>1.776949545E9</v>
      </c>
      <c r="M301" s="32">
        <v>895.0</v>
      </c>
      <c r="N301" s="31" t="s">
        <v>153</v>
      </c>
      <c r="O301" s="31">
        <v>25.0</v>
      </c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M302" si="1">SUM(C2:C301)</f>
        <v>11322343801</v>
      </c>
      <c r="D302" s="36">
        <f t="shared" si="1"/>
        <v>207380534</v>
      </c>
      <c r="E302" s="36">
        <f t="shared" si="1"/>
        <v>138776802413</v>
      </c>
      <c r="F302" s="36">
        <f t="shared" si="1"/>
        <v>1522911245</v>
      </c>
      <c r="G302" s="36">
        <f t="shared" si="1"/>
        <v>2634073661</v>
      </c>
      <c r="H302" s="36">
        <f t="shared" si="1"/>
        <v>4589443970</v>
      </c>
      <c r="I302" s="36">
        <f t="shared" si="1"/>
        <v>4520725177</v>
      </c>
      <c r="J302" s="36">
        <f t="shared" si="1"/>
        <v>8188026</v>
      </c>
      <c r="K302" s="36">
        <f t="shared" si="1"/>
        <v>2804453424231</v>
      </c>
      <c r="L302" s="36">
        <f t="shared" si="1"/>
        <v>1795097120068</v>
      </c>
      <c r="M302" s="36">
        <f t="shared" si="1"/>
        <v>8154278</v>
      </c>
      <c r="N302" s="35"/>
      <c r="O302" s="35">
        <f>COUNT(O2:O301)</f>
        <v>300</v>
      </c>
      <c r="P302" s="35"/>
      <c r="Q302" s="35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 t="shared" ref="C303:M303" si="2">SUMIFS(C2:C301, $O$2:$O$301, "25")</f>
        <v>9927283821</v>
      </c>
      <c r="D303" s="38">
        <f t="shared" si="2"/>
        <v>194730492</v>
      </c>
      <c r="E303" s="38">
        <f t="shared" si="2"/>
        <v>138532497942</v>
      </c>
      <c r="F303" s="38">
        <f t="shared" si="2"/>
        <v>1464735240</v>
      </c>
      <c r="G303" s="38">
        <f t="shared" si="2"/>
        <v>2623728810</v>
      </c>
      <c r="H303" s="38">
        <f t="shared" si="2"/>
        <v>4576699541</v>
      </c>
      <c r="I303" s="38">
        <f t="shared" si="2"/>
        <v>4518302010</v>
      </c>
      <c r="J303" s="38">
        <f t="shared" si="2"/>
        <v>8188026</v>
      </c>
      <c r="K303" s="38">
        <f t="shared" si="2"/>
        <v>2237804962003</v>
      </c>
      <c r="L303" s="38">
        <f t="shared" si="2"/>
        <v>1333758121748</v>
      </c>
      <c r="M303" s="38">
        <f t="shared" si="2"/>
        <v>7927446</v>
      </c>
      <c r="N303" s="37" t="s">
        <v>363</v>
      </c>
      <c r="O303" s="37">
        <f>COUNTIF(O2:O301,"25")</f>
        <v>205</v>
      </c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2" width="22.57"/>
    <col customWidth="1" min="3" max="11" width="19.14"/>
    <col customWidth="1" min="12" max="12" width="11.29"/>
    <col customWidth="1" min="13" max="13" width="24.29"/>
    <col customWidth="1" min="14" max="14" width="12.71"/>
    <col customWidth="1" min="15" max="15" width="15.71"/>
    <col customWidth="1" min="16" max="16" width="72.43"/>
    <col customWidth="1" min="17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58</v>
      </c>
      <c r="G1" s="29" t="s">
        <v>8</v>
      </c>
      <c r="H1" s="29" t="s">
        <v>9</v>
      </c>
      <c r="I1" s="29" t="s">
        <v>10</v>
      </c>
      <c r="J1" s="29" t="s">
        <v>11</v>
      </c>
      <c r="K1" s="29" t="s">
        <v>12</v>
      </c>
      <c r="L1" s="29" t="s">
        <v>13</v>
      </c>
      <c r="M1" s="28" t="s">
        <v>14</v>
      </c>
      <c r="N1" s="28" t="s">
        <v>15</v>
      </c>
      <c r="O1" s="28" t="s">
        <v>59</v>
      </c>
      <c r="P1" s="28" t="s">
        <v>60</v>
      </c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6.496634E7</v>
      </c>
      <c r="B2" s="31" t="s">
        <v>35</v>
      </c>
      <c r="C2" s="32">
        <v>9.5427085E7</v>
      </c>
      <c r="D2" s="32">
        <v>5.019865662E9</v>
      </c>
      <c r="E2" s="32">
        <v>1.9380555E7</v>
      </c>
      <c r="F2" s="32">
        <v>2.3411511E7</v>
      </c>
      <c r="G2" s="32">
        <v>8.0260912E7</v>
      </c>
      <c r="H2" s="32">
        <v>2.10227129E8</v>
      </c>
      <c r="I2" s="32">
        <v>0.0</v>
      </c>
      <c r="J2" s="32">
        <v>3.8878648234E10</v>
      </c>
      <c r="K2" s="32">
        <v>1.4447507139E10</v>
      </c>
      <c r="L2" s="32">
        <v>146449.0</v>
      </c>
      <c r="M2" s="31" t="s">
        <v>440</v>
      </c>
      <c r="N2" s="31">
        <v>25.0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1.68455139E8</v>
      </c>
      <c r="B3" s="31" t="s">
        <v>33</v>
      </c>
      <c r="C3" s="32">
        <v>9.5168121E7</v>
      </c>
      <c r="D3" s="32">
        <v>3.144833587E9</v>
      </c>
      <c r="E3" s="32">
        <v>1.5798347E7</v>
      </c>
      <c r="F3" s="32">
        <v>1.1403029E7</v>
      </c>
      <c r="G3" s="32">
        <v>6.0974233E7</v>
      </c>
      <c r="H3" s="32">
        <v>1.26272621E8</v>
      </c>
      <c r="I3" s="32">
        <v>0.0</v>
      </c>
      <c r="J3" s="32">
        <v>1.8065498456E10</v>
      </c>
      <c r="K3" s="32">
        <v>2.095967435E9</v>
      </c>
      <c r="L3" s="32">
        <v>78892.0</v>
      </c>
      <c r="M3" s="31" t="s">
        <v>34</v>
      </c>
      <c r="N3" s="31">
        <v>25.0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9.1681627E7</v>
      </c>
      <c r="D4" s="32">
        <v>1.402880486E9</v>
      </c>
      <c r="E4" s="32">
        <v>1.3976374E7</v>
      </c>
      <c r="F4" s="32">
        <v>1.19626732E8</v>
      </c>
      <c r="G4" s="32">
        <v>3.8685296E7</v>
      </c>
      <c r="H4" s="32">
        <v>4.9104257E7</v>
      </c>
      <c r="I4" s="32">
        <v>0.0</v>
      </c>
      <c r="J4" s="32">
        <v>1.2857586378E10</v>
      </c>
      <c r="K4" s="32">
        <v>9.7148239E7</v>
      </c>
      <c r="L4" s="32">
        <v>32532.0</v>
      </c>
      <c r="M4" s="31" t="s">
        <v>440</v>
      </c>
      <c r="N4" s="31">
        <v>25.0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1.03336195E8</v>
      </c>
      <c r="B5" s="31" t="s">
        <v>38</v>
      </c>
      <c r="C5" s="32">
        <v>9.1418782E7</v>
      </c>
      <c r="D5" s="32">
        <v>4.059957776E9</v>
      </c>
      <c r="E5" s="32">
        <v>1.8939597E7</v>
      </c>
      <c r="F5" s="32">
        <v>5.4652872E7</v>
      </c>
      <c r="G5" s="32">
        <v>1.27885478E8</v>
      </c>
      <c r="H5" s="32">
        <v>1.37186866E8</v>
      </c>
      <c r="I5" s="32">
        <v>0.0</v>
      </c>
      <c r="J5" s="32">
        <v>1.602346836E10</v>
      </c>
      <c r="K5" s="32">
        <v>3.3782410358E10</v>
      </c>
      <c r="L5" s="32">
        <v>129564.0</v>
      </c>
      <c r="M5" s="31" t="s">
        <v>34</v>
      </c>
      <c r="N5" s="31">
        <v>25.0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6.2576249E7</v>
      </c>
      <c r="B6" s="31" t="s">
        <v>37</v>
      </c>
      <c r="C6" s="32">
        <v>8.8269654E7</v>
      </c>
      <c r="D6" s="32">
        <v>3.707959639E9</v>
      </c>
      <c r="E6" s="32">
        <v>2.2870119E7</v>
      </c>
      <c r="F6" s="32">
        <v>1.36842248E8</v>
      </c>
      <c r="G6" s="32">
        <v>1.04175898E8</v>
      </c>
      <c r="H6" s="32">
        <v>1.29228398E8</v>
      </c>
      <c r="I6" s="32">
        <v>0.0</v>
      </c>
      <c r="J6" s="32">
        <v>2.8888869531E10</v>
      </c>
      <c r="K6" s="32">
        <v>3.3949364731E10</v>
      </c>
      <c r="L6" s="32">
        <v>160058.0</v>
      </c>
      <c r="M6" s="31" t="s">
        <v>34</v>
      </c>
      <c r="N6" s="31">
        <v>25.0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1.71934536E8</v>
      </c>
      <c r="B7" s="31" t="s">
        <v>61</v>
      </c>
      <c r="C7" s="32">
        <v>8.4923872E7</v>
      </c>
      <c r="D7" s="32">
        <v>7.28045793E8</v>
      </c>
      <c r="E7" s="32">
        <v>2526075.0</v>
      </c>
      <c r="F7" s="32">
        <v>2.2195607E7</v>
      </c>
      <c r="G7" s="32">
        <v>2.4636205E7</v>
      </c>
      <c r="H7" s="32">
        <v>2.2489513E7</v>
      </c>
      <c r="I7" s="32">
        <v>0.0</v>
      </c>
      <c r="J7" s="32">
        <v>1.560076497E10</v>
      </c>
      <c r="K7" s="32">
        <v>9.58710757E8</v>
      </c>
      <c r="L7" s="32">
        <v>48116.0</v>
      </c>
      <c r="M7" s="31" t="s">
        <v>34</v>
      </c>
      <c r="N7" s="31">
        <v>25.0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6.2691192E7</v>
      </c>
      <c r="B8" s="31" t="s">
        <v>43</v>
      </c>
      <c r="C8" s="32">
        <v>8.411E7</v>
      </c>
      <c r="D8" s="32">
        <v>4.93890655E8</v>
      </c>
      <c r="E8" s="32">
        <v>1.8486766E7</v>
      </c>
      <c r="F8" s="32">
        <v>1353556.0</v>
      </c>
      <c r="G8" s="32">
        <v>1.0755283E7</v>
      </c>
      <c r="H8" s="32">
        <v>1.9119738E7</v>
      </c>
      <c r="I8" s="32">
        <v>0.0</v>
      </c>
      <c r="J8" s="32">
        <v>2.0980696054E10</v>
      </c>
      <c r="K8" s="32">
        <v>6.538529315E9</v>
      </c>
      <c r="L8" s="32">
        <v>86130.0</v>
      </c>
      <c r="M8" s="31" t="s">
        <v>440</v>
      </c>
      <c r="N8" s="31">
        <v>25.0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1.3871553E8</v>
      </c>
      <c r="B9" s="31" t="s">
        <v>62</v>
      </c>
      <c r="C9" s="32">
        <v>8.3917922E7</v>
      </c>
      <c r="D9" s="32">
        <v>9.06547968E8</v>
      </c>
      <c r="E9" s="32">
        <v>1.579346E7</v>
      </c>
      <c r="F9" s="32">
        <v>4.9055881E7</v>
      </c>
      <c r="G9" s="32">
        <v>2.517526E7</v>
      </c>
      <c r="H9" s="32">
        <v>3.1989283E7</v>
      </c>
      <c r="I9" s="32">
        <v>0.0</v>
      </c>
      <c r="J9" s="32">
        <v>1.9636295028E10</v>
      </c>
      <c r="K9" s="32">
        <v>4.647127866E9</v>
      </c>
      <c r="L9" s="32">
        <v>120423.0</v>
      </c>
      <c r="M9" s="31" t="s">
        <v>441</v>
      </c>
      <c r="N9" s="31">
        <v>25.0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4.3136267E7</v>
      </c>
      <c r="B10" s="31" t="s">
        <v>65</v>
      </c>
      <c r="C10" s="32">
        <v>8.2799729E7</v>
      </c>
      <c r="D10" s="32">
        <v>2.428812804E9</v>
      </c>
      <c r="E10" s="32">
        <v>2.296527E7</v>
      </c>
      <c r="F10" s="32">
        <v>7.9807201E7</v>
      </c>
      <c r="G10" s="32">
        <v>7.3533858E7</v>
      </c>
      <c r="H10" s="32">
        <v>8.3657192E7</v>
      </c>
      <c r="I10" s="32">
        <v>0.0</v>
      </c>
      <c r="J10" s="32">
        <v>2.8375079703E10</v>
      </c>
      <c r="K10" s="32">
        <v>3.7469575604E10</v>
      </c>
      <c r="L10" s="32">
        <v>100012.0</v>
      </c>
      <c r="M10" s="31" t="s">
        <v>153</v>
      </c>
      <c r="N10" s="31">
        <v>25.0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6.7071592E7</v>
      </c>
      <c r="B11" s="31" t="s">
        <v>45</v>
      </c>
      <c r="C11" s="32">
        <v>8.1967002E7</v>
      </c>
      <c r="D11" s="32">
        <v>1.0363196103E10</v>
      </c>
      <c r="E11" s="32">
        <v>3.0027527E7</v>
      </c>
      <c r="F11" s="32">
        <v>8.1220306E7</v>
      </c>
      <c r="G11" s="32">
        <v>3.90442922E8</v>
      </c>
      <c r="H11" s="32">
        <v>3.15993574E8</v>
      </c>
      <c r="I11" s="32">
        <v>1804833.0</v>
      </c>
      <c r="J11" s="32">
        <v>3.7362426093E10</v>
      </c>
      <c r="K11" s="32">
        <v>2.5961215882E10</v>
      </c>
      <c r="L11" s="32">
        <v>231808.0</v>
      </c>
      <c r="M11" s="31" t="s">
        <v>34</v>
      </c>
      <c r="N11" s="31">
        <v>25.0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2463403.0</v>
      </c>
      <c r="B12" s="31" t="s">
        <v>39</v>
      </c>
      <c r="C12" s="32">
        <v>8.119419E7</v>
      </c>
      <c r="D12" s="32">
        <v>8.053097772E9</v>
      </c>
      <c r="E12" s="32">
        <v>4.1156294E7</v>
      </c>
      <c r="F12" s="32">
        <v>3.0424042E7</v>
      </c>
      <c r="G12" s="32">
        <v>2.05911206E8</v>
      </c>
      <c r="H12" s="32">
        <v>2.97735913E8</v>
      </c>
      <c r="I12" s="32">
        <v>0.0</v>
      </c>
      <c r="J12" s="32">
        <v>3.007393284E10</v>
      </c>
      <c r="K12" s="32">
        <v>1.0256888908E10</v>
      </c>
      <c r="L12" s="32">
        <v>278354.0</v>
      </c>
      <c r="M12" s="31" t="s">
        <v>34</v>
      </c>
      <c r="N12" s="31">
        <v>25.0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1.1726598E7</v>
      </c>
      <c r="B13" s="31" t="s">
        <v>42</v>
      </c>
      <c r="C13" s="32">
        <v>8.1190185E7</v>
      </c>
      <c r="D13" s="32">
        <v>9.465326822E9</v>
      </c>
      <c r="E13" s="32">
        <v>2.8439075E7</v>
      </c>
      <c r="F13" s="32">
        <v>8.4598811E7</v>
      </c>
      <c r="G13" s="32">
        <v>2.17114325E8</v>
      </c>
      <c r="H13" s="32">
        <v>3.60599807E8</v>
      </c>
      <c r="I13" s="32">
        <v>3821128.0</v>
      </c>
      <c r="J13" s="32">
        <v>2.3480179222E10</v>
      </c>
      <c r="K13" s="32">
        <v>3.1467472758E10</v>
      </c>
      <c r="L13" s="32">
        <v>177725.0</v>
      </c>
      <c r="M13" s="31" t="s">
        <v>440</v>
      </c>
      <c r="N13" s="31">
        <v>25.0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7.9650085E7</v>
      </c>
      <c r="B14" s="31" t="s">
        <v>41</v>
      </c>
      <c r="C14" s="32">
        <v>8.1083559E7</v>
      </c>
      <c r="D14" s="32">
        <v>2.020759923E9</v>
      </c>
      <c r="E14" s="32">
        <v>1.3444162E7</v>
      </c>
      <c r="F14" s="32">
        <v>3.4594796E7</v>
      </c>
      <c r="G14" s="32">
        <v>6.0282058E7</v>
      </c>
      <c r="H14" s="32">
        <v>6.9781813E7</v>
      </c>
      <c r="I14" s="32">
        <v>0.0</v>
      </c>
      <c r="J14" s="32">
        <v>1.6203292687E10</v>
      </c>
      <c r="K14" s="32">
        <v>1.5131538986E10</v>
      </c>
      <c r="L14" s="32">
        <v>105389.0</v>
      </c>
      <c r="M14" s="31" t="s">
        <v>34</v>
      </c>
      <c r="N14" s="31">
        <v>25.0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1.71701107E8</v>
      </c>
      <c r="B15" s="31" t="s">
        <v>73</v>
      </c>
      <c r="C15" s="32">
        <v>7.970345E7</v>
      </c>
      <c r="D15" s="32">
        <v>6.22799072E8</v>
      </c>
      <c r="E15" s="32">
        <v>3089328.0</v>
      </c>
      <c r="F15" s="32">
        <v>5719252.0</v>
      </c>
      <c r="G15" s="32">
        <v>1.8542597E7</v>
      </c>
      <c r="H15" s="32">
        <v>2.1617056E7</v>
      </c>
      <c r="I15" s="32">
        <v>0.0</v>
      </c>
      <c r="J15" s="32">
        <v>1.0435668132E10</v>
      </c>
      <c r="K15" s="32">
        <v>4.014918782E9</v>
      </c>
      <c r="L15" s="32">
        <v>28933.0</v>
      </c>
      <c r="M15" s="31" t="s">
        <v>34</v>
      </c>
      <c r="N15" s="31">
        <v>25.0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6.3222201E7</v>
      </c>
      <c r="B16" s="31" t="s">
        <v>64</v>
      </c>
      <c r="C16" s="32">
        <v>7.9638186E7</v>
      </c>
      <c r="D16" s="32">
        <v>1.983198202E9</v>
      </c>
      <c r="E16" s="32">
        <v>1.8936285E7</v>
      </c>
      <c r="F16" s="32">
        <v>2.1587022E7</v>
      </c>
      <c r="G16" s="32">
        <v>7.9759209E7</v>
      </c>
      <c r="H16" s="32">
        <v>5.7778299E7</v>
      </c>
      <c r="I16" s="32">
        <v>0.0</v>
      </c>
      <c r="J16" s="32">
        <v>3.3403500748E10</v>
      </c>
      <c r="K16" s="32">
        <v>1.1337447834E10</v>
      </c>
      <c r="L16" s="32">
        <v>83038.0</v>
      </c>
      <c r="M16" s="31" t="s">
        <v>66</v>
      </c>
      <c r="N16" s="31">
        <v>25.0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6.4010776E7</v>
      </c>
      <c r="B17" s="31" t="s">
        <v>63</v>
      </c>
      <c r="C17" s="32">
        <v>7.9357941E7</v>
      </c>
      <c r="D17" s="32">
        <v>2.453038112E9</v>
      </c>
      <c r="E17" s="32">
        <v>1.9483092E7</v>
      </c>
      <c r="F17" s="32">
        <v>3.5105324E7</v>
      </c>
      <c r="G17" s="32">
        <v>8.1257599E7</v>
      </c>
      <c r="H17" s="32">
        <v>7.9713168E7</v>
      </c>
      <c r="I17" s="32">
        <v>0.0</v>
      </c>
      <c r="J17" s="32">
        <v>2.0467324941E10</v>
      </c>
      <c r="K17" s="32">
        <v>3.2032279846E10</v>
      </c>
      <c r="L17" s="32">
        <v>109397.0</v>
      </c>
      <c r="M17" s="31" t="s">
        <v>440</v>
      </c>
      <c r="N17" s="31">
        <v>25.0</v>
      </c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7.1152824E7</v>
      </c>
      <c r="B18" s="31" t="s">
        <v>67</v>
      </c>
      <c r="C18" s="32">
        <v>7.9054956E7</v>
      </c>
      <c r="D18" s="32">
        <v>1.870976143E9</v>
      </c>
      <c r="E18" s="32">
        <v>1.8266128E7</v>
      </c>
      <c r="F18" s="32">
        <v>6.7889276E7</v>
      </c>
      <c r="G18" s="32">
        <v>7.2754066E7</v>
      </c>
      <c r="H18" s="32">
        <v>5.5116617E7</v>
      </c>
      <c r="I18" s="32">
        <v>313500.0</v>
      </c>
      <c r="J18" s="32">
        <v>2.4217771507E10</v>
      </c>
      <c r="K18" s="32">
        <v>1.1097140581E10</v>
      </c>
      <c r="L18" s="32">
        <v>58522.0</v>
      </c>
      <c r="M18" s="31" t="s">
        <v>34</v>
      </c>
      <c r="N18" s="31">
        <v>25.0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1.71879011E8</v>
      </c>
      <c r="B19" s="31" t="s">
        <v>80</v>
      </c>
      <c r="C19" s="32">
        <v>7.8300342E7</v>
      </c>
      <c r="D19" s="32">
        <v>4.05524065E8</v>
      </c>
      <c r="E19" s="32">
        <v>3137263.0</v>
      </c>
      <c r="F19" s="32">
        <v>2.7223078E7</v>
      </c>
      <c r="G19" s="32">
        <v>1.1262738E7</v>
      </c>
      <c r="H19" s="32">
        <v>1.4011579E7</v>
      </c>
      <c r="I19" s="32">
        <v>0.0</v>
      </c>
      <c r="J19" s="32">
        <v>1.4728894688E10</v>
      </c>
      <c r="K19" s="32">
        <v>1.808712272E9</v>
      </c>
      <c r="L19" s="32">
        <v>50112.0</v>
      </c>
      <c r="M19" s="31" t="s">
        <v>34</v>
      </c>
      <c r="N19" s="31">
        <v>25.0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2.7578537E7</v>
      </c>
      <c r="B20" s="31" t="s">
        <v>48</v>
      </c>
      <c r="C20" s="32">
        <v>7.8226207E7</v>
      </c>
      <c r="D20" s="32">
        <v>3.273577513E9</v>
      </c>
      <c r="E20" s="32">
        <v>2.6017941E7</v>
      </c>
      <c r="F20" s="32">
        <v>3.4859699E7</v>
      </c>
      <c r="G20" s="32">
        <v>1.04940509E8</v>
      </c>
      <c r="H20" s="32">
        <v>1.09366473E8</v>
      </c>
      <c r="I20" s="32">
        <v>0.0</v>
      </c>
      <c r="J20" s="32">
        <v>2.5965066497E10</v>
      </c>
      <c r="K20" s="32">
        <v>3.3526939303E10</v>
      </c>
      <c r="L20" s="32">
        <v>107332.0</v>
      </c>
      <c r="M20" s="31" t="s">
        <v>440</v>
      </c>
      <c r="N20" s="31">
        <v>25.0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1.15125159E8</v>
      </c>
      <c r="B21" s="31" t="s">
        <v>400</v>
      </c>
      <c r="C21" s="32">
        <v>7.763318E7</v>
      </c>
      <c r="D21" s="32">
        <v>6.03176421E8</v>
      </c>
      <c r="E21" s="32">
        <v>1.0127466E7</v>
      </c>
      <c r="F21" s="32">
        <v>2309595.0</v>
      </c>
      <c r="G21" s="32">
        <v>2.3143921E7</v>
      </c>
      <c r="H21" s="32">
        <v>1.78829E7</v>
      </c>
      <c r="I21" s="32">
        <v>19919.0</v>
      </c>
      <c r="J21" s="32">
        <v>1.313778024E10</v>
      </c>
      <c r="K21" s="32">
        <v>2.957793162E9</v>
      </c>
      <c r="L21" s="32">
        <v>50430.0</v>
      </c>
      <c r="M21" s="31" t="s">
        <v>34</v>
      </c>
      <c r="N21" s="31">
        <v>25.0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1.4572491E7</v>
      </c>
      <c r="B22" s="31" t="s">
        <v>46</v>
      </c>
      <c r="C22" s="32">
        <v>7.6524775E7</v>
      </c>
      <c r="D22" s="32">
        <v>7.041934438E9</v>
      </c>
      <c r="E22" s="32">
        <v>6.3318543E7</v>
      </c>
      <c r="F22" s="32">
        <v>5.6830191E7</v>
      </c>
      <c r="G22" s="32">
        <v>2.11050446E8</v>
      </c>
      <c r="H22" s="32">
        <v>2.42804049E8</v>
      </c>
      <c r="I22" s="32">
        <v>0.0</v>
      </c>
      <c r="J22" s="32">
        <v>1.9421089683E10</v>
      </c>
      <c r="K22" s="32">
        <v>4.7723874529E10</v>
      </c>
      <c r="L22" s="32">
        <v>178678.0</v>
      </c>
      <c r="M22" s="31" t="s">
        <v>34</v>
      </c>
      <c r="N22" s="31">
        <v>25.0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2.989016E7</v>
      </c>
      <c r="B23" s="31" t="s">
        <v>399</v>
      </c>
      <c r="C23" s="32">
        <v>7.6403694E7</v>
      </c>
      <c r="D23" s="32">
        <v>8.60336713E8</v>
      </c>
      <c r="E23" s="32">
        <v>3.1099649E7</v>
      </c>
      <c r="F23" s="32">
        <v>9.7701156E7</v>
      </c>
      <c r="G23" s="32">
        <v>3.0642648E7</v>
      </c>
      <c r="H23" s="32">
        <v>2.5850942E7</v>
      </c>
      <c r="I23" s="32">
        <v>0.0</v>
      </c>
      <c r="J23" s="32">
        <v>1.9899392833E10</v>
      </c>
      <c r="K23" s="32">
        <v>5.308872359E9</v>
      </c>
      <c r="L23" s="32">
        <v>64117.0</v>
      </c>
      <c r="M23" s="31" t="s">
        <v>34</v>
      </c>
      <c r="N23" s="31">
        <v>25.0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1.69461237E8</v>
      </c>
      <c r="B24" s="31" t="s">
        <v>82</v>
      </c>
      <c r="C24" s="32">
        <v>7.5210474E7</v>
      </c>
      <c r="D24" s="32">
        <v>3.74816162E8</v>
      </c>
      <c r="E24" s="32">
        <v>3971161.0</v>
      </c>
      <c r="F24" s="32">
        <v>3057052.0</v>
      </c>
      <c r="G24" s="32">
        <v>2.3104818E7</v>
      </c>
      <c r="H24" s="32">
        <v>5769663.0</v>
      </c>
      <c r="I24" s="32">
        <v>0.0</v>
      </c>
      <c r="J24" s="32">
        <v>3.397355839E9</v>
      </c>
      <c r="K24" s="32">
        <v>4.1058231616E10</v>
      </c>
      <c r="L24" s="32">
        <v>20613.0</v>
      </c>
      <c r="M24" s="31" t="s">
        <v>34</v>
      </c>
      <c r="N24" s="31">
        <v>25.0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7.7394861E7</v>
      </c>
      <c r="B25" s="31" t="s">
        <v>50</v>
      </c>
      <c r="C25" s="32">
        <v>7.4833707E7</v>
      </c>
      <c r="D25" s="32">
        <v>2.738681138E9</v>
      </c>
      <c r="E25" s="32">
        <v>1.7927521E7</v>
      </c>
      <c r="F25" s="32">
        <v>2080373.0</v>
      </c>
      <c r="G25" s="32">
        <v>9.5256703E7</v>
      </c>
      <c r="H25" s="32">
        <v>8.9162161E7</v>
      </c>
      <c r="I25" s="32">
        <v>0.0</v>
      </c>
      <c r="J25" s="32">
        <v>2.8266340971E10</v>
      </c>
      <c r="K25" s="32">
        <v>6.7810471155E10</v>
      </c>
      <c r="L25" s="32">
        <v>185353.0</v>
      </c>
      <c r="M25" s="31" t="s">
        <v>34</v>
      </c>
      <c r="N25" s="31">
        <v>25.0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1.56479771E8</v>
      </c>
      <c r="B26" s="31" t="s">
        <v>70</v>
      </c>
      <c r="C26" s="32">
        <v>7.41465E7</v>
      </c>
      <c r="D26" s="32">
        <v>1.686171829E9</v>
      </c>
      <c r="E26" s="32">
        <v>1.0568569E7</v>
      </c>
      <c r="F26" s="32">
        <v>4.0075276E7</v>
      </c>
      <c r="G26" s="32">
        <v>7.0165161E7</v>
      </c>
      <c r="H26" s="32">
        <v>4.6832737E7</v>
      </c>
      <c r="I26" s="32">
        <v>0.0</v>
      </c>
      <c r="J26" s="32">
        <v>1.6805397524E10</v>
      </c>
      <c r="K26" s="32">
        <v>1.0581487032E10</v>
      </c>
      <c r="L26" s="32">
        <v>96961.0</v>
      </c>
      <c r="M26" s="31" t="s">
        <v>440</v>
      </c>
      <c r="N26" s="31">
        <v>25.0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7887352.0</v>
      </c>
      <c r="B27" s="31" t="s">
        <v>83</v>
      </c>
      <c r="C27" s="32">
        <v>7.4056146E7</v>
      </c>
      <c r="D27" s="32">
        <v>2.194116467E9</v>
      </c>
      <c r="E27" s="32">
        <v>1.6583036E7</v>
      </c>
      <c r="F27" s="32">
        <v>3.4656895E7</v>
      </c>
      <c r="G27" s="32">
        <v>7.0560932E7</v>
      </c>
      <c r="H27" s="32">
        <v>7.3835283E7</v>
      </c>
      <c r="I27" s="32">
        <v>0.0</v>
      </c>
      <c r="J27" s="32">
        <v>1.6654237105E10</v>
      </c>
      <c r="K27" s="32">
        <v>1.2713533366E10</v>
      </c>
      <c r="L27" s="32">
        <v>45896.0</v>
      </c>
      <c r="M27" s="31" t="s">
        <v>34</v>
      </c>
      <c r="N27" s="31">
        <v>25.0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1.77526978E8</v>
      </c>
      <c r="B28" s="31" t="s">
        <v>74</v>
      </c>
      <c r="C28" s="32">
        <v>7.3996724E7</v>
      </c>
      <c r="D28" s="32">
        <v>1.04938716E8</v>
      </c>
      <c r="E28" s="32">
        <v>3189237.0</v>
      </c>
      <c r="F28" s="32">
        <v>6554003.0</v>
      </c>
      <c r="G28" s="32">
        <v>3582800.0</v>
      </c>
      <c r="H28" s="32">
        <v>3318459.0</v>
      </c>
      <c r="I28" s="32">
        <v>0.0</v>
      </c>
      <c r="J28" s="32">
        <v>9.688571474E9</v>
      </c>
      <c r="K28" s="32">
        <v>1.0921382248E10</v>
      </c>
      <c r="L28" s="32">
        <v>25259.0</v>
      </c>
      <c r="M28" s="31" t="s">
        <v>34</v>
      </c>
      <c r="N28" s="31">
        <v>25.0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1.36378574E8</v>
      </c>
      <c r="B29" s="31" t="s">
        <v>401</v>
      </c>
      <c r="C29" s="32">
        <v>7.3880403E7</v>
      </c>
      <c r="D29" s="32">
        <v>5.98467976E8</v>
      </c>
      <c r="E29" s="32">
        <v>6823289.0</v>
      </c>
      <c r="F29" s="32">
        <v>5150003.0</v>
      </c>
      <c r="G29" s="32">
        <v>2.979345E7</v>
      </c>
      <c r="H29" s="32">
        <v>1.4389592E7</v>
      </c>
      <c r="I29" s="32">
        <v>0.0</v>
      </c>
      <c r="J29" s="32">
        <v>1.966472603E10</v>
      </c>
      <c r="K29" s="32">
        <v>9.741231848E9</v>
      </c>
      <c r="L29" s="32">
        <v>27274.0</v>
      </c>
      <c r="M29" s="31" t="s">
        <v>34</v>
      </c>
      <c r="N29" s="31">
        <v>25.0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4.8741756E7</v>
      </c>
      <c r="B30" s="31" t="s">
        <v>51</v>
      </c>
      <c r="C30" s="32">
        <v>7.3738028E7</v>
      </c>
      <c r="D30" s="32">
        <v>3.122497864E9</v>
      </c>
      <c r="E30" s="32">
        <v>2.4347706E7</v>
      </c>
      <c r="F30" s="32">
        <v>6.9158E7</v>
      </c>
      <c r="G30" s="32">
        <v>1.24992423E8</v>
      </c>
      <c r="H30" s="32">
        <v>9.207911E7</v>
      </c>
      <c r="I30" s="32">
        <v>804578.0</v>
      </c>
      <c r="J30" s="32">
        <v>2.0623350549E10</v>
      </c>
      <c r="K30" s="32">
        <v>2.2685439519E10</v>
      </c>
      <c r="L30" s="32">
        <v>165893.0</v>
      </c>
      <c r="M30" s="31" t="s">
        <v>34</v>
      </c>
      <c r="N30" s="31">
        <v>25.0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1.1409556E7</v>
      </c>
      <c r="B31" s="31" t="s">
        <v>402</v>
      </c>
      <c r="C31" s="32">
        <v>7.3629101E7</v>
      </c>
      <c r="D31" s="32">
        <v>5.82419822E8</v>
      </c>
      <c r="E31" s="32">
        <v>1.5648218E7</v>
      </c>
      <c r="F31" s="32">
        <v>1.9002422E7</v>
      </c>
      <c r="G31" s="32">
        <v>3.07815E7</v>
      </c>
      <c r="H31" s="32">
        <v>1.2851588E7</v>
      </c>
      <c r="I31" s="32">
        <v>0.0</v>
      </c>
      <c r="J31" s="32">
        <v>1.5740599884E10</v>
      </c>
      <c r="K31" s="32">
        <v>5.766935771E9</v>
      </c>
      <c r="L31" s="32">
        <v>86842.0</v>
      </c>
      <c r="M31" s="31" t="s">
        <v>147</v>
      </c>
      <c r="N31" s="31">
        <v>25.0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1.44060837E8</v>
      </c>
      <c r="B32" s="31" t="s">
        <v>442</v>
      </c>
      <c r="C32" s="32">
        <v>7.3585564E7</v>
      </c>
      <c r="D32" s="32">
        <v>4.13324675E8</v>
      </c>
      <c r="E32" s="32">
        <v>1.4565154E7</v>
      </c>
      <c r="F32" s="32">
        <v>2840529.0</v>
      </c>
      <c r="G32" s="32">
        <v>1.3022728E7</v>
      </c>
      <c r="H32" s="32">
        <v>1.272016E7</v>
      </c>
      <c r="I32" s="32">
        <v>0.0</v>
      </c>
      <c r="J32" s="32">
        <v>1.1858324458E10</v>
      </c>
      <c r="K32" s="32">
        <v>1.846559304E9</v>
      </c>
      <c r="L32" s="32">
        <v>53028.0</v>
      </c>
      <c r="M32" s="31" t="s">
        <v>34</v>
      </c>
      <c r="N32" s="31">
        <v>25.0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1.40009179E8</v>
      </c>
      <c r="B33" s="31" t="s">
        <v>403</v>
      </c>
      <c r="C33" s="32">
        <v>7.3208966E7</v>
      </c>
      <c r="D33" s="32">
        <v>1.039163439E9</v>
      </c>
      <c r="E33" s="32">
        <v>1.0543562E7</v>
      </c>
      <c r="F33" s="32">
        <v>2.8697919E7</v>
      </c>
      <c r="G33" s="32">
        <v>5.8790027E7</v>
      </c>
      <c r="H33" s="32">
        <v>2.1885816E7</v>
      </c>
      <c r="I33" s="32">
        <v>0.0</v>
      </c>
      <c r="J33" s="32">
        <v>1.3854215909E10</v>
      </c>
      <c r="K33" s="32">
        <v>2.648117913E9</v>
      </c>
      <c r="L33" s="32">
        <v>35720.0</v>
      </c>
      <c r="M33" s="31" t="s">
        <v>147</v>
      </c>
      <c r="N33" s="31">
        <v>25.0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1.66497805E8</v>
      </c>
      <c r="B34" s="31" t="s">
        <v>77</v>
      </c>
      <c r="C34" s="32">
        <v>7.2730516E7</v>
      </c>
      <c r="D34" s="32">
        <v>6.22436986E8</v>
      </c>
      <c r="E34" s="32">
        <v>5364231.0</v>
      </c>
      <c r="F34" s="32">
        <v>2158221.0</v>
      </c>
      <c r="G34" s="32">
        <v>2.5964001E7</v>
      </c>
      <c r="H34" s="32">
        <v>1.7608945E7</v>
      </c>
      <c r="I34" s="32">
        <v>0.0</v>
      </c>
      <c r="J34" s="32">
        <v>1.525619676E10</v>
      </c>
      <c r="K34" s="32">
        <v>3.56763729E8</v>
      </c>
      <c r="L34" s="32">
        <v>63589.0</v>
      </c>
      <c r="M34" s="31" t="s">
        <v>34</v>
      </c>
      <c r="N34" s="31">
        <v>25.0</v>
      </c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7.1613822E7</v>
      </c>
      <c r="B35" s="31" t="s">
        <v>69</v>
      </c>
      <c r="C35" s="32">
        <v>7.2192572E7</v>
      </c>
      <c r="D35" s="32">
        <v>2.174919522E9</v>
      </c>
      <c r="E35" s="32">
        <v>2.9888813E7</v>
      </c>
      <c r="F35" s="32">
        <v>4.9328971E7</v>
      </c>
      <c r="G35" s="32">
        <v>7.6348594E7</v>
      </c>
      <c r="H35" s="32">
        <v>6.9032122E7</v>
      </c>
      <c r="I35" s="32">
        <v>0.0</v>
      </c>
      <c r="J35" s="32">
        <v>2.4895382545E10</v>
      </c>
      <c r="K35" s="32">
        <v>6.537284955E9</v>
      </c>
      <c r="L35" s="32">
        <v>104315.0</v>
      </c>
      <c r="M35" s="31" t="s">
        <v>440</v>
      </c>
      <c r="N35" s="31">
        <v>25.0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1.44109282E8</v>
      </c>
      <c r="B36" s="31" t="s">
        <v>364</v>
      </c>
      <c r="C36" s="32">
        <v>7.1620257E7</v>
      </c>
      <c r="D36" s="32">
        <v>9.82048901E8</v>
      </c>
      <c r="E36" s="32">
        <v>8305959.0</v>
      </c>
      <c r="F36" s="32">
        <v>1.80719899E8</v>
      </c>
      <c r="G36" s="32">
        <v>3.8711642E7</v>
      </c>
      <c r="H36" s="32">
        <v>2.7634546E7</v>
      </c>
      <c r="I36" s="32">
        <v>0.0</v>
      </c>
      <c r="J36" s="32">
        <v>1.8015010754E10</v>
      </c>
      <c r="K36" s="32">
        <v>4.628200002E9</v>
      </c>
      <c r="L36" s="32">
        <v>75115.0</v>
      </c>
      <c r="M36" s="31" t="s">
        <v>34</v>
      </c>
      <c r="N36" s="31">
        <v>25.0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1.71927851E8</v>
      </c>
      <c r="B37" s="31" t="s">
        <v>96</v>
      </c>
      <c r="C37" s="32">
        <v>7.1400952E7</v>
      </c>
      <c r="D37" s="32">
        <v>3.37185583E8</v>
      </c>
      <c r="E37" s="32">
        <v>2789101.0</v>
      </c>
      <c r="F37" s="32">
        <v>9960405.0</v>
      </c>
      <c r="G37" s="32">
        <v>5494780.0</v>
      </c>
      <c r="H37" s="32">
        <v>1.3929667E7</v>
      </c>
      <c r="I37" s="32">
        <v>0.0</v>
      </c>
      <c r="J37" s="32">
        <v>9.604912268E9</v>
      </c>
      <c r="K37" s="32">
        <v>1.01624E8</v>
      </c>
      <c r="L37" s="32">
        <v>30320.0</v>
      </c>
      <c r="M37" s="31" t="s">
        <v>34</v>
      </c>
      <c r="N37" s="31">
        <v>25.0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7.4556991E7</v>
      </c>
      <c r="B38" s="31" t="s">
        <v>204</v>
      </c>
      <c r="C38" s="32">
        <v>7.081987E7</v>
      </c>
      <c r="D38" s="32">
        <v>2.836706401E9</v>
      </c>
      <c r="E38" s="32">
        <v>1.4581752E7</v>
      </c>
      <c r="F38" s="32">
        <v>5996255.0</v>
      </c>
      <c r="G38" s="32">
        <v>5.4402349E7</v>
      </c>
      <c r="H38" s="32">
        <v>1.14326164E8</v>
      </c>
      <c r="I38" s="32">
        <v>0.0</v>
      </c>
      <c r="J38" s="32">
        <v>1.843514709E10</v>
      </c>
      <c r="K38" s="32">
        <v>5.737943886E9</v>
      </c>
      <c r="L38" s="32">
        <v>131890.0</v>
      </c>
      <c r="M38" s="31" t="s">
        <v>440</v>
      </c>
      <c r="N38" s="31">
        <v>25.0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1.71503078E8</v>
      </c>
      <c r="B39" s="31" t="s">
        <v>72</v>
      </c>
      <c r="C39" s="32">
        <v>7.0774961E7</v>
      </c>
      <c r="D39" s="32">
        <v>1.481376399E9</v>
      </c>
      <c r="E39" s="32">
        <v>3526719.0</v>
      </c>
      <c r="F39" s="32">
        <v>1.6266335E7</v>
      </c>
      <c r="G39" s="32">
        <v>3.1592453E7</v>
      </c>
      <c r="H39" s="32">
        <v>5.6319089E7</v>
      </c>
      <c r="I39" s="32">
        <v>0.0</v>
      </c>
      <c r="J39" s="32">
        <v>1.9274571562E10</v>
      </c>
      <c r="K39" s="32">
        <v>5.02248407E9</v>
      </c>
      <c r="L39" s="32">
        <v>63403.0</v>
      </c>
      <c r="M39" s="31" t="s">
        <v>34</v>
      </c>
      <c r="N39" s="31">
        <v>25.0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1.71491377E8</v>
      </c>
      <c r="B40" s="31" t="s">
        <v>84</v>
      </c>
      <c r="C40" s="32">
        <v>7.041875E7</v>
      </c>
      <c r="D40" s="32">
        <v>5.22106936E8</v>
      </c>
      <c r="E40" s="32">
        <v>3758072.0</v>
      </c>
      <c r="F40" s="32">
        <v>3173440.0</v>
      </c>
      <c r="G40" s="32">
        <v>1.0961757E7</v>
      </c>
      <c r="H40" s="32">
        <v>2.0502835E7</v>
      </c>
      <c r="I40" s="32">
        <v>0.0</v>
      </c>
      <c r="J40" s="32">
        <v>1.2813853066E10</v>
      </c>
      <c r="K40" s="32">
        <v>1.080422782E9</v>
      </c>
      <c r="L40" s="32">
        <v>52932.0</v>
      </c>
      <c r="M40" s="31" t="s">
        <v>34</v>
      </c>
      <c r="N40" s="31">
        <v>25.0</v>
      </c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1.43088559E8</v>
      </c>
      <c r="B41" s="31" t="s">
        <v>93</v>
      </c>
      <c r="C41" s="32">
        <v>7.0338733E7</v>
      </c>
      <c r="D41" s="32">
        <v>4.63290559E8</v>
      </c>
      <c r="E41" s="32">
        <v>4093564.0</v>
      </c>
      <c r="F41" s="32">
        <v>1.0480295E7</v>
      </c>
      <c r="G41" s="32">
        <v>2.6725717E7</v>
      </c>
      <c r="H41" s="32">
        <v>8944637.0</v>
      </c>
      <c r="I41" s="32">
        <v>0.0</v>
      </c>
      <c r="J41" s="32">
        <v>1.2955117867E10</v>
      </c>
      <c r="K41" s="32">
        <v>2.11081372E9</v>
      </c>
      <c r="L41" s="32">
        <v>36439.0</v>
      </c>
      <c r="M41" s="31" t="s">
        <v>66</v>
      </c>
      <c r="N41" s="31">
        <v>25.0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1.6942777E8</v>
      </c>
      <c r="B42" s="31" t="s">
        <v>71</v>
      </c>
      <c r="C42" s="32">
        <v>7.0123784E7</v>
      </c>
      <c r="D42" s="32">
        <v>8.11052722E8</v>
      </c>
      <c r="E42" s="32">
        <v>9847625.0</v>
      </c>
      <c r="F42" s="32">
        <v>2495952.0</v>
      </c>
      <c r="G42" s="32">
        <v>2.7188246E7</v>
      </c>
      <c r="H42" s="32">
        <v>2.6609459E7</v>
      </c>
      <c r="I42" s="32">
        <v>0.0</v>
      </c>
      <c r="J42" s="32">
        <v>1.853249555E10</v>
      </c>
      <c r="K42" s="32">
        <v>6.86897086E8</v>
      </c>
      <c r="L42" s="32">
        <v>108632.0</v>
      </c>
      <c r="M42" s="31" t="s">
        <v>34</v>
      </c>
      <c r="N42" s="31">
        <v>25.0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1.66110884E8</v>
      </c>
      <c r="B43" s="31" t="s">
        <v>95</v>
      </c>
      <c r="C43" s="32">
        <v>6.9798039E7</v>
      </c>
      <c r="D43" s="32">
        <v>8.8858807E8</v>
      </c>
      <c r="E43" s="32">
        <v>6332992.0</v>
      </c>
      <c r="F43" s="32">
        <v>4.3590233E7</v>
      </c>
      <c r="G43" s="32">
        <v>3.2128306E7</v>
      </c>
      <c r="H43" s="32">
        <v>2.6154176E7</v>
      </c>
      <c r="I43" s="32">
        <v>0.0</v>
      </c>
      <c r="J43" s="32">
        <v>8.700480691E9</v>
      </c>
      <c r="K43" s="32">
        <v>3.624684682E9</v>
      </c>
      <c r="L43" s="32">
        <v>68696.0</v>
      </c>
      <c r="M43" s="31" t="s">
        <v>34</v>
      </c>
      <c r="N43" s="31">
        <v>25.0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9.8107237E7</v>
      </c>
      <c r="B44" s="31" t="s">
        <v>68</v>
      </c>
      <c r="C44" s="32">
        <v>6.9457009E7</v>
      </c>
      <c r="D44" s="32">
        <v>2.827549678E9</v>
      </c>
      <c r="E44" s="32">
        <v>1.8507076E7</v>
      </c>
      <c r="F44" s="32">
        <v>2179180.0</v>
      </c>
      <c r="G44" s="32">
        <v>6.7067308E7</v>
      </c>
      <c r="H44" s="32">
        <v>1.07630268E8</v>
      </c>
      <c r="I44" s="32">
        <v>0.0</v>
      </c>
      <c r="J44" s="32">
        <v>3.5713435401E10</v>
      </c>
      <c r="K44" s="32">
        <v>1.1527531851E10</v>
      </c>
      <c r="L44" s="32">
        <v>91696.0</v>
      </c>
      <c r="M44" s="31" t="s">
        <v>34</v>
      </c>
      <c r="N44" s="31">
        <v>25.0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1.70866748E8</v>
      </c>
      <c r="B45" s="31" t="s">
        <v>97</v>
      </c>
      <c r="C45" s="32">
        <v>6.8876564E7</v>
      </c>
      <c r="D45" s="32">
        <v>6.40450638E8</v>
      </c>
      <c r="E45" s="32">
        <v>5742571.0</v>
      </c>
      <c r="F45" s="32">
        <v>1157141.0</v>
      </c>
      <c r="G45" s="32">
        <v>9181208.0</v>
      </c>
      <c r="H45" s="32">
        <v>2.7355805E7</v>
      </c>
      <c r="I45" s="32">
        <v>0.0</v>
      </c>
      <c r="J45" s="32">
        <v>1.4601024164E10</v>
      </c>
      <c r="K45" s="32">
        <v>2.677127733E9</v>
      </c>
      <c r="L45" s="32">
        <v>33323.0</v>
      </c>
      <c r="M45" s="31" t="s">
        <v>147</v>
      </c>
      <c r="N45" s="31">
        <v>25.0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1.66871338E8</v>
      </c>
      <c r="B46" s="31" t="s">
        <v>78</v>
      </c>
      <c r="C46" s="32">
        <v>6.8622587E7</v>
      </c>
      <c r="D46" s="32">
        <v>9.74526717E8</v>
      </c>
      <c r="E46" s="32">
        <v>6943839.0</v>
      </c>
      <c r="F46" s="32">
        <v>9.3175349E7</v>
      </c>
      <c r="G46" s="32">
        <v>5.9476072E7</v>
      </c>
      <c r="H46" s="32">
        <v>1.6926047E7</v>
      </c>
      <c r="I46" s="32">
        <v>0.0</v>
      </c>
      <c r="J46" s="32">
        <v>9.06894409E9</v>
      </c>
      <c r="K46" s="32">
        <v>3.117290499E9</v>
      </c>
      <c r="L46" s="32">
        <v>46272.0</v>
      </c>
      <c r="M46" s="31" t="s">
        <v>34</v>
      </c>
      <c r="N46" s="31">
        <v>25.0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5.524249E7</v>
      </c>
      <c r="B47" s="31" t="s">
        <v>88</v>
      </c>
      <c r="C47" s="32">
        <v>6.8536876E7</v>
      </c>
      <c r="D47" s="32">
        <v>1.020831674E9</v>
      </c>
      <c r="E47" s="32">
        <v>1.0750685E7</v>
      </c>
      <c r="F47" s="32">
        <v>1.11689072E8</v>
      </c>
      <c r="G47" s="32">
        <v>2.5549374E7</v>
      </c>
      <c r="H47" s="32">
        <v>3.6446294E7</v>
      </c>
      <c r="I47" s="32">
        <v>0.0</v>
      </c>
      <c r="J47" s="32">
        <v>1.3525837479E10</v>
      </c>
      <c r="K47" s="32">
        <v>5.43576093E9</v>
      </c>
      <c r="L47" s="32">
        <v>54107.0</v>
      </c>
      <c r="M47" s="31" t="s">
        <v>34</v>
      </c>
      <c r="N47" s="31">
        <v>25.0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1.72021868E8</v>
      </c>
      <c r="B48" s="31" t="s">
        <v>81</v>
      </c>
      <c r="C48" s="32">
        <v>6.836163E7</v>
      </c>
      <c r="D48" s="32">
        <v>1.119055615E9</v>
      </c>
      <c r="E48" s="32">
        <v>4005439.0</v>
      </c>
      <c r="F48" s="32">
        <v>1.1481379E7</v>
      </c>
      <c r="G48" s="32">
        <v>1.6266708E7</v>
      </c>
      <c r="H48" s="32">
        <v>4.7613059E7</v>
      </c>
      <c r="I48" s="32">
        <v>0.0</v>
      </c>
      <c r="J48" s="32">
        <v>9.640411646E9</v>
      </c>
      <c r="K48" s="32">
        <v>1.517709171E9</v>
      </c>
      <c r="L48" s="32">
        <v>82855.0</v>
      </c>
      <c r="M48" s="31" t="s">
        <v>34</v>
      </c>
      <c r="N48" s="31">
        <v>25.0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1.70708608E8</v>
      </c>
      <c r="B49" s="31" t="s">
        <v>91</v>
      </c>
      <c r="C49" s="32">
        <v>6.8178255E7</v>
      </c>
      <c r="D49" s="32">
        <v>3.21574218E8</v>
      </c>
      <c r="E49" s="32">
        <v>7375524.0</v>
      </c>
      <c r="F49" s="32">
        <v>4.8036504E7</v>
      </c>
      <c r="G49" s="32">
        <v>8537321.0</v>
      </c>
      <c r="H49" s="32">
        <v>1.1089831E7</v>
      </c>
      <c r="I49" s="32">
        <v>0.0</v>
      </c>
      <c r="J49" s="32">
        <v>1.0074472422E10</v>
      </c>
      <c r="K49" s="32">
        <v>1.58724317E9</v>
      </c>
      <c r="L49" s="32">
        <v>23863.0</v>
      </c>
      <c r="M49" s="31" t="s">
        <v>34</v>
      </c>
      <c r="N49" s="31">
        <v>25.0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1.71972257E8</v>
      </c>
      <c r="B50" s="31" t="s">
        <v>90</v>
      </c>
      <c r="C50" s="32">
        <v>6.8044866E7</v>
      </c>
      <c r="D50" s="32">
        <v>6.43791116E8</v>
      </c>
      <c r="E50" s="32">
        <v>5092090.0</v>
      </c>
      <c r="F50" s="32">
        <v>4.681122E7</v>
      </c>
      <c r="G50" s="32">
        <v>2.4188052E7</v>
      </c>
      <c r="H50" s="32">
        <v>1.9308992E7</v>
      </c>
      <c r="I50" s="32">
        <v>0.0</v>
      </c>
      <c r="J50" s="32">
        <v>1.3691265402E10</v>
      </c>
      <c r="K50" s="32">
        <v>2.961253098E9</v>
      </c>
      <c r="L50" s="32">
        <v>16368.0</v>
      </c>
      <c r="M50" s="31" t="s">
        <v>34</v>
      </c>
      <c r="N50" s="31">
        <v>25.0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1.68839111E8</v>
      </c>
      <c r="B51" s="31" t="s">
        <v>101</v>
      </c>
      <c r="C51" s="32">
        <v>6.8037975E7</v>
      </c>
      <c r="D51" s="32">
        <v>3.79881606E8</v>
      </c>
      <c r="E51" s="32">
        <v>4698239.0</v>
      </c>
      <c r="F51" s="32">
        <v>2.0221743E7</v>
      </c>
      <c r="G51" s="32">
        <v>2.2652769E7</v>
      </c>
      <c r="H51" s="32">
        <v>7222732.0</v>
      </c>
      <c r="I51" s="32">
        <v>0.0</v>
      </c>
      <c r="J51" s="32">
        <v>1.4364312384E10</v>
      </c>
      <c r="K51" s="32">
        <v>3.011985477E9</v>
      </c>
      <c r="L51" s="32">
        <v>37107.0</v>
      </c>
      <c r="M51" s="31" t="s">
        <v>34</v>
      </c>
      <c r="N51" s="31">
        <v>25.0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1.41154852E8</v>
      </c>
      <c r="B52" s="31" t="s">
        <v>76</v>
      </c>
      <c r="C52" s="32">
        <v>6.7250544E7</v>
      </c>
      <c r="D52" s="32">
        <v>2.725799737E9</v>
      </c>
      <c r="E52" s="32">
        <v>1.292219E7</v>
      </c>
      <c r="F52" s="32">
        <v>3.0555185E7</v>
      </c>
      <c r="G52" s="32">
        <v>1.1125424E8</v>
      </c>
      <c r="H52" s="32">
        <v>7.8165531E7</v>
      </c>
      <c r="I52" s="32">
        <v>0.0</v>
      </c>
      <c r="J52" s="32">
        <v>1.6777341948E10</v>
      </c>
      <c r="K52" s="32">
        <v>6.166357243E9</v>
      </c>
      <c r="L52" s="32">
        <v>70345.0</v>
      </c>
      <c r="M52" s="31" t="s">
        <v>440</v>
      </c>
      <c r="N52" s="31">
        <v>25.0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1.71806191E8</v>
      </c>
      <c r="B53" s="31" t="s">
        <v>443</v>
      </c>
      <c r="C53" s="32">
        <v>6.6780889E7</v>
      </c>
      <c r="D53" s="32">
        <v>2.15988969E8</v>
      </c>
      <c r="E53" s="32">
        <v>2581003.0</v>
      </c>
      <c r="F53" s="32">
        <v>1244899.0</v>
      </c>
      <c r="G53" s="32">
        <v>6809199.0</v>
      </c>
      <c r="H53" s="32">
        <v>7325701.0</v>
      </c>
      <c r="I53" s="32">
        <v>0.0</v>
      </c>
      <c r="J53" s="32">
        <v>9.533031567E9</v>
      </c>
      <c r="K53" s="32">
        <v>1.15560939E8</v>
      </c>
      <c r="L53" s="32">
        <v>19469.0</v>
      </c>
      <c r="M53" s="31" t="s">
        <v>34</v>
      </c>
      <c r="N53" s="31">
        <v>25.0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1.72033754E8</v>
      </c>
      <c r="B54" s="31" t="s">
        <v>92</v>
      </c>
      <c r="C54" s="32">
        <v>6.5852776E7</v>
      </c>
      <c r="D54" s="32">
        <v>4.84872769E8</v>
      </c>
      <c r="E54" s="32">
        <v>7205475.0</v>
      </c>
      <c r="F54" s="32">
        <v>1.6490527E7</v>
      </c>
      <c r="G54" s="32">
        <v>2.2581714E7</v>
      </c>
      <c r="H54" s="32">
        <v>1.2048893E7</v>
      </c>
      <c r="I54" s="32">
        <v>0.0</v>
      </c>
      <c r="J54" s="32">
        <v>1.1001614329E10</v>
      </c>
      <c r="K54" s="32">
        <v>1.15993687E9</v>
      </c>
      <c r="L54" s="32">
        <v>35896.0</v>
      </c>
      <c r="M54" s="31" t="s">
        <v>34</v>
      </c>
      <c r="N54" s="31">
        <v>25.0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1.69446634E8</v>
      </c>
      <c r="B55" s="31" t="s">
        <v>405</v>
      </c>
      <c r="C55" s="32">
        <v>6.5829828E7</v>
      </c>
      <c r="D55" s="32">
        <v>2.89858559E8</v>
      </c>
      <c r="E55" s="32">
        <v>9119111.0</v>
      </c>
      <c r="F55" s="32">
        <v>736207.0</v>
      </c>
      <c r="G55" s="32">
        <v>1.0233471E7</v>
      </c>
      <c r="H55" s="32">
        <v>9278206.0</v>
      </c>
      <c r="I55" s="32">
        <v>0.0</v>
      </c>
      <c r="J55" s="32">
        <v>1.1287583787E10</v>
      </c>
      <c r="K55" s="32">
        <v>3.3338578E8</v>
      </c>
      <c r="L55" s="32">
        <v>59985.0</v>
      </c>
      <c r="M55" s="31" t="s">
        <v>34</v>
      </c>
      <c r="N55" s="31">
        <v>25.0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1.4461836E8</v>
      </c>
      <c r="B56" s="31" t="s">
        <v>116</v>
      </c>
      <c r="C56" s="32">
        <v>6.5788946E7</v>
      </c>
      <c r="D56" s="32">
        <v>3.00036548E8</v>
      </c>
      <c r="E56" s="32">
        <v>3896410.0</v>
      </c>
      <c r="F56" s="32">
        <v>1710212.0</v>
      </c>
      <c r="G56" s="32">
        <v>9878170.0</v>
      </c>
      <c r="H56" s="32">
        <v>9869294.0</v>
      </c>
      <c r="I56" s="32">
        <v>0.0</v>
      </c>
      <c r="J56" s="32">
        <v>9.192351406E9</v>
      </c>
      <c r="K56" s="32">
        <v>5.66487787E8</v>
      </c>
      <c r="L56" s="32">
        <v>42336.0</v>
      </c>
      <c r="M56" s="31" t="s">
        <v>34</v>
      </c>
      <c r="N56" s="31">
        <v>25.0</v>
      </c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1.66807426E8</v>
      </c>
      <c r="B57" s="31" t="s">
        <v>404</v>
      </c>
      <c r="C57" s="32">
        <v>6.547968E7</v>
      </c>
      <c r="D57" s="32">
        <v>3.75707852E8</v>
      </c>
      <c r="E57" s="32">
        <v>6005224.0</v>
      </c>
      <c r="F57" s="32">
        <v>5.4946713E7</v>
      </c>
      <c r="G57" s="32">
        <v>1.5784835E7</v>
      </c>
      <c r="H57" s="32">
        <v>1.0256001E7</v>
      </c>
      <c r="I57" s="32">
        <v>0.0</v>
      </c>
      <c r="J57" s="32">
        <v>4.628077727E9</v>
      </c>
      <c r="K57" s="32">
        <v>3.02842793E9</v>
      </c>
      <c r="L57" s="32">
        <v>50978.0</v>
      </c>
      <c r="M57" s="31" t="s">
        <v>34</v>
      </c>
      <c r="N57" s="31">
        <v>25.0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1.71753933E8</v>
      </c>
      <c r="B58" s="31" t="s">
        <v>108</v>
      </c>
      <c r="C58" s="32">
        <v>6.5342763E7</v>
      </c>
      <c r="D58" s="32">
        <v>8.2355616E7</v>
      </c>
      <c r="E58" s="32">
        <v>4571959.0</v>
      </c>
      <c r="F58" s="32">
        <v>254494.0</v>
      </c>
      <c r="G58" s="32">
        <v>2683983.0</v>
      </c>
      <c r="H58" s="32">
        <v>2758148.0</v>
      </c>
      <c r="I58" s="32">
        <v>0.0</v>
      </c>
      <c r="J58" s="32">
        <v>1.2425778876E10</v>
      </c>
      <c r="K58" s="32">
        <v>1.52796998E8</v>
      </c>
      <c r="L58" s="32">
        <v>51745.0</v>
      </c>
      <c r="M58" s="31" t="s">
        <v>34</v>
      </c>
      <c r="N58" s="31">
        <v>25.0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1.71910225E8</v>
      </c>
      <c r="B59" s="31" t="s">
        <v>99</v>
      </c>
      <c r="C59" s="32">
        <v>6.487621E7</v>
      </c>
      <c r="D59" s="32">
        <v>2.24651888E8</v>
      </c>
      <c r="E59" s="32">
        <v>5668164.0</v>
      </c>
      <c r="F59" s="32">
        <v>260484.0</v>
      </c>
      <c r="G59" s="32">
        <v>4099060.0</v>
      </c>
      <c r="H59" s="32">
        <v>9148332.0</v>
      </c>
      <c r="I59" s="32">
        <v>0.0</v>
      </c>
      <c r="J59" s="32">
        <v>1.4420802081E10</v>
      </c>
      <c r="K59" s="32">
        <v>2.107133765E9</v>
      </c>
      <c r="L59" s="32">
        <v>37424.0</v>
      </c>
      <c r="M59" s="31" t="s">
        <v>34</v>
      </c>
      <c r="N59" s="31">
        <v>25.0</v>
      </c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1.71604682E8</v>
      </c>
      <c r="B60" s="31" t="s">
        <v>86</v>
      </c>
      <c r="C60" s="32">
        <v>6.4841606E7</v>
      </c>
      <c r="D60" s="32">
        <v>1.356696374E9</v>
      </c>
      <c r="E60" s="32">
        <v>6597922.0</v>
      </c>
      <c r="F60" s="32">
        <v>1.1888012E7</v>
      </c>
      <c r="G60" s="32">
        <v>4.811046E7</v>
      </c>
      <c r="H60" s="32">
        <v>4.1670933E7</v>
      </c>
      <c r="I60" s="32">
        <v>0.0</v>
      </c>
      <c r="J60" s="32">
        <v>9.193180305E9</v>
      </c>
      <c r="K60" s="32">
        <v>1.580720264E9</v>
      </c>
      <c r="L60" s="32">
        <v>60820.0</v>
      </c>
      <c r="M60" s="31" t="s">
        <v>440</v>
      </c>
      <c r="N60" s="31">
        <v>25.0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1.72041454E8</v>
      </c>
      <c r="B61" s="31" t="s">
        <v>87</v>
      </c>
      <c r="C61" s="32">
        <v>6.456135E7</v>
      </c>
      <c r="D61" s="32">
        <v>5.18612647E8</v>
      </c>
      <c r="E61" s="32">
        <v>7897711.0</v>
      </c>
      <c r="F61" s="32">
        <v>2.7020696E7</v>
      </c>
      <c r="G61" s="32">
        <v>2.1191454E7</v>
      </c>
      <c r="H61" s="32">
        <v>1.4651091E7</v>
      </c>
      <c r="I61" s="32">
        <v>0.0</v>
      </c>
      <c r="J61" s="32">
        <v>1.0848850548E10</v>
      </c>
      <c r="K61" s="32">
        <v>1.081560618E9</v>
      </c>
      <c r="L61" s="32">
        <v>51543.0</v>
      </c>
      <c r="M61" s="31" t="s">
        <v>34</v>
      </c>
      <c r="N61" s="31">
        <v>25.0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1.20029911E8</v>
      </c>
      <c r="B62" s="31" t="s">
        <v>79</v>
      </c>
      <c r="C62" s="32">
        <v>6.4051644E7</v>
      </c>
      <c r="D62" s="32">
        <v>1.005139677E9</v>
      </c>
      <c r="E62" s="32">
        <v>1.1128285E7</v>
      </c>
      <c r="F62" s="32">
        <v>1.2439296E7</v>
      </c>
      <c r="G62" s="32">
        <v>4.4554698E7</v>
      </c>
      <c r="H62" s="32">
        <v>2.635762E7</v>
      </c>
      <c r="I62" s="32">
        <v>135423.0</v>
      </c>
      <c r="J62" s="32">
        <v>1.0546539306E10</v>
      </c>
      <c r="K62" s="32">
        <v>1.7074234312E10</v>
      </c>
      <c r="L62" s="32">
        <v>53819.0</v>
      </c>
      <c r="M62" s="31" t="s">
        <v>34</v>
      </c>
      <c r="N62" s="31">
        <v>25.0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1.69247313E8</v>
      </c>
      <c r="B63" s="31" t="s">
        <v>75</v>
      </c>
      <c r="C63" s="32">
        <v>6.3827343E7</v>
      </c>
      <c r="D63" s="32">
        <v>4.96883885E8</v>
      </c>
      <c r="E63" s="32">
        <v>9559898.0</v>
      </c>
      <c r="F63" s="32">
        <v>2773145.0</v>
      </c>
      <c r="G63" s="32">
        <v>1.7783294E7</v>
      </c>
      <c r="H63" s="32">
        <v>1.50673E7</v>
      </c>
      <c r="I63" s="32">
        <v>0.0</v>
      </c>
      <c r="J63" s="32">
        <v>2.0380604321E10</v>
      </c>
      <c r="K63" s="32">
        <v>2.429731466E9</v>
      </c>
      <c r="L63" s="32">
        <v>106692.0</v>
      </c>
      <c r="M63" s="31" t="s">
        <v>34</v>
      </c>
      <c r="N63" s="31">
        <v>25.0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1.71209025E8</v>
      </c>
      <c r="B64" s="31" t="s">
        <v>444</v>
      </c>
      <c r="C64" s="32">
        <v>6.354548E7</v>
      </c>
      <c r="D64" s="32">
        <v>3.65338727E8</v>
      </c>
      <c r="E64" s="32">
        <v>1.0102187E7</v>
      </c>
      <c r="F64" s="32">
        <v>3.5403615E7</v>
      </c>
      <c r="G64" s="32">
        <v>1.8174369E7</v>
      </c>
      <c r="H64" s="32">
        <v>7662943.0</v>
      </c>
      <c r="I64" s="32">
        <v>0.0</v>
      </c>
      <c r="J64" s="32">
        <v>1.3734352072E10</v>
      </c>
      <c r="K64" s="32">
        <v>1.404842811E9</v>
      </c>
      <c r="L64" s="32">
        <v>37524.0</v>
      </c>
      <c r="M64" s="31" t="s">
        <v>147</v>
      </c>
      <c r="N64" s="31">
        <v>25.0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1.67614515E8</v>
      </c>
      <c r="B65" s="31" t="s">
        <v>365</v>
      </c>
      <c r="C65" s="32">
        <v>6.3529757E7</v>
      </c>
      <c r="D65" s="32">
        <v>2.39401476E8</v>
      </c>
      <c r="E65" s="32">
        <v>6176894.0</v>
      </c>
      <c r="F65" s="32">
        <v>1262963.0</v>
      </c>
      <c r="G65" s="32">
        <v>1.2896689E7</v>
      </c>
      <c r="H65" s="32">
        <v>5368117.0</v>
      </c>
      <c r="I65" s="32">
        <v>0.0</v>
      </c>
      <c r="J65" s="32">
        <v>1.3997457941E10</v>
      </c>
      <c r="K65" s="32">
        <v>7.99053053E8</v>
      </c>
      <c r="L65" s="32">
        <v>51695.0</v>
      </c>
      <c r="M65" s="31" t="s">
        <v>34</v>
      </c>
      <c r="N65" s="31">
        <v>25.0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1.69326547E8</v>
      </c>
      <c r="B66" s="31" t="s">
        <v>47</v>
      </c>
      <c r="C66" s="32">
        <v>6.3184807E7</v>
      </c>
      <c r="D66" s="32">
        <v>3.507155636E9</v>
      </c>
      <c r="E66" s="32">
        <v>9381202.0</v>
      </c>
      <c r="F66" s="32">
        <v>8687192.0</v>
      </c>
      <c r="G66" s="32">
        <v>9.0943247E7</v>
      </c>
      <c r="H66" s="32">
        <v>1.27982455E8</v>
      </c>
      <c r="I66" s="32">
        <v>0.0</v>
      </c>
      <c r="J66" s="32">
        <v>1.0761834177E10</v>
      </c>
      <c r="K66" s="32">
        <v>9.410822852E9</v>
      </c>
      <c r="L66" s="32">
        <v>119061.0</v>
      </c>
      <c r="M66" s="31" t="s">
        <v>34</v>
      </c>
      <c r="N66" s="31">
        <v>25.0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1.44049878E8</v>
      </c>
      <c r="B67" s="31" t="s">
        <v>127</v>
      </c>
      <c r="C67" s="32">
        <v>6.2994393E7</v>
      </c>
      <c r="D67" s="32">
        <v>3.19955522E8</v>
      </c>
      <c r="E67" s="32">
        <v>9024883.0</v>
      </c>
      <c r="F67" s="32">
        <v>3617362.0</v>
      </c>
      <c r="G67" s="32">
        <v>1.2155635E7</v>
      </c>
      <c r="H67" s="32">
        <v>9711621.0</v>
      </c>
      <c r="I67" s="32">
        <v>0.0</v>
      </c>
      <c r="J67" s="32">
        <v>1.1048666969E10</v>
      </c>
      <c r="K67" s="32">
        <v>7.2816E8</v>
      </c>
      <c r="L67" s="32">
        <v>50529.0</v>
      </c>
      <c r="M67" s="31" t="s">
        <v>34</v>
      </c>
      <c r="N67" s="31">
        <v>25.0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1.5633938E8</v>
      </c>
      <c r="B68" s="31" t="s">
        <v>89</v>
      </c>
      <c r="C68" s="32">
        <v>6.3221994E7</v>
      </c>
      <c r="D68" s="32">
        <v>6.65398768E8</v>
      </c>
      <c r="E68" s="32">
        <v>9143615.0</v>
      </c>
      <c r="F68" s="32">
        <v>5872340.0</v>
      </c>
      <c r="G68" s="32">
        <v>3.226443E7</v>
      </c>
      <c r="H68" s="32">
        <v>1.5519888E7</v>
      </c>
      <c r="I68" s="32">
        <v>0.0</v>
      </c>
      <c r="J68" s="32">
        <v>1.5806085324E10</v>
      </c>
      <c r="K68" s="32">
        <v>3.759929489E9</v>
      </c>
      <c r="L68" s="32">
        <v>127683.0</v>
      </c>
      <c r="M68" s="31" t="s">
        <v>34</v>
      </c>
      <c r="N68" s="31">
        <v>25.0</v>
      </c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1.6757738E8</v>
      </c>
      <c r="B69" s="31" t="s">
        <v>107</v>
      </c>
      <c r="C69" s="32">
        <v>6.2641577E7</v>
      </c>
      <c r="D69" s="32">
        <v>3.99007427E8</v>
      </c>
      <c r="E69" s="32">
        <v>5862176.0</v>
      </c>
      <c r="F69" s="32">
        <v>4819417.0</v>
      </c>
      <c r="G69" s="32">
        <v>1.5044354E7</v>
      </c>
      <c r="H69" s="32">
        <v>1.1974773E7</v>
      </c>
      <c r="I69" s="32">
        <v>0.0</v>
      </c>
      <c r="J69" s="32">
        <v>7.745470172E9</v>
      </c>
      <c r="K69" s="32">
        <v>9.70788659E8</v>
      </c>
      <c r="L69" s="32">
        <v>46334.0</v>
      </c>
      <c r="M69" s="31" t="s">
        <v>34</v>
      </c>
      <c r="N69" s="31">
        <v>25.0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1.70972148E8</v>
      </c>
      <c r="B70" s="31" t="s">
        <v>406</v>
      </c>
      <c r="C70" s="32">
        <v>6.2626921E7</v>
      </c>
      <c r="D70" s="32">
        <v>2.51407613E8</v>
      </c>
      <c r="E70" s="32">
        <v>4742352.0</v>
      </c>
      <c r="F70" s="32">
        <v>1.4898589E7</v>
      </c>
      <c r="G70" s="32">
        <v>9322136.0</v>
      </c>
      <c r="H70" s="32">
        <v>7672085.0</v>
      </c>
      <c r="I70" s="32">
        <v>0.0</v>
      </c>
      <c r="J70" s="32">
        <v>1.1094013055E10</v>
      </c>
      <c r="K70" s="32">
        <v>1.613960679E9</v>
      </c>
      <c r="L70" s="32">
        <v>27077.0</v>
      </c>
      <c r="M70" s="31" t="s">
        <v>34</v>
      </c>
      <c r="N70" s="31">
        <v>25.0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1.71358436E8</v>
      </c>
      <c r="B71" s="31" t="s">
        <v>115</v>
      </c>
      <c r="C71" s="32">
        <v>6.1899089E7</v>
      </c>
      <c r="D71" s="32">
        <v>6.64788743E8</v>
      </c>
      <c r="E71" s="32">
        <v>5833655.0</v>
      </c>
      <c r="F71" s="32">
        <v>6461365.0</v>
      </c>
      <c r="G71" s="32">
        <v>3.001493E7</v>
      </c>
      <c r="H71" s="32">
        <v>1.7313129E7</v>
      </c>
      <c r="I71" s="32">
        <v>0.0</v>
      </c>
      <c r="J71" s="32">
        <v>4.675467499E9</v>
      </c>
      <c r="K71" s="32">
        <v>5.349094086E9</v>
      </c>
      <c r="L71" s="32">
        <v>51021.0</v>
      </c>
      <c r="M71" s="31" t="s">
        <v>34</v>
      </c>
      <c r="N71" s="31">
        <v>25.0</v>
      </c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1.38752108E8</v>
      </c>
      <c r="B72" s="31" t="s">
        <v>445</v>
      </c>
      <c r="C72" s="32">
        <v>6.1689789E7</v>
      </c>
      <c r="D72" s="32">
        <v>4.35412557E8</v>
      </c>
      <c r="E72" s="32">
        <v>5651167.0</v>
      </c>
      <c r="F72" s="32">
        <v>889466.0</v>
      </c>
      <c r="G72" s="32">
        <v>1.0396596E7</v>
      </c>
      <c r="H72" s="32">
        <v>1.6500168E7</v>
      </c>
      <c r="I72" s="32">
        <v>0.0</v>
      </c>
      <c r="J72" s="32">
        <v>2.4463100608E10</v>
      </c>
      <c r="K72" s="32">
        <v>6.19918153E8</v>
      </c>
      <c r="L72" s="32">
        <v>82984.0</v>
      </c>
      <c r="M72" s="31" t="s">
        <v>66</v>
      </c>
      <c r="N72" s="31">
        <v>25.0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1.71983336E8</v>
      </c>
      <c r="B73" s="31" t="s">
        <v>408</v>
      </c>
      <c r="C73" s="32">
        <v>6.168875E7</v>
      </c>
      <c r="D73" s="32">
        <v>3.3054712E8</v>
      </c>
      <c r="E73" s="32">
        <v>5911547.0</v>
      </c>
      <c r="F73" s="32">
        <v>7639754.0</v>
      </c>
      <c r="G73" s="32">
        <v>1.2037626E7</v>
      </c>
      <c r="H73" s="32">
        <v>1.0031169E7</v>
      </c>
      <c r="I73" s="32">
        <v>0.0</v>
      </c>
      <c r="J73" s="32">
        <v>1.4310361997E10</v>
      </c>
      <c r="K73" s="32">
        <v>6.345278491E9</v>
      </c>
      <c r="L73" s="32">
        <v>105563.0</v>
      </c>
      <c r="M73" s="31" t="s">
        <v>34</v>
      </c>
      <c r="N73" s="31">
        <v>25.0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1.7160984E8</v>
      </c>
      <c r="B74" s="31" t="s">
        <v>103</v>
      </c>
      <c r="C74" s="32">
        <v>6.1633448E7</v>
      </c>
      <c r="D74" s="32">
        <v>5.8770545E8</v>
      </c>
      <c r="E74" s="32">
        <v>5329520.0</v>
      </c>
      <c r="F74" s="32">
        <v>4501013.0</v>
      </c>
      <c r="G74" s="32">
        <v>1.3687498E7</v>
      </c>
      <c r="H74" s="32">
        <v>2.2215764E7</v>
      </c>
      <c r="I74" s="32">
        <v>0.0</v>
      </c>
      <c r="J74" s="32">
        <v>7.752651987E9</v>
      </c>
      <c r="K74" s="32">
        <v>2.27640069E8</v>
      </c>
      <c r="L74" s="32">
        <v>44137.0</v>
      </c>
      <c r="M74" s="31" t="s">
        <v>34</v>
      </c>
      <c r="N74" s="31">
        <v>25.0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1.55534128E8</v>
      </c>
      <c r="B75" s="31" t="s">
        <v>105</v>
      </c>
      <c r="C75" s="32">
        <v>6.1615659E7</v>
      </c>
      <c r="D75" s="32">
        <v>1.106830933E9</v>
      </c>
      <c r="E75" s="32">
        <v>8794989.0</v>
      </c>
      <c r="F75" s="32">
        <v>1.5022987E7</v>
      </c>
      <c r="G75" s="32">
        <v>3.8312967E7</v>
      </c>
      <c r="H75" s="32">
        <v>3.5493379E7</v>
      </c>
      <c r="I75" s="32">
        <v>0.0</v>
      </c>
      <c r="J75" s="32">
        <v>8.0603361E9</v>
      </c>
      <c r="K75" s="32">
        <v>9.17037441E8</v>
      </c>
      <c r="L75" s="32">
        <v>51113.0</v>
      </c>
      <c r="M75" s="31" t="s">
        <v>34</v>
      </c>
      <c r="N75" s="31">
        <v>25.0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1.53857025E8</v>
      </c>
      <c r="B76" s="31" t="s">
        <v>106</v>
      </c>
      <c r="C76" s="32">
        <v>6.1416348E7</v>
      </c>
      <c r="D76" s="32">
        <v>1.062839116E9</v>
      </c>
      <c r="E76" s="32">
        <v>7778573.0</v>
      </c>
      <c r="F76" s="32">
        <v>2.4550584E7</v>
      </c>
      <c r="G76" s="32">
        <v>1.8834319E7</v>
      </c>
      <c r="H76" s="32">
        <v>4.3257959E7</v>
      </c>
      <c r="I76" s="32">
        <v>0.0</v>
      </c>
      <c r="J76" s="32">
        <v>1.4947599468E10</v>
      </c>
      <c r="K76" s="32">
        <v>6.904186976E9</v>
      </c>
      <c r="L76" s="32">
        <v>777119.0</v>
      </c>
      <c r="M76" s="31" t="s">
        <v>34</v>
      </c>
      <c r="N76" s="31">
        <v>25.0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1.67637163E8</v>
      </c>
      <c r="B77" s="31" t="s">
        <v>446</v>
      </c>
      <c r="C77" s="32">
        <v>6.1414373E7</v>
      </c>
      <c r="D77" s="32">
        <v>4.78911408E8</v>
      </c>
      <c r="E77" s="32">
        <v>9376621.0</v>
      </c>
      <c r="F77" s="32">
        <v>3066053.0</v>
      </c>
      <c r="G77" s="32">
        <v>2.7404738E7</v>
      </c>
      <c r="H77" s="32">
        <v>8999274.0</v>
      </c>
      <c r="I77" s="32">
        <v>0.0</v>
      </c>
      <c r="J77" s="32">
        <v>9.86107526E9</v>
      </c>
      <c r="K77" s="32">
        <v>2.1933875341E10</v>
      </c>
      <c r="L77" s="32">
        <v>93799.0</v>
      </c>
      <c r="M77" s="31" t="s">
        <v>34</v>
      </c>
      <c r="N77" s="31">
        <v>25.0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1.71355737E8</v>
      </c>
      <c r="B78" s="31" t="s">
        <v>85</v>
      </c>
      <c r="C78" s="32">
        <v>6.1351576E7</v>
      </c>
      <c r="D78" s="32">
        <v>7.3107319E8</v>
      </c>
      <c r="E78" s="32">
        <v>5171328.0</v>
      </c>
      <c r="F78" s="32">
        <v>2912094.0</v>
      </c>
      <c r="G78" s="32">
        <v>2.6839132E7</v>
      </c>
      <c r="H78" s="32">
        <v>2.2914884E7</v>
      </c>
      <c r="I78" s="32">
        <v>0.0</v>
      </c>
      <c r="J78" s="32">
        <v>1.3604263972E10</v>
      </c>
      <c r="K78" s="32">
        <v>7.884546118E9</v>
      </c>
      <c r="L78" s="32">
        <v>79062.0</v>
      </c>
      <c r="M78" s="31" t="s">
        <v>66</v>
      </c>
      <c r="N78" s="31">
        <v>25.0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1.44010731E8</v>
      </c>
      <c r="B79" s="31" t="s">
        <v>407</v>
      </c>
      <c r="C79" s="32">
        <v>6.1304514E7</v>
      </c>
      <c r="D79" s="32">
        <v>1.38689525E8</v>
      </c>
      <c r="E79" s="32">
        <v>9210269.0</v>
      </c>
      <c r="F79" s="32">
        <v>144855.0</v>
      </c>
      <c r="G79" s="32">
        <v>3315954.0</v>
      </c>
      <c r="H79" s="32">
        <v>5181643.0</v>
      </c>
      <c r="I79" s="32">
        <v>0.0</v>
      </c>
      <c r="J79" s="32">
        <v>7.967174574E9</v>
      </c>
      <c r="K79" s="32">
        <v>7.02856257E8</v>
      </c>
      <c r="L79" s="32">
        <v>31792.0</v>
      </c>
      <c r="M79" s="31" t="s">
        <v>34</v>
      </c>
      <c r="N79" s="31">
        <v>25.0</v>
      </c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1.46428825E8</v>
      </c>
      <c r="B80" s="31" t="s">
        <v>52</v>
      </c>
      <c r="C80" s="32">
        <v>6.1074272E7</v>
      </c>
      <c r="D80" s="32">
        <v>1.989393617E9</v>
      </c>
      <c r="E80" s="32">
        <v>1.0487243E7</v>
      </c>
      <c r="F80" s="32">
        <v>1.5628148E7</v>
      </c>
      <c r="G80" s="32">
        <v>6.8381247E7</v>
      </c>
      <c r="H80" s="32">
        <v>6.4609601E7</v>
      </c>
      <c r="I80" s="32">
        <v>0.0</v>
      </c>
      <c r="J80" s="32">
        <v>2.6619142884E10</v>
      </c>
      <c r="K80" s="32">
        <v>9.720861277E9</v>
      </c>
      <c r="L80" s="32">
        <v>136373.0</v>
      </c>
      <c r="M80" s="31" t="s">
        <v>440</v>
      </c>
      <c r="N80" s="31">
        <v>25.0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1.68923934E8</v>
      </c>
      <c r="B81" s="31" t="s">
        <v>98</v>
      </c>
      <c r="C81" s="32">
        <v>6.0504191E7</v>
      </c>
      <c r="D81" s="32">
        <v>6.42698403E8</v>
      </c>
      <c r="E81" s="32">
        <v>4716890.0</v>
      </c>
      <c r="F81" s="32">
        <v>4.3000957E7</v>
      </c>
      <c r="G81" s="32">
        <v>2.2787195E7</v>
      </c>
      <c r="H81" s="32">
        <v>1.8544612E7</v>
      </c>
      <c r="I81" s="32">
        <v>0.0</v>
      </c>
      <c r="J81" s="32">
        <v>7.517462422E9</v>
      </c>
      <c r="K81" s="32">
        <v>4.97581842E8</v>
      </c>
      <c r="L81" s="32">
        <v>30773.0</v>
      </c>
      <c r="M81" s="31" t="s">
        <v>34</v>
      </c>
      <c r="N81" s="31">
        <v>25.0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1.71982346E8</v>
      </c>
      <c r="B82" s="31" t="s">
        <v>409</v>
      </c>
      <c r="C82" s="32">
        <v>6.0460232E7</v>
      </c>
      <c r="D82" s="32">
        <v>1.14241869E8</v>
      </c>
      <c r="E82" s="32">
        <v>4040905.0</v>
      </c>
      <c r="F82" s="32">
        <v>111988.0</v>
      </c>
      <c r="G82" s="32">
        <v>3834809.0</v>
      </c>
      <c r="H82" s="32">
        <v>3763749.0</v>
      </c>
      <c r="I82" s="32">
        <v>0.0</v>
      </c>
      <c r="J82" s="32">
        <v>6.76991051E9</v>
      </c>
      <c r="K82" s="32">
        <v>4.33818604E8</v>
      </c>
      <c r="L82" s="32">
        <v>23002.0</v>
      </c>
      <c r="M82" s="31" t="s">
        <v>34</v>
      </c>
      <c r="N82" s="31">
        <v>25.0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1915332.0</v>
      </c>
      <c r="B83" s="31" t="s">
        <v>110</v>
      </c>
      <c r="C83" s="32">
        <v>6.0116409E7</v>
      </c>
      <c r="D83" s="32">
        <v>4.14277666E8</v>
      </c>
      <c r="E83" s="32">
        <v>1.0839574E7</v>
      </c>
      <c r="F83" s="32">
        <v>1.7934371E7</v>
      </c>
      <c r="G83" s="32">
        <v>1.6343011E7</v>
      </c>
      <c r="H83" s="32">
        <v>1.1619839E7</v>
      </c>
      <c r="I83" s="32">
        <v>0.0</v>
      </c>
      <c r="J83" s="32">
        <v>7.344439166E9</v>
      </c>
      <c r="K83" s="32">
        <v>4.025499586E9</v>
      </c>
      <c r="L83" s="32">
        <v>33356.0</v>
      </c>
      <c r="M83" s="31" t="s">
        <v>34</v>
      </c>
      <c r="N83" s="31">
        <v>25.0</v>
      </c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1.71679053E8</v>
      </c>
      <c r="B84" s="31" t="s">
        <v>111</v>
      </c>
      <c r="C84" s="32">
        <v>5.9848399E7</v>
      </c>
      <c r="D84" s="32">
        <v>2.18255292E8</v>
      </c>
      <c r="E84" s="32">
        <v>4278439.0</v>
      </c>
      <c r="F84" s="32">
        <v>719524.0</v>
      </c>
      <c r="G84" s="32">
        <v>6605455.0</v>
      </c>
      <c r="H84" s="32">
        <v>7459490.0</v>
      </c>
      <c r="I84" s="32">
        <v>0.0</v>
      </c>
      <c r="J84" s="32">
        <v>1.042041899E10</v>
      </c>
      <c r="K84" s="32">
        <v>1.339045371E9</v>
      </c>
      <c r="L84" s="32">
        <v>26475.0</v>
      </c>
      <c r="M84" s="31" t="s">
        <v>34</v>
      </c>
      <c r="N84" s="31">
        <v>25.0</v>
      </c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1.71827401E8</v>
      </c>
      <c r="B85" s="31" t="s">
        <v>123</v>
      </c>
      <c r="C85" s="32">
        <v>5.8784334E7</v>
      </c>
      <c r="D85" s="32">
        <v>1.528169813E9</v>
      </c>
      <c r="E85" s="32">
        <v>7975447.0</v>
      </c>
      <c r="F85" s="32">
        <v>4.2447525E7</v>
      </c>
      <c r="G85" s="32">
        <v>1.10599101E8</v>
      </c>
      <c r="H85" s="32">
        <v>1.7289391E7</v>
      </c>
      <c r="I85" s="32">
        <v>0.0</v>
      </c>
      <c r="J85" s="32">
        <v>3.062126535E9</v>
      </c>
      <c r="K85" s="32">
        <v>7.802247764E9</v>
      </c>
      <c r="L85" s="32">
        <v>31862.0</v>
      </c>
      <c r="M85" s="31" t="s">
        <v>66</v>
      </c>
      <c r="N85" s="31">
        <v>25.0</v>
      </c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1.39292614E8</v>
      </c>
      <c r="B86" s="31" t="s">
        <v>112</v>
      </c>
      <c r="C86" s="32">
        <v>5.8594144E7</v>
      </c>
      <c r="D86" s="32">
        <v>6.91788151E8</v>
      </c>
      <c r="E86" s="32">
        <v>1.1325405E7</v>
      </c>
      <c r="F86" s="32">
        <v>1.8048155E7</v>
      </c>
      <c r="G86" s="32">
        <v>1.5050895E7</v>
      </c>
      <c r="H86" s="32">
        <v>2.6505683E7</v>
      </c>
      <c r="I86" s="32">
        <v>0.0</v>
      </c>
      <c r="J86" s="32">
        <v>1.1409070964E10</v>
      </c>
      <c r="K86" s="32">
        <v>4.518817481E9</v>
      </c>
      <c r="L86" s="32">
        <v>41896.0</v>
      </c>
      <c r="M86" s="31" t="s">
        <v>440</v>
      </c>
      <c r="N86" s="31">
        <v>25.0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1.63138873E8</v>
      </c>
      <c r="B87" s="31" t="s">
        <v>410</v>
      </c>
      <c r="C87" s="32">
        <v>5.8442316E7</v>
      </c>
      <c r="D87" s="32">
        <v>1.20508187E8</v>
      </c>
      <c r="E87" s="32">
        <v>8486318.0</v>
      </c>
      <c r="F87" s="32">
        <v>5273325.0</v>
      </c>
      <c r="G87" s="32">
        <v>5597987.0</v>
      </c>
      <c r="H87" s="32">
        <v>3097410.0</v>
      </c>
      <c r="I87" s="32">
        <v>0.0</v>
      </c>
      <c r="J87" s="32">
        <v>4.156611337E9</v>
      </c>
      <c r="K87" s="32">
        <v>4.94242356E8</v>
      </c>
      <c r="L87" s="32">
        <v>18616.0</v>
      </c>
      <c r="M87" s="31" t="s">
        <v>34</v>
      </c>
      <c r="N87" s="31">
        <v>25.0</v>
      </c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1.51360763E8</v>
      </c>
      <c r="B88" s="31" t="s">
        <v>367</v>
      </c>
      <c r="C88" s="32">
        <v>5.7662791E7</v>
      </c>
      <c r="D88" s="32">
        <v>1.08351042E8</v>
      </c>
      <c r="E88" s="32">
        <v>5197957.0</v>
      </c>
      <c r="F88" s="32">
        <v>5776561.0</v>
      </c>
      <c r="G88" s="32">
        <v>5807748.0</v>
      </c>
      <c r="H88" s="32">
        <v>2423007.0</v>
      </c>
      <c r="I88" s="32">
        <v>0.0</v>
      </c>
      <c r="J88" s="32">
        <v>2.5850527735E10</v>
      </c>
      <c r="K88" s="32">
        <v>1.2178012042E10</v>
      </c>
      <c r="L88" s="32">
        <v>19570.0</v>
      </c>
      <c r="M88" s="31" t="s">
        <v>147</v>
      </c>
      <c r="N88" s="31">
        <v>25.0</v>
      </c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1.68091444E8</v>
      </c>
      <c r="B89" s="31" t="s">
        <v>121</v>
      </c>
      <c r="C89" s="32">
        <v>5.7517598E7</v>
      </c>
      <c r="D89" s="32">
        <v>1.12476393E8</v>
      </c>
      <c r="E89" s="32">
        <v>7197561.0</v>
      </c>
      <c r="F89" s="32">
        <v>415679.0</v>
      </c>
      <c r="G89" s="32">
        <v>5692863.0</v>
      </c>
      <c r="H89" s="32">
        <v>2713660.0</v>
      </c>
      <c r="I89" s="32">
        <v>0.0</v>
      </c>
      <c r="J89" s="32">
        <v>7.340027126E9</v>
      </c>
      <c r="K89" s="32">
        <v>7.40264414E8</v>
      </c>
      <c r="L89" s="32">
        <v>43956.0</v>
      </c>
      <c r="M89" s="31" t="s">
        <v>34</v>
      </c>
      <c r="N89" s="31">
        <v>25.0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1.71345916E8</v>
      </c>
      <c r="B90" s="31" t="s">
        <v>447</v>
      </c>
      <c r="C90" s="32">
        <v>5.731467E7</v>
      </c>
      <c r="D90" s="32">
        <v>2.30764382E8</v>
      </c>
      <c r="E90" s="32">
        <v>4724347.0</v>
      </c>
      <c r="F90" s="32">
        <v>1.6376364E7</v>
      </c>
      <c r="G90" s="32">
        <v>1.2552136E7</v>
      </c>
      <c r="H90" s="32">
        <v>4262190.0</v>
      </c>
      <c r="I90" s="32">
        <v>0.0</v>
      </c>
      <c r="J90" s="32">
        <v>7.426947616E9</v>
      </c>
      <c r="K90" s="32">
        <v>1.808342095E9</v>
      </c>
      <c r="L90" s="32">
        <v>71031.0</v>
      </c>
      <c r="M90" s="31" t="s">
        <v>34</v>
      </c>
      <c r="N90" s="31">
        <v>25.0</v>
      </c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1.44684719E8</v>
      </c>
      <c r="B91" s="31" t="s">
        <v>366</v>
      </c>
      <c r="C91" s="32">
        <v>5.6969261E7</v>
      </c>
      <c r="D91" s="32">
        <v>2.70297276E8</v>
      </c>
      <c r="E91" s="32">
        <v>1.4068923E7</v>
      </c>
      <c r="F91" s="32">
        <v>1316392.0</v>
      </c>
      <c r="G91" s="32">
        <v>9836815.0</v>
      </c>
      <c r="H91" s="32">
        <v>8326181.0</v>
      </c>
      <c r="I91" s="32">
        <v>0.0</v>
      </c>
      <c r="J91" s="32">
        <v>6.769007276E9</v>
      </c>
      <c r="K91" s="32">
        <v>1.456811379E9</v>
      </c>
      <c r="L91" s="32">
        <v>39119.0</v>
      </c>
      <c r="M91" s="31" t="s">
        <v>34</v>
      </c>
      <c r="N91" s="31">
        <v>25.0</v>
      </c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1.71858863E8</v>
      </c>
      <c r="B92" s="31" t="s">
        <v>120</v>
      </c>
      <c r="C92" s="32">
        <v>5.6476443E7</v>
      </c>
      <c r="D92" s="32">
        <v>4.5445846E7</v>
      </c>
      <c r="E92" s="32">
        <v>4374063.0</v>
      </c>
      <c r="F92" s="32">
        <v>51770.0</v>
      </c>
      <c r="G92" s="32">
        <v>810405.0</v>
      </c>
      <c r="H92" s="32">
        <v>1848552.0</v>
      </c>
      <c r="I92" s="32">
        <v>0.0</v>
      </c>
      <c r="J92" s="32">
        <v>6.462261261E9</v>
      </c>
      <c r="K92" s="32">
        <v>5.215262E8</v>
      </c>
      <c r="L92" s="32">
        <v>8169.0</v>
      </c>
      <c r="M92" s="31" t="s">
        <v>34</v>
      </c>
      <c r="N92" s="31">
        <v>25.0</v>
      </c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1.69446444E8</v>
      </c>
      <c r="B93" s="31" t="s">
        <v>117</v>
      </c>
      <c r="C93" s="32">
        <v>5.6077624E7</v>
      </c>
      <c r="D93" s="32">
        <v>1.251807736E9</v>
      </c>
      <c r="E93" s="32">
        <v>7889115.0</v>
      </c>
      <c r="F93" s="32">
        <v>3345134.0</v>
      </c>
      <c r="G93" s="32">
        <v>2.1095592E7</v>
      </c>
      <c r="H93" s="32">
        <v>5.1475428E7</v>
      </c>
      <c r="I93" s="32">
        <v>0.0</v>
      </c>
      <c r="J93" s="32">
        <v>6.438277593E9</v>
      </c>
      <c r="K93" s="32">
        <v>7.871136751E9</v>
      </c>
      <c r="L93" s="32">
        <v>75159.0</v>
      </c>
      <c r="M93" s="31" t="s">
        <v>34</v>
      </c>
      <c r="N93" s="31">
        <v>25.0</v>
      </c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1.71697263E8</v>
      </c>
      <c r="B94" s="31" t="s">
        <v>109</v>
      </c>
      <c r="C94" s="32">
        <v>5.5468774E7</v>
      </c>
      <c r="D94" s="32">
        <v>4.19441559E8</v>
      </c>
      <c r="E94" s="32">
        <v>1.0073827E7</v>
      </c>
      <c r="F94" s="32">
        <v>1.7155266E7</v>
      </c>
      <c r="G94" s="32">
        <v>1.755173E7</v>
      </c>
      <c r="H94" s="32">
        <v>1.1957304E7</v>
      </c>
      <c r="I94" s="32">
        <v>0.0</v>
      </c>
      <c r="J94" s="32">
        <v>5.398316666E9</v>
      </c>
      <c r="K94" s="32">
        <v>6.76969728E8</v>
      </c>
      <c r="L94" s="32">
        <v>44833.0</v>
      </c>
      <c r="M94" s="31" t="s">
        <v>34</v>
      </c>
      <c r="N94" s="31">
        <v>25.0</v>
      </c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1.27560055E8</v>
      </c>
      <c r="B95" s="31" t="s">
        <v>118</v>
      </c>
      <c r="C95" s="32">
        <v>5.5443774E7</v>
      </c>
      <c r="D95" s="32">
        <v>5.37189192E8</v>
      </c>
      <c r="E95" s="32">
        <v>1.6415019E7</v>
      </c>
      <c r="F95" s="32">
        <v>6.0649963E7</v>
      </c>
      <c r="G95" s="32">
        <v>3.5272658E7</v>
      </c>
      <c r="H95" s="32">
        <v>6965049.0</v>
      </c>
      <c r="I95" s="32">
        <v>0.0</v>
      </c>
      <c r="J95" s="32">
        <v>8.843690143E9</v>
      </c>
      <c r="K95" s="32">
        <v>1.426775546E9</v>
      </c>
      <c r="L95" s="32">
        <v>53172.0</v>
      </c>
      <c r="M95" s="31" t="s">
        <v>66</v>
      </c>
      <c r="N95" s="31">
        <v>25.0</v>
      </c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1.70728362E8</v>
      </c>
      <c r="B96" s="31" t="s">
        <v>104</v>
      </c>
      <c r="C96" s="32">
        <v>5.5156572E7</v>
      </c>
      <c r="D96" s="32">
        <v>5.23973532E8</v>
      </c>
      <c r="E96" s="32">
        <v>1.006726E7</v>
      </c>
      <c r="F96" s="32">
        <v>1.048377E7</v>
      </c>
      <c r="G96" s="32">
        <v>1.5870113E7</v>
      </c>
      <c r="H96" s="32">
        <v>1.7545412E7</v>
      </c>
      <c r="I96" s="32">
        <v>0.0</v>
      </c>
      <c r="J96" s="32">
        <v>6.719144285E9</v>
      </c>
      <c r="K96" s="32">
        <v>6.259580133E9</v>
      </c>
      <c r="L96" s="32">
        <v>61027.0</v>
      </c>
      <c r="M96" s="31" t="s">
        <v>34</v>
      </c>
      <c r="N96" s="31">
        <v>25.0</v>
      </c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1.61646318E8</v>
      </c>
      <c r="B97" s="31" t="s">
        <v>122</v>
      </c>
      <c r="C97" s="32">
        <v>5.4122445E7</v>
      </c>
      <c r="D97" s="32">
        <v>2.58781694E8</v>
      </c>
      <c r="E97" s="32">
        <v>6535473.0</v>
      </c>
      <c r="F97" s="32">
        <v>663252.0</v>
      </c>
      <c r="G97" s="32">
        <v>9726074.0</v>
      </c>
      <c r="H97" s="32">
        <v>7997408.0</v>
      </c>
      <c r="I97" s="32">
        <v>0.0</v>
      </c>
      <c r="J97" s="32">
        <v>1.3976195592E10</v>
      </c>
      <c r="K97" s="32">
        <v>2.66164973E9</v>
      </c>
      <c r="L97" s="32">
        <v>47413.0</v>
      </c>
      <c r="M97" s="31" t="s">
        <v>34</v>
      </c>
      <c r="N97" s="31">
        <v>25.0</v>
      </c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1.45008495E8</v>
      </c>
      <c r="B98" s="31" t="s">
        <v>448</v>
      </c>
      <c r="C98" s="32">
        <v>5.3951737E7</v>
      </c>
      <c r="D98" s="32">
        <v>4.46860821E8</v>
      </c>
      <c r="E98" s="32">
        <v>1.4233263E7</v>
      </c>
      <c r="F98" s="32">
        <v>4837285.0</v>
      </c>
      <c r="G98" s="32">
        <v>2.832593E7</v>
      </c>
      <c r="H98" s="32">
        <v>7371404.0</v>
      </c>
      <c r="I98" s="32">
        <v>0.0</v>
      </c>
      <c r="J98" s="32">
        <v>6.967752907E9</v>
      </c>
      <c r="K98" s="32">
        <v>1.175954784E9</v>
      </c>
      <c r="L98" s="32">
        <v>23933.0</v>
      </c>
      <c r="M98" s="31" t="s">
        <v>440</v>
      </c>
      <c r="N98" s="31">
        <v>25.0</v>
      </c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1.4504414E8</v>
      </c>
      <c r="B99" s="31" t="s">
        <v>449</v>
      </c>
      <c r="C99" s="32">
        <v>5.3431476E7</v>
      </c>
      <c r="D99" s="32">
        <v>1.08164672E8</v>
      </c>
      <c r="E99" s="32">
        <v>9233201.0</v>
      </c>
      <c r="F99" s="32">
        <v>111602.0</v>
      </c>
      <c r="G99" s="32">
        <v>2148352.0</v>
      </c>
      <c r="H99" s="32">
        <v>4241704.0</v>
      </c>
      <c r="I99" s="32">
        <v>0.0</v>
      </c>
      <c r="J99" s="32">
        <v>7.534052395E9</v>
      </c>
      <c r="K99" s="32">
        <v>4.08309634E8</v>
      </c>
      <c r="L99" s="32">
        <v>12485.0</v>
      </c>
      <c r="M99" s="31" t="s">
        <v>34</v>
      </c>
      <c r="N99" s="31">
        <v>25.0</v>
      </c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1.58817223E8</v>
      </c>
      <c r="B100" s="31" t="s">
        <v>131</v>
      </c>
      <c r="C100" s="32">
        <v>5.3903561E7</v>
      </c>
      <c r="D100" s="32">
        <v>2.41431504E8</v>
      </c>
      <c r="E100" s="32">
        <v>7583606.0</v>
      </c>
      <c r="F100" s="32">
        <v>5303964.0</v>
      </c>
      <c r="G100" s="32">
        <v>9241914.0</v>
      </c>
      <c r="H100" s="32">
        <v>6868782.0</v>
      </c>
      <c r="I100" s="32">
        <v>0.0</v>
      </c>
      <c r="J100" s="32">
        <v>6.627552136E9</v>
      </c>
      <c r="K100" s="32">
        <v>4.670025581E9</v>
      </c>
      <c r="L100" s="32">
        <v>37420.0</v>
      </c>
      <c r="M100" s="31" t="s">
        <v>34</v>
      </c>
      <c r="N100" s="31">
        <v>25.0</v>
      </c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1.4406546E8</v>
      </c>
      <c r="B101" s="31" t="s">
        <v>412</v>
      </c>
      <c r="C101" s="32">
        <v>5.1213911E7</v>
      </c>
      <c r="D101" s="32">
        <v>1.16386789E8</v>
      </c>
      <c r="E101" s="32">
        <v>7135665.0</v>
      </c>
      <c r="F101" s="32">
        <v>173335.0</v>
      </c>
      <c r="G101" s="32">
        <v>2182784.0</v>
      </c>
      <c r="H101" s="32">
        <v>4704822.0</v>
      </c>
      <c r="I101" s="32">
        <v>0.0</v>
      </c>
      <c r="J101" s="32">
        <v>1.1535052465E10</v>
      </c>
      <c r="K101" s="32">
        <v>4.97472383E8</v>
      </c>
      <c r="L101" s="32">
        <v>49269.0</v>
      </c>
      <c r="M101" s="31" t="s">
        <v>34</v>
      </c>
      <c r="N101" s="31">
        <v>25.0</v>
      </c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1.38753793E8</v>
      </c>
      <c r="B102" s="31" t="s">
        <v>414</v>
      </c>
      <c r="C102" s="32">
        <v>4.9495714E7</v>
      </c>
      <c r="D102" s="32">
        <v>2.21881485E8</v>
      </c>
      <c r="E102" s="32">
        <v>9087947.0</v>
      </c>
      <c r="F102" s="32">
        <v>1.3147095E7</v>
      </c>
      <c r="G102" s="32">
        <v>1.5505381E7</v>
      </c>
      <c r="H102" s="32">
        <v>2848817.0</v>
      </c>
      <c r="I102" s="32">
        <v>0.0</v>
      </c>
      <c r="J102" s="32">
        <v>5.305338131E9</v>
      </c>
      <c r="K102" s="32">
        <v>1.293921062E9</v>
      </c>
      <c r="L102" s="32">
        <v>26823.0</v>
      </c>
      <c r="M102" s="31" t="s">
        <v>66</v>
      </c>
      <c r="N102" s="31">
        <v>25.0</v>
      </c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1.69420296E8</v>
      </c>
      <c r="B103" s="31" t="s">
        <v>136</v>
      </c>
      <c r="C103" s="32">
        <v>4.9346694E7</v>
      </c>
      <c r="D103" s="32">
        <v>1.93082585E8</v>
      </c>
      <c r="E103" s="32">
        <v>6148103.0</v>
      </c>
      <c r="F103" s="32">
        <v>213155.0</v>
      </c>
      <c r="G103" s="32">
        <v>4857028.0</v>
      </c>
      <c r="H103" s="32">
        <v>7205750.0</v>
      </c>
      <c r="I103" s="32">
        <v>0.0</v>
      </c>
      <c r="J103" s="32">
        <v>1.37464138E10</v>
      </c>
      <c r="K103" s="32">
        <v>4.23272131E8</v>
      </c>
      <c r="L103" s="32">
        <v>32873.0</v>
      </c>
      <c r="M103" s="31" t="s">
        <v>34</v>
      </c>
      <c r="N103" s="31">
        <v>25.0</v>
      </c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1.44088316E8</v>
      </c>
      <c r="B104" s="31" t="s">
        <v>152</v>
      </c>
      <c r="C104" s="32">
        <v>4.9238856E7</v>
      </c>
      <c r="D104" s="32">
        <v>4.2555014E7</v>
      </c>
      <c r="E104" s="32">
        <v>4390339.0</v>
      </c>
      <c r="F104" s="32">
        <v>456983.0</v>
      </c>
      <c r="G104" s="32">
        <v>939021.0</v>
      </c>
      <c r="H104" s="32">
        <v>1357682.0</v>
      </c>
      <c r="I104" s="32">
        <v>0.0</v>
      </c>
      <c r="J104" s="32">
        <v>1.1250394797E10</v>
      </c>
      <c r="K104" s="32">
        <v>1.45E9</v>
      </c>
      <c r="L104" s="32">
        <v>13332.0</v>
      </c>
      <c r="M104" s="31" t="s">
        <v>153</v>
      </c>
      <c r="N104" s="31">
        <v>25.0</v>
      </c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1.45033056E8</v>
      </c>
      <c r="B105" s="31" t="s">
        <v>450</v>
      </c>
      <c r="C105" s="32">
        <v>4.9233153E7</v>
      </c>
      <c r="D105" s="32">
        <v>4.90830169E8</v>
      </c>
      <c r="E105" s="32">
        <v>1.3338244E7</v>
      </c>
      <c r="F105" s="32">
        <v>2475077.0</v>
      </c>
      <c r="G105" s="32">
        <v>1.7064955E7</v>
      </c>
      <c r="H105" s="32">
        <v>1.5780836E7</v>
      </c>
      <c r="I105" s="32">
        <v>0.0</v>
      </c>
      <c r="J105" s="32">
        <v>1.4501944185E10</v>
      </c>
      <c r="K105" s="32">
        <v>1.149379775E9</v>
      </c>
      <c r="L105" s="32">
        <v>32957.0</v>
      </c>
      <c r="M105" s="31" t="s">
        <v>34</v>
      </c>
      <c r="N105" s="31">
        <v>25.0</v>
      </c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1.59857111E8</v>
      </c>
      <c r="B106" s="31" t="s">
        <v>369</v>
      </c>
      <c r="C106" s="32">
        <v>4.9106496E7</v>
      </c>
      <c r="D106" s="32">
        <v>4.6722209E8</v>
      </c>
      <c r="E106" s="32">
        <v>3125000.0</v>
      </c>
      <c r="F106" s="32">
        <v>2.1498954E7</v>
      </c>
      <c r="G106" s="32">
        <v>3.5659456E7</v>
      </c>
      <c r="H106" s="32">
        <v>4964351.0</v>
      </c>
      <c r="I106" s="32">
        <v>0.0</v>
      </c>
      <c r="J106" s="32">
        <v>8.153917113E9</v>
      </c>
      <c r="K106" s="32">
        <v>3.350520456E9</v>
      </c>
      <c r="L106" s="32">
        <v>37327.0</v>
      </c>
      <c r="M106" s="31" t="s">
        <v>66</v>
      </c>
      <c r="N106" s="31">
        <v>25.0</v>
      </c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1.69672885E8</v>
      </c>
      <c r="B107" s="31" t="s">
        <v>129</v>
      </c>
      <c r="C107" s="32">
        <v>4.8998691E7</v>
      </c>
      <c r="D107" s="32">
        <v>4.28904904E8</v>
      </c>
      <c r="E107" s="32">
        <v>8406848.0</v>
      </c>
      <c r="F107" s="32">
        <v>8834282.0</v>
      </c>
      <c r="G107" s="32">
        <v>1.8454466E7</v>
      </c>
      <c r="H107" s="32">
        <v>1.1510999E7</v>
      </c>
      <c r="I107" s="32">
        <v>0.0</v>
      </c>
      <c r="J107" s="32">
        <v>7.072243648E9</v>
      </c>
      <c r="K107" s="32">
        <v>5.531989826E9</v>
      </c>
      <c r="L107" s="32">
        <v>32988.0</v>
      </c>
      <c r="M107" s="31" t="s">
        <v>34</v>
      </c>
      <c r="N107" s="31">
        <v>25.0</v>
      </c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1.68025153E8</v>
      </c>
      <c r="B108" s="31" t="s">
        <v>146</v>
      </c>
      <c r="C108" s="32">
        <v>4.898919E7</v>
      </c>
      <c r="D108" s="32">
        <v>2.8188141E7</v>
      </c>
      <c r="E108" s="32">
        <v>1667579.0</v>
      </c>
      <c r="F108" s="32">
        <v>260005.0</v>
      </c>
      <c r="G108" s="32">
        <v>748668.0</v>
      </c>
      <c r="H108" s="32">
        <v>1032023.0</v>
      </c>
      <c r="I108" s="32">
        <v>0.0</v>
      </c>
      <c r="J108" s="32">
        <v>3.907117979E9</v>
      </c>
      <c r="K108" s="32">
        <v>2.779142711E9</v>
      </c>
      <c r="L108" s="32">
        <v>4554.0</v>
      </c>
      <c r="M108" s="31" t="s">
        <v>147</v>
      </c>
      <c r="N108" s="31">
        <v>25.0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1.56007436E8</v>
      </c>
      <c r="B109" s="31" t="s">
        <v>413</v>
      </c>
      <c r="C109" s="32">
        <v>4.8848699E7</v>
      </c>
      <c r="D109" s="32">
        <v>1.64639347E8</v>
      </c>
      <c r="E109" s="32">
        <v>1.1355509E7</v>
      </c>
      <c r="F109" s="32">
        <v>432186.0</v>
      </c>
      <c r="G109" s="32">
        <v>5075177.0</v>
      </c>
      <c r="H109" s="32">
        <v>5619834.0</v>
      </c>
      <c r="I109" s="32">
        <v>0.0</v>
      </c>
      <c r="J109" s="32">
        <v>1.1339082391E10</v>
      </c>
      <c r="K109" s="32">
        <v>1.357531292E9</v>
      </c>
      <c r="L109" s="32">
        <v>15410.0</v>
      </c>
      <c r="M109" s="31" t="s">
        <v>34</v>
      </c>
      <c r="N109" s="31">
        <v>25.0</v>
      </c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1.44064126E8</v>
      </c>
      <c r="B110" s="31" t="s">
        <v>416</v>
      </c>
      <c r="C110" s="32">
        <v>4.8374432E7</v>
      </c>
      <c r="D110" s="32">
        <v>3.28313084E8</v>
      </c>
      <c r="E110" s="32">
        <v>8224568.0</v>
      </c>
      <c r="F110" s="32">
        <v>5000101.0</v>
      </c>
      <c r="G110" s="32">
        <v>1.8254451E7</v>
      </c>
      <c r="H110" s="32">
        <v>5172191.0</v>
      </c>
      <c r="I110" s="32">
        <v>0.0</v>
      </c>
      <c r="J110" s="32">
        <v>9.175124895E9</v>
      </c>
      <c r="K110" s="32">
        <v>4.867183E7</v>
      </c>
      <c r="L110" s="32">
        <v>13851.0</v>
      </c>
      <c r="M110" s="31" t="s">
        <v>66</v>
      </c>
      <c r="N110" s="31">
        <v>25.0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1.66234202E8</v>
      </c>
      <c r="B111" s="31" t="s">
        <v>135</v>
      </c>
      <c r="C111" s="32">
        <v>4.7817288E7</v>
      </c>
      <c r="D111" s="32">
        <v>2.93244994E8</v>
      </c>
      <c r="E111" s="32">
        <v>4637371.0</v>
      </c>
      <c r="F111" s="32">
        <v>1992214.0</v>
      </c>
      <c r="G111" s="32">
        <v>1.3803324E7</v>
      </c>
      <c r="H111" s="32">
        <v>6532470.0</v>
      </c>
      <c r="I111" s="32">
        <v>0.0</v>
      </c>
      <c r="J111" s="32">
        <v>1.15149599E10</v>
      </c>
      <c r="K111" s="32">
        <v>1.48881707E9</v>
      </c>
      <c r="L111" s="32">
        <v>33569.0</v>
      </c>
      <c r="M111" s="31" t="s">
        <v>34</v>
      </c>
      <c r="N111" s="31">
        <v>25.0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7.5750446E7</v>
      </c>
      <c r="B112" s="31" t="s">
        <v>451</v>
      </c>
      <c r="C112" s="32">
        <v>4.7706604E7</v>
      </c>
      <c r="D112" s="32">
        <v>4.7582587E7</v>
      </c>
      <c r="E112" s="32">
        <v>5872796.0</v>
      </c>
      <c r="F112" s="32">
        <v>1962965.0</v>
      </c>
      <c r="G112" s="32">
        <v>2337799.0</v>
      </c>
      <c r="H112" s="32">
        <v>784318.0</v>
      </c>
      <c r="I112" s="32">
        <v>0.0</v>
      </c>
      <c r="J112" s="32">
        <v>7.621164969E9</v>
      </c>
      <c r="K112" s="32">
        <v>1.60164717E8</v>
      </c>
      <c r="L112" s="32">
        <v>11255.0</v>
      </c>
      <c r="M112" s="31" t="s">
        <v>66</v>
      </c>
      <c r="N112" s="31">
        <v>25.0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1.69953509E8</v>
      </c>
      <c r="B113" s="31" t="s">
        <v>415</v>
      </c>
      <c r="C113" s="32">
        <v>4.7084625E7</v>
      </c>
      <c r="D113" s="32">
        <v>2.64139451E8</v>
      </c>
      <c r="E113" s="32">
        <v>6805624.0</v>
      </c>
      <c r="F113" s="32">
        <v>6.6332756E7</v>
      </c>
      <c r="G113" s="32">
        <v>8157372.0</v>
      </c>
      <c r="H113" s="32">
        <v>7906967.0</v>
      </c>
      <c r="I113" s="32">
        <v>0.0</v>
      </c>
      <c r="J113" s="32">
        <v>9.51138971E9</v>
      </c>
      <c r="K113" s="32">
        <v>2.274309821E9</v>
      </c>
      <c r="L113" s="32">
        <v>21027.0</v>
      </c>
      <c r="M113" s="31" t="s">
        <v>34</v>
      </c>
      <c r="N113" s="31">
        <v>25.0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1.44114697E8</v>
      </c>
      <c r="B114" s="31" t="s">
        <v>417</v>
      </c>
      <c r="C114" s="32">
        <v>4.6905906E7</v>
      </c>
      <c r="D114" s="32">
        <v>2.01875553E8</v>
      </c>
      <c r="E114" s="32">
        <v>4023063.0</v>
      </c>
      <c r="F114" s="32">
        <v>682449.0</v>
      </c>
      <c r="G114" s="32">
        <v>7945813.0</v>
      </c>
      <c r="H114" s="32">
        <v>5801472.0</v>
      </c>
      <c r="I114" s="32">
        <v>0.0</v>
      </c>
      <c r="J114" s="32">
        <v>9.961200077E9</v>
      </c>
      <c r="K114" s="32">
        <v>4.278847644E9</v>
      </c>
      <c r="L114" s="32">
        <v>35353.0</v>
      </c>
      <c r="M114" s="31" t="s">
        <v>66</v>
      </c>
      <c r="N114" s="31">
        <v>25.0</v>
      </c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1.70028719E8</v>
      </c>
      <c r="B115" s="31" t="s">
        <v>452</v>
      </c>
      <c r="C115" s="32">
        <v>4.6698411E7</v>
      </c>
      <c r="D115" s="32">
        <v>1.17473707E8</v>
      </c>
      <c r="E115" s="32">
        <v>2785639.0</v>
      </c>
      <c r="F115" s="32">
        <v>2239547.0</v>
      </c>
      <c r="G115" s="32">
        <v>4885702.0</v>
      </c>
      <c r="H115" s="32">
        <v>3003526.0</v>
      </c>
      <c r="I115" s="32">
        <v>0.0</v>
      </c>
      <c r="J115" s="32">
        <v>5.801526283E9</v>
      </c>
      <c r="K115" s="32">
        <v>3.989143277E9</v>
      </c>
      <c r="L115" s="32">
        <v>41049.0</v>
      </c>
      <c r="M115" s="31" t="s">
        <v>34</v>
      </c>
      <c r="N115" s="31">
        <v>25.0</v>
      </c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1.69363448E8</v>
      </c>
      <c r="B116" s="31" t="s">
        <v>133</v>
      </c>
      <c r="C116" s="32">
        <v>4.679521E7</v>
      </c>
      <c r="D116" s="32">
        <v>3.31612418E8</v>
      </c>
      <c r="E116" s="32">
        <v>6506816.0</v>
      </c>
      <c r="F116" s="32">
        <v>1816902.0</v>
      </c>
      <c r="G116" s="32">
        <v>1.6986852E7</v>
      </c>
      <c r="H116" s="32">
        <v>7640210.0</v>
      </c>
      <c r="I116" s="32">
        <v>0.0</v>
      </c>
      <c r="J116" s="32">
        <v>8.188630037E9</v>
      </c>
      <c r="K116" s="32">
        <v>6.667116137E9</v>
      </c>
      <c r="L116" s="32">
        <v>43148.0</v>
      </c>
      <c r="M116" s="31" t="s">
        <v>34</v>
      </c>
      <c r="N116" s="31">
        <v>25.0</v>
      </c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1.71654758E8</v>
      </c>
      <c r="B117" s="31" t="s">
        <v>141</v>
      </c>
      <c r="C117" s="32">
        <v>4.6404458E7</v>
      </c>
      <c r="D117" s="32">
        <v>4.0440159E8</v>
      </c>
      <c r="E117" s="32">
        <v>3418248.0</v>
      </c>
      <c r="F117" s="32">
        <v>3663871.0</v>
      </c>
      <c r="G117" s="32">
        <v>1.1207415E7</v>
      </c>
      <c r="H117" s="32">
        <v>1.4537692E7</v>
      </c>
      <c r="I117" s="32">
        <v>0.0</v>
      </c>
      <c r="J117" s="32">
        <v>6.432716951E9</v>
      </c>
      <c r="K117" s="32">
        <v>2.35303952E8</v>
      </c>
      <c r="L117" s="32">
        <v>31935.0</v>
      </c>
      <c r="M117" s="31" t="s">
        <v>66</v>
      </c>
      <c r="N117" s="31">
        <v>25.0</v>
      </c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1.0047682E8</v>
      </c>
      <c r="B118" s="31" t="s">
        <v>370</v>
      </c>
      <c r="C118" s="32">
        <v>4.5387954E7</v>
      </c>
      <c r="D118" s="32">
        <v>1.20432632E8</v>
      </c>
      <c r="E118" s="32">
        <v>1.1170739E7</v>
      </c>
      <c r="F118" s="32">
        <v>103221.0</v>
      </c>
      <c r="G118" s="32">
        <v>4411680.0</v>
      </c>
      <c r="H118" s="32">
        <v>3805305.0</v>
      </c>
      <c r="I118" s="32">
        <v>0.0</v>
      </c>
      <c r="J118" s="32">
        <v>3.6065838906E10</v>
      </c>
      <c r="K118" s="32">
        <v>4.569894928E10</v>
      </c>
      <c r="L118" s="32">
        <v>21276.0</v>
      </c>
      <c r="M118" s="31" t="s">
        <v>34</v>
      </c>
      <c r="N118" s="31">
        <v>25.0</v>
      </c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1.71945722E8</v>
      </c>
      <c r="B119" s="31" t="s">
        <v>371</v>
      </c>
      <c r="C119" s="32">
        <v>4.5064006E7</v>
      </c>
      <c r="D119" s="32">
        <v>6.8650463E7</v>
      </c>
      <c r="E119" s="32">
        <v>4591934.0</v>
      </c>
      <c r="F119" s="32">
        <v>107866.0</v>
      </c>
      <c r="G119" s="32">
        <v>3122424.0</v>
      </c>
      <c r="H119" s="32">
        <v>1861297.0</v>
      </c>
      <c r="I119" s="32">
        <v>0.0</v>
      </c>
      <c r="J119" s="32">
        <v>1.1228332901E10</v>
      </c>
      <c r="K119" s="32">
        <v>3.75825022E9</v>
      </c>
      <c r="L119" s="32">
        <v>16722.0</v>
      </c>
      <c r="M119" s="31" t="s">
        <v>34</v>
      </c>
      <c r="N119" s="31">
        <v>25.0</v>
      </c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1.72015122E8</v>
      </c>
      <c r="B120" s="31" t="s">
        <v>419</v>
      </c>
      <c r="C120" s="32">
        <v>4.4999609E7</v>
      </c>
      <c r="D120" s="32">
        <v>7.0578736E7</v>
      </c>
      <c r="E120" s="32">
        <v>6420273.0</v>
      </c>
      <c r="F120" s="32">
        <v>1149740.0</v>
      </c>
      <c r="G120" s="32">
        <v>4123036.0</v>
      </c>
      <c r="H120" s="32">
        <v>1327670.0</v>
      </c>
      <c r="I120" s="32">
        <v>0.0</v>
      </c>
      <c r="J120" s="32">
        <v>6.320081165E9</v>
      </c>
      <c r="K120" s="32">
        <v>2.255803635E9</v>
      </c>
      <c r="L120" s="32">
        <v>14160.0</v>
      </c>
      <c r="M120" s="31" t="s">
        <v>66</v>
      </c>
      <c r="N120" s="31">
        <v>25.0</v>
      </c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1.15990558E8</v>
      </c>
      <c r="B121" s="31" t="s">
        <v>143</v>
      </c>
      <c r="C121" s="32">
        <v>4.4960369E7</v>
      </c>
      <c r="D121" s="32">
        <v>2.11639595E8</v>
      </c>
      <c r="E121" s="32">
        <v>4961941.0</v>
      </c>
      <c r="F121" s="32">
        <v>1801665.0</v>
      </c>
      <c r="G121" s="32">
        <v>1.2433106E7</v>
      </c>
      <c r="H121" s="32">
        <v>3575331.0</v>
      </c>
      <c r="I121" s="32">
        <v>1288645.0</v>
      </c>
      <c r="J121" s="32">
        <v>8.666737392E9</v>
      </c>
      <c r="K121" s="32">
        <v>1.81565802E9</v>
      </c>
      <c r="L121" s="32">
        <v>19391.0</v>
      </c>
      <c r="M121" s="31" t="s">
        <v>66</v>
      </c>
      <c r="N121" s="31">
        <v>25.0</v>
      </c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1.6901814E8</v>
      </c>
      <c r="B122" s="31" t="s">
        <v>137</v>
      </c>
      <c r="C122" s="32">
        <v>4.4908601E7</v>
      </c>
      <c r="D122" s="32">
        <v>1.70501159E8</v>
      </c>
      <c r="E122" s="32">
        <v>5121209.0</v>
      </c>
      <c r="F122" s="32">
        <v>430096.0</v>
      </c>
      <c r="G122" s="32">
        <v>6535314.0</v>
      </c>
      <c r="H122" s="32">
        <v>5208981.0</v>
      </c>
      <c r="I122" s="32">
        <v>0.0</v>
      </c>
      <c r="J122" s="32">
        <v>1.2355144096E10</v>
      </c>
      <c r="K122" s="32">
        <v>3.107268407E9</v>
      </c>
      <c r="L122" s="32">
        <v>32793.0</v>
      </c>
      <c r="M122" s="31" t="s">
        <v>34</v>
      </c>
      <c r="N122" s="31">
        <v>25.0</v>
      </c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1.77187021E8</v>
      </c>
      <c r="B123" s="31" t="s">
        <v>418</v>
      </c>
      <c r="C123" s="32">
        <v>4.4788617E7</v>
      </c>
      <c r="D123" s="32">
        <v>1.12836446E8</v>
      </c>
      <c r="E123" s="32">
        <v>8020575.0</v>
      </c>
      <c r="F123" s="32">
        <v>465612.0</v>
      </c>
      <c r="G123" s="32">
        <v>2727783.0</v>
      </c>
      <c r="H123" s="32">
        <v>4256918.0</v>
      </c>
      <c r="I123" s="32">
        <v>0.0</v>
      </c>
      <c r="J123" s="32">
        <v>9.134862034E9</v>
      </c>
      <c r="K123" s="32">
        <v>7.08430819E8</v>
      </c>
      <c r="L123" s="32">
        <v>25236.0</v>
      </c>
      <c r="M123" s="31" t="s">
        <v>34</v>
      </c>
      <c r="N123" s="31">
        <v>25.0</v>
      </c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1.72008118E8</v>
      </c>
      <c r="B124" s="31" t="s">
        <v>453</v>
      </c>
      <c r="C124" s="32">
        <v>4.4636427E7</v>
      </c>
      <c r="D124" s="32">
        <v>4.7591113E7</v>
      </c>
      <c r="E124" s="32">
        <v>5352271.0</v>
      </c>
      <c r="F124" s="32">
        <v>60319.0</v>
      </c>
      <c r="G124" s="32">
        <v>1291930.0</v>
      </c>
      <c r="H124" s="32">
        <v>1714650.0</v>
      </c>
      <c r="I124" s="32">
        <v>0.0</v>
      </c>
      <c r="J124" s="32">
        <v>8.49410558E9</v>
      </c>
      <c r="K124" s="32">
        <v>1.80113412E8</v>
      </c>
      <c r="L124" s="32">
        <v>8131.0</v>
      </c>
      <c r="M124" s="31" t="s">
        <v>66</v>
      </c>
      <c r="N124" s="31">
        <v>25.0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1.60258193E8</v>
      </c>
      <c r="B125" s="31" t="s">
        <v>145</v>
      </c>
      <c r="C125" s="32">
        <v>4.3849765E7</v>
      </c>
      <c r="D125" s="32">
        <v>4.3574739E7</v>
      </c>
      <c r="E125" s="32">
        <v>2440420.0</v>
      </c>
      <c r="F125" s="32">
        <v>1459647.0</v>
      </c>
      <c r="G125" s="32">
        <v>2666256.0</v>
      </c>
      <c r="H125" s="32">
        <v>711945.0</v>
      </c>
      <c r="I125" s="32">
        <v>0.0</v>
      </c>
      <c r="J125" s="32">
        <v>6.623817266E9</v>
      </c>
      <c r="K125" s="32">
        <v>1.642818482E9</v>
      </c>
      <c r="L125" s="32">
        <v>23002.0</v>
      </c>
      <c r="M125" s="31" t="s">
        <v>34</v>
      </c>
      <c r="N125" s="31">
        <v>25.0</v>
      </c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8.8110635E7</v>
      </c>
      <c r="B126" s="31" t="s">
        <v>149</v>
      </c>
      <c r="C126" s="32">
        <v>4.2676711E7</v>
      </c>
      <c r="D126" s="32">
        <v>3.6234973E7</v>
      </c>
      <c r="E126" s="32">
        <v>6531506.0</v>
      </c>
      <c r="F126" s="32">
        <v>32907.0</v>
      </c>
      <c r="G126" s="32">
        <v>941976.0</v>
      </c>
      <c r="H126" s="32">
        <v>1302977.0</v>
      </c>
      <c r="I126" s="32">
        <v>0.0</v>
      </c>
      <c r="J126" s="32">
        <v>9.056445524E9</v>
      </c>
      <c r="K126" s="32">
        <v>1.05797584E8</v>
      </c>
      <c r="L126" s="32">
        <v>13084.0</v>
      </c>
      <c r="M126" s="31" t="s">
        <v>126</v>
      </c>
      <c r="N126" s="31">
        <v>25.0</v>
      </c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1.76044158E8</v>
      </c>
      <c r="B127" s="31" t="s">
        <v>139</v>
      </c>
      <c r="C127" s="32">
        <v>4.26676E7</v>
      </c>
      <c r="D127" s="32">
        <v>1.3115959E8</v>
      </c>
      <c r="E127" s="32">
        <v>5233878.0</v>
      </c>
      <c r="F127" s="32">
        <v>341163.0</v>
      </c>
      <c r="G127" s="32">
        <v>2945478.0</v>
      </c>
      <c r="H127" s="32">
        <v>5065195.0</v>
      </c>
      <c r="I127" s="32">
        <v>0.0</v>
      </c>
      <c r="J127" s="32">
        <v>1.7687631753E10</v>
      </c>
      <c r="K127" s="32">
        <v>4.244536539E9</v>
      </c>
      <c r="L127" s="32">
        <v>17069.0</v>
      </c>
      <c r="M127" s="31" t="s">
        <v>34</v>
      </c>
      <c r="N127" s="31">
        <v>25.0</v>
      </c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1.71922856E8</v>
      </c>
      <c r="B128" s="31" t="s">
        <v>420</v>
      </c>
      <c r="C128" s="32">
        <v>4.1906506E7</v>
      </c>
      <c r="D128" s="32">
        <v>7.3341659E7</v>
      </c>
      <c r="E128" s="32">
        <v>3755193.0</v>
      </c>
      <c r="F128" s="32">
        <v>184046.0</v>
      </c>
      <c r="G128" s="32">
        <v>2710905.0</v>
      </c>
      <c r="H128" s="32">
        <v>1993277.0</v>
      </c>
      <c r="I128" s="32">
        <v>0.0</v>
      </c>
      <c r="J128" s="32">
        <v>5.394359656E9</v>
      </c>
      <c r="K128" s="32">
        <v>5.66068641E8</v>
      </c>
      <c r="L128" s="32">
        <v>17618.0</v>
      </c>
      <c r="M128" s="31" t="s">
        <v>34</v>
      </c>
      <c r="N128" s="31">
        <v>25.0</v>
      </c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1.4361245E8</v>
      </c>
      <c r="B129" s="31" t="s">
        <v>144</v>
      </c>
      <c r="C129" s="32">
        <v>4.1172361E7</v>
      </c>
      <c r="D129" s="32">
        <v>5.53982957E8</v>
      </c>
      <c r="E129" s="32">
        <v>4794956.0</v>
      </c>
      <c r="F129" s="32">
        <v>4579765.0</v>
      </c>
      <c r="G129" s="32">
        <v>2.8856326E7</v>
      </c>
      <c r="H129" s="32">
        <v>1.2672659E7</v>
      </c>
      <c r="I129" s="32">
        <v>0.0</v>
      </c>
      <c r="J129" s="32">
        <v>1.0404939263E10</v>
      </c>
      <c r="K129" s="32">
        <v>7.147666033E9</v>
      </c>
      <c r="L129" s="32">
        <v>32805.0</v>
      </c>
      <c r="M129" s="31" t="s">
        <v>34</v>
      </c>
      <c r="N129" s="31">
        <v>25.0</v>
      </c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1.71830779E8</v>
      </c>
      <c r="B130" s="31" t="s">
        <v>372</v>
      </c>
      <c r="C130" s="32">
        <v>4.0347579E7</v>
      </c>
      <c r="D130" s="32">
        <v>2.1895536E8</v>
      </c>
      <c r="E130" s="32">
        <v>6886230.0</v>
      </c>
      <c r="F130" s="32">
        <v>897212.0</v>
      </c>
      <c r="G130" s="32">
        <v>1.1189916E7</v>
      </c>
      <c r="H130" s="32">
        <v>5281233.0</v>
      </c>
      <c r="I130" s="32">
        <v>0.0</v>
      </c>
      <c r="J130" s="32">
        <v>6.729864465E9</v>
      </c>
      <c r="K130" s="32">
        <v>5.681506E8</v>
      </c>
      <c r="L130" s="32">
        <v>45404.0</v>
      </c>
      <c r="M130" s="31" t="s">
        <v>34</v>
      </c>
      <c r="N130" s="31">
        <v>25.0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1.68206434E8</v>
      </c>
      <c r="B131" s="31" t="s">
        <v>454</v>
      </c>
      <c r="C131" s="32">
        <v>3.9567014E7</v>
      </c>
      <c r="D131" s="32">
        <v>1.15439342E8</v>
      </c>
      <c r="E131" s="32">
        <v>7682001.0</v>
      </c>
      <c r="F131" s="32">
        <v>853561.0</v>
      </c>
      <c r="G131" s="32">
        <v>4647645.0</v>
      </c>
      <c r="H131" s="32">
        <v>3190436.0</v>
      </c>
      <c r="I131" s="32">
        <v>0.0</v>
      </c>
      <c r="J131" s="32">
        <v>5.203333816E9</v>
      </c>
      <c r="K131" s="32">
        <v>2.72430913E8</v>
      </c>
      <c r="L131" s="32">
        <v>5998.0</v>
      </c>
      <c r="M131" s="31" t="s">
        <v>34</v>
      </c>
      <c r="N131" s="31">
        <v>25.0</v>
      </c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1.75650426E8</v>
      </c>
      <c r="B132" s="31" t="s">
        <v>154</v>
      </c>
      <c r="C132" s="32">
        <v>3.8591423E7</v>
      </c>
      <c r="D132" s="32">
        <v>2.19785478E8</v>
      </c>
      <c r="E132" s="32">
        <v>7845079.0</v>
      </c>
      <c r="F132" s="32">
        <v>6316310.0</v>
      </c>
      <c r="G132" s="32">
        <v>8899148.0</v>
      </c>
      <c r="H132" s="32">
        <v>5741460.0</v>
      </c>
      <c r="I132" s="32">
        <v>0.0</v>
      </c>
      <c r="J132" s="32">
        <v>6.242070628E9</v>
      </c>
      <c r="K132" s="32">
        <v>6.933403944E9</v>
      </c>
      <c r="L132" s="32">
        <v>19507.0</v>
      </c>
      <c r="M132" s="31" t="s">
        <v>34</v>
      </c>
      <c r="N132" s="31">
        <v>25.0</v>
      </c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1.71469164E8</v>
      </c>
      <c r="B133" s="31" t="s">
        <v>455</v>
      </c>
      <c r="C133" s="32">
        <v>3.7681221E7</v>
      </c>
      <c r="D133" s="32">
        <v>4.0724162E7</v>
      </c>
      <c r="E133" s="32">
        <v>964813.0</v>
      </c>
      <c r="F133" s="32">
        <v>300450.0</v>
      </c>
      <c r="G133" s="32">
        <v>2504353.0</v>
      </c>
      <c r="H133" s="32">
        <v>713326.0</v>
      </c>
      <c r="I133" s="32">
        <v>0.0</v>
      </c>
      <c r="J133" s="32">
        <v>6.958669946E9</v>
      </c>
      <c r="K133" s="32">
        <v>9750964.0</v>
      </c>
      <c r="L133" s="32">
        <v>18585.0</v>
      </c>
      <c r="M133" s="31" t="s">
        <v>66</v>
      </c>
      <c r="N133" s="31">
        <v>25.0</v>
      </c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6.5948574E7</v>
      </c>
      <c r="B134" s="31" t="s">
        <v>157</v>
      </c>
      <c r="C134" s="32">
        <v>3.7414872E7</v>
      </c>
      <c r="D134" s="32">
        <v>1.24170104E8</v>
      </c>
      <c r="E134" s="32">
        <v>9830566.0</v>
      </c>
      <c r="F134" s="32">
        <v>920251.0</v>
      </c>
      <c r="G134" s="32">
        <v>5068670.0</v>
      </c>
      <c r="H134" s="32">
        <v>3533523.0</v>
      </c>
      <c r="I134" s="32">
        <v>0.0</v>
      </c>
      <c r="J134" s="32">
        <v>2.197599919E10</v>
      </c>
      <c r="K134" s="32">
        <v>2.3958373403E10</v>
      </c>
      <c r="L134" s="32">
        <v>21546.0</v>
      </c>
      <c r="M134" s="31" t="s">
        <v>34</v>
      </c>
      <c r="N134" s="31">
        <v>25.0</v>
      </c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1.72029365E8</v>
      </c>
      <c r="B135" s="31" t="s">
        <v>148</v>
      </c>
      <c r="C135" s="32">
        <v>3.7413149E7</v>
      </c>
      <c r="D135" s="32">
        <v>1.71300154E8</v>
      </c>
      <c r="E135" s="32">
        <v>9260755.0</v>
      </c>
      <c r="F135" s="32">
        <v>692642.0</v>
      </c>
      <c r="G135" s="32">
        <v>4635038.0</v>
      </c>
      <c r="H135" s="32">
        <v>6158889.0</v>
      </c>
      <c r="I135" s="32">
        <v>0.0</v>
      </c>
      <c r="J135" s="32">
        <v>5.978827774E9</v>
      </c>
      <c r="K135" s="32">
        <v>1.169311746E9</v>
      </c>
      <c r="L135" s="32">
        <v>19107.0</v>
      </c>
      <c r="M135" s="31" t="s">
        <v>34</v>
      </c>
      <c r="N135" s="31">
        <v>25.0</v>
      </c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1.43328412E8</v>
      </c>
      <c r="B136" s="31" t="s">
        <v>158</v>
      </c>
      <c r="C136" s="32">
        <v>3.6880779E7</v>
      </c>
      <c r="D136" s="32">
        <v>3.24920088E8</v>
      </c>
      <c r="E136" s="32">
        <v>5751734.0</v>
      </c>
      <c r="F136" s="32">
        <v>2657791.0</v>
      </c>
      <c r="G136" s="32">
        <v>2.4253096E7</v>
      </c>
      <c r="H136" s="32">
        <v>3145842.0</v>
      </c>
      <c r="I136" s="32">
        <v>0.0</v>
      </c>
      <c r="J136" s="32">
        <v>1.0062343813E10</v>
      </c>
      <c r="K136" s="32">
        <v>8.501035607E9</v>
      </c>
      <c r="L136" s="32">
        <v>30020.0</v>
      </c>
      <c r="M136" s="31" t="s">
        <v>94</v>
      </c>
      <c r="N136" s="31">
        <v>25.0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1.45948216E8</v>
      </c>
      <c r="B137" s="31" t="s">
        <v>167</v>
      </c>
      <c r="C137" s="32">
        <v>3.653936E7</v>
      </c>
      <c r="D137" s="32">
        <v>7.1196332E7</v>
      </c>
      <c r="E137" s="32">
        <v>5143452.0</v>
      </c>
      <c r="F137" s="32">
        <v>52210.0</v>
      </c>
      <c r="G137" s="32">
        <v>1616036.0</v>
      </c>
      <c r="H137" s="32">
        <v>2739176.0</v>
      </c>
      <c r="I137" s="32">
        <v>0.0</v>
      </c>
      <c r="J137" s="32">
        <v>1.0883990874E10</v>
      </c>
      <c r="K137" s="32">
        <v>6.848628877E9</v>
      </c>
      <c r="L137" s="32">
        <v>10591.0</v>
      </c>
      <c r="M137" s="31" t="s">
        <v>34</v>
      </c>
      <c r="N137" s="31">
        <v>25.0</v>
      </c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1.44052871E8</v>
      </c>
      <c r="B138" s="31" t="s">
        <v>162</v>
      </c>
      <c r="C138" s="32">
        <v>3.6496796E7</v>
      </c>
      <c r="D138" s="32">
        <v>1.0830023E7</v>
      </c>
      <c r="E138" s="32">
        <v>7086114.0</v>
      </c>
      <c r="F138" s="32">
        <v>294567.0</v>
      </c>
      <c r="G138" s="32">
        <v>392460.0</v>
      </c>
      <c r="H138" s="32">
        <v>216867.0</v>
      </c>
      <c r="I138" s="32">
        <v>0.0</v>
      </c>
      <c r="J138" s="32">
        <v>5.585779717E9</v>
      </c>
      <c r="K138" s="32">
        <v>64161.0</v>
      </c>
      <c r="L138" s="32">
        <v>316.0</v>
      </c>
      <c r="M138" s="31" t="s">
        <v>456</v>
      </c>
      <c r="N138" s="31">
        <v>25.0</v>
      </c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1.44047216E8</v>
      </c>
      <c r="B139" s="31" t="s">
        <v>457</v>
      </c>
      <c r="C139" s="32">
        <v>3.6434117E7</v>
      </c>
      <c r="D139" s="32">
        <v>1.39100071E8</v>
      </c>
      <c r="E139" s="32">
        <v>3827738.0</v>
      </c>
      <c r="F139" s="32">
        <v>144786.0</v>
      </c>
      <c r="G139" s="32">
        <v>7878913.0</v>
      </c>
      <c r="H139" s="32">
        <v>2956978.0</v>
      </c>
      <c r="I139" s="32">
        <v>0.0</v>
      </c>
      <c r="J139" s="32">
        <v>8.325944507E9</v>
      </c>
      <c r="K139" s="32">
        <v>6.11983698E8</v>
      </c>
      <c r="L139" s="32">
        <v>26116.0</v>
      </c>
      <c r="M139" s="31" t="s">
        <v>66</v>
      </c>
      <c r="N139" s="31">
        <v>25.0</v>
      </c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1.45023737E8</v>
      </c>
      <c r="B140" s="31" t="s">
        <v>161</v>
      </c>
      <c r="C140" s="32">
        <v>3.6105379E7</v>
      </c>
      <c r="D140" s="32">
        <v>1.59332503E8</v>
      </c>
      <c r="E140" s="32">
        <v>4565465.0</v>
      </c>
      <c r="F140" s="32">
        <v>1349297.0</v>
      </c>
      <c r="G140" s="32">
        <v>1.0577493E7</v>
      </c>
      <c r="H140" s="32">
        <v>2342033.0</v>
      </c>
      <c r="I140" s="32">
        <v>0.0</v>
      </c>
      <c r="J140" s="32">
        <v>7.032944489E9</v>
      </c>
      <c r="K140" s="32">
        <v>6.96238399E8</v>
      </c>
      <c r="L140" s="32">
        <v>24659.0</v>
      </c>
      <c r="M140" s="31" t="s">
        <v>66</v>
      </c>
      <c r="N140" s="31">
        <v>25.0</v>
      </c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1.44022385E8</v>
      </c>
      <c r="B141" s="31" t="s">
        <v>182</v>
      </c>
      <c r="C141" s="32">
        <v>3.5893573E7</v>
      </c>
      <c r="D141" s="32">
        <v>4.3924458E7</v>
      </c>
      <c r="E141" s="32">
        <v>872957.0</v>
      </c>
      <c r="F141" s="32">
        <v>547201.0</v>
      </c>
      <c r="G141" s="32">
        <v>2911642.0</v>
      </c>
      <c r="H141" s="32">
        <v>636037.0</v>
      </c>
      <c r="I141" s="32">
        <v>0.0</v>
      </c>
      <c r="J141" s="32">
        <v>4.913649522E9</v>
      </c>
      <c r="K141" s="32">
        <v>3.7075938E7</v>
      </c>
      <c r="L141" s="32">
        <v>8840.0</v>
      </c>
      <c r="M141" s="31" t="s">
        <v>66</v>
      </c>
      <c r="N141" s="31">
        <v>25.0</v>
      </c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6.6847214E7</v>
      </c>
      <c r="B142" s="31" t="s">
        <v>159</v>
      </c>
      <c r="C142" s="32">
        <v>3.4434061E7</v>
      </c>
      <c r="D142" s="32">
        <v>1.39537973E8</v>
      </c>
      <c r="E142" s="32">
        <v>7894135.0</v>
      </c>
      <c r="F142" s="32">
        <v>258487.0</v>
      </c>
      <c r="G142" s="32">
        <v>4448253.0</v>
      </c>
      <c r="H142" s="32">
        <v>4679141.0</v>
      </c>
      <c r="I142" s="32">
        <v>0.0</v>
      </c>
      <c r="J142" s="32">
        <v>1.2760828012E10</v>
      </c>
      <c r="K142" s="32">
        <v>1.8084198599E10</v>
      </c>
      <c r="L142" s="32">
        <v>8383.0</v>
      </c>
      <c r="M142" s="31" t="s">
        <v>34</v>
      </c>
      <c r="N142" s="31">
        <v>25.0</v>
      </c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1.44059309E8</v>
      </c>
      <c r="B143" s="31" t="s">
        <v>164</v>
      </c>
      <c r="C143" s="32">
        <v>3.4424759E7</v>
      </c>
      <c r="D143" s="32">
        <v>1.7598036E7</v>
      </c>
      <c r="E143" s="32">
        <v>8743288.0</v>
      </c>
      <c r="F143" s="32">
        <v>557123.0</v>
      </c>
      <c r="G143" s="32">
        <v>628313.0</v>
      </c>
      <c r="H143" s="32">
        <v>269406.0</v>
      </c>
      <c r="I143" s="32">
        <v>0.0</v>
      </c>
      <c r="J143" s="32">
        <v>4.019208055E9</v>
      </c>
      <c r="K143" s="32">
        <v>719086.0</v>
      </c>
      <c r="L143" s="32">
        <v>2298.0</v>
      </c>
      <c r="M143" s="31" t="s">
        <v>165</v>
      </c>
      <c r="N143" s="31">
        <v>25.0</v>
      </c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3">
        <v>1.73621774E8</v>
      </c>
      <c r="B144" s="33" t="s">
        <v>421</v>
      </c>
      <c r="C144" s="34">
        <v>3.3381559E7</v>
      </c>
      <c r="D144" s="34">
        <v>5371343.0</v>
      </c>
      <c r="E144" s="34">
        <v>1065662.0</v>
      </c>
      <c r="F144" s="34">
        <v>253769.0</v>
      </c>
      <c r="G144" s="34">
        <v>215029.0</v>
      </c>
      <c r="H144" s="34">
        <v>107306.0</v>
      </c>
      <c r="I144" s="34">
        <v>0.0</v>
      </c>
      <c r="J144" s="34">
        <v>1.0866788469E10</v>
      </c>
      <c r="K144" s="34">
        <v>2.797921909E9</v>
      </c>
      <c r="L144" s="34">
        <v>5205.0</v>
      </c>
      <c r="M144" s="33" t="s">
        <v>153</v>
      </c>
      <c r="N144" s="33">
        <v>24.0</v>
      </c>
      <c r="O144" s="33"/>
      <c r="P144" s="33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1.81527216E8</v>
      </c>
      <c r="B145" s="31" t="s">
        <v>166</v>
      </c>
      <c r="C145" s="32">
        <v>3.2991688E7</v>
      </c>
      <c r="D145" s="32">
        <v>8713098.0</v>
      </c>
      <c r="E145" s="32">
        <v>3721329.0</v>
      </c>
      <c r="F145" s="32">
        <v>367661.0</v>
      </c>
      <c r="G145" s="32">
        <v>395838.0</v>
      </c>
      <c r="H145" s="32">
        <v>233744.0</v>
      </c>
      <c r="I145" s="32">
        <v>0.0</v>
      </c>
      <c r="J145" s="32">
        <v>3.813781545E9</v>
      </c>
      <c r="K145" s="32">
        <v>0.0</v>
      </c>
      <c r="L145" s="32">
        <v>5276.0</v>
      </c>
      <c r="M145" s="31" t="s">
        <v>165</v>
      </c>
      <c r="N145" s="31">
        <v>25.0</v>
      </c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1.39139149E8</v>
      </c>
      <c r="B146" s="31" t="s">
        <v>172</v>
      </c>
      <c r="C146" s="32">
        <v>3.2343163E7</v>
      </c>
      <c r="D146" s="32">
        <v>3.2066717E8</v>
      </c>
      <c r="E146" s="32">
        <v>5005600.0</v>
      </c>
      <c r="F146" s="32">
        <v>1.3375761E7</v>
      </c>
      <c r="G146" s="32">
        <v>2.1995011E7</v>
      </c>
      <c r="H146" s="32">
        <v>4331928.0</v>
      </c>
      <c r="I146" s="32">
        <v>0.0</v>
      </c>
      <c r="J146" s="32">
        <v>7.594671476E9</v>
      </c>
      <c r="K146" s="32">
        <v>5.98299802E8</v>
      </c>
      <c r="L146" s="32">
        <v>23375.0</v>
      </c>
      <c r="M146" s="31" t="s">
        <v>66</v>
      </c>
      <c r="N146" s="31">
        <v>25.0</v>
      </c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1.72219261E8</v>
      </c>
      <c r="B147" s="31" t="s">
        <v>185</v>
      </c>
      <c r="C147" s="32">
        <v>3.2248722E7</v>
      </c>
      <c r="D147" s="32">
        <v>9107647.0</v>
      </c>
      <c r="E147" s="32">
        <v>4088173.0</v>
      </c>
      <c r="F147" s="32">
        <v>80005.0</v>
      </c>
      <c r="G147" s="32">
        <v>224964.0</v>
      </c>
      <c r="H147" s="32">
        <v>333443.0</v>
      </c>
      <c r="I147" s="32">
        <v>0.0</v>
      </c>
      <c r="J147" s="32">
        <v>4.785449459E9</v>
      </c>
      <c r="K147" s="32">
        <v>2.75E7</v>
      </c>
      <c r="L147" s="32">
        <v>3767.0</v>
      </c>
      <c r="M147" s="31" t="s">
        <v>119</v>
      </c>
      <c r="N147" s="31">
        <v>25.0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1.48890128E8</v>
      </c>
      <c r="B148" s="31" t="s">
        <v>170</v>
      </c>
      <c r="C148" s="32">
        <v>3.181716E7</v>
      </c>
      <c r="D148" s="32">
        <v>2.6185762E7</v>
      </c>
      <c r="E148" s="32">
        <v>4350443.0</v>
      </c>
      <c r="F148" s="32">
        <v>269772.0</v>
      </c>
      <c r="G148" s="32">
        <v>1744020.0</v>
      </c>
      <c r="H148" s="32">
        <v>330142.0</v>
      </c>
      <c r="I148" s="32">
        <v>0.0</v>
      </c>
      <c r="J148" s="32">
        <v>8.227268993E9</v>
      </c>
      <c r="K148" s="32">
        <v>4.011433363E9</v>
      </c>
      <c r="L148" s="32">
        <v>6500.0</v>
      </c>
      <c r="M148" s="31" t="s">
        <v>126</v>
      </c>
      <c r="N148" s="31">
        <v>25.0</v>
      </c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1.44046322E8</v>
      </c>
      <c r="B149" s="31" t="s">
        <v>180</v>
      </c>
      <c r="C149" s="32">
        <v>3.0816983E7</v>
      </c>
      <c r="D149" s="32">
        <v>8494096.0</v>
      </c>
      <c r="E149" s="32">
        <v>3782729.0</v>
      </c>
      <c r="F149" s="32">
        <v>150382.0</v>
      </c>
      <c r="G149" s="32">
        <v>500008.0</v>
      </c>
      <c r="H149" s="32">
        <v>98276.0</v>
      </c>
      <c r="I149" s="32">
        <v>0.0</v>
      </c>
      <c r="J149" s="32">
        <v>4.041409519E9</v>
      </c>
      <c r="K149" s="32">
        <v>0.0</v>
      </c>
      <c r="L149" s="32">
        <v>1807.0</v>
      </c>
      <c r="M149" s="31" t="s">
        <v>373</v>
      </c>
      <c r="N149" s="31">
        <v>25.0</v>
      </c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6.1881204E7</v>
      </c>
      <c r="B150" s="31" t="s">
        <v>178</v>
      </c>
      <c r="C150" s="32">
        <v>3.0740394E7</v>
      </c>
      <c r="D150" s="32">
        <v>6.3055979E7</v>
      </c>
      <c r="E150" s="32">
        <v>1.0290878E7</v>
      </c>
      <c r="F150" s="32">
        <v>729778.0</v>
      </c>
      <c r="G150" s="32">
        <v>1791230.0</v>
      </c>
      <c r="H150" s="32">
        <v>2197294.0</v>
      </c>
      <c r="I150" s="32">
        <v>0.0</v>
      </c>
      <c r="J150" s="32">
        <v>1.7180513743E10</v>
      </c>
      <c r="K150" s="32">
        <v>2.0083637095E10</v>
      </c>
      <c r="L150" s="32">
        <v>11341.0</v>
      </c>
      <c r="M150" s="31" t="s">
        <v>147</v>
      </c>
      <c r="N150" s="31">
        <v>25.0</v>
      </c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1.47116341E8</v>
      </c>
      <c r="B151" s="31" t="s">
        <v>374</v>
      </c>
      <c r="C151" s="32">
        <v>2.9991311E7</v>
      </c>
      <c r="D151" s="32">
        <v>1.3529689E7</v>
      </c>
      <c r="E151" s="32">
        <v>526000.0</v>
      </c>
      <c r="F151" s="32">
        <v>308.0</v>
      </c>
      <c r="G151" s="32">
        <v>807831.0</v>
      </c>
      <c r="H151" s="32">
        <v>271954.0</v>
      </c>
      <c r="I151" s="32">
        <v>0.0</v>
      </c>
      <c r="J151" s="32">
        <v>6.252180686E9</v>
      </c>
      <c r="K151" s="32">
        <v>6.456585973E9</v>
      </c>
      <c r="L151" s="32">
        <v>2894.0</v>
      </c>
      <c r="M151" s="31" t="s">
        <v>165</v>
      </c>
      <c r="N151" s="31">
        <v>25.0</v>
      </c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1.44094596E8</v>
      </c>
      <c r="B152" s="31" t="s">
        <v>189</v>
      </c>
      <c r="C152" s="32">
        <v>2.9989921E7</v>
      </c>
      <c r="D152" s="32">
        <v>8.5944516E7</v>
      </c>
      <c r="E152" s="32">
        <v>3031180.0</v>
      </c>
      <c r="F152" s="32">
        <v>1.3616531E7</v>
      </c>
      <c r="G152" s="32">
        <v>5274309.0</v>
      </c>
      <c r="H152" s="32">
        <v>1435775.0</v>
      </c>
      <c r="I152" s="32">
        <v>0.0</v>
      </c>
      <c r="J152" s="32">
        <v>5.357258082E9</v>
      </c>
      <c r="K152" s="32">
        <v>1.2391473E7</v>
      </c>
      <c r="L152" s="32">
        <v>9785.0</v>
      </c>
      <c r="M152" s="31" t="s">
        <v>66</v>
      </c>
      <c r="N152" s="31">
        <v>25.0</v>
      </c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3">
        <v>1.70449746E8</v>
      </c>
      <c r="B153" s="33" t="s">
        <v>184</v>
      </c>
      <c r="C153" s="34">
        <v>2.977961E7</v>
      </c>
      <c r="D153" s="34">
        <v>5291709.0</v>
      </c>
      <c r="E153" s="34">
        <v>102004.0</v>
      </c>
      <c r="F153" s="34">
        <v>305.0</v>
      </c>
      <c r="G153" s="34">
        <v>362162.0</v>
      </c>
      <c r="H153" s="34">
        <v>82623.0</v>
      </c>
      <c r="I153" s="34">
        <v>0.0</v>
      </c>
      <c r="J153" s="34">
        <v>6.389424317E9</v>
      </c>
      <c r="K153" s="34">
        <v>5.630139492E9</v>
      </c>
      <c r="L153" s="34">
        <v>2813.0</v>
      </c>
      <c r="M153" s="33" t="s">
        <v>153</v>
      </c>
      <c r="N153" s="33">
        <v>23.0</v>
      </c>
      <c r="O153" s="33"/>
      <c r="P153" s="33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1.81734011E8</v>
      </c>
      <c r="B154" s="31" t="s">
        <v>169</v>
      </c>
      <c r="C154" s="32">
        <v>2.9343046E7</v>
      </c>
      <c r="D154" s="32">
        <v>8.4623892E7</v>
      </c>
      <c r="E154" s="32">
        <v>3526936.0</v>
      </c>
      <c r="F154" s="32">
        <v>236563.0</v>
      </c>
      <c r="G154" s="32">
        <v>2817968.0</v>
      </c>
      <c r="H154" s="32">
        <v>2628787.0</v>
      </c>
      <c r="I154" s="32">
        <v>0.0</v>
      </c>
      <c r="J154" s="32">
        <v>8.230725643E9</v>
      </c>
      <c r="K154" s="32">
        <v>2.29070088E8</v>
      </c>
      <c r="L154" s="32">
        <v>12615.0</v>
      </c>
      <c r="M154" s="31" t="s">
        <v>34</v>
      </c>
      <c r="N154" s="31">
        <v>25.0</v>
      </c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1.26732488E8</v>
      </c>
      <c r="B155" s="31" t="s">
        <v>375</v>
      </c>
      <c r="C155" s="32">
        <v>2.934016E7</v>
      </c>
      <c r="D155" s="32">
        <v>7.451252E7</v>
      </c>
      <c r="E155" s="32">
        <v>2711862.0</v>
      </c>
      <c r="F155" s="32">
        <v>1767333.0</v>
      </c>
      <c r="G155" s="32">
        <v>5847614.0</v>
      </c>
      <c r="H155" s="32">
        <v>591565.0</v>
      </c>
      <c r="I155" s="32">
        <v>0.0</v>
      </c>
      <c r="J155" s="32">
        <v>4.868025488E9</v>
      </c>
      <c r="K155" s="32">
        <v>5.51118928E8</v>
      </c>
      <c r="L155" s="32">
        <v>16114.0</v>
      </c>
      <c r="M155" s="31" t="s">
        <v>66</v>
      </c>
      <c r="N155" s="31">
        <v>25.0</v>
      </c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1.38821863E8</v>
      </c>
      <c r="B156" s="31" t="s">
        <v>186</v>
      </c>
      <c r="C156" s="32">
        <v>2.9199138E7</v>
      </c>
      <c r="D156" s="32">
        <v>2.5263796E7</v>
      </c>
      <c r="E156" s="32">
        <v>1656998.0</v>
      </c>
      <c r="F156" s="32">
        <v>397842.0</v>
      </c>
      <c r="G156" s="32">
        <v>2006020.0</v>
      </c>
      <c r="H156" s="32">
        <v>109825.0</v>
      </c>
      <c r="I156" s="32">
        <v>0.0</v>
      </c>
      <c r="J156" s="32">
        <v>4.938925024E9</v>
      </c>
      <c r="K156" s="32">
        <v>6.36064786E8</v>
      </c>
      <c r="L156" s="32">
        <v>8600.0</v>
      </c>
      <c r="M156" s="31" t="s">
        <v>147</v>
      </c>
      <c r="N156" s="31">
        <v>25.0</v>
      </c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6.3513788E7</v>
      </c>
      <c r="B157" s="31" t="s">
        <v>190</v>
      </c>
      <c r="C157" s="32">
        <v>2.829017E7</v>
      </c>
      <c r="D157" s="32">
        <v>3.5067748E7</v>
      </c>
      <c r="E157" s="32">
        <v>8961628.0</v>
      </c>
      <c r="F157" s="32">
        <v>22581.0</v>
      </c>
      <c r="G157" s="32">
        <v>1179501.0</v>
      </c>
      <c r="H157" s="32">
        <v>1151796.0</v>
      </c>
      <c r="I157" s="32">
        <v>0.0</v>
      </c>
      <c r="J157" s="32">
        <v>1.7403607299E10</v>
      </c>
      <c r="K157" s="32">
        <v>1.9831032386E10</v>
      </c>
      <c r="L157" s="32">
        <v>8431.0</v>
      </c>
      <c r="M157" s="31" t="s">
        <v>147</v>
      </c>
      <c r="N157" s="31">
        <v>25.0</v>
      </c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1.58296838E8</v>
      </c>
      <c r="B158" s="31" t="s">
        <v>458</v>
      </c>
      <c r="C158" s="32">
        <v>2.8084627E7</v>
      </c>
      <c r="D158" s="32">
        <v>4715810.0</v>
      </c>
      <c r="E158" s="32">
        <v>262324.0</v>
      </c>
      <c r="F158" s="32">
        <v>146522.0</v>
      </c>
      <c r="G158" s="32">
        <v>393091.0</v>
      </c>
      <c r="H158" s="32">
        <v>9004.0</v>
      </c>
      <c r="I158" s="32">
        <v>0.0</v>
      </c>
      <c r="J158" s="32">
        <v>4.300414332E9</v>
      </c>
      <c r="K158" s="32">
        <v>1.087153533E9</v>
      </c>
      <c r="L158" s="32">
        <v>6440.0</v>
      </c>
      <c r="M158" s="31" t="s">
        <v>66</v>
      </c>
      <c r="N158" s="31">
        <v>25.0</v>
      </c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1.75314255E8</v>
      </c>
      <c r="B159" s="31" t="s">
        <v>179</v>
      </c>
      <c r="C159" s="32">
        <v>2.7294972E7</v>
      </c>
      <c r="D159" s="32">
        <v>2.2789289E7</v>
      </c>
      <c r="E159" s="32">
        <v>3647337.0</v>
      </c>
      <c r="F159" s="32">
        <v>281976.0</v>
      </c>
      <c r="G159" s="32">
        <v>1320134.0</v>
      </c>
      <c r="H159" s="32">
        <v>451278.0</v>
      </c>
      <c r="I159" s="32">
        <v>0.0</v>
      </c>
      <c r="J159" s="32">
        <v>4.087303623E9</v>
      </c>
      <c r="K159" s="32">
        <v>1.22435684E8</v>
      </c>
      <c r="L159" s="32">
        <v>8921.0</v>
      </c>
      <c r="M159" s="31" t="s">
        <v>147</v>
      </c>
      <c r="N159" s="31">
        <v>25.0</v>
      </c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1.71787377E8</v>
      </c>
      <c r="B160" s="31" t="s">
        <v>459</v>
      </c>
      <c r="C160" s="32">
        <v>2.7262774E7</v>
      </c>
      <c r="D160" s="32">
        <v>7.9314084E7</v>
      </c>
      <c r="E160" s="32">
        <v>4668123.0</v>
      </c>
      <c r="F160" s="32">
        <v>4372892.0</v>
      </c>
      <c r="G160" s="32">
        <v>4966875.0</v>
      </c>
      <c r="H160" s="32">
        <v>1060384.0</v>
      </c>
      <c r="I160" s="32">
        <v>0.0</v>
      </c>
      <c r="J160" s="32">
        <v>7.772774321E9</v>
      </c>
      <c r="K160" s="32">
        <v>4.594974562E9</v>
      </c>
      <c r="L160" s="32">
        <v>24697.0</v>
      </c>
      <c r="M160" s="31" t="s">
        <v>66</v>
      </c>
      <c r="N160" s="31">
        <v>25.0</v>
      </c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7.7474302E7</v>
      </c>
      <c r="B161" s="31" t="s">
        <v>195</v>
      </c>
      <c r="C161" s="32">
        <v>2.7208884E7</v>
      </c>
      <c r="D161" s="32">
        <v>3.8220683E7</v>
      </c>
      <c r="E161" s="32">
        <v>4747649.0</v>
      </c>
      <c r="F161" s="32">
        <v>164935.0</v>
      </c>
      <c r="G161" s="32">
        <v>925311.0</v>
      </c>
      <c r="H161" s="32">
        <v>1410586.0</v>
      </c>
      <c r="I161" s="32">
        <v>0.0</v>
      </c>
      <c r="J161" s="32">
        <v>1.4066032465E10</v>
      </c>
      <c r="K161" s="32">
        <v>1.7098971925E10</v>
      </c>
      <c r="L161" s="32">
        <v>9279.0</v>
      </c>
      <c r="M161" s="31" t="s">
        <v>147</v>
      </c>
      <c r="N161" s="31">
        <v>25.0</v>
      </c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1.44104572E8</v>
      </c>
      <c r="B162" s="31" t="s">
        <v>196</v>
      </c>
      <c r="C162" s="32">
        <v>2.7157529E7</v>
      </c>
      <c r="D162" s="32">
        <v>2.5680783E7</v>
      </c>
      <c r="E162" s="32">
        <v>2999268.0</v>
      </c>
      <c r="F162" s="32">
        <v>4109706.0</v>
      </c>
      <c r="G162" s="32">
        <v>1511050.0</v>
      </c>
      <c r="H162" s="32">
        <v>334000.0</v>
      </c>
      <c r="I162" s="32">
        <v>0.0</v>
      </c>
      <c r="J162" s="32">
        <v>2.914147196E9</v>
      </c>
      <c r="K162" s="32">
        <v>8.33264E7</v>
      </c>
      <c r="L162" s="32">
        <v>5951.0</v>
      </c>
      <c r="M162" s="31" t="s">
        <v>119</v>
      </c>
      <c r="N162" s="31">
        <v>25.0</v>
      </c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1.46036286E8</v>
      </c>
      <c r="B163" s="31" t="s">
        <v>205</v>
      </c>
      <c r="C163" s="32">
        <v>2.7105345E7</v>
      </c>
      <c r="D163" s="32">
        <v>4.2109155E7</v>
      </c>
      <c r="E163" s="32">
        <v>4833560.0</v>
      </c>
      <c r="F163" s="32">
        <v>591938.0</v>
      </c>
      <c r="G163" s="32">
        <v>2771473.0</v>
      </c>
      <c r="H163" s="32">
        <v>524455.0</v>
      </c>
      <c r="I163" s="32">
        <v>0.0</v>
      </c>
      <c r="J163" s="32">
        <v>2.018730118E10</v>
      </c>
      <c r="K163" s="32">
        <v>1.1736223974E10</v>
      </c>
      <c r="L163" s="32">
        <v>5719.0</v>
      </c>
      <c r="M163" s="31" t="s">
        <v>153</v>
      </c>
      <c r="N163" s="31">
        <v>25.0</v>
      </c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1.7395388E8</v>
      </c>
      <c r="B164" s="31" t="s">
        <v>422</v>
      </c>
      <c r="C164" s="32">
        <v>2.7054676E7</v>
      </c>
      <c r="D164" s="32">
        <v>1648460.0</v>
      </c>
      <c r="E164" s="32">
        <v>1653283.0</v>
      </c>
      <c r="F164" s="32">
        <v>0.0</v>
      </c>
      <c r="G164" s="32">
        <v>106204.0</v>
      </c>
      <c r="H164" s="32">
        <v>28128.0</v>
      </c>
      <c r="I164" s="32">
        <v>0.0</v>
      </c>
      <c r="J164" s="32">
        <v>4.881220625E9</v>
      </c>
      <c r="K164" s="32">
        <v>3.346021861E9</v>
      </c>
      <c r="L164" s="32">
        <v>2414.0</v>
      </c>
      <c r="M164" s="31" t="s">
        <v>147</v>
      </c>
      <c r="N164" s="31">
        <v>25.0</v>
      </c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1.1363981E7</v>
      </c>
      <c r="B165" s="31" t="s">
        <v>188</v>
      </c>
      <c r="C165" s="32">
        <v>2.7015139E7</v>
      </c>
      <c r="D165" s="32">
        <v>2.05426442E8</v>
      </c>
      <c r="E165" s="32">
        <v>8381484.0</v>
      </c>
      <c r="F165" s="32">
        <v>883504.0</v>
      </c>
      <c r="G165" s="32">
        <v>7786499.0</v>
      </c>
      <c r="H165" s="32">
        <v>6260570.0</v>
      </c>
      <c r="I165" s="32">
        <v>0.0</v>
      </c>
      <c r="J165" s="32">
        <v>1.075782474E10</v>
      </c>
      <c r="K165" s="32">
        <v>1.478163898E10</v>
      </c>
      <c r="L165" s="32">
        <v>11988.0</v>
      </c>
      <c r="M165" s="31" t="s">
        <v>34</v>
      </c>
      <c r="N165" s="31">
        <v>25.0</v>
      </c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7.9647211E7</v>
      </c>
      <c r="B166" s="31" t="s">
        <v>191</v>
      </c>
      <c r="C166" s="32">
        <v>2.7014215E7</v>
      </c>
      <c r="D166" s="32">
        <v>3.8595397E7</v>
      </c>
      <c r="E166" s="32">
        <v>1940975.0</v>
      </c>
      <c r="F166" s="32">
        <v>4479.0</v>
      </c>
      <c r="G166" s="32">
        <v>1218274.0</v>
      </c>
      <c r="H166" s="32">
        <v>1318207.0</v>
      </c>
      <c r="I166" s="32">
        <v>0.0</v>
      </c>
      <c r="J166" s="32">
        <v>6.331724522E9</v>
      </c>
      <c r="K166" s="32">
        <v>1.0628320798E10</v>
      </c>
      <c r="L166" s="32">
        <v>3530.0</v>
      </c>
      <c r="M166" s="31" t="s">
        <v>34</v>
      </c>
      <c r="N166" s="31">
        <v>25.0</v>
      </c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1.44103022E8</v>
      </c>
      <c r="B167" s="31" t="s">
        <v>198</v>
      </c>
      <c r="C167" s="32">
        <v>2.6445367E7</v>
      </c>
      <c r="D167" s="32">
        <v>4017519.0</v>
      </c>
      <c r="E167" s="32">
        <v>640494.0</v>
      </c>
      <c r="F167" s="32">
        <v>263588.0</v>
      </c>
      <c r="G167" s="32">
        <v>238724.0</v>
      </c>
      <c r="H167" s="32">
        <v>0.0</v>
      </c>
      <c r="I167" s="32">
        <v>0.0</v>
      </c>
      <c r="J167" s="32">
        <v>1.52701049E9</v>
      </c>
      <c r="K167" s="32">
        <v>3428957.0</v>
      </c>
      <c r="L167" s="32">
        <v>1226.0</v>
      </c>
      <c r="M167" s="31" t="s">
        <v>66</v>
      </c>
      <c r="N167" s="31">
        <v>25.0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1.45295709E8</v>
      </c>
      <c r="B168" s="31" t="s">
        <v>423</v>
      </c>
      <c r="C168" s="32">
        <v>2.6289146E7</v>
      </c>
      <c r="D168" s="32">
        <v>3.3008222E7</v>
      </c>
      <c r="E168" s="32">
        <v>2275922.0</v>
      </c>
      <c r="F168" s="32">
        <v>3893494.0</v>
      </c>
      <c r="G168" s="32">
        <v>1891027.0</v>
      </c>
      <c r="H168" s="32">
        <v>389473.0</v>
      </c>
      <c r="I168" s="32">
        <v>0.0</v>
      </c>
      <c r="J168" s="32">
        <v>2.75326985E9</v>
      </c>
      <c r="K168" s="32">
        <v>8.1594054E7</v>
      </c>
      <c r="L168" s="32">
        <v>7474.0</v>
      </c>
      <c r="M168" s="31" t="s">
        <v>66</v>
      </c>
      <c r="N168" s="31">
        <v>25.0</v>
      </c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1.57398284E8</v>
      </c>
      <c r="B169" s="31" t="s">
        <v>380</v>
      </c>
      <c r="C169" s="32">
        <v>2.5942593E7</v>
      </c>
      <c r="D169" s="32">
        <v>4812381.0</v>
      </c>
      <c r="E169" s="32">
        <v>1021778.0</v>
      </c>
      <c r="F169" s="32">
        <v>124957.0</v>
      </c>
      <c r="G169" s="32">
        <v>318827.0</v>
      </c>
      <c r="H169" s="32">
        <v>52796.0</v>
      </c>
      <c r="I169" s="32">
        <v>0.0</v>
      </c>
      <c r="J169" s="32">
        <v>1.3595138343E10</v>
      </c>
      <c r="K169" s="32">
        <v>6.116E9</v>
      </c>
      <c r="L169" s="32">
        <v>4321.0</v>
      </c>
      <c r="M169" s="31" t="s">
        <v>94</v>
      </c>
      <c r="N169" s="31">
        <v>25.0</v>
      </c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1.44004212E8</v>
      </c>
      <c r="B170" s="31" t="s">
        <v>376</v>
      </c>
      <c r="C170" s="32">
        <v>2.5748623E7</v>
      </c>
      <c r="D170" s="32">
        <v>1.3461537E7</v>
      </c>
      <c r="E170" s="32">
        <v>1333055.0</v>
      </c>
      <c r="F170" s="32">
        <v>52235.0</v>
      </c>
      <c r="G170" s="32">
        <v>966880.0</v>
      </c>
      <c r="H170" s="32">
        <v>183614.0</v>
      </c>
      <c r="I170" s="32">
        <v>0.0</v>
      </c>
      <c r="J170" s="32">
        <v>2.82177E9</v>
      </c>
      <c r="K170" s="32">
        <v>1.0329075E7</v>
      </c>
      <c r="L170" s="32">
        <v>4032.0</v>
      </c>
      <c r="M170" s="31" t="s">
        <v>426</v>
      </c>
      <c r="N170" s="31">
        <v>25.0</v>
      </c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3">
        <v>7.1189562E7</v>
      </c>
      <c r="B171" s="33" t="s">
        <v>199</v>
      </c>
      <c r="C171" s="34">
        <v>2.5546484E7</v>
      </c>
      <c r="D171" s="34">
        <v>2408509.0</v>
      </c>
      <c r="E171" s="34">
        <v>823250.0</v>
      </c>
      <c r="F171" s="34">
        <v>18168.0</v>
      </c>
      <c r="G171" s="34">
        <v>172952.0</v>
      </c>
      <c r="H171" s="34">
        <v>26188.0</v>
      </c>
      <c r="I171" s="34">
        <v>0.0</v>
      </c>
      <c r="J171" s="34">
        <v>1.3607152358E10</v>
      </c>
      <c r="K171" s="34">
        <v>1.5124513151E10</v>
      </c>
      <c r="L171" s="34">
        <v>3212.0</v>
      </c>
      <c r="M171" s="33" t="s">
        <v>153</v>
      </c>
      <c r="N171" s="33">
        <v>24.0</v>
      </c>
      <c r="O171" s="33"/>
      <c r="P171" s="33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6.1106312E7</v>
      </c>
      <c r="B172" s="31" t="s">
        <v>201</v>
      </c>
      <c r="C172" s="32">
        <v>2.5245254E7</v>
      </c>
      <c r="D172" s="32">
        <v>1.36987674E8</v>
      </c>
      <c r="E172" s="32">
        <v>6457701.0</v>
      </c>
      <c r="F172" s="32">
        <v>1064273.0</v>
      </c>
      <c r="G172" s="32">
        <v>8566764.0</v>
      </c>
      <c r="H172" s="32">
        <v>1631477.0</v>
      </c>
      <c r="I172" s="32">
        <v>0.0</v>
      </c>
      <c r="J172" s="32">
        <v>1.5402487203E10</v>
      </c>
      <c r="K172" s="32">
        <v>1.6233438464E10</v>
      </c>
      <c r="L172" s="32">
        <v>12394.0</v>
      </c>
      <c r="M172" s="31" t="s">
        <v>34</v>
      </c>
      <c r="N172" s="31">
        <v>25.0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1.58265064E8</v>
      </c>
      <c r="B173" s="31" t="s">
        <v>200</v>
      </c>
      <c r="C173" s="32">
        <v>2.5166728E7</v>
      </c>
      <c r="D173" s="32">
        <v>1.1312096E7</v>
      </c>
      <c r="E173" s="32">
        <v>1040720.0</v>
      </c>
      <c r="F173" s="32">
        <v>238681.0</v>
      </c>
      <c r="G173" s="32">
        <v>435809.0</v>
      </c>
      <c r="H173" s="32">
        <v>209818.0</v>
      </c>
      <c r="I173" s="32">
        <v>0.0</v>
      </c>
      <c r="J173" s="32">
        <v>3.783242692E9</v>
      </c>
      <c r="K173" s="32">
        <v>2.856723815E9</v>
      </c>
      <c r="L173" s="32">
        <v>8676.0</v>
      </c>
      <c r="M173" s="31" t="s">
        <v>147</v>
      </c>
      <c r="N173" s="31">
        <v>25.0</v>
      </c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1.66394798E8</v>
      </c>
      <c r="B174" s="31" t="s">
        <v>202</v>
      </c>
      <c r="C174" s="32">
        <v>2.509501E7</v>
      </c>
      <c r="D174" s="32">
        <v>4.8823301E7</v>
      </c>
      <c r="E174" s="32">
        <v>2377006.0</v>
      </c>
      <c r="F174" s="32">
        <v>567889.0</v>
      </c>
      <c r="G174" s="32">
        <v>3113738.0</v>
      </c>
      <c r="H174" s="32">
        <v>686427.0</v>
      </c>
      <c r="I174" s="32">
        <v>0.0</v>
      </c>
      <c r="J174" s="32">
        <v>6.236770071E9</v>
      </c>
      <c r="K174" s="32">
        <v>1.563279624E10</v>
      </c>
      <c r="L174" s="32">
        <v>12285.0</v>
      </c>
      <c r="M174" s="31" t="s">
        <v>34</v>
      </c>
      <c r="N174" s="31">
        <v>25.0</v>
      </c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1.45035808E8</v>
      </c>
      <c r="B175" s="31" t="s">
        <v>377</v>
      </c>
      <c r="C175" s="32">
        <v>2.3587776E7</v>
      </c>
      <c r="D175" s="32">
        <v>8082943.0</v>
      </c>
      <c r="E175" s="32">
        <v>3793049.0</v>
      </c>
      <c r="F175" s="32">
        <v>173077.0</v>
      </c>
      <c r="G175" s="32">
        <v>262708.0</v>
      </c>
      <c r="H175" s="32">
        <v>230216.0</v>
      </c>
      <c r="I175" s="32">
        <v>0.0</v>
      </c>
      <c r="J175" s="32">
        <v>9.21087513E8</v>
      </c>
      <c r="K175" s="32">
        <v>2.7480865E7</v>
      </c>
      <c r="L175" s="32">
        <v>4459.0</v>
      </c>
      <c r="M175" s="31" t="s">
        <v>165</v>
      </c>
      <c r="N175" s="31">
        <v>25.0</v>
      </c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3">
        <v>1.85391227E8</v>
      </c>
      <c r="B176" s="33" t="s">
        <v>207</v>
      </c>
      <c r="C176" s="34">
        <v>2.3573378E7</v>
      </c>
      <c r="D176" s="34">
        <v>4933077.0</v>
      </c>
      <c r="E176" s="34">
        <v>964026.0</v>
      </c>
      <c r="F176" s="34">
        <v>186.0</v>
      </c>
      <c r="G176" s="34">
        <v>214.0</v>
      </c>
      <c r="H176" s="34">
        <v>246545.0</v>
      </c>
      <c r="I176" s="34">
        <v>0.0</v>
      </c>
      <c r="J176" s="34">
        <v>7.924265985E9</v>
      </c>
      <c r="K176" s="34">
        <v>5.777495661E9</v>
      </c>
      <c r="L176" s="34">
        <v>2468.0</v>
      </c>
      <c r="M176" s="33" t="s">
        <v>94</v>
      </c>
      <c r="N176" s="33">
        <v>24.0</v>
      </c>
      <c r="O176" s="33"/>
      <c r="P176" s="33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7.7531879E7</v>
      </c>
      <c r="B177" s="31" t="s">
        <v>460</v>
      </c>
      <c r="C177" s="32">
        <v>2.353366E7</v>
      </c>
      <c r="D177" s="32">
        <v>4537895.0</v>
      </c>
      <c r="E177" s="32">
        <v>76522.0</v>
      </c>
      <c r="F177" s="32">
        <v>36.0</v>
      </c>
      <c r="G177" s="32">
        <v>104025.0</v>
      </c>
      <c r="H177" s="32">
        <v>174604.0</v>
      </c>
      <c r="I177" s="32">
        <v>0.0</v>
      </c>
      <c r="J177" s="32">
        <v>9.163177023E9</v>
      </c>
      <c r="K177" s="32">
        <v>1.1235078215E10</v>
      </c>
      <c r="L177" s="32">
        <v>3925.0</v>
      </c>
      <c r="M177" s="31" t="s">
        <v>147</v>
      </c>
      <c r="N177" s="31">
        <v>25.0</v>
      </c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3">
        <v>4.8558795E7</v>
      </c>
      <c r="B178" s="33" t="s">
        <v>208</v>
      </c>
      <c r="C178" s="34">
        <v>2.3394955E7</v>
      </c>
      <c r="D178" s="34">
        <v>1928497.0</v>
      </c>
      <c r="E178" s="34">
        <v>461565.0</v>
      </c>
      <c r="F178" s="34">
        <v>485.0</v>
      </c>
      <c r="G178" s="34">
        <v>141444.0</v>
      </c>
      <c r="H178" s="34">
        <v>25698.0</v>
      </c>
      <c r="I178" s="34">
        <v>0.0</v>
      </c>
      <c r="J178" s="34">
        <v>1.2216870873E10</v>
      </c>
      <c r="K178" s="34">
        <v>1.559696354E10</v>
      </c>
      <c r="L178" s="34">
        <v>2759.0</v>
      </c>
      <c r="M178" s="33" t="s">
        <v>153</v>
      </c>
      <c r="N178" s="33">
        <v>24.0</v>
      </c>
      <c r="O178" s="33"/>
      <c r="P178" s="33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1.48355572E8</v>
      </c>
      <c r="B179" s="31" t="s">
        <v>209</v>
      </c>
      <c r="C179" s="32">
        <v>2.3157446E7</v>
      </c>
      <c r="D179" s="32">
        <v>9182905.0</v>
      </c>
      <c r="E179" s="32">
        <v>2301777.0</v>
      </c>
      <c r="F179" s="32">
        <v>57025.0</v>
      </c>
      <c r="G179" s="32">
        <v>645107.0</v>
      </c>
      <c r="H179" s="32">
        <v>114714.0</v>
      </c>
      <c r="I179" s="32">
        <v>0.0</v>
      </c>
      <c r="J179" s="32">
        <v>2.354297223E9</v>
      </c>
      <c r="K179" s="32">
        <v>2.23164667E8</v>
      </c>
      <c r="L179" s="32">
        <v>1682.0</v>
      </c>
      <c r="M179" s="31" t="s">
        <v>147</v>
      </c>
      <c r="N179" s="31">
        <v>25.0</v>
      </c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1">
        <v>1.90550149E8</v>
      </c>
      <c r="B180" s="31" t="s">
        <v>425</v>
      </c>
      <c r="C180" s="32">
        <v>2.2930329E7</v>
      </c>
      <c r="D180" s="32">
        <v>3.7364211E7</v>
      </c>
      <c r="E180" s="32">
        <v>2949176.0</v>
      </c>
      <c r="F180" s="32">
        <v>3459476.0</v>
      </c>
      <c r="G180" s="32">
        <v>1868115.0</v>
      </c>
      <c r="H180" s="32">
        <v>343797.0</v>
      </c>
      <c r="I180" s="32">
        <v>0.0</v>
      </c>
      <c r="J180" s="32">
        <v>2.22475034E9</v>
      </c>
      <c r="K180" s="32">
        <v>1.32787435E8</v>
      </c>
      <c r="L180" s="32">
        <v>6495.0</v>
      </c>
      <c r="M180" s="31" t="s">
        <v>147</v>
      </c>
      <c r="N180" s="31">
        <v>25.0</v>
      </c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1.74530133E8</v>
      </c>
      <c r="B181" s="31" t="s">
        <v>214</v>
      </c>
      <c r="C181" s="32">
        <v>2.2898241E7</v>
      </c>
      <c r="D181" s="32">
        <v>2253561.0</v>
      </c>
      <c r="E181" s="32">
        <v>331940.0</v>
      </c>
      <c r="F181" s="32">
        <v>3127.0</v>
      </c>
      <c r="G181" s="32">
        <v>27691.0</v>
      </c>
      <c r="H181" s="32">
        <v>96770.0</v>
      </c>
      <c r="I181" s="32">
        <v>0.0</v>
      </c>
      <c r="J181" s="32">
        <v>1.6135381419E10</v>
      </c>
      <c r="K181" s="32">
        <v>1.3337260959E10</v>
      </c>
      <c r="L181" s="32">
        <v>3673.0</v>
      </c>
      <c r="M181" s="31" t="s">
        <v>165</v>
      </c>
      <c r="N181" s="31">
        <v>25.0</v>
      </c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1.1279231E8</v>
      </c>
      <c r="B182" s="31" t="s">
        <v>197</v>
      </c>
      <c r="C182" s="32">
        <v>2.2911888E7</v>
      </c>
      <c r="D182" s="32">
        <v>6.2268691E7</v>
      </c>
      <c r="E182" s="32">
        <v>6139427.0</v>
      </c>
      <c r="F182" s="32">
        <v>979015.0</v>
      </c>
      <c r="G182" s="32">
        <v>2324271.0</v>
      </c>
      <c r="H182" s="32">
        <v>1791954.0</v>
      </c>
      <c r="I182" s="32">
        <v>0.0</v>
      </c>
      <c r="J182" s="32">
        <v>3.1419674274E10</v>
      </c>
      <c r="K182" s="32">
        <v>3.4355762438E10</v>
      </c>
      <c r="L182" s="32">
        <v>12351.0</v>
      </c>
      <c r="M182" s="31" t="s">
        <v>34</v>
      </c>
      <c r="N182" s="31">
        <v>25.0</v>
      </c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1.44048678E8</v>
      </c>
      <c r="B183" s="31" t="s">
        <v>378</v>
      </c>
      <c r="C183" s="32">
        <v>2.28695E7</v>
      </c>
      <c r="D183" s="32">
        <v>2.9011803E7</v>
      </c>
      <c r="E183" s="32">
        <v>1132703.0</v>
      </c>
      <c r="F183" s="32">
        <v>1935146.0</v>
      </c>
      <c r="G183" s="32">
        <v>2138865.0</v>
      </c>
      <c r="H183" s="32">
        <v>118356.0</v>
      </c>
      <c r="I183" s="32">
        <v>0.0</v>
      </c>
      <c r="J183" s="32">
        <v>3.112206198E9</v>
      </c>
      <c r="K183" s="32">
        <v>4727048.0</v>
      </c>
      <c r="L183" s="32">
        <v>8309.0</v>
      </c>
      <c r="M183" s="31" t="s">
        <v>66</v>
      </c>
      <c r="N183" s="31">
        <v>25.0</v>
      </c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1.44112459E8</v>
      </c>
      <c r="B184" s="31" t="s">
        <v>379</v>
      </c>
      <c r="C184" s="32">
        <v>2.280237E7</v>
      </c>
      <c r="D184" s="32">
        <v>696518.0</v>
      </c>
      <c r="E184" s="32">
        <v>49469.0</v>
      </c>
      <c r="F184" s="32">
        <v>6563.0</v>
      </c>
      <c r="G184" s="32">
        <v>9190.0</v>
      </c>
      <c r="H184" s="32">
        <v>0.0</v>
      </c>
      <c r="I184" s="32">
        <v>0.0</v>
      </c>
      <c r="J184" s="32">
        <v>1.962412431E9</v>
      </c>
      <c r="K184" s="32">
        <v>0.0</v>
      </c>
      <c r="L184" s="32">
        <v>1289.0</v>
      </c>
      <c r="M184" s="31" t="s">
        <v>66</v>
      </c>
      <c r="N184" s="31">
        <v>25.0</v>
      </c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1">
        <v>1.440086E8</v>
      </c>
      <c r="B185" s="31" t="s">
        <v>461</v>
      </c>
      <c r="C185" s="32">
        <v>2.2693036E7</v>
      </c>
      <c r="D185" s="32">
        <v>4418410.0</v>
      </c>
      <c r="E185" s="32">
        <v>2510557.0</v>
      </c>
      <c r="F185" s="32">
        <v>27133.0</v>
      </c>
      <c r="G185" s="32">
        <v>194283.0</v>
      </c>
      <c r="H185" s="32">
        <v>85372.0</v>
      </c>
      <c r="I185" s="32">
        <v>0.0</v>
      </c>
      <c r="J185" s="32">
        <v>3.961928933E9</v>
      </c>
      <c r="K185" s="32">
        <v>0.0</v>
      </c>
      <c r="L185" s="32">
        <v>3897.0</v>
      </c>
      <c r="M185" s="31" t="s">
        <v>66</v>
      </c>
      <c r="N185" s="31">
        <v>25.0</v>
      </c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1.44034173E8</v>
      </c>
      <c r="B186" s="31" t="s">
        <v>427</v>
      </c>
      <c r="C186" s="32">
        <v>2.2687202E7</v>
      </c>
      <c r="D186" s="32">
        <v>5.8304964E7</v>
      </c>
      <c r="E186" s="32">
        <v>2384004.0</v>
      </c>
      <c r="F186" s="32">
        <v>2479362.0</v>
      </c>
      <c r="G186" s="32">
        <v>2537151.0</v>
      </c>
      <c r="H186" s="32">
        <v>327251.0</v>
      </c>
      <c r="I186" s="32">
        <v>0.0</v>
      </c>
      <c r="J186" s="32">
        <v>3.646994224E9</v>
      </c>
      <c r="K186" s="32">
        <v>73477.0</v>
      </c>
      <c r="L186" s="32">
        <v>12472.0</v>
      </c>
      <c r="M186" s="31" t="s">
        <v>66</v>
      </c>
      <c r="N186" s="31">
        <v>25.0</v>
      </c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1.71556791E8</v>
      </c>
      <c r="B187" s="31" t="s">
        <v>462</v>
      </c>
      <c r="C187" s="32">
        <v>2.2395266E7</v>
      </c>
      <c r="D187" s="32">
        <v>4949159.0</v>
      </c>
      <c r="E187" s="32">
        <v>626101.0</v>
      </c>
      <c r="F187" s="32">
        <v>25466.0</v>
      </c>
      <c r="G187" s="32">
        <v>210000.0</v>
      </c>
      <c r="H187" s="32">
        <v>116244.0</v>
      </c>
      <c r="I187" s="32">
        <v>0.0</v>
      </c>
      <c r="J187" s="32">
        <v>8.002301941E9</v>
      </c>
      <c r="K187" s="32">
        <v>1.4361031366E10</v>
      </c>
      <c r="L187" s="32">
        <v>3559.0</v>
      </c>
      <c r="M187" s="31" t="s">
        <v>147</v>
      </c>
      <c r="N187" s="31">
        <v>25.0</v>
      </c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3">
        <v>1.72587132E8</v>
      </c>
      <c r="B188" s="33" t="s">
        <v>212</v>
      </c>
      <c r="C188" s="34">
        <v>2.2038357E7</v>
      </c>
      <c r="D188" s="34">
        <v>4830923.0</v>
      </c>
      <c r="E188" s="34">
        <v>1608532.0</v>
      </c>
      <c r="F188" s="34">
        <v>280268.0</v>
      </c>
      <c r="G188" s="34">
        <v>383297.0</v>
      </c>
      <c r="H188" s="34">
        <v>31497.0</v>
      </c>
      <c r="I188" s="34">
        <v>0.0</v>
      </c>
      <c r="J188" s="34">
        <v>1.3089069974E10</v>
      </c>
      <c r="K188" s="34">
        <v>1.2811436288E10</v>
      </c>
      <c r="L188" s="34">
        <v>4124.0</v>
      </c>
      <c r="M188" s="33" t="s">
        <v>94</v>
      </c>
      <c r="N188" s="33">
        <v>23.0</v>
      </c>
      <c r="O188" s="33"/>
      <c r="P188" s="33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3">
        <v>9.716129E7</v>
      </c>
      <c r="B189" s="33" t="s">
        <v>216</v>
      </c>
      <c r="C189" s="34">
        <v>2.1909254E7</v>
      </c>
      <c r="D189" s="34">
        <v>663448.0</v>
      </c>
      <c r="E189" s="34">
        <v>580431.0</v>
      </c>
      <c r="F189" s="34">
        <v>3771.0</v>
      </c>
      <c r="G189" s="34">
        <v>10201.0</v>
      </c>
      <c r="H189" s="34">
        <v>27973.0</v>
      </c>
      <c r="I189" s="34">
        <v>0.0</v>
      </c>
      <c r="J189" s="34">
        <v>4.22891619E9</v>
      </c>
      <c r="K189" s="34">
        <v>1.480147062E9</v>
      </c>
      <c r="L189" s="34">
        <v>721.0</v>
      </c>
      <c r="M189" s="33" t="s">
        <v>147</v>
      </c>
      <c r="N189" s="33">
        <v>24.0</v>
      </c>
      <c r="O189" s="33"/>
      <c r="P189" s="33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1.24153706E8</v>
      </c>
      <c r="B190" s="31" t="s">
        <v>463</v>
      </c>
      <c r="C190" s="32">
        <v>2.1732274E7</v>
      </c>
      <c r="D190" s="32">
        <v>5922068.0</v>
      </c>
      <c r="E190" s="32">
        <v>1692075.0</v>
      </c>
      <c r="F190" s="32">
        <v>330724.0</v>
      </c>
      <c r="G190" s="32">
        <v>470573.0</v>
      </c>
      <c r="H190" s="32">
        <v>52787.0</v>
      </c>
      <c r="I190" s="32">
        <v>0.0</v>
      </c>
      <c r="J190" s="32">
        <v>5.124839538E9</v>
      </c>
      <c r="K190" s="32">
        <v>5.642037005E9</v>
      </c>
      <c r="L190" s="32">
        <v>10180.0</v>
      </c>
      <c r="M190" s="31" t="s">
        <v>153</v>
      </c>
      <c r="N190" s="31">
        <v>25.0</v>
      </c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3">
        <v>1.75706269E8</v>
      </c>
      <c r="B191" s="33" t="s">
        <v>219</v>
      </c>
      <c r="C191" s="34">
        <v>2.1564104E7</v>
      </c>
      <c r="D191" s="34">
        <v>8860602.0</v>
      </c>
      <c r="E191" s="34">
        <v>1519238.0</v>
      </c>
      <c r="F191" s="34">
        <v>21032.0</v>
      </c>
      <c r="G191" s="34">
        <v>813972.0</v>
      </c>
      <c r="H191" s="34">
        <v>23044.0</v>
      </c>
      <c r="I191" s="34">
        <v>0.0</v>
      </c>
      <c r="J191" s="34">
        <v>2.912283831E9</v>
      </c>
      <c r="K191" s="34">
        <v>3.22468511E8</v>
      </c>
      <c r="L191" s="34">
        <v>1071.0</v>
      </c>
      <c r="M191" s="33" t="s">
        <v>220</v>
      </c>
      <c r="N191" s="33">
        <v>24.0</v>
      </c>
      <c r="O191" s="33"/>
      <c r="P191" s="33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6.9795161E7</v>
      </c>
      <c r="B192" s="31" t="s">
        <v>218</v>
      </c>
      <c r="C192" s="32">
        <v>2.1233697E7</v>
      </c>
      <c r="D192" s="32">
        <v>1005744.0</v>
      </c>
      <c r="E192" s="32">
        <v>680216.0</v>
      </c>
      <c r="F192" s="32">
        <v>3542.0</v>
      </c>
      <c r="G192" s="32">
        <v>22474.0</v>
      </c>
      <c r="H192" s="32">
        <v>38910.0</v>
      </c>
      <c r="I192" s="32">
        <v>0.0</v>
      </c>
      <c r="J192" s="32">
        <v>5.243793361E9</v>
      </c>
      <c r="K192" s="32">
        <v>2.966813705E9</v>
      </c>
      <c r="L192" s="32">
        <v>2145.0</v>
      </c>
      <c r="M192" s="31" t="s">
        <v>147</v>
      </c>
      <c r="N192" s="31">
        <v>25.0</v>
      </c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3">
        <v>1.72730913E8</v>
      </c>
      <c r="B193" s="33" t="s">
        <v>221</v>
      </c>
      <c r="C193" s="34">
        <v>2.1025259E7</v>
      </c>
      <c r="D193" s="34">
        <v>-1.0</v>
      </c>
      <c r="E193" s="34">
        <v>0.0</v>
      </c>
      <c r="F193" s="34">
        <v>0.0</v>
      </c>
      <c r="G193" s="34">
        <v>0.0</v>
      </c>
      <c r="H193" s="34">
        <v>0.0</v>
      </c>
      <c r="I193" s="34">
        <v>0.0</v>
      </c>
      <c r="J193" s="34">
        <v>5.044305253E9</v>
      </c>
      <c r="K193" s="34">
        <v>1.54E7</v>
      </c>
      <c r="L193" s="34">
        <v>1755.0</v>
      </c>
      <c r="M193" s="33" t="s">
        <v>153</v>
      </c>
      <c r="N193" s="33">
        <v>23.0</v>
      </c>
      <c r="O193" s="33"/>
      <c r="P193" s="33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1">
        <v>1.58392134E8</v>
      </c>
      <c r="B194" s="31" t="s">
        <v>428</v>
      </c>
      <c r="C194" s="32">
        <v>2.102381E7</v>
      </c>
      <c r="D194" s="32">
        <v>4.6582282E7</v>
      </c>
      <c r="E194" s="32">
        <v>3322532.0</v>
      </c>
      <c r="F194" s="32">
        <v>1517402.0</v>
      </c>
      <c r="G194" s="32">
        <v>2548069.0</v>
      </c>
      <c r="H194" s="32">
        <v>763132.0</v>
      </c>
      <c r="I194" s="32">
        <v>0.0</v>
      </c>
      <c r="J194" s="32">
        <v>3.915433677E9</v>
      </c>
      <c r="K194" s="32">
        <v>2.848249361E9</v>
      </c>
      <c r="L194" s="32">
        <v>13818.0</v>
      </c>
      <c r="M194" s="31" t="s">
        <v>34</v>
      </c>
      <c r="N194" s="31">
        <v>25.0</v>
      </c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3">
        <v>1.73351722E8</v>
      </c>
      <c r="B195" s="33" t="s">
        <v>236</v>
      </c>
      <c r="C195" s="34">
        <v>2.0787453E7</v>
      </c>
      <c r="D195" s="34">
        <v>7033148.0</v>
      </c>
      <c r="E195" s="34">
        <v>471728.0</v>
      </c>
      <c r="F195" s="34">
        <v>323190.0</v>
      </c>
      <c r="G195" s="34">
        <v>336667.0</v>
      </c>
      <c r="H195" s="34">
        <v>180092.0</v>
      </c>
      <c r="I195" s="34">
        <v>0.0</v>
      </c>
      <c r="J195" s="34">
        <v>1.0302170516E10</v>
      </c>
      <c r="K195" s="34">
        <v>6.658700087E9</v>
      </c>
      <c r="L195" s="34">
        <v>1920.0</v>
      </c>
      <c r="M195" s="33" t="s">
        <v>153</v>
      </c>
      <c r="N195" s="33">
        <v>24.0</v>
      </c>
      <c r="O195" s="33"/>
      <c r="P195" s="33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1.4586076E8</v>
      </c>
      <c r="B196" s="31" t="s">
        <v>223</v>
      </c>
      <c r="C196" s="32">
        <v>2.0716585E7</v>
      </c>
      <c r="D196" s="32">
        <v>2503746.0</v>
      </c>
      <c r="E196" s="32">
        <v>641516.0</v>
      </c>
      <c r="F196" s="32">
        <v>196473.0</v>
      </c>
      <c r="G196" s="32">
        <v>204412.0</v>
      </c>
      <c r="H196" s="32">
        <v>0.0</v>
      </c>
      <c r="I196" s="32">
        <v>0.0</v>
      </c>
      <c r="J196" s="32">
        <v>7.392116946E9</v>
      </c>
      <c r="K196" s="32">
        <v>7.106242499E9</v>
      </c>
      <c r="L196" s="32">
        <v>3175.0</v>
      </c>
      <c r="M196" s="31" t="s">
        <v>153</v>
      </c>
      <c r="N196" s="31">
        <v>25.0</v>
      </c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3">
        <v>1.71989291E8</v>
      </c>
      <c r="B197" s="33" t="s">
        <v>224</v>
      </c>
      <c r="C197" s="34">
        <v>2.0712745E7</v>
      </c>
      <c r="D197" s="34">
        <v>1953757.0</v>
      </c>
      <c r="E197" s="34">
        <v>1329583.0</v>
      </c>
      <c r="F197" s="34">
        <v>1398.0</v>
      </c>
      <c r="G197" s="34">
        <v>2019.0</v>
      </c>
      <c r="H197" s="34">
        <v>94344.0</v>
      </c>
      <c r="I197" s="34">
        <v>0.0</v>
      </c>
      <c r="J197" s="34">
        <v>1.0055401441E10</v>
      </c>
      <c r="K197" s="34">
        <v>9.45522926E9</v>
      </c>
      <c r="L197" s="34">
        <v>3498.0</v>
      </c>
      <c r="M197" s="33" t="s">
        <v>153</v>
      </c>
      <c r="N197" s="33">
        <v>24.0</v>
      </c>
      <c r="O197" s="33"/>
      <c r="P197" s="33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1.72508036E8</v>
      </c>
      <c r="B198" s="31" t="s">
        <v>213</v>
      </c>
      <c r="C198" s="32">
        <v>2.0676692E7</v>
      </c>
      <c r="D198" s="32">
        <v>4236308.0</v>
      </c>
      <c r="E198" s="32">
        <v>678453.0</v>
      </c>
      <c r="F198" s="32">
        <v>0.0</v>
      </c>
      <c r="G198" s="32">
        <v>26217.0</v>
      </c>
      <c r="H198" s="32">
        <v>198527.0</v>
      </c>
      <c r="I198" s="32">
        <v>0.0</v>
      </c>
      <c r="J198" s="32">
        <v>3.874143132E9</v>
      </c>
      <c r="K198" s="32">
        <v>1.2904E9</v>
      </c>
      <c r="L198" s="32">
        <v>1227.0</v>
      </c>
      <c r="M198" s="31" t="s">
        <v>147</v>
      </c>
      <c r="N198" s="31">
        <v>25.0</v>
      </c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7521367.0</v>
      </c>
      <c r="B199" s="31" t="s">
        <v>234</v>
      </c>
      <c r="C199" s="32">
        <v>2.0399893E7</v>
      </c>
      <c r="D199" s="32">
        <v>5.71434E7</v>
      </c>
      <c r="E199" s="32">
        <v>2406092.0</v>
      </c>
      <c r="F199" s="32">
        <v>197902.0</v>
      </c>
      <c r="G199" s="32">
        <v>2458366.0</v>
      </c>
      <c r="H199" s="32">
        <v>1621125.0</v>
      </c>
      <c r="I199" s="32">
        <v>0.0</v>
      </c>
      <c r="J199" s="32">
        <v>7.355093356E9</v>
      </c>
      <c r="K199" s="32">
        <v>7.085159383E9</v>
      </c>
      <c r="L199" s="32">
        <v>3683.0</v>
      </c>
      <c r="M199" s="31" t="s">
        <v>464</v>
      </c>
      <c r="N199" s="31">
        <v>25.0</v>
      </c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1.56369343E8</v>
      </c>
      <c r="B200" s="31" t="s">
        <v>429</v>
      </c>
      <c r="C200" s="32">
        <v>2.0138792E7</v>
      </c>
      <c r="D200" s="32">
        <v>3826999.0</v>
      </c>
      <c r="E200" s="32">
        <v>249543.0</v>
      </c>
      <c r="F200" s="32">
        <v>26766.0</v>
      </c>
      <c r="G200" s="32">
        <v>365508.0</v>
      </c>
      <c r="H200" s="32">
        <v>6857.0</v>
      </c>
      <c r="I200" s="32">
        <v>0.0</v>
      </c>
      <c r="J200" s="32">
        <v>2.080998309E9</v>
      </c>
      <c r="K200" s="32">
        <v>0.0</v>
      </c>
      <c r="L200" s="32">
        <v>1328.0</v>
      </c>
      <c r="M200" s="31" t="s">
        <v>147</v>
      </c>
      <c r="N200" s="31">
        <v>25.0</v>
      </c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1.07309959E8</v>
      </c>
      <c r="B201" s="31" t="s">
        <v>229</v>
      </c>
      <c r="C201" s="32">
        <v>2.0116365E7</v>
      </c>
      <c r="D201" s="32">
        <v>880638.0</v>
      </c>
      <c r="E201" s="32">
        <v>633209.0</v>
      </c>
      <c r="F201" s="32">
        <v>24063.0</v>
      </c>
      <c r="G201" s="32">
        <v>19253.0</v>
      </c>
      <c r="H201" s="32">
        <v>0.0</v>
      </c>
      <c r="I201" s="32">
        <v>0.0</v>
      </c>
      <c r="J201" s="32">
        <v>4.5239419E9</v>
      </c>
      <c r="K201" s="32">
        <v>1.692E9</v>
      </c>
      <c r="L201" s="32">
        <v>2347.0</v>
      </c>
      <c r="M201" s="31" t="s">
        <v>153</v>
      </c>
      <c r="N201" s="31">
        <v>25.0</v>
      </c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3">
        <v>1.59674611E8</v>
      </c>
      <c r="B202" s="33" t="s">
        <v>260</v>
      </c>
      <c r="C202" s="34">
        <v>1.997065E7</v>
      </c>
      <c r="D202" s="34">
        <v>932235.0</v>
      </c>
      <c r="E202" s="34">
        <v>136798.0</v>
      </c>
      <c r="F202" s="34">
        <v>509198.0</v>
      </c>
      <c r="G202" s="34">
        <v>5166.0</v>
      </c>
      <c r="H202" s="34">
        <v>0.0</v>
      </c>
      <c r="I202" s="34">
        <v>0.0</v>
      </c>
      <c r="J202" s="34">
        <v>3.09083069E9</v>
      </c>
      <c r="K202" s="34">
        <v>8.00719676E8</v>
      </c>
      <c r="L202" s="34">
        <v>2377.0</v>
      </c>
      <c r="M202" s="33" t="s">
        <v>66</v>
      </c>
      <c r="N202" s="33">
        <v>23.0</v>
      </c>
      <c r="O202" s="33"/>
      <c r="P202" s="33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1.47792502E8</v>
      </c>
      <c r="B203" s="33" t="s">
        <v>232</v>
      </c>
      <c r="C203" s="34">
        <v>1.9957526E7</v>
      </c>
      <c r="D203" s="34">
        <v>1.5553596E7</v>
      </c>
      <c r="E203" s="34">
        <v>501345.0</v>
      </c>
      <c r="F203" s="34">
        <v>265931.0</v>
      </c>
      <c r="G203" s="34">
        <v>1325650.0</v>
      </c>
      <c r="H203" s="34">
        <v>68313.0</v>
      </c>
      <c r="I203" s="34">
        <v>0.0</v>
      </c>
      <c r="J203" s="34">
        <v>1.8820790601E10</v>
      </c>
      <c r="K203" s="34">
        <v>1.7534045568E10</v>
      </c>
      <c r="L203" s="34">
        <v>6778.0</v>
      </c>
      <c r="M203" s="33" t="s">
        <v>153</v>
      </c>
      <c r="N203" s="33">
        <v>24.0</v>
      </c>
      <c r="O203" s="33"/>
      <c r="P203" s="33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1">
        <v>1.37982827E8</v>
      </c>
      <c r="B204" s="31" t="s">
        <v>230</v>
      </c>
      <c r="C204" s="32">
        <v>1.9556788E7</v>
      </c>
      <c r="D204" s="32">
        <v>1033440.0</v>
      </c>
      <c r="E204" s="32">
        <v>1686588.0</v>
      </c>
      <c r="F204" s="32">
        <v>928101.0</v>
      </c>
      <c r="G204" s="32">
        <v>2888.0</v>
      </c>
      <c r="H204" s="32">
        <v>37966.0</v>
      </c>
      <c r="I204" s="32">
        <v>0.0</v>
      </c>
      <c r="J204" s="32">
        <v>2.1677052241E10</v>
      </c>
      <c r="K204" s="32">
        <v>2.3894156934E10</v>
      </c>
      <c r="L204" s="32">
        <v>4536.0</v>
      </c>
      <c r="M204" s="31" t="s">
        <v>153</v>
      </c>
      <c r="N204" s="31">
        <v>25.0</v>
      </c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3">
        <v>1.63370871E8</v>
      </c>
      <c r="B205" s="33" t="s">
        <v>382</v>
      </c>
      <c r="C205" s="34">
        <v>1.9403091E7</v>
      </c>
      <c r="D205" s="34">
        <v>1.052954E7</v>
      </c>
      <c r="E205" s="34">
        <v>278845.0</v>
      </c>
      <c r="F205" s="34">
        <v>2144.0</v>
      </c>
      <c r="G205" s="34">
        <v>1047221.0</v>
      </c>
      <c r="H205" s="34">
        <v>0.0</v>
      </c>
      <c r="I205" s="34">
        <v>0.0</v>
      </c>
      <c r="J205" s="34">
        <v>6.1344494E9</v>
      </c>
      <c r="K205" s="34">
        <v>1.22210377E9</v>
      </c>
      <c r="L205" s="34">
        <v>3855.0</v>
      </c>
      <c r="M205" s="33" t="s">
        <v>465</v>
      </c>
      <c r="N205" s="33">
        <v>24.0</v>
      </c>
      <c r="O205" s="33"/>
      <c r="P205" s="33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1.0996021E8</v>
      </c>
      <c r="B206" s="31" t="s">
        <v>227</v>
      </c>
      <c r="C206" s="32">
        <v>1.9312148E7</v>
      </c>
      <c r="D206" s="32">
        <v>1.0316509E7</v>
      </c>
      <c r="E206" s="32">
        <v>537460.0</v>
      </c>
      <c r="F206" s="32">
        <v>1229.0</v>
      </c>
      <c r="G206" s="32">
        <v>313298.0</v>
      </c>
      <c r="H206" s="32">
        <v>359153.0</v>
      </c>
      <c r="I206" s="32">
        <v>0.0</v>
      </c>
      <c r="J206" s="32">
        <v>3.125308182E9</v>
      </c>
      <c r="K206" s="32">
        <v>1.108856569E9</v>
      </c>
      <c r="L206" s="32">
        <v>1377.0</v>
      </c>
      <c r="M206" s="31" t="s">
        <v>34</v>
      </c>
      <c r="N206" s="31">
        <v>25.0</v>
      </c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3">
        <v>1.79309911E8</v>
      </c>
      <c r="B207" s="33" t="s">
        <v>250</v>
      </c>
      <c r="C207" s="34">
        <v>1.9242216E7</v>
      </c>
      <c r="D207" s="34">
        <v>3539957.0</v>
      </c>
      <c r="E207" s="34">
        <v>1463306.0</v>
      </c>
      <c r="F207" s="34">
        <v>52987.0</v>
      </c>
      <c r="G207" s="34">
        <v>321378.0</v>
      </c>
      <c r="H207" s="34">
        <v>5689.0</v>
      </c>
      <c r="I207" s="34">
        <v>0.0</v>
      </c>
      <c r="J207" s="34">
        <v>5.595909352E9</v>
      </c>
      <c r="K207" s="34">
        <v>3.928426222E9</v>
      </c>
      <c r="L207" s="34">
        <v>1471.0</v>
      </c>
      <c r="M207" s="33" t="s">
        <v>94</v>
      </c>
      <c r="N207" s="33">
        <v>24.0</v>
      </c>
      <c r="O207" s="33"/>
      <c r="P207" s="33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1.44034439E8</v>
      </c>
      <c r="B208" s="31" t="s">
        <v>235</v>
      </c>
      <c r="C208" s="32">
        <v>1.8931281E7</v>
      </c>
      <c r="D208" s="32">
        <v>3185436.0</v>
      </c>
      <c r="E208" s="32">
        <v>5053227.0</v>
      </c>
      <c r="F208" s="32">
        <v>37361.0</v>
      </c>
      <c r="G208" s="32">
        <v>106493.0</v>
      </c>
      <c r="H208" s="32">
        <v>89020.0</v>
      </c>
      <c r="I208" s="32">
        <v>0.0</v>
      </c>
      <c r="J208" s="32">
        <v>9.812530091E9</v>
      </c>
      <c r="K208" s="32">
        <v>0.0</v>
      </c>
      <c r="L208" s="32">
        <v>7367.0</v>
      </c>
      <c r="M208" s="31" t="s">
        <v>165</v>
      </c>
      <c r="N208" s="31">
        <v>25.0</v>
      </c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3">
        <v>1.88084419E8</v>
      </c>
      <c r="B209" s="33" t="s">
        <v>203</v>
      </c>
      <c r="C209" s="34">
        <v>1.8633045E7</v>
      </c>
      <c r="D209" s="34">
        <v>2591477.0</v>
      </c>
      <c r="E209" s="34">
        <v>399331.0</v>
      </c>
      <c r="F209" s="34">
        <v>28076.0</v>
      </c>
      <c r="G209" s="34">
        <v>169779.0</v>
      </c>
      <c r="H209" s="34">
        <v>6036.0</v>
      </c>
      <c r="I209" s="34">
        <v>0.0</v>
      </c>
      <c r="J209" s="34">
        <v>2.251050074E9</v>
      </c>
      <c r="K209" s="34">
        <v>1.040661447E9</v>
      </c>
      <c r="L209" s="34">
        <v>2636.0</v>
      </c>
      <c r="M209" s="33" t="s">
        <v>153</v>
      </c>
      <c r="N209" s="33">
        <v>24.0</v>
      </c>
      <c r="O209" s="33"/>
      <c r="P209" s="33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1.44068963E8</v>
      </c>
      <c r="B210" s="31" t="s">
        <v>239</v>
      </c>
      <c r="C210" s="32">
        <v>1.8613794E7</v>
      </c>
      <c r="D210" s="32">
        <v>1242154.0</v>
      </c>
      <c r="E210" s="32">
        <v>1892316.0</v>
      </c>
      <c r="F210" s="32">
        <v>10404.0</v>
      </c>
      <c r="G210" s="32">
        <v>7009.0</v>
      </c>
      <c r="H210" s="32">
        <v>57313.0</v>
      </c>
      <c r="I210" s="32">
        <v>0.0</v>
      </c>
      <c r="J210" s="32">
        <v>1.814553574E9</v>
      </c>
      <c r="K210" s="32">
        <v>200000.0</v>
      </c>
      <c r="L210" s="32">
        <v>323.0</v>
      </c>
      <c r="M210" s="31" t="s">
        <v>240</v>
      </c>
      <c r="N210" s="31">
        <v>25.0</v>
      </c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1.20777788E8</v>
      </c>
      <c r="B211" s="31" t="s">
        <v>243</v>
      </c>
      <c r="C211" s="32">
        <v>1.8575884E7</v>
      </c>
      <c r="D211" s="32">
        <v>4909327.0</v>
      </c>
      <c r="E211" s="32">
        <v>2915331.0</v>
      </c>
      <c r="F211" s="32">
        <v>140139.0</v>
      </c>
      <c r="G211" s="32">
        <v>337930.0</v>
      </c>
      <c r="H211" s="32">
        <v>75001.0</v>
      </c>
      <c r="I211" s="32">
        <v>0.0</v>
      </c>
      <c r="J211" s="32">
        <v>8.543328343E9</v>
      </c>
      <c r="K211" s="32">
        <v>5.753862172E9</v>
      </c>
      <c r="L211" s="32">
        <v>2456.0</v>
      </c>
      <c r="M211" s="31" t="s">
        <v>66</v>
      </c>
      <c r="N211" s="31">
        <v>25.0</v>
      </c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1.26974968E8</v>
      </c>
      <c r="B212" s="33" t="s">
        <v>244</v>
      </c>
      <c r="C212" s="34">
        <v>1.844883E7</v>
      </c>
      <c r="D212" s="34">
        <v>1232807.0</v>
      </c>
      <c r="E212" s="34">
        <v>877225.0</v>
      </c>
      <c r="F212" s="34">
        <v>5599.0</v>
      </c>
      <c r="G212" s="34">
        <v>56920.0</v>
      </c>
      <c r="H212" s="34">
        <v>25459.0</v>
      </c>
      <c r="I212" s="34">
        <v>0.0</v>
      </c>
      <c r="J212" s="34">
        <v>9.046577523E9</v>
      </c>
      <c r="K212" s="34">
        <v>1.0674079205E10</v>
      </c>
      <c r="L212" s="34">
        <v>2673.0</v>
      </c>
      <c r="M212" s="33" t="s">
        <v>94</v>
      </c>
      <c r="N212" s="33">
        <v>24.0</v>
      </c>
      <c r="O212" s="33"/>
      <c r="P212" s="33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1.44114159E8</v>
      </c>
      <c r="B213" s="33" t="s">
        <v>241</v>
      </c>
      <c r="C213" s="34">
        <v>1.8447063E7</v>
      </c>
      <c r="D213" s="34">
        <v>377570.0</v>
      </c>
      <c r="E213" s="34">
        <v>78932.0</v>
      </c>
      <c r="F213" s="34">
        <v>21961.0</v>
      </c>
      <c r="G213" s="34">
        <v>9565.0</v>
      </c>
      <c r="H213" s="34">
        <v>0.0</v>
      </c>
      <c r="I213" s="34">
        <v>0.0</v>
      </c>
      <c r="J213" s="34">
        <v>1.538049538E9</v>
      </c>
      <c r="K213" s="34">
        <v>1424156.0</v>
      </c>
      <c r="L213" s="34">
        <v>1963.0</v>
      </c>
      <c r="M213" s="33" t="s">
        <v>264</v>
      </c>
      <c r="N213" s="33">
        <v>23.0</v>
      </c>
      <c r="O213" s="33"/>
      <c r="P213" s="33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1.4065212E8</v>
      </c>
      <c r="B214" s="33" t="s">
        <v>238</v>
      </c>
      <c r="C214" s="34">
        <v>1.8293611E7</v>
      </c>
      <c r="D214" s="34">
        <v>4736361.0</v>
      </c>
      <c r="E214" s="34">
        <v>2093014.0</v>
      </c>
      <c r="F214" s="34">
        <v>14525.0</v>
      </c>
      <c r="G214" s="34">
        <v>310893.0</v>
      </c>
      <c r="H214" s="34">
        <v>81061.0</v>
      </c>
      <c r="I214" s="34">
        <v>0.0</v>
      </c>
      <c r="J214" s="34">
        <v>1.5684336441E10</v>
      </c>
      <c r="K214" s="34">
        <v>1.7189586733E10</v>
      </c>
      <c r="L214" s="34">
        <v>5581.0</v>
      </c>
      <c r="M214" s="33" t="s">
        <v>153</v>
      </c>
      <c r="N214" s="33">
        <v>24.0</v>
      </c>
      <c r="O214" s="33"/>
      <c r="P214" s="33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1.84287725E8</v>
      </c>
      <c r="B215" s="33" t="s">
        <v>233</v>
      </c>
      <c r="C215" s="34">
        <v>1.8132917E7</v>
      </c>
      <c r="D215" s="34">
        <v>173990.0</v>
      </c>
      <c r="E215" s="34">
        <v>0.0</v>
      </c>
      <c r="F215" s="34">
        <v>0.0</v>
      </c>
      <c r="G215" s="34">
        <v>6551.0</v>
      </c>
      <c r="H215" s="34">
        <v>5424.0</v>
      </c>
      <c r="I215" s="34">
        <v>0.0</v>
      </c>
      <c r="J215" s="34">
        <v>3.875453185E9</v>
      </c>
      <c r="K215" s="34">
        <v>9.48629321E8</v>
      </c>
      <c r="L215" s="34">
        <v>776.0</v>
      </c>
      <c r="M215" s="33" t="s">
        <v>94</v>
      </c>
      <c r="N215" s="33">
        <v>23.0</v>
      </c>
      <c r="O215" s="33"/>
      <c r="P215" s="33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1.90203348E8</v>
      </c>
      <c r="B216" s="33" t="s">
        <v>237</v>
      </c>
      <c r="C216" s="34">
        <v>1.7982003E7</v>
      </c>
      <c r="D216" s="34">
        <v>943.0</v>
      </c>
      <c r="E216" s="34">
        <v>0.0</v>
      </c>
      <c r="F216" s="34">
        <v>4717.0</v>
      </c>
      <c r="G216" s="34">
        <v>0.0</v>
      </c>
      <c r="H216" s="34">
        <v>0.0</v>
      </c>
      <c r="I216" s="34">
        <v>0.0</v>
      </c>
      <c r="J216" s="34">
        <v>4.082037775E9</v>
      </c>
      <c r="K216" s="34">
        <v>1.981971695E9</v>
      </c>
      <c r="L216" s="34">
        <v>1015.0</v>
      </c>
      <c r="M216" s="33" t="s">
        <v>147</v>
      </c>
      <c r="N216" s="33">
        <v>24.0</v>
      </c>
      <c r="O216" s="33"/>
      <c r="P216" s="33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3">
        <v>1.77786882E8</v>
      </c>
      <c r="B217" s="33" t="s">
        <v>242</v>
      </c>
      <c r="C217" s="34">
        <v>1.7964737E7</v>
      </c>
      <c r="D217" s="34">
        <v>734715.0</v>
      </c>
      <c r="E217" s="34">
        <v>2048.0</v>
      </c>
      <c r="F217" s="34">
        <v>227.0</v>
      </c>
      <c r="G217" s="34">
        <v>6051.0</v>
      </c>
      <c r="H217" s="34">
        <v>33708.0</v>
      </c>
      <c r="I217" s="34">
        <v>0.0</v>
      </c>
      <c r="J217" s="34">
        <v>1.1780666713E10</v>
      </c>
      <c r="K217" s="34">
        <v>7.062626932E9</v>
      </c>
      <c r="L217" s="34">
        <v>3145.0</v>
      </c>
      <c r="M217" s="33" t="s">
        <v>153</v>
      </c>
      <c r="N217" s="33">
        <v>24.0</v>
      </c>
      <c r="O217" s="33"/>
      <c r="P217" s="33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1.78556109E8</v>
      </c>
      <c r="B218" s="33" t="s">
        <v>248</v>
      </c>
      <c r="C218" s="34">
        <v>1.7752316E7</v>
      </c>
      <c r="D218" s="34">
        <v>1240300.0</v>
      </c>
      <c r="E218" s="34">
        <v>125805.0</v>
      </c>
      <c r="F218" s="34">
        <v>0.0</v>
      </c>
      <c r="G218" s="34">
        <v>7308.0</v>
      </c>
      <c r="H218" s="34">
        <v>58361.0</v>
      </c>
      <c r="I218" s="34">
        <v>0.0</v>
      </c>
      <c r="J218" s="34">
        <v>1.3199992422E10</v>
      </c>
      <c r="K218" s="34">
        <v>1.2953362345E10</v>
      </c>
      <c r="L218" s="34">
        <v>3649.0</v>
      </c>
      <c r="M218" s="33" t="s">
        <v>153</v>
      </c>
      <c r="N218" s="33">
        <v>24.0</v>
      </c>
      <c r="O218" s="33"/>
      <c r="P218" s="33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1.46678079E8</v>
      </c>
      <c r="B219" s="33" t="s">
        <v>466</v>
      </c>
      <c r="C219" s="34">
        <v>1.7765495E7</v>
      </c>
      <c r="D219" s="34">
        <v>2.4747702E7</v>
      </c>
      <c r="E219" s="34">
        <v>3440996.0</v>
      </c>
      <c r="F219" s="34">
        <v>1306122.0</v>
      </c>
      <c r="G219" s="34">
        <v>1326845.0</v>
      </c>
      <c r="H219" s="34">
        <v>47404.0</v>
      </c>
      <c r="I219" s="34">
        <v>0.0</v>
      </c>
      <c r="J219" s="34">
        <v>1.760598164E9</v>
      </c>
      <c r="K219" s="34">
        <v>1.76777944E8</v>
      </c>
      <c r="L219" s="34">
        <v>1866.0</v>
      </c>
      <c r="M219" s="33" t="s">
        <v>147</v>
      </c>
      <c r="N219" s="33">
        <v>24.0</v>
      </c>
      <c r="O219" s="33"/>
      <c r="P219" s="33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1.27147255E8</v>
      </c>
      <c r="B220" s="31" t="s">
        <v>249</v>
      </c>
      <c r="C220" s="32">
        <v>1.7661303E7</v>
      </c>
      <c r="D220" s="32">
        <v>1404762.0</v>
      </c>
      <c r="E220" s="32">
        <v>1620937.0</v>
      </c>
      <c r="F220" s="32">
        <v>43.0</v>
      </c>
      <c r="G220" s="32">
        <v>23523.0</v>
      </c>
      <c r="H220" s="32">
        <v>57743.0</v>
      </c>
      <c r="I220" s="32">
        <v>0.0</v>
      </c>
      <c r="J220" s="32">
        <v>9.999448366E9</v>
      </c>
      <c r="K220" s="32">
        <v>1.4547992905E10</v>
      </c>
      <c r="L220" s="32">
        <v>2953.0</v>
      </c>
      <c r="M220" s="31" t="s">
        <v>94</v>
      </c>
      <c r="N220" s="31">
        <v>25.0</v>
      </c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1.81616674E8</v>
      </c>
      <c r="B221" s="33" t="s">
        <v>247</v>
      </c>
      <c r="C221" s="34">
        <v>1.7271233E7</v>
      </c>
      <c r="D221" s="34">
        <v>-1.0</v>
      </c>
      <c r="E221" s="34">
        <v>0.0</v>
      </c>
      <c r="F221" s="34">
        <v>0.0</v>
      </c>
      <c r="G221" s="34">
        <v>0.0</v>
      </c>
      <c r="H221" s="34">
        <v>0.0</v>
      </c>
      <c r="I221" s="34">
        <v>0.0</v>
      </c>
      <c r="J221" s="34">
        <v>3.609128659E9</v>
      </c>
      <c r="K221" s="34">
        <v>2.739E9</v>
      </c>
      <c r="L221" s="34">
        <v>1060.0</v>
      </c>
      <c r="M221" s="33" t="s">
        <v>153</v>
      </c>
      <c r="N221" s="33">
        <v>23.0</v>
      </c>
      <c r="O221" s="33"/>
      <c r="P221" s="33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1.4404346E8</v>
      </c>
      <c r="B222" s="33" t="s">
        <v>231</v>
      </c>
      <c r="C222" s="34">
        <v>1.7256614E7</v>
      </c>
      <c r="D222" s="34">
        <v>2445760.0</v>
      </c>
      <c r="E222" s="34">
        <v>213678.0</v>
      </c>
      <c r="F222" s="34">
        <v>156164.0</v>
      </c>
      <c r="G222" s="34">
        <v>6083.0</v>
      </c>
      <c r="H222" s="34">
        <v>0.0</v>
      </c>
      <c r="I222" s="34">
        <v>0.0</v>
      </c>
      <c r="J222" s="34">
        <v>2.341060329E9</v>
      </c>
      <c r="K222" s="34">
        <v>0.0</v>
      </c>
      <c r="L222" s="34">
        <v>1380.0</v>
      </c>
      <c r="M222" s="33" t="s">
        <v>165</v>
      </c>
      <c r="N222" s="33">
        <v>24.0</v>
      </c>
      <c r="O222" s="33"/>
      <c r="P222" s="33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1">
        <v>9.9317493E7</v>
      </c>
      <c r="B223" s="31" t="s">
        <v>252</v>
      </c>
      <c r="C223" s="32">
        <v>1.7255554E7</v>
      </c>
      <c r="D223" s="32">
        <v>1.1147718E7</v>
      </c>
      <c r="E223" s="32">
        <v>2481046.0</v>
      </c>
      <c r="F223" s="32">
        <v>49534.0</v>
      </c>
      <c r="G223" s="32">
        <v>893317.0</v>
      </c>
      <c r="H223" s="32">
        <v>67760.0</v>
      </c>
      <c r="I223" s="32">
        <v>0.0</v>
      </c>
      <c r="J223" s="32">
        <v>2.983028283E9</v>
      </c>
      <c r="K223" s="32">
        <v>5.3065867E7</v>
      </c>
      <c r="L223" s="32">
        <v>3765.0</v>
      </c>
      <c r="M223" s="31" t="s">
        <v>126</v>
      </c>
      <c r="N223" s="31">
        <v>25.0</v>
      </c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1.28213955E8</v>
      </c>
      <c r="B224" s="33" t="s">
        <v>253</v>
      </c>
      <c r="C224" s="34">
        <v>1.6895627E7</v>
      </c>
      <c r="D224" s="34">
        <v>75852.0</v>
      </c>
      <c r="E224" s="34">
        <v>0.0</v>
      </c>
      <c r="F224" s="34">
        <v>720.0</v>
      </c>
      <c r="G224" s="34">
        <v>1254.0</v>
      </c>
      <c r="H224" s="34">
        <v>0.0</v>
      </c>
      <c r="I224" s="34">
        <v>0.0</v>
      </c>
      <c r="J224" s="34">
        <v>9.948118894E9</v>
      </c>
      <c r="K224" s="34">
        <v>1.176530727E10</v>
      </c>
      <c r="L224" s="34">
        <v>2494.0</v>
      </c>
      <c r="M224" s="33" t="s">
        <v>94</v>
      </c>
      <c r="N224" s="33">
        <v>24.0</v>
      </c>
      <c r="O224" s="33"/>
      <c r="P224" s="33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1">
        <v>1.54073945E8</v>
      </c>
      <c r="B225" s="31" t="s">
        <v>381</v>
      </c>
      <c r="C225" s="32">
        <v>1.687574E7</v>
      </c>
      <c r="D225" s="32">
        <v>3284697.0</v>
      </c>
      <c r="E225" s="32">
        <v>4029606.0</v>
      </c>
      <c r="F225" s="32">
        <v>307.0</v>
      </c>
      <c r="G225" s="32">
        <v>299366.0</v>
      </c>
      <c r="H225" s="32">
        <v>14399.0</v>
      </c>
      <c r="I225" s="32">
        <v>0.0</v>
      </c>
      <c r="J225" s="32">
        <v>6.529085335E9</v>
      </c>
      <c r="K225" s="32">
        <v>2.449004947E9</v>
      </c>
      <c r="L225" s="32">
        <v>1589.0</v>
      </c>
      <c r="M225" s="31" t="s">
        <v>430</v>
      </c>
      <c r="N225" s="31">
        <v>25.0</v>
      </c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6.8552994E7</v>
      </c>
      <c r="B226" s="33" t="s">
        <v>246</v>
      </c>
      <c r="C226" s="34">
        <v>1.6866211E7</v>
      </c>
      <c r="D226" s="34">
        <v>1055186.0</v>
      </c>
      <c r="E226" s="34">
        <v>689492.0</v>
      </c>
      <c r="F226" s="34">
        <v>237673.0</v>
      </c>
      <c r="G226" s="34">
        <v>11356.0</v>
      </c>
      <c r="H226" s="34">
        <v>11638.0</v>
      </c>
      <c r="I226" s="34">
        <v>0.0</v>
      </c>
      <c r="J226" s="34">
        <v>8.206793484E9</v>
      </c>
      <c r="K226" s="34">
        <v>5.375385608E9</v>
      </c>
      <c r="L226" s="34">
        <v>4755.0</v>
      </c>
      <c r="M226" s="33" t="s">
        <v>153</v>
      </c>
      <c r="N226" s="33">
        <v>23.0</v>
      </c>
      <c r="O226" s="33"/>
      <c r="P226" s="33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6.7692991E7</v>
      </c>
      <c r="B227" s="31" t="s">
        <v>284</v>
      </c>
      <c r="C227" s="32">
        <v>1.6668279E7</v>
      </c>
      <c r="D227" s="32">
        <v>5.5174357E7</v>
      </c>
      <c r="E227" s="32">
        <v>2761342.0</v>
      </c>
      <c r="F227" s="32">
        <v>254236.0</v>
      </c>
      <c r="G227" s="32">
        <v>2653898.0</v>
      </c>
      <c r="H227" s="32">
        <v>1348191.0</v>
      </c>
      <c r="I227" s="32">
        <v>0.0</v>
      </c>
      <c r="J227" s="32">
        <v>6.39563146E9</v>
      </c>
      <c r="K227" s="32">
        <v>5.997427785E9</v>
      </c>
      <c r="L227" s="32">
        <v>5127.0</v>
      </c>
      <c r="M227" s="31" t="s">
        <v>147</v>
      </c>
      <c r="N227" s="31">
        <v>25.0</v>
      </c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1">
        <v>9.3652844E7</v>
      </c>
      <c r="B228" s="31" t="s">
        <v>467</v>
      </c>
      <c r="C228" s="32">
        <v>1.6556356E7</v>
      </c>
      <c r="D228" s="32">
        <v>155776.0</v>
      </c>
      <c r="E228" s="32">
        <v>1024.0</v>
      </c>
      <c r="F228" s="32">
        <v>9910.0</v>
      </c>
      <c r="G228" s="32">
        <v>3171.0</v>
      </c>
      <c r="H228" s="32">
        <v>4808.0</v>
      </c>
      <c r="I228" s="32">
        <v>0.0</v>
      </c>
      <c r="J228" s="32">
        <v>5.91317376E9</v>
      </c>
      <c r="K228" s="32">
        <v>5.567250887E9</v>
      </c>
      <c r="L228" s="32">
        <v>1992.0</v>
      </c>
      <c r="M228" s="31" t="s">
        <v>147</v>
      </c>
      <c r="N228" s="31">
        <v>25.0</v>
      </c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1">
        <v>3.5412124E7</v>
      </c>
      <c r="B229" s="31" t="s">
        <v>251</v>
      </c>
      <c r="C229" s="32">
        <v>1.6290333E7</v>
      </c>
      <c r="D229" s="32">
        <v>1.0090278E7</v>
      </c>
      <c r="E229" s="32">
        <v>1122929.0</v>
      </c>
      <c r="F229" s="32">
        <v>597662.0</v>
      </c>
      <c r="G229" s="32">
        <v>478561.0</v>
      </c>
      <c r="H229" s="32">
        <v>75045.0</v>
      </c>
      <c r="I229" s="32">
        <v>0.0</v>
      </c>
      <c r="J229" s="32">
        <v>4.16279169E8</v>
      </c>
      <c r="K229" s="32">
        <v>1709320.0</v>
      </c>
      <c r="L229" s="32">
        <v>1144.0</v>
      </c>
      <c r="M229" s="31" t="s">
        <v>165</v>
      </c>
      <c r="N229" s="31">
        <v>25.0</v>
      </c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3">
        <v>1.83302822E8</v>
      </c>
      <c r="B230" s="33" t="s">
        <v>280</v>
      </c>
      <c r="C230" s="34">
        <v>1.5877947E7</v>
      </c>
      <c r="D230" s="34">
        <v>877526.0</v>
      </c>
      <c r="E230" s="34">
        <v>1168563.0</v>
      </c>
      <c r="F230" s="34">
        <v>28604.0</v>
      </c>
      <c r="G230" s="34">
        <v>64450.0</v>
      </c>
      <c r="H230" s="34">
        <v>4027.0</v>
      </c>
      <c r="I230" s="34">
        <v>0.0</v>
      </c>
      <c r="J230" s="34">
        <v>4.446512498E9</v>
      </c>
      <c r="K230" s="34">
        <v>3.570526469E9</v>
      </c>
      <c r="L230" s="34">
        <v>1411.0</v>
      </c>
      <c r="M230" s="33" t="s">
        <v>94</v>
      </c>
      <c r="N230" s="33">
        <v>24.0</v>
      </c>
      <c r="O230" s="33"/>
      <c r="P230" s="33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1.67715529E8</v>
      </c>
      <c r="B231" s="33" t="s">
        <v>257</v>
      </c>
      <c r="C231" s="34">
        <v>1.5761347E7</v>
      </c>
      <c r="D231" s="34">
        <v>45360.0</v>
      </c>
      <c r="E231" s="34">
        <v>0.0</v>
      </c>
      <c r="F231" s="34">
        <v>0.0</v>
      </c>
      <c r="G231" s="34">
        <v>1832.0</v>
      </c>
      <c r="H231" s="34">
        <v>1352.0</v>
      </c>
      <c r="I231" s="34">
        <v>0.0</v>
      </c>
      <c r="J231" s="34">
        <v>8.527955475E9</v>
      </c>
      <c r="K231" s="34">
        <v>6.044415749E9</v>
      </c>
      <c r="L231" s="34">
        <v>1802.0</v>
      </c>
      <c r="M231" s="33" t="s">
        <v>153</v>
      </c>
      <c r="N231" s="33">
        <v>24.0</v>
      </c>
      <c r="O231" s="33"/>
      <c r="P231" s="33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1">
        <v>1.80504744E8</v>
      </c>
      <c r="B232" s="31" t="s">
        <v>384</v>
      </c>
      <c r="C232" s="32">
        <v>1.5614238E7</v>
      </c>
      <c r="D232" s="32">
        <v>63296.0</v>
      </c>
      <c r="E232" s="32">
        <v>183910.0</v>
      </c>
      <c r="F232" s="32">
        <v>1162.0</v>
      </c>
      <c r="G232" s="32">
        <v>3864.0</v>
      </c>
      <c r="H232" s="32">
        <v>951.0</v>
      </c>
      <c r="I232" s="32">
        <v>0.0</v>
      </c>
      <c r="J232" s="32">
        <v>2.100424714E9</v>
      </c>
      <c r="K232" s="32">
        <v>6.82759846E8</v>
      </c>
      <c r="L232" s="32">
        <v>868.0</v>
      </c>
      <c r="M232" s="31" t="s">
        <v>165</v>
      </c>
      <c r="N232" s="31">
        <v>25.0</v>
      </c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1">
        <v>1.43620977E8</v>
      </c>
      <c r="B233" s="31" t="s">
        <v>431</v>
      </c>
      <c r="C233" s="32">
        <v>1.5566517E7</v>
      </c>
      <c r="D233" s="32">
        <v>5.200476E7</v>
      </c>
      <c r="E233" s="32">
        <v>332874.0</v>
      </c>
      <c r="F233" s="32">
        <v>1691450.0</v>
      </c>
      <c r="G233" s="32">
        <v>3683186.0</v>
      </c>
      <c r="H233" s="32">
        <v>34407.0</v>
      </c>
      <c r="I233" s="32">
        <v>0.0</v>
      </c>
      <c r="J233" s="32">
        <v>1.713992871E9</v>
      </c>
      <c r="K233" s="32">
        <v>1.0987594E7</v>
      </c>
      <c r="L233" s="32">
        <v>6036.0</v>
      </c>
      <c r="M233" s="31" t="s">
        <v>66</v>
      </c>
      <c r="N233" s="31">
        <v>25.0</v>
      </c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1.75281453E8</v>
      </c>
      <c r="B234" s="31" t="s">
        <v>262</v>
      </c>
      <c r="C234" s="32">
        <v>1.5545882E7</v>
      </c>
      <c r="D234" s="32">
        <v>1.200256E7</v>
      </c>
      <c r="E234" s="32">
        <v>1043466.0</v>
      </c>
      <c r="F234" s="32">
        <v>633100.0</v>
      </c>
      <c r="G234" s="32">
        <v>323471.0</v>
      </c>
      <c r="H234" s="32">
        <v>246075.0</v>
      </c>
      <c r="I234" s="32">
        <v>0.0</v>
      </c>
      <c r="J234" s="32">
        <v>3.985052945E9</v>
      </c>
      <c r="K234" s="32">
        <v>3.141644157E9</v>
      </c>
      <c r="L234" s="32">
        <v>12692.0</v>
      </c>
      <c r="M234" s="31" t="s">
        <v>153</v>
      </c>
      <c r="N234" s="31">
        <v>25.0</v>
      </c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1.96555794E8</v>
      </c>
      <c r="B235" s="33" t="s">
        <v>261</v>
      </c>
      <c r="C235" s="34">
        <v>1.5426698E7</v>
      </c>
      <c r="D235" s="34">
        <v>112502.0</v>
      </c>
      <c r="E235" s="34">
        <v>0.0</v>
      </c>
      <c r="F235" s="34">
        <v>105330.0</v>
      </c>
      <c r="G235" s="34">
        <v>401.0</v>
      </c>
      <c r="H235" s="34">
        <v>158.0</v>
      </c>
      <c r="I235" s="34">
        <v>0.0</v>
      </c>
      <c r="J235" s="34">
        <v>4.598960306E9</v>
      </c>
      <c r="K235" s="34">
        <v>2.2616587E9</v>
      </c>
      <c r="L235" s="34">
        <v>2681.0</v>
      </c>
      <c r="M235" s="33" t="s">
        <v>94</v>
      </c>
      <c r="N235" s="33">
        <v>23.0</v>
      </c>
      <c r="O235" s="33"/>
      <c r="P235" s="33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1.59431767E8</v>
      </c>
      <c r="B236" s="33" t="s">
        <v>258</v>
      </c>
      <c r="C236" s="34">
        <v>1.5300478E7</v>
      </c>
      <c r="D236" s="34">
        <v>-1.0</v>
      </c>
      <c r="E236" s="34">
        <v>0.0</v>
      </c>
      <c r="F236" s="34">
        <v>0.0</v>
      </c>
      <c r="G236" s="34">
        <v>0.0</v>
      </c>
      <c r="H236" s="34">
        <v>0.0</v>
      </c>
      <c r="I236" s="34">
        <v>0.0</v>
      </c>
      <c r="J236" s="34">
        <v>4.006871236E9</v>
      </c>
      <c r="K236" s="34">
        <v>2.92994722E9</v>
      </c>
      <c r="L236" s="34">
        <v>931.0</v>
      </c>
      <c r="M236" s="33" t="s">
        <v>153</v>
      </c>
      <c r="N236" s="33">
        <v>24.0</v>
      </c>
      <c r="O236" s="33"/>
      <c r="P236" s="33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1.44078795E8</v>
      </c>
      <c r="B237" s="33" t="s">
        <v>263</v>
      </c>
      <c r="C237" s="34">
        <v>1.5052081E7</v>
      </c>
      <c r="D237" s="34">
        <v>508139.0</v>
      </c>
      <c r="E237" s="34">
        <v>622978.0</v>
      </c>
      <c r="F237" s="34">
        <v>1515.0</v>
      </c>
      <c r="G237" s="34">
        <v>40282.0</v>
      </c>
      <c r="H237" s="34">
        <v>5056.0</v>
      </c>
      <c r="I237" s="34">
        <v>0.0</v>
      </c>
      <c r="J237" s="34">
        <v>1.66263E7</v>
      </c>
      <c r="K237" s="34">
        <v>3904993.0</v>
      </c>
      <c r="L237" s="34">
        <v>1675.0</v>
      </c>
      <c r="M237" s="33" t="s">
        <v>264</v>
      </c>
      <c r="N237" s="33">
        <v>22.0</v>
      </c>
      <c r="O237" s="33"/>
      <c r="P237" s="33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1.50861707E8</v>
      </c>
      <c r="B238" s="31" t="s">
        <v>383</v>
      </c>
      <c r="C238" s="32">
        <v>1.4996971E7</v>
      </c>
      <c r="D238" s="32">
        <v>101747.0</v>
      </c>
      <c r="E238" s="32">
        <v>235680.0</v>
      </c>
      <c r="F238" s="32">
        <v>25.0</v>
      </c>
      <c r="G238" s="32">
        <v>2763.0</v>
      </c>
      <c r="H238" s="32">
        <v>1167.0</v>
      </c>
      <c r="I238" s="32">
        <v>0.0</v>
      </c>
      <c r="J238" s="32">
        <v>2.094238973E9</v>
      </c>
      <c r="K238" s="32">
        <v>4.72626537E8</v>
      </c>
      <c r="L238" s="32">
        <v>1228.0</v>
      </c>
      <c r="M238" s="31" t="s">
        <v>165</v>
      </c>
      <c r="N238" s="31">
        <v>25.0</v>
      </c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1.17526833E8</v>
      </c>
      <c r="B239" s="31" t="s">
        <v>468</v>
      </c>
      <c r="C239" s="32">
        <v>1.4975074E7</v>
      </c>
      <c r="D239" s="32">
        <v>1338678.0</v>
      </c>
      <c r="E239" s="32">
        <v>1092659.0</v>
      </c>
      <c r="F239" s="32">
        <v>22923.0</v>
      </c>
      <c r="G239" s="32">
        <v>42600.0</v>
      </c>
      <c r="H239" s="32">
        <v>34607.0</v>
      </c>
      <c r="I239" s="32">
        <v>0.0</v>
      </c>
      <c r="J239" s="32">
        <v>2.116926648E9</v>
      </c>
      <c r="K239" s="32">
        <v>4219586.0</v>
      </c>
      <c r="L239" s="32">
        <v>2140.0</v>
      </c>
      <c r="M239" s="31" t="s">
        <v>469</v>
      </c>
      <c r="N239" s="31">
        <v>25.0</v>
      </c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1.67721298E8</v>
      </c>
      <c r="B240" s="33" t="s">
        <v>266</v>
      </c>
      <c r="C240" s="34">
        <v>1.4971801E7</v>
      </c>
      <c r="D240" s="34">
        <v>8969284.0</v>
      </c>
      <c r="E240" s="34">
        <v>1497386.0</v>
      </c>
      <c r="F240" s="34">
        <v>45213.0</v>
      </c>
      <c r="G240" s="34">
        <v>642441.0</v>
      </c>
      <c r="H240" s="34">
        <v>114691.0</v>
      </c>
      <c r="I240" s="34">
        <v>0.0</v>
      </c>
      <c r="J240" s="34">
        <v>1.2800691595E10</v>
      </c>
      <c r="K240" s="34">
        <v>1.0235811063E10</v>
      </c>
      <c r="L240" s="34">
        <v>2264.0</v>
      </c>
      <c r="M240" s="33" t="s">
        <v>94</v>
      </c>
      <c r="N240" s="33">
        <v>24.0</v>
      </c>
      <c r="O240" s="33"/>
      <c r="P240" s="33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1.92309473E8</v>
      </c>
      <c r="B241" s="33" t="s">
        <v>270</v>
      </c>
      <c r="C241" s="34">
        <v>1.4780327E7</v>
      </c>
      <c r="D241" s="34">
        <v>-1.0</v>
      </c>
      <c r="E241" s="34">
        <v>0.0</v>
      </c>
      <c r="F241" s="34">
        <v>0.0</v>
      </c>
      <c r="G241" s="34">
        <v>0.0</v>
      </c>
      <c r="H241" s="34">
        <v>0.0</v>
      </c>
      <c r="I241" s="34">
        <v>0.0</v>
      </c>
      <c r="J241" s="34">
        <v>5.797289518E9</v>
      </c>
      <c r="K241" s="34">
        <v>2.406281775E9</v>
      </c>
      <c r="L241" s="34">
        <v>1281.0</v>
      </c>
      <c r="M241" s="33" t="s">
        <v>153</v>
      </c>
      <c r="N241" s="33">
        <v>24.0</v>
      </c>
      <c r="O241" s="33"/>
      <c r="P241" s="33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1.31105326E8</v>
      </c>
      <c r="B242" s="33" t="s">
        <v>271</v>
      </c>
      <c r="C242" s="34">
        <v>1.476536E7</v>
      </c>
      <c r="D242" s="34">
        <v>52342.0</v>
      </c>
      <c r="E242" s="34">
        <v>0.0</v>
      </c>
      <c r="F242" s="34">
        <v>8582.0</v>
      </c>
      <c r="G242" s="34">
        <v>3649.0</v>
      </c>
      <c r="H242" s="34">
        <v>0.0</v>
      </c>
      <c r="I242" s="34">
        <v>0.0</v>
      </c>
      <c r="J242" s="34">
        <v>7.862566664E9</v>
      </c>
      <c r="K242" s="34">
        <v>9.315666456E9</v>
      </c>
      <c r="L242" s="34">
        <v>1631.0</v>
      </c>
      <c r="M242" s="33" t="s">
        <v>94</v>
      </c>
      <c r="N242" s="33">
        <v>24.0</v>
      </c>
      <c r="O242" s="33"/>
      <c r="P242" s="33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1.44056117E8</v>
      </c>
      <c r="B243" s="33" t="s">
        <v>269</v>
      </c>
      <c r="C243" s="34">
        <v>1.4728011E7</v>
      </c>
      <c r="D243" s="34">
        <v>3285581.0</v>
      </c>
      <c r="E243" s="34">
        <v>1090347.0</v>
      </c>
      <c r="F243" s="34">
        <v>90017.0</v>
      </c>
      <c r="G243" s="34">
        <v>134161.0</v>
      </c>
      <c r="H243" s="34">
        <v>41198.0</v>
      </c>
      <c r="I243" s="34">
        <v>0.0</v>
      </c>
      <c r="J243" s="34">
        <v>2.618983945E9</v>
      </c>
      <c r="K243" s="34">
        <v>1030848.0</v>
      </c>
      <c r="L243" s="34">
        <v>860.0</v>
      </c>
      <c r="M243" s="33" t="s">
        <v>66</v>
      </c>
      <c r="N243" s="33">
        <v>23.0</v>
      </c>
      <c r="O243" s="33"/>
      <c r="P243" s="33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1.92376835E8</v>
      </c>
      <c r="B244" s="33" t="s">
        <v>272</v>
      </c>
      <c r="C244" s="34">
        <v>1.4702941E7</v>
      </c>
      <c r="D244" s="34">
        <v>-1.0</v>
      </c>
      <c r="E244" s="34">
        <v>0.0</v>
      </c>
      <c r="F244" s="34">
        <v>0.0</v>
      </c>
      <c r="G244" s="34">
        <v>0.0</v>
      </c>
      <c r="H244" s="34">
        <v>0.0</v>
      </c>
      <c r="I244" s="34">
        <v>0.0</v>
      </c>
      <c r="J244" s="34">
        <v>5.58052704E9</v>
      </c>
      <c r="K244" s="34">
        <v>2.225148957E9</v>
      </c>
      <c r="L244" s="34">
        <v>1299.0</v>
      </c>
      <c r="M244" s="33" t="s">
        <v>153</v>
      </c>
      <c r="N244" s="33">
        <v>24.0</v>
      </c>
      <c r="O244" s="33"/>
      <c r="P244" s="33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3">
        <v>6.0296031E7</v>
      </c>
      <c r="B245" s="33" t="s">
        <v>259</v>
      </c>
      <c r="C245" s="34">
        <v>1.4415208E7</v>
      </c>
      <c r="D245" s="34">
        <v>1625285.0</v>
      </c>
      <c r="E245" s="34">
        <v>620082.0</v>
      </c>
      <c r="F245" s="34">
        <v>235309.0</v>
      </c>
      <c r="G245" s="34">
        <v>66549.0</v>
      </c>
      <c r="H245" s="34">
        <v>10739.0</v>
      </c>
      <c r="I245" s="34">
        <v>0.0</v>
      </c>
      <c r="J245" s="34">
        <v>1.48746999E8</v>
      </c>
      <c r="K245" s="34">
        <v>1.8999572E7</v>
      </c>
      <c r="L245" s="34">
        <v>1541.0</v>
      </c>
      <c r="M245" s="33" t="s">
        <v>411</v>
      </c>
      <c r="N245" s="33">
        <v>23.0</v>
      </c>
      <c r="O245" s="33"/>
      <c r="P245" s="33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1.77632834E8</v>
      </c>
      <c r="B246" s="33" t="s">
        <v>268</v>
      </c>
      <c r="C246" s="34">
        <v>1.4334425E7</v>
      </c>
      <c r="D246" s="34">
        <v>1711538.0</v>
      </c>
      <c r="E246" s="34">
        <v>980481.0</v>
      </c>
      <c r="F246" s="34">
        <v>1912.0</v>
      </c>
      <c r="G246" s="34">
        <v>19146.0</v>
      </c>
      <c r="H246" s="34">
        <v>75090.0</v>
      </c>
      <c r="I246" s="34">
        <v>0.0</v>
      </c>
      <c r="J246" s="34">
        <v>1.834523919E9</v>
      </c>
      <c r="K246" s="34">
        <v>6.37001512E8</v>
      </c>
      <c r="L246" s="34">
        <v>1172.0</v>
      </c>
      <c r="M246" s="33" t="s">
        <v>147</v>
      </c>
      <c r="N246" s="33">
        <v>24.0</v>
      </c>
      <c r="O246" s="33"/>
      <c r="P246" s="33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9.0073079E7</v>
      </c>
      <c r="B247" s="33" t="s">
        <v>275</v>
      </c>
      <c r="C247" s="34">
        <v>1.4259597E7</v>
      </c>
      <c r="D247" s="34">
        <v>442264.0</v>
      </c>
      <c r="E247" s="34">
        <v>12587.0</v>
      </c>
      <c r="F247" s="34">
        <v>95320.0</v>
      </c>
      <c r="G247" s="34">
        <v>8707.0</v>
      </c>
      <c r="H247" s="34">
        <v>0.0</v>
      </c>
      <c r="I247" s="34">
        <v>0.0</v>
      </c>
      <c r="J247" s="34">
        <v>1.2089063325E10</v>
      </c>
      <c r="K247" s="34">
        <v>1.4086436204E10</v>
      </c>
      <c r="L247" s="34">
        <v>5191.0</v>
      </c>
      <c r="M247" s="33" t="s">
        <v>94</v>
      </c>
      <c r="N247" s="33">
        <v>22.0</v>
      </c>
      <c r="O247" s="33"/>
      <c r="P247" s="33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1.76614955E8</v>
      </c>
      <c r="B248" s="33" t="s">
        <v>274</v>
      </c>
      <c r="C248" s="34">
        <v>1.417268E7</v>
      </c>
      <c r="D248" s="34">
        <v>2911595.0</v>
      </c>
      <c r="E248" s="34">
        <v>178776.0</v>
      </c>
      <c r="F248" s="34">
        <v>206889.0</v>
      </c>
      <c r="G248" s="34">
        <v>246985.0</v>
      </c>
      <c r="H248" s="34">
        <v>1.0</v>
      </c>
      <c r="I248" s="34">
        <v>0.0</v>
      </c>
      <c r="J248" s="34">
        <v>1.0318628686E10</v>
      </c>
      <c r="K248" s="34">
        <v>9.643822428E9</v>
      </c>
      <c r="L248" s="34">
        <v>4983.0</v>
      </c>
      <c r="M248" s="33" t="s">
        <v>153</v>
      </c>
      <c r="N248" s="33">
        <v>24.0</v>
      </c>
      <c r="O248" s="33"/>
      <c r="P248" s="33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1.68857269E8</v>
      </c>
      <c r="B249" s="33" t="s">
        <v>273</v>
      </c>
      <c r="C249" s="34">
        <v>1.4089986E7</v>
      </c>
      <c r="D249" s="34">
        <v>6789291.0</v>
      </c>
      <c r="E249" s="34">
        <v>1357929.0</v>
      </c>
      <c r="F249" s="34">
        <v>39286.0</v>
      </c>
      <c r="G249" s="34">
        <v>609241.0</v>
      </c>
      <c r="H249" s="34">
        <v>31548.0</v>
      </c>
      <c r="I249" s="34">
        <v>0.0</v>
      </c>
      <c r="J249" s="34">
        <v>4.006456684E9</v>
      </c>
      <c r="K249" s="34">
        <v>1.10214296E9</v>
      </c>
      <c r="L249" s="34">
        <v>1629.0</v>
      </c>
      <c r="M249" s="33" t="s">
        <v>153</v>
      </c>
      <c r="N249" s="33">
        <v>24.0</v>
      </c>
      <c r="O249" s="33"/>
      <c r="P249" s="33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8.7312053E7</v>
      </c>
      <c r="B250" s="33" t="s">
        <v>279</v>
      </c>
      <c r="C250" s="34">
        <v>1.401541E7</v>
      </c>
      <c r="D250" s="34">
        <v>1422545.0</v>
      </c>
      <c r="E250" s="34">
        <v>137846.0</v>
      </c>
      <c r="F250" s="34">
        <v>205069.0</v>
      </c>
      <c r="G250" s="34">
        <v>11703.0</v>
      </c>
      <c r="H250" s="34">
        <v>0.0</v>
      </c>
      <c r="I250" s="34">
        <v>0.0</v>
      </c>
      <c r="J250" s="34">
        <v>1.1656042679E10</v>
      </c>
      <c r="K250" s="34">
        <v>1.2757029695E10</v>
      </c>
      <c r="L250" s="34">
        <v>6514.0</v>
      </c>
      <c r="M250" s="33" t="s">
        <v>94</v>
      </c>
      <c r="N250" s="33">
        <v>22.0</v>
      </c>
      <c r="O250" s="33"/>
      <c r="P250" s="33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1">
        <v>1.68821399E8</v>
      </c>
      <c r="B251" s="31" t="s">
        <v>385</v>
      </c>
      <c r="C251" s="32">
        <v>1.3627762E7</v>
      </c>
      <c r="D251" s="32">
        <v>3357118.0</v>
      </c>
      <c r="E251" s="32">
        <v>1916784.0</v>
      </c>
      <c r="F251" s="32">
        <v>328231.0</v>
      </c>
      <c r="G251" s="32">
        <v>286104.0</v>
      </c>
      <c r="H251" s="32">
        <v>14726.0</v>
      </c>
      <c r="I251" s="32">
        <v>0.0</v>
      </c>
      <c r="J251" s="32">
        <v>8.222301729E9</v>
      </c>
      <c r="K251" s="32">
        <v>5.038681193E9</v>
      </c>
      <c r="L251" s="32">
        <v>1812.0</v>
      </c>
      <c r="M251" s="31" t="s">
        <v>430</v>
      </c>
      <c r="N251" s="31">
        <v>25.0</v>
      </c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8.9432154E7</v>
      </c>
      <c r="B252" s="33" t="s">
        <v>285</v>
      </c>
      <c r="C252" s="34">
        <v>1.3551487E7</v>
      </c>
      <c r="D252" s="34">
        <v>2306854.0</v>
      </c>
      <c r="E252" s="34">
        <v>552580.0</v>
      </c>
      <c r="F252" s="34">
        <v>11044.0</v>
      </c>
      <c r="G252" s="34">
        <v>192874.0</v>
      </c>
      <c r="H252" s="34">
        <v>0.0</v>
      </c>
      <c r="I252" s="34">
        <v>0.0</v>
      </c>
      <c r="J252" s="34">
        <v>1.2016144159E10</v>
      </c>
      <c r="K252" s="34">
        <v>1.3664419277E10</v>
      </c>
      <c r="L252" s="34">
        <v>4617.0</v>
      </c>
      <c r="M252" s="33" t="s">
        <v>94</v>
      </c>
      <c r="N252" s="33">
        <v>22.0</v>
      </c>
      <c r="O252" s="33"/>
      <c r="P252" s="33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1.5265234E8</v>
      </c>
      <c r="B253" s="33" t="s">
        <v>286</v>
      </c>
      <c r="C253" s="34">
        <v>1.3539995E7</v>
      </c>
      <c r="D253" s="34">
        <v>3280939.0</v>
      </c>
      <c r="E253" s="34">
        <v>2379037.0</v>
      </c>
      <c r="F253" s="34">
        <v>18066.0</v>
      </c>
      <c r="G253" s="34">
        <v>179178.0</v>
      </c>
      <c r="H253" s="34">
        <v>53452.0</v>
      </c>
      <c r="I253" s="34">
        <v>0.0</v>
      </c>
      <c r="J253" s="34">
        <v>7.949421041E9</v>
      </c>
      <c r="K253" s="34">
        <v>5.89559026E9</v>
      </c>
      <c r="L253" s="34">
        <v>1593.0</v>
      </c>
      <c r="M253" s="33" t="s">
        <v>94</v>
      </c>
      <c r="N253" s="33">
        <v>24.0</v>
      </c>
      <c r="O253" s="33"/>
      <c r="P253" s="33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8.7754003E7</v>
      </c>
      <c r="B254" s="33" t="s">
        <v>470</v>
      </c>
      <c r="C254" s="34">
        <v>1.3352153E7</v>
      </c>
      <c r="D254" s="34">
        <v>478058.0</v>
      </c>
      <c r="E254" s="34">
        <v>11855.0</v>
      </c>
      <c r="F254" s="34">
        <v>98714.0</v>
      </c>
      <c r="G254" s="34">
        <v>9348.0</v>
      </c>
      <c r="H254" s="34">
        <v>0.0</v>
      </c>
      <c r="I254" s="34">
        <v>0.0</v>
      </c>
      <c r="J254" s="34">
        <v>8.515400583E9</v>
      </c>
      <c r="K254" s="34">
        <v>9.381113498E9</v>
      </c>
      <c r="L254" s="34">
        <v>5138.0</v>
      </c>
      <c r="M254" s="33" t="s">
        <v>94</v>
      </c>
      <c r="N254" s="33">
        <v>22.0</v>
      </c>
      <c r="O254" s="33"/>
      <c r="P254" s="33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1">
        <v>1.69610538E8</v>
      </c>
      <c r="B255" s="31" t="s">
        <v>432</v>
      </c>
      <c r="C255" s="32">
        <v>1.3265376E7</v>
      </c>
      <c r="D255" s="32">
        <v>492926.0</v>
      </c>
      <c r="E255" s="32">
        <v>1569585.0</v>
      </c>
      <c r="F255" s="32">
        <v>3.0</v>
      </c>
      <c r="G255" s="32">
        <v>4092.0</v>
      </c>
      <c r="H255" s="32">
        <v>21064.0</v>
      </c>
      <c r="I255" s="32">
        <v>0.0</v>
      </c>
      <c r="J255" s="32">
        <v>9.111540523E9</v>
      </c>
      <c r="K255" s="32">
        <v>6.097343244E9</v>
      </c>
      <c r="L255" s="32">
        <v>1535.0</v>
      </c>
      <c r="M255" s="31" t="s">
        <v>430</v>
      </c>
      <c r="N255" s="31">
        <v>25.0</v>
      </c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1.52653457E8</v>
      </c>
      <c r="B256" s="33" t="s">
        <v>287</v>
      </c>
      <c r="C256" s="34">
        <v>1.3238336E7</v>
      </c>
      <c r="D256" s="34">
        <v>3195669.0</v>
      </c>
      <c r="E256" s="34">
        <v>2692068.0</v>
      </c>
      <c r="F256" s="34">
        <v>37019.0</v>
      </c>
      <c r="G256" s="34">
        <v>144359.0</v>
      </c>
      <c r="H256" s="34">
        <v>72708.0</v>
      </c>
      <c r="I256" s="34">
        <v>0.0</v>
      </c>
      <c r="J256" s="34">
        <v>7.939620813E9</v>
      </c>
      <c r="K256" s="34">
        <v>5.854807495E9</v>
      </c>
      <c r="L256" s="34">
        <v>1516.0</v>
      </c>
      <c r="M256" s="33" t="s">
        <v>94</v>
      </c>
      <c r="N256" s="33">
        <v>24.0</v>
      </c>
      <c r="O256" s="33"/>
      <c r="P256" s="33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4.7157775E7</v>
      </c>
      <c r="B257" s="33" t="s">
        <v>276</v>
      </c>
      <c r="C257" s="34">
        <v>1.3227563E7</v>
      </c>
      <c r="D257" s="34">
        <v>469490.0</v>
      </c>
      <c r="E257" s="34">
        <v>719004.0</v>
      </c>
      <c r="F257" s="34">
        <v>1153.0</v>
      </c>
      <c r="G257" s="34">
        <v>7698.0</v>
      </c>
      <c r="H257" s="34">
        <v>10645.0</v>
      </c>
      <c r="I257" s="34">
        <v>0.0</v>
      </c>
      <c r="J257" s="34">
        <v>2.309881981E10</v>
      </c>
      <c r="K257" s="34">
        <v>2.2769300142E10</v>
      </c>
      <c r="L257" s="34">
        <v>2938.0</v>
      </c>
      <c r="M257" s="33" t="s">
        <v>153</v>
      </c>
      <c r="N257" s="33">
        <v>24.0</v>
      </c>
      <c r="O257" s="33"/>
      <c r="P257" s="33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1">
        <v>1.79651678E8</v>
      </c>
      <c r="B258" s="31" t="s">
        <v>283</v>
      </c>
      <c r="C258" s="32">
        <v>1.3224943E7</v>
      </c>
      <c r="D258" s="32">
        <v>9596330.0</v>
      </c>
      <c r="E258" s="32">
        <v>1786794.0</v>
      </c>
      <c r="F258" s="32">
        <v>593624.0</v>
      </c>
      <c r="G258" s="32">
        <v>647464.0</v>
      </c>
      <c r="H258" s="32">
        <v>145591.0</v>
      </c>
      <c r="I258" s="32">
        <v>0.0</v>
      </c>
      <c r="J258" s="32">
        <v>5.288467124E9</v>
      </c>
      <c r="K258" s="32">
        <v>3.447058363E9</v>
      </c>
      <c r="L258" s="32">
        <v>2179.0</v>
      </c>
      <c r="M258" s="31" t="s">
        <v>147</v>
      </c>
      <c r="N258" s="31">
        <v>25.0</v>
      </c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1.17727896E8</v>
      </c>
      <c r="B259" s="31" t="s">
        <v>471</v>
      </c>
      <c r="C259" s="32">
        <v>1.3212902E7</v>
      </c>
      <c r="D259" s="32">
        <v>2791550.0</v>
      </c>
      <c r="E259" s="32">
        <v>297479.0</v>
      </c>
      <c r="F259" s="32">
        <v>274170.0</v>
      </c>
      <c r="G259" s="32">
        <v>135503.0</v>
      </c>
      <c r="H259" s="32">
        <v>12457.0</v>
      </c>
      <c r="I259" s="32">
        <v>0.0</v>
      </c>
      <c r="J259" s="32">
        <v>1.446722982E9</v>
      </c>
      <c r="K259" s="32">
        <v>6149517.0</v>
      </c>
      <c r="L259" s="32">
        <v>4436.0</v>
      </c>
      <c r="M259" s="31" t="s">
        <v>119</v>
      </c>
      <c r="N259" s="31">
        <v>25.0</v>
      </c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8.7531547E7</v>
      </c>
      <c r="B260" s="33" t="s">
        <v>288</v>
      </c>
      <c r="C260" s="34">
        <v>1.3186886E7</v>
      </c>
      <c r="D260" s="34">
        <v>1588813.0</v>
      </c>
      <c r="E260" s="34">
        <v>692135.0</v>
      </c>
      <c r="F260" s="34">
        <v>309639.0</v>
      </c>
      <c r="G260" s="34">
        <v>82124.0</v>
      </c>
      <c r="H260" s="34">
        <v>962.0</v>
      </c>
      <c r="I260" s="34">
        <v>0.0</v>
      </c>
      <c r="J260" s="34">
        <v>1.0901743565E10</v>
      </c>
      <c r="K260" s="34">
        <v>1.1824939469E10</v>
      </c>
      <c r="L260" s="34">
        <v>4054.0</v>
      </c>
      <c r="M260" s="33" t="s">
        <v>94</v>
      </c>
      <c r="N260" s="33">
        <v>22.0</v>
      </c>
      <c r="O260" s="33"/>
      <c r="P260" s="33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3">
        <v>1.21407372E8</v>
      </c>
      <c r="B261" s="33" t="s">
        <v>433</v>
      </c>
      <c r="C261" s="34">
        <v>1.3151937E7</v>
      </c>
      <c r="D261" s="34">
        <v>212428.0</v>
      </c>
      <c r="E261" s="34">
        <v>59062.0</v>
      </c>
      <c r="F261" s="34">
        <v>10974.0</v>
      </c>
      <c r="G261" s="34">
        <v>8297.0</v>
      </c>
      <c r="H261" s="34">
        <v>0.0</v>
      </c>
      <c r="I261" s="34">
        <v>0.0</v>
      </c>
      <c r="J261" s="34">
        <v>1.439251517E9</v>
      </c>
      <c r="K261" s="34">
        <v>0.0</v>
      </c>
      <c r="L261" s="34">
        <v>683.0</v>
      </c>
      <c r="M261" s="33" t="s">
        <v>119</v>
      </c>
      <c r="N261" s="33">
        <v>24.0</v>
      </c>
      <c r="O261" s="33"/>
      <c r="P261" s="33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1.51248241E8</v>
      </c>
      <c r="B262" s="33" t="s">
        <v>290</v>
      </c>
      <c r="C262" s="34">
        <v>1.3038426E7</v>
      </c>
      <c r="D262" s="34">
        <v>1371541.0</v>
      </c>
      <c r="E262" s="34">
        <v>94486.0</v>
      </c>
      <c r="F262" s="34">
        <v>6395.0</v>
      </c>
      <c r="G262" s="34">
        <v>126790.0</v>
      </c>
      <c r="H262" s="34">
        <v>0.0</v>
      </c>
      <c r="I262" s="34">
        <v>0.0</v>
      </c>
      <c r="J262" s="34">
        <v>2.748506265E9</v>
      </c>
      <c r="K262" s="34">
        <v>7.26817496E8</v>
      </c>
      <c r="L262" s="34">
        <v>5905.0</v>
      </c>
      <c r="M262" s="33" t="s">
        <v>66</v>
      </c>
      <c r="N262" s="33">
        <v>24.0</v>
      </c>
      <c r="O262" s="33"/>
      <c r="P262" s="33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2.4777206E7</v>
      </c>
      <c r="B263" s="33" t="s">
        <v>289</v>
      </c>
      <c r="C263" s="34">
        <v>1.2958324E7</v>
      </c>
      <c r="D263" s="34">
        <v>3178989.0</v>
      </c>
      <c r="E263" s="34">
        <v>1435029.0</v>
      </c>
      <c r="F263" s="34">
        <v>23338.0</v>
      </c>
      <c r="G263" s="34">
        <v>52691.0</v>
      </c>
      <c r="H263" s="34">
        <v>90243.0</v>
      </c>
      <c r="I263" s="34">
        <v>0.0</v>
      </c>
      <c r="J263" s="34">
        <v>4.004185147E9</v>
      </c>
      <c r="K263" s="34">
        <v>6.196163634E9</v>
      </c>
      <c r="L263" s="34">
        <v>2572.0</v>
      </c>
      <c r="M263" s="33" t="s">
        <v>153</v>
      </c>
      <c r="N263" s="33">
        <v>23.0</v>
      </c>
      <c r="O263" s="33"/>
      <c r="P263" s="33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1.44075646E8</v>
      </c>
      <c r="B264" s="33" t="s">
        <v>277</v>
      </c>
      <c r="C264" s="34">
        <v>1.2903976E7</v>
      </c>
      <c r="D264" s="34">
        <v>7432.0</v>
      </c>
      <c r="E264" s="34">
        <v>0.0</v>
      </c>
      <c r="F264" s="34">
        <v>1501.0</v>
      </c>
      <c r="G264" s="34">
        <v>379.0</v>
      </c>
      <c r="H264" s="34">
        <v>0.0</v>
      </c>
      <c r="I264" s="34">
        <v>0.0</v>
      </c>
      <c r="J264" s="34">
        <v>6.30061158E8</v>
      </c>
      <c r="K264" s="34">
        <v>0.0</v>
      </c>
      <c r="L264" s="34">
        <v>432.0</v>
      </c>
      <c r="M264" s="33" t="s">
        <v>165</v>
      </c>
      <c r="N264" s="33">
        <v>22.0</v>
      </c>
      <c r="O264" s="33"/>
      <c r="P264" s="33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1">
        <v>1.80743895E8</v>
      </c>
      <c r="B265" s="31" t="s">
        <v>435</v>
      </c>
      <c r="C265" s="32">
        <v>1.2885777E7</v>
      </c>
      <c r="D265" s="32">
        <v>1283072.0</v>
      </c>
      <c r="E265" s="32">
        <v>1893314.0</v>
      </c>
      <c r="F265" s="32">
        <v>4711.0</v>
      </c>
      <c r="G265" s="32">
        <v>13098.0</v>
      </c>
      <c r="H265" s="32">
        <v>56755.0</v>
      </c>
      <c r="I265" s="32">
        <v>0.0</v>
      </c>
      <c r="J265" s="32">
        <v>4.331627507E9</v>
      </c>
      <c r="K265" s="32">
        <v>3.349477122E9</v>
      </c>
      <c r="L265" s="32">
        <v>1959.0</v>
      </c>
      <c r="M265" s="31" t="s">
        <v>153</v>
      </c>
      <c r="N265" s="31">
        <v>25.0</v>
      </c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1">
        <v>1.00844055E8</v>
      </c>
      <c r="B266" s="31" t="s">
        <v>386</v>
      </c>
      <c r="C266" s="32">
        <v>1.2639526E7</v>
      </c>
      <c r="D266" s="32">
        <v>8818085.0</v>
      </c>
      <c r="E266" s="32">
        <v>1945308.0</v>
      </c>
      <c r="F266" s="32">
        <v>18479.0</v>
      </c>
      <c r="G266" s="32">
        <v>815682.0</v>
      </c>
      <c r="H266" s="32">
        <v>22112.0</v>
      </c>
      <c r="I266" s="32">
        <v>0.0</v>
      </c>
      <c r="J266" s="32">
        <v>3.60688916E9</v>
      </c>
      <c r="K266" s="32">
        <v>1.980573306E9</v>
      </c>
      <c r="L266" s="32">
        <v>7450.0</v>
      </c>
      <c r="M266" s="31" t="s">
        <v>153</v>
      </c>
      <c r="N266" s="31">
        <v>25.0</v>
      </c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1.78759749E8</v>
      </c>
      <c r="B267" s="33" t="s">
        <v>294</v>
      </c>
      <c r="C267" s="34">
        <v>1.2583559E7</v>
      </c>
      <c r="D267" s="34">
        <v>123088.0</v>
      </c>
      <c r="E267" s="34">
        <v>127880.0</v>
      </c>
      <c r="F267" s="34">
        <v>362.0</v>
      </c>
      <c r="G267" s="34">
        <v>8565.0</v>
      </c>
      <c r="H267" s="34">
        <v>0.0</v>
      </c>
      <c r="I267" s="34">
        <v>0.0</v>
      </c>
      <c r="J267" s="34">
        <v>6.713349025E9</v>
      </c>
      <c r="K267" s="34">
        <v>5.702011369E9</v>
      </c>
      <c r="L267" s="34">
        <v>1498.0</v>
      </c>
      <c r="M267" s="33" t="s">
        <v>153</v>
      </c>
      <c r="N267" s="33">
        <v>24.0</v>
      </c>
      <c r="O267" s="33"/>
      <c r="P267" s="33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7.7397858E7</v>
      </c>
      <c r="B268" s="33" t="s">
        <v>297</v>
      </c>
      <c r="C268" s="34">
        <v>1.2566635E7</v>
      </c>
      <c r="D268" s="34">
        <v>6039713.0</v>
      </c>
      <c r="E268" s="34">
        <v>1121881.0</v>
      </c>
      <c r="F268" s="34">
        <v>201117.0</v>
      </c>
      <c r="G268" s="34">
        <v>295460.0</v>
      </c>
      <c r="H268" s="34">
        <v>51656.0</v>
      </c>
      <c r="I268" s="34">
        <v>0.0</v>
      </c>
      <c r="J268" s="34">
        <v>7.21492209E8</v>
      </c>
      <c r="K268" s="34">
        <v>0.0</v>
      </c>
      <c r="L268" s="34">
        <v>1095.0</v>
      </c>
      <c r="M268" s="33" t="s">
        <v>66</v>
      </c>
      <c r="N268" s="33">
        <v>23.0</v>
      </c>
      <c r="O268" s="33"/>
      <c r="P268" s="33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1.44003473E8</v>
      </c>
      <c r="B269" s="33" t="s">
        <v>295</v>
      </c>
      <c r="C269" s="34">
        <v>1.2551692E7</v>
      </c>
      <c r="D269" s="34">
        <v>2748308.0</v>
      </c>
      <c r="E269" s="34">
        <v>799051.0</v>
      </c>
      <c r="F269" s="34">
        <v>10740.0</v>
      </c>
      <c r="G269" s="34">
        <v>206424.0</v>
      </c>
      <c r="H269" s="34">
        <v>26473.0</v>
      </c>
      <c r="I269" s="34">
        <v>0.0</v>
      </c>
      <c r="J269" s="34">
        <v>6.46475278E9</v>
      </c>
      <c r="K269" s="34">
        <v>3.39326158E9</v>
      </c>
      <c r="L269" s="34">
        <v>2514.0</v>
      </c>
      <c r="M269" s="33" t="s">
        <v>430</v>
      </c>
      <c r="N269" s="33">
        <v>24.0</v>
      </c>
      <c r="O269" s="33"/>
      <c r="P269" s="33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1.77225071E8</v>
      </c>
      <c r="B270" s="33" t="s">
        <v>298</v>
      </c>
      <c r="C270" s="34">
        <v>1.2542369E7</v>
      </c>
      <c r="D270" s="34">
        <v>1033872.0</v>
      </c>
      <c r="E270" s="34">
        <v>2192960.0</v>
      </c>
      <c r="F270" s="34">
        <v>662231.0</v>
      </c>
      <c r="G270" s="34">
        <v>58320.0</v>
      </c>
      <c r="H270" s="34">
        <v>9575.0</v>
      </c>
      <c r="I270" s="34">
        <v>0.0</v>
      </c>
      <c r="J270" s="34">
        <v>6.072262102E9</v>
      </c>
      <c r="K270" s="34">
        <v>5.689647737E9</v>
      </c>
      <c r="L270" s="34">
        <v>1454.0</v>
      </c>
      <c r="M270" s="33" t="s">
        <v>147</v>
      </c>
      <c r="N270" s="33">
        <v>24.0</v>
      </c>
      <c r="O270" s="33"/>
      <c r="P270" s="33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1.77647871E8</v>
      </c>
      <c r="B271" s="33" t="s">
        <v>293</v>
      </c>
      <c r="C271" s="34">
        <v>1.2475523E7</v>
      </c>
      <c r="D271" s="34">
        <v>255311.0</v>
      </c>
      <c r="E271" s="34">
        <v>0.0</v>
      </c>
      <c r="F271" s="34">
        <v>21295.0</v>
      </c>
      <c r="G271" s="34">
        <v>14770.0</v>
      </c>
      <c r="H271" s="34">
        <v>0.0</v>
      </c>
      <c r="I271" s="34">
        <v>0.0</v>
      </c>
      <c r="J271" s="34">
        <v>2.1340793E9</v>
      </c>
      <c r="K271" s="34">
        <v>2.153868023E9</v>
      </c>
      <c r="L271" s="34">
        <v>785.0</v>
      </c>
      <c r="M271" s="33" t="s">
        <v>153</v>
      </c>
      <c r="N271" s="33">
        <v>23.0</v>
      </c>
      <c r="O271" s="33"/>
      <c r="P271" s="33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1.90202885E8</v>
      </c>
      <c r="B272" s="33" t="s">
        <v>278</v>
      </c>
      <c r="C272" s="34">
        <v>1.2385913E7</v>
      </c>
      <c r="D272" s="34">
        <v>6.0</v>
      </c>
      <c r="E272" s="34">
        <v>0.0</v>
      </c>
      <c r="F272" s="34">
        <v>30.0</v>
      </c>
      <c r="G272" s="34">
        <v>0.0</v>
      </c>
      <c r="H272" s="34">
        <v>0.0</v>
      </c>
      <c r="I272" s="34">
        <v>0.0</v>
      </c>
      <c r="J272" s="34">
        <v>2.717775203E9</v>
      </c>
      <c r="K272" s="34">
        <v>1.05660658E9</v>
      </c>
      <c r="L272" s="34">
        <v>1116.0</v>
      </c>
      <c r="M272" s="33" t="s">
        <v>153</v>
      </c>
      <c r="N272" s="33">
        <v>23.0</v>
      </c>
      <c r="O272" s="33"/>
      <c r="P272" s="33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1">
        <v>6.5702055E7</v>
      </c>
      <c r="B273" s="31" t="s">
        <v>302</v>
      </c>
      <c r="C273" s="32">
        <v>1.2365375E7</v>
      </c>
      <c r="D273" s="32">
        <v>506067.0</v>
      </c>
      <c r="E273" s="32">
        <v>795024.0</v>
      </c>
      <c r="F273" s="32">
        <v>28966.0</v>
      </c>
      <c r="G273" s="32">
        <v>25195.0</v>
      </c>
      <c r="H273" s="32">
        <v>3024.0</v>
      </c>
      <c r="I273" s="32">
        <v>0.0</v>
      </c>
      <c r="J273" s="32">
        <v>9.707162543E9</v>
      </c>
      <c r="K273" s="32">
        <v>1.0218488381E10</v>
      </c>
      <c r="L273" s="32">
        <v>2165.0</v>
      </c>
      <c r="M273" s="31" t="s">
        <v>153</v>
      </c>
      <c r="N273" s="31">
        <v>25.0</v>
      </c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8.7273183E7</v>
      </c>
      <c r="B274" s="33" t="s">
        <v>301</v>
      </c>
      <c r="C274" s="34">
        <v>1.2358011E7</v>
      </c>
      <c r="D274" s="34">
        <v>1562113.0</v>
      </c>
      <c r="E274" s="34">
        <v>629419.0</v>
      </c>
      <c r="F274" s="34">
        <v>84546.0</v>
      </c>
      <c r="G274" s="34">
        <v>135458.0</v>
      </c>
      <c r="H274" s="34">
        <v>0.0</v>
      </c>
      <c r="I274" s="34">
        <v>0.0</v>
      </c>
      <c r="J274" s="34">
        <v>1.1470789167E10</v>
      </c>
      <c r="K274" s="34">
        <v>1.2230901439E10</v>
      </c>
      <c r="L274" s="34">
        <v>4489.0</v>
      </c>
      <c r="M274" s="33" t="s">
        <v>94</v>
      </c>
      <c r="N274" s="33">
        <v>22.0</v>
      </c>
      <c r="O274" s="33"/>
      <c r="P274" s="33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1.77721232E8</v>
      </c>
      <c r="B275" s="33" t="s">
        <v>299</v>
      </c>
      <c r="C275" s="34">
        <v>1.2332386E7</v>
      </c>
      <c r="D275" s="34">
        <v>169357.0</v>
      </c>
      <c r="E275" s="34">
        <v>716670.0</v>
      </c>
      <c r="F275" s="34">
        <v>3768.0</v>
      </c>
      <c r="G275" s="34">
        <v>16742.0</v>
      </c>
      <c r="H275" s="34">
        <v>0.0</v>
      </c>
      <c r="I275" s="34">
        <v>0.0</v>
      </c>
      <c r="J275" s="34">
        <v>8.025599084E9</v>
      </c>
      <c r="K275" s="34">
        <v>7.889427E9</v>
      </c>
      <c r="L275" s="34">
        <v>2714.0</v>
      </c>
      <c r="M275" s="33" t="s">
        <v>153</v>
      </c>
      <c r="N275" s="33">
        <v>23.0</v>
      </c>
      <c r="O275" s="33"/>
      <c r="P275" s="33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1.91592529E8</v>
      </c>
      <c r="B276" s="33" t="s">
        <v>472</v>
      </c>
      <c r="C276" s="34">
        <v>1.232497E7</v>
      </c>
      <c r="D276" s="34">
        <v>1.2856829E7</v>
      </c>
      <c r="E276" s="34">
        <v>1724797.0</v>
      </c>
      <c r="F276" s="34">
        <v>799986.0</v>
      </c>
      <c r="G276" s="34">
        <v>818352.0</v>
      </c>
      <c r="H276" s="34">
        <v>90639.0</v>
      </c>
      <c r="I276" s="34">
        <v>0.0</v>
      </c>
      <c r="J276" s="34">
        <v>1.054917255E9</v>
      </c>
      <c r="K276" s="34">
        <v>1.48087262E8</v>
      </c>
      <c r="L276" s="34">
        <v>2694.0</v>
      </c>
      <c r="M276" s="33" t="s">
        <v>147</v>
      </c>
      <c r="N276" s="33">
        <v>24.0</v>
      </c>
      <c r="O276" s="33"/>
      <c r="P276" s="33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1">
        <v>1.4402991E8</v>
      </c>
      <c r="B277" s="31" t="s">
        <v>296</v>
      </c>
      <c r="C277" s="32">
        <v>1.221402E7</v>
      </c>
      <c r="D277" s="32">
        <v>6837594.0</v>
      </c>
      <c r="E277" s="32">
        <v>1758438.0</v>
      </c>
      <c r="F277" s="32">
        <v>22980.0</v>
      </c>
      <c r="G277" s="32">
        <v>464968.0</v>
      </c>
      <c r="H277" s="32">
        <v>71229.0</v>
      </c>
      <c r="I277" s="32">
        <v>0.0</v>
      </c>
      <c r="J277" s="32">
        <v>6.13312778E9</v>
      </c>
      <c r="K277" s="32">
        <v>4.559048087E9</v>
      </c>
      <c r="L277" s="32">
        <v>3241.0</v>
      </c>
      <c r="M277" s="31" t="s">
        <v>373</v>
      </c>
      <c r="N277" s="31">
        <v>25.0</v>
      </c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3">
        <v>1.38285772E8</v>
      </c>
      <c r="B278" s="33" t="s">
        <v>305</v>
      </c>
      <c r="C278" s="34">
        <v>1.1903177E7</v>
      </c>
      <c r="D278" s="34">
        <v>188240.0</v>
      </c>
      <c r="E278" s="34">
        <v>31313.0</v>
      </c>
      <c r="F278" s="34">
        <v>0.0</v>
      </c>
      <c r="G278" s="34">
        <v>18824.0</v>
      </c>
      <c r="H278" s="34">
        <v>0.0</v>
      </c>
      <c r="I278" s="34">
        <v>0.0</v>
      </c>
      <c r="J278" s="34">
        <v>7.138851961E9</v>
      </c>
      <c r="K278" s="34">
        <v>9.257324727E9</v>
      </c>
      <c r="L278" s="34">
        <v>1435.0</v>
      </c>
      <c r="M278" s="33" t="s">
        <v>94</v>
      </c>
      <c r="N278" s="33">
        <v>24.0</v>
      </c>
      <c r="O278" s="33"/>
      <c r="P278" s="33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1.6604384E8</v>
      </c>
      <c r="B279" s="33" t="s">
        <v>306</v>
      </c>
      <c r="C279" s="34">
        <v>1.18477E7</v>
      </c>
      <c r="D279" s="34">
        <v>36517.0</v>
      </c>
      <c r="E279" s="34">
        <v>0.0</v>
      </c>
      <c r="F279" s="34">
        <v>7887.0</v>
      </c>
      <c r="G279" s="34">
        <v>3055.0</v>
      </c>
      <c r="H279" s="34">
        <v>0.0</v>
      </c>
      <c r="I279" s="34">
        <v>0.0</v>
      </c>
      <c r="J279" s="34">
        <v>7.875424291E9</v>
      </c>
      <c r="K279" s="34">
        <v>7.823731124E9</v>
      </c>
      <c r="L279" s="34">
        <v>2958.0</v>
      </c>
      <c r="M279" s="33" t="s">
        <v>66</v>
      </c>
      <c r="N279" s="33">
        <v>23.0</v>
      </c>
      <c r="O279" s="33"/>
      <c r="P279" s="33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1">
        <v>9.6284047E7</v>
      </c>
      <c r="B280" s="31" t="s">
        <v>473</v>
      </c>
      <c r="C280" s="32">
        <v>1.1812141E7</v>
      </c>
      <c r="D280" s="32">
        <v>43742.0</v>
      </c>
      <c r="E280" s="32">
        <v>57258.0</v>
      </c>
      <c r="F280" s="32">
        <v>913.0</v>
      </c>
      <c r="G280" s="32">
        <v>1456.0</v>
      </c>
      <c r="H280" s="32">
        <v>1390.0</v>
      </c>
      <c r="I280" s="32">
        <v>0.0</v>
      </c>
      <c r="J280" s="32">
        <v>2.172838719E9</v>
      </c>
      <c r="K280" s="32">
        <v>1.994469657E9</v>
      </c>
      <c r="L280" s="32">
        <v>964.0</v>
      </c>
      <c r="M280" s="31" t="s">
        <v>147</v>
      </c>
      <c r="N280" s="31">
        <v>25.0</v>
      </c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6.7568162E7</v>
      </c>
      <c r="B281" s="33" t="s">
        <v>300</v>
      </c>
      <c r="C281" s="34">
        <v>1.1860435E7</v>
      </c>
      <c r="D281" s="34">
        <v>202704.0</v>
      </c>
      <c r="E281" s="34">
        <v>42020.0</v>
      </c>
      <c r="F281" s="34">
        <v>26634.0</v>
      </c>
      <c r="G281" s="34">
        <v>0.0</v>
      </c>
      <c r="H281" s="34">
        <v>5336.0</v>
      </c>
      <c r="I281" s="34">
        <v>0.0</v>
      </c>
      <c r="J281" s="34">
        <v>5.781507502E9</v>
      </c>
      <c r="K281" s="34">
        <v>3.794132451E9</v>
      </c>
      <c r="L281" s="34">
        <v>1596.0</v>
      </c>
      <c r="M281" s="33" t="s">
        <v>153</v>
      </c>
      <c r="N281" s="33">
        <v>24.0</v>
      </c>
      <c r="O281" s="33"/>
      <c r="P281" s="33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1">
        <v>1.52201713E8</v>
      </c>
      <c r="B282" s="31" t="s">
        <v>436</v>
      </c>
      <c r="C282" s="32">
        <v>1.1688249E7</v>
      </c>
      <c r="D282" s="32">
        <v>909034.0</v>
      </c>
      <c r="E282" s="32">
        <v>1197900.0</v>
      </c>
      <c r="F282" s="32">
        <v>0.0</v>
      </c>
      <c r="G282" s="32">
        <v>79442.0</v>
      </c>
      <c r="H282" s="32">
        <v>4810.0</v>
      </c>
      <c r="I282" s="32">
        <v>0.0</v>
      </c>
      <c r="J282" s="32">
        <v>2.740995482E9</v>
      </c>
      <c r="K282" s="32">
        <v>1.843640216E9</v>
      </c>
      <c r="L282" s="32">
        <v>900.0</v>
      </c>
      <c r="M282" s="31" t="s">
        <v>153</v>
      </c>
      <c r="N282" s="31">
        <v>25.0</v>
      </c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1.57465282E8</v>
      </c>
      <c r="B283" s="33" t="s">
        <v>474</v>
      </c>
      <c r="C283" s="34">
        <v>1.1630989E7</v>
      </c>
      <c r="D283" s="34">
        <v>1059330.0</v>
      </c>
      <c r="E283" s="34">
        <v>435892.0</v>
      </c>
      <c r="F283" s="34">
        <v>81933.0</v>
      </c>
      <c r="G283" s="34">
        <v>58926.0</v>
      </c>
      <c r="H283" s="34">
        <v>5178.0</v>
      </c>
      <c r="I283" s="34">
        <v>0.0</v>
      </c>
      <c r="J283" s="34">
        <v>8.054533338E9</v>
      </c>
      <c r="K283" s="34">
        <v>2.366887416E9</v>
      </c>
      <c r="L283" s="34">
        <v>1824.0</v>
      </c>
      <c r="M283" s="33" t="s">
        <v>165</v>
      </c>
      <c r="N283" s="33">
        <v>22.0</v>
      </c>
      <c r="O283" s="33"/>
      <c r="P283" s="33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1.44098997E8</v>
      </c>
      <c r="B284" s="33" t="s">
        <v>437</v>
      </c>
      <c r="C284" s="34">
        <v>1.1624335E7</v>
      </c>
      <c r="D284" s="34">
        <v>2085911.0</v>
      </c>
      <c r="E284" s="34">
        <v>1773255.0</v>
      </c>
      <c r="F284" s="34">
        <v>121189.0</v>
      </c>
      <c r="G284" s="34">
        <v>57689.0</v>
      </c>
      <c r="H284" s="34">
        <v>40024.0</v>
      </c>
      <c r="I284" s="34">
        <v>0.0</v>
      </c>
      <c r="J284" s="34">
        <v>1.622310278E9</v>
      </c>
      <c r="K284" s="34">
        <v>3047603.0</v>
      </c>
      <c r="L284" s="34">
        <v>1458.0</v>
      </c>
      <c r="M284" s="33" t="s">
        <v>126</v>
      </c>
      <c r="N284" s="33">
        <v>24.0</v>
      </c>
      <c r="O284" s="33"/>
      <c r="P284" s="33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1.4410611E8</v>
      </c>
      <c r="B285" s="33" t="s">
        <v>388</v>
      </c>
      <c r="C285" s="34">
        <v>1.1620614E7</v>
      </c>
      <c r="D285" s="34">
        <v>656603.0</v>
      </c>
      <c r="E285" s="34">
        <v>5965.0</v>
      </c>
      <c r="F285" s="34">
        <v>10778.0</v>
      </c>
      <c r="G285" s="34">
        <v>43294.0</v>
      </c>
      <c r="H285" s="34">
        <v>9312.0</v>
      </c>
      <c r="I285" s="34">
        <v>0.0</v>
      </c>
      <c r="J285" s="34">
        <v>5.01095304E8</v>
      </c>
      <c r="K285" s="34">
        <v>1460384.0</v>
      </c>
      <c r="L285" s="34">
        <v>62.0</v>
      </c>
      <c r="M285" s="33" t="s">
        <v>66</v>
      </c>
      <c r="N285" s="33">
        <v>24.0</v>
      </c>
      <c r="O285" s="33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1.28382827E8</v>
      </c>
      <c r="B286" s="33" t="s">
        <v>312</v>
      </c>
      <c r="C286" s="34">
        <v>1.1428692E7</v>
      </c>
      <c r="D286" s="34">
        <v>5689027.0</v>
      </c>
      <c r="E286" s="34">
        <v>1604666.0</v>
      </c>
      <c r="F286" s="34">
        <v>26229.0</v>
      </c>
      <c r="G286" s="34">
        <v>520858.0</v>
      </c>
      <c r="H286" s="34">
        <v>20165.0</v>
      </c>
      <c r="I286" s="34">
        <v>0.0</v>
      </c>
      <c r="J286" s="34">
        <v>9.739410232E9</v>
      </c>
      <c r="K286" s="34">
        <v>1.1508192512E10</v>
      </c>
      <c r="L286" s="34">
        <v>2115.0</v>
      </c>
      <c r="M286" s="33" t="s">
        <v>94</v>
      </c>
      <c r="N286" s="33">
        <v>24.0</v>
      </c>
      <c r="O286" s="33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1.53291798E8</v>
      </c>
      <c r="B287" s="33" t="s">
        <v>475</v>
      </c>
      <c r="C287" s="34">
        <v>1.1353977E7</v>
      </c>
      <c r="D287" s="34">
        <v>642634.0</v>
      </c>
      <c r="E287" s="34">
        <v>795534.0</v>
      </c>
      <c r="F287" s="34">
        <v>15153.0</v>
      </c>
      <c r="G287" s="34">
        <v>24911.0</v>
      </c>
      <c r="H287" s="34">
        <v>2253.0</v>
      </c>
      <c r="I287" s="34">
        <v>0.0</v>
      </c>
      <c r="J287" s="34">
        <v>8.795077936E9</v>
      </c>
      <c r="K287" s="34">
        <v>8.253256769E9</v>
      </c>
      <c r="L287" s="34">
        <v>2428.0</v>
      </c>
      <c r="M287" s="33" t="s">
        <v>66</v>
      </c>
      <c r="N287" s="33">
        <v>23.0</v>
      </c>
      <c r="O287" s="33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1">
        <v>1.84527302E8</v>
      </c>
      <c r="B288" s="31" t="s">
        <v>304</v>
      </c>
      <c r="C288" s="32">
        <v>1.1330442E7</v>
      </c>
      <c r="D288" s="32">
        <v>67130.0</v>
      </c>
      <c r="E288" s="32">
        <v>67634.0</v>
      </c>
      <c r="F288" s="32">
        <v>0.0</v>
      </c>
      <c r="G288" s="32">
        <v>1877.0</v>
      </c>
      <c r="H288" s="32">
        <v>2418.0</v>
      </c>
      <c r="I288" s="32">
        <v>0.0</v>
      </c>
      <c r="J288" s="32">
        <v>2.320390032E9</v>
      </c>
      <c r="K288" s="32">
        <v>5.646275642E9</v>
      </c>
      <c r="L288" s="32">
        <v>588.0</v>
      </c>
      <c r="M288" s="31" t="s">
        <v>66</v>
      </c>
      <c r="N288" s="31">
        <v>25.0</v>
      </c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1.43566987E8</v>
      </c>
      <c r="B289" s="33" t="s">
        <v>476</v>
      </c>
      <c r="C289" s="34">
        <v>1.1304918E7</v>
      </c>
      <c r="D289" s="34">
        <v>8883694.0</v>
      </c>
      <c r="E289" s="34">
        <v>822911.0</v>
      </c>
      <c r="F289" s="34">
        <v>517584.0</v>
      </c>
      <c r="G289" s="34">
        <v>382774.0</v>
      </c>
      <c r="H289" s="34">
        <v>148852.0</v>
      </c>
      <c r="I289" s="34">
        <v>0.0</v>
      </c>
      <c r="J289" s="34">
        <v>6.65822284E8</v>
      </c>
      <c r="K289" s="34">
        <v>1.18868156E8</v>
      </c>
      <c r="L289" s="34">
        <v>10243.0</v>
      </c>
      <c r="M289" s="33" t="s">
        <v>66</v>
      </c>
      <c r="N289" s="33">
        <v>24.0</v>
      </c>
      <c r="O289" s="33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6.9287686E7</v>
      </c>
      <c r="B290" s="33" t="s">
        <v>316</v>
      </c>
      <c r="C290" s="34">
        <v>1.1146893E7</v>
      </c>
      <c r="D290" s="34">
        <v>2027902.0</v>
      </c>
      <c r="E290" s="34">
        <v>235658.0</v>
      </c>
      <c r="F290" s="34">
        <v>457711.0</v>
      </c>
      <c r="G290" s="34">
        <v>39331.0</v>
      </c>
      <c r="H290" s="34">
        <v>0.0</v>
      </c>
      <c r="I290" s="34">
        <v>0.0</v>
      </c>
      <c r="J290" s="34">
        <v>6.120533701E9</v>
      </c>
      <c r="K290" s="34">
        <v>5.712717325E9</v>
      </c>
      <c r="L290" s="34">
        <v>3858.0</v>
      </c>
      <c r="M290" s="33" t="s">
        <v>94</v>
      </c>
      <c r="N290" s="33">
        <v>24.0</v>
      </c>
      <c r="O290" s="33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3.1303775E7</v>
      </c>
      <c r="B291" s="33" t="s">
        <v>311</v>
      </c>
      <c r="C291" s="34">
        <v>1.1119935E7</v>
      </c>
      <c r="D291" s="34">
        <v>8644167.0</v>
      </c>
      <c r="E291" s="34">
        <v>1667127.0</v>
      </c>
      <c r="F291" s="34">
        <v>297318.0</v>
      </c>
      <c r="G291" s="34">
        <v>388443.0</v>
      </c>
      <c r="H291" s="34">
        <v>111080.0</v>
      </c>
      <c r="I291" s="34">
        <v>0.0</v>
      </c>
      <c r="J291" s="34">
        <v>4.088717654E9</v>
      </c>
      <c r="K291" s="34">
        <v>6.02326523E9</v>
      </c>
      <c r="L291" s="34">
        <v>1822.0</v>
      </c>
      <c r="M291" s="33" t="s">
        <v>153</v>
      </c>
      <c r="N291" s="33">
        <v>24.0</v>
      </c>
      <c r="O291" s="33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1.85532677E8</v>
      </c>
      <c r="B292" s="33" t="s">
        <v>477</v>
      </c>
      <c r="C292" s="34">
        <v>1.0999517E7</v>
      </c>
      <c r="D292" s="34">
        <v>645314.0</v>
      </c>
      <c r="E292" s="34">
        <v>77403.0</v>
      </c>
      <c r="F292" s="34">
        <v>59584.0</v>
      </c>
      <c r="G292" s="34">
        <v>9225.0</v>
      </c>
      <c r="H292" s="34">
        <v>3801.0</v>
      </c>
      <c r="I292" s="34">
        <v>0.0</v>
      </c>
      <c r="J292" s="34">
        <v>1.865030555E9</v>
      </c>
      <c r="K292" s="34">
        <v>572583.0</v>
      </c>
      <c r="L292" s="34">
        <v>3070.0</v>
      </c>
      <c r="M292" s="33" t="s">
        <v>66</v>
      </c>
      <c r="N292" s="33">
        <v>23.0</v>
      </c>
      <c r="O292" s="33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1.67125555E8</v>
      </c>
      <c r="B293" s="33" t="s">
        <v>318</v>
      </c>
      <c r="C293" s="34">
        <v>1.0873312E7</v>
      </c>
      <c r="D293" s="34">
        <v>53959.0</v>
      </c>
      <c r="E293" s="34">
        <v>0.0</v>
      </c>
      <c r="F293" s="34">
        <v>2077.0</v>
      </c>
      <c r="G293" s="34">
        <v>4939.0</v>
      </c>
      <c r="H293" s="34">
        <v>0.0</v>
      </c>
      <c r="I293" s="34">
        <v>0.0</v>
      </c>
      <c r="J293" s="34">
        <v>7.515250099E9</v>
      </c>
      <c r="K293" s="34">
        <v>7.193569092E9</v>
      </c>
      <c r="L293" s="34">
        <v>1618.0</v>
      </c>
      <c r="M293" s="33" t="s">
        <v>94</v>
      </c>
      <c r="N293" s="33">
        <v>23.0</v>
      </c>
      <c r="O293" s="33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9.9531415E7</v>
      </c>
      <c r="B294" s="33" t="s">
        <v>392</v>
      </c>
      <c r="C294" s="34">
        <v>1.0863756E7</v>
      </c>
      <c r="D294" s="34">
        <v>7180678.0</v>
      </c>
      <c r="E294" s="34">
        <v>1583779.0</v>
      </c>
      <c r="F294" s="34">
        <v>549491.0</v>
      </c>
      <c r="G294" s="34">
        <v>192250.0</v>
      </c>
      <c r="H294" s="34">
        <v>89047.0</v>
      </c>
      <c r="I294" s="34">
        <v>0.0</v>
      </c>
      <c r="J294" s="34">
        <v>9.06363485E8</v>
      </c>
      <c r="K294" s="34">
        <v>1.0635596E7</v>
      </c>
      <c r="L294" s="34">
        <v>2697.0</v>
      </c>
      <c r="M294" s="33" t="s">
        <v>66</v>
      </c>
      <c r="N294" s="33">
        <v>23.0</v>
      </c>
      <c r="O294" s="33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1.4410355E8</v>
      </c>
      <c r="B295" s="33" t="s">
        <v>389</v>
      </c>
      <c r="C295" s="34">
        <v>1.0821958E7</v>
      </c>
      <c r="D295" s="34">
        <v>2832430.0</v>
      </c>
      <c r="E295" s="34">
        <v>721357.0</v>
      </c>
      <c r="F295" s="34">
        <v>53764.0</v>
      </c>
      <c r="G295" s="34">
        <v>127406.0</v>
      </c>
      <c r="H295" s="34">
        <v>62037.0</v>
      </c>
      <c r="I295" s="34">
        <v>0.0</v>
      </c>
      <c r="J295" s="34">
        <v>7.8384522E8</v>
      </c>
      <c r="K295" s="34">
        <v>28750.0</v>
      </c>
      <c r="L295" s="34">
        <v>2050.0</v>
      </c>
      <c r="M295" s="33" t="s">
        <v>66</v>
      </c>
      <c r="N295" s="33">
        <v>23.0</v>
      </c>
      <c r="O295" s="33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1.59650107E8</v>
      </c>
      <c r="B296" s="33" t="s">
        <v>319</v>
      </c>
      <c r="C296" s="34">
        <v>1.0659666E7</v>
      </c>
      <c r="D296" s="34">
        <v>1536602.0</v>
      </c>
      <c r="E296" s="34">
        <v>1041916.0</v>
      </c>
      <c r="F296" s="34">
        <v>7593.0</v>
      </c>
      <c r="G296" s="34">
        <v>41874.0</v>
      </c>
      <c r="H296" s="34">
        <v>55798.0</v>
      </c>
      <c r="I296" s="34">
        <v>0.0</v>
      </c>
      <c r="J296" s="34">
        <v>3.839294585E9</v>
      </c>
      <c r="K296" s="34">
        <v>6.306110993E9</v>
      </c>
      <c r="L296" s="34">
        <v>1033.0</v>
      </c>
      <c r="M296" s="33" t="s">
        <v>153</v>
      </c>
      <c r="N296" s="33">
        <v>22.0</v>
      </c>
      <c r="O296" s="33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2.02638038E8</v>
      </c>
      <c r="B297" s="33" t="s">
        <v>322</v>
      </c>
      <c r="C297" s="34">
        <v>1.0591497E7</v>
      </c>
      <c r="D297" s="34">
        <v>145261.0</v>
      </c>
      <c r="E297" s="34">
        <v>30575.0</v>
      </c>
      <c r="F297" s="34">
        <v>456.0</v>
      </c>
      <c r="G297" s="34">
        <v>829.0</v>
      </c>
      <c r="H297" s="34">
        <v>6844.0</v>
      </c>
      <c r="I297" s="34">
        <v>0.0</v>
      </c>
      <c r="J297" s="34">
        <v>5.34550642E9</v>
      </c>
      <c r="K297" s="34">
        <v>3.246591544E9</v>
      </c>
      <c r="L297" s="34">
        <v>816.0</v>
      </c>
      <c r="M297" s="33" t="s">
        <v>165</v>
      </c>
      <c r="N297" s="33">
        <v>23.0</v>
      </c>
      <c r="O297" s="33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1.66124388E8</v>
      </c>
      <c r="B298" s="33" t="s">
        <v>323</v>
      </c>
      <c r="C298" s="34">
        <v>1.0425622E7</v>
      </c>
      <c r="D298" s="34">
        <v>2289901.0</v>
      </c>
      <c r="E298" s="34">
        <v>910305.0</v>
      </c>
      <c r="F298" s="34">
        <v>71285.0</v>
      </c>
      <c r="G298" s="34">
        <v>187987.0</v>
      </c>
      <c r="H298" s="34">
        <v>18297.0</v>
      </c>
      <c r="I298" s="34">
        <v>0.0</v>
      </c>
      <c r="J298" s="34">
        <v>3.990603994E9</v>
      </c>
      <c r="K298" s="34">
        <v>2.79174755E9</v>
      </c>
      <c r="L298" s="34">
        <v>1541.0</v>
      </c>
      <c r="M298" s="33" t="s">
        <v>94</v>
      </c>
      <c r="N298" s="33">
        <v>23.0</v>
      </c>
      <c r="O298" s="33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1.9932468E8</v>
      </c>
      <c r="B299" s="33" t="s">
        <v>314</v>
      </c>
      <c r="C299" s="34">
        <v>1.0394916E7</v>
      </c>
      <c r="D299" s="34">
        <v>11640.0</v>
      </c>
      <c r="E299" s="34">
        <v>0.0</v>
      </c>
      <c r="F299" s="34">
        <v>0.0</v>
      </c>
      <c r="G299" s="34">
        <v>0.0</v>
      </c>
      <c r="H299" s="34">
        <v>0.0</v>
      </c>
      <c r="I299" s="34">
        <v>0.0</v>
      </c>
      <c r="J299" s="34">
        <v>1.837246631E9</v>
      </c>
      <c r="K299" s="34">
        <v>9.52E7</v>
      </c>
      <c r="L299" s="34">
        <v>459.0</v>
      </c>
      <c r="M299" s="33" t="s">
        <v>94</v>
      </c>
      <c r="N299" s="33">
        <v>22.0</v>
      </c>
      <c r="O299" s="33"/>
      <c r="P299" s="33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1.73868631E8</v>
      </c>
      <c r="B300" s="33" t="s">
        <v>291</v>
      </c>
      <c r="C300" s="34">
        <v>1.0334686E7</v>
      </c>
      <c r="D300" s="34">
        <v>994926.0</v>
      </c>
      <c r="E300" s="34">
        <v>242253.0</v>
      </c>
      <c r="F300" s="34">
        <v>19361.0</v>
      </c>
      <c r="G300" s="34">
        <v>3755.0</v>
      </c>
      <c r="H300" s="34">
        <v>0.0</v>
      </c>
      <c r="I300" s="34">
        <v>0.0</v>
      </c>
      <c r="J300" s="34">
        <v>6.256579389E9</v>
      </c>
      <c r="K300" s="34">
        <v>9.65895874E9</v>
      </c>
      <c r="L300" s="34">
        <v>2407.0</v>
      </c>
      <c r="M300" s="33" t="s">
        <v>94</v>
      </c>
      <c r="N300" s="33">
        <v>22.0</v>
      </c>
      <c r="O300" s="33"/>
      <c r="P300" s="33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1.71233186E8</v>
      </c>
      <c r="B301" s="33" t="s">
        <v>329</v>
      </c>
      <c r="C301" s="34">
        <v>1.0256376E7</v>
      </c>
      <c r="D301" s="34">
        <v>971104.0</v>
      </c>
      <c r="E301" s="34">
        <v>4667.0</v>
      </c>
      <c r="F301" s="34">
        <v>0.0</v>
      </c>
      <c r="G301" s="34">
        <v>90418.0</v>
      </c>
      <c r="H301" s="34">
        <v>2023.0</v>
      </c>
      <c r="I301" s="34">
        <v>0.0</v>
      </c>
      <c r="J301" s="34">
        <v>8.902665711E9</v>
      </c>
      <c r="K301" s="34">
        <v>6.74164768E9</v>
      </c>
      <c r="L301" s="34">
        <v>2167.0</v>
      </c>
      <c r="M301" s="33" t="s">
        <v>153</v>
      </c>
      <c r="N301" s="33">
        <v>23.0</v>
      </c>
      <c r="O301" s="33"/>
      <c r="P301" s="33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L302" si="1">SUM(C2:C301)</f>
        <v>11585672258</v>
      </c>
      <c r="D302" s="36">
        <f t="shared" si="1"/>
        <v>142267838270</v>
      </c>
      <c r="E302" s="36">
        <f t="shared" si="1"/>
        <v>1606794835</v>
      </c>
      <c r="F302" s="36">
        <f t="shared" si="1"/>
        <v>2750132731</v>
      </c>
      <c r="G302" s="36">
        <f t="shared" si="1"/>
        <v>4714553580</v>
      </c>
      <c r="H302" s="36">
        <f t="shared" si="1"/>
        <v>4627476300</v>
      </c>
      <c r="I302" s="36">
        <f t="shared" si="1"/>
        <v>8188026</v>
      </c>
      <c r="J302" s="36">
        <f t="shared" si="1"/>
        <v>2881647507256</v>
      </c>
      <c r="K302" s="36">
        <f t="shared" si="1"/>
        <v>1786876981508</v>
      </c>
      <c r="L302" s="36">
        <f t="shared" si="1"/>
        <v>9178371</v>
      </c>
      <c r="M302" s="35"/>
      <c r="N302" s="35">
        <f>COUNT(N2:N301)</f>
        <v>300</v>
      </c>
      <c r="O302" s="35"/>
      <c r="P302" s="35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N2:N301, "25")</f>
        <v>10297688506</v>
      </c>
      <c r="D303" s="38">
        <f>SUMIFS(D2:D301,N2:N301, "25")</f>
        <v>142038184665</v>
      </c>
      <c r="E303" s="38">
        <f>SUMIFS(E2:E301,N2:N301, "25")</f>
        <v>1551926516</v>
      </c>
      <c r="F303" s="38">
        <f>SUMIFS(F2:F301, N2:N301, "25")</f>
        <v>2740933124</v>
      </c>
      <c r="G303" s="38">
        <f>SUMIFS(G2:G301, N2:N301, "25")</f>
        <v>4701099439</v>
      </c>
      <c r="H303" s="38">
        <f>SUMIFS(H2:H301, N2:N301, "25")</f>
        <v>4625017637</v>
      </c>
      <c r="I303" s="38">
        <f>SUMIFS(I2:I301,N2:N301, "25")</f>
        <v>8188026</v>
      </c>
      <c r="J303" s="38">
        <f>SUMIFS(J2:J301,N2:N301, "25")</f>
        <v>2341490727183</v>
      </c>
      <c r="K303" s="38">
        <f>SUMIFS(K2:K301, N2:N301, "25")</f>
        <v>1333087725568</v>
      </c>
      <c r="L303" s="38">
        <f>SUMIFS(L2:L301, N2:N301, "25")</f>
        <v>8969022</v>
      </c>
      <c r="M303" s="37" t="s">
        <v>363</v>
      </c>
      <c r="N303" s="37">
        <f>COUNTIF(N2:N301, "25")</f>
        <v>216</v>
      </c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2.0"/>
    <col customWidth="1" min="3" max="11" width="18.0"/>
    <col customWidth="1" min="12" max="12" width="11.71"/>
    <col customWidth="1" min="13" max="13" width="25.43"/>
    <col customWidth="1" min="14" max="14" width="11.86"/>
    <col customWidth="1" min="15" max="15" width="12.0"/>
    <col customWidth="1" min="16" max="16" width="72.71"/>
    <col customWidth="1" min="17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58</v>
      </c>
      <c r="G1" s="29" t="s">
        <v>8</v>
      </c>
      <c r="H1" s="29" t="s">
        <v>9</v>
      </c>
      <c r="I1" s="29" t="s">
        <v>10</v>
      </c>
      <c r="J1" s="29" t="s">
        <v>11</v>
      </c>
      <c r="K1" s="29" t="s">
        <v>12</v>
      </c>
      <c r="L1" s="29" t="s">
        <v>13</v>
      </c>
      <c r="M1" s="28" t="s">
        <v>14</v>
      </c>
      <c r="N1" s="28" t="s">
        <v>15</v>
      </c>
      <c r="O1" s="28" t="s">
        <v>59</v>
      </c>
      <c r="P1" s="28" t="s">
        <v>60</v>
      </c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1.06000621E8</v>
      </c>
      <c r="D2" s="32">
        <v>2.95121493E9</v>
      </c>
      <c r="E2" s="32">
        <v>1.5004702E7</v>
      </c>
      <c r="F2" s="32">
        <v>1.1403003E7</v>
      </c>
      <c r="G2" s="32">
        <v>5.9308331E7</v>
      </c>
      <c r="H2" s="32">
        <v>1.17424645E8</v>
      </c>
      <c r="I2" s="32">
        <v>0.0</v>
      </c>
      <c r="J2" s="32">
        <v>1.7978318154E10</v>
      </c>
      <c r="K2" s="32">
        <v>2.095967435E9</v>
      </c>
      <c r="L2" s="32">
        <v>78313.0</v>
      </c>
      <c r="M2" s="31" t="s">
        <v>440</v>
      </c>
      <c r="N2" s="32">
        <v>25.0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9.4354675E7</v>
      </c>
      <c r="D3" s="32">
        <v>4.863871419E9</v>
      </c>
      <c r="E3" s="32">
        <v>1.9307446E7</v>
      </c>
      <c r="F3" s="32">
        <v>2.3411499E7</v>
      </c>
      <c r="G3" s="32">
        <v>7.925823E7</v>
      </c>
      <c r="H3" s="32">
        <v>2.02928878E8</v>
      </c>
      <c r="I3" s="32">
        <v>0.0</v>
      </c>
      <c r="J3" s="32">
        <v>3.8838747166E10</v>
      </c>
      <c r="K3" s="32">
        <v>1.4447507139E10</v>
      </c>
      <c r="L3" s="32">
        <v>145054.0</v>
      </c>
      <c r="M3" s="31" t="s">
        <v>34</v>
      </c>
      <c r="N3" s="32">
        <v>25.0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6.2576249E7</v>
      </c>
      <c r="B4" s="31" t="s">
        <v>37</v>
      </c>
      <c r="C4" s="32">
        <v>9.2404468E7</v>
      </c>
      <c r="D4" s="32">
        <v>3.593422919E9</v>
      </c>
      <c r="E4" s="32">
        <v>2.2414637E7</v>
      </c>
      <c r="F4" s="32">
        <v>1.36796129E8</v>
      </c>
      <c r="G4" s="32">
        <v>1.03002307E8</v>
      </c>
      <c r="H4" s="32">
        <v>1.24090835E8</v>
      </c>
      <c r="I4" s="32">
        <v>0.0</v>
      </c>
      <c r="J4" s="32">
        <v>2.8795618245E10</v>
      </c>
      <c r="K4" s="32">
        <v>3.3189364731E10</v>
      </c>
      <c r="L4" s="32">
        <v>159459.0</v>
      </c>
      <c r="M4" s="31" t="s">
        <v>440</v>
      </c>
      <c r="N4" s="32">
        <v>25.0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1.03336195E8</v>
      </c>
      <c r="B5" s="31" t="s">
        <v>38</v>
      </c>
      <c r="C5" s="32">
        <v>9.2212362E7</v>
      </c>
      <c r="D5" s="32">
        <v>4.02206941E9</v>
      </c>
      <c r="E5" s="32">
        <v>1.8837938E7</v>
      </c>
      <c r="F5" s="32">
        <v>5.4643392E7</v>
      </c>
      <c r="G5" s="32">
        <v>1.27708201E8</v>
      </c>
      <c r="H5" s="32">
        <v>1.35381181E8</v>
      </c>
      <c r="I5" s="32">
        <v>0.0</v>
      </c>
      <c r="J5" s="32">
        <v>1.600676986E10</v>
      </c>
      <c r="K5" s="32">
        <v>3.3782410358E10</v>
      </c>
      <c r="L5" s="32">
        <v>129423.0</v>
      </c>
      <c r="M5" s="31" t="s">
        <v>34</v>
      </c>
      <c r="N5" s="32">
        <v>25.0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1.45408006E8</v>
      </c>
      <c r="B6" s="31" t="s">
        <v>36</v>
      </c>
      <c r="C6" s="32">
        <v>9.1444187E7</v>
      </c>
      <c r="D6" s="32">
        <v>1.345933439E9</v>
      </c>
      <c r="E6" s="32">
        <v>1.3808661E7</v>
      </c>
      <c r="F6" s="32">
        <v>1.19614259E8</v>
      </c>
      <c r="G6" s="32">
        <v>3.8328674E7</v>
      </c>
      <c r="H6" s="32">
        <v>4.6435435E7</v>
      </c>
      <c r="I6" s="32">
        <v>0.0</v>
      </c>
      <c r="J6" s="32">
        <v>1.2800986492E10</v>
      </c>
      <c r="K6" s="32">
        <v>9.7148239E7</v>
      </c>
      <c r="L6" s="32">
        <v>32380.0</v>
      </c>
      <c r="M6" s="31" t="s">
        <v>34</v>
      </c>
      <c r="N6" s="32">
        <v>25.0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1.71934536E8</v>
      </c>
      <c r="B7" s="31" t="s">
        <v>61</v>
      </c>
      <c r="C7" s="32">
        <v>8.791602E7</v>
      </c>
      <c r="D7" s="32">
        <v>6.86911268E8</v>
      </c>
      <c r="E7" s="32">
        <v>2221644.0</v>
      </c>
      <c r="F7" s="32">
        <v>2.2195584E7</v>
      </c>
      <c r="G7" s="32">
        <v>2.4148641E7</v>
      </c>
      <c r="H7" s="32">
        <v>2.0676569E7</v>
      </c>
      <c r="I7" s="32">
        <v>0.0</v>
      </c>
      <c r="J7" s="32">
        <v>1.5584187897E10</v>
      </c>
      <c r="K7" s="32">
        <v>9.58710757E8</v>
      </c>
      <c r="L7" s="32">
        <v>47944.0</v>
      </c>
      <c r="M7" s="31" t="s">
        <v>66</v>
      </c>
      <c r="N7" s="32">
        <v>25.0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6.2691192E7</v>
      </c>
      <c r="B8" s="31" t="s">
        <v>43</v>
      </c>
      <c r="C8" s="32">
        <v>8.60535E7</v>
      </c>
      <c r="D8" s="32">
        <v>4.80344106E8</v>
      </c>
      <c r="E8" s="32">
        <v>1.835328E7</v>
      </c>
      <c r="F8" s="32">
        <v>1352331.0</v>
      </c>
      <c r="G8" s="32">
        <v>1.0438132E7</v>
      </c>
      <c r="H8" s="32">
        <v>1.8601229E7</v>
      </c>
      <c r="I8" s="32">
        <v>0.0</v>
      </c>
      <c r="J8" s="32">
        <v>2.0956072212E10</v>
      </c>
      <c r="K8" s="32">
        <v>6.538529315E9</v>
      </c>
      <c r="L8" s="32">
        <v>86021.0</v>
      </c>
      <c r="M8" s="31" t="s">
        <v>34</v>
      </c>
      <c r="N8" s="32">
        <v>25.0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1.3871553E8</v>
      </c>
      <c r="B9" s="31" t="s">
        <v>62</v>
      </c>
      <c r="C9" s="32">
        <v>8.6004272E7</v>
      </c>
      <c r="D9" s="32">
        <v>8.95760461E8</v>
      </c>
      <c r="E9" s="32">
        <v>1.5605312E7</v>
      </c>
      <c r="F9" s="32">
        <v>4.9055707E7</v>
      </c>
      <c r="G9" s="32">
        <v>2.4861683E7</v>
      </c>
      <c r="H9" s="32">
        <v>3.1607428E7</v>
      </c>
      <c r="I9" s="32">
        <v>0.0</v>
      </c>
      <c r="J9" s="32">
        <v>1.962446307E10</v>
      </c>
      <c r="K9" s="32">
        <v>4.647127866E9</v>
      </c>
      <c r="L9" s="32">
        <v>120362.0</v>
      </c>
      <c r="M9" s="31" t="s">
        <v>34</v>
      </c>
      <c r="N9" s="32">
        <v>25.0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2463403.0</v>
      </c>
      <c r="B10" s="31" t="s">
        <v>39</v>
      </c>
      <c r="C10" s="32">
        <v>8.4911141E7</v>
      </c>
      <c r="D10" s="32">
        <v>7.680883143E9</v>
      </c>
      <c r="E10" s="32">
        <v>4.0718098E7</v>
      </c>
      <c r="F10" s="32">
        <v>3.0424005E7</v>
      </c>
      <c r="G10" s="32">
        <v>2.04415484E8</v>
      </c>
      <c r="H10" s="32">
        <v>2.79873358E8</v>
      </c>
      <c r="I10" s="32">
        <v>0.0</v>
      </c>
      <c r="J10" s="32">
        <v>3.0051373451E10</v>
      </c>
      <c r="K10" s="32">
        <v>1.0256888908E10</v>
      </c>
      <c r="L10" s="32">
        <v>276521.0</v>
      </c>
      <c r="M10" s="31" t="s">
        <v>34</v>
      </c>
      <c r="N10" s="32">
        <v>25.0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1.1726598E7</v>
      </c>
      <c r="B11" s="31" t="s">
        <v>42</v>
      </c>
      <c r="C11" s="32">
        <v>8.404856E7</v>
      </c>
      <c r="D11" s="32">
        <v>8.81387476E9</v>
      </c>
      <c r="E11" s="32">
        <v>2.8386306E7</v>
      </c>
      <c r="F11" s="32">
        <v>8.4598614E7</v>
      </c>
      <c r="G11" s="32">
        <v>2.14504763E8</v>
      </c>
      <c r="H11" s="32">
        <v>3.29333301E8</v>
      </c>
      <c r="I11" s="32">
        <v>3821128.0</v>
      </c>
      <c r="J11" s="32">
        <v>2.3439872785E10</v>
      </c>
      <c r="K11" s="32">
        <v>3.0857472758E10</v>
      </c>
      <c r="L11" s="32">
        <v>175233.0</v>
      </c>
      <c r="M11" s="31" t="s">
        <v>34</v>
      </c>
      <c r="N11" s="32">
        <v>25.0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7.9650085E7</v>
      </c>
      <c r="B12" s="31" t="s">
        <v>41</v>
      </c>
      <c r="C12" s="32">
        <v>8.3098015E7</v>
      </c>
      <c r="D12" s="32">
        <v>1.941595164E9</v>
      </c>
      <c r="E12" s="32">
        <v>1.3079116E7</v>
      </c>
      <c r="F12" s="32">
        <v>3.4554211E7</v>
      </c>
      <c r="G12" s="32">
        <v>5.9509023E7</v>
      </c>
      <c r="H12" s="32">
        <v>6.6210526E7</v>
      </c>
      <c r="I12" s="32">
        <v>0.0</v>
      </c>
      <c r="J12" s="32">
        <v>1.6157292677E10</v>
      </c>
      <c r="K12" s="32">
        <v>1.5131538986E10</v>
      </c>
      <c r="L12" s="32">
        <v>105110.0</v>
      </c>
      <c r="M12" s="31" t="s">
        <v>34</v>
      </c>
      <c r="N12" s="32">
        <v>25.0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6.7071592E7</v>
      </c>
      <c r="B13" s="31" t="s">
        <v>45</v>
      </c>
      <c r="C13" s="32">
        <v>8.2862316E7</v>
      </c>
      <c r="D13" s="32">
        <v>1.0141442706E10</v>
      </c>
      <c r="E13" s="32">
        <v>2.9790421E7</v>
      </c>
      <c r="F13" s="32">
        <v>8.1029502E7</v>
      </c>
      <c r="G13" s="32">
        <v>3.88933806E8</v>
      </c>
      <c r="H13" s="32">
        <v>3.05675732E8</v>
      </c>
      <c r="I13" s="32">
        <v>1804833.0</v>
      </c>
      <c r="J13" s="32">
        <v>3.7362215889E10</v>
      </c>
      <c r="K13" s="32">
        <v>2.5961215882E10</v>
      </c>
      <c r="L13" s="32">
        <v>231343.0</v>
      </c>
      <c r="M13" s="31" t="s">
        <v>34</v>
      </c>
      <c r="N13" s="32">
        <v>25.0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4.3136267E7</v>
      </c>
      <c r="B14" s="31" t="s">
        <v>65</v>
      </c>
      <c r="C14" s="32">
        <v>8.2799729E7</v>
      </c>
      <c r="D14" s="32">
        <v>2.428812804E9</v>
      </c>
      <c r="E14" s="32">
        <v>2.296527E7</v>
      </c>
      <c r="F14" s="32">
        <v>7.9807201E7</v>
      </c>
      <c r="G14" s="32">
        <v>7.3533858E7</v>
      </c>
      <c r="H14" s="32">
        <v>8.3657192E7</v>
      </c>
      <c r="I14" s="32">
        <v>0.0</v>
      </c>
      <c r="J14" s="32">
        <v>2.8375079703E10</v>
      </c>
      <c r="K14" s="32">
        <v>3.7469575604E10</v>
      </c>
      <c r="L14" s="32">
        <v>100012.0</v>
      </c>
      <c r="M14" s="31" t="s">
        <v>153</v>
      </c>
      <c r="N14" s="32">
        <v>25.0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7.7394861E7</v>
      </c>
      <c r="B15" s="31" t="s">
        <v>50</v>
      </c>
      <c r="C15" s="32">
        <v>8.2670074E7</v>
      </c>
      <c r="D15" s="32">
        <v>2.685893537E9</v>
      </c>
      <c r="E15" s="32">
        <v>1.7455334E7</v>
      </c>
      <c r="F15" s="32">
        <v>2079347.0</v>
      </c>
      <c r="G15" s="32">
        <v>9.4848693E7</v>
      </c>
      <c r="H15" s="32">
        <v>8.6726823E7</v>
      </c>
      <c r="I15" s="32">
        <v>0.0</v>
      </c>
      <c r="J15" s="32">
        <v>2.8197516348E10</v>
      </c>
      <c r="K15" s="32">
        <v>6.7810471155E10</v>
      </c>
      <c r="L15" s="32">
        <v>185182.0</v>
      </c>
      <c r="M15" s="31" t="s">
        <v>34</v>
      </c>
      <c r="N15" s="32">
        <v>25.0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2.989016E7</v>
      </c>
      <c r="B16" s="31" t="s">
        <v>399</v>
      </c>
      <c r="C16" s="32">
        <v>8.210013E7</v>
      </c>
      <c r="D16" s="32">
        <v>8.47326569E8</v>
      </c>
      <c r="E16" s="32">
        <v>3.0844017E7</v>
      </c>
      <c r="F16" s="32">
        <v>9.7701156E7</v>
      </c>
      <c r="G16" s="32">
        <v>3.0466694E7</v>
      </c>
      <c r="H16" s="32">
        <v>2.5288454E7</v>
      </c>
      <c r="I16" s="32">
        <v>0.0</v>
      </c>
      <c r="J16" s="32">
        <v>1.9893576358E10</v>
      </c>
      <c r="K16" s="32">
        <v>5.308872359E9</v>
      </c>
      <c r="L16" s="32">
        <v>64061.0</v>
      </c>
      <c r="M16" s="31" t="s">
        <v>34</v>
      </c>
      <c r="N16" s="32">
        <v>25.0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2.7578537E7</v>
      </c>
      <c r="B17" s="31" t="s">
        <v>48</v>
      </c>
      <c r="C17" s="32">
        <v>8.1903743E7</v>
      </c>
      <c r="D17" s="32">
        <v>3.134384449E9</v>
      </c>
      <c r="E17" s="32">
        <v>2.556567E7</v>
      </c>
      <c r="F17" s="32">
        <v>3.4851965E7</v>
      </c>
      <c r="G17" s="32">
        <v>1.03697212E8</v>
      </c>
      <c r="H17" s="32">
        <v>1.03031146E8</v>
      </c>
      <c r="I17" s="32">
        <v>0.0</v>
      </c>
      <c r="J17" s="32">
        <v>2.5915271178E10</v>
      </c>
      <c r="K17" s="32">
        <v>3.3526939303E10</v>
      </c>
      <c r="L17" s="32">
        <v>106552.0</v>
      </c>
      <c r="M17" s="31" t="s">
        <v>34</v>
      </c>
      <c r="N17" s="32">
        <v>25.0</v>
      </c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1.71879011E8</v>
      </c>
      <c r="B18" s="31" t="s">
        <v>80</v>
      </c>
      <c r="C18" s="32">
        <v>8.1458892E7</v>
      </c>
      <c r="D18" s="32">
        <v>3.92425305E8</v>
      </c>
      <c r="E18" s="32">
        <v>2888204.0</v>
      </c>
      <c r="F18" s="32">
        <v>2.7223078E7</v>
      </c>
      <c r="G18" s="32">
        <v>1.1168662E7</v>
      </c>
      <c r="H18" s="32">
        <v>1.3403679E7</v>
      </c>
      <c r="I18" s="32">
        <v>0.0</v>
      </c>
      <c r="J18" s="32">
        <v>1.4698499845E10</v>
      </c>
      <c r="K18" s="32">
        <v>1.808712272E9</v>
      </c>
      <c r="L18" s="32">
        <v>50063.0</v>
      </c>
      <c r="M18" s="31" t="s">
        <v>34</v>
      </c>
      <c r="N18" s="32">
        <v>25.0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7.1152824E7</v>
      </c>
      <c r="B19" s="31" t="s">
        <v>67</v>
      </c>
      <c r="C19" s="32">
        <v>8.0373076E7</v>
      </c>
      <c r="D19" s="32">
        <v>1.848090703E9</v>
      </c>
      <c r="E19" s="32">
        <v>1.8266128E7</v>
      </c>
      <c r="F19" s="32">
        <v>6.7889276E7</v>
      </c>
      <c r="G19" s="32">
        <v>7.2666416E7</v>
      </c>
      <c r="H19" s="32">
        <v>5.401617E7</v>
      </c>
      <c r="I19" s="32">
        <v>313500.0</v>
      </c>
      <c r="J19" s="32">
        <v>2.4217771507E10</v>
      </c>
      <c r="K19" s="32">
        <v>1.1097140581E10</v>
      </c>
      <c r="L19" s="32">
        <v>58479.0</v>
      </c>
      <c r="M19" s="31" t="s">
        <v>34</v>
      </c>
      <c r="N19" s="32">
        <v>25.0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1.71701107E8</v>
      </c>
      <c r="B20" s="31" t="s">
        <v>73</v>
      </c>
      <c r="C20" s="32">
        <v>7.989139E7</v>
      </c>
      <c r="D20" s="32">
        <v>5.86681339E8</v>
      </c>
      <c r="E20" s="32">
        <v>3047058.0</v>
      </c>
      <c r="F20" s="32">
        <v>5719228.0</v>
      </c>
      <c r="G20" s="32">
        <v>1.8325157E7</v>
      </c>
      <c r="H20" s="32">
        <v>1.9919896E7</v>
      </c>
      <c r="I20" s="32">
        <v>0.0</v>
      </c>
      <c r="J20" s="32">
        <v>1.039226794E10</v>
      </c>
      <c r="K20" s="32">
        <v>4.014918782E9</v>
      </c>
      <c r="L20" s="32">
        <v>28341.0</v>
      </c>
      <c r="M20" s="31" t="s">
        <v>34</v>
      </c>
      <c r="N20" s="32">
        <v>25.0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6.3222201E7</v>
      </c>
      <c r="B21" s="31" t="s">
        <v>64</v>
      </c>
      <c r="C21" s="32">
        <v>7.9429216E7</v>
      </c>
      <c r="D21" s="32">
        <v>1.973573436E9</v>
      </c>
      <c r="E21" s="32">
        <v>1.8866366E7</v>
      </c>
      <c r="F21" s="32">
        <v>2.15854E7</v>
      </c>
      <c r="G21" s="32">
        <v>7.9664312E7</v>
      </c>
      <c r="H21" s="32">
        <v>5.7344558E7</v>
      </c>
      <c r="I21" s="32">
        <v>0.0</v>
      </c>
      <c r="J21" s="32">
        <v>3.334386504E10</v>
      </c>
      <c r="K21" s="32">
        <v>1.1337447834E10</v>
      </c>
      <c r="L21" s="32">
        <v>82773.0</v>
      </c>
      <c r="M21" s="31" t="s">
        <v>34</v>
      </c>
      <c r="N21" s="32">
        <v>25.0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9.8107237E7</v>
      </c>
      <c r="B22" s="31" t="s">
        <v>68</v>
      </c>
      <c r="C22" s="32">
        <v>7.9203449E7</v>
      </c>
      <c r="D22" s="32">
        <v>2.593367292E9</v>
      </c>
      <c r="E22" s="32">
        <v>1.781893E7</v>
      </c>
      <c r="F22" s="32">
        <v>2179102.0</v>
      </c>
      <c r="G22" s="32">
        <v>6.5745043E7</v>
      </c>
      <c r="H22" s="32">
        <v>9.6582282E7</v>
      </c>
      <c r="I22" s="32">
        <v>0.0</v>
      </c>
      <c r="J22" s="32">
        <v>3.5652726684E10</v>
      </c>
      <c r="K22" s="32">
        <v>1.1477531851E10</v>
      </c>
      <c r="L22" s="32">
        <v>91149.0</v>
      </c>
      <c r="M22" s="31" t="s">
        <v>34</v>
      </c>
      <c r="N22" s="32">
        <v>25.0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1.44109282E8</v>
      </c>
      <c r="B23" s="31" t="s">
        <v>364</v>
      </c>
      <c r="C23" s="32">
        <v>7.8540687E7</v>
      </c>
      <c r="D23" s="32">
        <v>9.24716632E8</v>
      </c>
      <c r="E23" s="32">
        <v>7852223.0</v>
      </c>
      <c r="F23" s="32">
        <v>1.80700413E8</v>
      </c>
      <c r="G23" s="32">
        <v>3.7147091E7</v>
      </c>
      <c r="H23" s="32">
        <v>2.5551698E7</v>
      </c>
      <c r="I23" s="32">
        <v>0.0</v>
      </c>
      <c r="J23" s="32">
        <v>1.7964087606E10</v>
      </c>
      <c r="K23" s="32">
        <v>4.508200002E9</v>
      </c>
      <c r="L23" s="32">
        <v>74851.0</v>
      </c>
      <c r="M23" s="31" t="s">
        <v>34</v>
      </c>
      <c r="N23" s="32">
        <v>25.0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6.4010776E7</v>
      </c>
      <c r="B24" s="31" t="s">
        <v>478</v>
      </c>
      <c r="C24" s="32">
        <v>7.8057871E7</v>
      </c>
      <c r="D24" s="32">
        <v>2.42669508E9</v>
      </c>
      <c r="E24" s="32">
        <v>1.937392E7</v>
      </c>
      <c r="F24" s="32">
        <v>3.5105323E7</v>
      </c>
      <c r="G24" s="32">
        <v>8.0753786E7</v>
      </c>
      <c r="H24" s="32">
        <v>7.8652181E7</v>
      </c>
      <c r="I24" s="32">
        <v>0.0</v>
      </c>
      <c r="J24" s="32">
        <v>2.042859501E10</v>
      </c>
      <c r="K24" s="32">
        <v>3.2032279846E10</v>
      </c>
      <c r="L24" s="32">
        <v>109225.0</v>
      </c>
      <c r="M24" s="31" t="s">
        <v>34</v>
      </c>
      <c r="N24" s="32">
        <v>25.0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1.15125159E8</v>
      </c>
      <c r="B25" s="31" t="s">
        <v>400</v>
      </c>
      <c r="C25" s="32">
        <v>7.775197E7</v>
      </c>
      <c r="D25" s="32">
        <v>5.99740171E8</v>
      </c>
      <c r="E25" s="32">
        <v>1.0109587E7</v>
      </c>
      <c r="F25" s="32">
        <v>2309595.0</v>
      </c>
      <c r="G25" s="32">
        <v>2.3129888E7</v>
      </c>
      <c r="H25" s="32">
        <v>1.7718104E7</v>
      </c>
      <c r="I25" s="32">
        <v>19919.0</v>
      </c>
      <c r="J25" s="32">
        <v>1.3136675172E10</v>
      </c>
      <c r="K25" s="32">
        <v>2.957793162E9</v>
      </c>
      <c r="L25" s="32">
        <v>50422.0</v>
      </c>
      <c r="M25" s="31" t="s">
        <v>34</v>
      </c>
      <c r="N25" s="32">
        <v>25.0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1.56479771E8</v>
      </c>
      <c r="B26" s="31" t="s">
        <v>70</v>
      </c>
      <c r="C26" s="32">
        <v>7.7432432E7</v>
      </c>
      <c r="D26" s="32">
        <v>1.634863109E9</v>
      </c>
      <c r="E26" s="32">
        <v>1.0371475E7</v>
      </c>
      <c r="F26" s="32">
        <v>4.0075247E7</v>
      </c>
      <c r="G26" s="32">
        <v>6.9698488E7</v>
      </c>
      <c r="H26" s="32">
        <v>4.4500641E7</v>
      </c>
      <c r="I26" s="32">
        <v>0.0</v>
      </c>
      <c r="J26" s="32">
        <v>1.6797367161E10</v>
      </c>
      <c r="K26" s="32">
        <v>1.0581487032E10</v>
      </c>
      <c r="L26" s="32">
        <v>96789.0</v>
      </c>
      <c r="M26" s="31" t="s">
        <v>34</v>
      </c>
      <c r="N26" s="32">
        <v>25.0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1.70866748E8</v>
      </c>
      <c r="B27" s="31" t="s">
        <v>97</v>
      </c>
      <c r="C27" s="32">
        <v>7.7162988E7</v>
      </c>
      <c r="D27" s="32">
        <v>5.9128761E8</v>
      </c>
      <c r="E27" s="32">
        <v>5234532.0</v>
      </c>
      <c r="F27" s="32">
        <v>1156373.0</v>
      </c>
      <c r="G27" s="32">
        <v>8877229.0</v>
      </c>
      <c r="H27" s="32">
        <v>2.504967E7</v>
      </c>
      <c r="I27" s="32">
        <v>0.0</v>
      </c>
      <c r="J27" s="32">
        <v>1.4523738397E10</v>
      </c>
      <c r="K27" s="32">
        <v>2.677127733E9</v>
      </c>
      <c r="L27" s="32">
        <v>33154.0</v>
      </c>
      <c r="M27" s="31" t="s">
        <v>34</v>
      </c>
      <c r="N27" s="32">
        <v>25.0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4.8741756E7</v>
      </c>
      <c r="B28" s="31" t="s">
        <v>51</v>
      </c>
      <c r="C28" s="32">
        <v>7.6552194E7</v>
      </c>
      <c r="D28" s="32">
        <v>3.021648118E9</v>
      </c>
      <c r="E28" s="32">
        <v>2.3803789E7</v>
      </c>
      <c r="F28" s="32">
        <v>6.91574E7</v>
      </c>
      <c r="G28" s="32">
        <v>1.23945607E8</v>
      </c>
      <c r="H28" s="32">
        <v>8.7560079E7</v>
      </c>
      <c r="I28" s="32">
        <v>804578.0</v>
      </c>
      <c r="J28" s="32">
        <v>2.0581049651E10</v>
      </c>
      <c r="K28" s="32">
        <v>2.2565439519E10</v>
      </c>
      <c r="L28" s="32">
        <v>165389.0</v>
      </c>
      <c r="M28" s="31" t="s">
        <v>34</v>
      </c>
      <c r="N28" s="32">
        <v>25.0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1.4572491E7</v>
      </c>
      <c r="B29" s="31" t="s">
        <v>46</v>
      </c>
      <c r="C29" s="32">
        <v>7.6524775E7</v>
      </c>
      <c r="D29" s="32">
        <v>7.041934438E9</v>
      </c>
      <c r="E29" s="32">
        <v>6.3318543E7</v>
      </c>
      <c r="F29" s="32">
        <v>5.6830191E7</v>
      </c>
      <c r="G29" s="32">
        <v>2.11050446E8</v>
      </c>
      <c r="H29" s="32">
        <v>2.42804049E8</v>
      </c>
      <c r="I29" s="32">
        <v>0.0</v>
      </c>
      <c r="J29" s="32">
        <v>1.9421089683E10</v>
      </c>
      <c r="K29" s="32">
        <v>4.7723874529E10</v>
      </c>
      <c r="L29" s="32">
        <v>178678.0</v>
      </c>
      <c r="M29" s="31" t="s">
        <v>34</v>
      </c>
      <c r="N29" s="32">
        <v>25.0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1.71503078E8</v>
      </c>
      <c r="B30" s="31" t="s">
        <v>72</v>
      </c>
      <c r="C30" s="32">
        <v>7.5768335E7</v>
      </c>
      <c r="D30" s="32">
        <v>1.358479984E9</v>
      </c>
      <c r="E30" s="32">
        <v>3299278.0</v>
      </c>
      <c r="F30" s="32">
        <v>1.624031E7</v>
      </c>
      <c r="G30" s="32">
        <v>3.0148756E7</v>
      </c>
      <c r="H30" s="32">
        <v>5.0896377E7</v>
      </c>
      <c r="I30" s="32">
        <v>0.0</v>
      </c>
      <c r="J30" s="32">
        <v>1.921372404E10</v>
      </c>
      <c r="K30" s="32">
        <v>5.02248407E9</v>
      </c>
      <c r="L30" s="32">
        <v>63017.0</v>
      </c>
      <c r="M30" s="31" t="s">
        <v>34</v>
      </c>
      <c r="N30" s="32">
        <v>25.0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1.44060837E8</v>
      </c>
      <c r="B31" s="31" t="s">
        <v>442</v>
      </c>
      <c r="C31" s="32">
        <v>7.534871E7</v>
      </c>
      <c r="D31" s="32">
        <v>4.05935794E8</v>
      </c>
      <c r="E31" s="32">
        <v>1.4399705E7</v>
      </c>
      <c r="F31" s="32">
        <v>2837723.0</v>
      </c>
      <c r="G31" s="32">
        <v>1.2958046E7</v>
      </c>
      <c r="H31" s="32">
        <v>1.2383085E7</v>
      </c>
      <c r="I31" s="32">
        <v>0.0</v>
      </c>
      <c r="J31" s="32">
        <v>1.181365461E10</v>
      </c>
      <c r="K31" s="32">
        <v>1.846559304E9</v>
      </c>
      <c r="L31" s="32">
        <v>52929.0</v>
      </c>
      <c r="M31" s="31" t="s">
        <v>34</v>
      </c>
      <c r="N31" s="32">
        <v>25.0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1.69461237E8</v>
      </c>
      <c r="B32" s="31" t="s">
        <v>82</v>
      </c>
      <c r="C32" s="32">
        <v>7.5210474E7</v>
      </c>
      <c r="D32" s="32">
        <v>3.74816162E8</v>
      </c>
      <c r="E32" s="32">
        <v>3971161.0</v>
      </c>
      <c r="F32" s="32">
        <v>3057052.0</v>
      </c>
      <c r="G32" s="32">
        <v>2.3104818E7</v>
      </c>
      <c r="H32" s="32">
        <v>5769663.0</v>
      </c>
      <c r="I32" s="32">
        <v>0.0</v>
      </c>
      <c r="J32" s="32">
        <v>3.394888864E9</v>
      </c>
      <c r="K32" s="32">
        <v>3.9298231616E10</v>
      </c>
      <c r="L32" s="32">
        <v>20592.0</v>
      </c>
      <c r="M32" s="31" t="s">
        <v>34</v>
      </c>
      <c r="N32" s="32">
        <v>25.0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1.66497805E8</v>
      </c>
      <c r="B33" s="31" t="s">
        <v>77</v>
      </c>
      <c r="C33" s="32">
        <v>7.4773102E7</v>
      </c>
      <c r="D33" s="32">
        <v>5.91161956E8</v>
      </c>
      <c r="E33" s="32">
        <v>5352050.0</v>
      </c>
      <c r="F33" s="32">
        <v>2158221.0</v>
      </c>
      <c r="G33" s="32">
        <v>2.5838852E7</v>
      </c>
      <c r="H33" s="32">
        <v>1.6107768E7</v>
      </c>
      <c r="I33" s="32">
        <v>0.0</v>
      </c>
      <c r="J33" s="32">
        <v>1.518495908E10</v>
      </c>
      <c r="K33" s="32">
        <v>3.56763729E8</v>
      </c>
      <c r="L33" s="32">
        <v>62970.0</v>
      </c>
      <c r="M33" s="31" t="s">
        <v>34</v>
      </c>
      <c r="N33" s="32">
        <v>25.0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7.1613822E7</v>
      </c>
      <c r="B34" s="31" t="s">
        <v>69</v>
      </c>
      <c r="C34" s="32">
        <v>7.4531222E7</v>
      </c>
      <c r="D34" s="32">
        <v>2.149559402E9</v>
      </c>
      <c r="E34" s="32">
        <v>2.97494E7</v>
      </c>
      <c r="F34" s="32">
        <v>4.9325321E7</v>
      </c>
      <c r="G34" s="32">
        <v>7.599238E7</v>
      </c>
      <c r="H34" s="32">
        <v>6.7943368E7</v>
      </c>
      <c r="I34" s="32">
        <v>0.0</v>
      </c>
      <c r="J34" s="32">
        <v>2.487634971E10</v>
      </c>
      <c r="K34" s="32">
        <v>6.537284955E9</v>
      </c>
      <c r="L34" s="32">
        <v>104203.0</v>
      </c>
      <c r="M34" s="31" t="s">
        <v>34</v>
      </c>
      <c r="N34" s="32">
        <v>25.0</v>
      </c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7887352.0</v>
      </c>
      <c r="B35" s="31" t="s">
        <v>83</v>
      </c>
      <c r="C35" s="32">
        <v>7.4205366E7</v>
      </c>
      <c r="D35" s="32">
        <v>2.1862165E9</v>
      </c>
      <c r="E35" s="32">
        <v>1.6550764E7</v>
      </c>
      <c r="F35" s="32">
        <v>3.4656841E7</v>
      </c>
      <c r="G35" s="32">
        <v>7.0495177E7</v>
      </c>
      <c r="H35" s="32">
        <v>7.3473169E7</v>
      </c>
      <c r="I35" s="32">
        <v>0.0</v>
      </c>
      <c r="J35" s="32">
        <v>1.6630816295E10</v>
      </c>
      <c r="K35" s="32">
        <v>1.2713533366E10</v>
      </c>
      <c r="L35" s="32">
        <v>45886.0</v>
      </c>
      <c r="M35" s="31" t="s">
        <v>34</v>
      </c>
      <c r="N35" s="32">
        <v>25.0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1.36378574E8</v>
      </c>
      <c r="B36" s="31" t="s">
        <v>401</v>
      </c>
      <c r="C36" s="32">
        <v>7.3729933E7</v>
      </c>
      <c r="D36" s="32">
        <v>5.98467976E8</v>
      </c>
      <c r="E36" s="32">
        <v>6823289.0</v>
      </c>
      <c r="F36" s="32">
        <v>5150003.0</v>
      </c>
      <c r="G36" s="32">
        <v>2.979345E7</v>
      </c>
      <c r="H36" s="32">
        <v>1.4389592E7</v>
      </c>
      <c r="I36" s="32">
        <v>0.0</v>
      </c>
      <c r="J36" s="32">
        <v>1.9625007535E10</v>
      </c>
      <c r="K36" s="32">
        <v>9.741231848E9</v>
      </c>
      <c r="L36" s="32">
        <v>27264.0</v>
      </c>
      <c r="M36" s="31" t="s">
        <v>34</v>
      </c>
      <c r="N36" s="32">
        <v>25.0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1.1409556E7</v>
      </c>
      <c r="B37" s="31" t="s">
        <v>402</v>
      </c>
      <c r="C37" s="32">
        <v>7.3629101E7</v>
      </c>
      <c r="D37" s="32">
        <v>5.82419822E8</v>
      </c>
      <c r="E37" s="32">
        <v>1.5648218E7</v>
      </c>
      <c r="F37" s="32">
        <v>1.9002422E7</v>
      </c>
      <c r="G37" s="32">
        <v>3.07815E7</v>
      </c>
      <c r="H37" s="32">
        <v>1.2851588E7</v>
      </c>
      <c r="I37" s="32">
        <v>0.0</v>
      </c>
      <c r="J37" s="32">
        <v>1.5740599884E10</v>
      </c>
      <c r="K37" s="32">
        <v>5.766935771E9</v>
      </c>
      <c r="L37" s="32">
        <v>86842.0</v>
      </c>
      <c r="M37" s="31" t="s">
        <v>147</v>
      </c>
      <c r="N37" s="32">
        <v>25.0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1.77526978E8</v>
      </c>
      <c r="B38" s="31" t="s">
        <v>74</v>
      </c>
      <c r="C38" s="32">
        <v>7.3558674E7</v>
      </c>
      <c r="D38" s="32">
        <v>1.02125666E8</v>
      </c>
      <c r="E38" s="32">
        <v>3115400.0</v>
      </c>
      <c r="F38" s="32">
        <v>6554003.0</v>
      </c>
      <c r="G38" s="32">
        <v>3523877.0</v>
      </c>
      <c r="H38" s="32">
        <v>3207268.0</v>
      </c>
      <c r="I38" s="32">
        <v>0.0</v>
      </c>
      <c r="J38" s="32">
        <v>9.60933459E9</v>
      </c>
      <c r="K38" s="32">
        <v>9.821382248E9</v>
      </c>
      <c r="L38" s="32">
        <v>25211.0</v>
      </c>
      <c r="M38" s="31" t="s">
        <v>34</v>
      </c>
      <c r="N38" s="32">
        <v>25.0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1.69247313E8</v>
      </c>
      <c r="B39" s="31" t="s">
        <v>75</v>
      </c>
      <c r="C39" s="32">
        <v>7.3424451E7</v>
      </c>
      <c r="D39" s="32">
        <v>4.64912428E8</v>
      </c>
      <c r="E39" s="32">
        <v>8040966.0</v>
      </c>
      <c r="F39" s="32">
        <v>2763960.0</v>
      </c>
      <c r="G39" s="32">
        <v>1.760211E7</v>
      </c>
      <c r="H39" s="32">
        <v>1.3559411E7</v>
      </c>
      <c r="I39" s="32">
        <v>0.0</v>
      </c>
      <c r="J39" s="32">
        <v>2.027875533E10</v>
      </c>
      <c r="K39" s="32">
        <v>2.429731466E9</v>
      </c>
      <c r="L39" s="32">
        <v>106509.0</v>
      </c>
      <c r="M39" s="31" t="s">
        <v>34</v>
      </c>
      <c r="N39" s="32">
        <v>25.0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1.40009179E8</v>
      </c>
      <c r="B40" s="31" t="s">
        <v>403</v>
      </c>
      <c r="C40" s="32">
        <v>7.3208966E7</v>
      </c>
      <c r="D40" s="32">
        <v>1.039163439E9</v>
      </c>
      <c r="E40" s="32">
        <v>1.0543562E7</v>
      </c>
      <c r="F40" s="32">
        <v>2.8697919E7</v>
      </c>
      <c r="G40" s="32">
        <v>5.8790027E7</v>
      </c>
      <c r="H40" s="32">
        <v>2.1885816E7</v>
      </c>
      <c r="I40" s="32">
        <v>0.0</v>
      </c>
      <c r="J40" s="32">
        <v>1.3854215909E10</v>
      </c>
      <c r="K40" s="32">
        <v>2.648117913E9</v>
      </c>
      <c r="L40" s="32">
        <v>35720.0</v>
      </c>
      <c r="M40" s="31" t="s">
        <v>147</v>
      </c>
      <c r="N40" s="32">
        <v>25.0</v>
      </c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7.4556991E7</v>
      </c>
      <c r="B41" s="31" t="s">
        <v>204</v>
      </c>
      <c r="C41" s="32">
        <v>7.2895962E7</v>
      </c>
      <c r="D41" s="32">
        <v>2.684074484E9</v>
      </c>
      <c r="E41" s="32">
        <v>1.4508877E7</v>
      </c>
      <c r="F41" s="32">
        <v>5977970.0</v>
      </c>
      <c r="G41" s="32">
        <v>5.3716729E7</v>
      </c>
      <c r="H41" s="32">
        <v>1.07037561E8</v>
      </c>
      <c r="I41" s="32">
        <v>0.0</v>
      </c>
      <c r="J41" s="32">
        <v>1.8424885924E10</v>
      </c>
      <c r="K41" s="32">
        <v>5.737943886E9</v>
      </c>
      <c r="L41" s="32">
        <v>129006.0</v>
      </c>
      <c r="M41" s="31" t="s">
        <v>34</v>
      </c>
      <c r="N41" s="32">
        <v>25.0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1.71491377E8</v>
      </c>
      <c r="B42" s="31" t="s">
        <v>84</v>
      </c>
      <c r="C42" s="32">
        <v>7.2200631E7</v>
      </c>
      <c r="D42" s="32">
        <v>4.62144849E8</v>
      </c>
      <c r="E42" s="32">
        <v>3542960.0</v>
      </c>
      <c r="F42" s="32">
        <v>3172998.0</v>
      </c>
      <c r="G42" s="32">
        <v>1.0276145E7</v>
      </c>
      <c r="H42" s="32">
        <v>1.7848394E7</v>
      </c>
      <c r="I42" s="32">
        <v>0.0</v>
      </c>
      <c r="J42" s="32">
        <v>1.2777891132E10</v>
      </c>
      <c r="K42" s="32">
        <v>1.080422782E9</v>
      </c>
      <c r="L42" s="32">
        <v>52830.0</v>
      </c>
      <c r="M42" s="31" t="s">
        <v>34</v>
      </c>
      <c r="N42" s="32">
        <v>25.0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1.6942777E8</v>
      </c>
      <c r="B43" s="31" t="s">
        <v>71</v>
      </c>
      <c r="C43" s="32">
        <v>7.2196608E7</v>
      </c>
      <c r="D43" s="32">
        <v>7.66026797E8</v>
      </c>
      <c r="E43" s="32">
        <v>9550095.0</v>
      </c>
      <c r="F43" s="32">
        <v>2493975.0</v>
      </c>
      <c r="G43" s="32">
        <v>2.6442944E7</v>
      </c>
      <c r="H43" s="32">
        <v>2.473174E7</v>
      </c>
      <c r="I43" s="32">
        <v>0.0</v>
      </c>
      <c r="J43" s="32">
        <v>1.8439470136E10</v>
      </c>
      <c r="K43" s="32">
        <v>6.86897086E8</v>
      </c>
      <c r="L43" s="32">
        <v>108287.0</v>
      </c>
      <c r="M43" s="31" t="s">
        <v>34</v>
      </c>
      <c r="N43" s="32">
        <v>25.0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1.4461836E8</v>
      </c>
      <c r="B44" s="31" t="s">
        <v>116</v>
      </c>
      <c r="C44" s="32">
        <v>7.175921E7</v>
      </c>
      <c r="D44" s="32">
        <v>2.89205047E8</v>
      </c>
      <c r="E44" s="32">
        <v>3631118.0</v>
      </c>
      <c r="F44" s="32">
        <v>1709888.0</v>
      </c>
      <c r="G44" s="32">
        <v>9683697.0</v>
      </c>
      <c r="H44" s="32">
        <v>9425023.0</v>
      </c>
      <c r="I44" s="32">
        <v>0.0</v>
      </c>
      <c r="J44" s="32">
        <v>9.180916088E9</v>
      </c>
      <c r="K44" s="32">
        <v>5.66487787E8</v>
      </c>
      <c r="L44" s="32">
        <v>42254.0</v>
      </c>
      <c r="M44" s="31" t="s">
        <v>34</v>
      </c>
      <c r="N44" s="32">
        <v>25.0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1.66871338E8</v>
      </c>
      <c r="B45" s="31" t="s">
        <v>78</v>
      </c>
      <c r="C45" s="32">
        <v>7.0962985E7</v>
      </c>
      <c r="D45" s="32">
        <v>9.67246736E8</v>
      </c>
      <c r="E45" s="32">
        <v>6898357.0</v>
      </c>
      <c r="F45" s="32">
        <v>9.3171931E7</v>
      </c>
      <c r="G45" s="32">
        <v>5.934022E7</v>
      </c>
      <c r="H45" s="32">
        <v>1.6630048E7</v>
      </c>
      <c r="I45" s="32">
        <v>0.0</v>
      </c>
      <c r="J45" s="32">
        <v>9.027295904E9</v>
      </c>
      <c r="K45" s="32">
        <v>3.117290499E9</v>
      </c>
      <c r="L45" s="32">
        <v>46224.0</v>
      </c>
      <c r="M45" s="31" t="s">
        <v>34</v>
      </c>
      <c r="N45" s="32">
        <v>25.0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1.71927851E8</v>
      </c>
      <c r="B46" s="31" t="s">
        <v>96</v>
      </c>
      <c r="C46" s="32">
        <v>7.0904684E7</v>
      </c>
      <c r="D46" s="32">
        <v>3.19973463E8</v>
      </c>
      <c r="E46" s="32">
        <v>2789039.0</v>
      </c>
      <c r="F46" s="32">
        <v>9960405.0</v>
      </c>
      <c r="G46" s="32">
        <v>5445808.0</v>
      </c>
      <c r="H46" s="32">
        <v>1.3093547E7</v>
      </c>
      <c r="I46" s="32">
        <v>0.0</v>
      </c>
      <c r="J46" s="32">
        <v>9.580159175E9</v>
      </c>
      <c r="K46" s="32">
        <v>1.01624E8</v>
      </c>
      <c r="L46" s="32">
        <v>29884.0</v>
      </c>
      <c r="M46" s="31" t="s">
        <v>34</v>
      </c>
      <c r="N46" s="32">
        <v>25.0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1.20029911E8</v>
      </c>
      <c r="B47" s="31" t="s">
        <v>79</v>
      </c>
      <c r="C47" s="32">
        <v>7.077805E7</v>
      </c>
      <c r="D47" s="32">
        <v>9.68691118E8</v>
      </c>
      <c r="E47" s="32">
        <v>1.0870254E7</v>
      </c>
      <c r="F47" s="32">
        <v>1.169674E7</v>
      </c>
      <c r="G47" s="32">
        <v>4.3506243E7</v>
      </c>
      <c r="H47" s="32">
        <v>2.5067791E7</v>
      </c>
      <c r="I47" s="32">
        <v>135423.0</v>
      </c>
      <c r="J47" s="32">
        <v>1.0534056749E10</v>
      </c>
      <c r="K47" s="32">
        <v>1.7074234312E10</v>
      </c>
      <c r="L47" s="32">
        <v>53689.0</v>
      </c>
      <c r="M47" s="31" t="s">
        <v>34</v>
      </c>
      <c r="N47" s="32">
        <v>25.0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1.70708608E8</v>
      </c>
      <c r="B48" s="31" t="s">
        <v>91</v>
      </c>
      <c r="C48" s="32">
        <v>7.0497467E7</v>
      </c>
      <c r="D48" s="32">
        <v>2.8862541E8</v>
      </c>
      <c r="E48" s="32">
        <v>7067678.0</v>
      </c>
      <c r="F48" s="32">
        <v>4.8035094E7</v>
      </c>
      <c r="G48" s="32">
        <v>8226898.0</v>
      </c>
      <c r="H48" s="32">
        <v>9597760.0</v>
      </c>
      <c r="I48" s="32">
        <v>0.0</v>
      </c>
      <c r="J48" s="32">
        <v>1.0006315626E10</v>
      </c>
      <c r="K48" s="32">
        <v>1.58724317E9</v>
      </c>
      <c r="L48" s="32">
        <v>23810.0</v>
      </c>
      <c r="M48" s="31" t="s">
        <v>34</v>
      </c>
      <c r="N48" s="32">
        <v>25.0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1.72021868E8</v>
      </c>
      <c r="B49" s="31" t="s">
        <v>81</v>
      </c>
      <c r="C49" s="32">
        <v>7.0453E7</v>
      </c>
      <c r="D49" s="32">
        <v>9.82522275E8</v>
      </c>
      <c r="E49" s="32">
        <v>3744314.0</v>
      </c>
      <c r="F49" s="32">
        <v>1.1481379E7</v>
      </c>
      <c r="G49" s="32">
        <v>1.5655717E7</v>
      </c>
      <c r="H49" s="32">
        <v>4.1091889E7</v>
      </c>
      <c r="I49" s="32">
        <v>0.0</v>
      </c>
      <c r="J49" s="32">
        <v>9.622404451E9</v>
      </c>
      <c r="K49" s="32">
        <v>1.49770917E9</v>
      </c>
      <c r="L49" s="32">
        <v>81789.0</v>
      </c>
      <c r="M49" s="31" t="s">
        <v>34</v>
      </c>
      <c r="N49" s="32">
        <v>25.0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1.43088559E8</v>
      </c>
      <c r="B50" s="31" t="s">
        <v>93</v>
      </c>
      <c r="C50" s="32">
        <v>7.0338733E7</v>
      </c>
      <c r="D50" s="32">
        <v>4.63290559E8</v>
      </c>
      <c r="E50" s="32">
        <v>4093564.0</v>
      </c>
      <c r="F50" s="32">
        <v>1.0480295E7</v>
      </c>
      <c r="G50" s="32">
        <v>2.6725717E7</v>
      </c>
      <c r="H50" s="32">
        <v>8944637.0</v>
      </c>
      <c r="I50" s="32">
        <v>0.0</v>
      </c>
      <c r="J50" s="32">
        <v>1.2955117867E10</v>
      </c>
      <c r="K50" s="32">
        <v>2.11081372E9</v>
      </c>
      <c r="L50" s="32">
        <v>36439.0</v>
      </c>
      <c r="M50" s="31" t="s">
        <v>66</v>
      </c>
      <c r="N50" s="32">
        <v>25.0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1.72041454E8</v>
      </c>
      <c r="B51" s="31" t="s">
        <v>87</v>
      </c>
      <c r="C51" s="32">
        <v>7.0132538E7</v>
      </c>
      <c r="D51" s="32">
        <v>4.79737082E8</v>
      </c>
      <c r="E51" s="32">
        <v>7278423.0</v>
      </c>
      <c r="F51" s="32">
        <v>2.7019841E7</v>
      </c>
      <c r="G51" s="32">
        <v>2.0510498E7</v>
      </c>
      <c r="H51" s="32">
        <v>1.3049489E7</v>
      </c>
      <c r="I51" s="32">
        <v>0.0</v>
      </c>
      <c r="J51" s="32">
        <v>1.0804848361E10</v>
      </c>
      <c r="K51" s="32">
        <v>1.041560618E9</v>
      </c>
      <c r="L51" s="32">
        <v>51269.0</v>
      </c>
      <c r="M51" s="31" t="s">
        <v>34</v>
      </c>
      <c r="N51" s="32">
        <v>25.0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1.66110884E8</v>
      </c>
      <c r="B52" s="31" t="s">
        <v>95</v>
      </c>
      <c r="C52" s="32">
        <v>6.9917843E7</v>
      </c>
      <c r="D52" s="32">
        <v>8.4533532E8</v>
      </c>
      <c r="E52" s="32">
        <v>6283339.0</v>
      </c>
      <c r="F52" s="32">
        <v>4.3590233E7</v>
      </c>
      <c r="G52" s="32">
        <v>3.1930745E7</v>
      </c>
      <c r="H52" s="32">
        <v>2.4090319E7</v>
      </c>
      <c r="I52" s="32">
        <v>0.0</v>
      </c>
      <c r="J52" s="32">
        <v>8.647824941E9</v>
      </c>
      <c r="K52" s="32">
        <v>3.624684682E9</v>
      </c>
      <c r="L52" s="32">
        <v>68571.0</v>
      </c>
      <c r="M52" s="31" t="s">
        <v>34</v>
      </c>
      <c r="N52" s="32">
        <v>25.0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1.71972257E8</v>
      </c>
      <c r="B53" s="31" t="s">
        <v>90</v>
      </c>
      <c r="C53" s="32">
        <v>6.9742922E7</v>
      </c>
      <c r="D53" s="32">
        <v>6.12830428E8</v>
      </c>
      <c r="E53" s="32">
        <v>4682100.0</v>
      </c>
      <c r="F53" s="32">
        <v>4.6809921E7</v>
      </c>
      <c r="G53" s="32">
        <v>2.3410346E7</v>
      </c>
      <c r="H53" s="32">
        <v>1.8149849E7</v>
      </c>
      <c r="I53" s="32">
        <v>0.0</v>
      </c>
      <c r="J53" s="32">
        <v>1.3606729498E10</v>
      </c>
      <c r="K53" s="32">
        <v>2.961253098E9</v>
      </c>
      <c r="L53" s="32">
        <v>16341.0</v>
      </c>
      <c r="M53" s="31" t="s">
        <v>34</v>
      </c>
      <c r="N53" s="32">
        <v>25.0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5.524249E7</v>
      </c>
      <c r="B54" s="31" t="s">
        <v>88</v>
      </c>
      <c r="C54" s="32">
        <v>6.8969252E7</v>
      </c>
      <c r="D54" s="32">
        <v>9.66520963E8</v>
      </c>
      <c r="E54" s="32">
        <v>1.0619656E7</v>
      </c>
      <c r="F54" s="32">
        <v>1.11665169E8</v>
      </c>
      <c r="G54" s="32">
        <v>2.4889571E7</v>
      </c>
      <c r="H54" s="32">
        <v>3.4060899E7</v>
      </c>
      <c r="I54" s="32">
        <v>0.0</v>
      </c>
      <c r="J54" s="32">
        <v>1.3497952256E10</v>
      </c>
      <c r="K54" s="32">
        <v>5.43576093E9</v>
      </c>
      <c r="L54" s="32">
        <v>53752.0</v>
      </c>
      <c r="M54" s="31" t="s">
        <v>34</v>
      </c>
      <c r="N54" s="32">
        <v>25.0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1.72033754E8</v>
      </c>
      <c r="B55" s="31" t="s">
        <v>92</v>
      </c>
      <c r="C55" s="32">
        <v>6.8881579E7</v>
      </c>
      <c r="D55" s="32">
        <v>4.34277864E8</v>
      </c>
      <c r="E55" s="32">
        <v>6798488.0</v>
      </c>
      <c r="F55" s="32">
        <v>1.5754194E7</v>
      </c>
      <c r="G55" s="32">
        <v>1.8781791E7</v>
      </c>
      <c r="H55" s="32">
        <v>1.162288E7</v>
      </c>
      <c r="I55" s="32">
        <v>0.0</v>
      </c>
      <c r="J55" s="32">
        <v>1.0965172142E10</v>
      </c>
      <c r="K55" s="32">
        <v>1.15993687E9</v>
      </c>
      <c r="L55" s="32">
        <v>35628.0</v>
      </c>
      <c r="M55" s="31" t="s">
        <v>34</v>
      </c>
      <c r="N55" s="32">
        <v>25.0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1.5633938E8</v>
      </c>
      <c r="B56" s="31" t="s">
        <v>89</v>
      </c>
      <c r="C56" s="32">
        <v>6.8593154E7</v>
      </c>
      <c r="D56" s="32">
        <v>6.14467237E8</v>
      </c>
      <c r="E56" s="32">
        <v>8560481.0</v>
      </c>
      <c r="F56" s="32">
        <v>5871227.0</v>
      </c>
      <c r="G56" s="32">
        <v>3.1300572E7</v>
      </c>
      <c r="H56" s="32">
        <v>1.345527E7</v>
      </c>
      <c r="I56" s="32">
        <v>0.0</v>
      </c>
      <c r="J56" s="32">
        <v>1.5788368802E10</v>
      </c>
      <c r="K56" s="32">
        <v>3.759929489E9</v>
      </c>
      <c r="L56" s="32">
        <v>127245.0</v>
      </c>
      <c r="M56" s="31" t="s">
        <v>34</v>
      </c>
      <c r="N56" s="32">
        <v>25.0</v>
      </c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1.71806191E8</v>
      </c>
      <c r="B57" s="31" t="s">
        <v>443</v>
      </c>
      <c r="C57" s="32">
        <v>6.8303134E7</v>
      </c>
      <c r="D57" s="32">
        <v>2.12050309E8</v>
      </c>
      <c r="E57" s="32">
        <v>2536251.0</v>
      </c>
      <c r="F57" s="32">
        <v>1244899.0</v>
      </c>
      <c r="G57" s="32">
        <v>6790615.0</v>
      </c>
      <c r="H57" s="32">
        <v>7138060.0</v>
      </c>
      <c r="I57" s="32">
        <v>0.0</v>
      </c>
      <c r="J57" s="32">
        <v>9.525934617E9</v>
      </c>
      <c r="K57" s="32">
        <v>1.15560939E8</v>
      </c>
      <c r="L57" s="32">
        <v>19439.0</v>
      </c>
      <c r="M57" s="31" t="s">
        <v>34</v>
      </c>
      <c r="N57" s="32">
        <v>25.0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1.71604682E8</v>
      </c>
      <c r="B58" s="31" t="s">
        <v>86</v>
      </c>
      <c r="C58" s="32">
        <v>6.7979762E7</v>
      </c>
      <c r="D58" s="32">
        <v>1.291085119E9</v>
      </c>
      <c r="E58" s="32">
        <v>6426057.0</v>
      </c>
      <c r="F58" s="32">
        <v>1.1820807E7</v>
      </c>
      <c r="G58" s="32">
        <v>4.7322992E7</v>
      </c>
      <c r="H58" s="32">
        <v>3.8785018E7</v>
      </c>
      <c r="I58" s="32">
        <v>0.0</v>
      </c>
      <c r="J58" s="32">
        <v>9.154690947E9</v>
      </c>
      <c r="K58" s="32">
        <v>1.520720264E9</v>
      </c>
      <c r="L58" s="32">
        <v>60597.0</v>
      </c>
      <c r="M58" s="31" t="s">
        <v>34</v>
      </c>
      <c r="N58" s="32">
        <v>25.0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1.69446634E8</v>
      </c>
      <c r="B59" s="31" t="s">
        <v>405</v>
      </c>
      <c r="C59" s="32">
        <v>6.7619678E7</v>
      </c>
      <c r="D59" s="32">
        <v>2.75448038E8</v>
      </c>
      <c r="E59" s="32">
        <v>8842022.0</v>
      </c>
      <c r="F59" s="32">
        <v>736201.0</v>
      </c>
      <c r="G59" s="32">
        <v>9929763.0</v>
      </c>
      <c r="H59" s="32">
        <v>8709534.0</v>
      </c>
      <c r="I59" s="32">
        <v>0.0</v>
      </c>
      <c r="J59" s="32">
        <v>1.1240671783E10</v>
      </c>
      <c r="K59" s="32">
        <v>3.3338578E8</v>
      </c>
      <c r="L59" s="32">
        <v>59274.0</v>
      </c>
      <c r="M59" s="31" t="s">
        <v>34</v>
      </c>
      <c r="N59" s="32">
        <v>25.0</v>
      </c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1.68839111E8</v>
      </c>
      <c r="B60" s="31" t="s">
        <v>101</v>
      </c>
      <c r="C60" s="32">
        <v>6.7480389E7</v>
      </c>
      <c r="D60" s="32">
        <v>3.77708726E8</v>
      </c>
      <c r="E60" s="32">
        <v>4698239.0</v>
      </c>
      <c r="F60" s="32">
        <v>2.0221743E7</v>
      </c>
      <c r="G60" s="32">
        <v>2.2652769E7</v>
      </c>
      <c r="H60" s="32">
        <v>7114088.0</v>
      </c>
      <c r="I60" s="32">
        <v>0.0</v>
      </c>
      <c r="J60" s="32">
        <v>1.4297271265E10</v>
      </c>
      <c r="K60" s="32">
        <v>3.011985477E9</v>
      </c>
      <c r="L60" s="32">
        <v>37067.0</v>
      </c>
      <c r="M60" s="31" t="s">
        <v>34</v>
      </c>
      <c r="N60" s="32">
        <v>25.0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1.41154852E8</v>
      </c>
      <c r="B61" s="31" t="s">
        <v>76</v>
      </c>
      <c r="C61" s="32">
        <v>6.6498428E7</v>
      </c>
      <c r="D61" s="32">
        <v>2.678613781E9</v>
      </c>
      <c r="E61" s="32">
        <v>1.2842886E7</v>
      </c>
      <c r="F61" s="32">
        <v>3.0369705E7</v>
      </c>
      <c r="G61" s="32">
        <v>1.099824E8</v>
      </c>
      <c r="H61" s="32">
        <v>7.6449835E7</v>
      </c>
      <c r="I61" s="32">
        <v>0.0</v>
      </c>
      <c r="J61" s="32">
        <v>1.674201672E10</v>
      </c>
      <c r="K61" s="32">
        <v>6.166357243E9</v>
      </c>
      <c r="L61" s="32">
        <v>70190.0</v>
      </c>
      <c r="M61" s="31" t="s">
        <v>34</v>
      </c>
      <c r="N61" s="32">
        <v>25.0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1.69326547E8</v>
      </c>
      <c r="B62" s="31" t="s">
        <v>47</v>
      </c>
      <c r="C62" s="32">
        <v>6.5412665E7</v>
      </c>
      <c r="D62" s="32">
        <v>3.351127823E9</v>
      </c>
      <c r="E62" s="32">
        <v>9058537.0</v>
      </c>
      <c r="F62" s="32">
        <v>8687047.0</v>
      </c>
      <c r="G62" s="32">
        <v>9.0288183E7</v>
      </c>
      <c r="H62" s="32">
        <v>1.20508731E8</v>
      </c>
      <c r="I62" s="32">
        <v>0.0</v>
      </c>
      <c r="J62" s="32">
        <v>1.0744851978E10</v>
      </c>
      <c r="K62" s="32">
        <v>9.410822852E9</v>
      </c>
      <c r="L62" s="32">
        <v>118662.0</v>
      </c>
      <c r="M62" s="31" t="s">
        <v>34</v>
      </c>
      <c r="N62" s="32">
        <v>25.0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1.71753933E8</v>
      </c>
      <c r="B63" s="31" t="s">
        <v>108</v>
      </c>
      <c r="C63" s="32">
        <v>6.5208123E7</v>
      </c>
      <c r="D63" s="32">
        <v>8.2354326E7</v>
      </c>
      <c r="E63" s="32">
        <v>4571959.0</v>
      </c>
      <c r="F63" s="32">
        <v>254494.0</v>
      </c>
      <c r="G63" s="32">
        <v>2683876.0</v>
      </c>
      <c r="H63" s="32">
        <v>2758137.0</v>
      </c>
      <c r="I63" s="32">
        <v>0.0</v>
      </c>
      <c r="J63" s="32">
        <v>1.2410702981E10</v>
      </c>
      <c r="K63" s="32">
        <v>1.52796998E8</v>
      </c>
      <c r="L63" s="32">
        <v>51670.0</v>
      </c>
      <c r="M63" s="31" t="s">
        <v>34</v>
      </c>
      <c r="N63" s="32">
        <v>25.0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1.6757738E8</v>
      </c>
      <c r="B64" s="31" t="s">
        <v>107</v>
      </c>
      <c r="C64" s="32">
        <v>6.5151671E7</v>
      </c>
      <c r="D64" s="32">
        <v>3.90066585E8</v>
      </c>
      <c r="E64" s="32">
        <v>5611995.0</v>
      </c>
      <c r="F64" s="32">
        <v>4819417.0</v>
      </c>
      <c r="G64" s="32">
        <v>1.4671038E7</v>
      </c>
      <c r="H64" s="32">
        <v>1.171439E7</v>
      </c>
      <c r="I64" s="32">
        <v>0.0</v>
      </c>
      <c r="J64" s="32">
        <v>7.739126072E9</v>
      </c>
      <c r="K64" s="32">
        <v>9.70788659E8</v>
      </c>
      <c r="L64" s="32">
        <v>46281.0</v>
      </c>
      <c r="M64" s="31" t="s">
        <v>34</v>
      </c>
      <c r="N64" s="32">
        <v>25.0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1.55534128E8</v>
      </c>
      <c r="B65" s="31" t="s">
        <v>105</v>
      </c>
      <c r="C65" s="32">
        <v>6.4716773E7</v>
      </c>
      <c r="D65" s="32">
        <v>1.080917333E9</v>
      </c>
      <c r="E65" s="32">
        <v>8448965.0</v>
      </c>
      <c r="F65" s="32">
        <v>1.5022987E7</v>
      </c>
      <c r="G65" s="32">
        <v>3.7707919E7</v>
      </c>
      <c r="H65" s="32">
        <v>3.4500223E7</v>
      </c>
      <c r="I65" s="32">
        <v>0.0</v>
      </c>
      <c r="J65" s="32">
        <v>8.060334918E9</v>
      </c>
      <c r="K65" s="32">
        <v>9.17037441E8</v>
      </c>
      <c r="L65" s="32">
        <v>50982.0</v>
      </c>
      <c r="M65" s="31" t="s">
        <v>34</v>
      </c>
      <c r="N65" s="32">
        <v>25.0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1.46428825E8</v>
      </c>
      <c r="B66" s="31" t="s">
        <v>52</v>
      </c>
      <c r="C66" s="32">
        <v>6.4278632E7</v>
      </c>
      <c r="D66" s="32">
        <v>1.883224685E9</v>
      </c>
      <c r="E66" s="32">
        <v>1.008326E7</v>
      </c>
      <c r="F66" s="32">
        <v>1.4982589E7</v>
      </c>
      <c r="G66" s="32">
        <v>6.2696963E7</v>
      </c>
      <c r="H66" s="32">
        <v>6.2166772E7</v>
      </c>
      <c r="I66" s="32">
        <v>0.0</v>
      </c>
      <c r="J66" s="32">
        <v>2.6571461471E10</v>
      </c>
      <c r="K66" s="32">
        <v>9.720861277E9</v>
      </c>
      <c r="L66" s="32">
        <v>135967.0</v>
      </c>
      <c r="M66" s="31" t="s">
        <v>34</v>
      </c>
      <c r="N66" s="32">
        <v>25.0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1.53857025E8</v>
      </c>
      <c r="B67" s="31" t="s">
        <v>106</v>
      </c>
      <c r="C67" s="32">
        <v>6.427036E7</v>
      </c>
      <c r="D67" s="32">
        <v>8.7865654E8</v>
      </c>
      <c r="E67" s="32">
        <v>7253586.0</v>
      </c>
      <c r="F67" s="32">
        <v>2.454759E7</v>
      </c>
      <c r="G67" s="32">
        <v>1.715064E7</v>
      </c>
      <c r="H67" s="32">
        <v>3.4891556E7</v>
      </c>
      <c r="I67" s="32">
        <v>0.0</v>
      </c>
      <c r="J67" s="32">
        <v>1.4874560131E10</v>
      </c>
      <c r="K67" s="32">
        <v>6.904186976E9</v>
      </c>
      <c r="L67" s="32">
        <v>77003.0</v>
      </c>
      <c r="M67" s="31" t="s">
        <v>34</v>
      </c>
      <c r="N67" s="32">
        <v>25.0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1.44049878E8</v>
      </c>
      <c r="B68" s="31" t="s">
        <v>127</v>
      </c>
      <c r="C68" s="32">
        <v>6.4210219E7</v>
      </c>
      <c r="D68" s="32">
        <v>3.05600482E8</v>
      </c>
      <c r="E68" s="32">
        <v>8826478.0</v>
      </c>
      <c r="F68" s="32">
        <v>3617362.0</v>
      </c>
      <c r="G68" s="32">
        <v>1.2014665E7</v>
      </c>
      <c r="H68" s="32">
        <v>9064354.0</v>
      </c>
      <c r="I68" s="32">
        <v>0.0</v>
      </c>
      <c r="J68" s="32">
        <v>1.1034169702E10</v>
      </c>
      <c r="K68" s="32">
        <v>7.2816E8</v>
      </c>
      <c r="L68" s="32">
        <v>50399.0</v>
      </c>
      <c r="M68" s="31" t="s">
        <v>34</v>
      </c>
      <c r="N68" s="32">
        <v>25.0</v>
      </c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1.7160984E8</v>
      </c>
      <c r="B69" s="31" t="s">
        <v>103</v>
      </c>
      <c r="C69" s="32">
        <v>6.4105227E7</v>
      </c>
      <c r="D69" s="32">
        <v>5.28692073E8</v>
      </c>
      <c r="E69" s="32">
        <v>5115498.0</v>
      </c>
      <c r="F69" s="32">
        <v>4497129.0</v>
      </c>
      <c r="G69" s="32">
        <v>1.3172588E7</v>
      </c>
      <c r="H69" s="32">
        <v>1.9522589E7</v>
      </c>
      <c r="I69" s="32">
        <v>0.0</v>
      </c>
      <c r="J69" s="32">
        <v>7.701753879E9</v>
      </c>
      <c r="K69" s="32">
        <v>2.27640069E8</v>
      </c>
      <c r="L69" s="32">
        <v>43941.0</v>
      </c>
      <c r="M69" s="31" t="s">
        <v>34</v>
      </c>
      <c r="N69" s="32">
        <v>25.0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1.44010731E8</v>
      </c>
      <c r="B70" s="31" t="s">
        <v>407</v>
      </c>
      <c r="C70" s="32">
        <v>6.3829878E7</v>
      </c>
      <c r="D70" s="32">
        <v>1.21356831E8</v>
      </c>
      <c r="E70" s="32">
        <v>8710067.0</v>
      </c>
      <c r="F70" s="32">
        <v>144507.0</v>
      </c>
      <c r="G70" s="32">
        <v>2587604.0</v>
      </c>
      <c r="H70" s="32">
        <v>4679355.0</v>
      </c>
      <c r="I70" s="32">
        <v>0.0</v>
      </c>
      <c r="J70" s="32">
        <v>7.895256476E9</v>
      </c>
      <c r="K70" s="32">
        <v>7.02856257E8</v>
      </c>
      <c r="L70" s="32">
        <v>31570.0</v>
      </c>
      <c r="M70" s="31" t="s">
        <v>34</v>
      </c>
      <c r="N70" s="32">
        <v>25.0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1.71209025E8</v>
      </c>
      <c r="B71" s="31" t="s">
        <v>444</v>
      </c>
      <c r="C71" s="32">
        <v>6.354548E7</v>
      </c>
      <c r="D71" s="32">
        <v>3.65338727E8</v>
      </c>
      <c r="E71" s="32">
        <v>1.0102187E7</v>
      </c>
      <c r="F71" s="32">
        <v>3.5403615E7</v>
      </c>
      <c r="G71" s="32">
        <v>1.8174369E7</v>
      </c>
      <c r="H71" s="32">
        <v>7662943.0</v>
      </c>
      <c r="I71" s="32">
        <v>0.0</v>
      </c>
      <c r="J71" s="32">
        <v>1.3734352072E10</v>
      </c>
      <c r="K71" s="32">
        <v>1.404842811E9</v>
      </c>
      <c r="L71" s="32">
        <v>37524.0</v>
      </c>
      <c r="M71" s="31" t="s">
        <v>147</v>
      </c>
      <c r="N71" s="32">
        <v>25.0</v>
      </c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1.68923934E8</v>
      </c>
      <c r="B72" s="31" t="s">
        <v>98</v>
      </c>
      <c r="C72" s="32">
        <v>6.3539974E7</v>
      </c>
      <c r="D72" s="32">
        <v>6.26476183E8</v>
      </c>
      <c r="E72" s="32">
        <v>4632443.0</v>
      </c>
      <c r="F72" s="32">
        <v>4.3000957E7</v>
      </c>
      <c r="G72" s="32">
        <v>2.2729877E7</v>
      </c>
      <c r="H72" s="32">
        <v>1.776216E7</v>
      </c>
      <c r="I72" s="32">
        <v>0.0</v>
      </c>
      <c r="J72" s="32">
        <v>7.513999625E9</v>
      </c>
      <c r="K72" s="32">
        <v>4.97581842E8</v>
      </c>
      <c r="L72" s="32">
        <v>30633.0</v>
      </c>
      <c r="M72" s="31" t="s">
        <v>34</v>
      </c>
      <c r="N72" s="32">
        <v>25.0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1.71910225E8</v>
      </c>
      <c r="B73" s="31" t="s">
        <v>99</v>
      </c>
      <c r="C73" s="32">
        <v>6.3525794E7</v>
      </c>
      <c r="D73" s="32">
        <v>2.24651888E8</v>
      </c>
      <c r="E73" s="32">
        <v>5668164.0</v>
      </c>
      <c r="F73" s="32">
        <v>260484.0</v>
      </c>
      <c r="G73" s="32">
        <v>4099060.0</v>
      </c>
      <c r="H73" s="32">
        <v>9148332.0</v>
      </c>
      <c r="I73" s="32">
        <v>0.0</v>
      </c>
      <c r="J73" s="32">
        <v>1.4309674384E10</v>
      </c>
      <c r="K73" s="32">
        <v>2.107133765E9</v>
      </c>
      <c r="L73" s="32">
        <v>37334.0</v>
      </c>
      <c r="M73" s="31" t="s">
        <v>34</v>
      </c>
      <c r="N73" s="32">
        <v>25.0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1.71983336E8</v>
      </c>
      <c r="B74" s="31" t="s">
        <v>408</v>
      </c>
      <c r="C74" s="32">
        <v>6.304326E7</v>
      </c>
      <c r="D74" s="32">
        <v>3.21920858E8</v>
      </c>
      <c r="E74" s="32">
        <v>5669526.0</v>
      </c>
      <c r="F74" s="32">
        <v>7605401.0</v>
      </c>
      <c r="G74" s="32">
        <v>1.1893244E7</v>
      </c>
      <c r="H74" s="32">
        <v>9675835.0</v>
      </c>
      <c r="I74" s="32">
        <v>0.0</v>
      </c>
      <c r="J74" s="32">
        <v>1.4262599159E10</v>
      </c>
      <c r="K74" s="32">
        <v>6.345278491E9</v>
      </c>
      <c r="L74" s="32">
        <v>105275.0</v>
      </c>
      <c r="M74" s="31" t="s">
        <v>34</v>
      </c>
      <c r="N74" s="32">
        <v>25.0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1.70972148E8</v>
      </c>
      <c r="B75" s="31" t="s">
        <v>406</v>
      </c>
      <c r="C75" s="32">
        <v>6.2900275E7</v>
      </c>
      <c r="D75" s="32">
        <v>2.37298094E8</v>
      </c>
      <c r="E75" s="32">
        <v>4449283.0</v>
      </c>
      <c r="F75" s="32">
        <v>1.486809E7</v>
      </c>
      <c r="G75" s="32">
        <v>9222818.0</v>
      </c>
      <c r="H75" s="32">
        <v>7016593.0</v>
      </c>
      <c r="I75" s="32">
        <v>0.0</v>
      </c>
      <c r="J75" s="32">
        <v>1.1084388947E10</v>
      </c>
      <c r="K75" s="32">
        <v>1.583960679E9</v>
      </c>
      <c r="L75" s="32">
        <v>26939.0</v>
      </c>
      <c r="M75" s="31" t="s">
        <v>34</v>
      </c>
      <c r="N75" s="32">
        <v>25.0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1.67614515E8</v>
      </c>
      <c r="B76" s="31" t="s">
        <v>365</v>
      </c>
      <c r="C76" s="32">
        <v>6.2879351E7</v>
      </c>
      <c r="D76" s="32">
        <v>2.3023382E8</v>
      </c>
      <c r="E76" s="32">
        <v>6141128.0</v>
      </c>
      <c r="F76" s="32">
        <v>1261703.0</v>
      </c>
      <c r="G76" s="32">
        <v>1.2748456E7</v>
      </c>
      <c r="H76" s="32">
        <v>4983889.0</v>
      </c>
      <c r="I76" s="32">
        <v>0.0</v>
      </c>
      <c r="J76" s="32">
        <v>1.3965496795E10</v>
      </c>
      <c r="K76" s="32">
        <v>7.99053053E8</v>
      </c>
      <c r="L76" s="32">
        <v>51363.0</v>
      </c>
      <c r="M76" s="31" t="s">
        <v>34</v>
      </c>
      <c r="N76" s="32">
        <v>25.0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1.66807426E8</v>
      </c>
      <c r="B77" s="31" t="s">
        <v>404</v>
      </c>
      <c r="C77" s="32">
        <v>6.2337655E7</v>
      </c>
      <c r="D77" s="32">
        <v>3.63223551E8</v>
      </c>
      <c r="E77" s="32">
        <v>5942362.0</v>
      </c>
      <c r="F77" s="32">
        <v>5.4946707E7</v>
      </c>
      <c r="G77" s="32">
        <v>1.5557415E7</v>
      </c>
      <c r="H77" s="32">
        <v>9745496.0</v>
      </c>
      <c r="I77" s="32">
        <v>0.0</v>
      </c>
      <c r="J77" s="32">
        <v>4.626732808E9</v>
      </c>
      <c r="K77" s="32">
        <v>3.02842793E9</v>
      </c>
      <c r="L77" s="32">
        <v>50847.0</v>
      </c>
      <c r="M77" s="31" t="s">
        <v>34</v>
      </c>
      <c r="N77" s="32">
        <v>25.0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1.67637163E8</v>
      </c>
      <c r="B78" s="31" t="s">
        <v>446</v>
      </c>
      <c r="C78" s="32">
        <v>6.1910591E7</v>
      </c>
      <c r="D78" s="32">
        <v>4.56558068E8</v>
      </c>
      <c r="E78" s="32">
        <v>9122893.0</v>
      </c>
      <c r="F78" s="32">
        <v>3066053.0</v>
      </c>
      <c r="G78" s="32">
        <v>2.6708008E7</v>
      </c>
      <c r="H78" s="32">
        <v>8229972.0</v>
      </c>
      <c r="I78" s="32">
        <v>0.0</v>
      </c>
      <c r="J78" s="32">
        <v>9.838557749E9</v>
      </c>
      <c r="K78" s="32">
        <v>2.0983875341E10</v>
      </c>
      <c r="L78" s="32">
        <v>93743.0</v>
      </c>
      <c r="M78" s="31" t="s">
        <v>34</v>
      </c>
      <c r="N78" s="32">
        <v>25.0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1.71355737E8</v>
      </c>
      <c r="B79" s="31" t="s">
        <v>85</v>
      </c>
      <c r="C79" s="32">
        <v>6.1867398E7</v>
      </c>
      <c r="D79" s="32">
        <v>6.5620972E8</v>
      </c>
      <c r="E79" s="32">
        <v>5158222.0</v>
      </c>
      <c r="F79" s="32">
        <v>2912094.0</v>
      </c>
      <c r="G79" s="32">
        <v>2.6433779E7</v>
      </c>
      <c r="H79" s="32">
        <v>1.9374387E7</v>
      </c>
      <c r="I79" s="32">
        <v>0.0</v>
      </c>
      <c r="J79" s="32">
        <v>1.3594108335E10</v>
      </c>
      <c r="K79" s="32">
        <v>7.884546118E9</v>
      </c>
      <c r="L79" s="32">
        <v>78759.0</v>
      </c>
      <c r="M79" s="31" t="s">
        <v>34</v>
      </c>
      <c r="N79" s="32">
        <v>25.0</v>
      </c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1.71358436E8</v>
      </c>
      <c r="B80" s="31" t="s">
        <v>115</v>
      </c>
      <c r="C80" s="32">
        <v>6.1867089E7</v>
      </c>
      <c r="D80" s="32">
        <v>6.64788743E8</v>
      </c>
      <c r="E80" s="32">
        <v>5833655.0</v>
      </c>
      <c r="F80" s="32">
        <v>6461365.0</v>
      </c>
      <c r="G80" s="32">
        <v>3.001493E7</v>
      </c>
      <c r="H80" s="32">
        <v>1.7313129E7</v>
      </c>
      <c r="I80" s="32">
        <v>0.0</v>
      </c>
      <c r="J80" s="32">
        <v>4.673744449E9</v>
      </c>
      <c r="K80" s="32">
        <v>5.127722952E9</v>
      </c>
      <c r="L80" s="32">
        <v>51015.0</v>
      </c>
      <c r="M80" s="31" t="s">
        <v>34</v>
      </c>
      <c r="N80" s="32">
        <v>25.0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1.38752108E8</v>
      </c>
      <c r="B81" s="31" t="s">
        <v>445</v>
      </c>
      <c r="C81" s="32">
        <v>6.1689789E7</v>
      </c>
      <c r="D81" s="32">
        <v>4.35412557E8</v>
      </c>
      <c r="E81" s="32">
        <v>5651167.0</v>
      </c>
      <c r="F81" s="32">
        <v>889466.0</v>
      </c>
      <c r="G81" s="32">
        <v>1.0396596E7</v>
      </c>
      <c r="H81" s="32">
        <v>1.6500168E7</v>
      </c>
      <c r="I81" s="32">
        <v>0.0</v>
      </c>
      <c r="J81" s="32">
        <v>2.4463100608E10</v>
      </c>
      <c r="K81" s="32">
        <v>6.19918153E8</v>
      </c>
      <c r="L81" s="32">
        <v>82984.0</v>
      </c>
      <c r="M81" s="31" t="s">
        <v>66</v>
      </c>
      <c r="N81" s="32">
        <v>25.0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1.71697263E8</v>
      </c>
      <c r="B82" s="31" t="s">
        <v>109</v>
      </c>
      <c r="C82" s="32">
        <v>6.1028926E7</v>
      </c>
      <c r="D82" s="32">
        <v>4.0024897E8</v>
      </c>
      <c r="E82" s="32">
        <v>9491451.0</v>
      </c>
      <c r="F82" s="32">
        <v>1.7153961E7</v>
      </c>
      <c r="G82" s="32">
        <v>1.7071511E7</v>
      </c>
      <c r="H82" s="32">
        <v>1.123789E7</v>
      </c>
      <c r="I82" s="32">
        <v>0.0</v>
      </c>
      <c r="J82" s="32">
        <v>5.385173391E9</v>
      </c>
      <c r="K82" s="32">
        <v>6.76969728E8</v>
      </c>
      <c r="L82" s="32">
        <v>44627.0</v>
      </c>
      <c r="M82" s="31" t="s">
        <v>34</v>
      </c>
      <c r="N82" s="32">
        <v>25.0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1.70728362E8</v>
      </c>
      <c r="B83" s="31" t="s">
        <v>104</v>
      </c>
      <c r="C83" s="32">
        <v>6.093387E7</v>
      </c>
      <c r="D83" s="32">
        <v>4.96432531E8</v>
      </c>
      <c r="E83" s="32">
        <v>9700304.0</v>
      </c>
      <c r="F83" s="32">
        <v>1.0483306E7</v>
      </c>
      <c r="G83" s="32">
        <v>1.5370806E7</v>
      </c>
      <c r="H83" s="32">
        <v>1.6418102E7</v>
      </c>
      <c r="I83" s="32">
        <v>0.0</v>
      </c>
      <c r="J83" s="32">
        <v>6.648915525E9</v>
      </c>
      <c r="K83" s="32">
        <v>6.049580133E9</v>
      </c>
      <c r="L83" s="32">
        <v>60762.0</v>
      </c>
      <c r="M83" s="31" t="s">
        <v>34</v>
      </c>
      <c r="N83" s="32">
        <v>25.0</v>
      </c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1.71982346E8</v>
      </c>
      <c r="B84" s="31" t="s">
        <v>409</v>
      </c>
      <c r="C84" s="32">
        <v>6.0789979E7</v>
      </c>
      <c r="D84" s="32">
        <v>1.10772839E8</v>
      </c>
      <c r="E84" s="32">
        <v>3474605.0</v>
      </c>
      <c r="F84" s="32">
        <v>111988.0</v>
      </c>
      <c r="G84" s="32">
        <v>3828836.0</v>
      </c>
      <c r="H84" s="32">
        <v>3593284.0</v>
      </c>
      <c r="I84" s="32">
        <v>0.0</v>
      </c>
      <c r="J84" s="32">
        <v>6.743958771E9</v>
      </c>
      <c r="K84" s="32">
        <v>4.33818604E8</v>
      </c>
      <c r="L84" s="32">
        <v>22945.0</v>
      </c>
      <c r="M84" s="31" t="s">
        <v>34</v>
      </c>
      <c r="N84" s="32">
        <v>25.0</v>
      </c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1.71679053E8</v>
      </c>
      <c r="B85" s="31" t="s">
        <v>111</v>
      </c>
      <c r="C85" s="32">
        <v>6.0745855E7</v>
      </c>
      <c r="D85" s="32">
        <v>2.00994142E8</v>
      </c>
      <c r="E85" s="32">
        <v>4158304.0</v>
      </c>
      <c r="F85" s="32">
        <v>719524.0</v>
      </c>
      <c r="G85" s="32">
        <v>6431016.0</v>
      </c>
      <c r="H85" s="32">
        <v>6683652.0</v>
      </c>
      <c r="I85" s="32">
        <v>0.0</v>
      </c>
      <c r="J85" s="32">
        <v>1.0372337392E10</v>
      </c>
      <c r="K85" s="32">
        <v>1.339045371E9</v>
      </c>
      <c r="L85" s="32">
        <v>26360.0</v>
      </c>
      <c r="M85" s="31" t="s">
        <v>34</v>
      </c>
      <c r="N85" s="32">
        <v>25.0</v>
      </c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1915332.0</v>
      </c>
      <c r="B86" s="31" t="s">
        <v>110</v>
      </c>
      <c r="C86" s="32">
        <v>5.9892409E7</v>
      </c>
      <c r="D86" s="32">
        <v>4.14277666E8</v>
      </c>
      <c r="E86" s="32">
        <v>1.0839574E7</v>
      </c>
      <c r="F86" s="32">
        <v>1.7934371E7</v>
      </c>
      <c r="G86" s="32">
        <v>1.6343011E7</v>
      </c>
      <c r="H86" s="32">
        <v>1.1619839E7</v>
      </c>
      <c r="I86" s="32">
        <v>0.0</v>
      </c>
      <c r="J86" s="32">
        <v>7.344439166E9</v>
      </c>
      <c r="K86" s="32">
        <v>4.025499586E9</v>
      </c>
      <c r="L86" s="32">
        <v>33329.0</v>
      </c>
      <c r="M86" s="31" t="s">
        <v>34</v>
      </c>
      <c r="N86" s="32">
        <v>25.0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1.71858863E8</v>
      </c>
      <c r="B87" s="31" t="s">
        <v>120</v>
      </c>
      <c r="C87" s="32">
        <v>5.9205933E7</v>
      </c>
      <c r="D87" s="32">
        <v>4.4126016E7</v>
      </c>
      <c r="E87" s="32">
        <v>4374063.0</v>
      </c>
      <c r="F87" s="32">
        <v>51770.0</v>
      </c>
      <c r="G87" s="32">
        <v>804984.0</v>
      </c>
      <c r="H87" s="32">
        <v>1785271.0</v>
      </c>
      <c r="I87" s="32">
        <v>0.0</v>
      </c>
      <c r="J87" s="32">
        <v>6.462188487E9</v>
      </c>
      <c r="K87" s="32">
        <v>5.215262E8</v>
      </c>
      <c r="L87" s="32">
        <v>8157.0</v>
      </c>
      <c r="M87" s="31" t="s">
        <v>34</v>
      </c>
      <c r="N87" s="32">
        <v>25.0</v>
      </c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1.4406546E8</v>
      </c>
      <c r="B88" s="31" t="s">
        <v>412</v>
      </c>
      <c r="C88" s="32">
        <v>5.8830269E7</v>
      </c>
      <c r="D88" s="32">
        <v>1.14974059E8</v>
      </c>
      <c r="E88" s="32">
        <v>6948383.0</v>
      </c>
      <c r="F88" s="32">
        <v>173335.0</v>
      </c>
      <c r="G88" s="32">
        <v>2174373.0</v>
      </c>
      <c r="H88" s="32">
        <v>4638391.0</v>
      </c>
      <c r="I88" s="32">
        <v>0.0</v>
      </c>
      <c r="J88" s="32">
        <v>1.1477503695E10</v>
      </c>
      <c r="K88" s="32">
        <v>4.97472383E8</v>
      </c>
      <c r="L88" s="32">
        <v>49155.0</v>
      </c>
      <c r="M88" s="31" t="s">
        <v>34</v>
      </c>
      <c r="N88" s="32">
        <v>25.0</v>
      </c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1.71827401E8</v>
      </c>
      <c r="B89" s="31" t="s">
        <v>123</v>
      </c>
      <c r="C89" s="32">
        <v>5.8784334E7</v>
      </c>
      <c r="D89" s="32">
        <v>1.528169813E9</v>
      </c>
      <c r="E89" s="32">
        <v>7975447.0</v>
      </c>
      <c r="F89" s="32">
        <v>4.2447525E7</v>
      </c>
      <c r="G89" s="32">
        <v>1.10599101E8</v>
      </c>
      <c r="H89" s="32">
        <v>1.7289391E7</v>
      </c>
      <c r="I89" s="32">
        <v>0.0</v>
      </c>
      <c r="J89" s="32">
        <v>3.062126535E9</v>
      </c>
      <c r="K89" s="32">
        <v>7.802247764E9</v>
      </c>
      <c r="L89" s="32">
        <v>31862.0</v>
      </c>
      <c r="M89" s="31" t="s">
        <v>66</v>
      </c>
      <c r="N89" s="32">
        <v>25.0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1.39292614E8</v>
      </c>
      <c r="B90" s="31" t="s">
        <v>112</v>
      </c>
      <c r="C90" s="32">
        <v>5.8452076E7</v>
      </c>
      <c r="D90" s="32">
        <v>6.85734731E8</v>
      </c>
      <c r="E90" s="32">
        <v>1.1325405E7</v>
      </c>
      <c r="F90" s="32">
        <v>1.8048155E7</v>
      </c>
      <c r="G90" s="32">
        <v>1.5015881E7</v>
      </c>
      <c r="H90" s="32">
        <v>2.6220519E7</v>
      </c>
      <c r="I90" s="32">
        <v>0.0</v>
      </c>
      <c r="J90" s="32">
        <v>1.1370094857E10</v>
      </c>
      <c r="K90" s="32">
        <v>4.518817481E9</v>
      </c>
      <c r="L90" s="32">
        <v>41800.0</v>
      </c>
      <c r="M90" s="31" t="s">
        <v>34</v>
      </c>
      <c r="N90" s="32">
        <v>25.0</v>
      </c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1.51360763E8</v>
      </c>
      <c r="B91" s="31" t="s">
        <v>367</v>
      </c>
      <c r="C91" s="32">
        <v>5.7984299E7</v>
      </c>
      <c r="D91" s="32">
        <v>1.06440307E8</v>
      </c>
      <c r="E91" s="32">
        <v>5095810.0</v>
      </c>
      <c r="F91" s="32">
        <v>5776546.0</v>
      </c>
      <c r="G91" s="32">
        <v>5702838.0</v>
      </c>
      <c r="H91" s="32">
        <v>2379927.0</v>
      </c>
      <c r="I91" s="32">
        <v>0.0</v>
      </c>
      <c r="J91" s="32">
        <v>2.5767284918E10</v>
      </c>
      <c r="K91" s="32">
        <v>1.2178012042E10</v>
      </c>
      <c r="L91" s="32">
        <v>19546.0</v>
      </c>
      <c r="M91" s="31" t="s">
        <v>34</v>
      </c>
      <c r="N91" s="32">
        <v>25.0</v>
      </c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1.44684719E8</v>
      </c>
      <c r="B92" s="31" t="s">
        <v>366</v>
      </c>
      <c r="C92" s="32">
        <v>5.7843559E7</v>
      </c>
      <c r="D92" s="32">
        <v>2.62951874E8</v>
      </c>
      <c r="E92" s="32">
        <v>1.3951916E7</v>
      </c>
      <c r="F92" s="32">
        <v>1316392.0</v>
      </c>
      <c r="G92" s="32">
        <v>9699775.0</v>
      </c>
      <c r="H92" s="32">
        <v>8027431.0</v>
      </c>
      <c r="I92" s="32">
        <v>0.0</v>
      </c>
      <c r="J92" s="32">
        <v>6.764310494E9</v>
      </c>
      <c r="K92" s="32">
        <v>1.456811379E9</v>
      </c>
      <c r="L92" s="32">
        <v>39033.0</v>
      </c>
      <c r="M92" s="31" t="s">
        <v>34</v>
      </c>
      <c r="N92" s="32">
        <v>25.0</v>
      </c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1.71345916E8</v>
      </c>
      <c r="B93" s="31" t="s">
        <v>447</v>
      </c>
      <c r="C93" s="32">
        <v>5.759549E7</v>
      </c>
      <c r="D93" s="32">
        <v>2.26184633E8</v>
      </c>
      <c r="E93" s="32">
        <v>4655720.0</v>
      </c>
      <c r="F93" s="32">
        <v>1.6376139E7</v>
      </c>
      <c r="G93" s="32">
        <v>1.2391922E7</v>
      </c>
      <c r="H93" s="32">
        <v>4130151.0</v>
      </c>
      <c r="I93" s="32">
        <v>0.0</v>
      </c>
      <c r="J93" s="32">
        <v>7.40748813E9</v>
      </c>
      <c r="K93" s="32">
        <v>1.808342095E9</v>
      </c>
      <c r="L93" s="32">
        <v>70884.0</v>
      </c>
      <c r="M93" s="31" t="s">
        <v>34</v>
      </c>
      <c r="N93" s="32">
        <v>25.0</v>
      </c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1.63138873E8</v>
      </c>
      <c r="B94" s="31" t="s">
        <v>410</v>
      </c>
      <c r="C94" s="32">
        <v>5.7405539E7</v>
      </c>
      <c r="D94" s="32">
        <v>1.18535527E8</v>
      </c>
      <c r="E94" s="32">
        <v>8486318.0</v>
      </c>
      <c r="F94" s="32">
        <v>5273325.0</v>
      </c>
      <c r="G94" s="32">
        <v>5456275.0</v>
      </c>
      <c r="H94" s="32">
        <v>3069633.0</v>
      </c>
      <c r="I94" s="32">
        <v>0.0</v>
      </c>
      <c r="J94" s="32">
        <v>4.122134833E9</v>
      </c>
      <c r="K94" s="32">
        <v>4.94242356E8</v>
      </c>
      <c r="L94" s="32">
        <v>18567.0</v>
      </c>
      <c r="M94" s="31" t="s">
        <v>34</v>
      </c>
      <c r="N94" s="32">
        <v>25.0</v>
      </c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1.68091444E8</v>
      </c>
      <c r="B95" s="31" t="s">
        <v>121</v>
      </c>
      <c r="C95" s="32">
        <v>5.7279866E7</v>
      </c>
      <c r="D95" s="32">
        <v>1.12170793E8</v>
      </c>
      <c r="E95" s="32">
        <v>7197561.0</v>
      </c>
      <c r="F95" s="32">
        <v>415679.0</v>
      </c>
      <c r="G95" s="32">
        <v>5692863.0</v>
      </c>
      <c r="H95" s="32">
        <v>2698380.0</v>
      </c>
      <c r="I95" s="32">
        <v>0.0</v>
      </c>
      <c r="J95" s="32">
        <v>7.257425152E9</v>
      </c>
      <c r="K95" s="32">
        <v>7.40264414E8</v>
      </c>
      <c r="L95" s="32">
        <v>43728.0</v>
      </c>
      <c r="M95" s="31" t="s">
        <v>34</v>
      </c>
      <c r="N95" s="32">
        <v>25.0</v>
      </c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1.45008495E8</v>
      </c>
      <c r="B96" s="31" t="s">
        <v>448</v>
      </c>
      <c r="C96" s="32">
        <v>5.7084279E7</v>
      </c>
      <c r="D96" s="32">
        <v>4.39003814E8</v>
      </c>
      <c r="E96" s="32">
        <v>1.379144E7</v>
      </c>
      <c r="F96" s="32">
        <v>4836864.0</v>
      </c>
      <c r="G96" s="32">
        <v>2.8082422E7</v>
      </c>
      <c r="H96" s="32">
        <v>7101134.0</v>
      </c>
      <c r="I96" s="32">
        <v>0.0</v>
      </c>
      <c r="J96" s="32">
        <v>6.961970796E9</v>
      </c>
      <c r="K96" s="32">
        <v>1.055954784E9</v>
      </c>
      <c r="L96" s="32">
        <v>23701.0</v>
      </c>
      <c r="M96" s="31" t="s">
        <v>34</v>
      </c>
      <c r="N96" s="32">
        <v>25.0</v>
      </c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1.69446444E8</v>
      </c>
      <c r="B97" s="31" t="s">
        <v>117</v>
      </c>
      <c r="C97" s="32">
        <v>5.691109E7</v>
      </c>
      <c r="D97" s="32">
        <v>1.137301615E9</v>
      </c>
      <c r="E97" s="32">
        <v>7776932.0</v>
      </c>
      <c r="F97" s="32">
        <v>3344628.0</v>
      </c>
      <c r="G97" s="32">
        <v>2.0620088E7</v>
      </c>
      <c r="H97" s="32">
        <v>4.5987879E7</v>
      </c>
      <c r="I97" s="32">
        <v>0.0</v>
      </c>
      <c r="J97" s="32">
        <v>6.417274865E9</v>
      </c>
      <c r="K97" s="32">
        <v>7.871136751E9</v>
      </c>
      <c r="L97" s="32">
        <v>74188.0</v>
      </c>
      <c r="M97" s="31" t="s">
        <v>34</v>
      </c>
      <c r="N97" s="32">
        <v>25.0</v>
      </c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1.27560055E8</v>
      </c>
      <c r="B98" s="31" t="s">
        <v>118</v>
      </c>
      <c r="C98" s="32">
        <v>5.5443774E7</v>
      </c>
      <c r="D98" s="32">
        <v>5.37189192E8</v>
      </c>
      <c r="E98" s="32">
        <v>1.6415019E7</v>
      </c>
      <c r="F98" s="32">
        <v>6.0649963E7</v>
      </c>
      <c r="G98" s="32">
        <v>3.5272658E7</v>
      </c>
      <c r="H98" s="32">
        <v>6965049.0</v>
      </c>
      <c r="I98" s="32">
        <v>0.0</v>
      </c>
      <c r="J98" s="32">
        <v>8.843690143E9</v>
      </c>
      <c r="K98" s="32">
        <v>1.426775546E9</v>
      </c>
      <c r="L98" s="32">
        <v>53172.0</v>
      </c>
      <c r="M98" s="31" t="s">
        <v>66</v>
      </c>
      <c r="N98" s="32">
        <v>25.0</v>
      </c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1.61646318E8</v>
      </c>
      <c r="B99" s="31" t="s">
        <v>122</v>
      </c>
      <c r="C99" s="32">
        <v>5.5025468E7</v>
      </c>
      <c r="D99" s="32">
        <v>2.48972185E8</v>
      </c>
      <c r="E99" s="32">
        <v>6241705.0</v>
      </c>
      <c r="F99" s="32">
        <v>662746.0</v>
      </c>
      <c r="G99" s="32">
        <v>9317050.0</v>
      </c>
      <c r="H99" s="32">
        <v>7712333.0</v>
      </c>
      <c r="I99" s="32">
        <v>0.0</v>
      </c>
      <c r="J99" s="32">
        <v>1.3907659022E10</v>
      </c>
      <c r="K99" s="32">
        <v>2.66164973E9</v>
      </c>
      <c r="L99" s="32">
        <v>47271.0</v>
      </c>
      <c r="M99" s="31" t="s">
        <v>34</v>
      </c>
      <c r="N99" s="32">
        <v>25.0</v>
      </c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1.4504414E8</v>
      </c>
      <c r="B100" s="31" t="s">
        <v>449</v>
      </c>
      <c r="C100" s="32">
        <v>5.4717194E7</v>
      </c>
      <c r="D100" s="32">
        <v>1.04659904E8</v>
      </c>
      <c r="E100" s="32">
        <v>9080173.0</v>
      </c>
      <c r="F100" s="32">
        <v>111584.0</v>
      </c>
      <c r="G100" s="32">
        <v>2008299.0</v>
      </c>
      <c r="H100" s="32">
        <v>4136513.0</v>
      </c>
      <c r="I100" s="32">
        <v>0.0</v>
      </c>
      <c r="J100" s="32">
        <v>7.456530194E9</v>
      </c>
      <c r="K100" s="32">
        <v>4.08309634E8</v>
      </c>
      <c r="L100" s="32">
        <v>12455.0</v>
      </c>
      <c r="M100" s="31" t="s">
        <v>34</v>
      </c>
      <c r="N100" s="32">
        <v>25.0</v>
      </c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1.58817223E8</v>
      </c>
      <c r="B101" s="31" t="s">
        <v>131</v>
      </c>
      <c r="C101" s="32">
        <v>5.4046933E7</v>
      </c>
      <c r="D101" s="32">
        <v>2.35250784E8</v>
      </c>
      <c r="E101" s="32">
        <v>7477157.0</v>
      </c>
      <c r="F101" s="32">
        <v>5303964.0</v>
      </c>
      <c r="G101" s="32">
        <v>9134764.0</v>
      </c>
      <c r="H101" s="32">
        <v>6613321.0</v>
      </c>
      <c r="I101" s="32">
        <v>0.0</v>
      </c>
      <c r="J101" s="32">
        <v>6.615066293E9</v>
      </c>
      <c r="K101" s="32">
        <v>4.550025581E9</v>
      </c>
      <c r="L101" s="32">
        <v>37394.0</v>
      </c>
      <c r="M101" s="31" t="s">
        <v>34</v>
      </c>
      <c r="N101" s="32">
        <v>25.0</v>
      </c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1.69672885E8</v>
      </c>
      <c r="B102" s="31" t="s">
        <v>129</v>
      </c>
      <c r="C102" s="32">
        <v>5.3315947E7</v>
      </c>
      <c r="D102" s="32">
        <v>4.01178307E8</v>
      </c>
      <c r="E102" s="32">
        <v>7935087.0</v>
      </c>
      <c r="F102" s="32">
        <v>8830799.0</v>
      </c>
      <c r="G102" s="32">
        <v>1.8165046E7</v>
      </c>
      <c r="H102" s="32">
        <v>1.0269414E7</v>
      </c>
      <c r="I102" s="32">
        <v>0.0</v>
      </c>
      <c r="J102" s="32">
        <v>7.020589658E9</v>
      </c>
      <c r="K102" s="32">
        <v>4.801989763E9</v>
      </c>
      <c r="L102" s="32">
        <v>32810.0</v>
      </c>
      <c r="M102" s="31" t="s">
        <v>34</v>
      </c>
      <c r="N102" s="32">
        <v>25.0</v>
      </c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1.45033056E8</v>
      </c>
      <c r="B103" s="31" t="s">
        <v>450</v>
      </c>
      <c r="C103" s="32">
        <v>5.0355033E7</v>
      </c>
      <c r="D103" s="32">
        <v>4.77928409E8</v>
      </c>
      <c r="E103" s="32">
        <v>1.3280756E7</v>
      </c>
      <c r="F103" s="32">
        <v>2475077.0</v>
      </c>
      <c r="G103" s="32">
        <v>1.7006677E7</v>
      </c>
      <c r="H103" s="32">
        <v>1.5164887E7</v>
      </c>
      <c r="I103" s="32">
        <v>0.0</v>
      </c>
      <c r="J103" s="32">
        <v>1.4445741062E10</v>
      </c>
      <c r="K103" s="32">
        <v>7.29379775E8</v>
      </c>
      <c r="L103" s="32">
        <v>32797.0</v>
      </c>
      <c r="M103" s="31" t="s">
        <v>34</v>
      </c>
      <c r="N103" s="32">
        <v>25.0</v>
      </c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1.59857111E8</v>
      </c>
      <c r="B104" s="31" t="s">
        <v>369</v>
      </c>
      <c r="C104" s="32">
        <v>4.9925021E7</v>
      </c>
      <c r="D104" s="32">
        <v>4.6575405E8</v>
      </c>
      <c r="E104" s="32">
        <v>3125000.0</v>
      </c>
      <c r="F104" s="32">
        <v>2.1498954E7</v>
      </c>
      <c r="G104" s="32">
        <v>3.5659456E7</v>
      </c>
      <c r="H104" s="32">
        <v>4890949.0</v>
      </c>
      <c r="I104" s="32">
        <v>0.0</v>
      </c>
      <c r="J104" s="32">
        <v>8.153873247E9</v>
      </c>
      <c r="K104" s="32">
        <v>3.350520456E9</v>
      </c>
      <c r="L104" s="32">
        <v>37325.0</v>
      </c>
      <c r="M104" s="31" t="s">
        <v>479</v>
      </c>
      <c r="N104" s="32">
        <v>25.0</v>
      </c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1.69420296E8</v>
      </c>
      <c r="B105" s="31" t="s">
        <v>136</v>
      </c>
      <c r="C105" s="32">
        <v>4.9788142E7</v>
      </c>
      <c r="D105" s="32">
        <v>1.84868791E8</v>
      </c>
      <c r="E105" s="32">
        <v>6003366.0</v>
      </c>
      <c r="F105" s="32">
        <v>213155.0</v>
      </c>
      <c r="G105" s="32">
        <v>4670582.0</v>
      </c>
      <c r="H105" s="32">
        <v>6888285.0</v>
      </c>
      <c r="I105" s="32">
        <v>0.0</v>
      </c>
      <c r="J105" s="32">
        <v>1.3653965101E10</v>
      </c>
      <c r="K105" s="32">
        <v>2.23272131E8</v>
      </c>
      <c r="L105" s="32">
        <v>32757.0</v>
      </c>
      <c r="M105" s="31" t="s">
        <v>34</v>
      </c>
      <c r="N105" s="32">
        <v>25.0</v>
      </c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1.69953509E8</v>
      </c>
      <c r="B106" s="31" t="s">
        <v>415</v>
      </c>
      <c r="C106" s="32">
        <v>4.9568214E7</v>
      </c>
      <c r="D106" s="32">
        <v>2.47642255E8</v>
      </c>
      <c r="E106" s="32">
        <v>6272196.0</v>
      </c>
      <c r="F106" s="32">
        <v>6.6332756E7</v>
      </c>
      <c r="G106" s="32">
        <v>7645540.0</v>
      </c>
      <c r="H106" s="32">
        <v>7345554.0</v>
      </c>
      <c r="I106" s="32">
        <v>0.0</v>
      </c>
      <c r="J106" s="32">
        <v>9.492807848E9</v>
      </c>
      <c r="K106" s="32">
        <v>2.274309821E9</v>
      </c>
      <c r="L106" s="32">
        <v>20954.0</v>
      </c>
      <c r="M106" s="31" t="s">
        <v>34</v>
      </c>
      <c r="N106" s="32">
        <v>25.0</v>
      </c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1.38753793E8</v>
      </c>
      <c r="B107" s="31" t="s">
        <v>414</v>
      </c>
      <c r="C107" s="32">
        <v>4.9495714E7</v>
      </c>
      <c r="D107" s="32">
        <v>2.21881485E8</v>
      </c>
      <c r="E107" s="32">
        <v>9087947.0</v>
      </c>
      <c r="F107" s="32">
        <v>1.3147095E7</v>
      </c>
      <c r="G107" s="32">
        <v>1.5505381E7</v>
      </c>
      <c r="H107" s="32">
        <v>2848817.0</v>
      </c>
      <c r="I107" s="32">
        <v>0.0</v>
      </c>
      <c r="J107" s="32">
        <v>5.305338131E9</v>
      </c>
      <c r="K107" s="32">
        <v>1.293921062E9</v>
      </c>
      <c r="L107" s="32">
        <v>26823.0</v>
      </c>
      <c r="M107" s="31" t="s">
        <v>66</v>
      </c>
      <c r="N107" s="32">
        <v>25.0</v>
      </c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1.77187021E8</v>
      </c>
      <c r="B108" s="31" t="s">
        <v>418</v>
      </c>
      <c r="C108" s="32">
        <v>4.9294607E7</v>
      </c>
      <c r="D108" s="32">
        <v>1.07480086E8</v>
      </c>
      <c r="E108" s="32">
        <v>6685524.0</v>
      </c>
      <c r="F108" s="32">
        <v>465612.0</v>
      </c>
      <c r="G108" s="32">
        <v>2723785.0</v>
      </c>
      <c r="H108" s="32">
        <v>3991099.0</v>
      </c>
      <c r="I108" s="32">
        <v>0.0</v>
      </c>
      <c r="J108" s="32">
        <v>9.071880001E9</v>
      </c>
      <c r="K108" s="32">
        <v>7.08430819E8</v>
      </c>
      <c r="L108" s="32">
        <v>25165.0</v>
      </c>
      <c r="M108" s="31" t="s">
        <v>34</v>
      </c>
      <c r="N108" s="32">
        <v>25.0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1.72008118E8</v>
      </c>
      <c r="B109" s="31" t="s">
        <v>453</v>
      </c>
      <c r="C109" s="32">
        <v>4.9262336E7</v>
      </c>
      <c r="D109" s="32">
        <v>4.4092023E7</v>
      </c>
      <c r="E109" s="32">
        <v>4917285.0</v>
      </c>
      <c r="F109" s="32">
        <v>60319.0</v>
      </c>
      <c r="G109" s="32">
        <v>1190891.0</v>
      </c>
      <c r="H109" s="32">
        <v>1590220.0</v>
      </c>
      <c r="I109" s="32">
        <v>0.0</v>
      </c>
      <c r="J109" s="32">
        <v>8.445410369E9</v>
      </c>
      <c r="K109" s="32">
        <v>1.80113412E8</v>
      </c>
      <c r="L109" s="32">
        <v>8099.0</v>
      </c>
      <c r="M109" s="31" t="s">
        <v>34</v>
      </c>
      <c r="N109" s="32">
        <v>25.0</v>
      </c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1.44088316E8</v>
      </c>
      <c r="B110" s="31" t="s">
        <v>152</v>
      </c>
      <c r="C110" s="32">
        <v>4.9238856E7</v>
      </c>
      <c r="D110" s="32">
        <v>4.2555014E7</v>
      </c>
      <c r="E110" s="32">
        <v>4390339.0</v>
      </c>
      <c r="F110" s="32">
        <v>456983.0</v>
      </c>
      <c r="G110" s="32">
        <v>939021.0</v>
      </c>
      <c r="H110" s="32">
        <v>1357682.0</v>
      </c>
      <c r="I110" s="32">
        <v>0.0</v>
      </c>
      <c r="J110" s="32">
        <v>1.1215804108E10</v>
      </c>
      <c r="K110" s="32">
        <v>1.45E9</v>
      </c>
      <c r="L110" s="32">
        <v>13330.0</v>
      </c>
      <c r="M110" s="31" t="s">
        <v>153</v>
      </c>
      <c r="N110" s="32">
        <v>25.0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1.66234202E8</v>
      </c>
      <c r="B111" s="31" t="s">
        <v>135</v>
      </c>
      <c r="C111" s="32">
        <v>4.911708E7</v>
      </c>
      <c r="D111" s="32">
        <v>2.91764944E8</v>
      </c>
      <c r="E111" s="32">
        <v>4608552.0</v>
      </c>
      <c r="F111" s="32">
        <v>1992214.0</v>
      </c>
      <c r="G111" s="32">
        <v>1.3792951E7</v>
      </c>
      <c r="H111" s="32">
        <v>6463654.0</v>
      </c>
      <c r="I111" s="32">
        <v>0.0</v>
      </c>
      <c r="J111" s="32">
        <v>1.1491467725E10</v>
      </c>
      <c r="K111" s="32">
        <v>1.48881707E9</v>
      </c>
      <c r="L111" s="32">
        <v>33545.0</v>
      </c>
      <c r="M111" s="31" t="s">
        <v>34</v>
      </c>
      <c r="N111" s="32">
        <v>25.0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1.68025153E8</v>
      </c>
      <c r="B112" s="31" t="s">
        <v>146</v>
      </c>
      <c r="C112" s="32">
        <v>4.898919E7</v>
      </c>
      <c r="D112" s="32">
        <v>2.8188141E7</v>
      </c>
      <c r="E112" s="32">
        <v>1667579.0</v>
      </c>
      <c r="F112" s="32">
        <v>260005.0</v>
      </c>
      <c r="G112" s="32">
        <v>748668.0</v>
      </c>
      <c r="H112" s="32">
        <v>1032023.0</v>
      </c>
      <c r="I112" s="32">
        <v>0.0</v>
      </c>
      <c r="J112" s="32">
        <v>3.907117979E9</v>
      </c>
      <c r="K112" s="32">
        <v>2.779142711E9</v>
      </c>
      <c r="L112" s="32">
        <v>4554.0</v>
      </c>
      <c r="M112" s="31" t="s">
        <v>147</v>
      </c>
      <c r="N112" s="32">
        <v>25.0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1.56007436E8</v>
      </c>
      <c r="B113" s="31" t="s">
        <v>413</v>
      </c>
      <c r="C113" s="32">
        <v>4.8769149E7</v>
      </c>
      <c r="D113" s="32">
        <v>1.63098435E8</v>
      </c>
      <c r="E113" s="32">
        <v>1.1350358E7</v>
      </c>
      <c r="F113" s="32">
        <v>432186.0</v>
      </c>
      <c r="G113" s="32">
        <v>5061347.0</v>
      </c>
      <c r="H113" s="32">
        <v>5549729.0</v>
      </c>
      <c r="I113" s="32">
        <v>0.0</v>
      </c>
      <c r="J113" s="32">
        <v>1.1323492691E10</v>
      </c>
      <c r="K113" s="32">
        <v>1.357531292E9</v>
      </c>
      <c r="L113" s="32">
        <v>15278.0</v>
      </c>
      <c r="M113" s="31" t="s">
        <v>34</v>
      </c>
      <c r="N113" s="32">
        <v>25.0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1.0047682E8</v>
      </c>
      <c r="B114" s="31" t="s">
        <v>370</v>
      </c>
      <c r="C114" s="32">
        <v>4.876791E7</v>
      </c>
      <c r="D114" s="32">
        <v>1.0240424E8</v>
      </c>
      <c r="E114" s="32">
        <v>1.0245919E7</v>
      </c>
      <c r="F114" s="32">
        <v>103212.0</v>
      </c>
      <c r="G114" s="32">
        <v>3554763.0</v>
      </c>
      <c r="H114" s="32">
        <v>3332345.0</v>
      </c>
      <c r="I114" s="32">
        <v>0.0</v>
      </c>
      <c r="J114" s="32">
        <v>3.5976031141E10</v>
      </c>
      <c r="K114" s="32">
        <v>4.3490023804E10</v>
      </c>
      <c r="L114" s="32">
        <v>21168.0</v>
      </c>
      <c r="M114" s="31" t="s">
        <v>147</v>
      </c>
      <c r="N114" s="32">
        <v>25.0</v>
      </c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1.44064126E8</v>
      </c>
      <c r="B115" s="31" t="s">
        <v>416</v>
      </c>
      <c r="C115" s="32">
        <v>4.8269824E7</v>
      </c>
      <c r="D115" s="32">
        <v>3.28313084E8</v>
      </c>
      <c r="E115" s="32">
        <v>8224568.0</v>
      </c>
      <c r="F115" s="32">
        <v>5000101.0</v>
      </c>
      <c r="G115" s="32">
        <v>1.8254451E7</v>
      </c>
      <c r="H115" s="32">
        <v>5172191.0</v>
      </c>
      <c r="I115" s="32">
        <v>0.0</v>
      </c>
      <c r="J115" s="32">
        <v>9.172008581E9</v>
      </c>
      <c r="K115" s="32">
        <v>4.867183E7</v>
      </c>
      <c r="L115" s="32">
        <v>13851.0</v>
      </c>
      <c r="M115" s="31" t="s">
        <v>66</v>
      </c>
      <c r="N115" s="32">
        <v>25.0</v>
      </c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7.5750446E7</v>
      </c>
      <c r="B116" s="31" t="s">
        <v>451</v>
      </c>
      <c r="C116" s="32">
        <v>4.7706604E7</v>
      </c>
      <c r="D116" s="32">
        <v>4.7582587E7</v>
      </c>
      <c r="E116" s="32">
        <v>5872796.0</v>
      </c>
      <c r="F116" s="32">
        <v>1962965.0</v>
      </c>
      <c r="G116" s="32">
        <v>2337799.0</v>
      </c>
      <c r="H116" s="32">
        <v>784318.0</v>
      </c>
      <c r="I116" s="32">
        <v>0.0</v>
      </c>
      <c r="J116" s="32">
        <v>7.621164969E9</v>
      </c>
      <c r="K116" s="32">
        <v>1.60164717E8</v>
      </c>
      <c r="L116" s="32">
        <v>11255.0</v>
      </c>
      <c r="M116" s="31" t="s">
        <v>66</v>
      </c>
      <c r="N116" s="32">
        <v>25.0</v>
      </c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1.70028719E8</v>
      </c>
      <c r="B117" s="31" t="s">
        <v>452</v>
      </c>
      <c r="C117" s="32">
        <v>4.7486929E7</v>
      </c>
      <c r="D117" s="32">
        <v>1.15782445E8</v>
      </c>
      <c r="E117" s="32">
        <v>2766638.0</v>
      </c>
      <c r="F117" s="32">
        <v>2239547.0</v>
      </c>
      <c r="G117" s="32">
        <v>4870850.0</v>
      </c>
      <c r="H117" s="32">
        <v>2926458.0</v>
      </c>
      <c r="I117" s="32">
        <v>0.0</v>
      </c>
      <c r="J117" s="32">
        <v>5.798802994E9</v>
      </c>
      <c r="K117" s="32">
        <v>3.989143277E9</v>
      </c>
      <c r="L117" s="32">
        <v>41021.0</v>
      </c>
      <c r="M117" s="31" t="s">
        <v>34</v>
      </c>
      <c r="N117" s="32">
        <v>25.0</v>
      </c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1.6901814E8</v>
      </c>
      <c r="B118" s="31" t="s">
        <v>137</v>
      </c>
      <c r="C118" s="32">
        <v>4.7360253E7</v>
      </c>
      <c r="D118" s="32">
        <v>1.5282901E8</v>
      </c>
      <c r="E118" s="32">
        <v>4463357.0</v>
      </c>
      <c r="F118" s="32">
        <v>427013.0</v>
      </c>
      <c r="G118" s="32">
        <v>5911544.0</v>
      </c>
      <c r="H118" s="32">
        <v>4638334.0</v>
      </c>
      <c r="I118" s="32">
        <v>0.0</v>
      </c>
      <c r="J118" s="32">
        <v>1.2299849881E10</v>
      </c>
      <c r="K118" s="32">
        <v>3.107268407E9</v>
      </c>
      <c r="L118" s="32">
        <v>32628.0</v>
      </c>
      <c r="M118" s="31" t="s">
        <v>34</v>
      </c>
      <c r="N118" s="32">
        <v>25.0</v>
      </c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1.44114697E8</v>
      </c>
      <c r="B119" s="31" t="s">
        <v>417</v>
      </c>
      <c r="C119" s="32">
        <v>4.6905906E7</v>
      </c>
      <c r="D119" s="32">
        <v>2.01875553E8</v>
      </c>
      <c r="E119" s="32">
        <v>4023063.0</v>
      </c>
      <c r="F119" s="32">
        <v>682449.0</v>
      </c>
      <c r="G119" s="32">
        <v>7945813.0</v>
      </c>
      <c r="H119" s="32">
        <v>5801472.0</v>
      </c>
      <c r="I119" s="32">
        <v>0.0</v>
      </c>
      <c r="J119" s="32">
        <v>9.961200077E9</v>
      </c>
      <c r="K119" s="32">
        <v>4.278847644E9</v>
      </c>
      <c r="L119" s="32">
        <v>35353.0</v>
      </c>
      <c r="M119" s="31" t="s">
        <v>66</v>
      </c>
      <c r="N119" s="32">
        <v>25.0</v>
      </c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1.69363448E8</v>
      </c>
      <c r="B120" s="31" t="s">
        <v>133</v>
      </c>
      <c r="C120" s="32">
        <v>4.689183E7</v>
      </c>
      <c r="D120" s="32">
        <v>3.30416368E8</v>
      </c>
      <c r="E120" s="32">
        <v>6467398.0</v>
      </c>
      <c r="F120" s="32">
        <v>1816902.0</v>
      </c>
      <c r="G120" s="32">
        <v>1.6925069E7</v>
      </c>
      <c r="H120" s="32">
        <v>7611299.0</v>
      </c>
      <c r="I120" s="32">
        <v>0.0</v>
      </c>
      <c r="J120" s="32">
        <v>8.177214938E9</v>
      </c>
      <c r="K120" s="32">
        <v>6.667116137E9</v>
      </c>
      <c r="L120" s="32">
        <v>42989.0</v>
      </c>
      <c r="M120" s="31" t="s">
        <v>34</v>
      </c>
      <c r="N120" s="32">
        <v>25.0</v>
      </c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1.71654758E8</v>
      </c>
      <c r="B121" s="31" t="s">
        <v>141</v>
      </c>
      <c r="C121" s="32">
        <v>4.6404458E7</v>
      </c>
      <c r="D121" s="32">
        <v>4.0440159E8</v>
      </c>
      <c r="E121" s="32">
        <v>3418248.0</v>
      </c>
      <c r="F121" s="32">
        <v>3663871.0</v>
      </c>
      <c r="G121" s="32">
        <v>1.1207415E7</v>
      </c>
      <c r="H121" s="32">
        <v>1.4537692E7</v>
      </c>
      <c r="I121" s="32">
        <v>0.0</v>
      </c>
      <c r="J121" s="32">
        <v>6.432716951E9</v>
      </c>
      <c r="K121" s="32">
        <v>2.35303952E8</v>
      </c>
      <c r="L121" s="32">
        <v>31935.0</v>
      </c>
      <c r="M121" s="31" t="s">
        <v>66</v>
      </c>
      <c r="N121" s="32">
        <v>25.0</v>
      </c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1.45023737E8</v>
      </c>
      <c r="B122" s="31" t="s">
        <v>161</v>
      </c>
      <c r="C122" s="32">
        <v>4.6099147E7</v>
      </c>
      <c r="D122" s="32">
        <v>1.54949093E8</v>
      </c>
      <c r="E122" s="32">
        <v>2447417.0</v>
      </c>
      <c r="F122" s="32">
        <v>1349297.0</v>
      </c>
      <c r="G122" s="32">
        <v>1.0444082E7</v>
      </c>
      <c r="H122" s="32">
        <v>2189568.0</v>
      </c>
      <c r="I122" s="32">
        <v>0.0</v>
      </c>
      <c r="J122" s="32">
        <v>7.032944489E9</v>
      </c>
      <c r="K122" s="32">
        <v>6.96238399E8</v>
      </c>
      <c r="L122" s="32">
        <v>24659.0</v>
      </c>
      <c r="M122" s="31" t="s">
        <v>66</v>
      </c>
      <c r="N122" s="32">
        <v>25.0</v>
      </c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1.76044158E8</v>
      </c>
      <c r="B123" s="31" t="s">
        <v>139</v>
      </c>
      <c r="C123" s="32">
        <v>4.5549777E7</v>
      </c>
      <c r="D123" s="32">
        <v>1.13040323E8</v>
      </c>
      <c r="E123" s="32">
        <v>4392268.0</v>
      </c>
      <c r="F123" s="32">
        <v>341136.0</v>
      </c>
      <c r="G123" s="32">
        <v>2465867.0</v>
      </c>
      <c r="H123" s="32">
        <v>4399162.0</v>
      </c>
      <c r="I123" s="32">
        <v>0.0</v>
      </c>
      <c r="J123" s="32">
        <v>1.7555431743E10</v>
      </c>
      <c r="K123" s="32">
        <v>4.244536539E9</v>
      </c>
      <c r="L123" s="32">
        <v>16729.0</v>
      </c>
      <c r="M123" s="31" t="s">
        <v>34</v>
      </c>
      <c r="N123" s="32">
        <v>25.0</v>
      </c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1.71945722E8</v>
      </c>
      <c r="B124" s="31" t="s">
        <v>371</v>
      </c>
      <c r="C124" s="32">
        <v>4.5205716E7</v>
      </c>
      <c r="D124" s="32">
        <v>6.5534983E7</v>
      </c>
      <c r="E124" s="32">
        <v>4540620.0</v>
      </c>
      <c r="F124" s="32">
        <v>107839.0</v>
      </c>
      <c r="G124" s="32">
        <v>3066010.0</v>
      </c>
      <c r="H124" s="32">
        <v>1733894.0</v>
      </c>
      <c r="I124" s="32">
        <v>0.0</v>
      </c>
      <c r="J124" s="32">
        <v>1.1197461056E10</v>
      </c>
      <c r="K124" s="32">
        <v>3.75825022E9</v>
      </c>
      <c r="L124" s="32">
        <v>16699.0</v>
      </c>
      <c r="M124" s="31" t="s">
        <v>34</v>
      </c>
      <c r="N124" s="32">
        <v>25.0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1.72015122E8</v>
      </c>
      <c r="B125" s="31" t="s">
        <v>419</v>
      </c>
      <c r="C125" s="32">
        <v>4.4999609E7</v>
      </c>
      <c r="D125" s="32">
        <v>7.0578736E7</v>
      </c>
      <c r="E125" s="32">
        <v>6420273.0</v>
      </c>
      <c r="F125" s="32">
        <v>1149740.0</v>
      </c>
      <c r="G125" s="32">
        <v>4123036.0</v>
      </c>
      <c r="H125" s="32">
        <v>1327670.0</v>
      </c>
      <c r="I125" s="32">
        <v>0.0</v>
      </c>
      <c r="J125" s="32">
        <v>6.320081165E9</v>
      </c>
      <c r="K125" s="32">
        <v>2.255803635E9</v>
      </c>
      <c r="L125" s="32">
        <v>14160.0</v>
      </c>
      <c r="M125" s="31" t="s">
        <v>66</v>
      </c>
      <c r="N125" s="32">
        <v>25.0</v>
      </c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1.15990558E8</v>
      </c>
      <c r="B126" s="31" t="s">
        <v>143</v>
      </c>
      <c r="C126" s="32">
        <v>4.4960369E7</v>
      </c>
      <c r="D126" s="32">
        <v>2.11639595E8</v>
      </c>
      <c r="E126" s="32">
        <v>4961941.0</v>
      </c>
      <c r="F126" s="32">
        <v>1801665.0</v>
      </c>
      <c r="G126" s="32">
        <v>1.2433106E7</v>
      </c>
      <c r="H126" s="32">
        <v>3575331.0</v>
      </c>
      <c r="I126" s="32">
        <v>1288645.0</v>
      </c>
      <c r="J126" s="32">
        <v>8.666737392E9</v>
      </c>
      <c r="K126" s="32">
        <v>1.81565802E9</v>
      </c>
      <c r="L126" s="32">
        <v>19391.0</v>
      </c>
      <c r="M126" s="31" t="s">
        <v>66</v>
      </c>
      <c r="N126" s="32">
        <v>25.0</v>
      </c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1.60258193E8</v>
      </c>
      <c r="B127" s="31" t="s">
        <v>145</v>
      </c>
      <c r="C127" s="32">
        <v>4.373551E7</v>
      </c>
      <c r="D127" s="32">
        <v>4.3574739E7</v>
      </c>
      <c r="E127" s="32">
        <v>2440420.0</v>
      </c>
      <c r="F127" s="32">
        <v>1459647.0</v>
      </c>
      <c r="G127" s="32">
        <v>2666256.0</v>
      </c>
      <c r="H127" s="32">
        <v>711945.0</v>
      </c>
      <c r="I127" s="32">
        <v>0.0</v>
      </c>
      <c r="J127" s="32">
        <v>6.595829516E9</v>
      </c>
      <c r="K127" s="32">
        <v>1.442818482E9</v>
      </c>
      <c r="L127" s="32">
        <v>22984.0</v>
      </c>
      <c r="M127" s="31" t="s">
        <v>34</v>
      </c>
      <c r="N127" s="32">
        <v>25.0</v>
      </c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8.8110635E7</v>
      </c>
      <c r="B128" s="31" t="s">
        <v>149</v>
      </c>
      <c r="C128" s="32">
        <v>4.2676711E7</v>
      </c>
      <c r="D128" s="32">
        <v>3.6234973E7</v>
      </c>
      <c r="E128" s="32">
        <v>6531506.0</v>
      </c>
      <c r="F128" s="32">
        <v>32907.0</v>
      </c>
      <c r="G128" s="32">
        <v>941976.0</v>
      </c>
      <c r="H128" s="32">
        <v>1302977.0</v>
      </c>
      <c r="I128" s="32">
        <v>0.0</v>
      </c>
      <c r="J128" s="32">
        <v>9.056445524E9</v>
      </c>
      <c r="K128" s="32">
        <v>1.05797584E8</v>
      </c>
      <c r="L128" s="32">
        <v>13084.0</v>
      </c>
      <c r="M128" s="31" t="s">
        <v>126</v>
      </c>
      <c r="N128" s="32">
        <v>25.0</v>
      </c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1.4361245E8</v>
      </c>
      <c r="B129" s="31" t="s">
        <v>144</v>
      </c>
      <c r="C129" s="32">
        <v>4.2540256E7</v>
      </c>
      <c r="D129" s="32">
        <v>5.07186816E8</v>
      </c>
      <c r="E129" s="32">
        <v>4531037.0</v>
      </c>
      <c r="F129" s="32">
        <v>4579744.0</v>
      </c>
      <c r="G129" s="32">
        <v>2.8474684E7</v>
      </c>
      <c r="H129" s="32">
        <v>1.0523682E7</v>
      </c>
      <c r="I129" s="32">
        <v>0.0</v>
      </c>
      <c r="J129" s="32">
        <v>1.0257800636E10</v>
      </c>
      <c r="K129" s="32">
        <v>7.147666033E9</v>
      </c>
      <c r="L129" s="32">
        <v>32589.0</v>
      </c>
      <c r="M129" s="31" t="s">
        <v>34</v>
      </c>
      <c r="N129" s="32">
        <v>25.0</v>
      </c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1.43551941E8</v>
      </c>
      <c r="B130" s="31" t="s">
        <v>151</v>
      </c>
      <c r="C130" s="32">
        <v>4.2380578E7</v>
      </c>
      <c r="D130" s="32">
        <v>1.46157717E8</v>
      </c>
      <c r="E130" s="32">
        <v>2445001.0</v>
      </c>
      <c r="F130" s="32">
        <v>1655199.0</v>
      </c>
      <c r="G130" s="32">
        <v>9930156.0</v>
      </c>
      <c r="H130" s="32">
        <v>2043226.0</v>
      </c>
      <c r="I130" s="32">
        <v>0.0</v>
      </c>
      <c r="J130" s="32">
        <v>7.011555418E9</v>
      </c>
      <c r="K130" s="32">
        <v>3.2640001E7</v>
      </c>
      <c r="L130" s="32">
        <v>26468.0</v>
      </c>
      <c r="M130" s="31" t="s">
        <v>480</v>
      </c>
      <c r="N130" s="32">
        <v>25.0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1.71922856E8</v>
      </c>
      <c r="B131" s="31" t="s">
        <v>420</v>
      </c>
      <c r="C131" s="32">
        <v>4.2203525E7</v>
      </c>
      <c r="D131" s="32">
        <v>7.1515828E7</v>
      </c>
      <c r="E131" s="32">
        <v>3619775.0</v>
      </c>
      <c r="F131" s="32">
        <v>184044.0</v>
      </c>
      <c r="G131" s="32">
        <v>2680128.0</v>
      </c>
      <c r="H131" s="32">
        <v>1917374.0</v>
      </c>
      <c r="I131" s="32">
        <v>0.0</v>
      </c>
      <c r="J131" s="32">
        <v>5.383728661E9</v>
      </c>
      <c r="K131" s="32">
        <v>5.66068641E8</v>
      </c>
      <c r="L131" s="32">
        <v>17578.0</v>
      </c>
      <c r="M131" s="31" t="s">
        <v>34</v>
      </c>
      <c r="N131" s="32">
        <v>25.0</v>
      </c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1.68206434E8</v>
      </c>
      <c r="B132" s="31" t="s">
        <v>454</v>
      </c>
      <c r="C132" s="32">
        <v>4.1010166E7</v>
      </c>
      <c r="D132" s="32">
        <v>1.12186198E8</v>
      </c>
      <c r="E132" s="32">
        <v>7499692.0</v>
      </c>
      <c r="F132" s="32">
        <v>853541.0</v>
      </c>
      <c r="G132" s="32">
        <v>4494073.0</v>
      </c>
      <c r="H132" s="32">
        <v>3104565.0</v>
      </c>
      <c r="I132" s="32">
        <v>0.0</v>
      </c>
      <c r="J132" s="32">
        <v>5.189419099E9</v>
      </c>
      <c r="K132" s="32">
        <v>2.72430913E8</v>
      </c>
      <c r="L132" s="32">
        <v>5994.0</v>
      </c>
      <c r="M132" s="31" t="s">
        <v>34</v>
      </c>
      <c r="N132" s="32">
        <v>25.0</v>
      </c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1.67863288E8</v>
      </c>
      <c r="B133" s="31" t="s">
        <v>481</v>
      </c>
      <c r="C133" s="32">
        <v>4.051509E7</v>
      </c>
      <c r="D133" s="32">
        <v>1.31331874E8</v>
      </c>
      <c r="E133" s="32">
        <v>6375488.0</v>
      </c>
      <c r="F133" s="32">
        <v>1542021.0</v>
      </c>
      <c r="G133" s="32">
        <v>6804637.0</v>
      </c>
      <c r="H133" s="32">
        <v>2893886.0</v>
      </c>
      <c r="I133" s="32">
        <v>0.0</v>
      </c>
      <c r="J133" s="32">
        <v>9.31458726E9</v>
      </c>
      <c r="K133" s="32">
        <v>2.405594729E9</v>
      </c>
      <c r="L133" s="32">
        <v>41076.0</v>
      </c>
      <c r="M133" s="31" t="s">
        <v>119</v>
      </c>
      <c r="N133" s="32">
        <v>25.0</v>
      </c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1.72029365E8</v>
      </c>
      <c r="B134" s="31" t="s">
        <v>148</v>
      </c>
      <c r="C134" s="32">
        <v>4.0495729E7</v>
      </c>
      <c r="D134" s="32">
        <v>1.55072142E8</v>
      </c>
      <c r="E134" s="32">
        <v>8515677.0</v>
      </c>
      <c r="F134" s="32">
        <v>691640.0</v>
      </c>
      <c r="G134" s="32">
        <v>4167652.0</v>
      </c>
      <c r="H134" s="32">
        <v>5582834.0</v>
      </c>
      <c r="I134" s="32">
        <v>0.0</v>
      </c>
      <c r="J134" s="32">
        <v>5.978658905E9</v>
      </c>
      <c r="K134" s="32">
        <v>1.169311746E9</v>
      </c>
      <c r="L134" s="32">
        <v>18684.0</v>
      </c>
      <c r="M134" s="31" t="s">
        <v>34</v>
      </c>
      <c r="N134" s="32">
        <v>25.0</v>
      </c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1.75650426E8</v>
      </c>
      <c r="B135" s="31" t="s">
        <v>154</v>
      </c>
      <c r="C135" s="32">
        <v>4.0332652E7</v>
      </c>
      <c r="D135" s="32">
        <v>2.07351814E8</v>
      </c>
      <c r="E135" s="32">
        <v>7382636.0</v>
      </c>
      <c r="F135" s="32">
        <v>6316304.0</v>
      </c>
      <c r="G135" s="32">
        <v>8442464.0</v>
      </c>
      <c r="H135" s="32">
        <v>5348122.0</v>
      </c>
      <c r="I135" s="32">
        <v>0.0</v>
      </c>
      <c r="J135" s="32">
        <v>6.236715628E9</v>
      </c>
      <c r="K135" s="32">
        <v>6.300128161E9</v>
      </c>
      <c r="L135" s="32">
        <v>19463.0</v>
      </c>
      <c r="M135" s="31" t="s">
        <v>34</v>
      </c>
      <c r="N135" s="32">
        <v>25.0</v>
      </c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1.71830779E8</v>
      </c>
      <c r="B136" s="31" t="s">
        <v>372</v>
      </c>
      <c r="C136" s="32">
        <v>4.0121954E7</v>
      </c>
      <c r="D136" s="32">
        <v>2.10906858E8</v>
      </c>
      <c r="E136" s="32">
        <v>6721131.0</v>
      </c>
      <c r="F136" s="32">
        <v>896611.0</v>
      </c>
      <c r="G136" s="32">
        <v>1.0940515E7</v>
      </c>
      <c r="H136" s="32">
        <v>5003532.0</v>
      </c>
      <c r="I136" s="32">
        <v>0.0</v>
      </c>
      <c r="J136" s="32">
        <v>6.68925702E9</v>
      </c>
      <c r="K136" s="32">
        <v>5.681506E8</v>
      </c>
      <c r="L136" s="32">
        <v>45266.0</v>
      </c>
      <c r="M136" s="31" t="s">
        <v>34</v>
      </c>
      <c r="N136" s="32">
        <v>25.0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1.45948216E8</v>
      </c>
      <c r="B137" s="31" t="s">
        <v>167</v>
      </c>
      <c r="C137" s="32">
        <v>4.0106495E7</v>
      </c>
      <c r="D137" s="32">
        <v>6.2862448E7</v>
      </c>
      <c r="E137" s="32">
        <v>4387184.0</v>
      </c>
      <c r="F137" s="32">
        <v>52194.0</v>
      </c>
      <c r="G137" s="32">
        <v>1188088.0</v>
      </c>
      <c r="H137" s="32">
        <v>2536456.0</v>
      </c>
      <c r="I137" s="32">
        <v>0.0</v>
      </c>
      <c r="J137" s="32">
        <v>1.0869322098E10</v>
      </c>
      <c r="K137" s="32">
        <v>6.848628877E9</v>
      </c>
      <c r="L137" s="32">
        <v>10536.0</v>
      </c>
      <c r="M137" s="31" t="s">
        <v>147</v>
      </c>
      <c r="N137" s="32">
        <v>25.0</v>
      </c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1.71469164E8</v>
      </c>
      <c r="B138" s="31" t="s">
        <v>455</v>
      </c>
      <c r="C138" s="32">
        <v>3.7681221E7</v>
      </c>
      <c r="D138" s="32">
        <v>4.0724162E7</v>
      </c>
      <c r="E138" s="32">
        <v>964813.0</v>
      </c>
      <c r="F138" s="32">
        <v>300450.0</v>
      </c>
      <c r="G138" s="32">
        <v>2504353.0</v>
      </c>
      <c r="H138" s="32">
        <v>713326.0</v>
      </c>
      <c r="I138" s="32">
        <v>0.0</v>
      </c>
      <c r="J138" s="32">
        <v>6.958669946E9</v>
      </c>
      <c r="K138" s="32">
        <v>9750964.0</v>
      </c>
      <c r="L138" s="32">
        <v>18585.0</v>
      </c>
      <c r="M138" s="31" t="s">
        <v>66</v>
      </c>
      <c r="N138" s="32">
        <v>25.0</v>
      </c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6.5948574E7</v>
      </c>
      <c r="B139" s="31" t="s">
        <v>157</v>
      </c>
      <c r="C139" s="32">
        <v>3.7372424E7</v>
      </c>
      <c r="D139" s="32">
        <v>1.23832784E8</v>
      </c>
      <c r="E139" s="32">
        <v>9821903.0</v>
      </c>
      <c r="F139" s="32">
        <v>920251.0</v>
      </c>
      <c r="G139" s="32">
        <v>5062420.0</v>
      </c>
      <c r="H139" s="32">
        <v>3519782.0</v>
      </c>
      <c r="I139" s="32">
        <v>0.0</v>
      </c>
      <c r="J139" s="32">
        <v>2.1970352028E10</v>
      </c>
      <c r="K139" s="32">
        <v>2.3958373403E10</v>
      </c>
      <c r="L139" s="32">
        <v>21540.0</v>
      </c>
      <c r="M139" s="31" t="s">
        <v>147</v>
      </c>
      <c r="N139" s="32">
        <v>25.0</v>
      </c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1.43328412E8</v>
      </c>
      <c r="B140" s="31" t="s">
        <v>158</v>
      </c>
      <c r="C140" s="32">
        <v>3.6880779E7</v>
      </c>
      <c r="D140" s="32">
        <v>3.24920088E8</v>
      </c>
      <c r="E140" s="32">
        <v>5751734.0</v>
      </c>
      <c r="F140" s="32">
        <v>2657791.0</v>
      </c>
      <c r="G140" s="32">
        <v>2.4253096E7</v>
      </c>
      <c r="H140" s="32">
        <v>3145842.0</v>
      </c>
      <c r="I140" s="32">
        <v>0.0</v>
      </c>
      <c r="J140" s="32">
        <v>1.0062343813E10</v>
      </c>
      <c r="K140" s="32">
        <v>8.501035607E9</v>
      </c>
      <c r="L140" s="32">
        <v>30016.0</v>
      </c>
      <c r="M140" s="31" t="s">
        <v>94</v>
      </c>
      <c r="N140" s="32">
        <v>25.0</v>
      </c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1.44052871E8</v>
      </c>
      <c r="B141" s="31" t="s">
        <v>162</v>
      </c>
      <c r="C141" s="32">
        <v>3.6496796E7</v>
      </c>
      <c r="D141" s="32">
        <v>1.0830023E7</v>
      </c>
      <c r="E141" s="32">
        <v>7086114.0</v>
      </c>
      <c r="F141" s="32">
        <v>294567.0</v>
      </c>
      <c r="G141" s="32">
        <v>392460.0</v>
      </c>
      <c r="H141" s="32">
        <v>216867.0</v>
      </c>
      <c r="I141" s="32">
        <v>0.0</v>
      </c>
      <c r="J141" s="32">
        <v>5.585779717E9</v>
      </c>
      <c r="K141" s="32">
        <v>64161.0</v>
      </c>
      <c r="L141" s="32">
        <v>316.0</v>
      </c>
      <c r="M141" s="31" t="s">
        <v>456</v>
      </c>
      <c r="N141" s="32">
        <v>25.0</v>
      </c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1.44047216E8</v>
      </c>
      <c r="B142" s="31" t="s">
        <v>457</v>
      </c>
      <c r="C142" s="32">
        <v>3.6434117E7</v>
      </c>
      <c r="D142" s="32">
        <v>1.39100071E8</v>
      </c>
      <c r="E142" s="32">
        <v>3827738.0</v>
      </c>
      <c r="F142" s="32">
        <v>144786.0</v>
      </c>
      <c r="G142" s="32">
        <v>7878913.0</v>
      </c>
      <c r="H142" s="32">
        <v>2956978.0</v>
      </c>
      <c r="I142" s="32">
        <v>0.0</v>
      </c>
      <c r="J142" s="32">
        <v>8.325944507E9</v>
      </c>
      <c r="K142" s="32">
        <v>6.11983698E8</v>
      </c>
      <c r="L142" s="32">
        <v>26116.0</v>
      </c>
      <c r="M142" s="31" t="s">
        <v>66</v>
      </c>
      <c r="N142" s="32">
        <v>25.0</v>
      </c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6.6847214E7</v>
      </c>
      <c r="B143" s="31" t="s">
        <v>159</v>
      </c>
      <c r="C143" s="32">
        <v>3.5950727E7</v>
      </c>
      <c r="D143" s="32">
        <v>1.30944439E8</v>
      </c>
      <c r="E143" s="32">
        <v>7500357.0</v>
      </c>
      <c r="F143" s="32">
        <v>258487.0</v>
      </c>
      <c r="G143" s="32">
        <v>4150406.0</v>
      </c>
      <c r="H143" s="32">
        <v>4398402.0</v>
      </c>
      <c r="I143" s="32">
        <v>0.0</v>
      </c>
      <c r="J143" s="32">
        <v>1.2727664621E10</v>
      </c>
      <c r="K143" s="32">
        <v>1.8084198599E10</v>
      </c>
      <c r="L143" s="32">
        <v>8351.0</v>
      </c>
      <c r="M143" s="31" t="s">
        <v>464</v>
      </c>
      <c r="N143" s="32">
        <v>25.0</v>
      </c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1.44022385E8</v>
      </c>
      <c r="B144" s="31" t="s">
        <v>182</v>
      </c>
      <c r="C144" s="32">
        <v>3.5893573E7</v>
      </c>
      <c r="D144" s="32">
        <v>4.3924458E7</v>
      </c>
      <c r="E144" s="32">
        <v>872957.0</v>
      </c>
      <c r="F144" s="32">
        <v>547201.0</v>
      </c>
      <c r="G144" s="32">
        <v>2911642.0</v>
      </c>
      <c r="H144" s="32">
        <v>636037.0</v>
      </c>
      <c r="I144" s="32">
        <v>0.0</v>
      </c>
      <c r="J144" s="32">
        <v>4.913649522E9</v>
      </c>
      <c r="K144" s="32">
        <v>3.7075938E7</v>
      </c>
      <c r="L144" s="32">
        <v>8840.0</v>
      </c>
      <c r="M144" s="31" t="s">
        <v>66</v>
      </c>
      <c r="N144" s="32">
        <v>25.0</v>
      </c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1.44059309E8</v>
      </c>
      <c r="B145" s="31" t="s">
        <v>164</v>
      </c>
      <c r="C145" s="32">
        <v>3.4322109E7</v>
      </c>
      <c r="D145" s="32">
        <v>1.7598036E7</v>
      </c>
      <c r="E145" s="32">
        <v>8743288.0</v>
      </c>
      <c r="F145" s="32">
        <v>557123.0</v>
      </c>
      <c r="G145" s="32">
        <v>628313.0</v>
      </c>
      <c r="H145" s="32">
        <v>269406.0</v>
      </c>
      <c r="I145" s="32">
        <v>0.0</v>
      </c>
      <c r="J145" s="32">
        <v>4.019207905E9</v>
      </c>
      <c r="K145" s="32">
        <v>719086.0</v>
      </c>
      <c r="L145" s="32">
        <v>2293.0</v>
      </c>
      <c r="M145" s="31" t="s">
        <v>165</v>
      </c>
      <c r="N145" s="32">
        <v>25.0</v>
      </c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3">
        <v>1.73621774E8</v>
      </c>
      <c r="B146" s="33" t="s">
        <v>421</v>
      </c>
      <c r="C146" s="34">
        <v>3.3279619E7</v>
      </c>
      <c r="D146" s="34">
        <v>5371343.0</v>
      </c>
      <c r="E146" s="34">
        <v>1065662.0</v>
      </c>
      <c r="F146" s="34">
        <v>253769.0</v>
      </c>
      <c r="G146" s="34">
        <v>215029.0</v>
      </c>
      <c r="H146" s="34">
        <v>107306.0</v>
      </c>
      <c r="I146" s="34">
        <v>0.0</v>
      </c>
      <c r="J146" s="34">
        <v>1.0781458002E10</v>
      </c>
      <c r="K146" s="34">
        <v>2.797921909E9</v>
      </c>
      <c r="L146" s="34">
        <v>5139.0</v>
      </c>
      <c r="M146" s="33" t="s">
        <v>153</v>
      </c>
      <c r="N146" s="34">
        <v>24.0</v>
      </c>
      <c r="O146" s="33"/>
      <c r="P146" s="33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1.81527216E8</v>
      </c>
      <c r="B147" s="31" t="s">
        <v>166</v>
      </c>
      <c r="C147" s="32">
        <v>3.2852876E7</v>
      </c>
      <c r="D147" s="32">
        <v>8713098.0</v>
      </c>
      <c r="E147" s="32">
        <v>3721329.0</v>
      </c>
      <c r="F147" s="32">
        <v>367661.0</v>
      </c>
      <c r="G147" s="32">
        <v>395838.0</v>
      </c>
      <c r="H147" s="32">
        <v>233744.0</v>
      </c>
      <c r="I147" s="32">
        <v>0.0</v>
      </c>
      <c r="J147" s="32">
        <v>3.802446271E9</v>
      </c>
      <c r="K147" s="32">
        <v>0.0</v>
      </c>
      <c r="L147" s="32">
        <v>5274.0</v>
      </c>
      <c r="M147" s="31" t="s">
        <v>165</v>
      </c>
      <c r="N147" s="32">
        <v>25.0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1.39139149E8</v>
      </c>
      <c r="B148" s="31" t="s">
        <v>172</v>
      </c>
      <c r="C148" s="32">
        <v>3.2320623E7</v>
      </c>
      <c r="D148" s="32">
        <v>3.2066717E8</v>
      </c>
      <c r="E148" s="32">
        <v>5005600.0</v>
      </c>
      <c r="F148" s="32">
        <v>1.3375761E7</v>
      </c>
      <c r="G148" s="32">
        <v>2.1995011E7</v>
      </c>
      <c r="H148" s="32">
        <v>4331928.0</v>
      </c>
      <c r="I148" s="32">
        <v>0.0</v>
      </c>
      <c r="J148" s="32">
        <v>7.588311626E9</v>
      </c>
      <c r="K148" s="32">
        <v>5.98299802E8</v>
      </c>
      <c r="L148" s="32">
        <v>23375.0</v>
      </c>
      <c r="M148" s="31" t="s">
        <v>66</v>
      </c>
      <c r="N148" s="32">
        <v>25.0</v>
      </c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1.72219261E8</v>
      </c>
      <c r="B149" s="31" t="s">
        <v>185</v>
      </c>
      <c r="C149" s="32">
        <v>3.1852375E7</v>
      </c>
      <c r="D149" s="32">
        <v>9107647.0</v>
      </c>
      <c r="E149" s="32">
        <v>4088173.0</v>
      </c>
      <c r="F149" s="32">
        <v>80005.0</v>
      </c>
      <c r="G149" s="32">
        <v>224964.0</v>
      </c>
      <c r="H149" s="32">
        <v>333443.0</v>
      </c>
      <c r="I149" s="32">
        <v>0.0</v>
      </c>
      <c r="J149" s="32">
        <v>4.771486614E9</v>
      </c>
      <c r="K149" s="32">
        <v>2.75E7</v>
      </c>
      <c r="L149" s="32">
        <v>3758.0</v>
      </c>
      <c r="M149" s="31" t="s">
        <v>119</v>
      </c>
      <c r="N149" s="32">
        <v>25.0</v>
      </c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1.81734011E8</v>
      </c>
      <c r="B150" s="31" t="s">
        <v>169</v>
      </c>
      <c r="C150" s="32">
        <v>3.1752132E7</v>
      </c>
      <c r="D150" s="32">
        <v>6.3262253E7</v>
      </c>
      <c r="E150" s="32">
        <v>2874658.0</v>
      </c>
      <c r="F150" s="32">
        <v>228549.0</v>
      </c>
      <c r="G150" s="32">
        <v>2066064.0</v>
      </c>
      <c r="H150" s="32">
        <v>1938689.0</v>
      </c>
      <c r="I150" s="32">
        <v>0.0</v>
      </c>
      <c r="J150" s="32">
        <v>8.189979693E9</v>
      </c>
      <c r="K150" s="32">
        <v>1.49070088E8</v>
      </c>
      <c r="L150" s="32">
        <v>12439.0</v>
      </c>
      <c r="M150" s="31" t="s">
        <v>34</v>
      </c>
      <c r="N150" s="32">
        <v>25.0</v>
      </c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1.48890128E8</v>
      </c>
      <c r="B151" s="31" t="s">
        <v>170</v>
      </c>
      <c r="C151" s="32">
        <v>3.1586652E7</v>
      </c>
      <c r="D151" s="32">
        <v>2.6185762E7</v>
      </c>
      <c r="E151" s="32">
        <v>4350443.0</v>
      </c>
      <c r="F151" s="32">
        <v>269772.0</v>
      </c>
      <c r="G151" s="32">
        <v>1744020.0</v>
      </c>
      <c r="H151" s="32">
        <v>330142.0</v>
      </c>
      <c r="I151" s="32">
        <v>0.0</v>
      </c>
      <c r="J151" s="32">
        <v>8.204909243E9</v>
      </c>
      <c r="K151" s="32">
        <v>4.011433363E9</v>
      </c>
      <c r="L151" s="32">
        <v>6499.0</v>
      </c>
      <c r="M151" s="31" t="s">
        <v>126</v>
      </c>
      <c r="N151" s="32">
        <v>25.0</v>
      </c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1.44046322E8</v>
      </c>
      <c r="B152" s="31" t="s">
        <v>180</v>
      </c>
      <c r="C152" s="32">
        <v>3.0816983E7</v>
      </c>
      <c r="D152" s="32">
        <v>8494096.0</v>
      </c>
      <c r="E152" s="32">
        <v>3782729.0</v>
      </c>
      <c r="F152" s="32">
        <v>150382.0</v>
      </c>
      <c r="G152" s="32">
        <v>500008.0</v>
      </c>
      <c r="H152" s="32">
        <v>98276.0</v>
      </c>
      <c r="I152" s="32">
        <v>0.0</v>
      </c>
      <c r="J152" s="32">
        <v>4.041409519E9</v>
      </c>
      <c r="K152" s="32">
        <v>0.0</v>
      </c>
      <c r="L152" s="32">
        <v>1807.0</v>
      </c>
      <c r="M152" s="31" t="s">
        <v>373</v>
      </c>
      <c r="N152" s="32">
        <v>25.0</v>
      </c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6.1881204E7</v>
      </c>
      <c r="B153" s="31" t="s">
        <v>178</v>
      </c>
      <c r="C153" s="32">
        <v>3.0719994E7</v>
      </c>
      <c r="D153" s="32">
        <v>6.3055979E7</v>
      </c>
      <c r="E153" s="32">
        <v>1.0290878E7</v>
      </c>
      <c r="F153" s="32">
        <v>729778.0</v>
      </c>
      <c r="G153" s="32">
        <v>1791230.0</v>
      </c>
      <c r="H153" s="32">
        <v>2197294.0</v>
      </c>
      <c r="I153" s="32">
        <v>0.0</v>
      </c>
      <c r="J153" s="32">
        <v>1.7127318118E10</v>
      </c>
      <c r="K153" s="32">
        <v>2.0083637095E10</v>
      </c>
      <c r="L153" s="32">
        <v>11341.0</v>
      </c>
      <c r="M153" s="31" t="s">
        <v>147</v>
      </c>
      <c r="N153" s="32">
        <v>25.0</v>
      </c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1.75314255E8</v>
      </c>
      <c r="B154" s="31" t="s">
        <v>179</v>
      </c>
      <c r="C154" s="32">
        <v>3.0247511E7</v>
      </c>
      <c r="D154" s="32">
        <v>2.2218309E7</v>
      </c>
      <c r="E154" s="32">
        <v>3465707.0</v>
      </c>
      <c r="F154" s="32">
        <v>281976.0</v>
      </c>
      <c r="G154" s="32">
        <v>1320134.0</v>
      </c>
      <c r="H154" s="32">
        <v>422729.0</v>
      </c>
      <c r="I154" s="32">
        <v>0.0</v>
      </c>
      <c r="J154" s="32">
        <v>4.087303623E9</v>
      </c>
      <c r="K154" s="32">
        <v>1.22435684E8</v>
      </c>
      <c r="L154" s="32">
        <v>8921.0</v>
      </c>
      <c r="M154" s="31" t="s">
        <v>147</v>
      </c>
      <c r="N154" s="32">
        <v>25.0</v>
      </c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1.44094596E8</v>
      </c>
      <c r="B155" s="31" t="s">
        <v>189</v>
      </c>
      <c r="C155" s="32">
        <v>2.9989921E7</v>
      </c>
      <c r="D155" s="32">
        <v>8.5944516E7</v>
      </c>
      <c r="E155" s="32">
        <v>3031180.0</v>
      </c>
      <c r="F155" s="32">
        <v>1.3616531E7</v>
      </c>
      <c r="G155" s="32">
        <v>5274309.0</v>
      </c>
      <c r="H155" s="32">
        <v>1435775.0</v>
      </c>
      <c r="I155" s="32">
        <v>0.0</v>
      </c>
      <c r="J155" s="32">
        <v>5.357258082E9</v>
      </c>
      <c r="K155" s="32">
        <v>1.2391473E7</v>
      </c>
      <c r="L155" s="32">
        <v>9785.0</v>
      </c>
      <c r="M155" s="31" t="s">
        <v>66</v>
      </c>
      <c r="N155" s="32">
        <v>25.0</v>
      </c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1.47116341E8</v>
      </c>
      <c r="B156" s="31" t="s">
        <v>374</v>
      </c>
      <c r="C156" s="32">
        <v>2.9979411E7</v>
      </c>
      <c r="D156" s="32">
        <v>1.3529689E7</v>
      </c>
      <c r="E156" s="32">
        <v>526000.0</v>
      </c>
      <c r="F156" s="32">
        <v>308.0</v>
      </c>
      <c r="G156" s="32">
        <v>807831.0</v>
      </c>
      <c r="H156" s="32">
        <v>271954.0</v>
      </c>
      <c r="I156" s="32">
        <v>0.0</v>
      </c>
      <c r="J156" s="32">
        <v>6.250734655E9</v>
      </c>
      <c r="K156" s="32">
        <v>6.456585973E9</v>
      </c>
      <c r="L156" s="32">
        <v>2892.0</v>
      </c>
      <c r="M156" s="31" t="s">
        <v>165</v>
      </c>
      <c r="N156" s="32">
        <v>25.0</v>
      </c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3">
        <v>1.70449746E8</v>
      </c>
      <c r="B157" s="33" t="s">
        <v>184</v>
      </c>
      <c r="C157" s="34">
        <v>2.972631E7</v>
      </c>
      <c r="D157" s="34">
        <v>5291709.0</v>
      </c>
      <c r="E157" s="34">
        <v>102004.0</v>
      </c>
      <c r="F157" s="34">
        <v>305.0</v>
      </c>
      <c r="G157" s="34">
        <v>362162.0</v>
      </c>
      <c r="H157" s="34">
        <v>82623.0</v>
      </c>
      <c r="I157" s="34">
        <v>0.0</v>
      </c>
      <c r="J157" s="34">
        <v>6.345790173E9</v>
      </c>
      <c r="K157" s="34">
        <v>5.252139492E9</v>
      </c>
      <c r="L157" s="34">
        <v>2809.0</v>
      </c>
      <c r="M157" s="33" t="s">
        <v>153</v>
      </c>
      <c r="N157" s="34">
        <v>23.0</v>
      </c>
      <c r="O157" s="33"/>
      <c r="P157" s="33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1.26732488E8</v>
      </c>
      <c r="B158" s="31" t="s">
        <v>375</v>
      </c>
      <c r="C158" s="32">
        <v>2.934016E7</v>
      </c>
      <c r="D158" s="32">
        <v>7.451252E7</v>
      </c>
      <c r="E158" s="32">
        <v>2711862.0</v>
      </c>
      <c r="F158" s="32">
        <v>1767333.0</v>
      </c>
      <c r="G158" s="32">
        <v>5847614.0</v>
      </c>
      <c r="H158" s="32">
        <v>591565.0</v>
      </c>
      <c r="I158" s="32">
        <v>0.0</v>
      </c>
      <c r="J158" s="32">
        <v>4.868025488E9</v>
      </c>
      <c r="K158" s="32">
        <v>5.51118928E8</v>
      </c>
      <c r="L158" s="32">
        <v>16114.0</v>
      </c>
      <c r="M158" s="31" t="s">
        <v>66</v>
      </c>
      <c r="N158" s="32">
        <v>25.0</v>
      </c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1.38821863E8</v>
      </c>
      <c r="B159" s="31" t="s">
        <v>186</v>
      </c>
      <c r="C159" s="32">
        <v>2.9143138E7</v>
      </c>
      <c r="D159" s="32">
        <v>2.5263796E7</v>
      </c>
      <c r="E159" s="32">
        <v>1656998.0</v>
      </c>
      <c r="F159" s="32">
        <v>397842.0</v>
      </c>
      <c r="G159" s="32">
        <v>2006020.0</v>
      </c>
      <c r="H159" s="32">
        <v>109825.0</v>
      </c>
      <c r="I159" s="32">
        <v>0.0</v>
      </c>
      <c r="J159" s="32">
        <v>4.925132749E9</v>
      </c>
      <c r="K159" s="32">
        <v>6.36064786E8</v>
      </c>
      <c r="L159" s="32">
        <v>8600.0</v>
      </c>
      <c r="M159" s="31" t="s">
        <v>147</v>
      </c>
      <c r="N159" s="32">
        <v>25.0</v>
      </c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6.3513788E7</v>
      </c>
      <c r="B160" s="31" t="s">
        <v>190</v>
      </c>
      <c r="C160" s="32">
        <v>2.829017E7</v>
      </c>
      <c r="D160" s="32">
        <v>3.5067748E7</v>
      </c>
      <c r="E160" s="32">
        <v>8961628.0</v>
      </c>
      <c r="F160" s="32">
        <v>22581.0</v>
      </c>
      <c r="G160" s="32">
        <v>1179501.0</v>
      </c>
      <c r="H160" s="32">
        <v>1151796.0</v>
      </c>
      <c r="I160" s="32">
        <v>0.0</v>
      </c>
      <c r="J160" s="32">
        <v>1.7352723774E10</v>
      </c>
      <c r="K160" s="32">
        <v>1.9831032386E10</v>
      </c>
      <c r="L160" s="32">
        <v>8429.0</v>
      </c>
      <c r="M160" s="31" t="s">
        <v>147</v>
      </c>
      <c r="N160" s="32">
        <v>25.0</v>
      </c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1.1363981E7</v>
      </c>
      <c r="B161" s="31" t="s">
        <v>188</v>
      </c>
      <c r="C161" s="32">
        <v>2.8174403E7</v>
      </c>
      <c r="D161" s="32">
        <v>2.0359575E8</v>
      </c>
      <c r="E161" s="32">
        <v>8274658.0</v>
      </c>
      <c r="F161" s="32">
        <v>883504.0</v>
      </c>
      <c r="G161" s="32">
        <v>7698527.0</v>
      </c>
      <c r="H161" s="32">
        <v>6213364.0</v>
      </c>
      <c r="I161" s="32">
        <v>0.0</v>
      </c>
      <c r="J161" s="32">
        <v>1.0744053061E10</v>
      </c>
      <c r="K161" s="32">
        <v>1.478163898E10</v>
      </c>
      <c r="L161" s="32">
        <v>11952.0</v>
      </c>
      <c r="M161" s="31" t="s">
        <v>147</v>
      </c>
      <c r="N161" s="32">
        <v>25.0</v>
      </c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1.58296838E8</v>
      </c>
      <c r="B162" s="31" t="s">
        <v>458</v>
      </c>
      <c r="C162" s="32">
        <v>2.8084627E7</v>
      </c>
      <c r="D162" s="32">
        <v>4715810.0</v>
      </c>
      <c r="E162" s="32">
        <v>262324.0</v>
      </c>
      <c r="F162" s="32">
        <v>146522.0</v>
      </c>
      <c r="G162" s="32">
        <v>393091.0</v>
      </c>
      <c r="H162" s="32">
        <v>9004.0</v>
      </c>
      <c r="I162" s="32">
        <v>0.0</v>
      </c>
      <c r="J162" s="32">
        <v>4.300414332E9</v>
      </c>
      <c r="K162" s="32">
        <v>1.087153533E9</v>
      </c>
      <c r="L162" s="32">
        <v>6440.0</v>
      </c>
      <c r="M162" s="31" t="s">
        <v>94</v>
      </c>
      <c r="N162" s="32">
        <v>25.0</v>
      </c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7.9647211E7</v>
      </c>
      <c r="B163" s="31" t="s">
        <v>191</v>
      </c>
      <c r="C163" s="32">
        <v>2.7890425E7</v>
      </c>
      <c r="D163" s="32">
        <v>3.4932461E7</v>
      </c>
      <c r="E163" s="32">
        <v>1781808.0</v>
      </c>
      <c r="F163" s="32">
        <v>3996.0</v>
      </c>
      <c r="G163" s="32">
        <v>1045511.0</v>
      </c>
      <c r="H163" s="32">
        <v>1221450.0</v>
      </c>
      <c r="I163" s="32">
        <v>0.0</v>
      </c>
      <c r="J163" s="32">
        <v>6.323137446E9</v>
      </c>
      <c r="K163" s="32">
        <v>1.0458320798E10</v>
      </c>
      <c r="L163" s="32">
        <v>3506.0</v>
      </c>
      <c r="M163" s="31" t="s">
        <v>147</v>
      </c>
      <c r="N163" s="32">
        <v>25.0</v>
      </c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1.1279231E8</v>
      </c>
      <c r="B164" s="31" t="s">
        <v>197</v>
      </c>
      <c r="C164" s="32">
        <v>2.753608E7</v>
      </c>
      <c r="D164" s="32">
        <v>6.0264131E7</v>
      </c>
      <c r="E164" s="32">
        <v>4657094.0</v>
      </c>
      <c r="F164" s="32">
        <v>979015.0</v>
      </c>
      <c r="G164" s="32">
        <v>2324271.0</v>
      </c>
      <c r="H164" s="32">
        <v>1691726.0</v>
      </c>
      <c r="I164" s="32">
        <v>0.0</v>
      </c>
      <c r="J164" s="32">
        <v>3.1349205389E10</v>
      </c>
      <c r="K164" s="32">
        <v>3.4355762438E10</v>
      </c>
      <c r="L164" s="32">
        <v>12343.0</v>
      </c>
      <c r="M164" s="31" t="s">
        <v>34</v>
      </c>
      <c r="N164" s="32">
        <v>25.0</v>
      </c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1.71787377E8</v>
      </c>
      <c r="B165" s="31" t="s">
        <v>459</v>
      </c>
      <c r="C165" s="32">
        <v>2.7262774E7</v>
      </c>
      <c r="D165" s="32">
        <v>7.9314084E7</v>
      </c>
      <c r="E165" s="32">
        <v>4668123.0</v>
      </c>
      <c r="F165" s="32">
        <v>4372892.0</v>
      </c>
      <c r="G165" s="32">
        <v>4966875.0</v>
      </c>
      <c r="H165" s="32">
        <v>1060384.0</v>
      </c>
      <c r="I165" s="32">
        <v>0.0</v>
      </c>
      <c r="J165" s="32">
        <v>7.772774321E9</v>
      </c>
      <c r="K165" s="32">
        <v>4.594974562E9</v>
      </c>
      <c r="L165" s="32">
        <v>24697.0</v>
      </c>
      <c r="M165" s="31" t="s">
        <v>66</v>
      </c>
      <c r="N165" s="32">
        <v>25.0</v>
      </c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7.7474302E7</v>
      </c>
      <c r="B166" s="31" t="s">
        <v>195</v>
      </c>
      <c r="C166" s="32">
        <v>2.7208884E7</v>
      </c>
      <c r="D166" s="32">
        <v>3.8220683E7</v>
      </c>
      <c r="E166" s="32">
        <v>4747649.0</v>
      </c>
      <c r="F166" s="32">
        <v>164935.0</v>
      </c>
      <c r="G166" s="32">
        <v>925311.0</v>
      </c>
      <c r="H166" s="32">
        <v>1410586.0</v>
      </c>
      <c r="I166" s="32">
        <v>0.0</v>
      </c>
      <c r="J166" s="32">
        <v>1.401178894E10</v>
      </c>
      <c r="K166" s="32">
        <v>1.7098971925E10</v>
      </c>
      <c r="L166" s="32">
        <v>9278.0</v>
      </c>
      <c r="M166" s="31" t="s">
        <v>147</v>
      </c>
      <c r="N166" s="32">
        <v>25.0</v>
      </c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1.44104572E8</v>
      </c>
      <c r="B167" s="31" t="s">
        <v>196</v>
      </c>
      <c r="C167" s="32">
        <v>2.7157529E7</v>
      </c>
      <c r="D167" s="32">
        <v>2.5680783E7</v>
      </c>
      <c r="E167" s="32">
        <v>2999268.0</v>
      </c>
      <c r="F167" s="32">
        <v>4109706.0</v>
      </c>
      <c r="G167" s="32">
        <v>1511050.0</v>
      </c>
      <c r="H167" s="32">
        <v>334000.0</v>
      </c>
      <c r="I167" s="32">
        <v>0.0</v>
      </c>
      <c r="J167" s="32">
        <v>2.914147196E9</v>
      </c>
      <c r="K167" s="32">
        <v>8.33264E7</v>
      </c>
      <c r="L167" s="32">
        <v>5949.0</v>
      </c>
      <c r="M167" s="31" t="s">
        <v>66</v>
      </c>
      <c r="N167" s="32">
        <v>25.0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1.46036286E8</v>
      </c>
      <c r="B168" s="31" t="s">
        <v>205</v>
      </c>
      <c r="C168" s="32">
        <v>2.7124413E7</v>
      </c>
      <c r="D168" s="32">
        <v>4.1952764E7</v>
      </c>
      <c r="E168" s="32">
        <v>4816318.0</v>
      </c>
      <c r="F168" s="32">
        <v>591932.0</v>
      </c>
      <c r="G168" s="32">
        <v>2761806.0</v>
      </c>
      <c r="H168" s="32">
        <v>521469.0</v>
      </c>
      <c r="I168" s="32">
        <v>0.0</v>
      </c>
      <c r="J168" s="32">
        <v>2.0136334721E10</v>
      </c>
      <c r="K168" s="32">
        <v>1.1736223974E10</v>
      </c>
      <c r="L168" s="32">
        <v>5711.0</v>
      </c>
      <c r="M168" s="31" t="s">
        <v>153</v>
      </c>
      <c r="N168" s="32">
        <v>25.0</v>
      </c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1.7395388E8</v>
      </c>
      <c r="B169" s="31" t="s">
        <v>422</v>
      </c>
      <c r="C169" s="32">
        <v>2.7009176E7</v>
      </c>
      <c r="D169" s="32">
        <v>1648460.0</v>
      </c>
      <c r="E169" s="32">
        <v>1653283.0</v>
      </c>
      <c r="F169" s="32">
        <v>0.0</v>
      </c>
      <c r="G169" s="32">
        <v>106204.0</v>
      </c>
      <c r="H169" s="32">
        <v>28128.0</v>
      </c>
      <c r="I169" s="32">
        <v>0.0</v>
      </c>
      <c r="J169" s="32">
        <v>4.87125875E9</v>
      </c>
      <c r="K169" s="32">
        <v>3.346021861E9</v>
      </c>
      <c r="L169" s="32">
        <v>2414.0</v>
      </c>
      <c r="M169" s="31" t="s">
        <v>147</v>
      </c>
      <c r="N169" s="32">
        <v>25.0</v>
      </c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1.44103022E8</v>
      </c>
      <c r="B170" s="31" t="s">
        <v>198</v>
      </c>
      <c r="C170" s="32">
        <v>2.6445367E7</v>
      </c>
      <c r="D170" s="32">
        <v>4017519.0</v>
      </c>
      <c r="E170" s="32">
        <v>640494.0</v>
      </c>
      <c r="F170" s="32">
        <v>263588.0</v>
      </c>
      <c r="G170" s="32">
        <v>238724.0</v>
      </c>
      <c r="H170" s="32">
        <v>0.0</v>
      </c>
      <c r="I170" s="32">
        <v>0.0</v>
      </c>
      <c r="J170" s="32">
        <v>1.52701049E9</v>
      </c>
      <c r="K170" s="32">
        <v>3428957.0</v>
      </c>
      <c r="L170" s="32">
        <v>1226.0</v>
      </c>
      <c r="M170" s="31" t="s">
        <v>66</v>
      </c>
      <c r="N170" s="32">
        <v>25.0</v>
      </c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1.45295709E8</v>
      </c>
      <c r="B171" s="31" t="s">
        <v>423</v>
      </c>
      <c r="C171" s="32">
        <v>2.6376346E7</v>
      </c>
      <c r="D171" s="32">
        <v>3.3008222E7</v>
      </c>
      <c r="E171" s="32">
        <v>2275922.0</v>
      </c>
      <c r="F171" s="32">
        <v>3893494.0</v>
      </c>
      <c r="G171" s="32">
        <v>1891027.0</v>
      </c>
      <c r="H171" s="32">
        <v>389473.0</v>
      </c>
      <c r="I171" s="32">
        <v>0.0</v>
      </c>
      <c r="J171" s="32">
        <v>2.75326985E9</v>
      </c>
      <c r="K171" s="32">
        <v>8.1594054E7</v>
      </c>
      <c r="L171" s="32">
        <v>7474.0</v>
      </c>
      <c r="M171" s="31" t="s">
        <v>66</v>
      </c>
      <c r="N171" s="32">
        <v>25.0</v>
      </c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1.57398284E8</v>
      </c>
      <c r="B172" s="31" t="s">
        <v>380</v>
      </c>
      <c r="C172" s="32">
        <v>2.5900193E7</v>
      </c>
      <c r="D172" s="32">
        <v>4812381.0</v>
      </c>
      <c r="E172" s="32">
        <v>1021778.0</v>
      </c>
      <c r="F172" s="32">
        <v>124957.0</v>
      </c>
      <c r="G172" s="32">
        <v>318827.0</v>
      </c>
      <c r="H172" s="32">
        <v>52796.0</v>
      </c>
      <c r="I172" s="32">
        <v>0.0</v>
      </c>
      <c r="J172" s="32">
        <v>1.3528833448E10</v>
      </c>
      <c r="K172" s="32">
        <v>6.116E9</v>
      </c>
      <c r="L172" s="32">
        <v>4310.0</v>
      </c>
      <c r="M172" s="31" t="s">
        <v>94</v>
      </c>
      <c r="N172" s="32">
        <v>25.0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3">
        <v>7.1189562E7</v>
      </c>
      <c r="B173" s="33" t="s">
        <v>199</v>
      </c>
      <c r="C173" s="34">
        <v>2.5483684E7</v>
      </c>
      <c r="D173" s="34">
        <v>2408509.0</v>
      </c>
      <c r="E173" s="34">
        <v>823250.0</v>
      </c>
      <c r="F173" s="34">
        <v>18168.0</v>
      </c>
      <c r="G173" s="34">
        <v>172952.0</v>
      </c>
      <c r="H173" s="34">
        <v>26188.0</v>
      </c>
      <c r="I173" s="34">
        <v>0.0</v>
      </c>
      <c r="J173" s="34">
        <v>1.3394326373E10</v>
      </c>
      <c r="K173" s="34">
        <v>1.5124513151E10</v>
      </c>
      <c r="L173" s="34">
        <v>3189.0</v>
      </c>
      <c r="M173" s="33" t="s">
        <v>153</v>
      </c>
      <c r="N173" s="34">
        <v>24.0</v>
      </c>
      <c r="O173" s="33"/>
      <c r="P173" s="33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6.1106312E7</v>
      </c>
      <c r="B174" s="31" t="s">
        <v>201</v>
      </c>
      <c r="C174" s="32">
        <v>2.5245254E7</v>
      </c>
      <c r="D174" s="32">
        <v>1.36987674E8</v>
      </c>
      <c r="E174" s="32">
        <v>6457701.0</v>
      </c>
      <c r="F174" s="32">
        <v>1064273.0</v>
      </c>
      <c r="G174" s="32">
        <v>8566764.0</v>
      </c>
      <c r="H174" s="32">
        <v>1631477.0</v>
      </c>
      <c r="I174" s="32">
        <v>0.0</v>
      </c>
      <c r="J174" s="32">
        <v>1.5402487203E10</v>
      </c>
      <c r="K174" s="32">
        <v>1.6233438464E10</v>
      </c>
      <c r="L174" s="32">
        <v>12394.0</v>
      </c>
      <c r="M174" s="31" t="s">
        <v>34</v>
      </c>
      <c r="N174" s="32">
        <v>25.0</v>
      </c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1.58265064E8</v>
      </c>
      <c r="B175" s="31" t="s">
        <v>200</v>
      </c>
      <c r="C175" s="32">
        <v>2.5144628E7</v>
      </c>
      <c r="D175" s="32">
        <v>1.1312096E7</v>
      </c>
      <c r="E175" s="32">
        <v>1040720.0</v>
      </c>
      <c r="F175" s="32">
        <v>238681.0</v>
      </c>
      <c r="G175" s="32">
        <v>435809.0</v>
      </c>
      <c r="H175" s="32">
        <v>209818.0</v>
      </c>
      <c r="I175" s="32">
        <v>0.0</v>
      </c>
      <c r="J175" s="32">
        <v>3.781510192E9</v>
      </c>
      <c r="K175" s="32">
        <v>2.856723815E9</v>
      </c>
      <c r="L175" s="32">
        <v>8676.0</v>
      </c>
      <c r="M175" s="31" t="s">
        <v>147</v>
      </c>
      <c r="N175" s="32">
        <v>25.0</v>
      </c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1.66394798E8</v>
      </c>
      <c r="B176" s="31" t="s">
        <v>202</v>
      </c>
      <c r="C176" s="32">
        <v>2.373853E7</v>
      </c>
      <c r="D176" s="32">
        <v>4.8823301E7</v>
      </c>
      <c r="E176" s="32">
        <v>2377006.0</v>
      </c>
      <c r="F176" s="32">
        <v>567889.0</v>
      </c>
      <c r="G176" s="32">
        <v>3113738.0</v>
      </c>
      <c r="H176" s="32">
        <v>686427.0</v>
      </c>
      <c r="I176" s="32">
        <v>0.0</v>
      </c>
      <c r="J176" s="32">
        <v>6.217586599E9</v>
      </c>
      <c r="K176" s="32">
        <v>1.563279624E10</v>
      </c>
      <c r="L176" s="32">
        <v>12283.0</v>
      </c>
      <c r="M176" s="31" t="s">
        <v>147</v>
      </c>
      <c r="N176" s="32">
        <v>25.0</v>
      </c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1.48355572E8</v>
      </c>
      <c r="B177" s="31" t="s">
        <v>209</v>
      </c>
      <c r="C177" s="32">
        <v>2.3676672E7</v>
      </c>
      <c r="D177" s="32">
        <v>8739485.0</v>
      </c>
      <c r="E177" s="32">
        <v>2046882.0</v>
      </c>
      <c r="F177" s="32">
        <v>57025.0</v>
      </c>
      <c r="G177" s="32">
        <v>645107.0</v>
      </c>
      <c r="H177" s="32">
        <v>92543.0</v>
      </c>
      <c r="I177" s="32">
        <v>0.0</v>
      </c>
      <c r="J177" s="32">
        <v>2.346796286E9</v>
      </c>
      <c r="K177" s="32">
        <v>2.23164667E8</v>
      </c>
      <c r="L177" s="32">
        <v>1681.0</v>
      </c>
      <c r="M177" s="31" t="s">
        <v>147</v>
      </c>
      <c r="N177" s="32">
        <v>25.0</v>
      </c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1.45035808E8</v>
      </c>
      <c r="B178" s="31" t="s">
        <v>377</v>
      </c>
      <c r="C178" s="32">
        <v>2.3587776E7</v>
      </c>
      <c r="D178" s="32">
        <v>8082943.0</v>
      </c>
      <c r="E178" s="32">
        <v>3793049.0</v>
      </c>
      <c r="F178" s="32">
        <v>173077.0</v>
      </c>
      <c r="G178" s="32">
        <v>262708.0</v>
      </c>
      <c r="H178" s="32">
        <v>230216.0</v>
      </c>
      <c r="I178" s="32">
        <v>0.0</v>
      </c>
      <c r="J178" s="32">
        <v>9.21087513E8</v>
      </c>
      <c r="K178" s="32">
        <v>2.7480865E7</v>
      </c>
      <c r="L178" s="32">
        <v>4459.0</v>
      </c>
      <c r="M178" s="31" t="s">
        <v>165</v>
      </c>
      <c r="N178" s="32">
        <v>25.0</v>
      </c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7.7531879E7</v>
      </c>
      <c r="B179" s="31" t="s">
        <v>460</v>
      </c>
      <c r="C179" s="32">
        <v>2.353366E7</v>
      </c>
      <c r="D179" s="32">
        <v>4537895.0</v>
      </c>
      <c r="E179" s="32">
        <v>76522.0</v>
      </c>
      <c r="F179" s="32">
        <v>36.0</v>
      </c>
      <c r="G179" s="32">
        <v>104025.0</v>
      </c>
      <c r="H179" s="32">
        <v>174604.0</v>
      </c>
      <c r="I179" s="32">
        <v>0.0</v>
      </c>
      <c r="J179" s="32">
        <v>9.111368973E9</v>
      </c>
      <c r="K179" s="32">
        <v>1.1235078215E10</v>
      </c>
      <c r="L179" s="32">
        <v>3924.0</v>
      </c>
      <c r="M179" s="31" t="s">
        <v>147</v>
      </c>
      <c r="N179" s="32">
        <v>25.0</v>
      </c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3">
        <v>1.85391227E8</v>
      </c>
      <c r="B180" s="33" t="s">
        <v>207</v>
      </c>
      <c r="C180" s="34">
        <v>2.3518978E7</v>
      </c>
      <c r="D180" s="34">
        <v>4933077.0</v>
      </c>
      <c r="E180" s="34">
        <v>964026.0</v>
      </c>
      <c r="F180" s="34">
        <v>186.0</v>
      </c>
      <c r="G180" s="34">
        <v>214.0</v>
      </c>
      <c r="H180" s="34">
        <v>246545.0</v>
      </c>
      <c r="I180" s="34">
        <v>0.0</v>
      </c>
      <c r="J180" s="34">
        <v>7.913115533E9</v>
      </c>
      <c r="K180" s="34">
        <v>5.777495661E9</v>
      </c>
      <c r="L180" s="34">
        <v>2466.0</v>
      </c>
      <c r="M180" s="33" t="s">
        <v>94</v>
      </c>
      <c r="N180" s="34">
        <v>24.0</v>
      </c>
      <c r="O180" s="33"/>
      <c r="P180" s="33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3">
        <v>4.8558795E7</v>
      </c>
      <c r="B181" s="33" t="s">
        <v>208</v>
      </c>
      <c r="C181" s="34">
        <v>2.3357255E7</v>
      </c>
      <c r="D181" s="34">
        <v>1928497.0</v>
      </c>
      <c r="E181" s="34">
        <v>461565.0</v>
      </c>
      <c r="F181" s="34">
        <v>485.0</v>
      </c>
      <c r="G181" s="34">
        <v>141444.0</v>
      </c>
      <c r="H181" s="34">
        <v>25698.0</v>
      </c>
      <c r="I181" s="34">
        <v>0.0</v>
      </c>
      <c r="J181" s="34">
        <v>1.2056817262E10</v>
      </c>
      <c r="K181" s="34">
        <v>1.559696354E10</v>
      </c>
      <c r="L181" s="34">
        <v>2739.0</v>
      </c>
      <c r="M181" s="33" t="s">
        <v>153</v>
      </c>
      <c r="N181" s="34">
        <v>24.0</v>
      </c>
      <c r="O181" s="33"/>
      <c r="P181" s="33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1.74530133E8</v>
      </c>
      <c r="B182" s="31" t="s">
        <v>214</v>
      </c>
      <c r="C182" s="32">
        <v>2.2898241E7</v>
      </c>
      <c r="D182" s="32">
        <v>2253561.0</v>
      </c>
      <c r="E182" s="32">
        <v>331940.0</v>
      </c>
      <c r="F182" s="32">
        <v>3127.0</v>
      </c>
      <c r="G182" s="32">
        <v>27691.0</v>
      </c>
      <c r="H182" s="32">
        <v>96770.0</v>
      </c>
      <c r="I182" s="32">
        <v>0.0</v>
      </c>
      <c r="J182" s="32">
        <v>1.6028118595E10</v>
      </c>
      <c r="K182" s="32">
        <v>1.3337260959E10</v>
      </c>
      <c r="L182" s="32">
        <v>3663.0</v>
      </c>
      <c r="M182" s="31" t="s">
        <v>165</v>
      </c>
      <c r="N182" s="32">
        <v>25.0</v>
      </c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1.44048678E8</v>
      </c>
      <c r="B183" s="31" t="s">
        <v>378</v>
      </c>
      <c r="C183" s="32">
        <v>2.28695E7</v>
      </c>
      <c r="D183" s="32">
        <v>2.9011803E7</v>
      </c>
      <c r="E183" s="32">
        <v>1132703.0</v>
      </c>
      <c r="F183" s="32">
        <v>1935146.0</v>
      </c>
      <c r="G183" s="32">
        <v>2138865.0</v>
      </c>
      <c r="H183" s="32">
        <v>118356.0</v>
      </c>
      <c r="I183" s="32">
        <v>0.0</v>
      </c>
      <c r="J183" s="32">
        <v>3.112206198E9</v>
      </c>
      <c r="K183" s="32">
        <v>4727048.0</v>
      </c>
      <c r="L183" s="32">
        <v>8309.0</v>
      </c>
      <c r="M183" s="31" t="s">
        <v>66</v>
      </c>
      <c r="N183" s="32">
        <v>25.0</v>
      </c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1.44112459E8</v>
      </c>
      <c r="B184" s="31" t="s">
        <v>379</v>
      </c>
      <c r="C184" s="32">
        <v>2.280237E7</v>
      </c>
      <c r="D184" s="32">
        <v>696518.0</v>
      </c>
      <c r="E184" s="32">
        <v>49469.0</v>
      </c>
      <c r="F184" s="32">
        <v>6563.0</v>
      </c>
      <c r="G184" s="32">
        <v>9190.0</v>
      </c>
      <c r="H184" s="32">
        <v>0.0</v>
      </c>
      <c r="I184" s="32">
        <v>0.0</v>
      </c>
      <c r="J184" s="32">
        <v>1.962412431E9</v>
      </c>
      <c r="K184" s="32">
        <v>0.0</v>
      </c>
      <c r="L184" s="32">
        <v>1289.0</v>
      </c>
      <c r="M184" s="31" t="s">
        <v>66</v>
      </c>
      <c r="N184" s="32">
        <v>25.0</v>
      </c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1">
        <v>1.440086E8</v>
      </c>
      <c r="B185" s="31" t="s">
        <v>461</v>
      </c>
      <c r="C185" s="32">
        <v>2.2693036E7</v>
      </c>
      <c r="D185" s="32">
        <v>4418410.0</v>
      </c>
      <c r="E185" s="32">
        <v>2510557.0</v>
      </c>
      <c r="F185" s="32">
        <v>27133.0</v>
      </c>
      <c r="G185" s="32">
        <v>194283.0</v>
      </c>
      <c r="H185" s="32">
        <v>85372.0</v>
      </c>
      <c r="I185" s="32">
        <v>0.0</v>
      </c>
      <c r="J185" s="32">
        <v>3.961928933E9</v>
      </c>
      <c r="K185" s="32">
        <v>0.0</v>
      </c>
      <c r="L185" s="32">
        <v>3897.0</v>
      </c>
      <c r="M185" s="31" t="s">
        <v>66</v>
      </c>
      <c r="N185" s="32">
        <v>25.0</v>
      </c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1.44034173E8</v>
      </c>
      <c r="B186" s="31" t="s">
        <v>427</v>
      </c>
      <c r="C186" s="32">
        <v>2.2687202E7</v>
      </c>
      <c r="D186" s="32">
        <v>5.8304964E7</v>
      </c>
      <c r="E186" s="32">
        <v>2384004.0</v>
      </c>
      <c r="F186" s="32">
        <v>2479362.0</v>
      </c>
      <c r="G186" s="32">
        <v>2537151.0</v>
      </c>
      <c r="H186" s="32">
        <v>327251.0</v>
      </c>
      <c r="I186" s="32">
        <v>0.0</v>
      </c>
      <c r="J186" s="32">
        <v>3.646994224E9</v>
      </c>
      <c r="K186" s="32">
        <v>73477.0</v>
      </c>
      <c r="L186" s="32">
        <v>12472.0</v>
      </c>
      <c r="M186" s="31" t="s">
        <v>66</v>
      </c>
      <c r="N186" s="32">
        <v>25.0</v>
      </c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1.71556791E8</v>
      </c>
      <c r="B187" s="31" t="s">
        <v>462</v>
      </c>
      <c r="C187" s="32">
        <v>2.226928E7</v>
      </c>
      <c r="D187" s="32">
        <v>4949159.0</v>
      </c>
      <c r="E187" s="32">
        <v>626101.0</v>
      </c>
      <c r="F187" s="32">
        <v>25466.0</v>
      </c>
      <c r="G187" s="32">
        <v>210000.0</v>
      </c>
      <c r="H187" s="32">
        <v>116244.0</v>
      </c>
      <c r="I187" s="32">
        <v>0.0</v>
      </c>
      <c r="J187" s="32">
        <v>7.973017442E9</v>
      </c>
      <c r="K187" s="32">
        <v>1.4361031366E10</v>
      </c>
      <c r="L187" s="32">
        <v>3559.0</v>
      </c>
      <c r="M187" s="31" t="s">
        <v>147</v>
      </c>
      <c r="N187" s="32">
        <v>25.0</v>
      </c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1.90550149E8</v>
      </c>
      <c r="B188" s="31" t="s">
        <v>425</v>
      </c>
      <c r="C188" s="32">
        <v>2.2128875E7</v>
      </c>
      <c r="D188" s="32">
        <v>3.7033691E7</v>
      </c>
      <c r="E188" s="32">
        <v>2949176.0</v>
      </c>
      <c r="F188" s="32">
        <v>3459476.0</v>
      </c>
      <c r="G188" s="32">
        <v>1868115.0</v>
      </c>
      <c r="H188" s="32">
        <v>327271.0</v>
      </c>
      <c r="I188" s="32">
        <v>0.0</v>
      </c>
      <c r="J188" s="32">
        <v>2.174690008E9</v>
      </c>
      <c r="K188" s="32">
        <v>1.32787435E8</v>
      </c>
      <c r="L188" s="32">
        <v>6469.0</v>
      </c>
      <c r="M188" s="31" t="s">
        <v>147</v>
      </c>
      <c r="N188" s="32">
        <v>25.0</v>
      </c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3">
        <v>1.72587132E8</v>
      </c>
      <c r="B189" s="33" t="s">
        <v>212</v>
      </c>
      <c r="C189" s="34">
        <v>2.1745628E7</v>
      </c>
      <c r="D189" s="34">
        <v>4830923.0</v>
      </c>
      <c r="E189" s="34">
        <v>1608532.0</v>
      </c>
      <c r="F189" s="34">
        <v>280268.0</v>
      </c>
      <c r="G189" s="34">
        <v>383297.0</v>
      </c>
      <c r="H189" s="34">
        <v>31497.0</v>
      </c>
      <c r="I189" s="34">
        <v>0.0</v>
      </c>
      <c r="J189" s="34">
        <v>1.2996921445E10</v>
      </c>
      <c r="K189" s="34">
        <v>1.1627061896E10</v>
      </c>
      <c r="L189" s="34">
        <v>4111.0</v>
      </c>
      <c r="M189" s="33" t="s">
        <v>94</v>
      </c>
      <c r="N189" s="34">
        <v>23.0</v>
      </c>
      <c r="O189" s="33"/>
      <c r="P189" s="33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3">
        <v>9.716129E7</v>
      </c>
      <c r="B190" s="33" t="s">
        <v>216</v>
      </c>
      <c r="C190" s="34">
        <v>2.1736655E7</v>
      </c>
      <c r="D190" s="34">
        <v>663448.0</v>
      </c>
      <c r="E190" s="34">
        <v>580431.0</v>
      </c>
      <c r="F190" s="34">
        <v>3771.0</v>
      </c>
      <c r="G190" s="34">
        <v>10201.0</v>
      </c>
      <c r="H190" s="34">
        <v>27973.0</v>
      </c>
      <c r="I190" s="34">
        <v>0.0</v>
      </c>
      <c r="J190" s="34">
        <v>4.179773565E9</v>
      </c>
      <c r="K190" s="34">
        <v>7.00828389E8</v>
      </c>
      <c r="L190" s="34">
        <v>715.0</v>
      </c>
      <c r="M190" s="33" t="s">
        <v>147</v>
      </c>
      <c r="N190" s="34">
        <v>24.0</v>
      </c>
      <c r="O190" s="33"/>
      <c r="P190" s="33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1">
        <v>1.24153706E8</v>
      </c>
      <c r="B191" s="31" t="s">
        <v>463</v>
      </c>
      <c r="C191" s="32">
        <v>2.1732274E7</v>
      </c>
      <c r="D191" s="32">
        <v>5922068.0</v>
      </c>
      <c r="E191" s="32">
        <v>1692075.0</v>
      </c>
      <c r="F191" s="32">
        <v>330724.0</v>
      </c>
      <c r="G191" s="32">
        <v>470573.0</v>
      </c>
      <c r="H191" s="32">
        <v>52787.0</v>
      </c>
      <c r="I191" s="32">
        <v>0.0</v>
      </c>
      <c r="J191" s="32">
        <v>5.124839538E9</v>
      </c>
      <c r="K191" s="32">
        <v>5.642037005E9</v>
      </c>
      <c r="L191" s="32">
        <v>10180.0</v>
      </c>
      <c r="M191" s="31" t="s">
        <v>153</v>
      </c>
      <c r="N191" s="32">
        <v>25.0</v>
      </c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3">
        <v>1.75706269E8</v>
      </c>
      <c r="B192" s="33" t="s">
        <v>219</v>
      </c>
      <c r="C192" s="34">
        <v>2.1460953E7</v>
      </c>
      <c r="D192" s="34">
        <v>8860602.0</v>
      </c>
      <c r="E192" s="34">
        <v>1519238.0</v>
      </c>
      <c r="F192" s="34">
        <v>21032.0</v>
      </c>
      <c r="G192" s="34">
        <v>813972.0</v>
      </c>
      <c r="H192" s="34">
        <v>23044.0</v>
      </c>
      <c r="I192" s="34">
        <v>0.0</v>
      </c>
      <c r="J192" s="34">
        <v>2.907356706E9</v>
      </c>
      <c r="K192" s="34">
        <v>3.22468511E8</v>
      </c>
      <c r="L192" s="34">
        <v>1071.0</v>
      </c>
      <c r="M192" s="33" t="s">
        <v>220</v>
      </c>
      <c r="N192" s="34">
        <v>24.0</v>
      </c>
      <c r="O192" s="33"/>
      <c r="P192" s="33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6.9795161E7</v>
      </c>
      <c r="B193" s="31" t="s">
        <v>482</v>
      </c>
      <c r="C193" s="32">
        <v>2.1126223E7</v>
      </c>
      <c r="D193" s="32">
        <v>1005744.0</v>
      </c>
      <c r="E193" s="32">
        <v>680216.0</v>
      </c>
      <c r="F193" s="32">
        <v>3542.0</v>
      </c>
      <c r="G193" s="32">
        <v>22474.0</v>
      </c>
      <c r="H193" s="32">
        <v>38910.0</v>
      </c>
      <c r="I193" s="32">
        <v>0.0</v>
      </c>
      <c r="J193" s="32">
        <v>5.241742711E9</v>
      </c>
      <c r="K193" s="32">
        <v>2.966813705E9</v>
      </c>
      <c r="L193" s="32">
        <v>2142.0</v>
      </c>
      <c r="M193" s="31" t="s">
        <v>147</v>
      </c>
      <c r="N193" s="32">
        <v>25.0</v>
      </c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3">
        <v>1.72730913E8</v>
      </c>
      <c r="B194" s="33" t="s">
        <v>221</v>
      </c>
      <c r="C194" s="34">
        <v>2.1018559E7</v>
      </c>
      <c r="D194" s="34">
        <v>-1.0</v>
      </c>
      <c r="E194" s="34">
        <v>0.0</v>
      </c>
      <c r="F194" s="34">
        <v>0.0</v>
      </c>
      <c r="G194" s="34">
        <v>0.0</v>
      </c>
      <c r="H194" s="34">
        <v>0.0</v>
      </c>
      <c r="I194" s="34">
        <v>0.0</v>
      </c>
      <c r="J194" s="34">
        <v>5.012646273E9</v>
      </c>
      <c r="K194" s="34">
        <v>1.54E7</v>
      </c>
      <c r="L194" s="34">
        <v>1752.0</v>
      </c>
      <c r="M194" s="33" t="s">
        <v>153</v>
      </c>
      <c r="N194" s="34">
        <v>23.0</v>
      </c>
      <c r="O194" s="33"/>
      <c r="P194" s="33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3">
        <v>1.73351722E8</v>
      </c>
      <c r="B195" s="33" t="s">
        <v>236</v>
      </c>
      <c r="C195" s="34">
        <v>2.0768172E7</v>
      </c>
      <c r="D195" s="34">
        <v>7033148.0</v>
      </c>
      <c r="E195" s="34">
        <v>471728.0</v>
      </c>
      <c r="F195" s="34">
        <v>323190.0</v>
      </c>
      <c r="G195" s="34">
        <v>336667.0</v>
      </c>
      <c r="H195" s="34">
        <v>180092.0</v>
      </c>
      <c r="I195" s="34">
        <v>0.0</v>
      </c>
      <c r="J195" s="34">
        <v>1.0225178859E10</v>
      </c>
      <c r="K195" s="34">
        <v>6.658700087E9</v>
      </c>
      <c r="L195" s="34">
        <v>1914.0</v>
      </c>
      <c r="M195" s="33" t="s">
        <v>153</v>
      </c>
      <c r="N195" s="34">
        <v>24.0</v>
      </c>
      <c r="O195" s="33"/>
      <c r="P195" s="33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1.4586076E8</v>
      </c>
      <c r="B196" s="31" t="s">
        <v>223</v>
      </c>
      <c r="C196" s="32">
        <v>2.0696185E7</v>
      </c>
      <c r="D196" s="32">
        <v>2503746.0</v>
      </c>
      <c r="E196" s="32">
        <v>641516.0</v>
      </c>
      <c r="F196" s="32">
        <v>196473.0</v>
      </c>
      <c r="G196" s="32">
        <v>204412.0</v>
      </c>
      <c r="H196" s="32">
        <v>0.0</v>
      </c>
      <c r="I196" s="32">
        <v>0.0</v>
      </c>
      <c r="J196" s="32">
        <v>7.384668771E9</v>
      </c>
      <c r="K196" s="32">
        <v>7.106242499E9</v>
      </c>
      <c r="L196" s="32">
        <v>3174.0</v>
      </c>
      <c r="M196" s="31" t="s">
        <v>153</v>
      </c>
      <c r="N196" s="32">
        <v>25.0</v>
      </c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3">
        <v>1.71989291E8</v>
      </c>
      <c r="B197" s="33" t="s">
        <v>224</v>
      </c>
      <c r="C197" s="34">
        <v>2.0632672E7</v>
      </c>
      <c r="D197" s="34">
        <v>1953757.0</v>
      </c>
      <c r="E197" s="34">
        <v>1329583.0</v>
      </c>
      <c r="F197" s="34">
        <v>1398.0</v>
      </c>
      <c r="G197" s="34">
        <v>2019.0</v>
      </c>
      <c r="H197" s="34">
        <v>94344.0</v>
      </c>
      <c r="I197" s="34">
        <v>0.0</v>
      </c>
      <c r="J197" s="34">
        <v>1.0049350025E10</v>
      </c>
      <c r="K197" s="34">
        <v>9.180643582E9</v>
      </c>
      <c r="L197" s="34">
        <v>3495.0</v>
      </c>
      <c r="M197" s="33" t="s">
        <v>153</v>
      </c>
      <c r="N197" s="34">
        <v>24.0</v>
      </c>
      <c r="O197" s="33"/>
      <c r="P197" s="33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1.72508036E8</v>
      </c>
      <c r="B198" s="31" t="s">
        <v>213</v>
      </c>
      <c r="C198" s="32">
        <v>2.0486407E7</v>
      </c>
      <c r="D198" s="32">
        <v>4236308.0</v>
      </c>
      <c r="E198" s="32">
        <v>678453.0</v>
      </c>
      <c r="F198" s="32">
        <v>0.0</v>
      </c>
      <c r="G198" s="32">
        <v>26217.0</v>
      </c>
      <c r="H198" s="32">
        <v>198527.0</v>
      </c>
      <c r="I198" s="32">
        <v>0.0</v>
      </c>
      <c r="J198" s="32">
        <v>3.830413049E9</v>
      </c>
      <c r="K198" s="32">
        <v>1.0464E9</v>
      </c>
      <c r="L198" s="32">
        <v>1225.0</v>
      </c>
      <c r="M198" s="31" t="s">
        <v>147</v>
      </c>
      <c r="N198" s="32">
        <v>25.0</v>
      </c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7521367.0</v>
      </c>
      <c r="B199" s="31" t="s">
        <v>234</v>
      </c>
      <c r="C199" s="32">
        <v>2.0382429E7</v>
      </c>
      <c r="D199" s="32">
        <v>5.637685E7</v>
      </c>
      <c r="E199" s="32">
        <v>2365451.0</v>
      </c>
      <c r="F199" s="32">
        <v>197902.0</v>
      </c>
      <c r="G199" s="32">
        <v>2387039.0</v>
      </c>
      <c r="H199" s="32">
        <v>1618461.0</v>
      </c>
      <c r="I199" s="32">
        <v>0.0</v>
      </c>
      <c r="J199" s="32">
        <v>7.347302356E9</v>
      </c>
      <c r="K199" s="32">
        <v>7.085159383E9</v>
      </c>
      <c r="L199" s="32">
        <v>3679.0</v>
      </c>
      <c r="M199" s="31" t="s">
        <v>464</v>
      </c>
      <c r="N199" s="32">
        <v>25.0</v>
      </c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1.07309959E8</v>
      </c>
      <c r="B200" s="31" t="s">
        <v>229</v>
      </c>
      <c r="C200" s="32">
        <v>2.0096365E7</v>
      </c>
      <c r="D200" s="32">
        <v>880638.0</v>
      </c>
      <c r="E200" s="32">
        <v>633209.0</v>
      </c>
      <c r="F200" s="32">
        <v>24063.0</v>
      </c>
      <c r="G200" s="32">
        <v>19253.0</v>
      </c>
      <c r="H200" s="32">
        <v>0.0</v>
      </c>
      <c r="I200" s="32">
        <v>0.0</v>
      </c>
      <c r="J200" s="32">
        <v>4.5168166E9</v>
      </c>
      <c r="K200" s="32">
        <v>1.692E9</v>
      </c>
      <c r="L200" s="32">
        <v>2346.0</v>
      </c>
      <c r="M200" s="31" t="s">
        <v>153</v>
      </c>
      <c r="N200" s="32">
        <v>25.0</v>
      </c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1.56369343E8</v>
      </c>
      <c r="B201" s="31" t="s">
        <v>429</v>
      </c>
      <c r="C201" s="32">
        <v>1.9995778E7</v>
      </c>
      <c r="D201" s="32">
        <v>3826999.0</v>
      </c>
      <c r="E201" s="32">
        <v>249543.0</v>
      </c>
      <c r="F201" s="32">
        <v>26766.0</v>
      </c>
      <c r="G201" s="32">
        <v>365508.0</v>
      </c>
      <c r="H201" s="32">
        <v>6857.0</v>
      </c>
      <c r="I201" s="32">
        <v>0.0</v>
      </c>
      <c r="J201" s="32">
        <v>2.041697193E9</v>
      </c>
      <c r="K201" s="32">
        <v>0.0</v>
      </c>
      <c r="L201" s="32">
        <v>1321.0</v>
      </c>
      <c r="M201" s="31" t="s">
        <v>147</v>
      </c>
      <c r="N201" s="32">
        <v>25.0</v>
      </c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3">
        <v>1.59674611E8</v>
      </c>
      <c r="B202" s="33" t="s">
        <v>260</v>
      </c>
      <c r="C202" s="34">
        <v>1.997065E7</v>
      </c>
      <c r="D202" s="34">
        <v>932235.0</v>
      </c>
      <c r="E202" s="34">
        <v>136798.0</v>
      </c>
      <c r="F202" s="34">
        <v>509198.0</v>
      </c>
      <c r="G202" s="34">
        <v>5166.0</v>
      </c>
      <c r="H202" s="34">
        <v>0.0</v>
      </c>
      <c r="I202" s="34">
        <v>0.0</v>
      </c>
      <c r="J202" s="34">
        <v>3.09083069E9</v>
      </c>
      <c r="K202" s="34">
        <v>8.00719676E8</v>
      </c>
      <c r="L202" s="34">
        <v>2377.0</v>
      </c>
      <c r="M202" s="33" t="s">
        <v>94</v>
      </c>
      <c r="N202" s="34">
        <v>23.0</v>
      </c>
      <c r="O202" s="33"/>
      <c r="P202" s="33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1.47792502E8</v>
      </c>
      <c r="B203" s="33" t="s">
        <v>232</v>
      </c>
      <c r="C203" s="34">
        <v>1.9957526E7</v>
      </c>
      <c r="D203" s="34">
        <v>1.5553596E7</v>
      </c>
      <c r="E203" s="34">
        <v>501345.0</v>
      </c>
      <c r="F203" s="34">
        <v>265931.0</v>
      </c>
      <c r="G203" s="34">
        <v>1325650.0</v>
      </c>
      <c r="H203" s="34">
        <v>68313.0</v>
      </c>
      <c r="I203" s="34">
        <v>0.0</v>
      </c>
      <c r="J203" s="34">
        <v>1.8777847915E10</v>
      </c>
      <c r="K203" s="34">
        <v>1.7534045568E10</v>
      </c>
      <c r="L203" s="34">
        <v>6768.0</v>
      </c>
      <c r="M203" s="33" t="s">
        <v>153</v>
      </c>
      <c r="N203" s="34">
        <v>24.0</v>
      </c>
      <c r="O203" s="33"/>
      <c r="P203" s="33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1">
        <v>1.0996021E8</v>
      </c>
      <c r="B204" s="31" t="s">
        <v>227</v>
      </c>
      <c r="C204" s="32">
        <v>1.976972E7</v>
      </c>
      <c r="D204" s="32">
        <v>6997939.0</v>
      </c>
      <c r="E204" s="32">
        <v>407767.0</v>
      </c>
      <c r="F204" s="32">
        <v>1228.0</v>
      </c>
      <c r="G204" s="32">
        <v>170917.0</v>
      </c>
      <c r="H204" s="32">
        <v>264426.0</v>
      </c>
      <c r="I204" s="32">
        <v>0.0</v>
      </c>
      <c r="J204" s="32">
        <v>3.121827432E9</v>
      </c>
      <c r="K204" s="32">
        <v>8.98856569E8</v>
      </c>
      <c r="L204" s="32">
        <v>1366.0</v>
      </c>
      <c r="M204" s="31" t="s">
        <v>147</v>
      </c>
      <c r="N204" s="32">
        <v>25.0</v>
      </c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1">
        <v>1.58392134E8</v>
      </c>
      <c r="B205" s="31" t="s">
        <v>428</v>
      </c>
      <c r="C205" s="32">
        <v>1.9719486E7</v>
      </c>
      <c r="D205" s="32">
        <v>4.5953632E7</v>
      </c>
      <c r="E205" s="32">
        <v>3274816.0</v>
      </c>
      <c r="F205" s="32">
        <v>1517402.0</v>
      </c>
      <c r="G205" s="32">
        <v>2523182.0</v>
      </c>
      <c r="H205" s="32">
        <v>744143.0</v>
      </c>
      <c r="I205" s="32">
        <v>0.0</v>
      </c>
      <c r="J205" s="32">
        <v>3.891889441E9</v>
      </c>
      <c r="K205" s="32">
        <v>2.848249361E9</v>
      </c>
      <c r="L205" s="32">
        <v>13806.0</v>
      </c>
      <c r="M205" s="31" t="s">
        <v>34</v>
      </c>
      <c r="N205" s="32">
        <v>25.0</v>
      </c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1.44065202E8</v>
      </c>
      <c r="B206" s="31" t="s">
        <v>222</v>
      </c>
      <c r="C206" s="32">
        <v>1.9576543E7</v>
      </c>
      <c r="D206" s="32">
        <v>9825953.0</v>
      </c>
      <c r="E206" s="32">
        <v>3217489.0</v>
      </c>
      <c r="F206" s="32">
        <v>510456.0</v>
      </c>
      <c r="G206" s="32">
        <v>407070.0</v>
      </c>
      <c r="H206" s="32">
        <v>244210.0</v>
      </c>
      <c r="I206" s="32">
        <v>0.0</v>
      </c>
      <c r="J206" s="32">
        <v>1.852624321E9</v>
      </c>
      <c r="K206" s="32">
        <v>1.4406792E7</v>
      </c>
      <c r="L206" s="32">
        <v>3795.0</v>
      </c>
      <c r="M206" s="31" t="s">
        <v>66</v>
      </c>
      <c r="N206" s="32">
        <v>25.0</v>
      </c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1">
        <v>1.37982827E8</v>
      </c>
      <c r="B207" s="31" t="s">
        <v>230</v>
      </c>
      <c r="C207" s="32">
        <v>1.9505588E7</v>
      </c>
      <c r="D207" s="32">
        <v>1033440.0</v>
      </c>
      <c r="E207" s="32">
        <v>1686588.0</v>
      </c>
      <c r="F207" s="32">
        <v>928101.0</v>
      </c>
      <c r="G207" s="32">
        <v>2888.0</v>
      </c>
      <c r="H207" s="32">
        <v>37966.0</v>
      </c>
      <c r="I207" s="32">
        <v>0.0</v>
      </c>
      <c r="J207" s="32">
        <v>2.1502626855E10</v>
      </c>
      <c r="K207" s="32">
        <v>2.3894156934E10</v>
      </c>
      <c r="L207" s="32">
        <v>4519.0</v>
      </c>
      <c r="M207" s="31" t="s">
        <v>153</v>
      </c>
      <c r="N207" s="32">
        <v>25.0</v>
      </c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3">
        <v>1.79309911E8</v>
      </c>
      <c r="B208" s="33" t="s">
        <v>250</v>
      </c>
      <c r="C208" s="34">
        <v>1.9180416E7</v>
      </c>
      <c r="D208" s="34">
        <v>3539957.0</v>
      </c>
      <c r="E208" s="34">
        <v>1463306.0</v>
      </c>
      <c r="F208" s="34">
        <v>52987.0</v>
      </c>
      <c r="G208" s="34">
        <v>321378.0</v>
      </c>
      <c r="H208" s="34">
        <v>5689.0</v>
      </c>
      <c r="I208" s="34">
        <v>0.0</v>
      </c>
      <c r="J208" s="34">
        <v>5.536657479E9</v>
      </c>
      <c r="K208" s="34">
        <v>3.928426222E9</v>
      </c>
      <c r="L208" s="34">
        <v>1465.0</v>
      </c>
      <c r="M208" s="33" t="s">
        <v>94</v>
      </c>
      <c r="N208" s="34">
        <v>24.0</v>
      </c>
      <c r="O208" s="33"/>
      <c r="P208" s="33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1.44034439E8</v>
      </c>
      <c r="B209" s="31" t="s">
        <v>235</v>
      </c>
      <c r="C209" s="32">
        <v>1.8809201E7</v>
      </c>
      <c r="D209" s="32">
        <v>3185436.0</v>
      </c>
      <c r="E209" s="32">
        <v>5053227.0</v>
      </c>
      <c r="F209" s="32">
        <v>37361.0</v>
      </c>
      <c r="G209" s="32">
        <v>106493.0</v>
      </c>
      <c r="H209" s="32">
        <v>89020.0</v>
      </c>
      <c r="I209" s="32">
        <v>0.0</v>
      </c>
      <c r="J209" s="32">
        <v>9.764098841E9</v>
      </c>
      <c r="K209" s="32">
        <v>0.0</v>
      </c>
      <c r="L209" s="32">
        <v>7358.0</v>
      </c>
      <c r="M209" s="31" t="s">
        <v>165</v>
      </c>
      <c r="N209" s="32">
        <v>25.0</v>
      </c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1.20777788E8</v>
      </c>
      <c r="B210" s="31" t="s">
        <v>243</v>
      </c>
      <c r="C210" s="32">
        <v>1.8575884E7</v>
      </c>
      <c r="D210" s="32">
        <v>4909327.0</v>
      </c>
      <c r="E210" s="32">
        <v>2915331.0</v>
      </c>
      <c r="F210" s="32">
        <v>140139.0</v>
      </c>
      <c r="G210" s="32">
        <v>337930.0</v>
      </c>
      <c r="H210" s="32">
        <v>75001.0</v>
      </c>
      <c r="I210" s="32">
        <v>0.0</v>
      </c>
      <c r="J210" s="32">
        <v>8.543328343E9</v>
      </c>
      <c r="K210" s="32">
        <v>5.753862172E9</v>
      </c>
      <c r="L210" s="32">
        <v>2456.0</v>
      </c>
      <c r="M210" s="31" t="s">
        <v>66</v>
      </c>
      <c r="N210" s="32">
        <v>25.0</v>
      </c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3">
        <v>1.88084419E8</v>
      </c>
      <c r="B211" s="33" t="s">
        <v>203</v>
      </c>
      <c r="C211" s="34">
        <v>1.8557181E7</v>
      </c>
      <c r="D211" s="34">
        <v>2566037.0</v>
      </c>
      <c r="E211" s="34">
        <v>399331.0</v>
      </c>
      <c r="F211" s="34">
        <v>28076.0</v>
      </c>
      <c r="G211" s="34">
        <v>169779.0</v>
      </c>
      <c r="H211" s="34">
        <v>4764.0</v>
      </c>
      <c r="I211" s="34">
        <v>0.0</v>
      </c>
      <c r="J211" s="34">
        <v>2.209032793E9</v>
      </c>
      <c r="K211" s="34">
        <v>1.040661447E9</v>
      </c>
      <c r="L211" s="34">
        <v>2536.0</v>
      </c>
      <c r="M211" s="33" t="s">
        <v>147</v>
      </c>
      <c r="N211" s="34">
        <v>24.0</v>
      </c>
      <c r="O211" s="33"/>
      <c r="P211" s="33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1">
        <v>1.44068963E8</v>
      </c>
      <c r="B212" s="31" t="s">
        <v>239</v>
      </c>
      <c r="C212" s="32">
        <v>1.850505E7</v>
      </c>
      <c r="D212" s="32">
        <v>1242154.0</v>
      </c>
      <c r="E212" s="32">
        <v>1892316.0</v>
      </c>
      <c r="F212" s="32">
        <v>10404.0</v>
      </c>
      <c r="G212" s="32">
        <v>7009.0</v>
      </c>
      <c r="H212" s="32">
        <v>57313.0</v>
      </c>
      <c r="I212" s="32">
        <v>0.0</v>
      </c>
      <c r="J212" s="32">
        <v>1.814553574E9</v>
      </c>
      <c r="K212" s="32">
        <v>200000.0</v>
      </c>
      <c r="L212" s="32">
        <v>323.0</v>
      </c>
      <c r="M212" s="31" t="s">
        <v>240</v>
      </c>
      <c r="N212" s="32">
        <v>25.0</v>
      </c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1.26974968E8</v>
      </c>
      <c r="B213" s="33" t="s">
        <v>244</v>
      </c>
      <c r="C213" s="34">
        <v>1.844883E7</v>
      </c>
      <c r="D213" s="34">
        <v>1232807.0</v>
      </c>
      <c r="E213" s="34">
        <v>877225.0</v>
      </c>
      <c r="F213" s="34">
        <v>5599.0</v>
      </c>
      <c r="G213" s="34">
        <v>56920.0</v>
      </c>
      <c r="H213" s="34">
        <v>25459.0</v>
      </c>
      <c r="I213" s="34">
        <v>0.0</v>
      </c>
      <c r="J213" s="34">
        <v>9.031061148E9</v>
      </c>
      <c r="K213" s="34">
        <v>1.0674079205E10</v>
      </c>
      <c r="L213" s="34">
        <v>2669.0</v>
      </c>
      <c r="M213" s="33" t="s">
        <v>94</v>
      </c>
      <c r="N213" s="34">
        <v>24.0</v>
      </c>
      <c r="O213" s="33"/>
      <c r="P213" s="33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1.44114159E8</v>
      </c>
      <c r="B214" s="33" t="s">
        <v>241</v>
      </c>
      <c r="C214" s="34">
        <v>1.8447063E7</v>
      </c>
      <c r="D214" s="34">
        <v>377570.0</v>
      </c>
      <c r="E214" s="34">
        <v>78932.0</v>
      </c>
      <c r="F214" s="34">
        <v>21961.0</v>
      </c>
      <c r="G214" s="34">
        <v>9565.0</v>
      </c>
      <c r="H214" s="34">
        <v>0.0</v>
      </c>
      <c r="I214" s="34">
        <v>0.0</v>
      </c>
      <c r="J214" s="34">
        <v>1.538049538E9</v>
      </c>
      <c r="K214" s="34">
        <v>1424156.0</v>
      </c>
      <c r="L214" s="34">
        <v>1963.0</v>
      </c>
      <c r="M214" s="33" t="s">
        <v>264</v>
      </c>
      <c r="N214" s="34">
        <v>23.0</v>
      </c>
      <c r="O214" s="33"/>
      <c r="P214" s="33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1.4065212E8</v>
      </c>
      <c r="B215" s="33" t="s">
        <v>238</v>
      </c>
      <c r="C215" s="34">
        <v>1.8274411E7</v>
      </c>
      <c r="D215" s="34">
        <v>4736361.0</v>
      </c>
      <c r="E215" s="34">
        <v>2093014.0</v>
      </c>
      <c r="F215" s="34">
        <v>14525.0</v>
      </c>
      <c r="G215" s="34">
        <v>310893.0</v>
      </c>
      <c r="H215" s="34">
        <v>81061.0</v>
      </c>
      <c r="I215" s="34">
        <v>0.0</v>
      </c>
      <c r="J215" s="34">
        <v>1.5590637659E10</v>
      </c>
      <c r="K215" s="34">
        <v>1.7189586733E10</v>
      </c>
      <c r="L215" s="34">
        <v>5570.0</v>
      </c>
      <c r="M215" s="33" t="s">
        <v>153</v>
      </c>
      <c r="N215" s="34">
        <v>24.0</v>
      </c>
      <c r="O215" s="33"/>
      <c r="P215" s="33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1.90203348E8</v>
      </c>
      <c r="B216" s="33" t="s">
        <v>237</v>
      </c>
      <c r="C216" s="34">
        <v>1.7943603E7</v>
      </c>
      <c r="D216" s="34">
        <v>943.0</v>
      </c>
      <c r="E216" s="34">
        <v>0.0</v>
      </c>
      <c r="F216" s="34">
        <v>4717.0</v>
      </c>
      <c r="G216" s="34">
        <v>0.0</v>
      </c>
      <c r="H216" s="34">
        <v>0.0</v>
      </c>
      <c r="I216" s="34">
        <v>0.0</v>
      </c>
      <c r="J216" s="34">
        <v>4.070393275E9</v>
      </c>
      <c r="K216" s="34">
        <v>1.981971695E9</v>
      </c>
      <c r="L216" s="34">
        <v>1014.0</v>
      </c>
      <c r="M216" s="33" t="s">
        <v>147</v>
      </c>
      <c r="N216" s="34">
        <v>24.0</v>
      </c>
      <c r="O216" s="33"/>
      <c r="P216" s="33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3">
        <v>1.77786882E8</v>
      </c>
      <c r="B217" s="33" t="s">
        <v>242</v>
      </c>
      <c r="C217" s="34">
        <v>1.7887937E7</v>
      </c>
      <c r="D217" s="34">
        <v>734715.0</v>
      </c>
      <c r="E217" s="34">
        <v>2048.0</v>
      </c>
      <c r="F217" s="34">
        <v>227.0</v>
      </c>
      <c r="G217" s="34">
        <v>6051.0</v>
      </c>
      <c r="H217" s="34">
        <v>33708.0</v>
      </c>
      <c r="I217" s="34">
        <v>0.0</v>
      </c>
      <c r="J217" s="34">
        <v>1.1736829619E10</v>
      </c>
      <c r="K217" s="34">
        <v>7.062626932E9</v>
      </c>
      <c r="L217" s="34">
        <v>3139.0</v>
      </c>
      <c r="M217" s="33" t="s">
        <v>153</v>
      </c>
      <c r="N217" s="34">
        <v>24.0</v>
      </c>
      <c r="O217" s="33"/>
      <c r="P217" s="33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1.78556109E8</v>
      </c>
      <c r="B218" s="33" t="s">
        <v>248</v>
      </c>
      <c r="C218" s="34">
        <v>1.7752316E7</v>
      </c>
      <c r="D218" s="34">
        <v>1240300.0</v>
      </c>
      <c r="E218" s="34">
        <v>125805.0</v>
      </c>
      <c r="F218" s="34">
        <v>0.0</v>
      </c>
      <c r="G218" s="34">
        <v>7308.0</v>
      </c>
      <c r="H218" s="34">
        <v>58361.0</v>
      </c>
      <c r="I218" s="34">
        <v>0.0</v>
      </c>
      <c r="J218" s="34">
        <v>1.3118482007E10</v>
      </c>
      <c r="K218" s="34">
        <v>1.2953362345E10</v>
      </c>
      <c r="L218" s="34">
        <v>3640.0</v>
      </c>
      <c r="M218" s="33" t="s">
        <v>153</v>
      </c>
      <c r="N218" s="34">
        <v>24.0</v>
      </c>
      <c r="O218" s="33"/>
      <c r="P218" s="33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1.46678079E8</v>
      </c>
      <c r="B219" s="33" t="s">
        <v>483</v>
      </c>
      <c r="C219" s="34">
        <v>1.7668995E7</v>
      </c>
      <c r="D219" s="34">
        <v>2.4747702E7</v>
      </c>
      <c r="E219" s="34">
        <v>3440996.0</v>
      </c>
      <c r="F219" s="34">
        <v>1306122.0</v>
      </c>
      <c r="G219" s="34">
        <v>1326845.0</v>
      </c>
      <c r="H219" s="34">
        <v>47404.0</v>
      </c>
      <c r="I219" s="34">
        <v>0.0</v>
      </c>
      <c r="J219" s="34">
        <v>1.760598164E9</v>
      </c>
      <c r="K219" s="34">
        <v>1.76777944E8</v>
      </c>
      <c r="L219" s="34">
        <v>1866.0</v>
      </c>
      <c r="M219" s="33" t="s">
        <v>147</v>
      </c>
      <c r="N219" s="34">
        <v>24.0</v>
      </c>
      <c r="O219" s="33"/>
      <c r="P219" s="33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1.27147255E8</v>
      </c>
      <c r="B220" s="31" t="s">
        <v>249</v>
      </c>
      <c r="C220" s="32">
        <v>1.7661303E7</v>
      </c>
      <c r="D220" s="32">
        <v>1404762.0</v>
      </c>
      <c r="E220" s="32">
        <v>1620937.0</v>
      </c>
      <c r="F220" s="32">
        <v>43.0</v>
      </c>
      <c r="G220" s="32">
        <v>23523.0</v>
      </c>
      <c r="H220" s="32">
        <v>57743.0</v>
      </c>
      <c r="I220" s="32">
        <v>0.0</v>
      </c>
      <c r="J220" s="32">
        <v>9.977868766E9</v>
      </c>
      <c r="K220" s="32">
        <v>1.4547992905E10</v>
      </c>
      <c r="L220" s="32">
        <v>2949.0</v>
      </c>
      <c r="M220" s="31" t="s">
        <v>94</v>
      </c>
      <c r="N220" s="32">
        <v>25.0</v>
      </c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1.84287725E8</v>
      </c>
      <c r="B221" s="33" t="s">
        <v>233</v>
      </c>
      <c r="C221" s="34">
        <v>1.7636048E7</v>
      </c>
      <c r="D221" s="34">
        <v>173990.0</v>
      </c>
      <c r="E221" s="34">
        <v>0.0</v>
      </c>
      <c r="F221" s="34">
        <v>0.0</v>
      </c>
      <c r="G221" s="34">
        <v>6551.0</v>
      </c>
      <c r="H221" s="34">
        <v>5424.0</v>
      </c>
      <c r="I221" s="34">
        <v>0.0</v>
      </c>
      <c r="J221" s="34">
        <v>3.780487996E9</v>
      </c>
      <c r="K221" s="34">
        <v>0.0</v>
      </c>
      <c r="L221" s="34">
        <v>764.0</v>
      </c>
      <c r="M221" s="33" t="s">
        <v>94</v>
      </c>
      <c r="N221" s="34">
        <v>23.0</v>
      </c>
      <c r="O221" s="33"/>
      <c r="P221" s="33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1">
        <v>9.9317493E7</v>
      </c>
      <c r="B222" s="31" t="s">
        <v>252</v>
      </c>
      <c r="C222" s="32">
        <v>1.7255554E7</v>
      </c>
      <c r="D222" s="32">
        <v>1.1147718E7</v>
      </c>
      <c r="E222" s="32">
        <v>2481046.0</v>
      </c>
      <c r="F222" s="32">
        <v>49534.0</v>
      </c>
      <c r="G222" s="32">
        <v>893317.0</v>
      </c>
      <c r="H222" s="32">
        <v>67760.0</v>
      </c>
      <c r="I222" s="32">
        <v>0.0</v>
      </c>
      <c r="J222" s="32">
        <v>2.983028283E9</v>
      </c>
      <c r="K222" s="32">
        <v>5.3065867E7</v>
      </c>
      <c r="L222" s="32">
        <v>3765.0</v>
      </c>
      <c r="M222" s="31" t="s">
        <v>126</v>
      </c>
      <c r="N222" s="32">
        <v>25.0</v>
      </c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1.4404346E8</v>
      </c>
      <c r="B223" s="33" t="s">
        <v>231</v>
      </c>
      <c r="C223" s="34">
        <v>1.7212361E7</v>
      </c>
      <c r="D223" s="34">
        <v>2445760.0</v>
      </c>
      <c r="E223" s="34">
        <v>213678.0</v>
      </c>
      <c r="F223" s="34">
        <v>156164.0</v>
      </c>
      <c r="G223" s="34">
        <v>6083.0</v>
      </c>
      <c r="H223" s="34">
        <v>0.0</v>
      </c>
      <c r="I223" s="34">
        <v>0.0</v>
      </c>
      <c r="J223" s="34">
        <v>2.275850079E9</v>
      </c>
      <c r="K223" s="34">
        <v>0.0</v>
      </c>
      <c r="L223" s="34">
        <v>1369.0</v>
      </c>
      <c r="M223" s="33" t="s">
        <v>165</v>
      </c>
      <c r="N223" s="34">
        <v>24.0</v>
      </c>
      <c r="O223" s="33"/>
      <c r="P223" s="33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1.81616674E8</v>
      </c>
      <c r="B224" s="33" t="s">
        <v>247</v>
      </c>
      <c r="C224" s="34">
        <v>1.7201945E7</v>
      </c>
      <c r="D224" s="34">
        <v>-1.0</v>
      </c>
      <c r="E224" s="34">
        <v>0.0</v>
      </c>
      <c r="F224" s="34">
        <v>0.0</v>
      </c>
      <c r="G224" s="34">
        <v>0.0</v>
      </c>
      <c r="H224" s="34">
        <v>0.0</v>
      </c>
      <c r="I224" s="34">
        <v>0.0</v>
      </c>
      <c r="J224" s="34">
        <v>3.569618611E9</v>
      </c>
      <c r="K224" s="34">
        <v>1.734E9</v>
      </c>
      <c r="L224" s="34">
        <v>1056.0</v>
      </c>
      <c r="M224" s="33" t="s">
        <v>153</v>
      </c>
      <c r="N224" s="34">
        <v>23.0</v>
      </c>
      <c r="O224" s="33"/>
      <c r="P224" s="33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1">
        <v>1.54073945E8</v>
      </c>
      <c r="B225" s="31" t="s">
        <v>381</v>
      </c>
      <c r="C225" s="32">
        <v>1.687574E7</v>
      </c>
      <c r="D225" s="32">
        <v>3284697.0</v>
      </c>
      <c r="E225" s="32">
        <v>4029606.0</v>
      </c>
      <c r="F225" s="32">
        <v>307.0</v>
      </c>
      <c r="G225" s="32">
        <v>299366.0</v>
      </c>
      <c r="H225" s="32">
        <v>14399.0</v>
      </c>
      <c r="I225" s="32">
        <v>0.0</v>
      </c>
      <c r="J225" s="32">
        <v>6.529085335E9</v>
      </c>
      <c r="K225" s="32">
        <v>2.449004947E9</v>
      </c>
      <c r="L225" s="32">
        <v>1589.0</v>
      </c>
      <c r="M225" s="31" t="s">
        <v>430</v>
      </c>
      <c r="N225" s="32">
        <v>25.0</v>
      </c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6.8552994E7</v>
      </c>
      <c r="B226" s="33" t="s">
        <v>246</v>
      </c>
      <c r="C226" s="34">
        <v>1.6866211E7</v>
      </c>
      <c r="D226" s="34">
        <v>1055186.0</v>
      </c>
      <c r="E226" s="34">
        <v>689492.0</v>
      </c>
      <c r="F226" s="34">
        <v>237673.0</v>
      </c>
      <c r="G226" s="34">
        <v>11356.0</v>
      </c>
      <c r="H226" s="34">
        <v>11638.0</v>
      </c>
      <c r="I226" s="34">
        <v>0.0</v>
      </c>
      <c r="J226" s="34">
        <v>8.206793484E9</v>
      </c>
      <c r="K226" s="34">
        <v>5.375385608E9</v>
      </c>
      <c r="L226" s="34">
        <v>4755.0</v>
      </c>
      <c r="M226" s="33" t="s">
        <v>153</v>
      </c>
      <c r="N226" s="34">
        <v>23.0</v>
      </c>
      <c r="O226" s="33"/>
      <c r="P226" s="33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3">
        <v>1.28213955E8</v>
      </c>
      <c r="B227" s="33" t="s">
        <v>253</v>
      </c>
      <c r="C227" s="34">
        <v>1.6857047E7</v>
      </c>
      <c r="D227" s="34">
        <v>75852.0</v>
      </c>
      <c r="E227" s="34">
        <v>0.0</v>
      </c>
      <c r="F227" s="34">
        <v>720.0</v>
      </c>
      <c r="G227" s="34">
        <v>1254.0</v>
      </c>
      <c r="H227" s="34">
        <v>0.0</v>
      </c>
      <c r="I227" s="34">
        <v>0.0</v>
      </c>
      <c r="J227" s="34">
        <v>9.92887371E9</v>
      </c>
      <c r="K227" s="34">
        <v>1.176530727E10</v>
      </c>
      <c r="L227" s="34">
        <v>2491.0</v>
      </c>
      <c r="M227" s="33" t="s">
        <v>94</v>
      </c>
      <c r="N227" s="34">
        <v>24.0</v>
      </c>
      <c r="O227" s="33"/>
      <c r="P227" s="33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1">
        <v>6.7692991E7</v>
      </c>
      <c r="B228" s="31" t="s">
        <v>284</v>
      </c>
      <c r="C228" s="32">
        <v>1.6668279E7</v>
      </c>
      <c r="D228" s="32">
        <v>5.5174357E7</v>
      </c>
      <c r="E228" s="32">
        <v>2761342.0</v>
      </c>
      <c r="F228" s="32">
        <v>254236.0</v>
      </c>
      <c r="G228" s="32">
        <v>2653898.0</v>
      </c>
      <c r="H228" s="32">
        <v>1348191.0</v>
      </c>
      <c r="I228" s="32">
        <v>0.0</v>
      </c>
      <c r="J228" s="32">
        <v>6.388245833E9</v>
      </c>
      <c r="K228" s="32">
        <v>5.997427785E9</v>
      </c>
      <c r="L228" s="32">
        <v>5126.0</v>
      </c>
      <c r="M228" s="31" t="s">
        <v>147</v>
      </c>
      <c r="N228" s="32">
        <v>25.0</v>
      </c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1">
        <v>9.3652844E7</v>
      </c>
      <c r="B229" s="31" t="s">
        <v>467</v>
      </c>
      <c r="C229" s="32">
        <v>1.6556356E7</v>
      </c>
      <c r="D229" s="32">
        <v>155776.0</v>
      </c>
      <c r="E229" s="32">
        <v>1024.0</v>
      </c>
      <c r="F229" s="32">
        <v>9910.0</v>
      </c>
      <c r="G229" s="32">
        <v>3171.0</v>
      </c>
      <c r="H229" s="32">
        <v>4808.0</v>
      </c>
      <c r="I229" s="32">
        <v>0.0</v>
      </c>
      <c r="J229" s="32">
        <v>5.86289976E9</v>
      </c>
      <c r="K229" s="32">
        <v>5.567250887E9</v>
      </c>
      <c r="L229" s="32">
        <v>1990.0</v>
      </c>
      <c r="M229" s="31" t="s">
        <v>147</v>
      </c>
      <c r="N229" s="32">
        <v>25.0</v>
      </c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1">
        <v>3.5412124E7</v>
      </c>
      <c r="B230" s="31" t="s">
        <v>251</v>
      </c>
      <c r="C230" s="32">
        <v>1.6262497E7</v>
      </c>
      <c r="D230" s="32">
        <v>1.0090278E7</v>
      </c>
      <c r="E230" s="32">
        <v>1122929.0</v>
      </c>
      <c r="F230" s="32">
        <v>597662.0</v>
      </c>
      <c r="G230" s="32">
        <v>478561.0</v>
      </c>
      <c r="H230" s="32">
        <v>75045.0</v>
      </c>
      <c r="I230" s="32">
        <v>0.0</v>
      </c>
      <c r="J230" s="32">
        <v>4.16279169E8</v>
      </c>
      <c r="K230" s="32">
        <v>1709320.0</v>
      </c>
      <c r="L230" s="32">
        <v>1143.0</v>
      </c>
      <c r="M230" s="31" t="s">
        <v>165</v>
      </c>
      <c r="N230" s="32">
        <v>25.0</v>
      </c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1.83302822E8</v>
      </c>
      <c r="B231" s="33" t="s">
        <v>280</v>
      </c>
      <c r="C231" s="34">
        <v>1.5833147E7</v>
      </c>
      <c r="D231" s="34">
        <v>877526.0</v>
      </c>
      <c r="E231" s="34">
        <v>1168563.0</v>
      </c>
      <c r="F231" s="34">
        <v>28604.0</v>
      </c>
      <c r="G231" s="34">
        <v>64450.0</v>
      </c>
      <c r="H231" s="34">
        <v>4027.0</v>
      </c>
      <c r="I231" s="34">
        <v>0.0</v>
      </c>
      <c r="J231" s="34">
        <v>4.388601263E9</v>
      </c>
      <c r="K231" s="34">
        <v>3.570526469E9</v>
      </c>
      <c r="L231" s="34">
        <v>1405.0</v>
      </c>
      <c r="M231" s="33" t="s">
        <v>94</v>
      </c>
      <c r="N231" s="34">
        <v>24.0</v>
      </c>
      <c r="O231" s="33"/>
      <c r="P231" s="33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3">
        <v>1.67715529E8</v>
      </c>
      <c r="B232" s="33" t="s">
        <v>257</v>
      </c>
      <c r="C232" s="34">
        <v>1.5703747E7</v>
      </c>
      <c r="D232" s="34">
        <v>45360.0</v>
      </c>
      <c r="E232" s="34">
        <v>0.0</v>
      </c>
      <c r="F232" s="34">
        <v>0.0</v>
      </c>
      <c r="G232" s="34">
        <v>1832.0</v>
      </c>
      <c r="H232" s="34">
        <v>1352.0</v>
      </c>
      <c r="I232" s="34">
        <v>0.0</v>
      </c>
      <c r="J232" s="34">
        <v>8.485338541E9</v>
      </c>
      <c r="K232" s="34">
        <v>6.044415749E9</v>
      </c>
      <c r="L232" s="34">
        <v>1794.0</v>
      </c>
      <c r="M232" s="33" t="s">
        <v>153</v>
      </c>
      <c r="N232" s="34">
        <v>24.0</v>
      </c>
      <c r="O232" s="33"/>
      <c r="P232" s="33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1">
        <v>1.80504744E8</v>
      </c>
      <c r="B233" s="31" t="s">
        <v>384</v>
      </c>
      <c r="C233" s="32">
        <v>1.5614238E7</v>
      </c>
      <c r="D233" s="32">
        <v>63296.0</v>
      </c>
      <c r="E233" s="32">
        <v>183910.0</v>
      </c>
      <c r="F233" s="32">
        <v>1162.0</v>
      </c>
      <c r="G233" s="32">
        <v>3864.0</v>
      </c>
      <c r="H233" s="32">
        <v>951.0</v>
      </c>
      <c r="I233" s="32">
        <v>0.0</v>
      </c>
      <c r="J233" s="32">
        <v>2.094964714E9</v>
      </c>
      <c r="K233" s="32">
        <v>6.82759846E8</v>
      </c>
      <c r="L233" s="32">
        <v>865.0</v>
      </c>
      <c r="M233" s="31" t="s">
        <v>165</v>
      </c>
      <c r="N233" s="32">
        <v>25.0</v>
      </c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1.43620977E8</v>
      </c>
      <c r="B234" s="31" t="s">
        <v>431</v>
      </c>
      <c r="C234" s="32">
        <v>1.5566517E7</v>
      </c>
      <c r="D234" s="32">
        <v>5.200476E7</v>
      </c>
      <c r="E234" s="32">
        <v>332874.0</v>
      </c>
      <c r="F234" s="32">
        <v>1691450.0</v>
      </c>
      <c r="G234" s="32">
        <v>3683186.0</v>
      </c>
      <c r="H234" s="32">
        <v>34407.0</v>
      </c>
      <c r="I234" s="32">
        <v>0.0</v>
      </c>
      <c r="J234" s="32">
        <v>1.713992871E9</v>
      </c>
      <c r="K234" s="32">
        <v>1.0987594E7</v>
      </c>
      <c r="L234" s="32">
        <v>6036.0</v>
      </c>
      <c r="M234" s="31" t="s">
        <v>66</v>
      </c>
      <c r="N234" s="32">
        <v>25.0</v>
      </c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1">
        <v>1.75281453E8</v>
      </c>
      <c r="B235" s="31" t="s">
        <v>262</v>
      </c>
      <c r="C235" s="32">
        <v>1.5545882E7</v>
      </c>
      <c r="D235" s="32">
        <v>1.200256E7</v>
      </c>
      <c r="E235" s="32">
        <v>1043466.0</v>
      </c>
      <c r="F235" s="32">
        <v>633100.0</v>
      </c>
      <c r="G235" s="32">
        <v>323471.0</v>
      </c>
      <c r="H235" s="32">
        <v>246075.0</v>
      </c>
      <c r="I235" s="32">
        <v>0.0</v>
      </c>
      <c r="J235" s="32">
        <v>3.985052945E9</v>
      </c>
      <c r="K235" s="32">
        <v>3.141644157E9</v>
      </c>
      <c r="L235" s="32">
        <v>12692.0</v>
      </c>
      <c r="M235" s="31" t="s">
        <v>153</v>
      </c>
      <c r="N235" s="32">
        <v>25.0</v>
      </c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1.96555794E8</v>
      </c>
      <c r="B236" s="33" t="s">
        <v>261</v>
      </c>
      <c r="C236" s="34">
        <v>1.5383904E7</v>
      </c>
      <c r="D236" s="34">
        <v>112502.0</v>
      </c>
      <c r="E236" s="34">
        <v>0.0</v>
      </c>
      <c r="F236" s="34">
        <v>105330.0</v>
      </c>
      <c r="G236" s="34">
        <v>401.0</v>
      </c>
      <c r="H236" s="34">
        <v>158.0</v>
      </c>
      <c r="I236" s="34">
        <v>0.0</v>
      </c>
      <c r="J236" s="34">
        <v>4.526482554E9</v>
      </c>
      <c r="K236" s="34">
        <v>2.2616587E9</v>
      </c>
      <c r="L236" s="34">
        <v>2670.0</v>
      </c>
      <c r="M236" s="33" t="s">
        <v>94</v>
      </c>
      <c r="N236" s="34">
        <v>23.0</v>
      </c>
      <c r="O236" s="33"/>
      <c r="P236" s="33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1.59431767E8</v>
      </c>
      <c r="B237" s="33" t="s">
        <v>258</v>
      </c>
      <c r="C237" s="34">
        <v>1.5265528E7</v>
      </c>
      <c r="D237" s="34">
        <v>-1.0</v>
      </c>
      <c r="E237" s="34">
        <v>0.0</v>
      </c>
      <c r="F237" s="34">
        <v>0.0</v>
      </c>
      <c r="G237" s="34">
        <v>0.0</v>
      </c>
      <c r="H237" s="34">
        <v>0.0</v>
      </c>
      <c r="I237" s="34">
        <v>0.0</v>
      </c>
      <c r="J237" s="34">
        <v>3.801037257E9</v>
      </c>
      <c r="K237" s="34">
        <v>2.92994722E9</v>
      </c>
      <c r="L237" s="34">
        <v>915.0</v>
      </c>
      <c r="M237" s="33" t="s">
        <v>153</v>
      </c>
      <c r="N237" s="34">
        <v>24.0</v>
      </c>
      <c r="O237" s="33"/>
      <c r="P237" s="33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1.50861707E8</v>
      </c>
      <c r="B238" s="31" t="s">
        <v>383</v>
      </c>
      <c r="C238" s="32">
        <v>1.4996971E7</v>
      </c>
      <c r="D238" s="32">
        <v>101747.0</v>
      </c>
      <c r="E238" s="32">
        <v>235680.0</v>
      </c>
      <c r="F238" s="32">
        <v>25.0</v>
      </c>
      <c r="G238" s="32">
        <v>2763.0</v>
      </c>
      <c r="H238" s="32">
        <v>1167.0</v>
      </c>
      <c r="I238" s="32">
        <v>0.0</v>
      </c>
      <c r="J238" s="32">
        <v>2.094238973E9</v>
      </c>
      <c r="K238" s="32">
        <v>4.72626537E8</v>
      </c>
      <c r="L238" s="32">
        <v>1228.0</v>
      </c>
      <c r="M238" s="31" t="s">
        <v>165</v>
      </c>
      <c r="N238" s="32">
        <v>25.0</v>
      </c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1.17526833E8</v>
      </c>
      <c r="B239" s="31" t="s">
        <v>468</v>
      </c>
      <c r="C239" s="32">
        <v>1.4975074E7</v>
      </c>
      <c r="D239" s="32">
        <v>1338678.0</v>
      </c>
      <c r="E239" s="32">
        <v>1092659.0</v>
      </c>
      <c r="F239" s="32">
        <v>22923.0</v>
      </c>
      <c r="G239" s="32">
        <v>42600.0</v>
      </c>
      <c r="H239" s="32">
        <v>34607.0</v>
      </c>
      <c r="I239" s="32">
        <v>0.0</v>
      </c>
      <c r="J239" s="32">
        <v>2.116926648E9</v>
      </c>
      <c r="K239" s="32">
        <v>4219586.0</v>
      </c>
      <c r="L239" s="32">
        <v>2140.0</v>
      </c>
      <c r="M239" s="31" t="s">
        <v>469</v>
      </c>
      <c r="N239" s="32">
        <v>25.0</v>
      </c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1.67721298E8</v>
      </c>
      <c r="B240" s="33" t="s">
        <v>266</v>
      </c>
      <c r="C240" s="34">
        <v>1.4952601E7</v>
      </c>
      <c r="D240" s="34">
        <v>8969284.0</v>
      </c>
      <c r="E240" s="34">
        <v>1497386.0</v>
      </c>
      <c r="F240" s="34">
        <v>45213.0</v>
      </c>
      <c r="G240" s="34">
        <v>642441.0</v>
      </c>
      <c r="H240" s="34">
        <v>114691.0</v>
      </c>
      <c r="I240" s="34">
        <v>0.0</v>
      </c>
      <c r="J240" s="34">
        <v>1.2712708082E10</v>
      </c>
      <c r="K240" s="34">
        <v>9.827811063E9</v>
      </c>
      <c r="L240" s="34">
        <v>2254.0</v>
      </c>
      <c r="M240" s="33" t="s">
        <v>94</v>
      </c>
      <c r="N240" s="34">
        <v>24.0</v>
      </c>
      <c r="O240" s="33"/>
      <c r="P240" s="33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1.44078795E8</v>
      </c>
      <c r="B241" s="33" t="s">
        <v>263</v>
      </c>
      <c r="C241" s="34">
        <v>1.4866516E7</v>
      </c>
      <c r="D241" s="34">
        <v>508139.0</v>
      </c>
      <c r="E241" s="34">
        <v>622978.0</v>
      </c>
      <c r="F241" s="34">
        <v>1515.0</v>
      </c>
      <c r="G241" s="34">
        <v>40282.0</v>
      </c>
      <c r="H241" s="34">
        <v>5056.0</v>
      </c>
      <c r="I241" s="34">
        <v>0.0</v>
      </c>
      <c r="J241" s="34">
        <v>1.4618175E7</v>
      </c>
      <c r="K241" s="34">
        <v>3904993.0</v>
      </c>
      <c r="L241" s="34">
        <v>1673.0</v>
      </c>
      <c r="M241" s="33" t="s">
        <v>264</v>
      </c>
      <c r="N241" s="34">
        <v>22.0</v>
      </c>
      <c r="O241" s="33"/>
      <c r="P241" s="33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1.92309473E8</v>
      </c>
      <c r="B242" s="33" t="s">
        <v>270</v>
      </c>
      <c r="C242" s="34">
        <v>1.4780327E7</v>
      </c>
      <c r="D242" s="34">
        <v>-1.0</v>
      </c>
      <c r="E242" s="34">
        <v>0.0</v>
      </c>
      <c r="F242" s="34">
        <v>0.0</v>
      </c>
      <c r="G242" s="34">
        <v>0.0</v>
      </c>
      <c r="H242" s="34">
        <v>0.0</v>
      </c>
      <c r="I242" s="34">
        <v>0.0</v>
      </c>
      <c r="J242" s="34">
        <v>5.770035281E9</v>
      </c>
      <c r="K242" s="34">
        <v>2.406281775E9</v>
      </c>
      <c r="L242" s="34">
        <v>1279.0</v>
      </c>
      <c r="M242" s="33" t="s">
        <v>153</v>
      </c>
      <c r="N242" s="34">
        <v>24.0</v>
      </c>
      <c r="O242" s="33"/>
      <c r="P242" s="33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1.31105326E8</v>
      </c>
      <c r="B243" s="33" t="s">
        <v>271</v>
      </c>
      <c r="C243" s="34">
        <v>1.476536E7</v>
      </c>
      <c r="D243" s="34">
        <v>52342.0</v>
      </c>
      <c r="E243" s="34">
        <v>0.0</v>
      </c>
      <c r="F243" s="34">
        <v>8582.0</v>
      </c>
      <c r="G243" s="34">
        <v>3649.0</v>
      </c>
      <c r="H243" s="34">
        <v>0.0</v>
      </c>
      <c r="I243" s="34">
        <v>0.0</v>
      </c>
      <c r="J243" s="34">
        <v>7.843975104E9</v>
      </c>
      <c r="K243" s="34">
        <v>9.315666456E9</v>
      </c>
      <c r="L243" s="34">
        <v>1629.0</v>
      </c>
      <c r="M243" s="33" t="s">
        <v>94</v>
      </c>
      <c r="N243" s="34">
        <v>24.0</v>
      </c>
      <c r="O243" s="33"/>
      <c r="P243" s="33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1.44056117E8</v>
      </c>
      <c r="B244" s="33" t="s">
        <v>269</v>
      </c>
      <c r="C244" s="34">
        <v>1.4728011E7</v>
      </c>
      <c r="D244" s="34">
        <v>3285581.0</v>
      </c>
      <c r="E244" s="34">
        <v>1090347.0</v>
      </c>
      <c r="F244" s="34">
        <v>90017.0</v>
      </c>
      <c r="G244" s="34">
        <v>134161.0</v>
      </c>
      <c r="H244" s="34">
        <v>41198.0</v>
      </c>
      <c r="I244" s="34">
        <v>0.0</v>
      </c>
      <c r="J244" s="34">
        <v>2.618983945E9</v>
      </c>
      <c r="K244" s="34">
        <v>1030848.0</v>
      </c>
      <c r="L244" s="34">
        <v>860.0</v>
      </c>
      <c r="M244" s="33" t="s">
        <v>66</v>
      </c>
      <c r="N244" s="34">
        <v>23.0</v>
      </c>
      <c r="O244" s="33"/>
      <c r="P244" s="33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3">
        <v>1.92376835E8</v>
      </c>
      <c r="B245" s="33" t="s">
        <v>272</v>
      </c>
      <c r="C245" s="34">
        <v>1.4702941E7</v>
      </c>
      <c r="D245" s="34">
        <v>-1.0</v>
      </c>
      <c r="E245" s="34">
        <v>0.0</v>
      </c>
      <c r="F245" s="34">
        <v>0.0</v>
      </c>
      <c r="G245" s="34">
        <v>0.0</v>
      </c>
      <c r="H245" s="34">
        <v>0.0</v>
      </c>
      <c r="I245" s="34">
        <v>0.0</v>
      </c>
      <c r="J245" s="34">
        <v>5.555890587E9</v>
      </c>
      <c r="K245" s="34">
        <v>2.225148957E9</v>
      </c>
      <c r="L245" s="34">
        <v>1297.0</v>
      </c>
      <c r="M245" s="33" t="s">
        <v>153</v>
      </c>
      <c r="N245" s="34">
        <v>24.0</v>
      </c>
      <c r="O245" s="33"/>
      <c r="P245" s="33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1">
        <v>6.0296031E7</v>
      </c>
      <c r="B246" s="31" t="s">
        <v>259</v>
      </c>
      <c r="C246" s="32">
        <v>1.4357358E7</v>
      </c>
      <c r="D246" s="32">
        <v>1625285.0</v>
      </c>
      <c r="E246" s="32">
        <v>620082.0</v>
      </c>
      <c r="F246" s="32">
        <v>235309.0</v>
      </c>
      <c r="G246" s="32">
        <v>66549.0</v>
      </c>
      <c r="H246" s="32">
        <v>10739.0</v>
      </c>
      <c r="I246" s="32">
        <v>0.0</v>
      </c>
      <c r="J246" s="32">
        <v>1.48746999E8</v>
      </c>
      <c r="K246" s="32">
        <v>1.8999572E7</v>
      </c>
      <c r="L246" s="32">
        <v>1540.0</v>
      </c>
      <c r="M246" s="31" t="s">
        <v>411</v>
      </c>
      <c r="N246" s="32">
        <v>23.0</v>
      </c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1.77632834E8</v>
      </c>
      <c r="B247" s="33" t="s">
        <v>268</v>
      </c>
      <c r="C247" s="34">
        <v>1.4334425E7</v>
      </c>
      <c r="D247" s="34">
        <v>1711538.0</v>
      </c>
      <c r="E247" s="34">
        <v>980481.0</v>
      </c>
      <c r="F247" s="34">
        <v>1912.0</v>
      </c>
      <c r="G247" s="34">
        <v>19146.0</v>
      </c>
      <c r="H247" s="34">
        <v>75090.0</v>
      </c>
      <c r="I247" s="34">
        <v>0.0</v>
      </c>
      <c r="J247" s="34">
        <v>1.834523919E9</v>
      </c>
      <c r="K247" s="34">
        <v>6.37001512E8</v>
      </c>
      <c r="L247" s="34">
        <v>1172.0</v>
      </c>
      <c r="M247" s="33" t="s">
        <v>147</v>
      </c>
      <c r="N247" s="34">
        <v>24.0</v>
      </c>
      <c r="O247" s="33"/>
      <c r="P247" s="33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9.0073079E7</v>
      </c>
      <c r="B248" s="33" t="s">
        <v>275</v>
      </c>
      <c r="C248" s="34">
        <v>1.4259597E7</v>
      </c>
      <c r="D248" s="34">
        <v>442264.0</v>
      </c>
      <c r="E248" s="34">
        <v>12587.0</v>
      </c>
      <c r="F248" s="34">
        <v>95320.0</v>
      </c>
      <c r="G248" s="34">
        <v>8707.0</v>
      </c>
      <c r="H248" s="34">
        <v>0.0</v>
      </c>
      <c r="I248" s="34">
        <v>0.0</v>
      </c>
      <c r="J248" s="34">
        <v>1.2086228325E10</v>
      </c>
      <c r="K248" s="34">
        <v>1.4086436204E10</v>
      </c>
      <c r="L248" s="34">
        <v>5191.0</v>
      </c>
      <c r="M248" s="33" t="s">
        <v>94</v>
      </c>
      <c r="N248" s="34">
        <v>22.0</v>
      </c>
      <c r="O248" s="33"/>
      <c r="P248" s="33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1.76614955E8</v>
      </c>
      <c r="B249" s="33" t="s">
        <v>274</v>
      </c>
      <c r="C249" s="34">
        <v>1.412468E7</v>
      </c>
      <c r="D249" s="34">
        <v>2911595.0</v>
      </c>
      <c r="E249" s="34">
        <v>178776.0</v>
      </c>
      <c r="F249" s="34">
        <v>206889.0</v>
      </c>
      <c r="G249" s="34">
        <v>246985.0</v>
      </c>
      <c r="H249" s="34">
        <v>1.0</v>
      </c>
      <c r="I249" s="34">
        <v>0.0</v>
      </c>
      <c r="J249" s="34">
        <v>1.0283460767E10</v>
      </c>
      <c r="K249" s="34">
        <v>9.643822428E9</v>
      </c>
      <c r="L249" s="34">
        <v>4978.0</v>
      </c>
      <c r="M249" s="33" t="s">
        <v>153</v>
      </c>
      <c r="N249" s="34">
        <v>24.0</v>
      </c>
      <c r="O249" s="33"/>
      <c r="P249" s="33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1.68857269E8</v>
      </c>
      <c r="B250" s="33" t="s">
        <v>273</v>
      </c>
      <c r="C250" s="34">
        <v>1.4089986E7</v>
      </c>
      <c r="D250" s="34">
        <v>6789291.0</v>
      </c>
      <c r="E250" s="34">
        <v>1357929.0</v>
      </c>
      <c r="F250" s="34">
        <v>39286.0</v>
      </c>
      <c r="G250" s="34">
        <v>609241.0</v>
      </c>
      <c r="H250" s="34">
        <v>31548.0</v>
      </c>
      <c r="I250" s="34">
        <v>0.0</v>
      </c>
      <c r="J250" s="34">
        <v>4.006456684E9</v>
      </c>
      <c r="K250" s="34">
        <v>1.10214296E9</v>
      </c>
      <c r="L250" s="34">
        <v>1629.0</v>
      </c>
      <c r="M250" s="33" t="s">
        <v>153</v>
      </c>
      <c r="N250" s="34">
        <v>24.0</v>
      </c>
      <c r="O250" s="33"/>
      <c r="P250" s="33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1.48245743E8</v>
      </c>
      <c r="B251" s="33" t="s">
        <v>484</v>
      </c>
      <c r="C251" s="34">
        <v>1.4072085E7</v>
      </c>
      <c r="D251" s="34">
        <v>2804575.0</v>
      </c>
      <c r="E251" s="34">
        <v>718507.0</v>
      </c>
      <c r="F251" s="34">
        <v>18986.0</v>
      </c>
      <c r="G251" s="34">
        <v>94334.0</v>
      </c>
      <c r="H251" s="34">
        <v>85451.0</v>
      </c>
      <c r="I251" s="34">
        <v>0.0</v>
      </c>
      <c r="J251" s="34">
        <v>1.169599659E9</v>
      </c>
      <c r="K251" s="34">
        <v>0.0</v>
      </c>
      <c r="L251" s="34">
        <v>439.0</v>
      </c>
      <c r="M251" s="33" t="s">
        <v>66</v>
      </c>
      <c r="N251" s="34">
        <v>24.0</v>
      </c>
      <c r="O251" s="33"/>
      <c r="P251" s="33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8.7312053E7</v>
      </c>
      <c r="B252" s="33" t="s">
        <v>279</v>
      </c>
      <c r="C252" s="34">
        <v>1.401541E7</v>
      </c>
      <c r="D252" s="34">
        <v>1422545.0</v>
      </c>
      <c r="E252" s="34">
        <v>137846.0</v>
      </c>
      <c r="F252" s="34">
        <v>205069.0</v>
      </c>
      <c r="G252" s="34">
        <v>11703.0</v>
      </c>
      <c r="H252" s="34">
        <v>0.0</v>
      </c>
      <c r="I252" s="34">
        <v>0.0</v>
      </c>
      <c r="J252" s="34">
        <v>1.1653417679E10</v>
      </c>
      <c r="K252" s="34">
        <v>1.2757029695E10</v>
      </c>
      <c r="L252" s="34">
        <v>6514.0</v>
      </c>
      <c r="M252" s="33" t="s">
        <v>94</v>
      </c>
      <c r="N252" s="34">
        <v>22.0</v>
      </c>
      <c r="O252" s="33"/>
      <c r="P252" s="33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1">
        <v>1.68821399E8</v>
      </c>
      <c r="B253" s="31" t="s">
        <v>385</v>
      </c>
      <c r="C253" s="32">
        <v>1.3627762E7</v>
      </c>
      <c r="D253" s="32">
        <v>3357118.0</v>
      </c>
      <c r="E253" s="32">
        <v>1916784.0</v>
      </c>
      <c r="F253" s="32">
        <v>328231.0</v>
      </c>
      <c r="G253" s="32">
        <v>286104.0</v>
      </c>
      <c r="H253" s="32">
        <v>14726.0</v>
      </c>
      <c r="I253" s="32">
        <v>0.0</v>
      </c>
      <c r="J253" s="32">
        <v>8.222301729E9</v>
      </c>
      <c r="K253" s="32">
        <v>5.038681193E9</v>
      </c>
      <c r="L253" s="32">
        <v>1812.0</v>
      </c>
      <c r="M253" s="31" t="s">
        <v>430</v>
      </c>
      <c r="N253" s="32">
        <v>25.0</v>
      </c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8.9432154E7</v>
      </c>
      <c r="B254" s="33" t="s">
        <v>285</v>
      </c>
      <c r="C254" s="34">
        <v>1.3551487E7</v>
      </c>
      <c r="D254" s="34">
        <v>2306854.0</v>
      </c>
      <c r="E254" s="34">
        <v>552580.0</v>
      </c>
      <c r="F254" s="34">
        <v>11044.0</v>
      </c>
      <c r="G254" s="34">
        <v>192874.0</v>
      </c>
      <c r="H254" s="34">
        <v>0.0</v>
      </c>
      <c r="I254" s="34">
        <v>0.0</v>
      </c>
      <c r="J254" s="34">
        <v>1.2013406809E10</v>
      </c>
      <c r="K254" s="34">
        <v>1.3664419277E10</v>
      </c>
      <c r="L254" s="34">
        <v>4616.0</v>
      </c>
      <c r="M254" s="33" t="s">
        <v>94</v>
      </c>
      <c r="N254" s="34">
        <v>22.0</v>
      </c>
      <c r="O254" s="33"/>
      <c r="P254" s="33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3">
        <v>1.5265234E8</v>
      </c>
      <c r="B255" s="33" t="s">
        <v>286</v>
      </c>
      <c r="C255" s="34">
        <v>1.3539995E7</v>
      </c>
      <c r="D255" s="34">
        <v>3280939.0</v>
      </c>
      <c r="E255" s="34">
        <v>2379037.0</v>
      </c>
      <c r="F255" s="34">
        <v>18066.0</v>
      </c>
      <c r="G255" s="34">
        <v>179178.0</v>
      </c>
      <c r="H255" s="34">
        <v>53452.0</v>
      </c>
      <c r="I255" s="34">
        <v>0.0</v>
      </c>
      <c r="J255" s="34">
        <v>7.946533541E9</v>
      </c>
      <c r="K255" s="34">
        <v>5.89559026E9</v>
      </c>
      <c r="L255" s="34">
        <v>1593.0</v>
      </c>
      <c r="M255" s="33" t="s">
        <v>94</v>
      </c>
      <c r="N255" s="34">
        <v>24.0</v>
      </c>
      <c r="O255" s="33"/>
      <c r="P255" s="33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8.7754003E7</v>
      </c>
      <c r="B256" s="33" t="s">
        <v>470</v>
      </c>
      <c r="C256" s="34">
        <v>1.3347453E7</v>
      </c>
      <c r="D256" s="34">
        <v>478058.0</v>
      </c>
      <c r="E256" s="34">
        <v>11855.0</v>
      </c>
      <c r="F256" s="34">
        <v>98714.0</v>
      </c>
      <c r="G256" s="34">
        <v>9348.0</v>
      </c>
      <c r="H256" s="34">
        <v>0.0</v>
      </c>
      <c r="I256" s="34">
        <v>0.0</v>
      </c>
      <c r="J256" s="34">
        <v>8.512793433E9</v>
      </c>
      <c r="K256" s="34">
        <v>9.381113498E9</v>
      </c>
      <c r="L256" s="34">
        <v>5137.0</v>
      </c>
      <c r="M256" s="33" t="s">
        <v>94</v>
      </c>
      <c r="N256" s="34">
        <v>22.0</v>
      </c>
      <c r="O256" s="33"/>
      <c r="P256" s="33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1">
        <v>1.69610538E8</v>
      </c>
      <c r="B257" s="31" t="s">
        <v>432</v>
      </c>
      <c r="C257" s="32">
        <v>1.3265376E7</v>
      </c>
      <c r="D257" s="32">
        <v>492926.0</v>
      </c>
      <c r="E257" s="32">
        <v>1569585.0</v>
      </c>
      <c r="F257" s="32">
        <v>3.0</v>
      </c>
      <c r="G257" s="32">
        <v>4092.0</v>
      </c>
      <c r="H257" s="32">
        <v>21064.0</v>
      </c>
      <c r="I257" s="32">
        <v>0.0</v>
      </c>
      <c r="J257" s="32">
        <v>9.111540523E9</v>
      </c>
      <c r="K257" s="32">
        <v>6.097343244E9</v>
      </c>
      <c r="L257" s="32">
        <v>1535.0</v>
      </c>
      <c r="M257" s="31" t="s">
        <v>430</v>
      </c>
      <c r="N257" s="32">
        <v>25.0</v>
      </c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1.52653457E8</v>
      </c>
      <c r="B258" s="33" t="s">
        <v>287</v>
      </c>
      <c r="C258" s="34">
        <v>1.3238336E7</v>
      </c>
      <c r="D258" s="34">
        <v>3195669.0</v>
      </c>
      <c r="E258" s="34">
        <v>2692068.0</v>
      </c>
      <c r="F258" s="34">
        <v>37019.0</v>
      </c>
      <c r="G258" s="34">
        <v>144359.0</v>
      </c>
      <c r="H258" s="34">
        <v>72708.0</v>
      </c>
      <c r="I258" s="34">
        <v>0.0</v>
      </c>
      <c r="J258" s="34">
        <v>7.936849863E9</v>
      </c>
      <c r="K258" s="34">
        <v>5.854807495E9</v>
      </c>
      <c r="L258" s="34">
        <v>1516.0</v>
      </c>
      <c r="M258" s="33" t="s">
        <v>94</v>
      </c>
      <c r="N258" s="34">
        <v>24.0</v>
      </c>
      <c r="O258" s="33"/>
      <c r="P258" s="33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1.17727896E8</v>
      </c>
      <c r="B259" s="31" t="s">
        <v>471</v>
      </c>
      <c r="C259" s="32">
        <v>1.3212902E7</v>
      </c>
      <c r="D259" s="32">
        <v>2791550.0</v>
      </c>
      <c r="E259" s="32">
        <v>297479.0</v>
      </c>
      <c r="F259" s="32">
        <v>274170.0</v>
      </c>
      <c r="G259" s="32">
        <v>135503.0</v>
      </c>
      <c r="H259" s="32">
        <v>12457.0</v>
      </c>
      <c r="I259" s="32">
        <v>0.0</v>
      </c>
      <c r="J259" s="32">
        <v>1.446722982E9</v>
      </c>
      <c r="K259" s="32">
        <v>6149517.0</v>
      </c>
      <c r="L259" s="32">
        <v>4436.0</v>
      </c>
      <c r="M259" s="31" t="s">
        <v>119</v>
      </c>
      <c r="N259" s="32">
        <v>25.0</v>
      </c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8.7531547E7</v>
      </c>
      <c r="B260" s="33" t="s">
        <v>288</v>
      </c>
      <c r="C260" s="34">
        <v>1.3186886E7</v>
      </c>
      <c r="D260" s="34">
        <v>1588813.0</v>
      </c>
      <c r="E260" s="34">
        <v>692135.0</v>
      </c>
      <c r="F260" s="34">
        <v>309639.0</v>
      </c>
      <c r="G260" s="34">
        <v>82124.0</v>
      </c>
      <c r="H260" s="34">
        <v>962.0</v>
      </c>
      <c r="I260" s="34">
        <v>0.0</v>
      </c>
      <c r="J260" s="34">
        <v>1.089842294E10</v>
      </c>
      <c r="K260" s="34">
        <v>1.1824939469E10</v>
      </c>
      <c r="L260" s="34">
        <v>4053.0</v>
      </c>
      <c r="M260" s="33" t="s">
        <v>94</v>
      </c>
      <c r="N260" s="34">
        <v>22.0</v>
      </c>
      <c r="O260" s="33"/>
      <c r="P260" s="33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1">
        <v>1.79651678E8</v>
      </c>
      <c r="B261" s="31" t="s">
        <v>283</v>
      </c>
      <c r="C261" s="32">
        <v>1.3182433E7</v>
      </c>
      <c r="D261" s="32">
        <v>9596330.0</v>
      </c>
      <c r="E261" s="32">
        <v>1786794.0</v>
      </c>
      <c r="F261" s="32">
        <v>593624.0</v>
      </c>
      <c r="G261" s="32">
        <v>647464.0</v>
      </c>
      <c r="H261" s="32">
        <v>145591.0</v>
      </c>
      <c r="I261" s="32">
        <v>0.0</v>
      </c>
      <c r="J261" s="32">
        <v>5.2778217E9</v>
      </c>
      <c r="K261" s="32">
        <v>3.447058363E9</v>
      </c>
      <c r="L261" s="32">
        <v>2178.0</v>
      </c>
      <c r="M261" s="31" t="s">
        <v>147</v>
      </c>
      <c r="N261" s="32">
        <v>25.0</v>
      </c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1.21407372E8</v>
      </c>
      <c r="B262" s="33" t="s">
        <v>433</v>
      </c>
      <c r="C262" s="34">
        <v>1.3151937E7</v>
      </c>
      <c r="D262" s="34">
        <v>212428.0</v>
      </c>
      <c r="E262" s="34">
        <v>59062.0</v>
      </c>
      <c r="F262" s="34">
        <v>10974.0</v>
      </c>
      <c r="G262" s="34">
        <v>8297.0</v>
      </c>
      <c r="H262" s="34">
        <v>0.0</v>
      </c>
      <c r="I262" s="34">
        <v>0.0</v>
      </c>
      <c r="J262" s="34">
        <v>1.439251517E9</v>
      </c>
      <c r="K262" s="34">
        <v>0.0</v>
      </c>
      <c r="L262" s="34">
        <v>683.0</v>
      </c>
      <c r="M262" s="33" t="s">
        <v>119</v>
      </c>
      <c r="N262" s="34">
        <v>24.0</v>
      </c>
      <c r="O262" s="33"/>
      <c r="P262" s="33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4.7157775E7</v>
      </c>
      <c r="B263" s="33" t="s">
        <v>276</v>
      </c>
      <c r="C263" s="34">
        <v>1.3151403E7</v>
      </c>
      <c r="D263" s="34">
        <v>469490.0</v>
      </c>
      <c r="E263" s="34">
        <v>719004.0</v>
      </c>
      <c r="F263" s="34">
        <v>1153.0</v>
      </c>
      <c r="G263" s="34">
        <v>7698.0</v>
      </c>
      <c r="H263" s="34">
        <v>10645.0</v>
      </c>
      <c r="I263" s="34">
        <v>0.0</v>
      </c>
      <c r="J263" s="34">
        <v>2.2882146227E10</v>
      </c>
      <c r="K263" s="34">
        <v>2.2769300142E10</v>
      </c>
      <c r="L263" s="34">
        <v>2919.0</v>
      </c>
      <c r="M263" s="33" t="s">
        <v>153</v>
      </c>
      <c r="N263" s="34">
        <v>24.0</v>
      </c>
      <c r="O263" s="33"/>
      <c r="P263" s="33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1.05646511E8</v>
      </c>
      <c r="B264" s="33" t="s">
        <v>485</v>
      </c>
      <c r="C264" s="34">
        <v>1.3082925E7</v>
      </c>
      <c r="D264" s="34">
        <v>2403005.0</v>
      </c>
      <c r="E264" s="34">
        <v>504461.0</v>
      </c>
      <c r="F264" s="34">
        <v>132176.0</v>
      </c>
      <c r="G264" s="34">
        <v>67351.0</v>
      </c>
      <c r="H264" s="34">
        <v>7671.0</v>
      </c>
      <c r="I264" s="34">
        <v>0.0</v>
      </c>
      <c r="J264" s="34">
        <v>1.224362147E9</v>
      </c>
      <c r="K264" s="34">
        <v>2.3589896E7</v>
      </c>
      <c r="L264" s="34">
        <v>3387.0</v>
      </c>
      <c r="M264" s="33" t="s">
        <v>66</v>
      </c>
      <c r="N264" s="34">
        <v>23.0</v>
      </c>
      <c r="O264" s="33"/>
      <c r="P264" s="33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3">
        <v>1.51248241E8</v>
      </c>
      <c r="B265" s="33" t="s">
        <v>290</v>
      </c>
      <c r="C265" s="34">
        <v>1.3038426E7</v>
      </c>
      <c r="D265" s="34">
        <v>1371541.0</v>
      </c>
      <c r="E265" s="34">
        <v>94486.0</v>
      </c>
      <c r="F265" s="34">
        <v>6395.0</v>
      </c>
      <c r="G265" s="34">
        <v>126790.0</v>
      </c>
      <c r="H265" s="34">
        <v>0.0</v>
      </c>
      <c r="I265" s="34">
        <v>0.0</v>
      </c>
      <c r="J265" s="34">
        <v>2.748506265E9</v>
      </c>
      <c r="K265" s="34">
        <v>7.26817496E8</v>
      </c>
      <c r="L265" s="34">
        <v>5905.0</v>
      </c>
      <c r="M265" s="33" t="s">
        <v>94</v>
      </c>
      <c r="N265" s="34">
        <v>24.0</v>
      </c>
      <c r="O265" s="33"/>
      <c r="P265" s="33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3">
        <v>2.4777206E7</v>
      </c>
      <c r="B266" s="33" t="s">
        <v>289</v>
      </c>
      <c r="C266" s="34">
        <v>1.2958324E7</v>
      </c>
      <c r="D266" s="34">
        <v>3178989.0</v>
      </c>
      <c r="E266" s="34">
        <v>1435029.0</v>
      </c>
      <c r="F266" s="34">
        <v>23338.0</v>
      </c>
      <c r="G266" s="34">
        <v>52691.0</v>
      </c>
      <c r="H266" s="34">
        <v>90243.0</v>
      </c>
      <c r="I266" s="34">
        <v>0.0</v>
      </c>
      <c r="J266" s="34">
        <v>4.004185147E9</v>
      </c>
      <c r="K266" s="34">
        <v>6.196163634E9</v>
      </c>
      <c r="L266" s="34">
        <v>2572.0</v>
      </c>
      <c r="M266" s="33" t="s">
        <v>153</v>
      </c>
      <c r="N266" s="34">
        <v>23.0</v>
      </c>
      <c r="O266" s="33"/>
      <c r="P266" s="33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1.44075646E8</v>
      </c>
      <c r="B267" s="33" t="s">
        <v>277</v>
      </c>
      <c r="C267" s="34">
        <v>1.2903976E7</v>
      </c>
      <c r="D267" s="34">
        <v>7432.0</v>
      </c>
      <c r="E267" s="34">
        <v>0.0</v>
      </c>
      <c r="F267" s="34">
        <v>1501.0</v>
      </c>
      <c r="G267" s="34">
        <v>379.0</v>
      </c>
      <c r="H267" s="34">
        <v>0.0</v>
      </c>
      <c r="I267" s="34">
        <v>0.0</v>
      </c>
      <c r="J267" s="34">
        <v>6.30061158E8</v>
      </c>
      <c r="K267" s="34">
        <v>0.0</v>
      </c>
      <c r="L267" s="34">
        <v>432.0</v>
      </c>
      <c r="M267" s="33" t="s">
        <v>165</v>
      </c>
      <c r="N267" s="34">
        <v>22.0</v>
      </c>
      <c r="O267" s="33"/>
      <c r="P267" s="33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1">
        <v>1.80743895E8</v>
      </c>
      <c r="B268" s="31" t="s">
        <v>435</v>
      </c>
      <c r="C268" s="32">
        <v>1.2885777E7</v>
      </c>
      <c r="D268" s="32">
        <v>1283072.0</v>
      </c>
      <c r="E268" s="32">
        <v>1893314.0</v>
      </c>
      <c r="F268" s="32">
        <v>4711.0</v>
      </c>
      <c r="G268" s="32">
        <v>13098.0</v>
      </c>
      <c r="H268" s="32">
        <v>56755.0</v>
      </c>
      <c r="I268" s="32">
        <v>0.0</v>
      </c>
      <c r="J268" s="32">
        <v>4.331627507E9</v>
      </c>
      <c r="K268" s="32">
        <v>3.349477122E9</v>
      </c>
      <c r="L268" s="32">
        <v>1959.0</v>
      </c>
      <c r="M268" s="31" t="s">
        <v>153</v>
      </c>
      <c r="N268" s="32">
        <v>25.0</v>
      </c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7.7397858E7</v>
      </c>
      <c r="B269" s="33" t="s">
        <v>297</v>
      </c>
      <c r="C269" s="34">
        <v>1.2566635E7</v>
      </c>
      <c r="D269" s="34">
        <v>6039713.0</v>
      </c>
      <c r="E269" s="34">
        <v>1121881.0</v>
      </c>
      <c r="F269" s="34">
        <v>201117.0</v>
      </c>
      <c r="G269" s="34">
        <v>295460.0</v>
      </c>
      <c r="H269" s="34">
        <v>51656.0</v>
      </c>
      <c r="I269" s="34">
        <v>0.0</v>
      </c>
      <c r="J269" s="34">
        <v>7.21492209E8</v>
      </c>
      <c r="K269" s="34">
        <v>0.0</v>
      </c>
      <c r="L269" s="34">
        <v>1095.0</v>
      </c>
      <c r="M269" s="33" t="s">
        <v>66</v>
      </c>
      <c r="N269" s="34">
        <v>23.0</v>
      </c>
      <c r="O269" s="33"/>
      <c r="P269" s="33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1.78759749E8</v>
      </c>
      <c r="B270" s="33" t="s">
        <v>294</v>
      </c>
      <c r="C270" s="34">
        <v>1.2545159E7</v>
      </c>
      <c r="D270" s="34">
        <v>123088.0</v>
      </c>
      <c r="E270" s="34">
        <v>127880.0</v>
      </c>
      <c r="F270" s="34">
        <v>362.0</v>
      </c>
      <c r="G270" s="34">
        <v>8565.0</v>
      </c>
      <c r="H270" s="34">
        <v>0.0</v>
      </c>
      <c r="I270" s="34">
        <v>0.0</v>
      </c>
      <c r="J270" s="34">
        <v>6.671915804E9</v>
      </c>
      <c r="K270" s="34">
        <v>5.702011369E9</v>
      </c>
      <c r="L270" s="34">
        <v>1495.0</v>
      </c>
      <c r="M270" s="33" t="s">
        <v>153</v>
      </c>
      <c r="N270" s="34">
        <v>24.0</v>
      </c>
      <c r="O270" s="33"/>
      <c r="P270" s="33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1.77225071E8</v>
      </c>
      <c r="B271" s="33" t="s">
        <v>298</v>
      </c>
      <c r="C271" s="34">
        <v>1.2542369E7</v>
      </c>
      <c r="D271" s="34">
        <v>1033872.0</v>
      </c>
      <c r="E271" s="34">
        <v>2192960.0</v>
      </c>
      <c r="F271" s="34">
        <v>662231.0</v>
      </c>
      <c r="G271" s="34">
        <v>58320.0</v>
      </c>
      <c r="H271" s="34">
        <v>9575.0</v>
      </c>
      <c r="I271" s="34">
        <v>0.0</v>
      </c>
      <c r="J271" s="34">
        <v>6.068417002E9</v>
      </c>
      <c r="K271" s="34">
        <v>5.163686099E9</v>
      </c>
      <c r="L271" s="34">
        <v>1454.0</v>
      </c>
      <c r="M271" s="33" t="s">
        <v>147</v>
      </c>
      <c r="N271" s="34">
        <v>24.0</v>
      </c>
      <c r="O271" s="33"/>
      <c r="P271" s="33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1">
        <v>9.1488989E7</v>
      </c>
      <c r="B272" s="31" t="s">
        <v>486</v>
      </c>
      <c r="C272" s="32">
        <v>1.2527827E7</v>
      </c>
      <c r="D272" s="32">
        <v>971720.0</v>
      </c>
      <c r="E272" s="32">
        <v>798277.0</v>
      </c>
      <c r="F272" s="32">
        <v>2341.0</v>
      </c>
      <c r="G272" s="32">
        <v>92524.0</v>
      </c>
      <c r="H272" s="32">
        <v>0.0</v>
      </c>
      <c r="I272" s="32">
        <v>0.0</v>
      </c>
      <c r="J272" s="32">
        <v>1.018423027E9</v>
      </c>
      <c r="K272" s="32">
        <v>0.0</v>
      </c>
      <c r="L272" s="32">
        <v>729.0</v>
      </c>
      <c r="M272" s="31" t="s">
        <v>66</v>
      </c>
      <c r="N272" s="32">
        <v>25.0</v>
      </c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1.77647871E8</v>
      </c>
      <c r="B273" s="33" t="s">
        <v>293</v>
      </c>
      <c r="C273" s="34">
        <v>1.2475523E7</v>
      </c>
      <c r="D273" s="34">
        <v>255311.0</v>
      </c>
      <c r="E273" s="34">
        <v>0.0</v>
      </c>
      <c r="F273" s="34">
        <v>21295.0</v>
      </c>
      <c r="G273" s="34">
        <v>14770.0</v>
      </c>
      <c r="H273" s="34">
        <v>0.0</v>
      </c>
      <c r="I273" s="34">
        <v>0.0</v>
      </c>
      <c r="J273" s="34">
        <v>2.1340793E9</v>
      </c>
      <c r="K273" s="34">
        <v>2.153868023E9</v>
      </c>
      <c r="L273" s="34">
        <v>785.0</v>
      </c>
      <c r="M273" s="33" t="s">
        <v>153</v>
      </c>
      <c r="N273" s="34">
        <v>23.0</v>
      </c>
      <c r="O273" s="33"/>
      <c r="P273" s="33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1">
        <v>6.5702055E7</v>
      </c>
      <c r="B274" s="31" t="s">
        <v>302</v>
      </c>
      <c r="C274" s="32">
        <v>1.2365375E7</v>
      </c>
      <c r="D274" s="32">
        <v>506067.0</v>
      </c>
      <c r="E274" s="32">
        <v>795024.0</v>
      </c>
      <c r="F274" s="32">
        <v>28966.0</v>
      </c>
      <c r="G274" s="32">
        <v>25195.0</v>
      </c>
      <c r="H274" s="32">
        <v>3024.0</v>
      </c>
      <c r="I274" s="32">
        <v>0.0</v>
      </c>
      <c r="J274" s="32">
        <v>9.707162543E9</v>
      </c>
      <c r="K274" s="32">
        <v>1.0218488381E10</v>
      </c>
      <c r="L274" s="32">
        <v>2165.0</v>
      </c>
      <c r="M274" s="31" t="s">
        <v>153</v>
      </c>
      <c r="N274" s="32">
        <v>25.0</v>
      </c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8.7273183E7</v>
      </c>
      <c r="B275" s="33" t="s">
        <v>301</v>
      </c>
      <c r="C275" s="34">
        <v>1.2358011E7</v>
      </c>
      <c r="D275" s="34">
        <v>1562113.0</v>
      </c>
      <c r="E275" s="34">
        <v>629419.0</v>
      </c>
      <c r="F275" s="34">
        <v>84546.0</v>
      </c>
      <c r="G275" s="34">
        <v>135458.0</v>
      </c>
      <c r="H275" s="34">
        <v>0.0</v>
      </c>
      <c r="I275" s="34">
        <v>0.0</v>
      </c>
      <c r="J275" s="34">
        <v>1.1465035955E10</v>
      </c>
      <c r="K275" s="34">
        <v>1.2230901439E10</v>
      </c>
      <c r="L275" s="34">
        <v>4489.0</v>
      </c>
      <c r="M275" s="33" t="s">
        <v>94</v>
      </c>
      <c r="N275" s="34">
        <v>22.0</v>
      </c>
      <c r="O275" s="33"/>
      <c r="P275" s="33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1.77721232E8</v>
      </c>
      <c r="B276" s="33" t="s">
        <v>299</v>
      </c>
      <c r="C276" s="34">
        <v>1.2310786E7</v>
      </c>
      <c r="D276" s="34">
        <v>169357.0</v>
      </c>
      <c r="E276" s="34">
        <v>716670.0</v>
      </c>
      <c r="F276" s="34">
        <v>3768.0</v>
      </c>
      <c r="G276" s="34">
        <v>16742.0</v>
      </c>
      <c r="H276" s="34">
        <v>0.0</v>
      </c>
      <c r="I276" s="34">
        <v>0.0</v>
      </c>
      <c r="J276" s="34">
        <v>7.992541755E9</v>
      </c>
      <c r="K276" s="34">
        <v>7.889427E9</v>
      </c>
      <c r="L276" s="34">
        <v>2709.0</v>
      </c>
      <c r="M276" s="33" t="s">
        <v>153</v>
      </c>
      <c r="N276" s="34">
        <v>23.0</v>
      </c>
      <c r="O276" s="33"/>
      <c r="P276" s="33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1.91592529E8</v>
      </c>
      <c r="B277" s="33" t="s">
        <v>487</v>
      </c>
      <c r="C277" s="34">
        <v>1.222717E7</v>
      </c>
      <c r="D277" s="34">
        <v>1.2856829E7</v>
      </c>
      <c r="E277" s="34">
        <v>1724797.0</v>
      </c>
      <c r="F277" s="34">
        <v>799986.0</v>
      </c>
      <c r="G277" s="34">
        <v>818352.0</v>
      </c>
      <c r="H277" s="34">
        <v>90639.0</v>
      </c>
      <c r="I277" s="34">
        <v>0.0</v>
      </c>
      <c r="J277" s="34">
        <v>1.018140466E9</v>
      </c>
      <c r="K277" s="34">
        <v>1.48087262E8</v>
      </c>
      <c r="L277" s="34">
        <v>2693.0</v>
      </c>
      <c r="M277" s="33" t="s">
        <v>411</v>
      </c>
      <c r="N277" s="34">
        <v>24.0</v>
      </c>
      <c r="O277" s="33"/>
      <c r="P277" s="33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1">
        <v>1.4402991E8</v>
      </c>
      <c r="B278" s="31" t="s">
        <v>296</v>
      </c>
      <c r="C278" s="32">
        <v>1.221402E7</v>
      </c>
      <c r="D278" s="32">
        <v>6837594.0</v>
      </c>
      <c r="E278" s="32">
        <v>1758438.0</v>
      </c>
      <c r="F278" s="32">
        <v>22980.0</v>
      </c>
      <c r="G278" s="32">
        <v>464968.0</v>
      </c>
      <c r="H278" s="32">
        <v>71229.0</v>
      </c>
      <c r="I278" s="32">
        <v>0.0</v>
      </c>
      <c r="J278" s="32">
        <v>6.13312778E9</v>
      </c>
      <c r="K278" s="32">
        <v>4.559048087E9</v>
      </c>
      <c r="L278" s="32">
        <v>3241.0</v>
      </c>
      <c r="M278" s="31" t="s">
        <v>373</v>
      </c>
      <c r="N278" s="32">
        <v>25.0</v>
      </c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1.38285772E8</v>
      </c>
      <c r="B279" s="33" t="s">
        <v>305</v>
      </c>
      <c r="C279" s="34">
        <v>1.1903177E7</v>
      </c>
      <c r="D279" s="34">
        <v>188240.0</v>
      </c>
      <c r="E279" s="34">
        <v>31313.0</v>
      </c>
      <c r="F279" s="34">
        <v>0.0</v>
      </c>
      <c r="G279" s="34">
        <v>18824.0</v>
      </c>
      <c r="H279" s="34">
        <v>0.0</v>
      </c>
      <c r="I279" s="34">
        <v>0.0</v>
      </c>
      <c r="J279" s="34">
        <v>7.119534028E9</v>
      </c>
      <c r="K279" s="34">
        <v>9.257324727E9</v>
      </c>
      <c r="L279" s="34">
        <v>1433.0</v>
      </c>
      <c r="M279" s="33" t="s">
        <v>94</v>
      </c>
      <c r="N279" s="34">
        <v>24.0</v>
      </c>
      <c r="O279" s="33"/>
      <c r="P279" s="33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1.6604384E8</v>
      </c>
      <c r="B280" s="33" t="s">
        <v>306</v>
      </c>
      <c r="C280" s="34">
        <v>1.184513E7</v>
      </c>
      <c r="D280" s="34">
        <v>36517.0</v>
      </c>
      <c r="E280" s="34">
        <v>0.0</v>
      </c>
      <c r="F280" s="34">
        <v>7887.0</v>
      </c>
      <c r="G280" s="34">
        <v>3055.0</v>
      </c>
      <c r="H280" s="34">
        <v>0.0</v>
      </c>
      <c r="I280" s="34">
        <v>0.0</v>
      </c>
      <c r="J280" s="34">
        <v>7.872536791E9</v>
      </c>
      <c r="K280" s="34">
        <v>7.823731124E9</v>
      </c>
      <c r="L280" s="34">
        <v>2958.0</v>
      </c>
      <c r="M280" s="33" t="s">
        <v>94</v>
      </c>
      <c r="N280" s="34">
        <v>23.0</v>
      </c>
      <c r="O280" s="33"/>
      <c r="P280" s="33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1">
        <v>9.6284047E7</v>
      </c>
      <c r="B281" s="31" t="s">
        <v>473</v>
      </c>
      <c r="C281" s="32">
        <v>1.1812141E7</v>
      </c>
      <c r="D281" s="32">
        <v>43742.0</v>
      </c>
      <c r="E281" s="32">
        <v>57258.0</v>
      </c>
      <c r="F281" s="32">
        <v>913.0</v>
      </c>
      <c r="G281" s="32">
        <v>1456.0</v>
      </c>
      <c r="H281" s="32">
        <v>1390.0</v>
      </c>
      <c r="I281" s="32">
        <v>0.0</v>
      </c>
      <c r="J281" s="32">
        <v>2.135775821E9</v>
      </c>
      <c r="K281" s="32">
        <v>1.994469657E9</v>
      </c>
      <c r="L281" s="32">
        <v>962.0</v>
      </c>
      <c r="M281" s="31" t="s">
        <v>147</v>
      </c>
      <c r="N281" s="32">
        <v>25.0</v>
      </c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1.90202885E8</v>
      </c>
      <c r="B282" s="33" t="s">
        <v>278</v>
      </c>
      <c r="C282" s="34">
        <v>1.1769157E7</v>
      </c>
      <c r="D282" s="34">
        <v>6.0</v>
      </c>
      <c r="E282" s="34">
        <v>0.0</v>
      </c>
      <c r="F282" s="34">
        <v>30.0</v>
      </c>
      <c r="G282" s="34">
        <v>0.0</v>
      </c>
      <c r="H282" s="34">
        <v>0.0</v>
      </c>
      <c r="I282" s="34">
        <v>0.0</v>
      </c>
      <c r="J282" s="34">
        <v>2.704632634E9</v>
      </c>
      <c r="K282" s="34">
        <v>1.05660658E9</v>
      </c>
      <c r="L282" s="34">
        <v>1112.0</v>
      </c>
      <c r="M282" s="33" t="s">
        <v>153</v>
      </c>
      <c r="N282" s="34">
        <v>23.0</v>
      </c>
      <c r="O282" s="33"/>
      <c r="P282" s="33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6.7568162E7</v>
      </c>
      <c r="B283" s="33" t="s">
        <v>300</v>
      </c>
      <c r="C283" s="34">
        <v>1.1729396E7</v>
      </c>
      <c r="D283" s="34">
        <v>202704.0</v>
      </c>
      <c r="E283" s="34">
        <v>42020.0</v>
      </c>
      <c r="F283" s="34">
        <v>26634.0</v>
      </c>
      <c r="G283" s="34">
        <v>0.0</v>
      </c>
      <c r="H283" s="34">
        <v>5336.0</v>
      </c>
      <c r="I283" s="34">
        <v>0.0</v>
      </c>
      <c r="J283" s="34">
        <v>5.729658434E9</v>
      </c>
      <c r="K283" s="34">
        <v>3.794132451E9</v>
      </c>
      <c r="L283" s="34">
        <v>1593.0</v>
      </c>
      <c r="M283" s="33" t="s">
        <v>153</v>
      </c>
      <c r="N283" s="34">
        <v>24.0</v>
      </c>
      <c r="O283" s="33"/>
      <c r="P283" s="33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1">
        <v>1.52201713E8</v>
      </c>
      <c r="B284" s="31" t="s">
        <v>436</v>
      </c>
      <c r="C284" s="32">
        <v>1.1688249E7</v>
      </c>
      <c r="D284" s="32">
        <v>909034.0</v>
      </c>
      <c r="E284" s="32">
        <v>1197900.0</v>
      </c>
      <c r="F284" s="32">
        <v>0.0</v>
      </c>
      <c r="G284" s="32">
        <v>79442.0</v>
      </c>
      <c r="H284" s="32">
        <v>4810.0</v>
      </c>
      <c r="I284" s="32">
        <v>0.0</v>
      </c>
      <c r="J284" s="32">
        <v>2.740995482E9</v>
      </c>
      <c r="K284" s="32">
        <v>1.843640216E9</v>
      </c>
      <c r="L284" s="32">
        <v>900.0</v>
      </c>
      <c r="M284" s="31" t="s">
        <v>153</v>
      </c>
      <c r="N284" s="32">
        <v>25.0</v>
      </c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1.44098997E8</v>
      </c>
      <c r="B285" s="33" t="s">
        <v>437</v>
      </c>
      <c r="C285" s="34">
        <v>1.1624335E7</v>
      </c>
      <c r="D285" s="34">
        <v>2085911.0</v>
      </c>
      <c r="E285" s="34">
        <v>1773255.0</v>
      </c>
      <c r="F285" s="34">
        <v>121189.0</v>
      </c>
      <c r="G285" s="34">
        <v>57689.0</v>
      </c>
      <c r="H285" s="34">
        <v>40024.0</v>
      </c>
      <c r="I285" s="34">
        <v>0.0</v>
      </c>
      <c r="J285" s="34">
        <v>1.622310278E9</v>
      </c>
      <c r="K285" s="34">
        <v>3047603.0</v>
      </c>
      <c r="L285" s="34">
        <v>1458.0</v>
      </c>
      <c r="M285" s="33" t="s">
        <v>126</v>
      </c>
      <c r="N285" s="34">
        <v>24.0</v>
      </c>
      <c r="O285" s="33"/>
      <c r="P285" s="33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1.57465282E8</v>
      </c>
      <c r="B286" s="33" t="s">
        <v>474</v>
      </c>
      <c r="C286" s="34">
        <v>1.1595459E7</v>
      </c>
      <c r="D286" s="34">
        <v>1059330.0</v>
      </c>
      <c r="E286" s="34">
        <v>435892.0</v>
      </c>
      <c r="F286" s="34">
        <v>81933.0</v>
      </c>
      <c r="G286" s="34">
        <v>58926.0</v>
      </c>
      <c r="H286" s="34">
        <v>5178.0</v>
      </c>
      <c r="I286" s="34">
        <v>0.0</v>
      </c>
      <c r="J286" s="34">
        <v>8.01728255E9</v>
      </c>
      <c r="K286" s="34">
        <v>2.366887416E9</v>
      </c>
      <c r="L286" s="34">
        <v>1817.0</v>
      </c>
      <c r="M286" s="33" t="s">
        <v>165</v>
      </c>
      <c r="N286" s="34">
        <v>22.0</v>
      </c>
      <c r="O286" s="33"/>
      <c r="P286" s="33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1.28382827E8</v>
      </c>
      <c r="B287" s="33" t="s">
        <v>312</v>
      </c>
      <c r="C287" s="34">
        <v>1.1428692E7</v>
      </c>
      <c r="D287" s="34">
        <v>5689027.0</v>
      </c>
      <c r="E287" s="34">
        <v>1604666.0</v>
      </c>
      <c r="F287" s="34">
        <v>26229.0</v>
      </c>
      <c r="G287" s="34">
        <v>520858.0</v>
      </c>
      <c r="H287" s="34">
        <v>20165.0</v>
      </c>
      <c r="I287" s="34">
        <v>0.0</v>
      </c>
      <c r="J287" s="34">
        <v>9.727921132E9</v>
      </c>
      <c r="K287" s="34">
        <v>1.1508192512E10</v>
      </c>
      <c r="L287" s="34">
        <v>2114.0</v>
      </c>
      <c r="M287" s="33" t="s">
        <v>94</v>
      </c>
      <c r="N287" s="34">
        <v>24.0</v>
      </c>
      <c r="O287" s="33"/>
      <c r="P287" s="33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3">
        <v>1.53291798E8</v>
      </c>
      <c r="B288" s="33" t="s">
        <v>475</v>
      </c>
      <c r="C288" s="34">
        <v>1.1353977E7</v>
      </c>
      <c r="D288" s="34">
        <v>642634.0</v>
      </c>
      <c r="E288" s="34">
        <v>795534.0</v>
      </c>
      <c r="F288" s="34">
        <v>15153.0</v>
      </c>
      <c r="G288" s="34">
        <v>24911.0</v>
      </c>
      <c r="H288" s="34">
        <v>2253.0</v>
      </c>
      <c r="I288" s="34">
        <v>0.0</v>
      </c>
      <c r="J288" s="34">
        <v>8.795077936E9</v>
      </c>
      <c r="K288" s="34">
        <v>8.253256769E9</v>
      </c>
      <c r="L288" s="34">
        <v>2428.0</v>
      </c>
      <c r="M288" s="33" t="s">
        <v>66</v>
      </c>
      <c r="N288" s="34">
        <v>23.0</v>
      </c>
      <c r="O288" s="33"/>
      <c r="P288" s="33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1.43566987E8</v>
      </c>
      <c r="B289" s="33" t="s">
        <v>476</v>
      </c>
      <c r="C289" s="34">
        <v>1.1304918E7</v>
      </c>
      <c r="D289" s="34">
        <v>8883694.0</v>
      </c>
      <c r="E289" s="34">
        <v>822911.0</v>
      </c>
      <c r="F289" s="34">
        <v>517584.0</v>
      </c>
      <c r="G289" s="34">
        <v>382774.0</v>
      </c>
      <c r="H289" s="34">
        <v>148852.0</v>
      </c>
      <c r="I289" s="34">
        <v>0.0</v>
      </c>
      <c r="J289" s="34">
        <v>6.65822284E8</v>
      </c>
      <c r="K289" s="34">
        <v>1.18868156E8</v>
      </c>
      <c r="L289" s="34">
        <v>10243.0</v>
      </c>
      <c r="M289" s="33" t="s">
        <v>66</v>
      </c>
      <c r="N289" s="34">
        <v>24.0</v>
      </c>
      <c r="O289" s="33"/>
      <c r="P289" s="33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1">
        <v>1.84527302E8</v>
      </c>
      <c r="B290" s="31" t="s">
        <v>304</v>
      </c>
      <c r="C290" s="32">
        <v>1.12962E7</v>
      </c>
      <c r="D290" s="32">
        <v>67130.0</v>
      </c>
      <c r="E290" s="32">
        <v>67634.0</v>
      </c>
      <c r="F290" s="32">
        <v>0.0</v>
      </c>
      <c r="G290" s="32">
        <v>1877.0</v>
      </c>
      <c r="H290" s="32">
        <v>2418.0</v>
      </c>
      <c r="I290" s="32">
        <v>0.0</v>
      </c>
      <c r="J290" s="32">
        <v>2.313878982E9</v>
      </c>
      <c r="K290" s="32">
        <v>5.646275642E9</v>
      </c>
      <c r="L290" s="32">
        <v>588.0</v>
      </c>
      <c r="M290" s="31" t="s">
        <v>147</v>
      </c>
      <c r="N290" s="32">
        <v>25.0</v>
      </c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6.9287686E7</v>
      </c>
      <c r="B291" s="33" t="s">
        <v>316</v>
      </c>
      <c r="C291" s="34">
        <v>1.1143693E7</v>
      </c>
      <c r="D291" s="34">
        <v>2027902.0</v>
      </c>
      <c r="E291" s="34">
        <v>235658.0</v>
      </c>
      <c r="F291" s="34">
        <v>457711.0</v>
      </c>
      <c r="G291" s="34">
        <v>39331.0</v>
      </c>
      <c r="H291" s="34">
        <v>0.0</v>
      </c>
      <c r="I291" s="34">
        <v>0.0</v>
      </c>
      <c r="J291" s="34">
        <v>6.107416301E9</v>
      </c>
      <c r="K291" s="34">
        <v>5.712717325E9</v>
      </c>
      <c r="L291" s="34">
        <v>3855.0</v>
      </c>
      <c r="M291" s="33" t="s">
        <v>94</v>
      </c>
      <c r="N291" s="34">
        <v>24.0</v>
      </c>
      <c r="O291" s="33"/>
      <c r="P291" s="33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3.1303775E7</v>
      </c>
      <c r="B292" s="33" t="s">
        <v>311</v>
      </c>
      <c r="C292" s="34">
        <v>1.1119935E7</v>
      </c>
      <c r="D292" s="34">
        <v>8644167.0</v>
      </c>
      <c r="E292" s="34">
        <v>1667127.0</v>
      </c>
      <c r="F292" s="34">
        <v>297318.0</v>
      </c>
      <c r="G292" s="34">
        <v>388443.0</v>
      </c>
      <c r="H292" s="34">
        <v>111080.0</v>
      </c>
      <c r="I292" s="34">
        <v>0.0</v>
      </c>
      <c r="J292" s="34">
        <v>4.088717654E9</v>
      </c>
      <c r="K292" s="34">
        <v>6.02326523E9</v>
      </c>
      <c r="L292" s="34">
        <v>1822.0</v>
      </c>
      <c r="M292" s="33" t="s">
        <v>153</v>
      </c>
      <c r="N292" s="34">
        <v>24.0</v>
      </c>
      <c r="O292" s="33"/>
      <c r="P292" s="33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1.85532677E8</v>
      </c>
      <c r="B293" s="33" t="s">
        <v>477</v>
      </c>
      <c r="C293" s="34">
        <v>1.0999517E7</v>
      </c>
      <c r="D293" s="34">
        <v>645314.0</v>
      </c>
      <c r="E293" s="34">
        <v>77403.0</v>
      </c>
      <c r="F293" s="34">
        <v>59584.0</v>
      </c>
      <c r="G293" s="34">
        <v>9225.0</v>
      </c>
      <c r="H293" s="34">
        <v>3801.0</v>
      </c>
      <c r="I293" s="34">
        <v>0.0</v>
      </c>
      <c r="J293" s="34">
        <v>1.865030555E9</v>
      </c>
      <c r="K293" s="34">
        <v>572583.0</v>
      </c>
      <c r="L293" s="34">
        <v>3070.0</v>
      </c>
      <c r="M293" s="33" t="s">
        <v>94</v>
      </c>
      <c r="N293" s="34">
        <v>23.0</v>
      </c>
      <c r="O293" s="33"/>
      <c r="P293" s="33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9.9531415E7</v>
      </c>
      <c r="B294" s="33" t="s">
        <v>392</v>
      </c>
      <c r="C294" s="34">
        <v>1.0863756E7</v>
      </c>
      <c r="D294" s="34">
        <v>7180678.0</v>
      </c>
      <c r="E294" s="34">
        <v>1583779.0</v>
      </c>
      <c r="F294" s="34">
        <v>549491.0</v>
      </c>
      <c r="G294" s="34">
        <v>192250.0</v>
      </c>
      <c r="H294" s="34">
        <v>89047.0</v>
      </c>
      <c r="I294" s="34">
        <v>0.0</v>
      </c>
      <c r="J294" s="34">
        <v>9.06363485E8</v>
      </c>
      <c r="K294" s="34">
        <v>1.0635596E7</v>
      </c>
      <c r="L294" s="34">
        <v>2697.0</v>
      </c>
      <c r="M294" s="33" t="s">
        <v>66</v>
      </c>
      <c r="N294" s="34">
        <v>23.0</v>
      </c>
      <c r="O294" s="33"/>
      <c r="P294" s="33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1.67125555E8</v>
      </c>
      <c r="B295" s="33" t="s">
        <v>318</v>
      </c>
      <c r="C295" s="34">
        <v>1.0862806E7</v>
      </c>
      <c r="D295" s="34">
        <v>53959.0</v>
      </c>
      <c r="E295" s="34">
        <v>0.0</v>
      </c>
      <c r="F295" s="34">
        <v>2077.0</v>
      </c>
      <c r="G295" s="34">
        <v>4939.0</v>
      </c>
      <c r="H295" s="34">
        <v>0.0</v>
      </c>
      <c r="I295" s="34">
        <v>0.0</v>
      </c>
      <c r="J295" s="34">
        <v>7.512362599E9</v>
      </c>
      <c r="K295" s="34">
        <v>7.193569092E9</v>
      </c>
      <c r="L295" s="34">
        <v>1617.0</v>
      </c>
      <c r="M295" s="33" t="s">
        <v>94</v>
      </c>
      <c r="N295" s="34">
        <v>23.0</v>
      </c>
      <c r="O295" s="33"/>
      <c r="P295" s="33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1.4410355E8</v>
      </c>
      <c r="B296" s="33" t="s">
        <v>389</v>
      </c>
      <c r="C296" s="34">
        <v>1.0821958E7</v>
      </c>
      <c r="D296" s="34">
        <v>2832430.0</v>
      </c>
      <c r="E296" s="34">
        <v>721357.0</v>
      </c>
      <c r="F296" s="34">
        <v>53764.0</v>
      </c>
      <c r="G296" s="34">
        <v>127406.0</v>
      </c>
      <c r="H296" s="34">
        <v>62037.0</v>
      </c>
      <c r="I296" s="34">
        <v>0.0</v>
      </c>
      <c r="J296" s="34">
        <v>7.8384522E8</v>
      </c>
      <c r="K296" s="34">
        <v>28750.0</v>
      </c>
      <c r="L296" s="34">
        <v>2050.0</v>
      </c>
      <c r="M296" s="33" t="s">
        <v>66</v>
      </c>
      <c r="N296" s="34">
        <v>23.0</v>
      </c>
      <c r="O296" s="33"/>
      <c r="P296" s="33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1.59650107E8</v>
      </c>
      <c r="B297" s="33" t="s">
        <v>319</v>
      </c>
      <c r="C297" s="34">
        <v>1.0659666E7</v>
      </c>
      <c r="D297" s="34">
        <v>1536602.0</v>
      </c>
      <c r="E297" s="34">
        <v>1041916.0</v>
      </c>
      <c r="F297" s="34">
        <v>7593.0</v>
      </c>
      <c r="G297" s="34">
        <v>41874.0</v>
      </c>
      <c r="H297" s="34">
        <v>55798.0</v>
      </c>
      <c r="I297" s="34">
        <v>0.0</v>
      </c>
      <c r="J297" s="34">
        <v>3.839294585E9</v>
      </c>
      <c r="K297" s="34">
        <v>6.306110993E9</v>
      </c>
      <c r="L297" s="34">
        <v>1033.0</v>
      </c>
      <c r="M297" s="33" t="s">
        <v>153</v>
      </c>
      <c r="N297" s="34">
        <v>22.0</v>
      </c>
      <c r="O297" s="33"/>
      <c r="P297" s="33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2.02638038E8</v>
      </c>
      <c r="B298" s="33" t="s">
        <v>322</v>
      </c>
      <c r="C298" s="34">
        <v>1.0561834E7</v>
      </c>
      <c r="D298" s="34">
        <v>145261.0</v>
      </c>
      <c r="E298" s="34">
        <v>30575.0</v>
      </c>
      <c r="F298" s="34">
        <v>456.0</v>
      </c>
      <c r="G298" s="34">
        <v>829.0</v>
      </c>
      <c r="H298" s="34">
        <v>6844.0</v>
      </c>
      <c r="I298" s="34">
        <v>0.0</v>
      </c>
      <c r="J298" s="34">
        <v>5.234955897E9</v>
      </c>
      <c r="K298" s="34">
        <v>3.246591544E9</v>
      </c>
      <c r="L298" s="34">
        <v>806.0</v>
      </c>
      <c r="M298" s="33" t="s">
        <v>165</v>
      </c>
      <c r="N298" s="34">
        <v>23.0</v>
      </c>
      <c r="O298" s="33"/>
      <c r="P298" s="33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1.66124388E8</v>
      </c>
      <c r="B299" s="33" t="s">
        <v>323</v>
      </c>
      <c r="C299" s="34">
        <v>1.0425622E7</v>
      </c>
      <c r="D299" s="34">
        <v>2289901.0</v>
      </c>
      <c r="E299" s="34">
        <v>910305.0</v>
      </c>
      <c r="F299" s="34">
        <v>71285.0</v>
      </c>
      <c r="G299" s="34">
        <v>187987.0</v>
      </c>
      <c r="H299" s="34">
        <v>18297.0</v>
      </c>
      <c r="I299" s="34">
        <v>0.0</v>
      </c>
      <c r="J299" s="34">
        <v>3.990603994E9</v>
      </c>
      <c r="K299" s="34">
        <v>2.79174755E9</v>
      </c>
      <c r="L299" s="34">
        <v>1541.0</v>
      </c>
      <c r="M299" s="33" t="s">
        <v>94</v>
      </c>
      <c r="N299" s="34">
        <v>23.0</v>
      </c>
      <c r="O299" s="33"/>
      <c r="P299" s="33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1.71233186E8</v>
      </c>
      <c r="B300" s="33" t="s">
        <v>329</v>
      </c>
      <c r="C300" s="34">
        <v>1.0239776E7</v>
      </c>
      <c r="D300" s="34">
        <v>971104.0</v>
      </c>
      <c r="E300" s="34">
        <v>4667.0</v>
      </c>
      <c r="F300" s="34">
        <v>0.0</v>
      </c>
      <c r="G300" s="34">
        <v>90418.0</v>
      </c>
      <c r="H300" s="34">
        <v>2023.0</v>
      </c>
      <c r="I300" s="34">
        <v>0.0</v>
      </c>
      <c r="J300" s="34">
        <v>8.862418161E9</v>
      </c>
      <c r="K300" s="34">
        <v>6.74164768E9</v>
      </c>
      <c r="L300" s="34">
        <v>2155.0</v>
      </c>
      <c r="M300" s="33" t="s">
        <v>153</v>
      </c>
      <c r="N300" s="34">
        <v>23.0</v>
      </c>
      <c r="O300" s="33"/>
      <c r="P300" s="33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1.44044666E8</v>
      </c>
      <c r="B301" s="33" t="s">
        <v>391</v>
      </c>
      <c r="C301" s="34">
        <v>1.0238698E7</v>
      </c>
      <c r="D301" s="34">
        <v>2388163.0</v>
      </c>
      <c r="E301" s="34">
        <v>898490.0</v>
      </c>
      <c r="F301" s="34">
        <v>166627.0</v>
      </c>
      <c r="G301" s="34">
        <v>60679.0</v>
      </c>
      <c r="H301" s="34">
        <v>0.0</v>
      </c>
      <c r="I301" s="34">
        <v>0.0</v>
      </c>
      <c r="J301" s="34">
        <v>8.82651807E8</v>
      </c>
      <c r="K301" s="34">
        <v>5.4341218E7</v>
      </c>
      <c r="L301" s="34">
        <v>3308.0</v>
      </c>
      <c r="M301" s="33" t="s">
        <v>165</v>
      </c>
      <c r="N301" s="34">
        <v>22.0</v>
      </c>
      <c r="O301" s="33"/>
      <c r="P301" s="33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L302" si="1">SUM(C2:C301)</f>
        <v>11889692219</v>
      </c>
      <c r="D302" s="36">
        <f t="shared" si="1"/>
        <v>137389579516</v>
      </c>
      <c r="E302" s="36">
        <f t="shared" si="1"/>
        <v>1582299560</v>
      </c>
      <c r="F302" s="36">
        <f t="shared" si="1"/>
        <v>2751148642</v>
      </c>
      <c r="G302" s="36">
        <f t="shared" si="1"/>
        <v>4670852346</v>
      </c>
      <c r="H302" s="36">
        <f t="shared" si="1"/>
        <v>4405017717</v>
      </c>
      <c r="I302" s="36">
        <f t="shared" si="1"/>
        <v>8188026</v>
      </c>
      <c r="J302" s="36">
        <f t="shared" si="1"/>
        <v>2868191329192</v>
      </c>
      <c r="K302" s="36">
        <f t="shared" si="1"/>
        <v>1756154225130</v>
      </c>
      <c r="L302" s="36">
        <f t="shared" si="1"/>
        <v>8505943</v>
      </c>
      <c r="M302" s="35"/>
      <c r="N302" s="35">
        <f>COUNT(N2:N301)</f>
        <v>300</v>
      </c>
      <c r="O302" s="35"/>
      <c r="P302" s="35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N2:N301, "25")</f>
        <v>10632197268</v>
      </c>
      <c r="D303" s="38">
        <f>SUMIFS(D2:D301, N2:N301, "25")</f>
        <v>137167296625</v>
      </c>
      <c r="E303" s="38">
        <f>SUMIFS(E2:E301, N2:N301, "25")</f>
        <v>1526635897</v>
      </c>
      <c r="F303" s="38">
        <f>SUMIFS(F2:F301, N2:N301, "25")</f>
        <v>2741674269</v>
      </c>
      <c r="G303" s="38">
        <f>SUMIFS(G2:G301, N2:N301, "25")</f>
        <v>4658476535</v>
      </c>
      <c r="H303" s="38">
        <f>SUMIFS(H2:H301, N2:N301, "25")</f>
        <v>4402502989</v>
      </c>
      <c r="I303" s="38">
        <f>SUMIFS(I2:I301, N2:N301, "25")</f>
        <v>8188026</v>
      </c>
      <c r="J303" s="38">
        <f>SUMIFS(J2:J301, N2:N301, "25")</f>
        <v>2348569868125</v>
      </c>
      <c r="K303" s="38">
        <f>SUMIFS(K2:K301, N2:N301, "25")</f>
        <v>1322161892252</v>
      </c>
      <c r="L303" s="38">
        <f>SUMIFS(L2:L301, N2:N301, "25")</f>
        <v>8299219</v>
      </c>
      <c r="M303" s="37" t="s">
        <v>363</v>
      </c>
      <c r="N303" s="37">
        <f>COUNTIF(N2:N301,"25")</f>
        <v>218</v>
      </c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29"/>
    <col customWidth="1" min="2" max="2" width="22.14"/>
    <col customWidth="1" min="3" max="11" width="19.0"/>
    <col customWidth="1" min="12" max="12" width="14.71"/>
    <col customWidth="1" min="13" max="13" width="24.0"/>
    <col customWidth="1" min="14" max="14" width="15.14"/>
    <col customWidth="1" min="15" max="15" width="12.86"/>
    <col customWidth="1" min="16" max="16" width="71.14"/>
    <col customWidth="1" min="17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58</v>
      </c>
      <c r="G1" s="29" t="s">
        <v>8</v>
      </c>
      <c r="H1" s="29" t="s">
        <v>9</v>
      </c>
      <c r="I1" s="29" t="s">
        <v>10</v>
      </c>
      <c r="J1" s="29" t="s">
        <v>11</v>
      </c>
      <c r="K1" s="29" t="s">
        <v>12</v>
      </c>
      <c r="L1" s="29" t="s">
        <v>13</v>
      </c>
      <c r="M1" s="28" t="s">
        <v>14</v>
      </c>
      <c r="N1" s="28" t="s">
        <v>15</v>
      </c>
      <c r="O1" s="28" t="s">
        <v>59</v>
      </c>
      <c r="P1" s="28" t="s">
        <v>60</v>
      </c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1.11921961E8</v>
      </c>
      <c r="D2" s="32">
        <v>2.76881004E9</v>
      </c>
      <c r="E2" s="32">
        <v>1.4144639E7</v>
      </c>
      <c r="F2" s="32">
        <v>1.1403E7</v>
      </c>
      <c r="G2" s="32">
        <v>5.8341106E7</v>
      </c>
      <c r="H2" s="32">
        <v>1.08788013E8</v>
      </c>
      <c r="I2" s="32">
        <v>0.0</v>
      </c>
      <c r="J2" s="32">
        <v>1.7488452359E10</v>
      </c>
      <c r="K2" s="32">
        <v>2.095967435E9</v>
      </c>
      <c r="L2" s="32">
        <v>77018.0</v>
      </c>
      <c r="M2" s="31" t="s">
        <v>34</v>
      </c>
      <c r="N2" s="31">
        <v>25.0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1.00967826E8</v>
      </c>
      <c r="D3" s="32">
        <v>4.408477353E9</v>
      </c>
      <c r="E3" s="32">
        <v>1.8647843E7</v>
      </c>
      <c r="F3" s="32">
        <v>2.3411497E7</v>
      </c>
      <c r="G3" s="32">
        <v>7.7336433E7</v>
      </c>
      <c r="H3" s="32">
        <v>1.81120132E8</v>
      </c>
      <c r="I3" s="32">
        <v>0.0</v>
      </c>
      <c r="J3" s="32">
        <v>3.8645233222E10</v>
      </c>
      <c r="K3" s="32">
        <v>1.4447507139E10</v>
      </c>
      <c r="L3" s="32">
        <v>141773.0</v>
      </c>
      <c r="M3" s="31" t="s">
        <v>34</v>
      </c>
      <c r="N3" s="31">
        <v>25.0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9.8676637E7</v>
      </c>
      <c r="D4" s="32">
        <v>1.258100235E9</v>
      </c>
      <c r="E4" s="32">
        <v>1.2985725E7</v>
      </c>
      <c r="F4" s="32">
        <v>1.19561949E8</v>
      </c>
      <c r="G4" s="32">
        <v>3.7563147E7</v>
      </c>
      <c r="H4" s="32">
        <v>4.2435914E7</v>
      </c>
      <c r="I4" s="32">
        <v>0.0</v>
      </c>
      <c r="J4" s="32">
        <v>1.2678276555E10</v>
      </c>
      <c r="K4" s="32">
        <v>9.7148239E7</v>
      </c>
      <c r="L4" s="32">
        <v>31828.0</v>
      </c>
      <c r="M4" s="31" t="s">
        <v>34</v>
      </c>
      <c r="N4" s="31">
        <v>25.0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6.2576249E7</v>
      </c>
      <c r="B5" s="31" t="s">
        <v>37</v>
      </c>
      <c r="C5" s="32">
        <v>9.3015678E7</v>
      </c>
      <c r="D5" s="32">
        <v>3.431940189E9</v>
      </c>
      <c r="E5" s="32">
        <v>2.199455E7</v>
      </c>
      <c r="F5" s="32">
        <v>1.36769339E8</v>
      </c>
      <c r="G5" s="32">
        <v>1.02182921E8</v>
      </c>
      <c r="H5" s="32">
        <v>1.16426691E8</v>
      </c>
      <c r="I5" s="32">
        <v>0.0</v>
      </c>
      <c r="J5" s="32">
        <v>2.8394122887E10</v>
      </c>
      <c r="K5" s="32">
        <v>3.3189364731E10</v>
      </c>
      <c r="L5" s="32">
        <v>158020.0</v>
      </c>
      <c r="M5" s="31" t="s">
        <v>34</v>
      </c>
      <c r="N5" s="31">
        <v>25.0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7.9650085E7</v>
      </c>
      <c r="B6" s="31" t="s">
        <v>41</v>
      </c>
      <c r="C6" s="32">
        <v>9.1109065E7</v>
      </c>
      <c r="D6" s="32">
        <v>1.864554474E9</v>
      </c>
      <c r="E6" s="32">
        <v>1.2110118E7</v>
      </c>
      <c r="F6" s="32">
        <v>3.4537502E7</v>
      </c>
      <c r="G6" s="32">
        <v>5.870709E7</v>
      </c>
      <c r="H6" s="32">
        <v>6.2762532E7</v>
      </c>
      <c r="I6" s="32">
        <v>0.0</v>
      </c>
      <c r="J6" s="32">
        <v>1.6076071843E10</v>
      </c>
      <c r="K6" s="32">
        <v>1.5131538986E10</v>
      </c>
      <c r="L6" s="32">
        <v>104776.0</v>
      </c>
      <c r="M6" s="31" t="s">
        <v>34</v>
      </c>
      <c r="N6" s="31">
        <v>25.0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6.7873337E7</v>
      </c>
      <c r="B7" s="31" t="s">
        <v>488</v>
      </c>
      <c r="C7" s="32">
        <v>8.8547181E7</v>
      </c>
      <c r="D7" s="32">
        <v>9.72508615E8</v>
      </c>
      <c r="E7" s="32">
        <v>1.0618651E7</v>
      </c>
      <c r="F7" s="32">
        <v>1.5193878E7</v>
      </c>
      <c r="G7" s="32">
        <v>5.4827218E7</v>
      </c>
      <c r="H7" s="32">
        <v>1.8803796E7</v>
      </c>
      <c r="I7" s="32">
        <v>1441005.0</v>
      </c>
      <c r="J7" s="32">
        <v>1.4104904164E10</v>
      </c>
      <c r="K7" s="32">
        <v>3.1382065312E10</v>
      </c>
      <c r="L7" s="32">
        <v>78979.0</v>
      </c>
      <c r="M7" s="31" t="s">
        <v>34</v>
      </c>
      <c r="N7" s="31">
        <v>25.0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1.1409556E7</v>
      </c>
      <c r="B8" s="31" t="s">
        <v>402</v>
      </c>
      <c r="C8" s="32">
        <v>8.8388671E7</v>
      </c>
      <c r="D8" s="32">
        <v>5.73520685E8</v>
      </c>
      <c r="E8" s="32">
        <v>1.4892721E7</v>
      </c>
      <c r="F8" s="32">
        <v>1.9002385E7</v>
      </c>
      <c r="G8" s="32">
        <v>3.0738755E7</v>
      </c>
      <c r="H8" s="32">
        <v>1.2428196E7</v>
      </c>
      <c r="I8" s="32">
        <v>0.0</v>
      </c>
      <c r="J8" s="32">
        <v>1.5725979259E10</v>
      </c>
      <c r="K8" s="32">
        <v>5.766935771E9</v>
      </c>
      <c r="L8" s="32">
        <v>86717.0</v>
      </c>
      <c r="M8" s="31" t="s">
        <v>34</v>
      </c>
      <c r="N8" s="31">
        <v>25.0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1.71934536E8</v>
      </c>
      <c r="B9" s="31" t="s">
        <v>61</v>
      </c>
      <c r="C9" s="32">
        <v>8.779202E7</v>
      </c>
      <c r="D9" s="32">
        <v>6.86911268E8</v>
      </c>
      <c r="E9" s="32">
        <v>2221644.0</v>
      </c>
      <c r="F9" s="32">
        <v>2.2195584E7</v>
      </c>
      <c r="G9" s="32">
        <v>2.4148641E7</v>
      </c>
      <c r="H9" s="32">
        <v>2.0676569E7</v>
      </c>
      <c r="I9" s="32">
        <v>0.0</v>
      </c>
      <c r="J9" s="32">
        <v>1.5569388805E10</v>
      </c>
      <c r="K9" s="32">
        <v>9.58710757E8</v>
      </c>
      <c r="L9" s="32">
        <v>47942.0</v>
      </c>
      <c r="M9" s="31" t="s">
        <v>34</v>
      </c>
      <c r="N9" s="31">
        <v>25.0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2.7578537E7</v>
      </c>
      <c r="B10" s="31" t="s">
        <v>48</v>
      </c>
      <c r="C10" s="32">
        <v>8.6598919E7</v>
      </c>
      <c r="D10" s="32">
        <v>3.002523459E9</v>
      </c>
      <c r="E10" s="32">
        <v>2.4906584E7</v>
      </c>
      <c r="F10" s="32">
        <v>3.4851485E7</v>
      </c>
      <c r="G10" s="32">
        <v>1.02907147E8</v>
      </c>
      <c r="H10" s="32">
        <v>9.6833226E7</v>
      </c>
      <c r="I10" s="32">
        <v>0.0</v>
      </c>
      <c r="J10" s="32">
        <v>2.5625706957E10</v>
      </c>
      <c r="K10" s="32">
        <v>3.3526939303E10</v>
      </c>
      <c r="L10" s="32">
        <v>104758.0</v>
      </c>
      <c r="M10" s="31" t="s">
        <v>34</v>
      </c>
      <c r="N10" s="31">
        <v>25.0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1.03336195E8</v>
      </c>
      <c r="B11" s="31" t="s">
        <v>38</v>
      </c>
      <c r="C11" s="32">
        <v>8.6590596E7</v>
      </c>
      <c r="D11" s="32">
        <v>4.00206909E9</v>
      </c>
      <c r="E11" s="32">
        <v>1.8794569E7</v>
      </c>
      <c r="F11" s="32">
        <v>5.4643392E7</v>
      </c>
      <c r="G11" s="32">
        <v>1.27590883E8</v>
      </c>
      <c r="H11" s="32">
        <v>1.34439824E8</v>
      </c>
      <c r="I11" s="32">
        <v>0.0</v>
      </c>
      <c r="J11" s="32">
        <v>1.5931608595E10</v>
      </c>
      <c r="K11" s="32">
        <v>3.3782410358E10</v>
      </c>
      <c r="L11" s="32">
        <v>129148.0</v>
      </c>
      <c r="M11" s="31" t="s">
        <v>34</v>
      </c>
      <c r="N11" s="31">
        <v>25.0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6.2691192E7</v>
      </c>
      <c r="B12" s="31" t="s">
        <v>43</v>
      </c>
      <c r="C12" s="32">
        <v>8.638944E7</v>
      </c>
      <c r="D12" s="32">
        <v>4.61652502E8</v>
      </c>
      <c r="E12" s="32">
        <v>1.8223195E7</v>
      </c>
      <c r="F12" s="32">
        <v>1337411.0</v>
      </c>
      <c r="G12" s="32">
        <v>1.0280481E7</v>
      </c>
      <c r="H12" s="32">
        <v>1.7745909E7</v>
      </c>
      <c r="I12" s="32">
        <v>0.0</v>
      </c>
      <c r="J12" s="32">
        <v>2.0870799893E10</v>
      </c>
      <c r="K12" s="32">
        <v>6.538529315E9</v>
      </c>
      <c r="L12" s="32">
        <v>85851.0</v>
      </c>
      <c r="M12" s="31" t="s">
        <v>34</v>
      </c>
      <c r="N12" s="31">
        <v>25.0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2463403.0</v>
      </c>
      <c r="B13" s="31" t="s">
        <v>39</v>
      </c>
      <c r="C13" s="32">
        <v>8.5426105E7</v>
      </c>
      <c r="D13" s="32">
        <v>7.393705695E9</v>
      </c>
      <c r="E13" s="32">
        <v>4.0544987E7</v>
      </c>
      <c r="F13" s="32">
        <v>3.0412616E7</v>
      </c>
      <c r="G13" s="32">
        <v>2.02560257E8</v>
      </c>
      <c r="H13" s="32">
        <v>2.66442213E8</v>
      </c>
      <c r="I13" s="32">
        <v>0.0</v>
      </c>
      <c r="J13" s="32">
        <v>2.9897494179E10</v>
      </c>
      <c r="K13" s="32">
        <v>1.0256888908E10</v>
      </c>
      <c r="L13" s="32">
        <v>273050.0</v>
      </c>
      <c r="M13" s="31" t="s">
        <v>34</v>
      </c>
      <c r="N13" s="31">
        <v>25.0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6.3222201E7</v>
      </c>
      <c r="B14" s="31" t="s">
        <v>64</v>
      </c>
      <c r="C14" s="32">
        <v>8.4915348E7</v>
      </c>
      <c r="D14" s="32">
        <v>1.922004721E9</v>
      </c>
      <c r="E14" s="32">
        <v>1.8475677E7</v>
      </c>
      <c r="F14" s="32">
        <v>2.1480436E7</v>
      </c>
      <c r="G14" s="32">
        <v>7.8931397E7</v>
      </c>
      <c r="H14" s="32">
        <v>5.5147972E7</v>
      </c>
      <c r="I14" s="32">
        <v>0.0</v>
      </c>
      <c r="J14" s="32">
        <v>3.307181335E10</v>
      </c>
      <c r="K14" s="32">
        <v>1.1337447834E10</v>
      </c>
      <c r="L14" s="32">
        <v>81422.0</v>
      </c>
      <c r="M14" s="31" t="s">
        <v>34</v>
      </c>
      <c r="N14" s="31">
        <v>25.0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1.3871553E8</v>
      </c>
      <c r="B15" s="31" t="s">
        <v>62</v>
      </c>
      <c r="C15" s="32">
        <v>8.4865812E7</v>
      </c>
      <c r="D15" s="32">
        <v>8.53472931E8</v>
      </c>
      <c r="E15" s="32">
        <v>1.5433989E7</v>
      </c>
      <c r="F15" s="32">
        <v>4.9055706E7</v>
      </c>
      <c r="G15" s="32">
        <v>2.4675057E7</v>
      </c>
      <c r="H15" s="32">
        <v>2.9586378E7</v>
      </c>
      <c r="I15" s="32">
        <v>0.0</v>
      </c>
      <c r="J15" s="32">
        <v>1.9443168336E10</v>
      </c>
      <c r="K15" s="32">
        <v>4.647127866E9</v>
      </c>
      <c r="L15" s="32">
        <v>120032.0</v>
      </c>
      <c r="M15" s="31" t="s">
        <v>34</v>
      </c>
      <c r="N15" s="31">
        <v>25.0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6.7071592E7</v>
      </c>
      <c r="B16" s="31" t="s">
        <v>45</v>
      </c>
      <c r="C16" s="32">
        <v>8.4072866E7</v>
      </c>
      <c r="D16" s="32">
        <v>9.853979951E9</v>
      </c>
      <c r="E16" s="32">
        <v>2.9634794E7</v>
      </c>
      <c r="F16" s="32">
        <v>8.1007766E7</v>
      </c>
      <c r="G16" s="32">
        <v>3.87522089E8</v>
      </c>
      <c r="H16" s="32">
        <v>2.92008684E8</v>
      </c>
      <c r="I16" s="32">
        <v>1804833.0</v>
      </c>
      <c r="J16" s="32">
        <v>3.7209106451E10</v>
      </c>
      <c r="K16" s="32">
        <v>2.5961215882E10</v>
      </c>
      <c r="L16" s="32">
        <v>229618.0</v>
      </c>
      <c r="M16" s="31" t="s">
        <v>34</v>
      </c>
      <c r="N16" s="31">
        <v>25.0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4.3136267E7</v>
      </c>
      <c r="B17" s="31" t="s">
        <v>65</v>
      </c>
      <c r="C17" s="32">
        <v>8.2799729E7</v>
      </c>
      <c r="D17" s="32">
        <v>2.428812804E9</v>
      </c>
      <c r="E17" s="32">
        <v>2.296527E7</v>
      </c>
      <c r="F17" s="32">
        <v>7.9807201E7</v>
      </c>
      <c r="G17" s="32">
        <v>7.3533858E7</v>
      </c>
      <c r="H17" s="32">
        <v>8.3657192E7</v>
      </c>
      <c r="I17" s="32">
        <v>0.0</v>
      </c>
      <c r="J17" s="32">
        <v>2.8375079703E10</v>
      </c>
      <c r="K17" s="32">
        <v>3.7469575604E10</v>
      </c>
      <c r="L17" s="32">
        <v>100012.0</v>
      </c>
      <c r="M17" s="31" t="s">
        <v>153</v>
      </c>
      <c r="N17" s="31">
        <v>25.0</v>
      </c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1.71879011E8</v>
      </c>
      <c r="B18" s="31" t="s">
        <v>80</v>
      </c>
      <c r="C18" s="32">
        <v>8.2433092E7</v>
      </c>
      <c r="D18" s="32">
        <v>3.32598477E8</v>
      </c>
      <c r="E18" s="32">
        <v>2684384.0</v>
      </c>
      <c r="F18" s="32">
        <v>2.7222938E7</v>
      </c>
      <c r="G18" s="32">
        <v>1.0994346E7</v>
      </c>
      <c r="H18" s="32">
        <v>1.0499497E7</v>
      </c>
      <c r="I18" s="32">
        <v>0.0</v>
      </c>
      <c r="J18" s="32">
        <v>1.4512127927E10</v>
      </c>
      <c r="K18" s="32">
        <v>1.808712272E9</v>
      </c>
      <c r="L18" s="32">
        <v>49910.0</v>
      </c>
      <c r="M18" s="31" t="s">
        <v>34</v>
      </c>
      <c r="N18" s="31">
        <v>25.0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9.8107237E7</v>
      </c>
      <c r="B19" s="31" t="s">
        <v>68</v>
      </c>
      <c r="C19" s="32">
        <v>8.1558892E7</v>
      </c>
      <c r="D19" s="32">
        <v>2.497323892E9</v>
      </c>
      <c r="E19" s="32">
        <v>1.7389056E7</v>
      </c>
      <c r="F19" s="32">
        <v>2179102.0</v>
      </c>
      <c r="G19" s="32">
        <v>6.5022559E7</v>
      </c>
      <c r="H19" s="32">
        <v>9.2141354E7</v>
      </c>
      <c r="I19" s="32">
        <v>0.0</v>
      </c>
      <c r="J19" s="32">
        <v>3.5266547313E10</v>
      </c>
      <c r="K19" s="32">
        <v>1.1477531851E10</v>
      </c>
      <c r="L19" s="32">
        <v>89232.0</v>
      </c>
      <c r="M19" s="31" t="s">
        <v>34</v>
      </c>
      <c r="N19" s="31">
        <v>25.0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7.1152824E7</v>
      </c>
      <c r="B20" s="31" t="s">
        <v>67</v>
      </c>
      <c r="C20" s="32">
        <v>8.1331806E7</v>
      </c>
      <c r="D20" s="32">
        <v>1.808338093E9</v>
      </c>
      <c r="E20" s="32">
        <v>1.8092842E7</v>
      </c>
      <c r="F20" s="32">
        <v>6.7889275E7</v>
      </c>
      <c r="G20" s="32">
        <v>7.2469041E7</v>
      </c>
      <c r="H20" s="32">
        <v>5.2127227E7</v>
      </c>
      <c r="I20" s="32">
        <v>313500.0</v>
      </c>
      <c r="J20" s="32">
        <v>2.4178133514E10</v>
      </c>
      <c r="K20" s="32">
        <v>1.1097140581E10</v>
      </c>
      <c r="L20" s="32">
        <v>57541.0</v>
      </c>
      <c r="M20" s="31" t="s">
        <v>34</v>
      </c>
      <c r="N20" s="31">
        <v>25.0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7.7394861E7</v>
      </c>
      <c r="B21" s="31" t="s">
        <v>50</v>
      </c>
      <c r="C21" s="32">
        <v>8.1117173E7</v>
      </c>
      <c r="D21" s="32">
        <v>2.640017895E9</v>
      </c>
      <c r="E21" s="32">
        <v>1.72222E7</v>
      </c>
      <c r="F21" s="32">
        <v>2079335.0</v>
      </c>
      <c r="G21" s="32">
        <v>9.4781671E7</v>
      </c>
      <c r="H21" s="32">
        <v>8.4466552E7</v>
      </c>
      <c r="I21" s="32">
        <v>0.0</v>
      </c>
      <c r="J21" s="32">
        <v>2.7899458902E10</v>
      </c>
      <c r="K21" s="32">
        <v>6.7810471155E10</v>
      </c>
      <c r="L21" s="32">
        <v>184780.0</v>
      </c>
      <c r="M21" s="31" t="s">
        <v>34</v>
      </c>
      <c r="N21" s="31">
        <v>25.0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2.989016E7</v>
      </c>
      <c r="B22" s="31" t="s">
        <v>399</v>
      </c>
      <c r="C22" s="32">
        <v>8.0264612E7</v>
      </c>
      <c r="D22" s="32">
        <v>8.24349652E8</v>
      </c>
      <c r="E22" s="32">
        <v>3.0692516E7</v>
      </c>
      <c r="F22" s="32">
        <v>9.7681853E7</v>
      </c>
      <c r="G22" s="32">
        <v>3.0290243E7</v>
      </c>
      <c r="H22" s="32">
        <v>2.4234685E7</v>
      </c>
      <c r="I22" s="32">
        <v>0.0</v>
      </c>
      <c r="J22" s="32">
        <v>1.9810741165E10</v>
      </c>
      <c r="K22" s="32">
        <v>5.308872359E9</v>
      </c>
      <c r="L22" s="32">
        <v>63863.0</v>
      </c>
      <c r="M22" s="31" t="s">
        <v>34</v>
      </c>
      <c r="N22" s="31">
        <v>25.0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4.8741756E7</v>
      </c>
      <c r="B23" s="31" t="s">
        <v>51</v>
      </c>
      <c r="C23" s="32">
        <v>8.0070266E7</v>
      </c>
      <c r="D23" s="32">
        <v>2.902349044E9</v>
      </c>
      <c r="E23" s="32">
        <v>2.3350411E7</v>
      </c>
      <c r="F23" s="32">
        <v>6.9157322E7</v>
      </c>
      <c r="G23" s="32">
        <v>1.23072091E8</v>
      </c>
      <c r="H23" s="32">
        <v>8.2031914E7</v>
      </c>
      <c r="I23" s="32">
        <v>804578.0</v>
      </c>
      <c r="J23" s="32">
        <v>2.0405093361E10</v>
      </c>
      <c r="K23" s="32">
        <v>2.2465439519E10</v>
      </c>
      <c r="L23" s="32">
        <v>163887.0</v>
      </c>
      <c r="M23" s="31" t="s">
        <v>34</v>
      </c>
      <c r="N23" s="31">
        <v>25.0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1.1726598E7</v>
      </c>
      <c r="B24" s="31" t="s">
        <v>42</v>
      </c>
      <c r="C24" s="32">
        <v>7.9542171E7</v>
      </c>
      <c r="D24" s="32">
        <v>8.138935904E9</v>
      </c>
      <c r="E24" s="32">
        <v>2.8150649E7</v>
      </c>
      <c r="F24" s="32">
        <v>8.4598414E7</v>
      </c>
      <c r="G24" s="32">
        <v>2.11599063E8</v>
      </c>
      <c r="H24" s="32">
        <v>2.9703994E8</v>
      </c>
      <c r="I24" s="32">
        <v>3821128.0</v>
      </c>
      <c r="J24" s="32">
        <v>2.3381321854E10</v>
      </c>
      <c r="K24" s="32">
        <v>3.0857472756E10</v>
      </c>
      <c r="L24" s="32">
        <v>171244.0</v>
      </c>
      <c r="M24" s="31" t="s">
        <v>34</v>
      </c>
      <c r="N24" s="31">
        <v>25.0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6.4010776E7</v>
      </c>
      <c r="B25" s="31" t="s">
        <v>478</v>
      </c>
      <c r="C25" s="32">
        <v>7.9317817E7</v>
      </c>
      <c r="D25" s="32">
        <v>2.390546346E9</v>
      </c>
      <c r="E25" s="32">
        <v>1.9035238E7</v>
      </c>
      <c r="F25" s="32">
        <v>3.5104753E7</v>
      </c>
      <c r="G25" s="32">
        <v>8.0570388E7</v>
      </c>
      <c r="H25" s="32">
        <v>7.6936449E7</v>
      </c>
      <c r="I25" s="32">
        <v>0.0</v>
      </c>
      <c r="J25" s="32">
        <v>2.0412084852E10</v>
      </c>
      <c r="K25" s="32">
        <v>2.9922279846E10</v>
      </c>
      <c r="L25" s="32">
        <v>108613.0</v>
      </c>
      <c r="M25" s="31" t="s">
        <v>34</v>
      </c>
      <c r="N25" s="31">
        <v>25.0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7.4556991E7</v>
      </c>
      <c r="B26" s="31" t="s">
        <v>204</v>
      </c>
      <c r="C26" s="32">
        <v>7.8383048E7</v>
      </c>
      <c r="D26" s="32">
        <v>2.422873571E9</v>
      </c>
      <c r="E26" s="32">
        <v>1.3684356E7</v>
      </c>
      <c r="F26" s="32">
        <v>5949188.0</v>
      </c>
      <c r="G26" s="32">
        <v>5.2497217E7</v>
      </c>
      <c r="H26" s="32">
        <v>9.4588772E7</v>
      </c>
      <c r="I26" s="32">
        <v>0.0</v>
      </c>
      <c r="J26" s="32">
        <v>1.8257613158E10</v>
      </c>
      <c r="K26" s="32">
        <v>5.737943886E9</v>
      </c>
      <c r="L26" s="32">
        <v>126467.0</v>
      </c>
      <c r="M26" s="31" t="s">
        <v>34</v>
      </c>
      <c r="N26" s="31">
        <v>25.0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1.71701107E8</v>
      </c>
      <c r="B27" s="31" t="s">
        <v>73</v>
      </c>
      <c r="C27" s="32">
        <v>7.834574E7</v>
      </c>
      <c r="D27" s="32">
        <v>5.18202229E8</v>
      </c>
      <c r="E27" s="32">
        <v>2952910.0</v>
      </c>
      <c r="F27" s="32">
        <v>5719228.0</v>
      </c>
      <c r="G27" s="32">
        <v>1.812561E7</v>
      </c>
      <c r="H27" s="32">
        <v>1.6595714E7</v>
      </c>
      <c r="I27" s="32">
        <v>0.0</v>
      </c>
      <c r="J27" s="32">
        <v>1.0194773338E10</v>
      </c>
      <c r="K27" s="32">
        <v>3.514918782E9</v>
      </c>
      <c r="L27" s="32">
        <v>26295.0</v>
      </c>
      <c r="M27" s="31" t="s">
        <v>34</v>
      </c>
      <c r="N27" s="31">
        <v>25.0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1.15125159E8</v>
      </c>
      <c r="B28" s="31" t="s">
        <v>400</v>
      </c>
      <c r="C28" s="32">
        <v>7.749632E7</v>
      </c>
      <c r="D28" s="32">
        <v>5.96003661E8</v>
      </c>
      <c r="E28" s="32">
        <v>1.0109587E7</v>
      </c>
      <c r="F28" s="32">
        <v>2309595.0</v>
      </c>
      <c r="G28" s="32">
        <v>2.3100465E7</v>
      </c>
      <c r="H28" s="32">
        <v>1.754599E7</v>
      </c>
      <c r="I28" s="32">
        <v>19919.0</v>
      </c>
      <c r="J28" s="32">
        <v>1.3074590225E10</v>
      </c>
      <c r="K28" s="32">
        <v>2.957793162E9</v>
      </c>
      <c r="L28" s="32">
        <v>50356.0</v>
      </c>
      <c r="M28" s="31" t="s">
        <v>34</v>
      </c>
      <c r="N28" s="31">
        <v>25.0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1.44060837E8</v>
      </c>
      <c r="B29" s="31" t="s">
        <v>442</v>
      </c>
      <c r="C29" s="32">
        <v>7.7288472E7</v>
      </c>
      <c r="D29" s="32">
        <v>3.8312856E8</v>
      </c>
      <c r="E29" s="32">
        <v>1.386229E7</v>
      </c>
      <c r="F29" s="32">
        <v>2831950.0</v>
      </c>
      <c r="G29" s="32">
        <v>1.2657054E7</v>
      </c>
      <c r="H29" s="32">
        <v>1.1393356E7</v>
      </c>
      <c r="I29" s="32">
        <v>0.0</v>
      </c>
      <c r="J29" s="32">
        <v>1.1680614956E10</v>
      </c>
      <c r="K29" s="32">
        <v>1.846559304E9</v>
      </c>
      <c r="L29" s="32">
        <v>52668.0</v>
      </c>
      <c r="M29" s="31" t="s">
        <v>34</v>
      </c>
      <c r="N29" s="31">
        <v>25.0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1.44109282E8</v>
      </c>
      <c r="B30" s="31" t="s">
        <v>364</v>
      </c>
      <c r="C30" s="32">
        <v>7.6572147E7</v>
      </c>
      <c r="D30" s="32">
        <v>8.78102917E8</v>
      </c>
      <c r="E30" s="32">
        <v>7803873.0</v>
      </c>
      <c r="F30" s="32">
        <v>1.80538079E8</v>
      </c>
      <c r="G30" s="32">
        <v>3.6889199E7</v>
      </c>
      <c r="H30" s="32">
        <v>2.3351583E7</v>
      </c>
      <c r="I30" s="32">
        <v>0.0</v>
      </c>
      <c r="J30" s="32">
        <v>1.7825128625E10</v>
      </c>
      <c r="K30" s="32">
        <v>4.508200002E9</v>
      </c>
      <c r="L30" s="32">
        <v>74006.0</v>
      </c>
      <c r="M30" s="31" t="s">
        <v>34</v>
      </c>
      <c r="N30" s="31">
        <v>25.0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1.6942777E8</v>
      </c>
      <c r="B31" s="31" t="s">
        <v>71</v>
      </c>
      <c r="C31" s="32">
        <v>7.6281802E7</v>
      </c>
      <c r="D31" s="32">
        <v>7.09705446E8</v>
      </c>
      <c r="E31" s="32">
        <v>8899862.0</v>
      </c>
      <c r="F31" s="32">
        <v>2437601.0</v>
      </c>
      <c r="G31" s="32">
        <v>2.5912757E7</v>
      </c>
      <c r="H31" s="32">
        <v>2.2181342E7</v>
      </c>
      <c r="I31" s="32">
        <v>0.0</v>
      </c>
      <c r="J31" s="32">
        <v>1.81080639E10</v>
      </c>
      <c r="K31" s="32">
        <v>6.86897086E8</v>
      </c>
      <c r="L31" s="32">
        <v>107113.0</v>
      </c>
      <c r="M31" s="31" t="s">
        <v>34</v>
      </c>
      <c r="N31" s="31">
        <v>25.0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7.1613822E7</v>
      </c>
      <c r="B32" s="31" t="s">
        <v>69</v>
      </c>
      <c r="C32" s="32">
        <v>7.6075742E7</v>
      </c>
      <c r="D32" s="32">
        <v>2.100724613E9</v>
      </c>
      <c r="E32" s="32">
        <v>2.9417375E7</v>
      </c>
      <c r="F32" s="32">
        <v>4.9292757E7</v>
      </c>
      <c r="G32" s="32">
        <v>7.5541964E7</v>
      </c>
      <c r="H32" s="32">
        <v>6.572722E7</v>
      </c>
      <c r="I32" s="32">
        <v>0.0</v>
      </c>
      <c r="J32" s="32">
        <v>2.4700131976E10</v>
      </c>
      <c r="K32" s="32">
        <v>6.537284955E9</v>
      </c>
      <c r="L32" s="32">
        <v>103916.0</v>
      </c>
      <c r="M32" s="31" t="s">
        <v>34</v>
      </c>
      <c r="N32" s="31">
        <v>25.0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1.70866748E8</v>
      </c>
      <c r="B33" s="31" t="s">
        <v>97</v>
      </c>
      <c r="C33" s="32">
        <v>7.5486723E7</v>
      </c>
      <c r="D33" s="32">
        <v>5.3155801E8</v>
      </c>
      <c r="E33" s="32">
        <v>5064860.0</v>
      </c>
      <c r="F33" s="32">
        <v>1156371.0</v>
      </c>
      <c r="G33" s="32">
        <v>8205599.0</v>
      </c>
      <c r="H33" s="32">
        <v>2.2399005E7</v>
      </c>
      <c r="I33" s="32">
        <v>0.0</v>
      </c>
      <c r="J33" s="32">
        <v>1.4079906349E10</v>
      </c>
      <c r="K33" s="32">
        <v>2.217127733E9</v>
      </c>
      <c r="L33" s="32">
        <v>32651.0</v>
      </c>
      <c r="M33" s="31" t="s">
        <v>34</v>
      </c>
      <c r="N33" s="31">
        <v>25.0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1.69247313E8</v>
      </c>
      <c r="B34" s="31" t="s">
        <v>75</v>
      </c>
      <c r="C34" s="32">
        <v>7.5472091E7</v>
      </c>
      <c r="D34" s="32">
        <v>4.11967657E8</v>
      </c>
      <c r="E34" s="32">
        <v>7540826.0</v>
      </c>
      <c r="F34" s="32">
        <v>2763865.0</v>
      </c>
      <c r="G34" s="32">
        <v>1.7023312E7</v>
      </c>
      <c r="H34" s="32">
        <v>1.1207598E7</v>
      </c>
      <c r="I34" s="32">
        <v>0.0</v>
      </c>
      <c r="J34" s="32">
        <v>1.9817246658E10</v>
      </c>
      <c r="K34" s="32">
        <v>1.929731466E9</v>
      </c>
      <c r="L34" s="32">
        <v>105544.0</v>
      </c>
      <c r="M34" s="31" t="s">
        <v>34</v>
      </c>
      <c r="N34" s="31">
        <v>25.0</v>
      </c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1.69461237E8</v>
      </c>
      <c r="B35" s="31" t="s">
        <v>82</v>
      </c>
      <c r="C35" s="32">
        <v>7.5210474E7</v>
      </c>
      <c r="D35" s="32">
        <v>3.74816162E8</v>
      </c>
      <c r="E35" s="32">
        <v>3971161.0</v>
      </c>
      <c r="F35" s="32">
        <v>3057052.0</v>
      </c>
      <c r="G35" s="32">
        <v>2.3104818E7</v>
      </c>
      <c r="H35" s="32">
        <v>5769663.0</v>
      </c>
      <c r="I35" s="32">
        <v>0.0</v>
      </c>
      <c r="J35" s="32">
        <v>3.367890739E9</v>
      </c>
      <c r="K35" s="32">
        <v>2.3798231616E10</v>
      </c>
      <c r="L35" s="32">
        <v>20524.0</v>
      </c>
      <c r="M35" s="31" t="s">
        <v>34</v>
      </c>
      <c r="N35" s="31">
        <v>25.0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1.56479771E8</v>
      </c>
      <c r="B36" s="31" t="s">
        <v>70</v>
      </c>
      <c r="C36" s="32">
        <v>7.5115358E7</v>
      </c>
      <c r="D36" s="32">
        <v>1.573638584E9</v>
      </c>
      <c r="E36" s="32">
        <v>1.0205162E7</v>
      </c>
      <c r="F36" s="32">
        <v>4.0075233E7</v>
      </c>
      <c r="G36" s="32">
        <v>6.9427192E7</v>
      </c>
      <c r="H36" s="32">
        <v>4.1575063E7</v>
      </c>
      <c r="I36" s="32">
        <v>0.0</v>
      </c>
      <c r="J36" s="32">
        <v>1.6727644044E10</v>
      </c>
      <c r="K36" s="32">
        <v>1.0511487032E10</v>
      </c>
      <c r="L36" s="32">
        <v>96376.0</v>
      </c>
      <c r="M36" s="31" t="s">
        <v>34</v>
      </c>
      <c r="N36" s="31">
        <v>25.0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1.4572491E7</v>
      </c>
      <c r="B37" s="31" t="s">
        <v>46</v>
      </c>
      <c r="C37" s="32">
        <v>7.4019075E7</v>
      </c>
      <c r="D37" s="32">
        <v>7.041934438E9</v>
      </c>
      <c r="E37" s="32">
        <v>6.3318543E7</v>
      </c>
      <c r="F37" s="32">
        <v>5.6830191E7</v>
      </c>
      <c r="G37" s="32">
        <v>2.11050446E8</v>
      </c>
      <c r="H37" s="32">
        <v>2.42804049E8</v>
      </c>
      <c r="I37" s="32">
        <v>0.0</v>
      </c>
      <c r="J37" s="32">
        <v>1.9421089683E10</v>
      </c>
      <c r="K37" s="32">
        <v>4.7723874529E10</v>
      </c>
      <c r="L37" s="32">
        <v>178675.0</v>
      </c>
      <c r="M37" s="31" t="s">
        <v>34</v>
      </c>
      <c r="N37" s="31">
        <v>25.0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1.6683283E8</v>
      </c>
      <c r="B38" s="31" t="s">
        <v>489</v>
      </c>
      <c r="C38" s="32">
        <v>7.390402E7</v>
      </c>
      <c r="D38" s="32">
        <v>1.014375033E9</v>
      </c>
      <c r="E38" s="32">
        <v>3790649.0</v>
      </c>
      <c r="F38" s="32">
        <v>7929699.0</v>
      </c>
      <c r="G38" s="32">
        <v>4.83294E7</v>
      </c>
      <c r="H38" s="32">
        <v>2.5832166E7</v>
      </c>
      <c r="I38" s="32">
        <v>0.0</v>
      </c>
      <c r="J38" s="32">
        <v>1.5345779072E10</v>
      </c>
      <c r="K38" s="32">
        <v>1.367202204E9</v>
      </c>
      <c r="L38" s="32">
        <v>128563.0</v>
      </c>
      <c r="M38" s="31" t="s">
        <v>490</v>
      </c>
      <c r="N38" s="31">
        <v>25.0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7887352.0</v>
      </c>
      <c r="B39" s="31" t="s">
        <v>83</v>
      </c>
      <c r="C39" s="32">
        <v>7.3759366E7</v>
      </c>
      <c r="D39" s="32">
        <v>2.18393621E9</v>
      </c>
      <c r="E39" s="32">
        <v>1.6550764E7</v>
      </c>
      <c r="F39" s="32">
        <v>3.4656841E7</v>
      </c>
      <c r="G39" s="32">
        <v>7.0489234E7</v>
      </c>
      <c r="H39" s="32">
        <v>7.3362126E7</v>
      </c>
      <c r="I39" s="32">
        <v>0.0</v>
      </c>
      <c r="J39" s="32">
        <v>1.6630816295E10</v>
      </c>
      <c r="K39" s="32">
        <v>1.2713533366E10</v>
      </c>
      <c r="L39" s="32">
        <v>45861.0</v>
      </c>
      <c r="M39" s="31" t="s">
        <v>147</v>
      </c>
      <c r="N39" s="31">
        <v>25.0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1.36378574E8</v>
      </c>
      <c r="B40" s="31" t="s">
        <v>401</v>
      </c>
      <c r="C40" s="32">
        <v>7.3367183E7</v>
      </c>
      <c r="D40" s="32">
        <v>5.98467976E8</v>
      </c>
      <c r="E40" s="32">
        <v>6823289.0</v>
      </c>
      <c r="F40" s="32">
        <v>5150003.0</v>
      </c>
      <c r="G40" s="32">
        <v>2.979345E7</v>
      </c>
      <c r="H40" s="32">
        <v>1.4389592E7</v>
      </c>
      <c r="I40" s="32">
        <v>0.0</v>
      </c>
      <c r="J40" s="32">
        <v>1.9551695088E10</v>
      </c>
      <c r="K40" s="32">
        <v>9.741231848E9</v>
      </c>
      <c r="L40" s="32">
        <v>27257.0</v>
      </c>
      <c r="M40" s="31" t="s">
        <v>34</v>
      </c>
      <c r="N40" s="31">
        <v>25.0</v>
      </c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1.41154852E8</v>
      </c>
      <c r="B41" s="31" t="s">
        <v>76</v>
      </c>
      <c r="C41" s="32">
        <v>7.3334127E7</v>
      </c>
      <c r="D41" s="32">
        <v>2.585882572E9</v>
      </c>
      <c r="E41" s="32">
        <v>1.1617546E7</v>
      </c>
      <c r="F41" s="32">
        <v>2.9681551E7</v>
      </c>
      <c r="G41" s="32">
        <v>1.07999741E8</v>
      </c>
      <c r="H41" s="32">
        <v>7.2829769E7</v>
      </c>
      <c r="I41" s="32">
        <v>0.0</v>
      </c>
      <c r="J41" s="32">
        <v>1.6572900064E10</v>
      </c>
      <c r="K41" s="32">
        <v>6.166357243E9</v>
      </c>
      <c r="L41" s="32">
        <v>69346.0</v>
      </c>
      <c r="M41" s="31" t="s">
        <v>34</v>
      </c>
      <c r="N41" s="31">
        <v>25.0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1.40009179E8</v>
      </c>
      <c r="B42" s="31" t="s">
        <v>403</v>
      </c>
      <c r="C42" s="32">
        <v>7.3196966E7</v>
      </c>
      <c r="D42" s="32">
        <v>1.039163439E9</v>
      </c>
      <c r="E42" s="32">
        <v>1.0543562E7</v>
      </c>
      <c r="F42" s="32">
        <v>2.8697919E7</v>
      </c>
      <c r="G42" s="32">
        <v>5.8790027E7</v>
      </c>
      <c r="H42" s="32">
        <v>2.1885816E7</v>
      </c>
      <c r="I42" s="32">
        <v>0.0</v>
      </c>
      <c r="J42" s="32">
        <v>1.3849018409E10</v>
      </c>
      <c r="K42" s="32">
        <v>2.648117913E9</v>
      </c>
      <c r="L42" s="32">
        <v>35720.0</v>
      </c>
      <c r="M42" s="31" t="s">
        <v>147</v>
      </c>
      <c r="N42" s="31">
        <v>25.0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1.71503078E8</v>
      </c>
      <c r="B43" s="31" t="s">
        <v>72</v>
      </c>
      <c r="C43" s="32">
        <v>7.2648278E7</v>
      </c>
      <c r="D43" s="32">
        <v>1.191630662E9</v>
      </c>
      <c r="E43" s="32">
        <v>2787885.0</v>
      </c>
      <c r="F43" s="32">
        <v>1.6235741E7</v>
      </c>
      <c r="G43" s="32">
        <v>2.9684447E7</v>
      </c>
      <c r="H43" s="32">
        <v>4.2786384E7</v>
      </c>
      <c r="I43" s="32">
        <v>0.0</v>
      </c>
      <c r="J43" s="32">
        <v>1.873888897E10</v>
      </c>
      <c r="K43" s="32">
        <v>4.69248407E9</v>
      </c>
      <c r="L43" s="32">
        <v>60437.0</v>
      </c>
      <c r="M43" s="31" t="s">
        <v>34</v>
      </c>
      <c r="N43" s="31">
        <v>25.0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1.71972257E8</v>
      </c>
      <c r="B44" s="31" t="s">
        <v>90</v>
      </c>
      <c r="C44" s="32">
        <v>7.2582272E7</v>
      </c>
      <c r="D44" s="32">
        <v>5.78290121E8</v>
      </c>
      <c r="E44" s="32">
        <v>4645032.0</v>
      </c>
      <c r="F44" s="32">
        <v>4.6650805E7</v>
      </c>
      <c r="G44" s="32">
        <v>2.3352132E7</v>
      </c>
      <c r="H44" s="32">
        <v>1.6466672E7</v>
      </c>
      <c r="I44" s="32">
        <v>0.0</v>
      </c>
      <c r="J44" s="32">
        <v>1.3423111362E10</v>
      </c>
      <c r="K44" s="32">
        <v>2.961253098E9</v>
      </c>
      <c r="L44" s="32">
        <v>16276.0</v>
      </c>
      <c r="M44" s="31" t="s">
        <v>34</v>
      </c>
      <c r="N44" s="31">
        <v>25.0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1.72041454E8</v>
      </c>
      <c r="B45" s="31" t="s">
        <v>87</v>
      </c>
      <c r="C45" s="32">
        <v>7.2345094E7</v>
      </c>
      <c r="D45" s="32">
        <v>4.08665765E8</v>
      </c>
      <c r="E45" s="32">
        <v>6599843.0</v>
      </c>
      <c r="F45" s="32">
        <v>2.7015979E7</v>
      </c>
      <c r="G45" s="32">
        <v>1.9989686E7</v>
      </c>
      <c r="H45" s="32">
        <v>9759490.0</v>
      </c>
      <c r="I45" s="32">
        <v>0.0</v>
      </c>
      <c r="J45" s="32">
        <v>1.0578525927E10</v>
      </c>
      <c r="K45" s="32">
        <v>9.81560618E8</v>
      </c>
      <c r="L45" s="32">
        <v>48712.0</v>
      </c>
      <c r="M45" s="31" t="s">
        <v>34</v>
      </c>
      <c r="N45" s="31">
        <v>25.0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1.72021868E8</v>
      </c>
      <c r="B46" s="31" t="s">
        <v>81</v>
      </c>
      <c r="C46" s="32">
        <v>7.14446E7</v>
      </c>
      <c r="D46" s="32">
        <v>7.68400614E8</v>
      </c>
      <c r="E46" s="32">
        <v>3367155.0</v>
      </c>
      <c r="F46" s="32">
        <v>1.1475103E7</v>
      </c>
      <c r="G46" s="32">
        <v>1.4946795E7</v>
      </c>
      <c r="H46" s="32">
        <v>3.0740448E7</v>
      </c>
      <c r="I46" s="32">
        <v>0.0</v>
      </c>
      <c r="J46" s="32">
        <v>9.5397596E9</v>
      </c>
      <c r="K46" s="32">
        <v>1.49770917E9</v>
      </c>
      <c r="L46" s="32">
        <v>76442.0</v>
      </c>
      <c r="M46" s="31" t="s">
        <v>34</v>
      </c>
      <c r="N46" s="31">
        <v>25.0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1.77526978E8</v>
      </c>
      <c r="B47" s="31" t="s">
        <v>74</v>
      </c>
      <c r="C47" s="32">
        <v>7.1185646E7</v>
      </c>
      <c r="D47" s="32">
        <v>9.9361736E7</v>
      </c>
      <c r="E47" s="32">
        <v>3081133.0</v>
      </c>
      <c r="F47" s="32">
        <v>6554003.0</v>
      </c>
      <c r="G47" s="32">
        <v>3515184.0</v>
      </c>
      <c r="H47" s="32">
        <v>3073418.0</v>
      </c>
      <c r="I47" s="32">
        <v>0.0</v>
      </c>
      <c r="J47" s="32">
        <v>9.287293235E9</v>
      </c>
      <c r="K47" s="32">
        <v>7.881382248E9</v>
      </c>
      <c r="L47" s="32">
        <v>24743.0</v>
      </c>
      <c r="M47" s="31" t="s">
        <v>34</v>
      </c>
      <c r="N47" s="31">
        <v>25.0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1.71604682E8</v>
      </c>
      <c r="B48" s="31" t="s">
        <v>86</v>
      </c>
      <c r="C48" s="32">
        <v>7.0865138E7</v>
      </c>
      <c r="D48" s="32">
        <v>1.154552451E9</v>
      </c>
      <c r="E48" s="32">
        <v>6004602.0</v>
      </c>
      <c r="F48" s="32">
        <v>1.1801935E7</v>
      </c>
      <c r="G48" s="32">
        <v>4.568386E7</v>
      </c>
      <c r="H48" s="32">
        <v>3.2778414E7</v>
      </c>
      <c r="I48" s="32">
        <v>0.0</v>
      </c>
      <c r="J48" s="32">
        <v>8.983526246E9</v>
      </c>
      <c r="K48" s="32">
        <v>1.370720264E9</v>
      </c>
      <c r="L48" s="32">
        <v>59957.0</v>
      </c>
      <c r="M48" s="31" t="s">
        <v>34</v>
      </c>
      <c r="N48" s="31">
        <v>25.0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1.71927851E8</v>
      </c>
      <c r="B49" s="31" t="s">
        <v>96</v>
      </c>
      <c r="C49" s="32">
        <v>7.0532835E7</v>
      </c>
      <c r="D49" s="32">
        <v>3.05727513E8</v>
      </c>
      <c r="E49" s="32">
        <v>2660983.0</v>
      </c>
      <c r="F49" s="32">
        <v>9960405.0</v>
      </c>
      <c r="G49" s="32">
        <v>5387963.0</v>
      </c>
      <c r="H49" s="32">
        <v>1.2410172E7</v>
      </c>
      <c r="I49" s="32">
        <v>0.0</v>
      </c>
      <c r="J49" s="32">
        <v>9.49624473E9</v>
      </c>
      <c r="K49" s="32">
        <v>1.01624E8</v>
      </c>
      <c r="L49" s="32">
        <v>29827.0</v>
      </c>
      <c r="M49" s="31" t="s">
        <v>34</v>
      </c>
      <c r="N49" s="31">
        <v>25.0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1.20029911E8</v>
      </c>
      <c r="B50" s="31" t="s">
        <v>79</v>
      </c>
      <c r="C50" s="32">
        <v>7.050432E7</v>
      </c>
      <c r="D50" s="32">
        <v>8.62967657E8</v>
      </c>
      <c r="E50" s="32">
        <v>1.0378492E7</v>
      </c>
      <c r="F50" s="32">
        <v>1.1576167E7</v>
      </c>
      <c r="G50" s="32">
        <v>4.2167934E7</v>
      </c>
      <c r="H50" s="32">
        <v>2.0452126E7</v>
      </c>
      <c r="I50" s="32">
        <v>135423.0</v>
      </c>
      <c r="J50" s="32">
        <v>1.0372903212E10</v>
      </c>
      <c r="K50" s="32">
        <v>1.6524234312E10</v>
      </c>
      <c r="L50" s="32">
        <v>53226.0</v>
      </c>
      <c r="M50" s="31" t="s">
        <v>34</v>
      </c>
      <c r="N50" s="31">
        <v>25.0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1.66497805E8</v>
      </c>
      <c r="B51" s="31" t="s">
        <v>77</v>
      </c>
      <c r="C51" s="32">
        <v>7.0421311E7</v>
      </c>
      <c r="D51" s="32">
        <v>5.62931806E8</v>
      </c>
      <c r="E51" s="32">
        <v>5287654.0</v>
      </c>
      <c r="F51" s="32">
        <v>2158221.0</v>
      </c>
      <c r="G51" s="32">
        <v>2.5736799E7</v>
      </c>
      <c r="H51" s="32">
        <v>1.4747287E7</v>
      </c>
      <c r="I51" s="32">
        <v>0.0</v>
      </c>
      <c r="J51" s="32">
        <v>1.4758083009E10</v>
      </c>
      <c r="K51" s="32">
        <v>3.56763729E8</v>
      </c>
      <c r="L51" s="32">
        <v>60058.0</v>
      </c>
      <c r="M51" s="31" t="s">
        <v>34</v>
      </c>
      <c r="N51" s="31">
        <v>25.0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1.43088559E8</v>
      </c>
      <c r="B52" s="31" t="s">
        <v>93</v>
      </c>
      <c r="C52" s="32">
        <v>7.0276733E7</v>
      </c>
      <c r="D52" s="32">
        <v>4.63290559E8</v>
      </c>
      <c r="E52" s="32">
        <v>4093564.0</v>
      </c>
      <c r="F52" s="32">
        <v>1.0480295E7</v>
      </c>
      <c r="G52" s="32">
        <v>2.6725717E7</v>
      </c>
      <c r="H52" s="32">
        <v>8944637.0</v>
      </c>
      <c r="I52" s="32">
        <v>0.0</v>
      </c>
      <c r="J52" s="32">
        <v>1.2955117867E10</v>
      </c>
      <c r="K52" s="32">
        <v>2.11081372E9</v>
      </c>
      <c r="L52" s="32">
        <v>36439.0</v>
      </c>
      <c r="M52" s="31" t="s">
        <v>34</v>
      </c>
      <c r="N52" s="31">
        <v>25.0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1.71491377E8</v>
      </c>
      <c r="B53" s="31" t="s">
        <v>84</v>
      </c>
      <c r="C53" s="32">
        <v>6.9866979E7</v>
      </c>
      <c r="D53" s="32">
        <v>4.04757155E8</v>
      </c>
      <c r="E53" s="32">
        <v>3269032.0</v>
      </c>
      <c r="F53" s="32">
        <v>3170587.0</v>
      </c>
      <c r="G53" s="32">
        <v>9842733.0</v>
      </c>
      <c r="H53" s="32">
        <v>1.5195779E7</v>
      </c>
      <c r="I53" s="32">
        <v>0.0</v>
      </c>
      <c r="J53" s="32">
        <v>1.2656721484E10</v>
      </c>
      <c r="K53" s="32">
        <v>1.080422782E9</v>
      </c>
      <c r="L53" s="32">
        <v>52252.0</v>
      </c>
      <c r="M53" s="31" t="s">
        <v>34</v>
      </c>
      <c r="N53" s="31">
        <v>25.0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1.69446634E8</v>
      </c>
      <c r="B54" s="31" t="s">
        <v>405</v>
      </c>
      <c r="C54" s="32">
        <v>6.9653488E7</v>
      </c>
      <c r="D54" s="32">
        <v>2.62659157E8</v>
      </c>
      <c r="E54" s="32">
        <v>8440248.0</v>
      </c>
      <c r="F54" s="32">
        <v>736198.0</v>
      </c>
      <c r="G54" s="32">
        <v>9847571.0</v>
      </c>
      <c r="H54" s="32">
        <v>8111186.0</v>
      </c>
      <c r="I54" s="32">
        <v>0.0</v>
      </c>
      <c r="J54" s="32">
        <v>1.1032727235E10</v>
      </c>
      <c r="K54" s="32">
        <v>3.3338578E8</v>
      </c>
      <c r="L54" s="32">
        <v>56264.0</v>
      </c>
      <c r="M54" s="31" t="s">
        <v>34</v>
      </c>
      <c r="N54" s="31">
        <v>25.0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1.71983336E8</v>
      </c>
      <c r="B55" s="31" t="s">
        <v>408</v>
      </c>
      <c r="C55" s="32">
        <v>6.954351E7</v>
      </c>
      <c r="D55" s="32">
        <v>2.97012815E8</v>
      </c>
      <c r="E55" s="32">
        <v>4742242.0</v>
      </c>
      <c r="F55" s="32">
        <v>7597237.0</v>
      </c>
      <c r="G55" s="32">
        <v>1.1608505E7</v>
      </c>
      <c r="H55" s="32">
        <v>8572892.0</v>
      </c>
      <c r="I55" s="32">
        <v>0.0</v>
      </c>
      <c r="J55" s="32">
        <v>1.3975610249E10</v>
      </c>
      <c r="K55" s="32">
        <v>5.285278491E9</v>
      </c>
      <c r="L55" s="32">
        <v>102499.0</v>
      </c>
      <c r="M55" s="31" t="s">
        <v>34</v>
      </c>
      <c r="N55" s="31">
        <v>25.0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1.66110884E8</v>
      </c>
      <c r="B56" s="31" t="s">
        <v>95</v>
      </c>
      <c r="C56" s="32">
        <v>6.9087711E7</v>
      </c>
      <c r="D56" s="32">
        <v>8.345884E8</v>
      </c>
      <c r="E56" s="32">
        <v>6283339.0</v>
      </c>
      <c r="F56" s="32">
        <v>4.3590233E7</v>
      </c>
      <c r="G56" s="32">
        <v>3.1901783E7</v>
      </c>
      <c r="H56" s="32">
        <v>2.3567454E7</v>
      </c>
      <c r="I56" s="32">
        <v>0.0</v>
      </c>
      <c r="J56" s="32">
        <v>8.545770291E9</v>
      </c>
      <c r="K56" s="32">
        <v>3.624684682E9</v>
      </c>
      <c r="L56" s="32">
        <v>68114.0</v>
      </c>
      <c r="M56" s="31" t="s">
        <v>34</v>
      </c>
      <c r="N56" s="31">
        <v>25.0</v>
      </c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1915332.0</v>
      </c>
      <c r="B57" s="31" t="s">
        <v>110</v>
      </c>
      <c r="C57" s="32">
        <v>6.8638698E7</v>
      </c>
      <c r="D57" s="32">
        <v>3.80967264E8</v>
      </c>
      <c r="E57" s="32">
        <v>9024801.0</v>
      </c>
      <c r="F57" s="32">
        <v>1.7924392E7</v>
      </c>
      <c r="G57" s="32">
        <v>1.6192177E7</v>
      </c>
      <c r="H57" s="32">
        <v>1.0029852E7</v>
      </c>
      <c r="I57" s="32">
        <v>0.0</v>
      </c>
      <c r="J57" s="32">
        <v>7.316298288E9</v>
      </c>
      <c r="K57" s="32">
        <v>4.025499586E9</v>
      </c>
      <c r="L57" s="32">
        <v>32828.0</v>
      </c>
      <c r="M57" s="31" t="s">
        <v>147</v>
      </c>
      <c r="N57" s="31">
        <v>25.0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1.71355737E8</v>
      </c>
      <c r="B58" s="31" t="s">
        <v>491</v>
      </c>
      <c r="C58" s="32">
        <v>6.8453883E7</v>
      </c>
      <c r="D58" s="32">
        <v>4.3800472E8</v>
      </c>
      <c r="E58" s="32">
        <v>4073422.0</v>
      </c>
      <c r="F58" s="32">
        <v>1726911.0</v>
      </c>
      <c r="G58" s="32">
        <v>1.6253693E7</v>
      </c>
      <c r="H58" s="32">
        <v>1.3717466E7</v>
      </c>
      <c r="I58" s="32">
        <v>0.0</v>
      </c>
      <c r="J58" s="32">
        <v>1.3475469268E10</v>
      </c>
      <c r="K58" s="32">
        <v>6.904546118E9</v>
      </c>
      <c r="L58" s="32">
        <v>77269.0</v>
      </c>
      <c r="M58" s="31" t="s">
        <v>34</v>
      </c>
      <c r="N58" s="31">
        <v>25.0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1.5633938E8</v>
      </c>
      <c r="B59" s="31" t="s">
        <v>89</v>
      </c>
      <c r="C59" s="32">
        <v>6.8317464E7</v>
      </c>
      <c r="D59" s="32">
        <v>6.00985567E8</v>
      </c>
      <c r="E59" s="32">
        <v>8381565.0</v>
      </c>
      <c r="F59" s="32">
        <v>5871227.0</v>
      </c>
      <c r="G59" s="32">
        <v>3.1220779E7</v>
      </c>
      <c r="H59" s="32">
        <v>1.2821083E7</v>
      </c>
      <c r="I59" s="32">
        <v>0.0</v>
      </c>
      <c r="J59" s="32">
        <v>1.5668142184E10</v>
      </c>
      <c r="K59" s="32">
        <v>3.759929489E9</v>
      </c>
      <c r="L59" s="32">
        <v>125277.0</v>
      </c>
      <c r="M59" s="31" t="s">
        <v>34</v>
      </c>
      <c r="N59" s="31">
        <v>25.0</v>
      </c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1.72033754E8</v>
      </c>
      <c r="B60" s="31" t="s">
        <v>92</v>
      </c>
      <c r="C60" s="32">
        <v>6.8030839E7</v>
      </c>
      <c r="D60" s="32">
        <v>3.81692523E8</v>
      </c>
      <c r="E60" s="32">
        <v>6385775.0</v>
      </c>
      <c r="F60" s="32">
        <v>1.4861437E7</v>
      </c>
      <c r="G60" s="32">
        <v>1.6408273E7</v>
      </c>
      <c r="H60" s="32">
        <v>1.020838E7</v>
      </c>
      <c r="I60" s="32">
        <v>0.0</v>
      </c>
      <c r="J60" s="32">
        <v>1.0713512E10</v>
      </c>
      <c r="K60" s="32">
        <v>1.15993687E9</v>
      </c>
      <c r="L60" s="32">
        <v>34779.0</v>
      </c>
      <c r="M60" s="31" t="s">
        <v>34</v>
      </c>
      <c r="N60" s="31">
        <v>25.0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1.71806191E8</v>
      </c>
      <c r="B61" s="31" t="s">
        <v>443</v>
      </c>
      <c r="C61" s="32">
        <v>6.7657939E7</v>
      </c>
      <c r="D61" s="32">
        <v>2.08819289E8</v>
      </c>
      <c r="E61" s="32">
        <v>2536251.0</v>
      </c>
      <c r="F61" s="32">
        <v>1244899.0</v>
      </c>
      <c r="G61" s="32">
        <v>6790337.0</v>
      </c>
      <c r="H61" s="32">
        <v>6976648.0</v>
      </c>
      <c r="I61" s="32">
        <v>0.0</v>
      </c>
      <c r="J61" s="32">
        <v>9.434512262E9</v>
      </c>
      <c r="K61" s="32">
        <v>1.15560939E8</v>
      </c>
      <c r="L61" s="32">
        <v>18788.0</v>
      </c>
      <c r="M61" s="31" t="s">
        <v>34</v>
      </c>
      <c r="N61" s="31">
        <v>25.0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1.70972148E8</v>
      </c>
      <c r="B62" s="31" t="s">
        <v>406</v>
      </c>
      <c r="C62" s="32">
        <v>6.7240498E7</v>
      </c>
      <c r="D62" s="32">
        <v>2.18170574E8</v>
      </c>
      <c r="E62" s="32">
        <v>4140585.0</v>
      </c>
      <c r="F62" s="32">
        <v>1.4804982E7</v>
      </c>
      <c r="G62" s="32">
        <v>9073372.0</v>
      </c>
      <c r="H62" s="32">
        <v>6135669.0</v>
      </c>
      <c r="I62" s="32">
        <v>0.0</v>
      </c>
      <c r="J62" s="32">
        <v>1.10039547E10</v>
      </c>
      <c r="K62" s="32">
        <v>1.493960679E9</v>
      </c>
      <c r="L62" s="32">
        <v>26570.0</v>
      </c>
      <c r="M62" s="31" t="s">
        <v>34</v>
      </c>
      <c r="N62" s="31">
        <v>25.0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1.55534128E8</v>
      </c>
      <c r="B63" s="31" t="s">
        <v>105</v>
      </c>
      <c r="C63" s="32">
        <v>6.7076793E7</v>
      </c>
      <c r="D63" s="32">
        <v>1.03880824E9</v>
      </c>
      <c r="E63" s="32">
        <v>7997536.0</v>
      </c>
      <c r="F63" s="32">
        <v>1.5022623E7</v>
      </c>
      <c r="G63" s="32">
        <v>3.7338135E7</v>
      </c>
      <c r="H63" s="32">
        <v>3.2579664E7</v>
      </c>
      <c r="I63" s="32">
        <v>0.0</v>
      </c>
      <c r="J63" s="32">
        <v>8.006518345E9</v>
      </c>
      <c r="K63" s="32">
        <v>9.17037441E8</v>
      </c>
      <c r="L63" s="32">
        <v>50542.0</v>
      </c>
      <c r="M63" s="31" t="s">
        <v>440</v>
      </c>
      <c r="N63" s="31">
        <v>25.0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1.68923934E8</v>
      </c>
      <c r="B64" s="31" t="s">
        <v>98</v>
      </c>
      <c r="C64" s="32">
        <v>6.6830884E7</v>
      </c>
      <c r="D64" s="32">
        <v>5.74215967E8</v>
      </c>
      <c r="E64" s="32">
        <v>4148381.0</v>
      </c>
      <c r="F64" s="32">
        <v>4.2203045E7</v>
      </c>
      <c r="G64" s="32">
        <v>2.1489012E7</v>
      </c>
      <c r="H64" s="32">
        <v>1.5777664E7</v>
      </c>
      <c r="I64" s="32">
        <v>0.0</v>
      </c>
      <c r="J64" s="32">
        <v>7.445785866E9</v>
      </c>
      <c r="K64" s="32">
        <v>4.97581842E8</v>
      </c>
      <c r="L64" s="32">
        <v>30127.0</v>
      </c>
      <c r="M64" s="31" t="s">
        <v>34</v>
      </c>
      <c r="N64" s="31">
        <v>25.0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1.70708608E8</v>
      </c>
      <c r="B65" s="31" t="s">
        <v>91</v>
      </c>
      <c r="C65" s="32">
        <v>6.6693531E7</v>
      </c>
      <c r="D65" s="32">
        <v>2.66970583E8</v>
      </c>
      <c r="E65" s="32">
        <v>7064598.0</v>
      </c>
      <c r="F65" s="32">
        <v>4.8030318E7</v>
      </c>
      <c r="G65" s="32">
        <v>7945150.0</v>
      </c>
      <c r="H65" s="32">
        <v>8656158.0</v>
      </c>
      <c r="I65" s="32">
        <v>0.0</v>
      </c>
      <c r="J65" s="32">
        <v>9.683049773E9</v>
      </c>
      <c r="K65" s="32">
        <v>1.58724317E9</v>
      </c>
      <c r="L65" s="32">
        <v>23468.0</v>
      </c>
      <c r="M65" s="31" t="s">
        <v>34</v>
      </c>
      <c r="N65" s="31">
        <v>25.0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1.46428825E8</v>
      </c>
      <c r="B66" s="31" t="s">
        <v>52</v>
      </c>
      <c r="C66" s="32">
        <v>6.6524823E7</v>
      </c>
      <c r="D66" s="32">
        <v>1.680449004E9</v>
      </c>
      <c r="E66" s="32">
        <v>9559763.0</v>
      </c>
      <c r="F66" s="32">
        <v>1.2960712E7</v>
      </c>
      <c r="G66" s="32">
        <v>5.7161634E7</v>
      </c>
      <c r="H66" s="32">
        <v>5.4884752E7</v>
      </c>
      <c r="I66" s="32">
        <v>0.0</v>
      </c>
      <c r="J66" s="32">
        <v>2.6259923821E10</v>
      </c>
      <c r="K66" s="32">
        <v>9.720861277E9</v>
      </c>
      <c r="L66" s="32">
        <v>134608.0</v>
      </c>
      <c r="M66" s="31" t="s">
        <v>34</v>
      </c>
      <c r="N66" s="31">
        <v>25.0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1.69326547E8</v>
      </c>
      <c r="B67" s="31" t="s">
        <v>47</v>
      </c>
      <c r="C67" s="32">
        <v>6.6486279E7</v>
      </c>
      <c r="D67" s="32">
        <v>3.088495654E9</v>
      </c>
      <c r="E67" s="32">
        <v>8496161.0</v>
      </c>
      <c r="F67" s="32">
        <v>8445190.0</v>
      </c>
      <c r="G67" s="32">
        <v>8.904076E7</v>
      </c>
      <c r="H67" s="32">
        <v>1.08005708E8</v>
      </c>
      <c r="I67" s="32">
        <v>0.0</v>
      </c>
      <c r="J67" s="32">
        <v>1.0561230024E10</v>
      </c>
      <c r="K67" s="32">
        <v>9.410822851E9</v>
      </c>
      <c r="L67" s="32">
        <v>116544.0</v>
      </c>
      <c r="M67" s="31" t="s">
        <v>34</v>
      </c>
      <c r="N67" s="31">
        <v>25.0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1.68839111E8</v>
      </c>
      <c r="B68" s="31" t="s">
        <v>101</v>
      </c>
      <c r="C68" s="32">
        <v>6.6324356E7</v>
      </c>
      <c r="D68" s="32">
        <v>3.66063546E8</v>
      </c>
      <c r="E68" s="32">
        <v>4599003.0</v>
      </c>
      <c r="F68" s="32">
        <v>2.0221743E7</v>
      </c>
      <c r="G68" s="32">
        <v>2.2505669E7</v>
      </c>
      <c r="H68" s="32">
        <v>6605379.0</v>
      </c>
      <c r="I68" s="32">
        <v>0.0</v>
      </c>
      <c r="J68" s="32">
        <v>1.4057756366E10</v>
      </c>
      <c r="K68" s="32">
        <v>3.011985477E9</v>
      </c>
      <c r="L68" s="32">
        <v>36749.0</v>
      </c>
      <c r="M68" s="31" t="s">
        <v>34</v>
      </c>
      <c r="N68" s="31">
        <v>25.0</v>
      </c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1.66871338E8</v>
      </c>
      <c r="B69" s="31" t="s">
        <v>78</v>
      </c>
      <c r="C69" s="32">
        <v>6.5896873E7</v>
      </c>
      <c r="D69" s="32">
        <v>9.62872898E8</v>
      </c>
      <c r="E69" s="32">
        <v>6830366.0</v>
      </c>
      <c r="F69" s="32">
        <v>9.3171794E7</v>
      </c>
      <c r="G69" s="32">
        <v>5.9305107E7</v>
      </c>
      <c r="H69" s="32">
        <v>1.6428914E7</v>
      </c>
      <c r="I69" s="32">
        <v>0.0</v>
      </c>
      <c r="J69" s="32">
        <v>8.810200677E9</v>
      </c>
      <c r="K69" s="32">
        <v>3.117290499E9</v>
      </c>
      <c r="L69" s="32">
        <v>46023.0</v>
      </c>
      <c r="M69" s="31" t="s">
        <v>34</v>
      </c>
      <c r="N69" s="31">
        <v>25.0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5.524249E7</v>
      </c>
      <c r="B70" s="31" t="s">
        <v>88</v>
      </c>
      <c r="C70" s="32">
        <v>6.5748058E7</v>
      </c>
      <c r="D70" s="32">
        <v>8.76269007E8</v>
      </c>
      <c r="E70" s="32">
        <v>1.0318279E7</v>
      </c>
      <c r="F70" s="32">
        <v>1.11017608E8</v>
      </c>
      <c r="G70" s="32">
        <v>2.2500195E7</v>
      </c>
      <c r="H70" s="32">
        <v>3.074963E7</v>
      </c>
      <c r="I70" s="32">
        <v>0.0</v>
      </c>
      <c r="J70" s="32">
        <v>1.317949624E10</v>
      </c>
      <c r="K70" s="32">
        <v>5.43576093E9</v>
      </c>
      <c r="L70" s="32">
        <v>52472.0</v>
      </c>
      <c r="M70" s="31" t="s">
        <v>34</v>
      </c>
      <c r="N70" s="31">
        <v>25.0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1.44049878E8</v>
      </c>
      <c r="B71" s="31" t="s">
        <v>127</v>
      </c>
      <c r="C71" s="32">
        <v>6.5123726E7</v>
      </c>
      <c r="D71" s="32">
        <v>2.95206556E8</v>
      </c>
      <c r="E71" s="32">
        <v>8563602.0</v>
      </c>
      <c r="F71" s="32">
        <v>3617320.0</v>
      </c>
      <c r="G71" s="32">
        <v>1.1939232E7</v>
      </c>
      <c r="H71" s="32">
        <v>8582376.0</v>
      </c>
      <c r="I71" s="32">
        <v>0.0</v>
      </c>
      <c r="J71" s="32">
        <v>1.0889179925E10</v>
      </c>
      <c r="K71" s="32">
        <v>7.2816E8</v>
      </c>
      <c r="L71" s="32">
        <v>50083.0</v>
      </c>
      <c r="M71" s="31" t="s">
        <v>34</v>
      </c>
      <c r="N71" s="31">
        <v>25.0</v>
      </c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1.6757738E8</v>
      </c>
      <c r="B72" s="31" t="s">
        <v>107</v>
      </c>
      <c r="C72" s="32">
        <v>6.4717871E7</v>
      </c>
      <c r="D72" s="32">
        <v>3.89650755E8</v>
      </c>
      <c r="E72" s="32">
        <v>5611995.0</v>
      </c>
      <c r="F72" s="32">
        <v>4819417.0</v>
      </c>
      <c r="G72" s="32">
        <v>1.4670939E7</v>
      </c>
      <c r="H72" s="32">
        <v>1.1693648E7</v>
      </c>
      <c r="I72" s="32">
        <v>0.0</v>
      </c>
      <c r="J72" s="32">
        <v>7.72755282E9</v>
      </c>
      <c r="K72" s="32">
        <v>9.70788659E8</v>
      </c>
      <c r="L72" s="32">
        <v>46173.0</v>
      </c>
      <c r="M72" s="31" t="s">
        <v>34</v>
      </c>
      <c r="N72" s="31">
        <v>25.0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1.7160984E8</v>
      </c>
      <c r="B73" s="31" t="s">
        <v>103</v>
      </c>
      <c r="C73" s="32">
        <v>6.4460251E7</v>
      </c>
      <c r="D73" s="32">
        <v>4.97923653E8</v>
      </c>
      <c r="E73" s="32">
        <v>4863428.0</v>
      </c>
      <c r="F73" s="32">
        <v>4497129.0</v>
      </c>
      <c r="G73" s="32">
        <v>1.3024544E7</v>
      </c>
      <c r="H73" s="32">
        <v>1.805819E7</v>
      </c>
      <c r="I73" s="32">
        <v>0.0</v>
      </c>
      <c r="J73" s="32">
        <v>7.486561098E9</v>
      </c>
      <c r="K73" s="32">
        <v>2.27640069E8</v>
      </c>
      <c r="L73" s="32">
        <v>43647.0</v>
      </c>
      <c r="M73" s="31" t="s">
        <v>34</v>
      </c>
      <c r="N73" s="31">
        <v>25.0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1.71753933E8</v>
      </c>
      <c r="B74" s="31" t="s">
        <v>108</v>
      </c>
      <c r="C74" s="32">
        <v>6.4349518E7</v>
      </c>
      <c r="D74" s="32">
        <v>8.1264006E7</v>
      </c>
      <c r="E74" s="32">
        <v>4571959.0</v>
      </c>
      <c r="F74" s="32">
        <v>254494.0</v>
      </c>
      <c r="G74" s="32">
        <v>2683800.0</v>
      </c>
      <c r="H74" s="32">
        <v>2703659.0</v>
      </c>
      <c r="I74" s="32">
        <v>0.0</v>
      </c>
      <c r="J74" s="32">
        <v>1.2152709521E10</v>
      </c>
      <c r="K74" s="32">
        <v>1.52796998E8</v>
      </c>
      <c r="L74" s="32">
        <v>51351.0</v>
      </c>
      <c r="M74" s="31" t="s">
        <v>34</v>
      </c>
      <c r="N74" s="31">
        <v>25.0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1.53857025E8</v>
      </c>
      <c r="B75" s="31" t="s">
        <v>106</v>
      </c>
      <c r="C75" s="32">
        <v>6.4154565E7</v>
      </c>
      <c r="D75" s="32">
        <v>7.19991196E8</v>
      </c>
      <c r="E75" s="32">
        <v>6866078.0</v>
      </c>
      <c r="F75" s="32">
        <v>2.4541741E7</v>
      </c>
      <c r="G75" s="32">
        <v>1.6630566E7</v>
      </c>
      <c r="H75" s="32">
        <v>2.7218408E7</v>
      </c>
      <c r="I75" s="32">
        <v>0.0</v>
      </c>
      <c r="J75" s="32">
        <v>1.4715807456E10</v>
      </c>
      <c r="K75" s="32">
        <v>6.904186976E9</v>
      </c>
      <c r="L75" s="32">
        <v>73140.0</v>
      </c>
      <c r="M75" s="31" t="s">
        <v>34</v>
      </c>
      <c r="N75" s="31">
        <v>25.0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1.67637163E8</v>
      </c>
      <c r="B76" s="31" t="s">
        <v>446</v>
      </c>
      <c r="C76" s="32">
        <v>6.4097827E7</v>
      </c>
      <c r="D76" s="32">
        <v>4.52376008E8</v>
      </c>
      <c r="E76" s="32">
        <v>9007139.0</v>
      </c>
      <c r="F76" s="32">
        <v>3066053.0</v>
      </c>
      <c r="G76" s="32">
        <v>2.6682282E7</v>
      </c>
      <c r="H76" s="32">
        <v>8033732.0</v>
      </c>
      <c r="I76" s="32">
        <v>0.0</v>
      </c>
      <c r="J76" s="32">
        <v>9.739787285E9</v>
      </c>
      <c r="K76" s="32">
        <v>1.9313875341E10</v>
      </c>
      <c r="L76" s="32">
        <v>93630.0</v>
      </c>
      <c r="M76" s="31" t="s">
        <v>34</v>
      </c>
      <c r="N76" s="31">
        <v>25.0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1.71209025E8</v>
      </c>
      <c r="B77" s="31" t="s">
        <v>444</v>
      </c>
      <c r="C77" s="32">
        <v>6.354548E7</v>
      </c>
      <c r="D77" s="32">
        <v>3.65338727E8</v>
      </c>
      <c r="E77" s="32">
        <v>1.0102187E7</v>
      </c>
      <c r="F77" s="32">
        <v>3.5403615E7</v>
      </c>
      <c r="G77" s="32">
        <v>1.8174369E7</v>
      </c>
      <c r="H77" s="32">
        <v>7662943.0</v>
      </c>
      <c r="I77" s="32">
        <v>0.0</v>
      </c>
      <c r="J77" s="32">
        <v>1.3734352072E10</v>
      </c>
      <c r="K77" s="32">
        <v>1.404842811E9</v>
      </c>
      <c r="L77" s="32">
        <v>37524.0</v>
      </c>
      <c r="M77" s="31" t="s">
        <v>147</v>
      </c>
      <c r="N77" s="31">
        <v>25.0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1.71910225E8</v>
      </c>
      <c r="B78" s="31" t="s">
        <v>99</v>
      </c>
      <c r="C78" s="32">
        <v>6.3460772E7</v>
      </c>
      <c r="D78" s="32">
        <v>2.23867358E8</v>
      </c>
      <c r="E78" s="32">
        <v>5638979.0</v>
      </c>
      <c r="F78" s="32">
        <v>260484.0</v>
      </c>
      <c r="G78" s="32">
        <v>4097387.0</v>
      </c>
      <c r="H78" s="32">
        <v>9109942.0</v>
      </c>
      <c r="I78" s="32">
        <v>0.0</v>
      </c>
      <c r="J78" s="32">
        <v>1.4048178585E10</v>
      </c>
      <c r="K78" s="32">
        <v>2.107133765E9</v>
      </c>
      <c r="L78" s="32">
        <v>36388.0</v>
      </c>
      <c r="M78" s="31" t="s">
        <v>34</v>
      </c>
      <c r="N78" s="31">
        <v>25.0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1.71982346E8</v>
      </c>
      <c r="B79" s="31" t="s">
        <v>409</v>
      </c>
      <c r="C79" s="32">
        <v>6.3109159E7</v>
      </c>
      <c r="D79" s="32">
        <v>1.01989739E8</v>
      </c>
      <c r="E79" s="32">
        <v>3278594.0</v>
      </c>
      <c r="F79" s="32">
        <v>111988.0</v>
      </c>
      <c r="G79" s="32">
        <v>3802310.0</v>
      </c>
      <c r="H79" s="32">
        <v>3167392.0</v>
      </c>
      <c r="I79" s="32">
        <v>0.0</v>
      </c>
      <c r="J79" s="32">
        <v>6.638929773E9</v>
      </c>
      <c r="K79" s="32">
        <v>4.33818604E8</v>
      </c>
      <c r="L79" s="32">
        <v>22638.0</v>
      </c>
      <c r="M79" s="31" t="s">
        <v>34</v>
      </c>
      <c r="N79" s="31">
        <v>25.0</v>
      </c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1.70728362E8</v>
      </c>
      <c r="B80" s="31" t="s">
        <v>104</v>
      </c>
      <c r="C80" s="32">
        <v>6.3292717E7</v>
      </c>
      <c r="D80" s="32">
        <v>4.58103453E8</v>
      </c>
      <c r="E80" s="32">
        <v>9150132.0</v>
      </c>
      <c r="F80" s="32">
        <v>1.0481617E7</v>
      </c>
      <c r="G80" s="32">
        <v>1.5031221E7</v>
      </c>
      <c r="H80" s="32">
        <v>1.4671504E7</v>
      </c>
      <c r="I80" s="32">
        <v>0.0</v>
      </c>
      <c r="J80" s="32">
        <v>6.487119145E9</v>
      </c>
      <c r="K80" s="32">
        <v>5.699580133E9</v>
      </c>
      <c r="L80" s="32">
        <v>60080.0</v>
      </c>
      <c r="M80" s="31" t="s">
        <v>34</v>
      </c>
      <c r="N80" s="31">
        <v>25.0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1.44010731E8</v>
      </c>
      <c r="B81" s="31" t="s">
        <v>407</v>
      </c>
      <c r="C81" s="32">
        <v>6.244538E7</v>
      </c>
      <c r="D81" s="32">
        <v>1.15250151E8</v>
      </c>
      <c r="E81" s="32">
        <v>8638244.0</v>
      </c>
      <c r="F81" s="32">
        <v>144507.0</v>
      </c>
      <c r="G81" s="32">
        <v>2557192.0</v>
      </c>
      <c r="H81" s="32">
        <v>4389227.0</v>
      </c>
      <c r="I81" s="32">
        <v>0.0</v>
      </c>
      <c r="J81" s="32">
        <v>7.631989302E9</v>
      </c>
      <c r="K81" s="32">
        <v>7.02856257E8</v>
      </c>
      <c r="L81" s="32">
        <v>30019.0</v>
      </c>
      <c r="M81" s="31" t="s">
        <v>34</v>
      </c>
      <c r="N81" s="31">
        <v>25.0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1.4504414E8</v>
      </c>
      <c r="B82" s="31" t="s">
        <v>449</v>
      </c>
      <c r="C82" s="32">
        <v>6.2415432E7</v>
      </c>
      <c r="D82" s="32">
        <v>9.5416784E7</v>
      </c>
      <c r="E82" s="32">
        <v>8448516.0</v>
      </c>
      <c r="F82" s="32">
        <v>111521.0</v>
      </c>
      <c r="G82" s="32">
        <v>1824447.0</v>
      </c>
      <c r="H82" s="32">
        <v>3766286.0</v>
      </c>
      <c r="I82" s="32">
        <v>0.0</v>
      </c>
      <c r="J82" s="32">
        <v>7.384768821E9</v>
      </c>
      <c r="K82" s="32">
        <v>4.08309634E8</v>
      </c>
      <c r="L82" s="32">
        <v>12363.0</v>
      </c>
      <c r="M82" s="31" t="s">
        <v>34</v>
      </c>
      <c r="N82" s="31">
        <v>25.0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1.38752108E8</v>
      </c>
      <c r="B83" s="31" t="s">
        <v>445</v>
      </c>
      <c r="C83" s="32">
        <v>6.1689789E7</v>
      </c>
      <c r="D83" s="32">
        <v>4.35412557E8</v>
      </c>
      <c r="E83" s="32">
        <v>5651167.0</v>
      </c>
      <c r="F83" s="32">
        <v>889466.0</v>
      </c>
      <c r="G83" s="32">
        <v>1.0396596E7</v>
      </c>
      <c r="H83" s="32">
        <v>1.6500168E7</v>
      </c>
      <c r="I83" s="32">
        <v>0.0</v>
      </c>
      <c r="J83" s="32">
        <v>2.4463100608E10</v>
      </c>
      <c r="K83" s="32">
        <v>6.19918153E8</v>
      </c>
      <c r="L83" s="32">
        <v>82984.0</v>
      </c>
      <c r="M83" s="31" t="s">
        <v>66</v>
      </c>
      <c r="N83" s="31">
        <v>25.0</v>
      </c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1.66807426E8</v>
      </c>
      <c r="B84" s="31" t="s">
        <v>404</v>
      </c>
      <c r="C84" s="32">
        <v>6.1558005E7</v>
      </c>
      <c r="D84" s="32">
        <v>3.46498807E8</v>
      </c>
      <c r="E84" s="32">
        <v>5890717.0</v>
      </c>
      <c r="F84" s="32">
        <v>5.4946707E7</v>
      </c>
      <c r="G84" s="32">
        <v>1.5465121E7</v>
      </c>
      <c r="H84" s="32">
        <v>8955406.0</v>
      </c>
      <c r="I84" s="32">
        <v>0.0</v>
      </c>
      <c r="J84" s="32">
        <v>4.566833041E9</v>
      </c>
      <c r="K84" s="32">
        <v>3.02842793E9</v>
      </c>
      <c r="L84" s="32">
        <v>50549.0</v>
      </c>
      <c r="M84" s="31" t="s">
        <v>34</v>
      </c>
      <c r="N84" s="31">
        <v>25.0</v>
      </c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1.71358436E8</v>
      </c>
      <c r="B85" s="31" t="s">
        <v>115</v>
      </c>
      <c r="C85" s="32">
        <v>6.1156799E7</v>
      </c>
      <c r="D85" s="32">
        <v>6.64788743E8</v>
      </c>
      <c r="E85" s="32">
        <v>5833655.0</v>
      </c>
      <c r="F85" s="32">
        <v>6461365.0</v>
      </c>
      <c r="G85" s="32">
        <v>3.001493E7</v>
      </c>
      <c r="H85" s="32">
        <v>1.7313129E7</v>
      </c>
      <c r="I85" s="32">
        <v>0.0</v>
      </c>
      <c r="J85" s="32">
        <v>4.607197549E9</v>
      </c>
      <c r="K85" s="32">
        <v>5.127722952E9</v>
      </c>
      <c r="L85" s="32">
        <v>50997.0</v>
      </c>
      <c r="M85" s="31" t="s">
        <v>34</v>
      </c>
      <c r="N85" s="31">
        <v>25.0</v>
      </c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1.67614515E8</v>
      </c>
      <c r="B86" s="31" t="s">
        <v>365</v>
      </c>
      <c r="C86" s="32">
        <v>6.086491E7</v>
      </c>
      <c r="D86" s="32">
        <v>2.18707898E8</v>
      </c>
      <c r="E86" s="32">
        <v>6044773.0</v>
      </c>
      <c r="F86" s="32">
        <v>1261703.0</v>
      </c>
      <c r="G86" s="32">
        <v>1.2717496E7</v>
      </c>
      <c r="H86" s="32">
        <v>4423230.0</v>
      </c>
      <c r="I86" s="32">
        <v>0.0</v>
      </c>
      <c r="J86" s="32">
        <v>1.371549747E10</v>
      </c>
      <c r="K86" s="32">
        <v>7.99053053E8</v>
      </c>
      <c r="L86" s="32">
        <v>49921.0</v>
      </c>
      <c r="M86" s="31" t="s">
        <v>34</v>
      </c>
      <c r="N86" s="31">
        <v>25.0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1.4406546E8</v>
      </c>
      <c r="B87" s="31" t="s">
        <v>412</v>
      </c>
      <c r="C87" s="32">
        <v>6.0663457E7</v>
      </c>
      <c r="D87" s="32">
        <v>1.11253689E8</v>
      </c>
      <c r="E87" s="32">
        <v>6665757.0</v>
      </c>
      <c r="F87" s="32">
        <v>173335.0</v>
      </c>
      <c r="G87" s="32">
        <v>2170210.0</v>
      </c>
      <c r="H87" s="32">
        <v>4454454.0</v>
      </c>
      <c r="I87" s="32">
        <v>0.0</v>
      </c>
      <c r="J87" s="32">
        <v>1.1196343316E10</v>
      </c>
      <c r="K87" s="32">
        <v>4.97472383E8</v>
      </c>
      <c r="L87" s="32">
        <v>48625.0</v>
      </c>
      <c r="M87" s="31" t="s">
        <v>34</v>
      </c>
      <c r="N87" s="31">
        <v>25.0</v>
      </c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1.44684719E8</v>
      </c>
      <c r="B88" s="31" t="s">
        <v>366</v>
      </c>
      <c r="C88" s="32">
        <v>5.9855886E7</v>
      </c>
      <c r="D88" s="32">
        <v>2.49846608E8</v>
      </c>
      <c r="E88" s="32">
        <v>1.2711285E7</v>
      </c>
      <c r="F88" s="32">
        <v>1300690.0</v>
      </c>
      <c r="G88" s="32">
        <v>9580961.0</v>
      </c>
      <c r="H88" s="32">
        <v>7431808.0</v>
      </c>
      <c r="I88" s="32">
        <v>0.0</v>
      </c>
      <c r="J88" s="32">
        <v>6.658713917E9</v>
      </c>
      <c r="K88" s="32">
        <v>1.456811379E9</v>
      </c>
      <c r="L88" s="32">
        <v>38753.0</v>
      </c>
      <c r="M88" s="31" t="s">
        <v>34</v>
      </c>
      <c r="N88" s="31">
        <v>25.0</v>
      </c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1.71679053E8</v>
      </c>
      <c r="B89" s="31" t="s">
        <v>111</v>
      </c>
      <c r="C89" s="32">
        <v>5.9746519E7</v>
      </c>
      <c r="D89" s="32">
        <v>1.87513313E8</v>
      </c>
      <c r="E89" s="32">
        <v>3996431.0</v>
      </c>
      <c r="F89" s="32">
        <v>719495.0</v>
      </c>
      <c r="G89" s="32">
        <v>6276427.0</v>
      </c>
      <c r="H89" s="32">
        <v>6086906.0</v>
      </c>
      <c r="I89" s="32">
        <v>0.0</v>
      </c>
      <c r="J89" s="32">
        <v>1.012528351E10</v>
      </c>
      <c r="K89" s="32">
        <v>1.339045371E9</v>
      </c>
      <c r="L89" s="32">
        <v>26016.0</v>
      </c>
      <c r="M89" s="31" t="s">
        <v>34</v>
      </c>
      <c r="N89" s="31">
        <v>25.0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1.69446444E8</v>
      </c>
      <c r="B90" s="31" t="s">
        <v>117</v>
      </c>
      <c r="C90" s="32">
        <v>5.9582795E7</v>
      </c>
      <c r="D90" s="32">
        <v>9.01221061E8</v>
      </c>
      <c r="E90" s="32">
        <v>7041960.0</v>
      </c>
      <c r="F90" s="32">
        <v>3332837.0</v>
      </c>
      <c r="G90" s="32">
        <v>1.9676073E7</v>
      </c>
      <c r="H90" s="32">
        <v>3.4657322E7</v>
      </c>
      <c r="I90" s="32">
        <v>0.0</v>
      </c>
      <c r="J90" s="32">
        <v>6.287938673E9</v>
      </c>
      <c r="K90" s="32">
        <v>7.87113675E9</v>
      </c>
      <c r="L90" s="32">
        <v>69540.0</v>
      </c>
      <c r="M90" s="31" t="s">
        <v>34</v>
      </c>
      <c r="N90" s="31">
        <v>25.0</v>
      </c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1.71827401E8</v>
      </c>
      <c r="B91" s="31" t="s">
        <v>123</v>
      </c>
      <c r="C91" s="32">
        <v>5.8784334E7</v>
      </c>
      <c r="D91" s="32">
        <v>1.528169813E9</v>
      </c>
      <c r="E91" s="32">
        <v>7975447.0</v>
      </c>
      <c r="F91" s="32">
        <v>4.2447525E7</v>
      </c>
      <c r="G91" s="32">
        <v>1.10599101E8</v>
      </c>
      <c r="H91" s="32">
        <v>1.7289391E7</v>
      </c>
      <c r="I91" s="32">
        <v>0.0</v>
      </c>
      <c r="J91" s="32">
        <v>3.062126535E9</v>
      </c>
      <c r="K91" s="32">
        <v>7.802247764E9</v>
      </c>
      <c r="L91" s="32">
        <v>31862.0</v>
      </c>
      <c r="M91" s="31" t="s">
        <v>492</v>
      </c>
      <c r="N91" s="31">
        <v>25.0</v>
      </c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1.71858863E8</v>
      </c>
      <c r="B92" s="31" t="s">
        <v>120</v>
      </c>
      <c r="C92" s="32">
        <v>5.8481047E7</v>
      </c>
      <c r="D92" s="32">
        <v>4.4074696E7</v>
      </c>
      <c r="E92" s="32">
        <v>4374063.0</v>
      </c>
      <c r="F92" s="32">
        <v>51770.0</v>
      </c>
      <c r="G92" s="32">
        <v>804984.0</v>
      </c>
      <c r="H92" s="32">
        <v>1782705.0</v>
      </c>
      <c r="I92" s="32">
        <v>0.0</v>
      </c>
      <c r="J92" s="32">
        <v>6.454786083E9</v>
      </c>
      <c r="K92" s="32">
        <v>5.215262E8</v>
      </c>
      <c r="L92" s="32">
        <v>8145.0</v>
      </c>
      <c r="M92" s="31" t="s">
        <v>34</v>
      </c>
      <c r="N92" s="31">
        <v>25.0</v>
      </c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1.45008495E8</v>
      </c>
      <c r="B93" s="31" t="s">
        <v>448</v>
      </c>
      <c r="C93" s="32">
        <v>5.8032999E7</v>
      </c>
      <c r="D93" s="32">
        <v>4.15243308E8</v>
      </c>
      <c r="E93" s="32">
        <v>1.3049993E7</v>
      </c>
      <c r="F93" s="32">
        <v>4824111.0</v>
      </c>
      <c r="G93" s="32">
        <v>2.7612961E7</v>
      </c>
      <c r="H93" s="32">
        <v>6147998.0</v>
      </c>
      <c r="I93" s="32">
        <v>0.0</v>
      </c>
      <c r="J93" s="32">
        <v>6.854928927E9</v>
      </c>
      <c r="K93" s="32">
        <v>1.055954784E9</v>
      </c>
      <c r="L93" s="32">
        <v>22020.0</v>
      </c>
      <c r="M93" s="31" t="s">
        <v>34</v>
      </c>
      <c r="N93" s="31">
        <v>25.0</v>
      </c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1.39292614E8</v>
      </c>
      <c r="B94" s="31" t="s">
        <v>112</v>
      </c>
      <c r="C94" s="32">
        <v>5.8008796E7</v>
      </c>
      <c r="D94" s="32">
        <v>6.67352891E8</v>
      </c>
      <c r="E94" s="32">
        <v>1.1222901E7</v>
      </c>
      <c r="F94" s="32">
        <v>1.8048155E7</v>
      </c>
      <c r="G94" s="32">
        <v>1.4877503E7</v>
      </c>
      <c r="H94" s="32">
        <v>2.5370616E7</v>
      </c>
      <c r="I94" s="32">
        <v>0.0</v>
      </c>
      <c r="J94" s="32">
        <v>1.1243154044E10</v>
      </c>
      <c r="K94" s="32">
        <v>4.518817481E9</v>
      </c>
      <c r="L94" s="32">
        <v>40246.0</v>
      </c>
      <c r="M94" s="31" t="s">
        <v>34</v>
      </c>
      <c r="N94" s="31">
        <v>25.0</v>
      </c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1.51360763E8</v>
      </c>
      <c r="B95" s="31" t="s">
        <v>367</v>
      </c>
      <c r="C95" s="32">
        <v>5.7406249E7</v>
      </c>
      <c r="D95" s="32">
        <v>1.05445687E8</v>
      </c>
      <c r="E95" s="32">
        <v>5049906.0</v>
      </c>
      <c r="F95" s="32">
        <v>5776546.0</v>
      </c>
      <c r="G95" s="32">
        <v>5702838.0</v>
      </c>
      <c r="H95" s="32">
        <v>2330196.0</v>
      </c>
      <c r="I95" s="32">
        <v>0.0</v>
      </c>
      <c r="J95" s="32">
        <v>2.549519558E10</v>
      </c>
      <c r="K95" s="32">
        <v>1.0748012042E10</v>
      </c>
      <c r="L95" s="32">
        <v>19476.0</v>
      </c>
      <c r="M95" s="31" t="s">
        <v>34</v>
      </c>
      <c r="N95" s="31">
        <v>25.0</v>
      </c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1.61646318E8</v>
      </c>
      <c r="B96" s="31" t="s">
        <v>122</v>
      </c>
      <c r="C96" s="32">
        <v>5.7223137E7</v>
      </c>
      <c r="D96" s="32">
        <v>2.1592219E8</v>
      </c>
      <c r="E96" s="32">
        <v>5275736.0</v>
      </c>
      <c r="F96" s="32">
        <v>649831.0</v>
      </c>
      <c r="G96" s="32">
        <v>8539678.0</v>
      </c>
      <c r="H96" s="32">
        <v>6450298.0</v>
      </c>
      <c r="I96" s="32">
        <v>0.0</v>
      </c>
      <c r="J96" s="32">
        <v>1.3645191819E10</v>
      </c>
      <c r="K96" s="32">
        <v>2.30164973E9</v>
      </c>
      <c r="L96" s="32">
        <v>46661.0</v>
      </c>
      <c r="M96" s="31" t="s">
        <v>34</v>
      </c>
      <c r="N96" s="31">
        <v>25.0</v>
      </c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1.63138873E8</v>
      </c>
      <c r="B97" s="31" t="s">
        <v>410</v>
      </c>
      <c r="C97" s="32">
        <v>5.5615575E7</v>
      </c>
      <c r="D97" s="32">
        <v>1.13454977E8</v>
      </c>
      <c r="E97" s="32">
        <v>8459581.0</v>
      </c>
      <c r="F97" s="32">
        <v>5273325.0</v>
      </c>
      <c r="G97" s="32">
        <v>5453708.0</v>
      </c>
      <c r="H97" s="32">
        <v>2816889.0</v>
      </c>
      <c r="I97" s="32">
        <v>0.0</v>
      </c>
      <c r="J97" s="32">
        <v>4.082341656E9</v>
      </c>
      <c r="K97" s="32">
        <v>3.44242356E8</v>
      </c>
      <c r="L97" s="32">
        <v>18342.0</v>
      </c>
      <c r="M97" s="31" t="s">
        <v>34</v>
      </c>
      <c r="N97" s="31">
        <v>25.0</v>
      </c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1.71345916E8</v>
      </c>
      <c r="B98" s="31" t="s">
        <v>447</v>
      </c>
      <c r="C98" s="32">
        <v>5.5494295E7</v>
      </c>
      <c r="D98" s="32">
        <v>2.12117003E8</v>
      </c>
      <c r="E98" s="32">
        <v>4456136.0</v>
      </c>
      <c r="F98" s="32">
        <v>1.6375629E7</v>
      </c>
      <c r="G98" s="32">
        <v>1.2145933E7</v>
      </c>
      <c r="H98" s="32">
        <v>3578004.0</v>
      </c>
      <c r="I98" s="32">
        <v>0.0</v>
      </c>
      <c r="J98" s="32">
        <v>7.32340577E9</v>
      </c>
      <c r="K98" s="32">
        <v>1.778342095E9</v>
      </c>
      <c r="L98" s="32">
        <v>70133.0</v>
      </c>
      <c r="M98" s="31" t="s">
        <v>34</v>
      </c>
      <c r="N98" s="31">
        <v>25.0</v>
      </c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1.27560055E8</v>
      </c>
      <c r="B99" s="31" t="s">
        <v>118</v>
      </c>
      <c r="C99" s="32">
        <v>5.5381774E7</v>
      </c>
      <c r="D99" s="32">
        <v>5.37189192E8</v>
      </c>
      <c r="E99" s="32">
        <v>1.6415019E7</v>
      </c>
      <c r="F99" s="32">
        <v>6.0649963E7</v>
      </c>
      <c r="G99" s="32">
        <v>3.5272658E7</v>
      </c>
      <c r="H99" s="32">
        <v>6965049.0</v>
      </c>
      <c r="I99" s="32">
        <v>0.0</v>
      </c>
      <c r="J99" s="32">
        <v>8.843690143E9</v>
      </c>
      <c r="K99" s="32">
        <v>1.426775546E9</v>
      </c>
      <c r="L99" s="32">
        <v>53172.0</v>
      </c>
      <c r="M99" s="31" t="s">
        <v>66</v>
      </c>
      <c r="N99" s="31">
        <v>25.0</v>
      </c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1.68091444E8</v>
      </c>
      <c r="B100" s="31" t="s">
        <v>121</v>
      </c>
      <c r="C100" s="32">
        <v>5.4677615E7</v>
      </c>
      <c r="D100" s="32">
        <v>1.12170793E8</v>
      </c>
      <c r="E100" s="32">
        <v>7197561.0</v>
      </c>
      <c r="F100" s="32">
        <v>415679.0</v>
      </c>
      <c r="G100" s="32">
        <v>5692863.0</v>
      </c>
      <c r="H100" s="32">
        <v>2698380.0</v>
      </c>
      <c r="I100" s="32">
        <v>0.0</v>
      </c>
      <c r="J100" s="32">
        <v>7.017453934E9</v>
      </c>
      <c r="K100" s="32">
        <v>5.40264414E8</v>
      </c>
      <c r="L100" s="32">
        <v>42443.0</v>
      </c>
      <c r="M100" s="31" t="s">
        <v>34</v>
      </c>
      <c r="N100" s="31">
        <v>25.0</v>
      </c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1.69672885E8</v>
      </c>
      <c r="B101" s="31" t="s">
        <v>129</v>
      </c>
      <c r="C101" s="32">
        <v>5.4600359E7</v>
      </c>
      <c r="D101" s="32">
        <v>3.6173168E8</v>
      </c>
      <c r="E101" s="32">
        <v>7429894.0</v>
      </c>
      <c r="F101" s="32">
        <v>8777321.0</v>
      </c>
      <c r="G101" s="32">
        <v>1.7748743E7</v>
      </c>
      <c r="H101" s="32">
        <v>8505769.0</v>
      </c>
      <c r="I101" s="32">
        <v>0.0</v>
      </c>
      <c r="J101" s="32">
        <v>6.807942502E9</v>
      </c>
      <c r="K101" s="32">
        <v>3.646814417E9</v>
      </c>
      <c r="L101" s="32">
        <v>32409.0</v>
      </c>
      <c r="M101" s="31" t="s">
        <v>34</v>
      </c>
      <c r="N101" s="31">
        <v>25.0</v>
      </c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1.58817223E8</v>
      </c>
      <c r="B102" s="31" t="s">
        <v>131</v>
      </c>
      <c r="C102" s="32">
        <v>5.3550643E7</v>
      </c>
      <c r="D102" s="32">
        <v>2.23513908E8</v>
      </c>
      <c r="E102" s="32">
        <v>7178989.0</v>
      </c>
      <c r="F102" s="32">
        <v>5303944.0</v>
      </c>
      <c r="G102" s="32">
        <v>8968886.0</v>
      </c>
      <c r="H102" s="32">
        <v>6109452.0</v>
      </c>
      <c r="I102" s="32">
        <v>0.0</v>
      </c>
      <c r="J102" s="32">
        <v>6.542701067E9</v>
      </c>
      <c r="K102" s="32">
        <v>4.550025581E9</v>
      </c>
      <c r="L102" s="32">
        <v>36844.0</v>
      </c>
      <c r="M102" s="31" t="s">
        <v>34</v>
      </c>
      <c r="N102" s="31">
        <v>25.0</v>
      </c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1.69363448E8</v>
      </c>
      <c r="B103" s="31" t="s">
        <v>133</v>
      </c>
      <c r="C103" s="32">
        <v>5.2935997E7</v>
      </c>
      <c r="D103" s="32">
        <v>3.22944151E8</v>
      </c>
      <c r="E103" s="32">
        <v>4563332.0</v>
      </c>
      <c r="F103" s="32">
        <v>1816615.0</v>
      </c>
      <c r="G103" s="32">
        <v>1.6889341E7</v>
      </c>
      <c r="H103" s="32">
        <v>7255555.0</v>
      </c>
      <c r="I103" s="32">
        <v>0.0</v>
      </c>
      <c r="J103" s="32">
        <v>8.026159042E9</v>
      </c>
      <c r="K103" s="32">
        <v>6.667116137E9</v>
      </c>
      <c r="L103" s="32">
        <v>41841.0</v>
      </c>
      <c r="M103" s="31" t="s">
        <v>34</v>
      </c>
      <c r="N103" s="31">
        <v>25.0</v>
      </c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1.55415774E8</v>
      </c>
      <c r="B104" s="31" t="s">
        <v>493</v>
      </c>
      <c r="C104" s="32">
        <v>5.2506757E7</v>
      </c>
      <c r="D104" s="32">
        <v>4.45068489E8</v>
      </c>
      <c r="E104" s="32">
        <v>7860795.0</v>
      </c>
      <c r="F104" s="32">
        <v>1.9782177E7</v>
      </c>
      <c r="G104" s="32">
        <v>1.9049017E7</v>
      </c>
      <c r="H104" s="32">
        <v>1.2132102E7</v>
      </c>
      <c r="I104" s="32">
        <v>0.0</v>
      </c>
      <c r="J104" s="32">
        <v>1.047417777E9</v>
      </c>
      <c r="K104" s="32">
        <v>4.743923039E9</v>
      </c>
      <c r="L104" s="32">
        <v>26793.0</v>
      </c>
      <c r="M104" s="31" t="s">
        <v>66</v>
      </c>
      <c r="N104" s="31">
        <v>25.0</v>
      </c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1.45033056E8</v>
      </c>
      <c r="B105" s="31" t="s">
        <v>450</v>
      </c>
      <c r="C105" s="32">
        <v>5.1917785E7</v>
      </c>
      <c r="D105" s="32">
        <v>4.44703644E8</v>
      </c>
      <c r="E105" s="32">
        <v>1.2527098E7</v>
      </c>
      <c r="F105" s="32">
        <v>2241460.0</v>
      </c>
      <c r="G105" s="32">
        <v>1.6433733E7</v>
      </c>
      <c r="H105" s="32">
        <v>1.3792723E7</v>
      </c>
      <c r="I105" s="32">
        <v>0.0</v>
      </c>
      <c r="J105" s="32">
        <v>1.4141362677E10</v>
      </c>
      <c r="K105" s="32">
        <v>7.29379775E8</v>
      </c>
      <c r="L105" s="32">
        <v>32291.0</v>
      </c>
      <c r="M105" s="31" t="s">
        <v>34</v>
      </c>
      <c r="N105" s="31">
        <v>25.0</v>
      </c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1.4461836E8</v>
      </c>
      <c r="B106" s="31" t="s">
        <v>116</v>
      </c>
      <c r="C106" s="32">
        <v>5.1312234E7</v>
      </c>
      <c r="D106" s="32">
        <v>2.57544033E8</v>
      </c>
      <c r="E106" s="32">
        <v>2915124.0</v>
      </c>
      <c r="F106" s="32">
        <v>1708458.0</v>
      </c>
      <c r="G106" s="32">
        <v>9355372.0</v>
      </c>
      <c r="H106" s="32">
        <v>8006629.0</v>
      </c>
      <c r="I106" s="32">
        <v>0.0</v>
      </c>
      <c r="J106" s="32">
        <v>9.016586279E9</v>
      </c>
      <c r="K106" s="32">
        <v>5.66487787E8</v>
      </c>
      <c r="L106" s="32">
        <v>41828.0</v>
      </c>
      <c r="M106" s="31" t="s">
        <v>34</v>
      </c>
      <c r="N106" s="31">
        <v>25.0</v>
      </c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1.36662717E8</v>
      </c>
      <c r="B107" s="31" t="s">
        <v>368</v>
      </c>
      <c r="C107" s="32">
        <v>5.0895207E7</v>
      </c>
      <c r="D107" s="32">
        <v>6.42591057E8</v>
      </c>
      <c r="E107" s="32">
        <v>5983193.0</v>
      </c>
      <c r="F107" s="32">
        <v>9070828.0</v>
      </c>
      <c r="G107" s="32">
        <v>2.1875352E7</v>
      </c>
      <c r="H107" s="32">
        <v>2.0746119E7</v>
      </c>
      <c r="I107" s="32">
        <v>0.0</v>
      </c>
      <c r="J107" s="32">
        <v>8.674736417E9</v>
      </c>
      <c r="K107" s="32">
        <v>6.253611637E9</v>
      </c>
      <c r="L107" s="32">
        <v>53465.0</v>
      </c>
      <c r="M107" s="31" t="s">
        <v>119</v>
      </c>
      <c r="N107" s="31">
        <v>25.0</v>
      </c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4.9509851E7</v>
      </c>
      <c r="B108" s="31" t="s">
        <v>494</v>
      </c>
      <c r="C108" s="32">
        <v>5.0499903E7</v>
      </c>
      <c r="D108" s="32">
        <v>4.07994458E8</v>
      </c>
      <c r="E108" s="32">
        <v>4365803.0</v>
      </c>
      <c r="F108" s="32">
        <v>1.0875682E7</v>
      </c>
      <c r="G108" s="32">
        <v>2.1346983E7</v>
      </c>
      <c r="H108" s="32">
        <v>8917738.0</v>
      </c>
      <c r="I108" s="32">
        <v>0.0</v>
      </c>
      <c r="J108" s="32">
        <v>6.603443577E9</v>
      </c>
      <c r="K108" s="32">
        <v>1.416612953E10</v>
      </c>
      <c r="L108" s="32">
        <v>30771.0</v>
      </c>
      <c r="M108" s="31" t="s">
        <v>492</v>
      </c>
      <c r="N108" s="31">
        <v>25.0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1.0047682E8</v>
      </c>
      <c r="B109" s="31" t="s">
        <v>370</v>
      </c>
      <c r="C109" s="32">
        <v>5.047797E7</v>
      </c>
      <c r="D109" s="32">
        <v>9.844334E7</v>
      </c>
      <c r="E109" s="32">
        <v>9618029.0</v>
      </c>
      <c r="F109" s="32">
        <v>103212.0</v>
      </c>
      <c r="G109" s="32">
        <v>3542905.0</v>
      </c>
      <c r="H109" s="32">
        <v>3140229.0</v>
      </c>
      <c r="I109" s="32">
        <v>0.0</v>
      </c>
      <c r="J109" s="32">
        <v>3.5566414595E10</v>
      </c>
      <c r="K109" s="32">
        <v>4.3490023804E10</v>
      </c>
      <c r="L109" s="32">
        <v>21137.0</v>
      </c>
      <c r="M109" s="31" t="s">
        <v>147</v>
      </c>
      <c r="N109" s="31">
        <v>25.0</v>
      </c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1.69420296E8</v>
      </c>
      <c r="B110" s="31" t="s">
        <v>136</v>
      </c>
      <c r="C110" s="32">
        <v>4.9358094E7</v>
      </c>
      <c r="D110" s="32">
        <v>1.73179572E8</v>
      </c>
      <c r="E110" s="32">
        <v>5961553.0</v>
      </c>
      <c r="F110" s="32">
        <v>212763.0</v>
      </c>
      <c r="G110" s="32">
        <v>4573682.0</v>
      </c>
      <c r="H110" s="32">
        <v>6352278.0</v>
      </c>
      <c r="I110" s="32">
        <v>0.0</v>
      </c>
      <c r="J110" s="32">
        <v>1.3471581679E10</v>
      </c>
      <c r="K110" s="32">
        <v>2.23272131E8</v>
      </c>
      <c r="L110" s="32">
        <v>32416.0</v>
      </c>
      <c r="M110" s="31" t="s">
        <v>34</v>
      </c>
      <c r="N110" s="31">
        <v>25.0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1.68025153E8</v>
      </c>
      <c r="B111" s="31" t="s">
        <v>146</v>
      </c>
      <c r="C111" s="32">
        <v>4.896349E7</v>
      </c>
      <c r="D111" s="32">
        <v>2.8188141E7</v>
      </c>
      <c r="E111" s="32">
        <v>1667579.0</v>
      </c>
      <c r="F111" s="32">
        <v>260005.0</v>
      </c>
      <c r="G111" s="32">
        <v>748668.0</v>
      </c>
      <c r="H111" s="32">
        <v>1032023.0</v>
      </c>
      <c r="I111" s="32">
        <v>0.0</v>
      </c>
      <c r="J111" s="32">
        <v>3.907117979E9</v>
      </c>
      <c r="K111" s="32">
        <v>2.779142711E9</v>
      </c>
      <c r="L111" s="32">
        <v>4554.0</v>
      </c>
      <c r="M111" s="31" t="s">
        <v>34</v>
      </c>
      <c r="N111" s="31">
        <v>25.0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1.66234202E8</v>
      </c>
      <c r="B112" s="31" t="s">
        <v>135</v>
      </c>
      <c r="C112" s="32">
        <v>4.8810504E7</v>
      </c>
      <c r="D112" s="32">
        <v>2.90951834E8</v>
      </c>
      <c r="E112" s="32">
        <v>4602423.0</v>
      </c>
      <c r="F112" s="32">
        <v>1992214.0</v>
      </c>
      <c r="G112" s="32">
        <v>1.3715314E7</v>
      </c>
      <c r="H112" s="32">
        <v>6461817.0</v>
      </c>
      <c r="I112" s="32">
        <v>0.0</v>
      </c>
      <c r="J112" s="32">
        <v>1.137944585E10</v>
      </c>
      <c r="K112" s="32">
        <v>1.48881707E9</v>
      </c>
      <c r="L112" s="32">
        <v>33417.0</v>
      </c>
      <c r="M112" s="31" t="s">
        <v>34</v>
      </c>
      <c r="N112" s="31">
        <v>25.0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1.44088316E8</v>
      </c>
      <c r="B113" s="31" t="s">
        <v>152</v>
      </c>
      <c r="C113" s="32">
        <v>4.8569844E7</v>
      </c>
      <c r="D113" s="32">
        <v>4.2555014E7</v>
      </c>
      <c r="E113" s="32">
        <v>4390339.0</v>
      </c>
      <c r="F113" s="32">
        <v>456983.0</v>
      </c>
      <c r="G113" s="32">
        <v>939021.0</v>
      </c>
      <c r="H113" s="32">
        <v>1357682.0</v>
      </c>
      <c r="I113" s="32">
        <v>0.0</v>
      </c>
      <c r="J113" s="32">
        <v>1.1088497441E10</v>
      </c>
      <c r="K113" s="32">
        <v>1.45E9</v>
      </c>
      <c r="L113" s="32">
        <v>13317.0</v>
      </c>
      <c r="M113" s="31" t="s">
        <v>153</v>
      </c>
      <c r="N113" s="31">
        <v>25.0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1.6901814E8</v>
      </c>
      <c r="B114" s="31" t="s">
        <v>137</v>
      </c>
      <c r="C114" s="32">
        <v>4.8165969E7</v>
      </c>
      <c r="D114" s="32">
        <v>1.37265257E8</v>
      </c>
      <c r="E114" s="32">
        <v>3817474.0</v>
      </c>
      <c r="F114" s="32">
        <v>420836.0</v>
      </c>
      <c r="G114" s="32">
        <v>5462223.0</v>
      </c>
      <c r="H114" s="32">
        <v>4086517.0</v>
      </c>
      <c r="I114" s="32">
        <v>0.0</v>
      </c>
      <c r="J114" s="32">
        <v>1.2075456128E10</v>
      </c>
      <c r="K114" s="32">
        <v>3.087268407E9</v>
      </c>
      <c r="L114" s="32">
        <v>32342.0</v>
      </c>
      <c r="M114" s="31" t="s">
        <v>34</v>
      </c>
      <c r="N114" s="31">
        <v>25.0</v>
      </c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1.70028719E8</v>
      </c>
      <c r="B115" s="31" t="s">
        <v>452</v>
      </c>
      <c r="C115" s="32">
        <v>4.8019624E7</v>
      </c>
      <c r="D115" s="32">
        <v>1.14424065E8</v>
      </c>
      <c r="E115" s="32">
        <v>2509868.0</v>
      </c>
      <c r="F115" s="32">
        <v>2239547.0</v>
      </c>
      <c r="G115" s="32">
        <v>4866402.0</v>
      </c>
      <c r="H115" s="32">
        <v>2860763.0</v>
      </c>
      <c r="I115" s="32">
        <v>0.0</v>
      </c>
      <c r="J115" s="32">
        <v>5.755424034E9</v>
      </c>
      <c r="K115" s="32">
        <v>3.989143277E9</v>
      </c>
      <c r="L115" s="32">
        <v>40776.0</v>
      </c>
      <c r="M115" s="31" t="s">
        <v>34</v>
      </c>
      <c r="N115" s="31">
        <v>25.0</v>
      </c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1.44064126E8</v>
      </c>
      <c r="B116" s="31" t="s">
        <v>416</v>
      </c>
      <c r="C116" s="32">
        <v>4.791535E7</v>
      </c>
      <c r="D116" s="32">
        <v>3.28313084E8</v>
      </c>
      <c r="E116" s="32">
        <v>8224568.0</v>
      </c>
      <c r="F116" s="32">
        <v>5000101.0</v>
      </c>
      <c r="G116" s="32">
        <v>1.8254451E7</v>
      </c>
      <c r="H116" s="32">
        <v>5172191.0</v>
      </c>
      <c r="I116" s="32">
        <v>0.0</v>
      </c>
      <c r="J116" s="32">
        <v>9.151706654E9</v>
      </c>
      <c r="K116" s="32">
        <v>4.867183E7</v>
      </c>
      <c r="L116" s="32">
        <v>13851.0</v>
      </c>
      <c r="M116" s="31" t="s">
        <v>66</v>
      </c>
      <c r="N116" s="31">
        <v>25.0</v>
      </c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1.59857111E8</v>
      </c>
      <c r="B117" s="31" t="s">
        <v>369</v>
      </c>
      <c r="C117" s="32">
        <v>4.7902971E7</v>
      </c>
      <c r="D117" s="32">
        <v>4.6528687E8</v>
      </c>
      <c r="E117" s="32">
        <v>3125000.0</v>
      </c>
      <c r="F117" s="32">
        <v>2.1498954E7</v>
      </c>
      <c r="G117" s="32">
        <v>3.5659282E7</v>
      </c>
      <c r="H117" s="32">
        <v>4867677.0</v>
      </c>
      <c r="I117" s="32">
        <v>0.0</v>
      </c>
      <c r="J117" s="32">
        <v>8.131476156E9</v>
      </c>
      <c r="K117" s="32">
        <v>3.350520456E9</v>
      </c>
      <c r="L117" s="32">
        <v>37310.0</v>
      </c>
      <c r="M117" s="31" t="s">
        <v>34</v>
      </c>
      <c r="N117" s="31">
        <v>25.0</v>
      </c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1.56007436E8</v>
      </c>
      <c r="B118" s="31" t="s">
        <v>413</v>
      </c>
      <c r="C118" s="32">
        <v>4.7758537E7</v>
      </c>
      <c r="D118" s="32">
        <v>1.56937032E8</v>
      </c>
      <c r="E118" s="32">
        <v>1.1314409E7</v>
      </c>
      <c r="F118" s="32">
        <v>432174.0</v>
      </c>
      <c r="G118" s="32">
        <v>4983875.0</v>
      </c>
      <c r="H118" s="32">
        <v>5280395.0</v>
      </c>
      <c r="I118" s="32">
        <v>0.0</v>
      </c>
      <c r="J118" s="32">
        <v>1.112519807E10</v>
      </c>
      <c r="K118" s="32">
        <v>1.357531292E9</v>
      </c>
      <c r="L118" s="32">
        <v>14212.0</v>
      </c>
      <c r="M118" s="31" t="s">
        <v>34</v>
      </c>
      <c r="N118" s="31">
        <v>25.0</v>
      </c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1.44049503E8</v>
      </c>
      <c r="B119" s="31" t="s">
        <v>495</v>
      </c>
      <c r="C119" s="32">
        <v>4.7694107E7</v>
      </c>
      <c r="D119" s="32">
        <v>1.51533045E8</v>
      </c>
      <c r="E119" s="32">
        <v>5568342.0</v>
      </c>
      <c r="F119" s="32">
        <v>1905869.0</v>
      </c>
      <c r="G119" s="32">
        <v>8778048.0</v>
      </c>
      <c r="H119" s="32">
        <v>2950554.0</v>
      </c>
      <c r="I119" s="32">
        <v>0.0</v>
      </c>
      <c r="J119" s="32">
        <v>9.157310325E9</v>
      </c>
      <c r="K119" s="32">
        <v>1.86E7</v>
      </c>
      <c r="L119" s="32">
        <v>30055.0</v>
      </c>
      <c r="M119" s="31" t="s">
        <v>66</v>
      </c>
      <c r="N119" s="31">
        <v>25.0</v>
      </c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1.72015122E8</v>
      </c>
      <c r="B120" s="31" t="s">
        <v>419</v>
      </c>
      <c r="C120" s="32">
        <v>4.7614722E7</v>
      </c>
      <c r="D120" s="32">
        <v>6.9641716E7</v>
      </c>
      <c r="E120" s="32">
        <v>6395944.0</v>
      </c>
      <c r="F120" s="32">
        <v>1149740.0</v>
      </c>
      <c r="G120" s="32">
        <v>4123036.0</v>
      </c>
      <c r="H120" s="32">
        <v>1280819.0</v>
      </c>
      <c r="I120" s="32">
        <v>0.0</v>
      </c>
      <c r="J120" s="32">
        <v>6.320081165E9</v>
      </c>
      <c r="K120" s="32">
        <v>2.255803635E9</v>
      </c>
      <c r="L120" s="32">
        <v>14158.0</v>
      </c>
      <c r="M120" s="31" t="s">
        <v>66</v>
      </c>
      <c r="N120" s="31">
        <v>25.0</v>
      </c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1.69953509E8</v>
      </c>
      <c r="B121" s="31" t="s">
        <v>415</v>
      </c>
      <c r="C121" s="32">
        <v>4.7526956E7</v>
      </c>
      <c r="D121" s="32">
        <v>2.32186504E8</v>
      </c>
      <c r="E121" s="32">
        <v>5726080.0</v>
      </c>
      <c r="F121" s="32">
        <v>6.62997E7</v>
      </c>
      <c r="G121" s="32">
        <v>7384592.0</v>
      </c>
      <c r="H121" s="32">
        <v>6703571.0</v>
      </c>
      <c r="I121" s="32">
        <v>0.0</v>
      </c>
      <c r="J121" s="32">
        <v>9.446458037E9</v>
      </c>
      <c r="K121" s="32">
        <v>1.994309821E9</v>
      </c>
      <c r="L121" s="32">
        <v>20742.0</v>
      </c>
      <c r="M121" s="31" t="s">
        <v>34</v>
      </c>
      <c r="N121" s="31">
        <v>25.0</v>
      </c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7.5750446E7</v>
      </c>
      <c r="B122" s="31" t="s">
        <v>451</v>
      </c>
      <c r="C122" s="32">
        <v>4.7399604E7</v>
      </c>
      <c r="D122" s="32">
        <v>4.7582587E7</v>
      </c>
      <c r="E122" s="32">
        <v>5872796.0</v>
      </c>
      <c r="F122" s="32">
        <v>1962965.0</v>
      </c>
      <c r="G122" s="32">
        <v>2337799.0</v>
      </c>
      <c r="H122" s="32">
        <v>784318.0</v>
      </c>
      <c r="I122" s="32">
        <v>0.0</v>
      </c>
      <c r="J122" s="32">
        <v>7.621164969E9</v>
      </c>
      <c r="K122" s="32">
        <v>1.60164717E8</v>
      </c>
      <c r="L122" s="32">
        <v>11255.0</v>
      </c>
      <c r="M122" s="31" t="s">
        <v>66</v>
      </c>
      <c r="N122" s="31">
        <v>25.0</v>
      </c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1.44114697E8</v>
      </c>
      <c r="B123" s="31" t="s">
        <v>417</v>
      </c>
      <c r="C123" s="32">
        <v>4.6863906E7</v>
      </c>
      <c r="D123" s="32">
        <v>2.01875553E8</v>
      </c>
      <c r="E123" s="32">
        <v>4023063.0</v>
      </c>
      <c r="F123" s="32">
        <v>682449.0</v>
      </c>
      <c r="G123" s="32">
        <v>7945813.0</v>
      </c>
      <c r="H123" s="32">
        <v>5801472.0</v>
      </c>
      <c r="I123" s="32">
        <v>0.0</v>
      </c>
      <c r="J123" s="32">
        <v>9.959697527E9</v>
      </c>
      <c r="K123" s="32">
        <v>4.278847644E9</v>
      </c>
      <c r="L123" s="32">
        <v>35353.0</v>
      </c>
      <c r="M123" s="31" t="s">
        <v>66</v>
      </c>
      <c r="N123" s="31">
        <v>25.0</v>
      </c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1.72008118E8</v>
      </c>
      <c r="B124" s="31" t="s">
        <v>453</v>
      </c>
      <c r="C124" s="32">
        <v>4.6815919E7</v>
      </c>
      <c r="D124" s="32">
        <v>3.7403711E7</v>
      </c>
      <c r="E124" s="32">
        <v>4591447.0</v>
      </c>
      <c r="F124" s="32">
        <v>57057.0</v>
      </c>
      <c r="G124" s="32">
        <v>1153831.0</v>
      </c>
      <c r="H124" s="32">
        <v>1274367.0</v>
      </c>
      <c r="I124" s="32">
        <v>0.0</v>
      </c>
      <c r="J124" s="32">
        <v>8.277106778E9</v>
      </c>
      <c r="K124" s="32">
        <v>1.80113412E8</v>
      </c>
      <c r="L124" s="32">
        <v>7932.0</v>
      </c>
      <c r="M124" s="31" t="s">
        <v>34</v>
      </c>
      <c r="N124" s="31">
        <v>25.0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1.76044158E8</v>
      </c>
      <c r="B125" s="31" t="s">
        <v>139</v>
      </c>
      <c r="C125" s="32">
        <v>4.6686086E7</v>
      </c>
      <c r="D125" s="32">
        <v>8.0429934E7</v>
      </c>
      <c r="E125" s="32">
        <v>3644629.0</v>
      </c>
      <c r="F125" s="32">
        <v>315692.0</v>
      </c>
      <c r="G125" s="32">
        <v>2290775.0</v>
      </c>
      <c r="H125" s="32">
        <v>2857018.0</v>
      </c>
      <c r="I125" s="32">
        <v>0.0</v>
      </c>
      <c r="J125" s="32">
        <v>1.7148896985E10</v>
      </c>
      <c r="K125" s="32">
        <v>4.244536539E9</v>
      </c>
      <c r="L125" s="32">
        <v>15823.0</v>
      </c>
      <c r="M125" s="31" t="s">
        <v>34</v>
      </c>
      <c r="N125" s="31">
        <v>25.0</v>
      </c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1.77187021E8</v>
      </c>
      <c r="B126" s="31" t="s">
        <v>418</v>
      </c>
      <c r="C126" s="32">
        <v>4.6642013E7</v>
      </c>
      <c r="D126" s="32">
        <v>1.05104406E8</v>
      </c>
      <c r="E126" s="32">
        <v>6685524.0</v>
      </c>
      <c r="F126" s="32">
        <v>465612.0</v>
      </c>
      <c r="G126" s="32">
        <v>2717479.0</v>
      </c>
      <c r="H126" s="32">
        <v>3875468.0</v>
      </c>
      <c r="I126" s="32">
        <v>0.0</v>
      </c>
      <c r="J126" s="32">
        <v>8.877169693E9</v>
      </c>
      <c r="K126" s="32">
        <v>7.08430819E8</v>
      </c>
      <c r="L126" s="32">
        <v>24804.0</v>
      </c>
      <c r="M126" s="31" t="s">
        <v>34</v>
      </c>
      <c r="N126" s="31">
        <v>25.0</v>
      </c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1.45023737E8</v>
      </c>
      <c r="B127" s="31" t="s">
        <v>161</v>
      </c>
      <c r="C127" s="32">
        <v>4.6099147E7</v>
      </c>
      <c r="D127" s="32">
        <v>1.54949093E8</v>
      </c>
      <c r="E127" s="32">
        <v>2447417.0</v>
      </c>
      <c r="F127" s="32">
        <v>1349297.0</v>
      </c>
      <c r="G127" s="32">
        <v>1.0444082E7</v>
      </c>
      <c r="H127" s="32">
        <v>2189568.0</v>
      </c>
      <c r="I127" s="32">
        <v>0.0</v>
      </c>
      <c r="J127" s="32">
        <v>7.032944489E9</v>
      </c>
      <c r="K127" s="32">
        <v>6.96238399E8</v>
      </c>
      <c r="L127" s="32">
        <v>24659.0</v>
      </c>
      <c r="M127" s="31" t="s">
        <v>34</v>
      </c>
      <c r="N127" s="31">
        <v>25.0</v>
      </c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1.71697263E8</v>
      </c>
      <c r="B128" s="31" t="s">
        <v>109</v>
      </c>
      <c r="C128" s="32">
        <v>4.5660713E7</v>
      </c>
      <c r="D128" s="32">
        <v>3.70923377E8</v>
      </c>
      <c r="E128" s="32">
        <v>8416391.0</v>
      </c>
      <c r="F128" s="32">
        <v>1.7151277E7</v>
      </c>
      <c r="G128" s="32">
        <v>1.6767073E7</v>
      </c>
      <c r="H128" s="32">
        <v>9924028.0</v>
      </c>
      <c r="I128" s="32">
        <v>0.0</v>
      </c>
      <c r="J128" s="32">
        <v>5.326178497E9</v>
      </c>
      <c r="K128" s="32">
        <v>6.76969728E8</v>
      </c>
      <c r="L128" s="32">
        <v>43212.0</v>
      </c>
      <c r="M128" s="31" t="s">
        <v>34</v>
      </c>
      <c r="N128" s="31">
        <v>25.0</v>
      </c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1.4361245E8</v>
      </c>
      <c r="B129" s="31" t="s">
        <v>144</v>
      </c>
      <c r="C129" s="32">
        <v>4.3995707E7</v>
      </c>
      <c r="D129" s="32">
        <v>4.93645616E8</v>
      </c>
      <c r="E129" s="32">
        <v>4384868.0</v>
      </c>
      <c r="F129" s="32">
        <v>4579744.0</v>
      </c>
      <c r="G129" s="32">
        <v>2.8417506E7</v>
      </c>
      <c r="H129" s="32">
        <v>9875211.0</v>
      </c>
      <c r="I129" s="32">
        <v>0.0</v>
      </c>
      <c r="J129" s="32">
        <v>1.0078483277E10</v>
      </c>
      <c r="K129" s="32">
        <v>7.147666033E9</v>
      </c>
      <c r="L129" s="32">
        <v>32253.0</v>
      </c>
      <c r="M129" s="31" t="s">
        <v>34</v>
      </c>
      <c r="N129" s="31">
        <v>25.0</v>
      </c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1.71945722E8</v>
      </c>
      <c r="B130" s="31" t="s">
        <v>371</v>
      </c>
      <c r="C130" s="32">
        <v>4.3787076E7</v>
      </c>
      <c r="D130" s="32">
        <v>6.1978803E7</v>
      </c>
      <c r="E130" s="32">
        <v>4437053.0</v>
      </c>
      <c r="F130" s="32">
        <v>107839.0</v>
      </c>
      <c r="G130" s="32">
        <v>3034971.0</v>
      </c>
      <c r="H130" s="32">
        <v>1571615.0</v>
      </c>
      <c r="I130" s="32">
        <v>0.0</v>
      </c>
      <c r="J130" s="32">
        <v>1.0950850448E10</v>
      </c>
      <c r="K130" s="32">
        <v>2.86825022E9</v>
      </c>
      <c r="L130" s="32">
        <v>15912.0</v>
      </c>
      <c r="M130" s="31" t="s">
        <v>34</v>
      </c>
      <c r="N130" s="31">
        <v>25.0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1.60258193E8</v>
      </c>
      <c r="B131" s="31" t="s">
        <v>145</v>
      </c>
      <c r="C131" s="32">
        <v>4.3236256E7</v>
      </c>
      <c r="D131" s="32">
        <v>4.3574739E7</v>
      </c>
      <c r="E131" s="32">
        <v>2440420.0</v>
      </c>
      <c r="F131" s="32">
        <v>1459647.0</v>
      </c>
      <c r="G131" s="32">
        <v>2666256.0</v>
      </c>
      <c r="H131" s="32">
        <v>711945.0</v>
      </c>
      <c r="I131" s="32">
        <v>0.0</v>
      </c>
      <c r="J131" s="32">
        <v>6.455941166E9</v>
      </c>
      <c r="K131" s="32">
        <v>1.442818482E9</v>
      </c>
      <c r="L131" s="32">
        <v>22915.0</v>
      </c>
      <c r="M131" s="31" t="s">
        <v>34</v>
      </c>
      <c r="N131" s="31">
        <v>25.0</v>
      </c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8.8110635E7</v>
      </c>
      <c r="B132" s="31" t="s">
        <v>149</v>
      </c>
      <c r="C132" s="32">
        <v>4.2514992E7</v>
      </c>
      <c r="D132" s="32">
        <v>3.6234973E7</v>
      </c>
      <c r="E132" s="32">
        <v>6531506.0</v>
      </c>
      <c r="F132" s="32">
        <v>32907.0</v>
      </c>
      <c r="G132" s="32">
        <v>941976.0</v>
      </c>
      <c r="H132" s="32">
        <v>1302977.0</v>
      </c>
      <c r="I132" s="32">
        <v>0.0</v>
      </c>
      <c r="J132" s="32">
        <v>9.056445524E9</v>
      </c>
      <c r="K132" s="32">
        <v>1.05797584E8</v>
      </c>
      <c r="L132" s="32">
        <v>13082.0</v>
      </c>
      <c r="M132" s="31" t="s">
        <v>126</v>
      </c>
      <c r="N132" s="31">
        <v>25.0</v>
      </c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1.68206434E8</v>
      </c>
      <c r="B133" s="31" t="s">
        <v>454</v>
      </c>
      <c r="C133" s="32">
        <v>4.2493759E7</v>
      </c>
      <c r="D133" s="32">
        <v>1.06879695E8</v>
      </c>
      <c r="E133" s="32">
        <v>6942759.0</v>
      </c>
      <c r="F133" s="32">
        <v>853198.0</v>
      </c>
      <c r="G133" s="32">
        <v>4459154.0</v>
      </c>
      <c r="H133" s="32">
        <v>2856721.0</v>
      </c>
      <c r="I133" s="32">
        <v>0.0</v>
      </c>
      <c r="J133" s="32">
        <v>5.139545319E9</v>
      </c>
      <c r="K133" s="32">
        <v>2.72430913E8</v>
      </c>
      <c r="L133" s="32">
        <v>5976.0</v>
      </c>
      <c r="M133" s="31" t="s">
        <v>34</v>
      </c>
      <c r="N133" s="31">
        <v>25.0</v>
      </c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1.43551941E8</v>
      </c>
      <c r="B134" s="31" t="s">
        <v>151</v>
      </c>
      <c r="C134" s="32">
        <v>4.2380578E7</v>
      </c>
      <c r="D134" s="32">
        <v>1.46157717E8</v>
      </c>
      <c r="E134" s="32">
        <v>2445001.0</v>
      </c>
      <c r="F134" s="32">
        <v>1655199.0</v>
      </c>
      <c r="G134" s="32">
        <v>9930156.0</v>
      </c>
      <c r="H134" s="32">
        <v>2043226.0</v>
      </c>
      <c r="I134" s="32">
        <v>0.0</v>
      </c>
      <c r="J134" s="32">
        <v>7.011555418E9</v>
      </c>
      <c r="K134" s="32">
        <v>3.2640001E7</v>
      </c>
      <c r="L134" s="32">
        <v>26468.0</v>
      </c>
      <c r="M134" s="31" t="s">
        <v>480</v>
      </c>
      <c r="N134" s="31">
        <v>25.0</v>
      </c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1.75650426E8</v>
      </c>
      <c r="B135" s="31" t="s">
        <v>154</v>
      </c>
      <c r="C135" s="32">
        <v>4.165872E7</v>
      </c>
      <c r="D135" s="32">
        <v>1.9636774E8</v>
      </c>
      <c r="E135" s="32">
        <v>6762867.0</v>
      </c>
      <c r="F135" s="32">
        <v>6316304.0</v>
      </c>
      <c r="G135" s="32">
        <v>8168096.0</v>
      </c>
      <c r="H135" s="32">
        <v>4936189.0</v>
      </c>
      <c r="I135" s="32">
        <v>0.0</v>
      </c>
      <c r="J135" s="32">
        <v>6.199909572E9</v>
      </c>
      <c r="K135" s="32">
        <v>3.319085086E9</v>
      </c>
      <c r="L135" s="32">
        <v>19400.0</v>
      </c>
      <c r="M135" s="31" t="s">
        <v>34</v>
      </c>
      <c r="N135" s="31">
        <v>25.0</v>
      </c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1.71922856E8</v>
      </c>
      <c r="B136" s="31" t="s">
        <v>420</v>
      </c>
      <c r="C136" s="32">
        <v>4.1298779E7</v>
      </c>
      <c r="D136" s="32">
        <v>7.1515828E7</v>
      </c>
      <c r="E136" s="32">
        <v>3619775.0</v>
      </c>
      <c r="F136" s="32">
        <v>184044.0</v>
      </c>
      <c r="G136" s="32">
        <v>2680128.0</v>
      </c>
      <c r="H136" s="32">
        <v>1917374.0</v>
      </c>
      <c r="I136" s="32">
        <v>0.0</v>
      </c>
      <c r="J136" s="32">
        <v>5.353975102E9</v>
      </c>
      <c r="K136" s="32">
        <v>5.66068641E8</v>
      </c>
      <c r="L136" s="32">
        <v>17498.0</v>
      </c>
      <c r="M136" s="31" t="s">
        <v>34</v>
      </c>
      <c r="N136" s="31">
        <v>25.0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1.67863288E8</v>
      </c>
      <c r="B137" s="31" t="s">
        <v>481</v>
      </c>
      <c r="C137" s="32">
        <v>4.051509E7</v>
      </c>
      <c r="D137" s="32">
        <v>1.31331874E8</v>
      </c>
      <c r="E137" s="32">
        <v>6375488.0</v>
      </c>
      <c r="F137" s="32">
        <v>1542021.0</v>
      </c>
      <c r="G137" s="32">
        <v>6804637.0</v>
      </c>
      <c r="H137" s="32">
        <v>2893886.0</v>
      </c>
      <c r="I137" s="32">
        <v>0.0</v>
      </c>
      <c r="J137" s="32">
        <v>9.31458726E9</v>
      </c>
      <c r="K137" s="32">
        <v>2.405594729E9</v>
      </c>
      <c r="L137" s="32">
        <v>41076.0</v>
      </c>
      <c r="M137" s="31" t="s">
        <v>119</v>
      </c>
      <c r="N137" s="31">
        <v>25.0</v>
      </c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1.72029365E8</v>
      </c>
      <c r="B138" s="31" t="s">
        <v>148</v>
      </c>
      <c r="C138" s="32">
        <v>4.0421796E7</v>
      </c>
      <c r="D138" s="32">
        <v>1.31399465E8</v>
      </c>
      <c r="E138" s="32">
        <v>8193329.0</v>
      </c>
      <c r="F138" s="32">
        <v>670128.0</v>
      </c>
      <c r="G138" s="32">
        <v>3794613.0</v>
      </c>
      <c r="H138" s="32">
        <v>4588637.0</v>
      </c>
      <c r="I138" s="32">
        <v>0.0</v>
      </c>
      <c r="J138" s="32">
        <v>5.896096855E9</v>
      </c>
      <c r="K138" s="32">
        <v>1.169311746E9</v>
      </c>
      <c r="L138" s="32">
        <v>17693.0</v>
      </c>
      <c r="M138" s="31" t="s">
        <v>34</v>
      </c>
      <c r="N138" s="31">
        <v>25.0</v>
      </c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1.71830779E8</v>
      </c>
      <c r="B139" s="31" t="s">
        <v>372</v>
      </c>
      <c r="C139" s="32">
        <v>4.0189618E7</v>
      </c>
      <c r="D139" s="32">
        <v>1.97874727E8</v>
      </c>
      <c r="E139" s="32">
        <v>6279274.0</v>
      </c>
      <c r="F139" s="32">
        <v>896608.0</v>
      </c>
      <c r="G139" s="32">
        <v>1.0787406E7</v>
      </c>
      <c r="H139" s="32">
        <v>4428480.0</v>
      </c>
      <c r="I139" s="32">
        <v>0.0</v>
      </c>
      <c r="J139" s="32">
        <v>6.553960939E9</v>
      </c>
      <c r="K139" s="32">
        <v>5.681506E8</v>
      </c>
      <c r="L139" s="32">
        <v>44752.0</v>
      </c>
      <c r="M139" s="31" t="s">
        <v>34</v>
      </c>
      <c r="N139" s="31">
        <v>25.0</v>
      </c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1.75551858E8</v>
      </c>
      <c r="B140" s="31" t="s">
        <v>496</v>
      </c>
      <c r="C140" s="32">
        <v>3.9996457E7</v>
      </c>
      <c r="D140" s="32">
        <v>5.564354E7</v>
      </c>
      <c r="E140" s="32">
        <v>6315733.0</v>
      </c>
      <c r="F140" s="32">
        <v>477113.0</v>
      </c>
      <c r="G140" s="32">
        <v>4088704.0</v>
      </c>
      <c r="H140" s="32">
        <v>684436.0</v>
      </c>
      <c r="I140" s="32">
        <v>0.0</v>
      </c>
      <c r="J140" s="32">
        <v>5.834369183E9</v>
      </c>
      <c r="K140" s="32">
        <v>4.83084529E8</v>
      </c>
      <c r="L140" s="32">
        <v>10301.0</v>
      </c>
      <c r="M140" s="31" t="s">
        <v>66</v>
      </c>
      <c r="N140" s="31">
        <v>25.0</v>
      </c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1.45948216E8</v>
      </c>
      <c r="B141" s="31" t="s">
        <v>167</v>
      </c>
      <c r="C141" s="32">
        <v>3.9523605E7</v>
      </c>
      <c r="D141" s="32">
        <v>6.1400678E7</v>
      </c>
      <c r="E141" s="32">
        <v>4232587.0</v>
      </c>
      <c r="F141" s="32">
        <v>52194.0</v>
      </c>
      <c r="G141" s="32">
        <v>1178283.0</v>
      </c>
      <c r="H141" s="32">
        <v>2468270.0</v>
      </c>
      <c r="I141" s="32">
        <v>0.0</v>
      </c>
      <c r="J141" s="32">
        <v>1.0739461667E10</v>
      </c>
      <c r="K141" s="32">
        <v>6.848628877E9</v>
      </c>
      <c r="L141" s="32">
        <v>10430.0</v>
      </c>
      <c r="M141" s="31" t="s">
        <v>34</v>
      </c>
      <c r="N141" s="31">
        <v>25.0</v>
      </c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6.5948574E7</v>
      </c>
      <c r="B142" s="31" t="s">
        <v>157</v>
      </c>
      <c r="C142" s="32">
        <v>3.742164E7</v>
      </c>
      <c r="D142" s="32">
        <v>1.23470244E8</v>
      </c>
      <c r="E142" s="32">
        <v>9779974.0</v>
      </c>
      <c r="F142" s="32">
        <v>920251.0</v>
      </c>
      <c r="G142" s="32">
        <v>5037806.0</v>
      </c>
      <c r="H142" s="32">
        <v>3513962.0</v>
      </c>
      <c r="I142" s="32">
        <v>0.0</v>
      </c>
      <c r="J142" s="32">
        <v>2.193536288E10</v>
      </c>
      <c r="K142" s="32">
        <v>2.3958373403E10</v>
      </c>
      <c r="L142" s="32">
        <v>21537.0</v>
      </c>
      <c r="M142" s="31" t="s">
        <v>147</v>
      </c>
      <c r="N142" s="31">
        <v>25.0</v>
      </c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1.44079875E8</v>
      </c>
      <c r="B143" s="31" t="s">
        <v>497</v>
      </c>
      <c r="C143" s="32">
        <v>3.7416853E7</v>
      </c>
      <c r="D143" s="32">
        <v>3.4849267E7</v>
      </c>
      <c r="E143" s="32">
        <v>1639848.0</v>
      </c>
      <c r="F143" s="32">
        <v>1726368.0</v>
      </c>
      <c r="G143" s="32">
        <v>1241495.0</v>
      </c>
      <c r="H143" s="32">
        <v>449037.0</v>
      </c>
      <c r="I143" s="32">
        <v>0.0</v>
      </c>
      <c r="J143" s="32">
        <v>6.201412364E9</v>
      </c>
      <c r="K143" s="32">
        <v>7.22210937E8</v>
      </c>
      <c r="L143" s="32">
        <v>5020.0</v>
      </c>
      <c r="M143" s="31" t="s">
        <v>66</v>
      </c>
      <c r="N143" s="31">
        <v>25.0</v>
      </c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6.6847214E7</v>
      </c>
      <c r="B144" s="31" t="s">
        <v>159</v>
      </c>
      <c r="C144" s="32">
        <v>3.6962181E7</v>
      </c>
      <c r="D144" s="32">
        <v>1.27502569E8</v>
      </c>
      <c r="E144" s="32">
        <v>7182928.0</v>
      </c>
      <c r="F144" s="32">
        <v>258487.0</v>
      </c>
      <c r="G144" s="32">
        <v>4065081.0</v>
      </c>
      <c r="H144" s="32">
        <v>4268971.0</v>
      </c>
      <c r="I144" s="32">
        <v>0.0</v>
      </c>
      <c r="J144" s="32">
        <v>1.2373710011E10</v>
      </c>
      <c r="K144" s="32">
        <v>1.5933720332E10</v>
      </c>
      <c r="L144" s="32">
        <v>8273.0</v>
      </c>
      <c r="M144" s="31" t="s">
        <v>34</v>
      </c>
      <c r="N144" s="31">
        <v>25.0</v>
      </c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1.43328412E8</v>
      </c>
      <c r="B145" s="31" t="s">
        <v>158</v>
      </c>
      <c r="C145" s="32">
        <v>3.6364022E7</v>
      </c>
      <c r="D145" s="32">
        <v>3.24920088E8</v>
      </c>
      <c r="E145" s="32">
        <v>5751734.0</v>
      </c>
      <c r="F145" s="32">
        <v>2657791.0</v>
      </c>
      <c r="G145" s="32">
        <v>2.4253096E7</v>
      </c>
      <c r="H145" s="32">
        <v>3145842.0</v>
      </c>
      <c r="I145" s="32">
        <v>0.0</v>
      </c>
      <c r="J145" s="32">
        <v>1.0062343813E10</v>
      </c>
      <c r="K145" s="32">
        <v>8.501035607E9</v>
      </c>
      <c r="L145" s="32">
        <v>30012.0</v>
      </c>
      <c r="M145" s="31" t="s">
        <v>94</v>
      </c>
      <c r="N145" s="31">
        <v>25.0</v>
      </c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1.44052871E8</v>
      </c>
      <c r="B146" s="31" t="s">
        <v>162</v>
      </c>
      <c r="C146" s="32">
        <v>3.6265396E7</v>
      </c>
      <c r="D146" s="32">
        <v>1.0830023E7</v>
      </c>
      <c r="E146" s="32">
        <v>7086114.0</v>
      </c>
      <c r="F146" s="32">
        <v>294567.0</v>
      </c>
      <c r="G146" s="32">
        <v>392460.0</v>
      </c>
      <c r="H146" s="32">
        <v>216867.0</v>
      </c>
      <c r="I146" s="32">
        <v>0.0</v>
      </c>
      <c r="J146" s="32">
        <v>5.584152217E9</v>
      </c>
      <c r="K146" s="32">
        <v>64161.0</v>
      </c>
      <c r="L146" s="32">
        <v>316.0</v>
      </c>
      <c r="M146" s="31" t="s">
        <v>456</v>
      </c>
      <c r="N146" s="31">
        <v>25.0</v>
      </c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1.44059309E8</v>
      </c>
      <c r="B147" s="31" t="s">
        <v>164</v>
      </c>
      <c r="C147" s="32">
        <v>3.3893109E7</v>
      </c>
      <c r="D147" s="32">
        <v>1.7598036E7</v>
      </c>
      <c r="E147" s="32">
        <v>8743288.0</v>
      </c>
      <c r="F147" s="32">
        <v>557123.0</v>
      </c>
      <c r="G147" s="32">
        <v>628313.0</v>
      </c>
      <c r="H147" s="32">
        <v>269406.0</v>
      </c>
      <c r="I147" s="32">
        <v>0.0</v>
      </c>
      <c r="J147" s="32">
        <v>3.989965345E9</v>
      </c>
      <c r="K147" s="32">
        <v>719086.0</v>
      </c>
      <c r="L147" s="32">
        <v>2258.0</v>
      </c>
      <c r="M147" s="31" t="s">
        <v>165</v>
      </c>
      <c r="N147" s="31">
        <v>25.0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3">
        <v>1.73621774E8</v>
      </c>
      <c r="B148" s="33" t="s">
        <v>421</v>
      </c>
      <c r="C148" s="34">
        <v>3.2738434E7</v>
      </c>
      <c r="D148" s="34">
        <v>5371343.0</v>
      </c>
      <c r="E148" s="34">
        <v>1065662.0</v>
      </c>
      <c r="F148" s="34">
        <v>253769.0</v>
      </c>
      <c r="G148" s="34">
        <v>215029.0</v>
      </c>
      <c r="H148" s="34">
        <v>107306.0</v>
      </c>
      <c r="I148" s="34">
        <v>0.0</v>
      </c>
      <c r="J148" s="34">
        <v>1.0560638658E10</v>
      </c>
      <c r="K148" s="34">
        <v>2.797921909E9</v>
      </c>
      <c r="L148" s="34">
        <v>5015.0</v>
      </c>
      <c r="M148" s="33" t="s">
        <v>153</v>
      </c>
      <c r="N148" s="33">
        <v>24.0</v>
      </c>
      <c r="O148" s="33"/>
      <c r="P148" s="33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1.81527216E8</v>
      </c>
      <c r="B149" s="31" t="s">
        <v>166</v>
      </c>
      <c r="C149" s="32">
        <v>3.2409282E7</v>
      </c>
      <c r="D149" s="32">
        <v>8713098.0</v>
      </c>
      <c r="E149" s="32">
        <v>3721329.0</v>
      </c>
      <c r="F149" s="32">
        <v>367661.0</v>
      </c>
      <c r="G149" s="32">
        <v>395838.0</v>
      </c>
      <c r="H149" s="32">
        <v>233744.0</v>
      </c>
      <c r="I149" s="32">
        <v>0.0</v>
      </c>
      <c r="J149" s="32">
        <v>3.749754126E9</v>
      </c>
      <c r="K149" s="32">
        <v>0.0</v>
      </c>
      <c r="L149" s="32">
        <v>5258.0</v>
      </c>
      <c r="M149" s="31" t="s">
        <v>165</v>
      </c>
      <c r="N149" s="31">
        <v>25.0</v>
      </c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1.39139149E8</v>
      </c>
      <c r="B150" s="31" t="s">
        <v>172</v>
      </c>
      <c r="C150" s="32">
        <v>3.1761394E7</v>
      </c>
      <c r="D150" s="32">
        <v>3.2066717E8</v>
      </c>
      <c r="E150" s="32">
        <v>5005600.0</v>
      </c>
      <c r="F150" s="32">
        <v>1.3375761E7</v>
      </c>
      <c r="G150" s="32">
        <v>2.1995011E7</v>
      </c>
      <c r="H150" s="32">
        <v>4331928.0</v>
      </c>
      <c r="I150" s="32">
        <v>0.0</v>
      </c>
      <c r="J150" s="32">
        <v>7.579831826E9</v>
      </c>
      <c r="K150" s="32">
        <v>5.98299802E8</v>
      </c>
      <c r="L150" s="32">
        <v>23375.0</v>
      </c>
      <c r="M150" s="31" t="s">
        <v>66</v>
      </c>
      <c r="N150" s="31">
        <v>25.0</v>
      </c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1.48890128E8</v>
      </c>
      <c r="B151" s="31" t="s">
        <v>170</v>
      </c>
      <c r="C151" s="32">
        <v>3.1218492E7</v>
      </c>
      <c r="D151" s="32">
        <v>2.6185762E7</v>
      </c>
      <c r="E151" s="32">
        <v>4350443.0</v>
      </c>
      <c r="F151" s="32">
        <v>269772.0</v>
      </c>
      <c r="G151" s="32">
        <v>1744020.0</v>
      </c>
      <c r="H151" s="32">
        <v>330142.0</v>
      </c>
      <c r="I151" s="32">
        <v>0.0</v>
      </c>
      <c r="J151" s="32">
        <v>8.179229427E9</v>
      </c>
      <c r="K151" s="32">
        <v>4.011433363E9</v>
      </c>
      <c r="L151" s="32">
        <v>6497.0</v>
      </c>
      <c r="M151" s="31" t="s">
        <v>126</v>
      </c>
      <c r="N151" s="31">
        <v>25.0</v>
      </c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1.81734011E8</v>
      </c>
      <c r="B152" s="31" t="s">
        <v>169</v>
      </c>
      <c r="C152" s="32">
        <v>3.0877176E7</v>
      </c>
      <c r="D152" s="32">
        <v>5.7637918E7</v>
      </c>
      <c r="E152" s="32">
        <v>2697940.0</v>
      </c>
      <c r="F152" s="32">
        <v>226191.0</v>
      </c>
      <c r="G152" s="32">
        <v>1909947.0</v>
      </c>
      <c r="H152" s="32">
        <v>1735614.0</v>
      </c>
      <c r="I152" s="32">
        <v>0.0</v>
      </c>
      <c r="J152" s="32">
        <v>7.98488429E9</v>
      </c>
      <c r="K152" s="32">
        <v>1.49070088E8</v>
      </c>
      <c r="L152" s="32">
        <v>12125.0</v>
      </c>
      <c r="M152" s="31" t="s">
        <v>34</v>
      </c>
      <c r="N152" s="31">
        <v>25.0</v>
      </c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1.44046322E8</v>
      </c>
      <c r="B153" s="31" t="s">
        <v>180</v>
      </c>
      <c r="C153" s="32">
        <v>3.0783183E7</v>
      </c>
      <c r="D153" s="32">
        <v>8494096.0</v>
      </c>
      <c r="E153" s="32">
        <v>3782729.0</v>
      </c>
      <c r="F153" s="32">
        <v>150382.0</v>
      </c>
      <c r="G153" s="32">
        <v>500008.0</v>
      </c>
      <c r="H153" s="32">
        <v>98276.0</v>
      </c>
      <c r="I153" s="32">
        <v>0.0</v>
      </c>
      <c r="J153" s="32">
        <v>4.035831394E9</v>
      </c>
      <c r="K153" s="32">
        <v>0.0</v>
      </c>
      <c r="L153" s="32">
        <v>1806.0</v>
      </c>
      <c r="M153" s="31" t="s">
        <v>373</v>
      </c>
      <c r="N153" s="31">
        <v>25.0</v>
      </c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6.1881204E7</v>
      </c>
      <c r="B154" s="31" t="s">
        <v>178</v>
      </c>
      <c r="C154" s="32">
        <v>3.0655194E7</v>
      </c>
      <c r="D154" s="32">
        <v>6.3055979E7</v>
      </c>
      <c r="E154" s="32">
        <v>1.0290878E7</v>
      </c>
      <c r="F154" s="32">
        <v>729778.0</v>
      </c>
      <c r="G154" s="32">
        <v>1791230.0</v>
      </c>
      <c r="H154" s="32">
        <v>2197294.0</v>
      </c>
      <c r="I154" s="32">
        <v>0.0</v>
      </c>
      <c r="J154" s="32">
        <v>1.6903333169E10</v>
      </c>
      <c r="K154" s="32">
        <v>1.9643872484E10</v>
      </c>
      <c r="L154" s="32">
        <v>11335.0</v>
      </c>
      <c r="M154" s="31" t="s">
        <v>147</v>
      </c>
      <c r="N154" s="31">
        <v>25.0</v>
      </c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1.72219261E8</v>
      </c>
      <c r="B155" s="31" t="s">
        <v>185</v>
      </c>
      <c r="C155" s="32">
        <v>3.0616144E7</v>
      </c>
      <c r="D155" s="32">
        <v>9107647.0</v>
      </c>
      <c r="E155" s="32">
        <v>4088173.0</v>
      </c>
      <c r="F155" s="32">
        <v>80005.0</v>
      </c>
      <c r="G155" s="32">
        <v>224964.0</v>
      </c>
      <c r="H155" s="32">
        <v>333443.0</v>
      </c>
      <c r="I155" s="32">
        <v>0.0</v>
      </c>
      <c r="J155" s="32">
        <v>4.630733128E9</v>
      </c>
      <c r="K155" s="32">
        <v>2.75E7</v>
      </c>
      <c r="L155" s="32">
        <v>3722.0</v>
      </c>
      <c r="M155" s="31" t="s">
        <v>119</v>
      </c>
      <c r="N155" s="31">
        <v>25.0</v>
      </c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1.44094596E8</v>
      </c>
      <c r="B156" s="31" t="s">
        <v>189</v>
      </c>
      <c r="C156" s="32">
        <v>2.9990017E7</v>
      </c>
      <c r="D156" s="32">
        <v>8.5917526E7</v>
      </c>
      <c r="E156" s="32">
        <v>3031180.0</v>
      </c>
      <c r="F156" s="32">
        <v>1.3616531E7</v>
      </c>
      <c r="G156" s="32">
        <v>5271610.0</v>
      </c>
      <c r="H156" s="32">
        <v>1435775.0</v>
      </c>
      <c r="I156" s="32">
        <v>0.0</v>
      </c>
      <c r="J156" s="32">
        <v>5.357258082E9</v>
      </c>
      <c r="K156" s="32">
        <v>1.2391473E7</v>
      </c>
      <c r="L156" s="32">
        <v>9785.0</v>
      </c>
      <c r="M156" s="31" t="s">
        <v>66</v>
      </c>
      <c r="N156" s="31">
        <v>25.0</v>
      </c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1.47116341E8</v>
      </c>
      <c r="B157" s="31" t="s">
        <v>374</v>
      </c>
      <c r="C157" s="32">
        <v>2.9952611E7</v>
      </c>
      <c r="D157" s="32">
        <v>1.3529689E7</v>
      </c>
      <c r="E157" s="32">
        <v>526000.0</v>
      </c>
      <c r="F157" s="32">
        <v>308.0</v>
      </c>
      <c r="G157" s="32">
        <v>807831.0</v>
      </c>
      <c r="H157" s="32">
        <v>271954.0</v>
      </c>
      <c r="I157" s="32">
        <v>0.0</v>
      </c>
      <c r="J157" s="32">
        <v>6.245330831E9</v>
      </c>
      <c r="K157" s="32">
        <v>6.456585973E9</v>
      </c>
      <c r="L157" s="32">
        <v>2891.0</v>
      </c>
      <c r="M157" s="31" t="s">
        <v>165</v>
      </c>
      <c r="N157" s="31">
        <v>25.0</v>
      </c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3">
        <v>1.70449746E8</v>
      </c>
      <c r="B158" s="33" t="s">
        <v>184</v>
      </c>
      <c r="C158" s="34">
        <v>2.9474998E7</v>
      </c>
      <c r="D158" s="34">
        <v>5291709.0</v>
      </c>
      <c r="E158" s="34">
        <v>102004.0</v>
      </c>
      <c r="F158" s="34">
        <v>305.0</v>
      </c>
      <c r="G158" s="34">
        <v>362162.0</v>
      </c>
      <c r="H158" s="34">
        <v>82623.0</v>
      </c>
      <c r="I158" s="34">
        <v>0.0</v>
      </c>
      <c r="J158" s="34">
        <v>6.223187622E9</v>
      </c>
      <c r="K158" s="34">
        <v>4.426139492E9</v>
      </c>
      <c r="L158" s="34">
        <v>2786.0</v>
      </c>
      <c r="M158" s="33" t="s">
        <v>153</v>
      </c>
      <c r="N158" s="33">
        <v>23.0</v>
      </c>
      <c r="O158" s="33"/>
      <c r="P158" s="33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1.1279231E8</v>
      </c>
      <c r="B159" s="31" t="s">
        <v>197</v>
      </c>
      <c r="C159" s="32">
        <v>2.9340225E7</v>
      </c>
      <c r="D159" s="32">
        <v>5.1841755E7</v>
      </c>
      <c r="E159" s="32">
        <v>4158383.0</v>
      </c>
      <c r="F159" s="32">
        <v>979015.0</v>
      </c>
      <c r="G159" s="32">
        <v>1962237.0</v>
      </c>
      <c r="H159" s="32">
        <v>1451878.0</v>
      </c>
      <c r="I159" s="32">
        <v>0.0</v>
      </c>
      <c r="J159" s="32">
        <v>3.1043075422E10</v>
      </c>
      <c r="K159" s="32">
        <v>3.4355762438E10</v>
      </c>
      <c r="L159" s="32">
        <v>12291.0</v>
      </c>
      <c r="M159" s="31" t="s">
        <v>34</v>
      </c>
      <c r="N159" s="31">
        <v>25.0</v>
      </c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1.38821863E8</v>
      </c>
      <c r="B160" s="31" t="s">
        <v>186</v>
      </c>
      <c r="C160" s="32">
        <v>2.8838993E7</v>
      </c>
      <c r="D160" s="32">
        <v>2.5263796E7</v>
      </c>
      <c r="E160" s="32">
        <v>1656998.0</v>
      </c>
      <c r="F160" s="32">
        <v>397842.0</v>
      </c>
      <c r="G160" s="32">
        <v>2006020.0</v>
      </c>
      <c r="H160" s="32">
        <v>109825.0</v>
      </c>
      <c r="I160" s="32">
        <v>0.0</v>
      </c>
      <c r="J160" s="32">
        <v>4.848000352E9</v>
      </c>
      <c r="K160" s="32">
        <v>6.36064786E8</v>
      </c>
      <c r="L160" s="32">
        <v>8595.0</v>
      </c>
      <c r="M160" s="31" t="s">
        <v>34</v>
      </c>
      <c r="N160" s="31">
        <v>25.0</v>
      </c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1.75314255E8</v>
      </c>
      <c r="B161" s="31" t="s">
        <v>179</v>
      </c>
      <c r="C161" s="32">
        <v>2.8727737E7</v>
      </c>
      <c r="D161" s="32">
        <v>2.2022689E7</v>
      </c>
      <c r="E161" s="32">
        <v>3465707.0</v>
      </c>
      <c r="F161" s="32">
        <v>281976.0</v>
      </c>
      <c r="G161" s="32">
        <v>1320076.0</v>
      </c>
      <c r="H161" s="32">
        <v>412977.0</v>
      </c>
      <c r="I161" s="32">
        <v>0.0</v>
      </c>
      <c r="J161" s="32">
        <v>4.030488395E9</v>
      </c>
      <c r="K161" s="32">
        <v>1.22435684E8</v>
      </c>
      <c r="L161" s="32">
        <v>8907.0</v>
      </c>
      <c r="M161" s="31" t="s">
        <v>94</v>
      </c>
      <c r="N161" s="31">
        <v>25.0</v>
      </c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6.3513788E7</v>
      </c>
      <c r="B162" s="31" t="s">
        <v>190</v>
      </c>
      <c r="C162" s="32">
        <v>2.829017E7</v>
      </c>
      <c r="D162" s="32">
        <v>3.5067748E7</v>
      </c>
      <c r="E162" s="32">
        <v>8961628.0</v>
      </c>
      <c r="F162" s="32">
        <v>22581.0</v>
      </c>
      <c r="G162" s="32">
        <v>1179501.0</v>
      </c>
      <c r="H162" s="32">
        <v>1151796.0</v>
      </c>
      <c r="I162" s="32">
        <v>0.0</v>
      </c>
      <c r="J162" s="32">
        <v>1.7122881925E10</v>
      </c>
      <c r="K162" s="32">
        <v>1.9346324055E10</v>
      </c>
      <c r="L162" s="32">
        <v>8425.0</v>
      </c>
      <c r="M162" s="31" t="s">
        <v>147</v>
      </c>
      <c r="N162" s="31">
        <v>25.0</v>
      </c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1.1363981E7</v>
      </c>
      <c r="B163" s="31" t="s">
        <v>188</v>
      </c>
      <c r="C163" s="32">
        <v>2.8082403E7</v>
      </c>
      <c r="D163" s="32">
        <v>2.0359575E8</v>
      </c>
      <c r="E163" s="32">
        <v>8274658.0</v>
      </c>
      <c r="F163" s="32">
        <v>883504.0</v>
      </c>
      <c r="G163" s="32">
        <v>7698527.0</v>
      </c>
      <c r="H163" s="32">
        <v>6213364.0</v>
      </c>
      <c r="I163" s="32">
        <v>0.0</v>
      </c>
      <c r="J163" s="32">
        <v>1.0691099461E10</v>
      </c>
      <c r="K163" s="32">
        <v>1.465163898E10</v>
      </c>
      <c r="L163" s="32">
        <v>11951.0</v>
      </c>
      <c r="M163" s="31" t="s">
        <v>147</v>
      </c>
      <c r="N163" s="31">
        <v>25.0</v>
      </c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1.83952984E8</v>
      </c>
      <c r="B164" s="31" t="s">
        <v>498</v>
      </c>
      <c r="C164" s="32">
        <v>2.8002934E7</v>
      </c>
      <c r="D164" s="32">
        <v>1.1502563E7</v>
      </c>
      <c r="E164" s="32">
        <v>1045189.0</v>
      </c>
      <c r="F164" s="32">
        <v>258418.0</v>
      </c>
      <c r="G164" s="32">
        <v>844777.0</v>
      </c>
      <c r="H164" s="32">
        <v>67652.0</v>
      </c>
      <c r="I164" s="32">
        <v>0.0</v>
      </c>
      <c r="J164" s="32">
        <v>3.47429202E9</v>
      </c>
      <c r="K164" s="32">
        <v>5.4133889E8</v>
      </c>
      <c r="L164" s="32">
        <v>5495.0</v>
      </c>
      <c r="M164" s="31" t="s">
        <v>66</v>
      </c>
      <c r="N164" s="31">
        <v>25.0</v>
      </c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1.58296838E8</v>
      </c>
      <c r="B165" s="31" t="s">
        <v>458</v>
      </c>
      <c r="C165" s="32">
        <v>2.7990242E7</v>
      </c>
      <c r="D165" s="32">
        <v>4715810.0</v>
      </c>
      <c r="E165" s="32">
        <v>262324.0</v>
      </c>
      <c r="F165" s="32">
        <v>146522.0</v>
      </c>
      <c r="G165" s="32">
        <v>393091.0</v>
      </c>
      <c r="H165" s="32">
        <v>9004.0</v>
      </c>
      <c r="I165" s="32">
        <v>0.0</v>
      </c>
      <c r="J165" s="32">
        <v>4.295571207E9</v>
      </c>
      <c r="K165" s="32">
        <v>1.087153533E9</v>
      </c>
      <c r="L165" s="32">
        <v>6439.0</v>
      </c>
      <c r="M165" s="31" t="s">
        <v>94</v>
      </c>
      <c r="N165" s="31">
        <v>25.0</v>
      </c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1.71787377E8</v>
      </c>
      <c r="B166" s="31" t="s">
        <v>459</v>
      </c>
      <c r="C166" s="32">
        <v>2.7262774E7</v>
      </c>
      <c r="D166" s="32">
        <v>7.9314084E7</v>
      </c>
      <c r="E166" s="32">
        <v>4668123.0</v>
      </c>
      <c r="F166" s="32">
        <v>4372892.0</v>
      </c>
      <c r="G166" s="32">
        <v>4966875.0</v>
      </c>
      <c r="H166" s="32">
        <v>1060384.0</v>
      </c>
      <c r="I166" s="32">
        <v>0.0</v>
      </c>
      <c r="J166" s="32">
        <v>7.772774321E9</v>
      </c>
      <c r="K166" s="32">
        <v>4.594974562E9</v>
      </c>
      <c r="L166" s="32">
        <v>24697.0</v>
      </c>
      <c r="M166" s="31" t="s">
        <v>66</v>
      </c>
      <c r="N166" s="31">
        <v>25.0</v>
      </c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7.7474302E7</v>
      </c>
      <c r="B167" s="31" t="s">
        <v>195</v>
      </c>
      <c r="C167" s="32">
        <v>2.7203584E7</v>
      </c>
      <c r="D167" s="32">
        <v>3.8220683E7</v>
      </c>
      <c r="E167" s="32">
        <v>4747649.0</v>
      </c>
      <c r="F167" s="32">
        <v>164935.0</v>
      </c>
      <c r="G167" s="32">
        <v>925311.0</v>
      </c>
      <c r="H167" s="32">
        <v>1410586.0</v>
      </c>
      <c r="I167" s="32">
        <v>0.0</v>
      </c>
      <c r="J167" s="32">
        <v>1.3790464691E10</v>
      </c>
      <c r="K167" s="32">
        <v>1.665979105E10</v>
      </c>
      <c r="L167" s="32">
        <v>9270.0</v>
      </c>
      <c r="M167" s="31" t="s">
        <v>147</v>
      </c>
      <c r="N167" s="31">
        <v>25.0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1.44104572E8</v>
      </c>
      <c r="B168" s="31" t="s">
        <v>196</v>
      </c>
      <c r="C168" s="32">
        <v>2.7140625E7</v>
      </c>
      <c r="D168" s="32">
        <v>2.568058E7</v>
      </c>
      <c r="E168" s="32">
        <v>2996569.0</v>
      </c>
      <c r="F168" s="32">
        <v>4109690.0</v>
      </c>
      <c r="G168" s="32">
        <v>1511030.0</v>
      </c>
      <c r="H168" s="32">
        <v>334000.0</v>
      </c>
      <c r="I168" s="32">
        <v>0.0</v>
      </c>
      <c r="J168" s="32">
        <v>2.914113906E9</v>
      </c>
      <c r="K168" s="32">
        <v>8.33264E7</v>
      </c>
      <c r="L168" s="32">
        <v>5948.0</v>
      </c>
      <c r="M168" s="31" t="s">
        <v>411</v>
      </c>
      <c r="N168" s="31">
        <v>25.0</v>
      </c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1.46036286E8</v>
      </c>
      <c r="B169" s="31" t="s">
        <v>205</v>
      </c>
      <c r="C169" s="32">
        <v>2.6965813E7</v>
      </c>
      <c r="D169" s="32">
        <v>4.1952764E7</v>
      </c>
      <c r="E169" s="32">
        <v>4816318.0</v>
      </c>
      <c r="F169" s="32">
        <v>591932.0</v>
      </c>
      <c r="G169" s="32">
        <v>2761806.0</v>
      </c>
      <c r="H169" s="32">
        <v>521469.0</v>
      </c>
      <c r="I169" s="32">
        <v>0.0</v>
      </c>
      <c r="J169" s="32">
        <v>1.9945370937E10</v>
      </c>
      <c r="K169" s="32">
        <v>1.1736223974E10</v>
      </c>
      <c r="L169" s="32">
        <v>5678.0</v>
      </c>
      <c r="M169" s="31" t="s">
        <v>153</v>
      </c>
      <c r="N169" s="31">
        <v>25.0</v>
      </c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1.7395388E8</v>
      </c>
      <c r="B170" s="31" t="s">
        <v>422</v>
      </c>
      <c r="C170" s="32">
        <v>2.6841512E7</v>
      </c>
      <c r="D170" s="32">
        <v>1648460.0</v>
      </c>
      <c r="E170" s="32">
        <v>1653283.0</v>
      </c>
      <c r="F170" s="32">
        <v>0.0</v>
      </c>
      <c r="G170" s="32">
        <v>106204.0</v>
      </c>
      <c r="H170" s="32">
        <v>28128.0</v>
      </c>
      <c r="I170" s="32">
        <v>0.0</v>
      </c>
      <c r="J170" s="32">
        <v>4.787652579E9</v>
      </c>
      <c r="K170" s="32">
        <v>3.346021861E9</v>
      </c>
      <c r="L170" s="32">
        <v>2399.0</v>
      </c>
      <c r="M170" s="31" t="s">
        <v>153</v>
      </c>
      <c r="N170" s="31">
        <v>25.0</v>
      </c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1.45295709E8</v>
      </c>
      <c r="B171" s="31" t="s">
        <v>423</v>
      </c>
      <c r="C171" s="32">
        <v>2.6376346E7</v>
      </c>
      <c r="D171" s="32">
        <v>3.3008222E7</v>
      </c>
      <c r="E171" s="32">
        <v>2275922.0</v>
      </c>
      <c r="F171" s="32">
        <v>3893494.0</v>
      </c>
      <c r="G171" s="32">
        <v>1891027.0</v>
      </c>
      <c r="H171" s="32">
        <v>389473.0</v>
      </c>
      <c r="I171" s="32">
        <v>0.0</v>
      </c>
      <c r="J171" s="32">
        <v>2.75326985E9</v>
      </c>
      <c r="K171" s="32">
        <v>8.1594054E7</v>
      </c>
      <c r="L171" s="32">
        <v>7474.0</v>
      </c>
      <c r="M171" s="31" t="s">
        <v>66</v>
      </c>
      <c r="N171" s="31">
        <v>25.0</v>
      </c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7.9647211E7</v>
      </c>
      <c r="B172" s="31" t="s">
        <v>191</v>
      </c>
      <c r="C172" s="32">
        <v>2.6159009E7</v>
      </c>
      <c r="D172" s="32">
        <v>3.2137905E7</v>
      </c>
      <c r="E172" s="32">
        <v>1675915.0</v>
      </c>
      <c r="F172" s="32">
        <v>1337.0</v>
      </c>
      <c r="G172" s="32">
        <v>967916.0</v>
      </c>
      <c r="H172" s="32">
        <v>1120741.0</v>
      </c>
      <c r="I172" s="32">
        <v>0.0</v>
      </c>
      <c r="J172" s="32">
        <v>6.27816856E9</v>
      </c>
      <c r="K172" s="32">
        <v>1.0408320798E10</v>
      </c>
      <c r="L172" s="32">
        <v>3402.0</v>
      </c>
      <c r="M172" s="31" t="s">
        <v>34</v>
      </c>
      <c r="N172" s="31">
        <v>25.0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1.57398284E8</v>
      </c>
      <c r="B173" s="31" t="s">
        <v>380</v>
      </c>
      <c r="C173" s="32">
        <v>2.5744093E7</v>
      </c>
      <c r="D173" s="32">
        <v>4812381.0</v>
      </c>
      <c r="E173" s="32">
        <v>1021778.0</v>
      </c>
      <c r="F173" s="32">
        <v>124957.0</v>
      </c>
      <c r="G173" s="32">
        <v>318827.0</v>
      </c>
      <c r="H173" s="32">
        <v>52796.0</v>
      </c>
      <c r="I173" s="32">
        <v>0.0</v>
      </c>
      <c r="J173" s="32">
        <v>1.3371369766E10</v>
      </c>
      <c r="K173" s="32">
        <v>6.116E9</v>
      </c>
      <c r="L173" s="32">
        <v>4284.0</v>
      </c>
      <c r="M173" s="31" t="s">
        <v>94</v>
      </c>
      <c r="N173" s="31">
        <v>25.0</v>
      </c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6.1106312E7</v>
      </c>
      <c r="B174" s="31" t="s">
        <v>201</v>
      </c>
      <c r="C174" s="32">
        <v>2.51774E7</v>
      </c>
      <c r="D174" s="32">
        <v>1.34119074E8</v>
      </c>
      <c r="E174" s="32">
        <v>6457701.0</v>
      </c>
      <c r="F174" s="32">
        <v>1064273.0</v>
      </c>
      <c r="G174" s="32">
        <v>8326622.0</v>
      </c>
      <c r="H174" s="32">
        <v>1608118.0</v>
      </c>
      <c r="I174" s="32">
        <v>0.0</v>
      </c>
      <c r="J174" s="32">
        <v>1.5371589142E10</v>
      </c>
      <c r="K174" s="32">
        <v>1.6233438464E10</v>
      </c>
      <c r="L174" s="32">
        <v>12387.0</v>
      </c>
      <c r="M174" s="31" t="s">
        <v>34</v>
      </c>
      <c r="N174" s="31">
        <v>25.0</v>
      </c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3">
        <v>7.1189562E7</v>
      </c>
      <c r="B175" s="33" t="s">
        <v>199</v>
      </c>
      <c r="C175" s="34">
        <v>2.516824E7</v>
      </c>
      <c r="D175" s="34">
        <v>2408509.0</v>
      </c>
      <c r="E175" s="34">
        <v>823250.0</v>
      </c>
      <c r="F175" s="34">
        <v>18168.0</v>
      </c>
      <c r="G175" s="34">
        <v>172952.0</v>
      </c>
      <c r="H175" s="34">
        <v>26188.0</v>
      </c>
      <c r="I175" s="34">
        <v>0.0</v>
      </c>
      <c r="J175" s="34">
        <v>1.2739413049E10</v>
      </c>
      <c r="K175" s="34">
        <v>1.3148346788E10</v>
      </c>
      <c r="L175" s="34">
        <v>3065.0</v>
      </c>
      <c r="M175" s="33" t="s">
        <v>153</v>
      </c>
      <c r="N175" s="33">
        <v>24.0</v>
      </c>
      <c r="O175" s="33"/>
      <c r="P175" s="33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1.66394798E8</v>
      </c>
      <c r="B176" s="31" t="s">
        <v>202</v>
      </c>
      <c r="C176" s="32">
        <v>2.501501E7</v>
      </c>
      <c r="D176" s="32">
        <v>4.8334581E7</v>
      </c>
      <c r="E176" s="32">
        <v>2377006.0</v>
      </c>
      <c r="F176" s="32">
        <v>567889.0</v>
      </c>
      <c r="G176" s="32">
        <v>3113738.0</v>
      </c>
      <c r="H176" s="32">
        <v>661991.0</v>
      </c>
      <c r="I176" s="32">
        <v>0.0</v>
      </c>
      <c r="J176" s="32">
        <v>6.073333807E9</v>
      </c>
      <c r="K176" s="32">
        <v>1.5214260866E10</v>
      </c>
      <c r="L176" s="32">
        <v>12280.0</v>
      </c>
      <c r="M176" s="31" t="s">
        <v>147</v>
      </c>
      <c r="N176" s="31">
        <v>25.0</v>
      </c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1.58265064E8</v>
      </c>
      <c r="B177" s="31" t="s">
        <v>200</v>
      </c>
      <c r="C177" s="32">
        <v>2.4996828E7</v>
      </c>
      <c r="D177" s="32">
        <v>1.1312096E7</v>
      </c>
      <c r="E177" s="32">
        <v>1040720.0</v>
      </c>
      <c r="F177" s="32">
        <v>238681.0</v>
      </c>
      <c r="G177" s="32">
        <v>435809.0</v>
      </c>
      <c r="H177" s="32">
        <v>209818.0</v>
      </c>
      <c r="I177" s="32">
        <v>0.0</v>
      </c>
      <c r="J177" s="32">
        <v>3.764775817E9</v>
      </c>
      <c r="K177" s="32">
        <v>2.856723815E9</v>
      </c>
      <c r="L177" s="32">
        <v>8676.0</v>
      </c>
      <c r="M177" s="31" t="s">
        <v>147</v>
      </c>
      <c r="N177" s="31">
        <v>25.0</v>
      </c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7.7531879E7</v>
      </c>
      <c r="B178" s="31" t="s">
        <v>460</v>
      </c>
      <c r="C178" s="32">
        <v>2.351376E7</v>
      </c>
      <c r="D178" s="32">
        <v>4537895.0</v>
      </c>
      <c r="E178" s="32">
        <v>76522.0</v>
      </c>
      <c r="F178" s="32">
        <v>36.0</v>
      </c>
      <c r="G178" s="32">
        <v>104025.0</v>
      </c>
      <c r="H178" s="32">
        <v>174604.0</v>
      </c>
      <c r="I178" s="32">
        <v>0.0</v>
      </c>
      <c r="J178" s="32">
        <v>8.882704173E9</v>
      </c>
      <c r="K178" s="32">
        <v>1.1235078215E10</v>
      </c>
      <c r="L178" s="32">
        <v>3909.0</v>
      </c>
      <c r="M178" s="31" t="s">
        <v>153</v>
      </c>
      <c r="N178" s="31">
        <v>25.0</v>
      </c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1.48355572E8</v>
      </c>
      <c r="B179" s="31" t="s">
        <v>209</v>
      </c>
      <c r="C179" s="32">
        <v>2.3403511E7</v>
      </c>
      <c r="D179" s="32">
        <v>8739485.0</v>
      </c>
      <c r="E179" s="32">
        <v>2046882.0</v>
      </c>
      <c r="F179" s="32">
        <v>57025.0</v>
      </c>
      <c r="G179" s="32">
        <v>645107.0</v>
      </c>
      <c r="H179" s="32">
        <v>92543.0</v>
      </c>
      <c r="I179" s="32">
        <v>0.0</v>
      </c>
      <c r="J179" s="32">
        <v>2.33359142E9</v>
      </c>
      <c r="K179" s="32">
        <v>2.23164667E8</v>
      </c>
      <c r="L179" s="32">
        <v>1679.0</v>
      </c>
      <c r="M179" s="31" t="s">
        <v>153</v>
      </c>
      <c r="N179" s="31">
        <v>25.0</v>
      </c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3">
        <v>1.85391227E8</v>
      </c>
      <c r="B180" s="33" t="s">
        <v>207</v>
      </c>
      <c r="C180" s="34">
        <v>2.3345178E7</v>
      </c>
      <c r="D180" s="34">
        <v>4933077.0</v>
      </c>
      <c r="E180" s="34">
        <v>964026.0</v>
      </c>
      <c r="F180" s="34">
        <v>186.0</v>
      </c>
      <c r="G180" s="34">
        <v>214.0</v>
      </c>
      <c r="H180" s="34">
        <v>246545.0</v>
      </c>
      <c r="I180" s="34">
        <v>0.0</v>
      </c>
      <c r="J180" s="34">
        <v>7.809321395E9</v>
      </c>
      <c r="K180" s="34">
        <v>5.777495661E9</v>
      </c>
      <c r="L180" s="34">
        <v>2455.0</v>
      </c>
      <c r="M180" s="33" t="s">
        <v>94</v>
      </c>
      <c r="N180" s="33">
        <v>24.0</v>
      </c>
      <c r="O180" s="33"/>
      <c r="P180" s="33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1.45035808E8</v>
      </c>
      <c r="B181" s="31" t="s">
        <v>377</v>
      </c>
      <c r="C181" s="32">
        <v>2.333525E7</v>
      </c>
      <c r="D181" s="32">
        <v>8082943.0</v>
      </c>
      <c r="E181" s="32">
        <v>3793049.0</v>
      </c>
      <c r="F181" s="32">
        <v>173077.0</v>
      </c>
      <c r="G181" s="32">
        <v>262708.0</v>
      </c>
      <c r="H181" s="32">
        <v>230216.0</v>
      </c>
      <c r="I181" s="32">
        <v>0.0</v>
      </c>
      <c r="J181" s="32">
        <v>9.21087513E8</v>
      </c>
      <c r="K181" s="32">
        <v>2.7480865E7</v>
      </c>
      <c r="L181" s="32">
        <v>4451.0</v>
      </c>
      <c r="M181" s="31" t="s">
        <v>119</v>
      </c>
      <c r="N181" s="31">
        <v>25.0</v>
      </c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3">
        <v>4.8558795E7</v>
      </c>
      <c r="B182" s="33" t="s">
        <v>208</v>
      </c>
      <c r="C182" s="34">
        <v>2.3196555E7</v>
      </c>
      <c r="D182" s="34">
        <v>1928497.0</v>
      </c>
      <c r="E182" s="34">
        <v>461565.0</v>
      </c>
      <c r="F182" s="34">
        <v>485.0</v>
      </c>
      <c r="G182" s="34">
        <v>141444.0</v>
      </c>
      <c r="H182" s="34">
        <v>25698.0</v>
      </c>
      <c r="I182" s="34">
        <v>0.0</v>
      </c>
      <c r="J182" s="34">
        <v>1.1574899653E10</v>
      </c>
      <c r="K182" s="34">
        <v>1.3897885997E10</v>
      </c>
      <c r="L182" s="34">
        <v>2650.0</v>
      </c>
      <c r="M182" s="33" t="s">
        <v>153</v>
      </c>
      <c r="N182" s="33">
        <v>24.0</v>
      </c>
      <c r="O182" s="33"/>
      <c r="P182" s="33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1.40545176E8</v>
      </c>
      <c r="B183" s="31" t="s">
        <v>499</v>
      </c>
      <c r="C183" s="32">
        <v>2.3106762E7</v>
      </c>
      <c r="D183" s="32">
        <v>9042295.0</v>
      </c>
      <c r="E183" s="32">
        <v>3758297.0</v>
      </c>
      <c r="F183" s="32">
        <v>79868.0</v>
      </c>
      <c r="G183" s="32">
        <v>706100.0</v>
      </c>
      <c r="H183" s="32">
        <v>92321.0</v>
      </c>
      <c r="I183" s="32">
        <v>0.0</v>
      </c>
      <c r="J183" s="32">
        <v>3.181942422E9</v>
      </c>
      <c r="K183" s="32">
        <v>1870000.0</v>
      </c>
      <c r="L183" s="32">
        <v>3541.0</v>
      </c>
      <c r="M183" s="31" t="s">
        <v>66</v>
      </c>
      <c r="N183" s="31">
        <v>25.0</v>
      </c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1.74530133E8</v>
      </c>
      <c r="B184" s="31" t="s">
        <v>214</v>
      </c>
      <c r="C184" s="32">
        <v>2.2889741E7</v>
      </c>
      <c r="D184" s="32">
        <v>2253561.0</v>
      </c>
      <c r="E184" s="32">
        <v>331940.0</v>
      </c>
      <c r="F184" s="32">
        <v>3127.0</v>
      </c>
      <c r="G184" s="32">
        <v>27691.0</v>
      </c>
      <c r="H184" s="32">
        <v>96770.0</v>
      </c>
      <c r="I184" s="32">
        <v>0.0</v>
      </c>
      <c r="J184" s="32">
        <v>1.5604845289E10</v>
      </c>
      <c r="K184" s="32">
        <v>1.1791635993E10</v>
      </c>
      <c r="L184" s="32">
        <v>3614.0</v>
      </c>
      <c r="M184" s="31" t="s">
        <v>165</v>
      </c>
      <c r="N184" s="31">
        <v>25.0</v>
      </c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1">
        <v>1.16558461E8</v>
      </c>
      <c r="B185" s="31" t="s">
        <v>210</v>
      </c>
      <c r="C185" s="32">
        <v>2.2733418E7</v>
      </c>
      <c r="D185" s="32">
        <v>2.7313532E7</v>
      </c>
      <c r="E185" s="32">
        <v>3735086.0</v>
      </c>
      <c r="F185" s="32">
        <v>804564.0</v>
      </c>
      <c r="G185" s="32">
        <v>1891906.0</v>
      </c>
      <c r="H185" s="32">
        <v>259337.0</v>
      </c>
      <c r="I185" s="32">
        <v>0.0</v>
      </c>
      <c r="J185" s="32">
        <v>4.842780126E9</v>
      </c>
      <c r="K185" s="32">
        <v>5.2E7</v>
      </c>
      <c r="L185" s="32">
        <v>2344.0</v>
      </c>
      <c r="M185" s="31" t="s">
        <v>66</v>
      </c>
      <c r="N185" s="31">
        <v>25.0</v>
      </c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1.440086E8</v>
      </c>
      <c r="B186" s="31" t="s">
        <v>461</v>
      </c>
      <c r="C186" s="32">
        <v>2.2693036E7</v>
      </c>
      <c r="D186" s="32">
        <v>4418410.0</v>
      </c>
      <c r="E186" s="32">
        <v>2510557.0</v>
      </c>
      <c r="F186" s="32">
        <v>27133.0</v>
      </c>
      <c r="G186" s="32">
        <v>194283.0</v>
      </c>
      <c r="H186" s="32">
        <v>85372.0</v>
      </c>
      <c r="I186" s="32">
        <v>0.0</v>
      </c>
      <c r="J186" s="32">
        <v>3.961928933E9</v>
      </c>
      <c r="K186" s="32">
        <v>0.0</v>
      </c>
      <c r="L186" s="32">
        <v>3897.0</v>
      </c>
      <c r="M186" s="31" t="s">
        <v>66</v>
      </c>
      <c r="N186" s="31">
        <v>25.0</v>
      </c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1.44034173E8</v>
      </c>
      <c r="B187" s="31" t="s">
        <v>427</v>
      </c>
      <c r="C187" s="32">
        <v>2.2687266E7</v>
      </c>
      <c r="D187" s="32">
        <v>5.8304964E7</v>
      </c>
      <c r="E187" s="32">
        <v>2384004.0</v>
      </c>
      <c r="F187" s="32">
        <v>2479362.0</v>
      </c>
      <c r="G187" s="32">
        <v>2537151.0</v>
      </c>
      <c r="H187" s="32">
        <v>327251.0</v>
      </c>
      <c r="I187" s="32">
        <v>0.0</v>
      </c>
      <c r="J187" s="32">
        <v>3.646994224E9</v>
      </c>
      <c r="K187" s="32">
        <v>73477.0</v>
      </c>
      <c r="L187" s="32">
        <v>12472.0</v>
      </c>
      <c r="M187" s="31" t="s">
        <v>66</v>
      </c>
      <c r="N187" s="31">
        <v>25.0</v>
      </c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1.71556791E8</v>
      </c>
      <c r="B188" s="31" t="s">
        <v>462</v>
      </c>
      <c r="C188" s="32">
        <v>2.226928E7</v>
      </c>
      <c r="D188" s="32">
        <v>4949159.0</v>
      </c>
      <c r="E188" s="32">
        <v>626101.0</v>
      </c>
      <c r="F188" s="32">
        <v>25466.0</v>
      </c>
      <c r="G188" s="32">
        <v>210000.0</v>
      </c>
      <c r="H188" s="32">
        <v>116244.0</v>
      </c>
      <c r="I188" s="32">
        <v>0.0</v>
      </c>
      <c r="J188" s="32">
        <v>7.918913044E9</v>
      </c>
      <c r="K188" s="32">
        <v>1.4361031366E10</v>
      </c>
      <c r="L188" s="32">
        <v>3555.0</v>
      </c>
      <c r="M188" s="31" t="s">
        <v>147</v>
      </c>
      <c r="N188" s="31">
        <v>25.0</v>
      </c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1">
        <v>1.24153706E8</v>
      </c>
      <c r="B189" s="31" t="s">
        <v>463</v>
      </c>
      <c r="C189" s="32">
        <v>2.1623974E7</v>
      </c>
      <c r="D189" s="32">
        <v>5867482.0</v>
      </c>
      <c r="E189" s="32">
        <v>1692075.0</v>
      </c>
      <c r="F189" s="32">
        <v>57790.0</v>
      </c>
      <c r="G189" s="32">
        <v>470573.0</v>
      </c>
      <c r="H189" s="32">
        <v>52787.0</v>
      </c>
      <c r="I189" s="32">
        <v>0.0</v>
      </c>
      <c r="J189" s="32">
        <v>5.103389088E9</v>
      </c>
      <c r="K189" s="32">
        <v>5.642037005E9</v>
      </c>
      <c r="L189" s="32">
        <v>10171.0</v>
      </c>
      <c r="M189" s="31" t="s">
        <v>153</v>
      </c>
      <c r="N189" s="31">
        <v>25.0</v>
      </c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1.44032974E8</v>
      </c>
      <c r="B190" s="31" t="s">
        <v>500</v>
      </c>
      <c r="C190" s="32">
        <v>2.1557871E7</v>
      </c>
      <c r="D190" s="32">
        <v>883270.0</v>
      </c>
      <c r="E190" s="32">
        <v>1317329.0</v>
      </c>
      <c r="F190" s="32">
        <v>9540.0</v>
      </c>
      <c r="G190" s="32">
        <v>5489.0</v>
      </c>
      <c r="H190" s="32">
        <v>39094.0</v>
      </c>
      <c r="I190" s="32">
        <v>0.0</v>
      </c>
      <c r="J190" s="32">
        <v>1.802813766E9</v>
      </c>
      <c r="K190" s="32">
        <v>0.0</v>
      </c>
      <c r="L190" s="32">
        <v>2164.0</v>
      </c>
      <c r="M190" s="31" t="s">
        <v>94</v>
      </c>
      <c r="N190" s="31">
        <v>25.0</v>
      </c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3">
        <v>1.75706269E8</v>
      </c>
      <c r="B191" s="33" t="s">
        <v>219</v>
      </c>
      <c r="C191" s="34">
        <v>2.1308833E7</v>
      </c>
      <c r="D191" s="34">
        <v>8860602.0</v>
      </c>
      <c r="E191" s="34">
        <v>1519238.0</v>
      </c>
      <c r="F191" s="34">
        <v>21032.0</v>
      </c>
      <c r="G191" s="34">
        <v>813972.0</v>
      </c>
      <c r="H191" s="34">
        <v>23044.0</v>
      </c>
      <c r="I191" s="34">
        <v>0.0</v>
      </c>
      <c r="J191" s="34">
        <v>2.875950156E9</v>
      </c>
      <c r="K191" s="34">
        <v>3.22468511E8</v>
      </c>
      <c r="L191" s="34">
        <v>1071.0</v>
      </c>
      <c r="M191" s="33" t="s">
        <v>220</v>
      </c>
      <c r="N191" s="33">
        <v>24.0</v>
      </c>
      <c r="O191" s="33"/>
      <c r="P191" s="33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3">
        <v>9.716129E7</v>
      </c>
      <c r="B192" s="33" t="s">
        <v>216</v>
      </c>
      <c r="C192" s="34">
        <v>2.1262173E7</v>
      </c>
      <c r="D192" s="34">
        <v>663448.0</v>
      </c>
      <c r="E192" s="34">
        <v>580431.0</v>
      </c>
      <c r="F192" s="34">
        <v>3771.0</v>
      </c>
      <c r="G192" s="34">
        <v>10201.0</v>
      </c>
      <c r="H192" s="34">
        <v>27973.0</v>
      </c>
      <c r="I192" s="34">
        <v>0.0</v>
      </c>
      <c r="J192" s="34">
        <v>3.917086417E9</v>
      </c>
      <c r="K192" s="34">
        <v>7.00828389E8</v>
      </c>
      <c r="L192" s="34">
        <v>704.0</v>
      </c>
      <c r="M192" s="33" t="s">
        <v>147</v>
      </c>
      <c r="N192" s="33">
        <v>24.0</v>
      </c>
      <c r="O192" s="33"/>
      <c r="P192" s="33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3">
        <v>1.72587132E8</v>
      </c>
      <c r="B193" s="33" t="s">
        <v>212</v>
      </c>
      <c r="C193" s="34">
        <v>2.1139301E7</v>
      </c>
      <c r="D193" s="34">
        <v>4830923.0</v>
      </c>
      <c r="E193" s="34">
        <v>1608532.0</v>
      </c>
      <c r="F193" s="34">
        <v>280268.0</v>
      </c>
      <c r="G193" s="34">
        <v>383297.0</v>
      </c>
      <c r="H193" s="34">
        <v>31497.0</v>
      </c>
      <c r="I193" s="34">
        <v>0.0</v>
      </c>
      <c r="J193" s="34">
        <v>1.2738230001E10</v>
      </c>
      <c r="K193" s="34">
        <v>1.1627061896E10</v>
      </c>
      <c r="L193" s="34">
        <v>4078.0</v>
      </c>
      <c r="M193" s="33" t="s">
        <v>94</v>
      </c>
      <c r="N193" s="33">
        <v>23.0</v>
      </c>
      <c r="O193" s="33"/>
      <c r="P193" s="33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3">
        <v>1.73351722E8</v>
      </c>
      <c r="B194" s="33" t="s">
        <v>236</v>
      </c>
      <c r="C194" s="34">
        <v>2.103346E7</v>
      </c>
      <c r="D194" s="34">
        <v>7033148.0</v>
      </c>
      <c r="E194" s="34">
        <v>471728.0</v>
      </c>
      <c r="F194" s="34">
        <v>323190.0</v>
      </c>
      <c r="G194" s="34">
        <v>336667.0</v>
      </c>
      <c r="H194" s="34">
        <v>180092.0</v>
      </c>
      <c r="I194" s="34">
        <v>0.0</v>
      </c>
      <c r="J194" s="34">
        <v>9.887911943E9</v>
      </c>
      <c r="K194" s="34">
        <v>6.658700087E9</v>
      </c>
      <c r="L194" s="34">
        <v>1861.0</v>
      </c>
      <c r="M194" s="33" t="s">
        <v>153</v>
      </c>
      <c r="N194" s="33">
        <v>24.0</v>
      </c>
      <c r="O194" s="33"/>
      <c r="P194" s="33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1">
        <v>1.90550149E8</v>
      </c>
      <c r="B195" s="31" t="s">
        <v>425</v>
      </c>
      <c r="C195" s="32">
        <v>2.1027768E7</v>
      </c>
      <c r="D195" s="32">
        <v>3.5573315E7</v>
      </c>
      <c r="E195" s="32">
        <v>2890103.0</v>
      </c>
      <c r="F195" s="32">
        <v>3459476.0</v>
      </c>
      <c r="G195" s="32">
        <v>1853109.0</v>
      </c>
      <c r="H195" s="32">
        <v>261758.0</v>
      </c>
      <c r="I195" s="32">
        <v>0.0</v>
      </c>
      <c r="J195" s="32">
        <v>1.995555881E9</v>
      </c>
      <c r="K195" s="32">
        <v>1.32787435E8</v>
      </c>
      <c r="L195" s="32">
        <v>6394.0</v>
      </c>
      <c r="M195" s="31" t="s">
        <v>124</v>
      </c>
      <c r="N195" s="31">
        <v>25.0</v>
      </c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6.9795161E7</v>
      </c>
      <c r="B196" s="31" t="s">
        <v>482</v>
      </c>
      <c r="C196" s="32">
        <v>2.0957423E7</v>
      </c>
      <c r="D196" s="32">
        <v>1005744.0</v>
      </c>
      <c r="E196" s="32">
        <v>680216.0</v>
      </c>
      <c r="F196" s="32">
        <v>3542.0</v>
      </c>
      <c r="G196" s="32">
        <v>22474.0</v>
      </c>
      <c r="H196" s="32">
        <v>38910.0</v>
      </c>
      <c r="I196" s="32">
        <v>0.0</v>
      </c>
      <c r="J196" s="32">
        <v>5.217753887E9</v>
      </c>
      <c r="K196" s="32">
        <v>2.966813705E9</v>
      </c>
      <c r="L196" s="32">
        <v>2138.0</v>
      </c>
      <c r="M196" s="31" t="s">
        <v>147</v>
      </c>
      <c r="N196" s="31">
        <v>25.0</v>
      </c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1">
        <v>1.39174133E8</v>
      </c>
      <c r="B197" s="31" t="s">
        <v>501</v>
      </c>
      <c r="C197" s="32">
        <v>2.0935991E7</v>
      </c>
      <c r="D197" s="32">
        <v>2.3973456E7</v>
      </c>
      <c r="E197" s="32">
        <v>2330705.0</v>
      </c>
      <c r="F197" s="32">
        <v>710514.0</v>
      </c>
      <c r="G197" s="32">
        <v>1638295.0</v>
      </c>
      <c r="H197" s="32">
        <v>262884.0</v>
      </c>
      <c r="I197" s="32">
        <v>0.0</v>
      </c>
      <c r="J197" s="32">
        <v>3.418926672E9</v>
      </c>
      <c r="K197" s="32">
        <v>3.13864878E8</v>
      </c>
      <c r="L197" s="32">
        <v>6636.0</v>
      </c>
      <c r="M197" s="31" t="s">
        <v>411</v>
      </c>
      <c r="N197" s="31">
        <v>25.0</v>
      </c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1.58392134E8</v>
      </c>
      <c r="B198" s="31" t="s">
        <v>428</v>
      </c>
      <c r="C198" s="32">
        <v>2.0929782E7</v>
      </c>
      <c r="D198" s="32">
        <v>4.4852682E7</v>
      </c>
      <c r="E198" s="32">
        <v>3032916.0</v>
      </c>
      <c r="F198" s="32">
        <v>1517402.0</v>
      </c>
      <c r="G198" s="32">
        <v>2520889.0</v>
      </c>
      <c r="H198" s="32">
        <v>690242.0</v>
      </c>
      <c r="I198" s="32">
        <v>0.0</v>
      </c>
      <c r="J198" s="32">
        <v>3.812546396E9</v>
      </c>
      <c r="K198" s="32">
        <v>2.195290365E9</v>
      </c>
      <c r="L198" s="32">
        <v>13783.0</v>
      </c>
      <c r="M198" s="31" t="s">
        <v>34</v>
      </c>
      <c r="N198" s="31">
        <v>25.0</v>
      </c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1.72508036E8</v>
      </c>
      <c r="B199" s="31" t="s">
        <v>502</v>
      </c>
      <c r="C199" s="32">
        <v>2.0944509E7</v>
      </c>
      <c r="D199" s="32">
        <v>2171908.0</v>
      </c>
      <c r="E199" s="32">
        <v>140168.0</v>
      </c>
      <c r="F199" s="32">
        <v>0.0</v>
      </c>
      <c r="G199" s="32">
        <v>3651.0</v>
      </c>
      <c r="H199" s="32">
        <v>106590.0</v>
      </c>
      <c r="I199" s="32">
        <v>0.0</v>
      </c>
      <c r="J199" s="32">
        <v>3.592285759E9</v>
      </c>
      <c r="K199" s="32">
        <v>1.0024E9</v>
      </c>
      <c r="L199" s="32">
        <v>1196.0</v>
      </c>
      <c r="M199" s="31" t="s">
        <v>147</v>
      </c>
      <c r="N199" s="31">
        <v>25.0</v>
      </c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3">
        <v>1.72730913E8</v>
      </c>
      <c r="B200" s="33" t="s">
        <v>221</v>
      </c>
      <c r="C200" s="34">
        <v>2.0687301E7</v>
      </c>
      <c r="D200" s="34">
        <v>-1.0</v>
      </c>
      <c r="E200" s="34">
        <v>0.0</v>
      </c>
      <c r="F200" s="34">
        <v>0.0</v>
      </c>
      <c r="G200" s="34">
        <v>0.0</v>
      </c>
      <c r="H200" s="34">
        <v>0.0</v>
      </c>
      <c r="I200" s="34">
        <v>0.0</v>
      </c>
      <c r="J200" s="34">
        <v>4.786883093E9</v>
      </c>
      <c r="K200" s="34">
        <v>1.54E7</v>
      </c>
      <c r="L200" s="34">
        <v>1712.0</v>
      </c>
      <c r="M200" s="33" t="s">
        <v>153</v>
      </c>
      <c r="N200" s="33">
        <v>23.0</v>
      </c>
      <c r="O200" s="33"/>
      <c r="P200" s="33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1.4586076E8</v>
      </c>
      <c r="B201" s="31" t="s">
        <v>223</v>
      </c>
      <c r="C201" s="32">
        <v>2.0603484E7</v>
      </c>
      <c r="D201" s="32">
        <v>2503746.0</v>
      </c>
      <c r="E201" s="32">
        <v>641516.0</v>
      </c>
      <c r="F201" s="32">
        <v>196473.0</v>
      </c>
      <c r="G201" s="32">
        <v>204412.0</v>
      </c>
      <c r="H201" s="32">
        <v>0.0</v>
      </c>
      <c r="I201" s="32">
        <v>0.0</v>
      </c>
      <c r="J201" s="32">
        <v>7.281885059E9</v>
      </c>
      <c r="K201" s="32">
        <v>7.106242499E9</v>
      </c>
      <c r="L201" s="32">
        <v>3163.0</v>
      </c>
      <c r="M201" s="31" t="s">
        <v>153</v>
      </c>
      <c r="N201" s="31">
        <v>25.0</v>
      </c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3">
        <v>1.71989291E8</v>
      </c>
      <c r="B202" s="33" t="s">
        <v>224</v>
      </c>
      <c r="C202" s="34">
        <v>2.0559785E7</v>
      </c>
      <c r="D202" s="34">
        <v>1953757.0</v>
      </c>
      <c r="E202" s="34">
        <v>1329583.0</v>
      </c>
      <c r="F202" s="34">
        <v>1398.0</v>
      </c>
      <c r="G202" s="34">
        <v>2019.0</v>
      </c>
      <c r="H202" s="34">
        <v>94344.0</v>
      </c>
      <c r="I202" s="34">
        <v>0.0</v>
      </c>
      <c r="J202" s="34">
        <v>9.959490104E9</v>
      </c>
      <c r="K202" s="34">
        <v>8.866503859E9</v>
      </c>
      <c r="L202" s="34">
        <v>3473.0</v>
      </c>
      <c r="M202" s="33" t="s">
        <v>153</v>
      </c>
      <c r="N202" s="33">
        <v>24.0</v>
      </c>
      <c r="O202" s="33"/>
      <c r="P202" s="33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1.47792502E8</v>
      </c>
      <c r="B203" s="33" t="s">
        <v>232</v>
      </c>
      <c r="C203" s="34">
        <v>1.9957526E7</v>
      </c>
      <c r="D203" s="34">
        <v>1.5553596E7</v>
      </c>
      <c r="E203" s="34">
        <v>501345.0</v>
      </c>
      <c r="F203" s="34">
        <v>265931.0</v>
      </c>
      <c r="G203" s="34">
        <v>1325650.0</v>
      </c>
      <c r="H203" s="34">
        <v>68313.0</v>
      </c>
      <c r="I203" s="34">
        <v>0.0</v>
      </c>
      <c r="J203" s="34">
        <v>1.8586802748E10</v>
      </c>
      <c r="K203" s="34">
        <v>1.4948256784E10</v>
      </c>
      <c r="L203" s="34">
        <v>6717.0</v>
      </c>
      <c r="M203" s="33" t="s">
        <v>153</v>
      </c>
      <c r="N203" s="33">
        <v>24.0</v>
      </c>
      <c r="O203" s="33"/>
      <c r="P203" s="33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3">
        <v>1.59674611E8</v>
      </c>
      <c r="B204" s="33" t="s">
        <v>260</v>
      </c>
      <c r="C204" s="34">
        <v>1.984915E7</v>
      </c>
      <c r="D204" s="34">
        <v>932235.0</v>
      </c>
      <c r="E204" s="34">
        <v>136798.0</v>
      </c>
      <c r="F204" s="34">
        <v>509198.0</v>
      </c>
      <c r="G204" s="34">
        <v>5166.0</v>
      </c>
      <c r="H204" s="34">
        <v>0.0</v>
      </c>
      <c r="I204" s="34">
        <v>0.0</v>
      </c>
      <c r="J204" s="34">
        <v>3.062785715E9</v>
      </c>
      <c r="K204" s="34">
        <v>8.00719676E8</v>
      </c>
      <c r="L204" s="34">
        <v>2369.0</v>
      </c>
      <c r="M204" s="33" t="s">
        <v>94</v>
      </c>
      <c r="N204" s="33">
        <v>23.0</v>
      </c>
      <c r="O204" s="33"/>
      <c r="P204" s="33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1">
        <v>1.07309959E8</v>
      </c>
      <c r="B205" s="31" t="s">
        <v>229</v>
      </c>
      <c r="C205" s="32">
        <v>1.9760954E7</v>
      </c>
      <c r="D205" s="32">
        <v>880638.0</v>
      </c>
      <c r="E205" s="32">
        <v>633209.0</v>
      </c>
      <c r="F205" s="32">
        <v>24063.0</v>
      </c>
      <c r="G205" s="32">
        <v>19253.0</v>
      </c>
      <c r="H205" s="32">
        <v>0.0</v>
      </c>
      <c r="I205" s="32">
        <v>0.0</v>
      </c>
      <c r="J205" s="32">
        <v>4.41721045E9</v>
      </c>
      <c r="K205" s="32">
        <v>1.692E9</v>
      </c>
      <c r="L205" s="32">
        <v>2335.0</v>
      </c>
      <c r="M205" s="31" t="s">
        <v>153</v>
      </c>
      <c r="N205" s="31">
        <v>25.0</v>
      </c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1.44065202E8</v>
      </c>
      <c r="B206" s="31" t="s">
        <v>222</v>
      </c>
      <c r="C206" s="32">
        <v>1.9576543E7</v>
      </c>
      <c r="D206" s="32">
        <v>9825953.0</v>
      </c>
      <c r="E206" s="32">
        <v>3217489.0</v>
      </c>
      <c r="F206" s="32">
        <v>510456.0</v>
      </c>
      <c r="G206" s="32">
        <v>407070.0</v>
      </c>
      <c r="H206" s="32">
        <v>244210.0</v>
      </c>
      <c r="I206" s="32">
        <v>0.0</v>
      </c>
      <c r="J206" s="32">
        <v>1.852624321E9</v>
      </c>
      <c r="K206" s="32">
        <v>1.4406792E7</v>
      </c>
      <c r="L206" s="32">
        <v>3795.0</v>
      </c>
      <c r="M206" s="31" t="s">
        <v>66</v>
      </c>
      <c r="N206" s="31">
        <v>25.0</v>
      </c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1">
        <v>1.37982827E8</v>
      </c>
      <c r="B207" s="31" t="s">
        <v>230</v>
      </c>
      <c r="C207" s="32">
        <v>1.9273888E7</v>
      </c>
      <c r="D207" s="32">
        <v>1033440.0</v>
      </c>
      <c r="E207" s="32">
        <v>1686588.0</v>
      </c>
      <c r="F207" s="32">
        <v>928101.0</v>
      </c>
      <c r="G207" s="32">
        <v>2888.0</v>
      </c>
      <c r="H207" s="32">
        <v>37966.0</v>
      </c>
      <c r="I207" s="32">
        <v>0.0</v>
      </c>
      <c r="J207" s="32">
        <v>2.0960415484E10</v>
      </c>
      <c r="K207" s="32">
        <v>2.2150871927E10</v>
      </c>
      <c r="L207" s="32">
        <v>4437.0</v>
      </c>
      <c r="M207" s="31" t="s">
        <v>153</v>
      </c>
      <c r="N207" s="31">
        <v>25.0</v>
      </c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7521367.0</v>
      </c>
      <c r="B208" s="31" t="s">
        <v>234</v>
      </c>
      <c r="C208" s="32">
        <v>1.9205409E7</v>
      </c>
      <c r="D208" s="32">
        <v>5.537309E7</v>
      </c>
      <c r="E208" s="32">
        <v>2343231.0</v>
      </c>
      <c r="F208" s="32">
        <v>196972.0</v>
      </c>
      <c r="G208" s="32">
        <v>2373606.0</v>
      </c>
      <c r="H208" s="32">
        <v>1574999.0</v>
      </c>
      <c r="I208" s="32">
        <v>0.0</v>
      </c>
      <c r="J208" s="32">
        <v>7.301295546E9</v>
      </c>
      <c r="K208" s="32">
        <v>7.085159383E9</v>
      </c>
      <c r="L208" s="32">
        <v>3672.0</v>
      </c>
      <c r="M208" s="31" t="s">
        <v>147</v>
      </c>
      <c r="N208" s="31">
        <v>25.0</v>
      </c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1.0996021E8</v>
      </c>
      <c r="B209" s="31" t="s">
        <v>227</v>
      </c>
      <c r="C209" s="32">
        <v>1.8801332E7</v>
      </c>
      <c r="D209" s="32">
        <v>3479700.0</v>
      </c>
      <c r="E209" s="32">
        <v>281916.0</v>
      </c>
      <c r="F209" s="32">
        <v>0.0</v>
      </c>
      <c r="G209" s="32">
        <v>66702.0</v>
      </c>
      <c r="H209" s="32">
        <v>140634.0</v>
      </c>
      <c r="I209" s="32">
        <v>0.0</v>
      </c>
      <c r="J209" s="32">
        <v>3.098097843E9</v>
      </c>
      <c r="K209" s="32">
        <v>8.98856569E8</v>
      </c>
      <c r="L209" s="32">
        <v>1356.0</v>
      </c>
      <c r="M209" s="31" t="s">
        <v>147</v>
      </c>
      <c r="N209" s="31">
        <v>25.0</v>
      </c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3">
        <v>1.79309911E8</v>
      </c>
      <c r="B210" s="33" t="s">
        <v>250</v>
      </c>
      <c r="C210" s="34">
        <v>1.8660158E7</v>
      </c>
      <c r="D210" s="34">
        <v>3539957.0</v>
      </c>
      <c r="E210" s="34">
        <v>1463306.0</v>
      </c>
      <c r="F210" s="34">
        <v>52987.0</v>
      </c>
      <c r="G210" s="34">
        <v>321378.0</v>
      </c>
      <c r="H210" s="34">
        <v>5689.0</v>
      </c>
      <c r="I210" s="34">
        <v>0.0</v>
      </c>
      <c r="J210" s="34">
        <v>5.293498613E9</v>
      </c>
      <c r="K210" s="34">
        <v>3.113286741E9</v>
      </c>
      <c r="L210" s="34">
        <v>1432.0</v>
      </c>
      <c r="M210" s="33" t="s">
        <v>94</v>
      </c>
      <c r="N210" s="33">
        <v>24.0</v>
      </c>
      <c r="O210" s="33"/>
      <c r="P210" s="33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1.44034439E8</v>
      </c>
      <c r="B211" s="31" t="s">
        <v>235</v>
      </c>
      <c r="C211" s="32">
        <v>1.8440701E7</v>
      </c>
      <c r="D211" s="32">
        <v>3185436.0</v>
      </c>
      <c r="E211" s="32">
        <v>5053227.0</v>
      </c>
      <c r="F211" s="32">
        <v>37361.0</v>
      </c>
      <c r="G211" s="32">
        <v>106493.0</v>
      </c>
      <c r="H211" s="32">
        <v>89020.0</v>
      </c>
      <c r="I211" s="32">
        <v>0.0</v>
      </c>
      <c r="J211" s="32">
        <v>9.611192591E9</v>
      </c>
      <c r="K211" s="32">
        <v>0.0</v>
      </c>
      <c r="L211" s="32">
        <v>7332.0</v>
      </c>
      <c r="M211" s="31" t="s">
        <v>165</v>
      </c>
      <c r="N211" s="31">
        <v>25.0</v>
      </c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1.26974968E8</v>
      </c>
      <c r="B212" s="33" t="s">
        <v>244</v>
      </c>
      <c r="C212" s="34">
        <v>1.842483E7</v>
      </c>
      <c r="D212" s="34">
        <v>1232807.0</v>
      </c>
      <c r="E212" s="34">
        <v>877225.0</v>
      </c>
      <c r="F212" s="34">
        <v>5599.0</v>
      </c>
      <c r="G212" s="34">
        <v>56920.0</v>
      </c>
      <c r="H212" s="34">
        <v>25459.0</v>
      </c>
      <c r="I212" s="34">
        <v>0.0</v>
      </c>
      <c r="J212" s="34">
        <v>8.961494406E9</v>
      </c>
      <c r="K212" s="34">
        <v>1.0523962294E10</v>
      </c>
      <c r="L212" s="34">
        <v>2656.0</v>
      </c>
      <c r="M212" s="33" t="s">
        <v>94</v>
      </c>
      <c r="N212" s="33">
        <v>24.0</v>
      </c>
      <c r="O212" s="33"/>
      <c r="P212" s="33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1">
        <v>1.44068963E8</v>
      </c>
      <c r="B213" s="31" t="s">
        <v>239</v>
      </c>
      <c r="C213" s="32">
        <v>1.8115284E7</v>
      </c>
      <c r="D213" s="32">
        <v>1242154.0</v>
      </c>
      <c r="E213" s="32">
        <v>1892316.0</v>
      </c>
      <c r="F213" s="32">
        <v>10404.0</v>
      </c>
      <c r="G213" s="32">
        <v>7009.0</v>
      </c>
      <c r="H213" s="32">
        <v>57313.0</v>
      </c>
      <c r="I213" s="32">
        <v>0.0</v>
      </c>
      <c r="J213" s="32">
        <v>1.801430611E9</v>
      </c>
      <c r="K213" s="32">
        <v>200000.0</v>
      </c>
      <c r="L213" s="32">
        <v>323.0</v>
      </c>
      <c r="M213" s="31" t="s">
        <v>240</v>
      </c>
      <c r="N213" s="31">
        <v>25.0</v>
      </c>
      <c r="O213" s="31"/>
      <c r="P213" s="33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1.4065212E8</v>
      </c>
      <c r="B214" s="33" t="s">
        <v>238</v>
      </c>
      <c r="C214" s="34">
        <v>1.8063211E7</v>
      </c>
      <c r="D214" s="34">
        <v>4736361.0</v>
      </c>
      <c r="E214" s="34">
        <v>2093014.0</v>
      </c>
      <c r="F214" s="34">
        <v>14525.0</v>
      </c>
      <c r="G214" s="34">
        <v>310893.0</v>
      </c>
      <c r="H214" s="34">
        <v>81061.0</v>
      </c>
      <c r="I214" s="34">
        <v>0.0</v>
      </c>
      <c r="J214" s="34">
        <v>1.5283935553E10</v>
      </c>
      <c r="K214" s="34">
        <v>1.6054611479E10</v>
      </c>
      <c r="L214" s="34">
        <v>5490.0</v>
      </c>
      <c r="M214" s="33" t="s">
        <v>153</v>
      </c>
      <c r="N214" s="33">
        <v>24.0</v>
      </c>
      <c r="O214" s="33"/>
      <c r="P214" s="33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1.78556109E8</v>
      </c>
      <c r="B215" s="33" t="s">
        <v>248</v>
      </c>
      <c r="C215" s="34">
        <v>1.7745795E7</v>
      </c>
      <c r="D215" s="34">
        <v>1240300.0</v>
      </c>
      <c r="E215" s="34">
        <v>125805.0</v>
      </c>
      <c r="F215" s="34">
        <v>0.0</v>
      </c>
      <c r="G215" s="34">
        <v>7308.0</v>
      </c>
      <c r="H215" s="34">
        <v>58361.0</v>
      </c>
      <c r="I215" s="34">
        <v>0.0</v>
      </c>
      <c r="J215" s="34">
        <v>1.2767691481E10</v>
      </c>
      <c r="K215" s="34">
        <v>1.1321629033E10</v>
      </c>
      <c r="L215" s="34">
        <v>3584.0</v>
      </c>
      <c r="M215" s="33" t="s">
        <v>153</v>
      </c>
      <c r="N215" s="33">
        <v>24.0</v>
      </c>
      <c r="O215" s="33"/>
      <c r="P215" s="33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1">
        <v>1.27147255E8</v>
      </c>
      <c r="B216" s="31" t="s">
        <v>249</v>
      </c>
      <c r="C216" s="32">
        <v>1.7617203E7</v>
      </c>
      <c r="D216" s="32">
        <v>1404762.0</v>
      </c>
      <c r="E216" s="32">
        <v>1620937.0</v>
      </c>
      <c r="F216" s="32">
        <v>43.0</v>
      </c>
      <c r="G216" s="32">
        <v>23523.0</v>
      </c>
      <c r="H216" s="32">
        <v>57743.0</v>
      </c>
      <c r="I216" s="32">
        <v>0.0</v>
      </c>
      <c r="J216" s="32">
        <v>9.917873661E9</v>
      </c>
      <c r="K216" s="32">
        <v>1.4204180855E10</v>
      </c>
      <c r="L216" s="32">
        <v>2943.0</v>
      </c>
      <c r="M216" s="31" t="s">
        <v>94</v>
      </c>
      <c r="N216" s="31">
        <v>25.0</v>
      </c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3">
        <v>1.88084419E8</v>
      </c>
      <c r="B217" s="33" t="s">
        <v>203</v>
      </c>
      <c r="C217" s="34">
        <v>1.7531777E7</v>
      </c>
      <c r="D217" s="34">
        <v>2566037.0</v>
      </c>
      <c r="E217" s="34">
        <v>399331.0</v>
      </c>
      <c r="F217" s="34">
        <v>28076.0</v>
      </c>
      <c r="G217" s="34">
        <v>169779.0</v>
      </c>
      <c r="H217" s="34">
        <v>4764.0</v>
      </c>
      <c r="I217" s="34">
        <v>0.0</v>
      </c>
      <c r="J217" s="34">
        <v>2.026932398E9</v>
      </c>
      <c r="K217" s="34">
        <v>1.040661447E9</v>
      </c>
      <c r="L217" s="34">
        <v>2475.0</v>
      </c>
      <c r="M217" s="33" t="s">
        <v>147</v>
      </c>
      <c r="N217" s="33">
        <v>24.0</v>
      </c>
      <c r="O217" s="33"/>
      <c r="P217" s="33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1.90203348E8</v>
      </c>
      <c r="B218" s="33" t="s">
        <v>237</v>
      </c>
      <c r="C218" s="34">
        <v>1.7508545E7</v>
      </c>
      <c r="D218" s="34">
        <v>943.0</v>
      </c>
      <c r="E218" s="34">
        <v>0.0</v>
      </c>
      <c r="F218" s="34">
        <v>4717.0</v>
      </c>
      <c r="G218" s="34">
        <v>0.0</v>
      </c>
      <c r="H218" s="34">
        <v>0.0</v>
      </c>
      <c r="I218" s="34">
        <v>0.0</v>
      </c>
      <c r="J218" s="34">
        <v>4.000523125E9</v>
      </c>
      <c r="K218" s="34">
        <v>1.981971695E9</v>
      </c>
      <c r="L218" s="34">
        <v>1013.0</v>
      </c>
      <c r="M218" s="33" t="s">
        <v>147</v>
      </c>
      <c r="N218" s="33">
        <v>24.0</v>
      </c>
      <c r="O218" s="33"/>
      <c r="P218" s="33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1.77786882E8</v>
      </c>
      <c r="B219" s="33" t="s">
        <v>242</v>
      </c>
      <c r="C219" s="34">
        <v>1.7492074E7</v>
      </c>
      <c r="D219" s="34">
        <v>734715.0</v>
      </c>
      <c r="E219" s="34">
        <v>2048.0</v>
      </c>
      <c r="F219" s="34">
        <v>227.0</v>
      </c>
      <c r="G219" s="34">
        <v>6051.0</v>
      </c>
      <c r="H219" s="34">
        <v>33708.0</v>
      </c>
      <c r="I219" s="34">
        <v>0.0</v>
      </c>
      <c r="J219" s="34">
        <v>1.1543535357E10</v>
      </c>
      <c r="K219" s="34">
        <v>7.062626932E9</v>
      </c>
      <c r="L219" s="34">
        <v>3085.0</v>
      </c>
      <c r="M219" s="33" t="s">
        <v>153</v>
      </c>
      <c r="N219" s="33">
        <v>24.0</v>
      </c>
      <c r="O219" s="33"/>
      <c r="P219" s="33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3">
        <v>1.46678079E8</v>
      </c>
      <c r="B220" s="33" t="s">
        <v>503</v>
      </c>
      <c r="C220" s="34">
        <v>1.7458151E7</v>
      </c>
      <c r="D220" s="34">
        <v>2.4428232E7</v>
      </c>
      <c r="E220" s="34">
        <v>3419866.0</v>
      </c>
      <c r="F220" s="34">
        <v>1306122.0</v>
      </c>
      <c r="G220" s="34">
        <v>1324166.0</v>
      </c>
      <c r="H220" s="34">
        <v>32770.0</v>
      </c>
      <c r="I220" s="34">
        <v>0.0</v>
      </c>
      <c r="J220" s="34">
        <v>1.754720264E9</v>
      </c>
      <c r="K220" s="34">
        <v>1.76777944E8</v>
      </c>
      <c r="L220" s="34">
        <v>1865.0</v>
      </c>
      <c r="M220" s="33" t="s">
        <v>66</v>
      </c>
      <c r="N220" s="33">
        <v>24.0</v>
      </c>
      <c r="O220" s="33"/>
      <c r="P220" s="33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1">
        <v>9.9317493E7</v>
      </c>
      <c r="B221" s="31" t="s">
        <v>252</v>
      </c>
      <c r="C221" s="32">
        <v>1.7255554E7</v>
      </c>
      <c r="D221" s="32">
        <v>1.1147718E7</v>
      </c>
      <c r="E221" s="32">
        <v>2481046.0</v>
      </c>
      <c r="F221" s="32">
        <v>49534.0</v>
      </c>
      <c r="G221" s="32">
        <v>893317.0</v>
      </c>
      <c r="H221" s="32">
        <v>67760.0</v>
      </c>
      <c r="I221" s="32">
        <v>0.0</v>
      </c>
      <c r="J221" s="32">
        <v>2.983028283E9</v>
      </c>
      <c r="K221" s="32">
        <v>5.3065867E7</v>
      </c>
      <c r="L221" s="32">
        <v>3763.0</v>
      </c>
      <c r="M221" s="31" t="s">
        <v>126</v>
      </c>
      <c r="N221" s="31">
        <v>25.0</v>
      </c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1.81616674E8</v>
      </c>
      <c r="B222" s="33" t="s">
        <v>247</v>
      </c>
      <c r="C222" s="34">
        <v>1.694835E7</v>
      </c>
      <c r="D222" s="34">
        <v>-1.0</v>
      </c>
      <c r="E222" s="34">
        <v>0.0</v>
      </c>
      <c r="F222" s="34">
        <v>0.0</v>
      </c>
      <c r="G222" s="34">
        <v>0.0</v>
      </c>
      <c r="H222" s="34">
        <v>0.0</v>
      </c>
      <c r="I222" s="34">
        <v>0.0</v>
      </c>
      <c r="J222" s="34">
        <v>3.454853052E9</v>
      </c>
      <c r="K222" s="34">
        <v>1.734E9</v>
      </c>
      <c r="L222" s="34">
        <v>1033.0</v>
      </c>
      <c r="M222" s="33" t="s">
        <v>153</v>
      </c>
      <c r="N222" s="33">
        <v>23.0</v>
      </c>
      <c r="O222" s="33"/>
      <c r="P222" s="33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1">
        <v>1.54073945E8</v>
      </c>
      <c r="B223" s="31" t="s">
        <v>381</v>
      </c>
      <c r="C223" s="32">
        <v>1.687574E7</v>
      </c>
      <c r="D223" s="32">
        <v>3284697.0</v>
      </c>
      <c r="E223" s="32">
        <v>4029606.0</v>
      </c>
      <c r="F223" s="32">
        <v>307.0</v>
      </c>
      <c r="G223" s="32">
        <v>299366.0</v>
      </c>
      <c r="H223" s="32">
        <v>14399.0</v>
      </c>
      <c r="I223" s="32">
        <v>0.0</v>
      </c>
      <c r="J223" s="32">
        <v>6.526197835E9</v>
      </c>
      <c r="K223" s="32">
        <v>2.007222579E9</v>
      </c>
      <c r="L223" s="32">
        <v>1589.0</v>
      </c>
      <c r="M223" s="31" t="s">
        <v>153</v>
      </c>
      <c r="N223" s="31">
        <v>25.0</v>
      </c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1.28213955E8</v>
      </c>
      <c r="B224" s="33" t="s">
        <v>253</v>
      </c>
      <c r="C224" s="34">
        <v>1.6831447E7</v>
      </c>
      <c r="D224" s="34">
        <v>75852.0</v>
      </c>
      <c r="E224" s="34">
        <v>0.0</v>
      </c>
      <c r="F224" s="34">
        <v>720.0</v>
      </c>
      <c r="G224" s="34">
        <v>1254.0</v>
      </c>
      <c r="H224" s="34">
        <v>0.0</v>
      </c>
      <c r="I224" s="34">
        <v>0.0</v>
      </c>
      <c r="J224" s="34">
        <v>9.870468047E9</v>
      </c>
      <c r="K224" s="34">
        <v>1.1506807503E10</v>
      </c>
      <c r="L224" s="34">
        <v>2483.0</v>
      </c>
      <c r="M224" s="33" t="s">
        <v>94</v>
      </c>
      <c r="N224" s="33">
        <v>24.0</v>
      </c>
      <c r="O224" s="33"/>
      <c r="P224" s="33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3">
        <v>6.8552994E7</v>
      </c>
      <c r="B225" s="33" t="s">
        <v>246</v>
      </c>
      <c r="C225" s="34">
        <v>1.6801993E7</v>
      </c>
      <c r="D225" s="34">
        <v>1055186.0</v>
      </c>
      <c r="E225" s="34">
        <v>689492.0</v>
      </c>
      <c r="F225" s="34">
        <v>237673.0</v>
      </c>
      <c r="G225" s="34">
        <v>11356.0</v>
      </c>
      <c r="H225" s="34">
        <v>11638.0</v>
      </c>
      <c r="I225" s="34">
        <v>0.0</v>
      </c>
      <c r="J225" s="34">
        <v>8.140788825E9</v>
      </c>
      <c r="K225" s="34">
        <v>5.375385608E9</v>
      </c>
      <c r="L225" s="34">
        <v>4747.0</v>
      </c>
      <c r="M225" s="33" t="s">
        <v>153</v>
      </c>
      <c r="N225" s="33">
        <v>23.0</v>
      </c>
      <c r="O225" s="33"/>
      <c r="P225" s="33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1">
        <v>6.7692991E7</v>
      </c>
      <c r="B226" s="31" t="s">
        <v>284</v>
      </c>
      <c r="C226" s="32">
        <v>1.6668279E7</v>
      </c>
      <c r="D226" s="32">
        <v>5.5174357E7</v>
      </c>
      <c r="E226" s="32">
        <v>2761342.0</v>
      </c>
      <c r="F226" s="32">
        <v>254236.0</v>
      </c>
      <c r="G226" s="32">
        <v>2653898.0</v>
      </c>
      <c r="H226" s="32">
        <v>1348191.0</v>
      </c>
      <c r="I226" s="32">
        <v>0.0</v>
      </c>
      <c r="J226" s="32">
        <v>6.339566148E9</v>
      </c>
      <c r="K226" s="32">
        <v>5.997427785E9</v>
      </c>
      <c r="L226" s="32">
        <v>5124.0</v>
      </c>
      <c r="M226" s="31" t="s">
        <v>34</v>
      </c>
      <c r="N226" s="31">
        <v>25.0</v>
      </c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6.9470044E7</v>
      </c>
      <c r="B227" s="31" t="s">
        <v>504</v>
      </c>
      <c r="C227" s="32">
        <v>1.6576087E7</v>
      </c>
      <c r="D227" s="32">
        <v>5574354.0</v>
      </c>
      <c r="E227" s="32">
        <v>2720243.0</v>
      </c>
      <c r="F227" s="32">
        <v>227923.0</v>
      </c>
      <c r="G227" s="32">
        <v>219997.0</v>
      </c>
      <c r="H227" s="32">
        <v>82155.0</v>
      </c>
      <c r="I227" s="32">
        <v>0.0</v>
      </c>
      <c r="J227" s="32">
        <v>7.639174978E9</v>
      </c>
      <c r="K227" s="32">
        <v>6.476304962E9</v>
      </c>
      <c r="L227" s="32">
        <v>3398.0</v>
      </c>
      <c r="M227" s="31" t="s">
        <v>153</v>
      </c>
      <c r="N227" s="31">
        <v>25.0</v>
      </c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1">
        <v>9.3652844E7</v>
      </c>
      <c r="B228" s="31" t="s">
        <v>467</v>
      </c>
      <c r="C228" s="32">
        <v>1.6538358E7</v>
      </c>
      <c r="D228" s="32">
        <v>155776.0</v>
      </c>
      <c r="E228" s="32">
        <v>1024.0</v>
      </c>
      <c r="F228" s="32">
        <v>9910.0</v>
      </c>
      <c r="G228" s="32">
        <v>3171.0</v>
      </c>
      <c r="H228" s="32">
        <v>4808.0</v>
      </c>
      <c r="I228" s="32">
        <v>0.0</v>
      </c>
      <c r="J228" s="32">
        <v>5.65106541E9</v>
      </c>
      <c r="K228" s="32">
        <v>5.567250887E9</v>
      </c>
      <c r="L228" s="32">
        <v>1976.0</v>
      </c>
      <c r="M228" s="31" t="s">
        <v>153</v>
      </c>
      <c r="N228" s="31">
        <v>25.0</v>
      </c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1.84287725E8</v>
      </c>
      <c r="B229" s="33" t="s">
        <v>233</v>
      </c>
      <c r="C229" s="34">
        <v>1.6137603E7</v>
      </c>
      <c r="D229" s="34">
        <v>173990.0</v>
      </c>
      <c r="E229" s="34">
        <v>0.0</v>
      </c>
      <c r="F229" s="34">
        <v>0.0</v>
      </c>
      <c r="G229" s="34">
        <v>6551.0</v>
      </c>
      <c r="H229" s="34">
        <v>5424.0</v>
      </c>
      <c r="I229" s="34">
        <v>0.0</v>
      </c>
      <c r="J229" s="34">
        <v>3.530996959E9</v>
      </c>
      <c r="K229" s="34">
        <v>0.0</v>
      </c>
      <c r="L229" s="34">
        <v>728.0</v>
      </c>
      <c r="M229" s="33" t="s">
        <v>94</v>
      </c>
      <c r="N229" s="33">
        <v>23.0</v>
      </c>
      <c r="O229" s="33"/>
      <c r="P229" s="33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1">
        <v>3.5412124E7</v>
      </c>
      <c r="B230" s="31" t="s">
        <v>251</v>
      </c>
      <c r="C230" s="32">
        <v>1.6058333E7</v>
      </c>
      <c r="D230" s="32">
        <v>1.0090278E7</v>
      </c>
      <c r="E230" s="32">
        <v>1122929.0</v>
      </c>
      <c r="F230" s="32">
        <v>597662.0</v>
      </c>
      <c r="G230" s="32">
        <v>478561.0</v>
      </c>
      <c r="H230" s="32">
        <v>75045.0</v>
      </c>
      <c r="I230" s="32">
        <v>0.0</v>
      </c>
      <c r="J230" s="32">
        <v>4.16279169E8</v>
      </c>
      <c r="K230" s="32">
        <v>1709320.0</v>
      </c>
      <c r="L230" s="32">
        <v>1131.0</v>
      </c>
      <c r="M230" s="31" t="s">
        <v>165</v>
      </c>
      <c r="N230" s="31">
        <v>25.0</v>
      </c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1.67715529E8</v>
      </c>
      <c r="B231" s="33" t="s">
        <v>257</v>
      </c>
      <c r="C231" s="34">
        <v>1.5626947E7</v>
      </c>
      <c r="D231" s="34">
        <v>45360.0</v>
      </c>
      <c r="E231" s="34">
        <v>0.0</v>
      </c>
      <c r="F231" s="34">
        <v>0.0</v>
      </c>
      <c r="G231" s="34">
        <v>1832.0</v>
      </c>
      <c r="H231" s="34">
        <v>1352.0</v>
      </c>
      <c r="I231" s="34">
        <v>0.0</v>
      </c>
      <c r="J231" s="34">
        <v>8.266988996E9</v>
      </c>
      <c r="K231" s="34">
        <v>6.044415749E9</v>
      </c>
      <c r="L231" s="34">
        <v>1744.0</v>
      </c>
      <c r="M231" s="33" t="s">
        <v>153</v>
      </c>
      <c r="N231" s="33">
        <v>24.0</v>
      </c>
      <c r="O231" s="33"/>
      <c r="P231" s="33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1">
        <v>1.80504744E8</v>
      </c>
      <c r="B232" s="31" t="s">
        <v>384</v>
      </c>
      <c r="C232" s="32">
        <v>1.5581847E7</v>
      </c>
      <c r="D232" s="32">
        <v>63296.0</v>
      </c>
      <c r="E232" s="32">
        <v>183910.0</v>
      </c>
      <c r="F232" s="32">
        <v>1162.0</v>
      </c>
      <c r="G232" s="32">
        <v>3864.0</v>
      </c>
      <c r="H232" s="32">
        <v>951.0</v>
      </c>
      <c r="I232" s="32">
        <v>0.0</v>
      </c>
      <c r="J232" s="32">
        <v>2.050116589E9</v>
      </c>
      <c r="K232" s="32">
        <v>6.82759846E8</v>
      </c>
      <c r="L232" s="32">
        <v>848.0</v>
      </c>
      <c r="M232" s="31" t="s">
        <v>165</v>
      </c>
      <c r="N232" s="31">
        <v>25.0</v>
      </c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1">
        <v>1.75281453E8</v>
      </c>
      <c r="B233" s="31" t="s">
        <v>262</v>
      </c>
      <c r="C233" s="32">
        <v>1.5501875E7</v>
      </c>
      <c r="D233" s="32">
        <v>1.200256E7</v>
      </c>
      <c r="E233" s="32">
        <v>1043466.0</v>
      </c>
      <c r="F233" s="32">
        <v>633100.0</v>
      </c>
      <c r="G233" s="32">
        <v>323471.0</v>
      </c>
      <c r="H233" s="32">
        <v>246075.0</v>
      </c>
      <c r="I233" s="32">
        <v>0.0</v>
      </c>
      <c r="J233" s="32">
        <v>3.963083382E9</v>
      </c>
      <c r="K233" s="32">
        <v>2.785644157E9</v>
      </c>
      <c r="L233" s="32">
        <v>12689.0</v>
      </c>
      <c r="M233" s="31" t="s">
        <v>153</v>
      </c>
      <c r="N233" s="31">
        <v>25.0</v>
      </c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3">
        <v>1.83302822E8</v>
      </c>
      <c r="B234" s="33" t="s">
        <v>280</v>
      </c>
      <c r="C234" s="34">
        <v>1.5461538E7</v>
      </c>
      <c r="D234" s="34">
        <v>877526.0</v>
      </c>
      <c r="E234" s="34">
        <v>1168563.0</v>
      </c>
      <c r="F234" s="34">
        <v>28604.0</v>
      </c>
      <c r="G234" s="34">
        <v>64450.0</v>
      </c>
      <c r="H234" s="34">
        <v>4027.0</v>
      </c>
      <c r="I234" s="34">
        <v>0.0</v>
      </c>
      <c r="J234" s="34">
        <v>4.170775342E9</v>
      </c>
      <c r="K234" s="34">
        <v>2.80535441E9</v>
      </c>
      <c r="L234" s="34">
        <v>1377.0</v>
      </c>
      <c r="M234" s="33" t="s">
        <v>94</v>
      </c>
      <c r="N234" s="33">
        <v>24.0</v>
      </c>
      <c r="O234" s="33"/>
      <c r="P234" s="33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1.4404346E8</v>
      </c>
      <c r="B235" s="33" t="s">
        <v>231</v>
      </c>
      <c r="C235" s="34">
        <v>1.5412809E7</v>
      </c>
      <c r="D235" s="34">
        <v>2445760.0</v>
      </c>
      <c r="E235" s="34">
        <v>213678.0</v>
      </c>
      <c r="F235" s="34">
        <v>156164.0</v>
      </c>
      <c r="G235" s="34">
        <v>6083.0</v>
      </c>
      <c r="H235" s="34">
        <v>0.0</v>
      </c>
      <c r="I235" s="34">
        <v>0.0</v>
      </c>
      <c r="J235" s="34">
        <v>2.085263013E9</v>
      </c>
      <c r="K235" s="34">
        <v>0.0</v>
      </c>
      <c r="L235" s="34">
        <v>1335.0</v>
      </c>
      <c r="M235" s="33" t="s">
        <v>165</v>
      </c>
      <c r="N235" s="33">
        <v>24.0</v>
      </c>
      <c r="O235" s="33"/>
      <c r="P235" s="33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1.96555794E8</v>
      </c>
      <c r="B236" s="33" t="s">
        <v>261</v>
      </c>
      <c r="C236" s="34">
        <v>1.5151417E7</v>
      </c>
      <c r="D236" s="34">
        <v>112502.0</v>
      </c>
      <c r="E236" s="34">
        <v>0.0</v>
      </c>
      <c r="F236" s="34">
        <v>105330.0</v>
      </c>
      <c r="G236" s="34">
        <v>401.0</v>
      </c>
      <c r="H236" s="34">
        <v>158.0</v>
      </c>
      <c r="I236" s="34">
        <v>0.0</v>
      </c>
      <c r="J236" s="34">
        <v>4.237195782E9</v>
      </c>
      <c r="K236" s="34">
        <v>1.25674129E9</v>
      </c>
      <c r="L236" s="34">
        <v>2616.0</v>
      </c>
      <c r="M236" s="33" t="s">
        <v>94</v>
      </c>
      <c r="N236" s="33">
        <v>23.0</v>
      </c>
      <c r="O236" s="33"/>
      <c r="P236" s="33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1">
        <v>1.50861707E8</v>
      </c>
      <c r="B237" s="31" t="s">
        <v>383</v>
      </c>
      <c r="C237" s="32">
        <v>1.4977571E7</v>
      </c>
      <c r="D237" s="32">
        <v>101747.0</v>
      </c>
      <c r="E237" s="32">
        <v>235680.0</v>
      </c>
      <c r="F237" s="32">
        <v>25.0</v>
      </c>
      <c r="G237" s="32">
        <v>2763.0</v>
      </c>
      <c r="H237" s="32">
        <v>1167.0</v>
      </c>
      <c r="I237" s="32">
        <v>0.0</v>
      </c>
      <c r="J237" s="32">
        <v>2.059620377E9</v>
      </c>
      <c r="K237" s="32">
        <v>4.3389E8</v>
      </c>
      <c r="L237" s="32">
        <v>1217.0</v>
      </c>
      <c r="M237" s="31" t="s">
        <v>153</v>
      </c>
      <c r="N237" s="31">
        <v>25.0</v>
      </c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1.17526833E8</v>
      </c>
      <c r="B238" s="31" t="s">
        <v>468</v>
      </c>
      <c r="C238" s="32">
        <v>1.4975074E7</v>
      </c>
      <c r="D238" s="32">
        <v>1338678.0</v>
      </c>
      <c r="E238" s="32">
        <v>1092659.0</v>
      </c>
      <c r="F238" s="32">
        <v>22923.0</v>
      </c>
      <c r="G238" s="32">
        <v>42600.0</v>
      </c>
      <c r="H238" s="32">
        <v>34607.0</v>
      </c>
      <c r="I238" s="32">
        <v>0.0</v>
      </c>
      <c r="J238" s="32">
        <v>2.116926648E9</v>
      </c>
      <c r="K238" s="32">
        <v>4219586.0</v>
      </c>
      <c r="L238" s="32">
        <v>2140.0</v>
      </c>
      <c r="M238" s="31" t="s">
        <v>469</v>
      </c>
      <c r="N238" s="31">
        <v>25.0</v>
      </c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1.05661574E8</v>
      </c>
      <c r="B239" s="31" t="s">
        <v>505</v>
      </c>
      <c r="C239" s="32">
        <v>1.4931483E7</v>
      </c>
      <c r="D239" s="32">
        <v>3.0199245E7</v>
      </c>
      <c r="E239" s="32">
        <v>2028234.0</v>
      </c>
      <c r="F239" s="32">
        <v>539006.0</v>
      </c>
      <c r="G239" s="32">
        <v>2070947.0</v>
      </c>
      <c r="H239" s="32">
        <v>324308.0</v>
      </c>
      <c r="I239" s="32">
        <v>0.0</v>
      </c>
      <c r="J239" s="32">
        <v>8.337740019E9</v>
      </c>
      <c r="K239" s="32">
        <v>8.605176133E9</v>
      </c>
      <c r="L239" s="32">
        <v>4976.0</v>
      </c>
      <c r="M239" s="31" t="s">
        <v>153</v>
      </c>
      <c r="N239" s="31">
        <v>25.0</v>
      </c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1.59431767E8</v>
      </c>
      <c r="B240" s="33" t="s">
        <v>258</v>
      </c>
      <c r="C240" s="34">
        <v>1.4839648E7</v>
      </c>
      <c r="D240" s="34">
        <v>-1.0</v>
      </c>
      <c r="E240" s="34">
        <v>0.0</v>
      </c>
      <c r="F240" s="34">
        <v>0.0</v>
      </c>
      <c r="G240" s="34">
        <v>0.0</v>
      </c>
      <c r="H240" s="34">
        <v>0.0</v>
      </c>
      <c r="I240" s="34">
        <v>0.0</v>
      </c>
      <c r="J240" s="34">
        <v>3.177080646E9</v>
      </c>
      <c r="K240" s="34">
        <v>1.377969507E9</v>
      </c>
      <c r="L240" s="34">
        <v>828.0</v>
      </c>
      <c r="M240" s="33" t="s">
        <v>153</v>
      </c>
      <c r="N240" s="33">
        <v>24.0</v>
      </c>
      <c r="O240" s="33"/>
      <c r="P240" s="33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1.92309473E8</v>
      </c>
      <c r="B241" s="33" t="s">
        <v>270</v>
      </c>
      <c r="C241" s="34">
        <v>1.4780327E7</v>
      </c>
      <c r="D241" s="34">
        <v>-1.0</v>
      </c>
      <c r="E241" s="34">
        <v>0.0</v>
      </c>
      <c r="F241" s="34">
        <v>0.0</v>
      </c>
      <c r="G241" s="34">
        <v>0.0</v>
      </c>
      <c r="H241" s="34">
        <v>0.0</v>
      </c>
      <c r="I241" s="34">
        <v>0.0</v>
      </c>
      <c r="J241" s="34">
        <v>5.726082768E9</v>
      </c>
      <c r="K241" s="34">
        <v>2.406281775E9</v>
      </c>
      <c r="L241" s="34">
        <v>1271.0</v>
      </c>
      <c r="M241" s="33" t="s">
        <v>153</v>
      </c>
      <c r="N241" s="33">
        <v>24.0</v>
      </c>
      <c r="O241" s="33"/>
      <c r="P241" s="33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1.67721298E8</v>
      </c>
      <c r="B242" s="33" t="s">
        <v>266</v>
      </c>
      <c r="C242" s="34">
        <v>1.4760101E7</v>
      </c>
      <c r="D242" s="34">
        <v>8969284.0</v>
      </c>
      <c r="E242" s="34">
        <v>1497386.0</v>
      </c>
      <c r="F242" s="34">
        <v>45213.0</v>
      </c>
      <c r="G242" s="34">
        <v>642441.0</v>
      </c>
      <c r="H242" s="34">
        <v>114691.0</v>
      </c>
      <c r="I242" s="34">
        <v>0.0</v>
      </c>
      <c r="J242" s="34">
        <v>1.2421999496E10</v>
      </c>
      <c r="K242" s="34">
        <v>9.827811063E9</v>
      </c>
      <c r="L242" s="34">
        <v>2222.0</v>
      </c>
      <c r="M242" s="33" t="s">
        <v>94</v>
      </c>
      <c r="N242" s="33">
        <v>24.0</v>
      </c>
      <c r="O242" s="33"/>
      <c r="P242" s="33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1.31105326E8</v>
      </c>
      <c r="B243" s="33" t="s">
        <v>271</v>
      </c>
      <c r="C243" s="34">
        <v>1.474296E7</v>
      </c>
      <c r="D243" s="34">
        <v>52342.0</v>
      </c>
      <c r="E243" s="34">
        <v>0.0</v>
      </c>
      <c r="F243" s="34">
        <v>8582.0</v>
      </c>
      <c r="G243" s="34">
        <v>3649.0</v>
      </c>
      <c r="H243" s="34">
        <v>0.0</v>
      </c>
      <c r="I243" s="34">
        <v>0.0</v>
      </c>
      <c r="J243" s="34">
        <v>7.798042286E9</v>
      </c>
      <c r="K243" s="34">
        <v>9.045134782E9</v>
      </c>
      <c r="L243" s="34">
        <v>1622.0</v>
      </c>
      <c r="M243" s="33" t="s">
        <v>94</v>
      </c>
      <c r="N243" s="33">
        <v>24.0</v>
      </c>
      <c r="O243" s="33"/>
      <c r="P243" s="33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1.92376835E8</v>
      </c>
      <c r="B244" s="33" t="s">
        <v>272</v>
      </c>
      <c r="C244" s="34">
        <v>1.4702941E7</v>
      </c>
      <c r="D244" s="34">
        <v>-1.0</v>
      </c>
      <c r="E244" s="34">
        <v>0.0</v>
      </c>
      <c r="F244" s="34">
        <v>0.0</v>
      </c>
      <c r="G244" s="34">
        <v>0.0</v>
      </c>
      <c r="H244" s="34">
        <v>0.0</v>
      </c>
      <c r="I244" s="34">
        <v>0.0</v>
      </c>
      <c r="J244" s="34">
        <v>5.511297313E9</v>
      </c>
      <c r="K244" s="34">
        <v>2.225148957E9</v>
      </c>
      <c r="L244" s="34">
        <v>1290.0</v>
      </c>
      <c r="M244" s="33" t="s">
        <v>153</v>
      </c>
      <c r="N244" s="33">
        <v>24.0</v>
      </c>
      <c r="O244" s="33"/>
      <c r="P244" s="33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1">
        <v>1.06264973E8</v>
      </c>
      <c r="B245" s="31" t="s">
        <v>506</v>
      </c>
      <c r="C245" s="32">
        <v>1.4688094E7</v>
      </c>
      <c r="D245" s="32">
        <v>8880223.0</v>
      </c>
      <c r="E245" s="32">
        <v>1336041.0</v>
      </c>
      <c r="F245" s="32">
        <v>240809.0</v>
      </c>
      <c r="G245" s="32">
        <v>689374.0</v>
      </c>
      <c r="H245" s="32">
        <v>25642.0</v>
      </c>
      <c r="I245" s="32">
        <v>0.0</v>
      </c>
      <c r="J245" s="32">
        <v>4.898850099E9</v>
      </c>
      <c r="K245" s="32">
        <v>2.637422044E9</v>
      </c>
      <c r="L245" s="32">
        <v>13511.0</v>
      </c>
      <c r="M245" s="31" t="s">
        <v>153</v>
      </c>
      <c r="N245" s="31">
        <v>25.0</v>
      </c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1.44056117E8</v>
      </c>
      <c r="B246" s="33" t="s">
        <v>269</v>
      </c>
      <c r="C246" s="34">
        <v>1.4548618E7</v>
      </c>
      <c r="D246" s="34">
        <v>3285581.0</v>
      </c>
      <c r="E246" s="34">
        <v>1090347.0</v>
      </c>
      <c r="F246" s="34">
        <v>90017.0</v>
      </c>
      <c r="G246" s="34">
        <v>134161.0</v>
      </c>
      <c r="H246" s="34">
        <v>41198.0</v>
      </c>
      <c r="I246" s="34">
        <v>0.0</v>
      </c>
      <c r="J246" s="34">
        <v>2.618983945E9</v>
      </c>
      <c r="K246" s="34">
        <v>1030848.0</v>
      </c>
      <c r="L246" s="34">
        <v>860.0</v>
      </c>
      <c r="M246" s="33" t="s">
        <v>66</v>
      </c>
      <c r="N246" s="33">
        <v>23.0</v>
      </c>
      <c r="O246" s="33"/>
      <c r="P246" s="33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1.44078795E8</v>
      </c>
      <c r="B247" s="33" t="s">
        <v>263</v>
      </c>
      <c r="C247" s="34">
        <v>1.4533191E7</v>
      </c>
      <c r="D247" s="34">
        <v>508139.0</v>
      </c>
      <c r="E247" s="34">
        <v>622978.0</v>
      </c>
      <c r="F247" s="34">
        <v>1515.0</v>
      </c>
      <c r="G247" s="34">
        <v>40282.0</v>
      </c>
      <c r="H247" s="34">
        <v>5056.0</v>
      </c>
      <c r="I247" s="34">
        <v>0.0</v>
      </c>
      <c r="J247" s="34">
        <v>9971915.0</v>
      </c>
      <c r="K247" s="34">
        <v>3904993.0</v>
      </c>
      <c r="L247" s="34">
        <v>1673.0</v>
      </c>
      <c r="M247" s="33" t="s">
        <v>264</v>
      </c>
      <c r="N247" s="33">
        <v>22.0</v>
      </c>
      <c r="O247" s="33"/>
      <c r="P247" s="33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1.44114562E8</v>
      </c>
      <c r="B248" s="33" t="s">
        <v>507</v>
      </c>
      <c r="C248" s="34">
        <v>1.4327275E7</v>
      </c>
      <c r="D248" s="34">
        <v>1212832.0</v>
      </c>
      <c r="E248" s="34">
        <v>1922195.0</v>
      </c>
      <c r="F248" s="34">
        <v>0.0</v>
      </c>
      <c r="G248" s="34">
        <v>67600.0</v>
      </c>
      <c r="H248" s="34">
        <v>24256.0</v>
      </c>
      <c r="I248" s="34">
        <v>0.0</v>
      </c>
      <c r="J248" s="34">
        <v>1.533704423E9</v>
      </c>
      <c r="K248" s="34">
        <v>3401938.0</v>
      </c>
      <c r="L248" s="34">
        <v>1210.0</v>
      </c>
      <c r="M248" s="33" t="s">
        <v>66</v>
      </c>
      <c r="N248" s="33">
        <v>23.0</v>
      </c>
      <c r="O248" s="33"/>
      <c r="P248" s="33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1.68857269E8</v>
      </c>
      <c r="B249" s="33" t="s">
        <v>273</v>
      </c>
      <c r="C249" s="34">
        <v>1.4237446E7</v>
      </c>
      <c r="D249" s="34">
        <v>6749231.0</v>
      </c>
      <c r="E249" s="34">
        <v>1357929.0</v>
      </c>
      <c r="F249" s="34">
        <v>39286.0</v>
      </c>
      <c r="G249" s="34">
        <v>609241.0</v>
      </c>
      <c r="H249" s="34">
        <v>29545.0</v>
      </c>
      <c r="I249" s="34">
        <v>0.0</v>
      </c>
      <c r="J249" s="34">
        <v>3.968113524E9</v>
      </c>
      <c r="K249" s="34">
        <v>6.62826713E8</v>
      </c>
      <c r="L249" s="34">
        <v>1616.0</v>
      </c>
      <c r="M249" s="33" t="s">
        <v>153</v>
      </c>
      <c r="N249" s="33">
        <v>24.0</v>
      </c>
      <c r="O249" s="33"/>
      <c r="P249" s="33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1.76614955E8</v>
      </c>
      <c r="B250" s="33" t="s">
        <v>274</v>
      </c>
      <c r="C250" s="34">
        <v>1.410228E7</v>
      </c>
      <c r="D250" s="34">
        <v>2911595.0</v>
      </c>
      <c r="E250" s="34">
        <v>178776.0</v>
      </c>
      <c r="F250" s="34">
        <v>206889.0</v>
      </c>
      <c r="G250" s="34">
        <v>246985.0</v>
      </c>
      <c r="H250" s="34">
        <v>1.0</v>
      </c>
      <c r="I250" s="34">
        <v>0.0</v>
      </c>
      <c r="J250" s="34">
        <v>1.0221272384E10</v>
      </c>
      <c r="K250" s="34">
        <v>9.436300713E9</v>
      </c>
      <c r="L250" s="34">
        <v>4968.0</v>
      </c>
      <c r="M250" s="33" t="s">
        <v>153</v>
      </c>
      <c r="N250" s="33">
        <v>24.0</v>
      </c>
      <c r="O250" s="33"/>
      <c r="P250" s="33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1.48245743E8</v>
      </c>
      <c r="B251" s="33" t="s">
        <v>484</v>
      </c>
      <c r="C251" s="34">
        <v>1.4072085E7</v>
      </c>
      <c r="D251" s="34">
        <v>2804575.0</v>
      </c>
      <c r="E251" s="34">
        <v>718507.0</v>
      </c>
      <c r="F251" s="34">
        <v>18986.0</v>
      </c>
      <c r="G251" s="34">
        <v>94334.0</v>
      </c>
      <c r="H251" s="34">
        <v>85451.0</v>
      </c>
      <c r="I251" s="34">
        <v>0.0</v>
      </c>
      <c r="J251" s="34">
        <v>1.169599659E9</v>
      </c>
      <c r="K251" s="34">
        <v>0.0</v>
      </c>
      <c r="L251" s="34">
        <v>439.0</v>
      </c>
      <c r="M251" s="33" t="s">
        <v>94</v>
      </c>
      <c r="N251" s="33">
        <v>24.0</v>
      </c>
      <c r="O251" s="33"/>
      <c r="P251" s="33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7.9098771E7</v>
      </c>
      <c r="B252" s="33" t="s">
        <v>508</v>
      </c>
      <c r="C252" s="34">
        <v>1.3842746E7</v>
      </c>
      <c r="D252" s="34">
        <v>2548139.0</v>
      </c>
      <c r="E252" s="34">
        <v>606164.0</v>
      </c>
      <c r="F252" s="34">
        <v>23465.0</v>
      </c>
      <c r="G252" s="34">
        <v>166025.0</v>
      </c>
      <c r="H252" s="34">
        <v>44126.0</v>
      </c>
      <c r="I252" s="34">
        <v>0.0</v>
      </c>
      <c r="J252" s="34">
        <v>8.847622887E9</v>
      </c>
      <c r="K252" s="34">
        <v>7.593529434E9</v>
      </c>
      <c r="L252" s="34">
        <v>1726.0</v>
      </c>
      <c r="M252" s="33" t="s">
        <v>94</v>
      </c>
      <c r="N252" s="33">
        <v>23.0</v>
      </c>
      <c r="O252" s="33"/>
      <c r="P252" s="33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1">
        <v>1.68821399E8</v>
      </c>
      <c r="B253" s="31" t="s">
        <v>385</v>
      </c>
      <c r="C253" s="32">
        <v>1.3627762E7</v>
      </c>
      <c r="D253" s="32">
        <v>3357118.0</v>
      </c>
      <c r="E253" s="32">
        <v>1916784.0</v>
      </c>
      <c r="F253" s="32">
        <v>328231.0</v>
      </c>
      <c r="G253" s="32">
        <v>286104.0</v>
      </c>
      <c r="H253" s="32">
        <v>14726.0</v>
      </c>
      <c r="I253" s="32">
        <v>0.0</v>
      </c>
      <c r="J253" s="32">
        <v>8.219647329E9</v>
      </c>
      <c r="K253" s="32">
        <v>4.619081699E9</v>
      </c>
      <c r="L253" s="32">
        <v>1811.0</v>
      </c>
      <c r="M253" s="31" t="s">
        <v>153</v>
      </c>
      <c r="N253" s="31">
        <v>25.0</v>
      </c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1.90414225E8</v>
      </c>
      <c r="B254" s="33" t="s">
        <v>509</v>
      </c>
      <c r="C254" s="34">
        <v>1.3509416E7</v>
      </c>
      <c r="D254" s="34">
        <v>2246854.0</v>
      </c>
      <c r="E254" s="34">
        <v>0.0</v>
      </c>
      <c r="F254" s="34">
        <v>0.0</v>
      </c>
      <c r="G254" s="34">
        <v>177233.0</v>
      </c>
      <c r="H254" s="34">
        <v>0.0</v>
      </c>
      <c r="I254" s="34">
        <v>0.0</v>
      </c>
      <c r="J254" s="34">
        <v>1.557682911E9</v>
      </c>
      <c r="K254" s="34">
        <v>0.0</v>
      </c>
      <c r="L254" s="34">
        <v>1104.0</v>
      </c>
      <c r="M254" s="33" t="s">
        <v>66</v>
      </c>
      <c r="N254" s="33">
        <v>24.0</v>
      </c>
      <c r="O254" s="33"/>
      <c r="P254" s="33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3">
        <v>1.77632834E8</v>
      </c>
      <c r="B255" s="33" t="s">
        <v>268</v>
      </c>
      <c r="C255" s="34">
        <v>1.3440236E7</v>
      </c>
      <c r="D255" s="34">
        <v>1711538.0</v>
      </c>
      <c r="E255" s="34">
        <v>980481.0</v>
      </c>
      <c r="F255" s="34">
        <v>1912.0</v>
      </c>
      <c r="G255" s="34">
        <v>19146.0</v>
      </c>
      <c r="H255" s="34">
        <v>75090.0</v>
      </c>
      <c r="I255" s="34">
        <v>0.0</v>
      </c>
      <c r="J255" s="34">
        <v>1.788617919E9</v>
      </c>
      <c r="K255" s="34">
        <v>6.37001512E8</v>
      </c>
      <c r="L255" s="34">
        <v>1168.0</v>
      </c>
      <c r="M255" s="33" t="s">
        <v>147</v>
      </c>
      <c r="N255" s="33">
        <v>24.0</v>
      </c>
      <c r="O255" s="33"/>
      <c r="P255" s="33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1">
        <v>1.69610538E8</v>
      </c>
      <c r="B256" s="31" t="s">
        <v>432</v>
      </c>
      <c r="C256" s="32">
        <v>1.3265376E7</v>
      </c>
      <c r="D256" s="32">
        <v>492926.0</v>
      </c>
      <c r="E256" s="32">
        <v>1569585.0</v>
      </c>
      <c r="F256" s="32">
        <v>3.0</v>
      </c>
      <c r="G256" s="32">
        <v>4092.0</v>
      </c>
      <c r="H256" s="32">
        <v>21064.0</v>
      </c>
      <c r="I256" s="32">
        <v>0.0</v>
      </c>
      <c r="J256" s="32">
        <v>9.102878023E9</v>
      </c>
      <c r="K256" s="32">
        <v>4.669995414E9</v>
      </c>
      <c r="L256" s="32">
        <v>1533.0</v>
      </c>
      <c r="M256" s="31" t="s">
        <v>94</v>
      </c>
      <c r="N256" s="31">
        <v>25.0</v>
      </c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1">
        <v>1.17727896E8</v>
      </c>
      <c r="B257" s="31" t="s">
        <v>471</v>
      </c>
      <c r="C257" s="32">
        <v>1.3212902E7</v>
      </c>
      <c r="D257" s="32">
        <v>2791550.0</v>
      </c>
      <c r="E257" s="32">
        <v>297479.0</v>
      </c>
      <c r="F257" s="32">
        <v>274170.0</v>
      </c>
      <c r="G257" s="32">
        <v>135503.0</v>
      </c>
      <c r="H257" s="32">
        <v>12457.0</v>
      </c>
      <c r="I257" s="32">
        <v>0.0</v>
      </c>
      <c r="J257" s="32">
        <v>1.446722982E9</v>
      </c>
      <c r="K257" s="32">
        <v>6149517.0</v>
      </c>
      <c r="L257" s="32">
        <v>4436.0</v>
      </c>
      <c r="M257" s="31" t="s">
        <v>119</v>
      </c>
      <c r="N257" s="31">
        <v>25.0</v>
      </c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1">
        <v>8.7579313E7</v>
      </c>
      <c r="B258" s="31" t="s">
        <v>510</v>
      </c>
      <c r="C258" s="32">
        <v>1.31872E7</v>
      </c>
      <c r="D258" s="32">
        <v>2825806.0</v>
      </c>
      <c r="E258" s="32">
        <v>1274114.0</v>
      </c>
      <c r="F258" s="32">
        <v>973310.0</v>
      </c>
      <c r="G258" s="32">
        <v>128400.0</v>
      </c>
      <c r="H258" s="32">
        <v>41492.0</v>
      </c>
      <c r="I258" s="32">
        <v>0.0</v>
      </c>
      <c r="J258" s="32">
        <v>8.958618912E9</v>
      </c>
      <c r="K258" s="32">
        <v>6.483333966E9</v>
      </c>
      <c r="L258" s="32">
        <v>2370.0</v>
      </c>
      <c r="M258" s="31" t="s">
        <v>66</v>
      </c>
      <c r="N258" s="31">
        <v>25.0</v>
      </c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1.79651678E8</v>
      </c>
      <c r="B259" s="31" t="s">
        <v>283</v>
      </c>
      <c r="C259" s="32">
        <v>1.3147104E7</v>
      </c>
      <c r="D259" s="32">
        <v>9596330.0</v>
      </c>
      <c r="E259" s="32">
        <v>1786794.0</v>
      </c>
      <c r="F259" s="32">
        <v>593624.0</v>
      </c>
      <c r="G259" s="32">
        <v>647464.0</v>
      </c>
      <c r="H259" s="32">
        <v>145591.0</v>
      </c>
      <c r="I259" s="32">
        <v>0.0</v>
      </c>
      <c r="J259" s="32">
        <v>5.240829413E9</v>
      </c>
      <c r="K259" s="32">
        <v>3.167058363E9</v>
      </c>
      <c r="L259" s="32">
        <v>2177.0</v>
      </c>
      <c r="M259" s="31" t="s">
        <v>147</v>
      </c>
      <c r="N259" s="31">
        <v>25.0</v>
      </c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1.05646511E8</v>
      </c>
      <c r="B260" s="33" t="s">
        <v>485</v>
      </c>
      <c r="C260" s="34">
        <v>1.3082925E7</v>
      </c>
      <c r="D260" s="34">
        <v>2403005.0</v>
      </c>
      <c r="E260" s="34">
        <v>504461.0</v>
      </c>
      <c r="F260" s="34">
        <v>132176.0</v>
      </c>
      <c r="G260" s="34">
        <v>67351.0</v>
      </c>
      <c r="H260" s="34">
        <v>7671.0</v>
      </c>
      <c r="I260" s="34">
        <v>0.0</v>
      </c>
      <c r="J260" s="34">
        <v>1.224362147E9</v>
      </c>
      <c r="K260" s="34">
        <v>2.3589896E7</v>
      </c>
      <c r="L260" s="34">
        <v>3387.0</v>
      </c>
      <c r="M260" s="33" t="s">
        <v>66</v>
      </c>
      <c r="N260" s="33">
        <v>23.0</v>
      </c>
      <c r="O260" s="33"/>
      <c r="P260" s="33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3">
        <v>1.51248241E8</v>
      </c>
      <c r="B261" s="33" t="s">
        <v>290</v>
      </c>
      <c r="C261" s="34">
        <v>1.3007526E7</v>
      </c>
      <c r="D261" s="34">
        <v>1371541.0</v>
      </c>
      <c r="E261" s="34">
        <v>94486.0</v>
      </c>
      <c r="F261" s="34">
        <v>6395.0</v>
      </c>
      <c r="G261" s="34">
        <v>126790.0</v>
      </c>
      <c r="H261" s="34">
        <v>0.0</v>
      </c>
      <c r="I261" s="34">
        <v>0.0</v>
      </c>
      <c r="J261" s="34">
        <v>2.723875104E9</v>
      </c>
      <c r="K261" s="34">
        <v>7.26817496E8</v>
      </c>
      <c r="L261" s="34">
        <v>5901.0</v>
      </c>
      <c r="M261" s="33" t="s">
        <v>94</v>
      </c>
      <c r="N261" s="33">
        <v>24.0</v>
      </c>
      <c r="O261" s="33"/>
      <c r="P261" s="33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2.4777206E7</v>
      </c>
      <c r="B262" s="33" t="s">
        <v>289</v>
      </c>
      <c r="C262" s="34">
        <v>1.2958324E7</v>
      </c>
      <c r="D262" s="34">
        <v>3178989.0</v>
      </c>
      <c r="E262" s="34">
        <v>1435029.0</v>
      </c>
      <c r="F262" s="34">
        <v>23338.0</v>
      </c>
      <c r="G262" s="34">
        <v>52691.0</v>
      </c>
      <c r="H262" s="34">
        <v>90243.0</v>
      </c>
      <c r="I262" s="34">
        <v>0.0</v>
      </c>
      <c r="J262" s="34">
        <v>4.004185147E9</v>
      </c>
      <c r="K262" s="34">
        <v>6.196163634E9</v>
      </c>
      <c r="L262" s="34">
        <v>2572.0</v>
      </c>
      <c r="M262" s="33" t="s">
        <v>153</v>
      </c>
      <c r="N262" s="33">
        <v>23.0</v>
      </c>
      <c r="O262" s="33"/>
      <c r="P262" s="33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4.7157775E7</v>
      </c>
      <c r="B263" s="33" t="s">
        <v>276</v>
      </c>
      <c r="C263" s="34">
        <v>1.2956803E7</v>
      </c>
      <c r="D263" s="34">
        <v>469490.0</v>
      </c>
      <c r="E263" s="34">
        <v>719004.0</v>
      </c>
      <c r="F263" s="34">
        <v>1153.0</v>
      </c>
      <c r="G263" s="34">
        <v>7698.0</v>
      </c>
      <c r="H263" s="34">
        <v>10645.0</v>
      </c>
      <c r="I263" s="34">
        <v>0.0</v>
      </c>
      <c r="J263" s="34">
        <v>2.2209753661E10</v>
      </c>
      <c r="K263" s="34">
        <v>2.121211705E10</v>
      </c>
      <c r="L263" s="34">
        <v>2836.0</v>
      </c>
      <c r="M263" s="33" t="s">
        <v>153</v>
      </c>
      <c r="N263" s="33">
        <v>24.0</v>
      </c>
      <c r="O263" s="33"/>
      <c r="P263" s="33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1.21407372E8</v>
      </c>
      <c r="B264" s="33" t="s">
        <v>433</v>
      </c>
      <c r="C264" s="34">
        <v>1.2922175E7</v>
      </c>
      <c r="D264" s="34">
        <v>212428.0</v>
      </c>
      <c r="E264" s="34">
        <v>59062.0</v>
      </c>
      <c r="F264" s="34">
        <v>10974.0</v>
      </c>
      <c r="G264" s="34">
        <v>8297.0</v>
      </c>
      <c r="H264" s="34">
        <v>0.0</v>
      </c>
      <c r="I264" s="34">
        <v>0.0</v>
      </c>
      <c r="J264" s="34">
        <v>1.411295267E9</v>
      </c>
      <c r="K264" s="34">
        <v>0.0</v>
      </c>
      <c r="L264" s="34">
        <v>679.0</v>
      </c>
      <c r="M264" s="33" t="s">
        <v>119</v>
      </c>
      <c r="N264" s="33">
        <v>24.0</v>
      </c>
      <c r="O264" s="33"/>
      <c r="P264" s="33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1">
        <v>1.80743895E8</v>
      </c>
      <c r="B265" s="31" t="s">
        <v>435</v>
      </c>
      <c r="C265" s="32">
        <v>1.2820322E7</v>
      </c>
      <c r="D265" s="32">
        <v>1283072.0</v>
      </c>
      <c r="E265" s="32">
        <v>1893314.0</v>
      </c>
      <c r="F265" s="32">
        <v>4711.0</v>
      </c>
      <c r="G265" s="32">
        <v>13098.0</v>
      </c>
      <c r="H265" s="32">
        <v>56755.0</v>
      </c>
      <c r="I265" s="32">
        <v>0.0</v>
      </c>
      <c r="J265" s="32">
        <v>4.315814507E9</v>
      </c>
      <c r="K265" s="32">
        <v>3.349477122E9</v>
      </c>
      <c r="L265" s="32">
        <v>1956.0</v>
      </c>
      <c r="M265" s="31" t="s">
        <v>153</v>
      </c>
      <c r="N265" s="31">
        <v>25.0</v>
      </c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3">
        <v>1.44075646E8</v>
      </c>
      <c r="B266" s="33" t="s">
        <v>277</v>
      </c>
      <c r="C266" s="34">
        <v>1.2755153E7</v>
      </c>
      <c r="D266" s="34">
        <v>7432.0</v>
      </c>
      <c r="E266" s="34">
        <v>0.0</v>
      </c>
      <c r="F266" s="34">
        <v>1501.0</v>
      </c>
      <c r="G266" s="34">
        <v>379.0</v>
      </c>
      <c r="H266" s="34">
        <v>0.0</v>
      </c>
      <c r="I266" s="34">
        <v>0.0</v>
      </c>
      <c r="J266" s="34">
        <v>6.20348658E8</v>
      </c>
      <c r="K266" s="34">
        <v>0.0</v>
      </c>
      <c r="L266" s="34">
        <v>429.0</v>
      </c>
      <c r="M266" s="33" t="s">
        <v>165</v>
      </c>
      <c r="N266" s="33">
        <v>22.0</v>
      </c>
      <c r="O266" s="33"/>
      <c r="P266" s="33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1.77225071E8</v>
      </c>
      <c r="B267" s="33" t="s">
        <v>298</v>
      </c>
      <c r="C267" s="34">
        <v>1.2542369E7</v>
      </c>
      <c r="D267" s="34">
        <v>1033872.0</v>
      </c>
      <c r="E267" s="34">
        <v>2192960.0</v>
      </c>
      <c r="F267" s="34">
        <v>662231.0</v>
      </c>
      <c r="G267" s="34">
        <v>58320.0</v>
      </c>
      <c r="H267" s="34">
        <v>9575.0</v>
      </c>
      <c r="I267" s="34">
        <v>0.0</v>
      </c>
      <c r="J267" s="34">
        <v>6.048829252E9</v>
      </c>
      <c r="K267" s="34">
        <v>5.163686099E9</v>
      </c>
      <c r="L267" s="34">
        <v>1453.0</v>
      </c>
      <c r="M267" s="33" t="s">
        <v>147</v>
      </c>
      <c r="N267" s="33">
        <v>24.0</v>
      </c>
      <c r="O267" s="33"/>
      <c r="P267" s="33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1">
        <v>1.00844055E8</v>
      </c>
      <c r="B268" s="31" t="s">
        <v>386</v>
      </c>
      <c r="C268" s="32">
        <v>1.2540452E7</v>
      </c>
      <c r="D268" s="32">
        <v>8818085.0</v>
      </c>
      <c r="E268" s="32">
        <v>1945308.0</v>
      </c>
      <c r="F268" s="32">
        <v>18479.0</v>
      </c>
      <c r="G268" s="32">
        <v>815682.0</v>
      </c>
      <c r="H268" s="32">
        <v>22112.0</v>
      </c>
      <c r="I268" s="32">
        <v>0.0</v>
      </c>
      <c r="J268" s="32">
        <v>3.59742656E9</v>
      </c>
      <c r="K268" s="32">
        <v>1.253977396E9</v>
      </c>
      <c r="L268" s="32">
        <v>7448.0</v>
      </c>
      <c r="M268" s="31" t="s">
        <v>165</v>
      </c>
      <c r="N268" s="31">
        <v>25.0</v>
      </c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7.7397858E7</v>
      </c>
      <c r="B269" s="33" t="s">
        <v>297</v>
      </c>
      <c r="C269" s="34">
        <v>1.2538335E7</v>
      </c>
      <c r="D269" s="34">
        <v>6039713.0</v>
      </c>
      <c r="E269" s="34">
        <v>1121881.0</v>
      </c>
      <c r="F269" s="34">
        <v>201117.0</v>
      </c>
      <c r="G269" s="34">
        <v>295460.0</v>
      </c>
      <c r="H269" s="34">
        <v>51656.0</v>
      </c>
      <c r="I269" s="34">
        <v>0.0</v>
      </c>
      <c r="J269" s="34">
        <v>7.21492209E8</v>
      </c>
      <c r="K269" s="34">
        <v>0.0</v>
      </c>
      <c r="L269" s="34">
        <v>1095.0</v>
      </c>
      <c r="M269" s="33" t="s">
        <v>66</v>
      </c>
      <c r="N269" s="33">
        <v>23.0</v>
      </c>
      <c r="O269" s="33"/>
      <c r="P269" s="33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1">
        <v>9.1488989E7</v>
      </c>
      <c r="B270" s="31" t="s">
        <v>486</v>
      </c>
      <c r="C270" s="32">
        <v>1.2527827E7</v>
      </c>
      <c r="D270" s="32">
        <v>971720.0</v>
      </c>
      <c r="E270" s="32">
        <v>798277.0</v>
      </c>
      <c r="F270" s="32">
        <v>2341.0</v>
      </c>
      <c r="G270" s="32">
        <v>92524.0</v>
      </c>
      <c r="H270" s="32">
        <v>0.0</v>
      </c>
      <c r="I270" s="32">
        <v>0.0</v>
      </c>
      <c r="J270" s="32">
        <v>1.018423027E9</v>
      </c>
      <c r="K270" s="32">
        <v>0.0</v>
      </c>
      <c r="L270" s="32">
        <v>729.0</v>
      </c>
      <c r="M270" s="31" t="s">
        <v>66</v>
      </c>
      <c r="N270" s="31">
        <v>25.0</v>
      </c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1.78759749E8</v>
      </c>
      <c r="B271" s="33" t="s">
        <v>294</v>
      </c>
      <c r="C271" s="34">
        <v>1.2506759E7</v>
      </c>
      <c r="D271" s="34">
        <v>123088.0</v>
      </c>
      <c r="E271" s="34">
        <v>127880.0</v>
      </c>
      <c r="F271" s="34">
        <v>362.0</v>
      </c>
      <c r="G271" s="34">
        <v>8565.0</v>
      </c>
      <c r="H271" s="34">
        <v>0.0</v>
      </c>
      <c r="I271" s="34">
        <v>0.0</v>
      </c>
      <c r="J271" s="34">
        <v>6.608039326E9</v>
      </c>
      <c r="K271" s="34">
        <v>5.399273645E9</v>
      </c>
      <c r="L271" s="34">
        <v>1490.0</v>
      </c>
      <c r="M271" s="33" t="s">
        <v>153</v>
      </c>
      <c r="N271" s="33">
        <v>24.0</v>
      </c>
      <c r="O271" s="33"/>
      <c r="P271" s="33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1.77647871E8</v>
      </c>
      <c r="B272" s="33" t="s">
        <v>293</v>
      </c>
      <c r="C272" s="34">
        <v>1.2371705E7</v>
      </c>
      <c r="D272" s="34">
        <v>255311.0</v>
      </c>
      <c r="E272" s="34">
        <v>0.0</v>
      </c>
      <c r="F272" s="34">
        <v>21295.0</v>
      </c>
      <c r="G272" s="34">
        <v>14770.0</v>
      </c>
      <c r="H272" s="34">
        <v>0.0</v>
      </c>
      <c r="I272" s="34">
        <v>0.0</v>
      </c>
      <c r="J272" s="34">
        <v>2.0768375E9</v>
      </c>
      <c r="K272" s="34">
        <v>1.868392265E9</v>
      </c>
      <c r="L272" s="34">
        <v>779.0</v>
      </c>
      <c r="M272" s="33" t="s">
        <v>153</v>
      </c>
      <c r="N272" s="33">
        <v>23.0</v>
      </c>
      <c r="O272" s="33"/>
      <c r="P272" s="33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1">
        <v>6.5702055E7</v>
      </c>
      <c r="B273" s="31" t="s">
        <v>302</v>
      </c>
      <c r="C273" s="32">
        <v>1.2365375E7</v>
      </c>
      <c r="D273" s="32">
        <v>506067.0</v>
      </c>
      <c r="E273" s="32">
        <v>795024.0</v>
      </c>
      <c r="F273" s="32">
        <v>28966.0</v>
      </c>
      <c r="G273" s="32">
        <v>25195.0</v>
      </c>
      <c r="H273" s="32">
        <v>3024.0</v>
      </c>
      <c r="I273" s="32">
        <v>0.0</v>
      </c>
      <c r="J273" s="32">
        <v>9.699791494E9</v>
      </c>
      <c r="K273" s="32">
        <v>1.0218488381E10</v>
      </c>
      <c r="L273" s="32">
        <v>2164.0</v>
      </c>
      <c r="M273" s="31" t="s">
        <v>153</v>
      </c>
      <c r="N273" s="31">
        <v>25.0</v>
      </c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1.77721232E8</v>
      </c>
      <c r="B274" s="33" t="s">
        <v>299</v>
      </c>
      <c r="C274" s="34">
        <v>1.2280264E7</v>
      </c>
      <c r="D274" s="34">
        <v>169357.0</v>
      </c>
      <c r="E274" s="34">
        <v>716670.0</v>
      </c>
      <c r="F274" s="34">
        <v>3768.0</v>
      </c>
      <c r="G274" s="34">
        <v>16742.0</v>
      </c>
      <c r="H274" s="34">
        <v>0.0</v>
      </c>
      <c r="I274" s="34">
        <v>0.0</v>
      </c>
      <c r="J274" s="34">
        <v>7.934384678E9</v>
      </c>
      <c r="K274" s="34">
        <v>7.671897794E9</v>
      </c>
      <c r="L274" s="34">
        <v>2702.0</v>
      </c>
      <c r="M274" s="33" t="s">
        <v>153</v>
      </c>
      <c r="N274" s="33">
        <v>23.0</v>
      </c>
      <c r="O274" s="33"/>
      <c r="P274" s="33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1">
        <v>1.4420936E8</v>
      </c>
      <c r="B275" s="31" t="s">
        <v>511</v>
      </c>
      <c r="C275" s="32">
        <v>1.2216777E7</v>
      </c>
      <c r="D275" s="32">
        <v>1652323.0</v>
      </c>
      <c r="E275" s="32">
        <v>1299323.0</v>
      </c>
      <c r="F275" s="32">
        <v>48299.0</v>
      </c>
      <c r="G275" s="32">
        <v>60851.0</v>
      </c>
      <c r="H275" s="32">
        <v>36122.0</v>
      </c>
      <c r="I275" s="32">
        <v>0.0</v>
      </c>
      <c r="J275" s="32">
        <v>1.990311509E9</v>
      </c>
      <c r="K275" s="32">
        <v>2400000.0</v>
      </c>
      <c r="L275" s="32">
        <v>1377.0</v>
      </c>
      <c r="M275" s="31" t="s">
        <v>66</v>
      </c>
      <c r="N275" s="31">
        <v>25.0</v>
      </c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1.38285772E8</v>
      </c>
      <c r="B276" s="33" t="s">
        <v>305</v>
      </c>
      <c r="C276" s="34">
        <v>1.1872707E7</v>
      </c>
      <c r="D276" s="34">
        <v>188240.0</v>
      </c>
      <c r="E276" s="34">
        <v>31313.0</v>
      </c>
      <c r="F276" s="34">
        <v>0.0</v>
      </c>
      <c r="G276" s="34">
        <v>18824.0</v>
      </c>
      <c r="H276" s="34">
        <v>0.0</v>
      </c>
      <c r="I276" s="34">
        <v>0.0</v>
      </c>
      <c r="J276" s="34">
        <v>7.067599482E9</v>
      </c>
      <c r="K276" s="34">
        <v>8.963956931E9</v>
      </c>
      <c r="L276" s="34">
        <v>1425.0</v>
      </c>
      <c r="M276" s="33" t="s">
        <v>94</v>
      </c>
      <c r="N276" s="33">
        <v>24.0</v>
      </c>
      <c r="O276" s="33"/>
      <c r="P276" s="33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1">
        <v>1.4402991E8</v>
      </c>
      <c r="B277" s="31" t="s">
        <v>296</v>
      </c>
      <c r="C277" s="32">
        <v>1.1856003E7</v>
      </c>
      <c r="D277" s="32">
        <v>6837594.0</v>
      </c>
      <c r="E277" s="32">
        <v>1758438.0</v>
      </c>
      <c r="F277" s="32">
        <v>22980.0</v>
      </c>
      <c r="G277" s="32">
        <v>464968.0</v>
      </c>
      <c r="H277" s="32">
        <v>71229.0</v>
      </c>
      <c r="I277" s="32">
        <v>0.0</v>
      </c>
      <c r="J277" s="32">
        <v>6.032506983E9</v>
      </c>
      <c r="K277" s="32">
        <v>4.559048087E9</v>
      </c>
      <c r="L277" s="32">
        <v>3241.0</v>
      </c>
      <c r="M277" s="31" t="s">
        <v>373</v>
      </c>
      <c r="N277" s="31">
        <v>25.0</v>
      </c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1">
        <v>1.52201713E8</v>
      </c>
      <c r="B278" s="31" t="s">
        <v>436</v>
      </c>
      <c r="C278" s="32">
        <v>1.1752061E7</v>
      </c>
      <c r="D278" s="32">
        <v>909034.0</v>
      </c>
      <c r="E278" s="32">
        <v>1197900.0</v>
      </c>
      <c r="F278" s="32">
        <v>0.0</v>
      </c>
      <c r="G278" s="32">
        <v>79442.0</v>
      </c>
      <c r="H278" s="32">
        <v>4810.0</v>
      </c>
      <c r="I278" s="32">
        <v>0.0</v>
      </c>
      <c r="J278" s="32">
        <v>2.725402982E9</v>
      </c>
      <c r="K278" s="32">
        <v>1.843640216E9</v>
      </c>
      <c r="L278" s="32">
        <v>897.0</v>
      </c>
      <c r="M278" s="31" t="s">
        <v>153</v>
      </c>
      <c r="N278" s="31">
        <v>25.0</v>
      </c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1">
        <v>9.6284047E7</v>
      </c>
      <c r="B279" s="31" t="s">
        <v>473</v>
      </c>
      <c r="C279" s="32">
        <v>1.1684329E7</v>
      </c>
      <c r="D279" s="32">
        <v>43742.0</v>
      </c>
      <c r="E279" s="32">
        <v>57258.0</v>
      </c>
      <c r="F279" s="32">
        <v>913.0</v>
      </c>
      <c r="G279" s="32">
        <v>1456.0</v>
      </c>
      <c r="H279" s="32">
        <v>1390.0</v>
      </c>
      <c r="I279" s="32">
        <v>0.0</v>
      </c>
      <c r="J279" s="32">
        <v>1.99629146E9</v>
      </c>
      <c r="K279" s="32">
        <v>1.994469657E9</v>
      </c>
      <c r="L279" s="32">
        <v>949.0</v>
      </c>
      <c r="M279" s="31" t="s">
        <v>153</v>
      </c>
      <c r="N279" s="31">
        <v>25.0</v>
      </c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1.90202885E8</v>
      </c>
      <c r="B280" s="33" t="s">
        <v>278</v>
      </c>
      <c r="C280" s="34">
        <v>1.1600957E7</v>
      </c>
      <c r="D280" s="34">
        <v>6.0</v>
      </c>
      <c r="E280" s="34">
        <v>0.0</v>
      </c>
      <c r="F280" s="34">
        <v>30.0</v>
      </c>
      <c r="G280" s="34">
        <v>0.0</v>
      </c>
      <c r="H280" s="34">
        <v>0.0</v>
      </c>
      <c r="I280" s="34">
        <v>0.0</v>
      </c>
      <c r="J280" s="34">
        <v>2.621837215E9</v>
      </c>
      <c r="K280" s="34">
        <v>1.05660658E9</v>
      </c>
      <c r="L280" s="34">
        <v>1097.0</v>
      </c>
      <c r="M280" s="33" t="s">
        <v>153</v>
      </c>
      <c r="N280" s="33">
        <v>23.0</v>
      </c>
      <c r="O280" s="33"/>
      <c r="P280" s="33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6.7568162E7</v>
      </c>
      <c r="B281" s="33" t="s">
        <v>300</v>
      </c>
      <c r="C281" s="34">
        <v>1.1598277E7</v>
      </c>
      <c r="D281" s="34">
        <v>202704.0</v>
      </c>
      <c r="E281" s="34">
        <v>42020.0</v>
      </c>
      <c r="F281" s="34">
        <v>26634.0</v>
      </c>
      <c r="G281" s="34">
        <v>0.0</v>
      </c>
      <c r="H281" s="34">
        <v>5336.0</v>
      </c>
      <c r="I281" s="34">
        <v>0.0</v>
      </c>
      <c r="J281" s="34">
        <v>5.531619468E9</v>
      </c>
      <c r="K281" s="34">
        <v>1.940712211E9</v>
      </c>
      <c r="L281" s="34">
        <v>1546.0</v>
      </c>
      <c r="M281" s="33" t="s">
        <v>153</v>
      </c>
      <c r="N281" s="33">
        <v>24.0</v>
      </c>
      <c r="O281" s="33"/>
      <c r="P281" s="33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1.44098997E8</v>
      </c>
      <c r="B282" s="33" t="s">
        <v>437</v>
      </c>
      <c r="C282" s="34">
        <v>1.1495667E7</v>
      </c>
      <c r="D282" s="34">
        <v>2085911.0</v>
      </c>
      <c r="E282" s="34">
        <v>1773255.0</v>
      </c>
      <c r="F282" s="34">
        <v>121189.0</v>
      </c>
      <c r="G282" s="34">
        <v>57689.0</v>
      </c>
      <c r="H282" s="34">
        <v>40024.0</v>
      </c>
      <c r="I282" s="34">
        <v>0.0</v>
      </c>
      <c r="J282" s="34">
        <v>1.616239131E9</v>
      </c>
      <c r="K282" s="34">
        <v>3047603.0</v>
      </c>
      <c r="L282" s="34">
        <v>1457.0</v>
      </c>
      <c r="M282" s="33" t="s">
        <v>126</v>
      </c>
      <c r="N282" s="33">
        <v>24.0</v>
      </c>
      <c r="O282" s="33"/>
      <c r="P282" s="33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1.57465282E8</v>
      </c>
      <c r="B283" s="33" t="s">
        <v>474</v>
      </c>
      <c r="C283" s="34">
        <v>1.1461659E7</v>
      </c>
      <c r="D283" s="34">
        <v>1059330.0</v>
      </c>
      <c r="E283" s="34">
        <v>435892.0</v>
      </c>
      <c r="F283" s="34">
        <v>81933.0</v>
      </c>
      <c r="G283" s="34">
        <v>58926.0</v>
      </c>
      <c r="H283" s="34">
        <v>5178.0</v>
      </c>
      <c r="I283" s="34">
        <v>0.0</v>
      </c>
      <c r="J283" s="34">
        <v>7.838886963E9</v>
      </c>
      <c r="K283" s="34">
        <v>2.366887416E9</v>
      </c>
      <c r="L283" s="34">
        <v>1792.0</v>
      </c>
      <c r="M283" s="33" t="s">
        <v>165</v>
      </c>
      <c r="N283" s="33">
        <v>22.0</v>
      </c>
      <c r="O283" s="33"/>
      <c r="P283" s="33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1.28382827E8</v>
      </c>
      <c r="B284" s="33" t="s">
        <v>312</v>
      </c>
      <c r="C284" s="34">
        <v>1.1404692E7</v>
      </c>
      <c r="D284" s="34">
        <v>5689027.0</v>
      </c>
      <c r="E284" s="34">
        <v>1604666.0</v>
      </c>
      <c r="F284" s="34">
        <v>26229.0</v>
      </c>
      <c r="G284" s="34">
        <v>520858.0</v>
      </c>
      <c r="H284" s="34">
        <v>20165.0</v>
      </c>
      <c r="I284" s="34">
        <v>0.0</v>
      </c>
      <c r="J284" s="34">
        <v>9.669463233E9</v>
      </c>
      <c r="K284" s="34">
        <v>1.1244240604E10</v>
      </c>
      <c r="L284" s="34">
        <v>2107.0</v>
      </c>
      <c r="M284" s="33" t="s">
        <v>94</v>
      </c>
      <c r="N284" s="33">
        <v>24.0</v>
      </c>
      <c r="O284" s="33"/>
      <c r="P284" s="33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1.53291798E8</v>
      </c>
      <c r="B285" s="33" t="s">
        <v>475</v>
      </c>
      <c r="C285" s="34">
        <v>1.1353977E7</v>
      </c>
      <c r="D285" s="34">
        <v>642634.0</v>
      </c>
      <c r="E285" s="34">
        <v>795534.0</v>
      </c>
      <c r="F285" s="34">
        <v>15153.0</v>
      </c>
      <c r="G285" s="34">
        <v>24911.0</v>
      </c>
      <c r="H285" s="34">
        <v>2253.0</v>
      </c>
      <c r="I285" s="34">
        <v>0.0</v>
      </c>
      <c r="J285" s="34">
        <v>8.795077936E9</v>
      </c>
      <c r="K285" s="34">
        <v>8.253256769E9</v>
      </c>
      <c r="L285" s="34">
        <v>2428.0</v>
      </c>
      <c r="M285" s="33" t="s">
        <v>66</v>
      </c>
      <c r="N285" s="33">
        <v>23.0</v>
      </c>
      <c r="O285" s="33"/>
      <c r="P285" s="33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1.43566987E8</v>
      </c>
      <c r="B286" s="33" t="s">
        <v>476</v>
      </c>
      <c r="C286" s="34">
        <v>1.1291618E7</v>
      </c>
      <c r="D286" s="34">
        <v>8883694.0</v>
      </c>
      <c r="E286" s="34">
        <v>822911.0</v>
      </c>
      <c r="F286" s="34">
        <v>517584.0</v>
      </c>
      <c r="G286" s="34">
        <v>382774.0</v>
      </c>
      <c r="H286" s="34">
        <v>148852.0</v>
      </c>
      <c r="I286" s="34">
        <v>0.0</v>
      </c>
      <c r="J286" s="34">
        <v>6.65822284E8</v>
      </c>
      <c r="K286" s="34">
        <v>1.18868156E8</v>
      </c>
      <c r="L286" s="34">
        <v>10243.0</v>
      </c>
      <c r="M286" s="33" t="s">
        <v>66</v>
      </c>
      <c r="N286" s="33">
        <v>24.0</v>
      </c>
      <c r="O286" s="33"/>
      <c r="P286" s="33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1.83887182E8</v>
      </c>
      <c r="B287" s="33" t="s">
        <v>313</v>
      </c>
      <c r="C287" s="34">
        <v>1.1266667E7</v>
      </c>
      <c r="D287" s="34">
        <v>2537211.0</v>
      </c>
      <c r="E287" s="34">
        <v>800103.0</v>
      </c>
      <c r="F287" s="34">
        <v>4358.0</v>
      </c>
      <c r="G287" s="34">
        <v>234472.0</v>
      </c>
      <c r="H287" s="34">
        <v>7693.0</v>
      </c>
      <c r="I287" s="34">
        <v>0.0</v>
      </c>
      <c r="J287" s="34">
        <v>2.663209098E9</v>
      </c>
      <c r="K287" s="34">
        <v>9.3810346E8</v>
      </c>
      <c r="L287" s="34">
        <v>1097.0</v>
      </c>
      <c r="M287" s="33" t="s">
        <v>153</v>
      </c>
      <c r="N287" s="33">
        <v>24.0</v>
      </c>
      <c r="O287" s="33"/>
      <c r="P287" s="33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1">
        <v>1.84527302E8</v>
      </c>
      <c r="B288" s="31" t="s">
        <v>304</v>
      </c>
      <c r="C288" s="32">
        <v>1.1143272E7</v>
      </c>
      <c r="D288" s="32">
        <v>67130.0</v>
      </c>
      <c r="E288" s="32">
        <v>67634.0</v>
      </c>
      <c r="F288" s="32">
        <v>0.0</v>
      </c>
      <c r="G288" s="32">
        <v>1877.0</v>
      </c>
      <c r="H288" s="32">
        <v>2418.0</v>
      </c>
      <c r="I288" s="32">
        <v>0.0</v>
      </c>
      <c r="J288" s="32">
        <v>2.247488118E9</v>
      </c>
      <c r="K288" s="32">
        <v>5.246275642E9</v>
      </c>
      <c r="L288" s="32">
        <v>574.0</v>
      </c>
      <c r="M288" s="31" t="s">
        <v>153</v>
      </c>
      <c r="N288" s="31">
        <v>25.0</v>
      </c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6.9287686E7</v>
      </c>
      <c r="B289" s="33" t="s">
        <v>316</v>
      </c>
      <c r="C289" s="34">
        <v>1.1121293E7</v>
      </c>
      <c r="D289" s="34">
        <v>2027902.0</v>
      </c>
      <c r="E289" s="34">
        <v>235658.0</v>
      </c>
      <c r="F289" s="34">
        <v>457711.0</v>
      </c>
      <c r="G289" s="34">
        <v>39331.0</v>
      </c>
      <c r="H289" s="34">
        <v>0.0</v>
      </c>
      <c r="I289" s="34">
        <v>0.0</v>
      </c>
      <c r="J289" s="34">
        <v>6.06178772E9</v>
      </c>
      <c r="K289" s="34">
        <v>5.396044102E9</v>
      </c>
      <c r="L289" s="34">
        <v>3851.0</v>
      </c>
      <c r="M289" s="33" t="s">
        <v>94</v>
      </c>
      <c r="N289" s="33">
        <v>24.0</v>
      </c>
      <c r="O289" s="33"/>
      <c r="P289" s="33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3.1303775E7</v>
      </c>
      <c r="B290" s="33" t="s">
        <v>311</v>
      </c>
      <c r="C290" s="34">
        <v>1.1119935E7</v>
      </c>
      <c r="D290" s="34">
        <v>8644167.0</v>
      </c>
      <c r="E290" s="34">
        <v>1667127.0</v>
      </c>
      <c r="F290" s="34">
        <v>297318.0</v>
      </c>
      <c r="G290" s="34">
        <v>388443.0</v>
      </c>
      <c r="H290" s="34">
        <v>111080.0</v>
      </c>
      <c r="I290" s="34">
        <v>0.0</v>
      </c>
      <c r="J290" s="34">
        <v>4.088717654E9</v>
      </c>
      <c r="K290" s="34">
        <v>6.02326523E9</v>
      </c>
      <c r="L290" s="34">
        <v>1822.0</v>
      </c>
      <c r="M290" s="33" t="s">
        <v>153</v>
      </c>
      <c r="N290" s="33">
        <v>24.0</v>
      </c>
      <c r="O290" s="33"/>
      <c r="P290" s="33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1.72734416E8</v>
      </c>
      <c r="B291" s="33" t="s">
        <v>512</v>
      </c>
      <c r="C291" s="34">
        <v>1.1015819E7</v>
      </c>
      <c r="D291" s="34">
        <v>1320.0</v>
      </c>
      <c r="E291" s="34">
        <v>0.0</v>
      </c>
      <c r="F291" s="34">
        <v>3043.0</v>
      </c>
      <c r="G291" s="34">
        <v>0.0</v>
      </c>
      <c r="H291" s="34">
        <v>0.0</v>
      </c>
      <c r="I291" s="34">
        <v>0.0</v>
      </c>
      <c r="J291" s="34">
        <v>3.04305782E8</v>
      </c>
      <c r="K291" s="34">
        <v>2.33201495E8</v>
      </c>
      <c r="L291" s="34">
        <v>1283.0</v>
      </c>
      <c r="M291" s="33" t="s">
        <v>66</v>
      </c>
      <c r="N291" s="33">
        <v>23.0</v>
      </c>
      <c r="O291" s="33"/>
      <c r="P291" s="33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1.85532677E8</v>
      </c>
      <c r="B292" s="33" t="s">
        <v>477</v>
      </c>
      <c r="C292" s="34">
        <v>1.0957062E7</v>
      </c>
      <c r="D292" s="34">
        <v>645314.0</v>
      </c>
      <c r="E292" s="34">
        <v>77403.0</v>
      </c>
      <c r="F292" s="34">
        <v>59584.0</v>
      </c>
      <c r="G292" s="34">
        <v>9225.0</v>
      </c>
      <c r="H292" s="34">
        <v>3801.0</v>
      </c>
      <c r="I292" s="34">
        <v>0.0</v>
      </c>
      <c r="J292" s="34">
        <v>1.86008243E9</v>
      </c>
      <c r="K292" s="34">
        <v>572583.0</v>
      </c>
      <c r="L292" s="34">
        <v>3069.0</v>
      </c>
      <c r="M292" s="33" t="s">
        <v>94</v>
      </c>
      <c r="N292" s="33">
        <v>23.0</v>
      </c>
      <c r="O292" s="33"/>
      <c r="P292" s="33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9.9531415E7</v>
      </c>
      <c r="B293" s="33" t="s">
        <v>392</v>
      </c>
      <c r="C293" s="34">
        <v>1.0863732E7</v>
      </c>
      <c r="D293" s="34">
        <v>7180678.0</v>
      </c>
      <c r="E293" s="34">
        <v>1583779.0</v>
      </c>
      <c r="F293" s="34">
        <v>549491.0</v>
      </c>
      <c r="G293" s="34">
        <v>192250.0</v>
      </c>
      <c r="H293" s="34">
        <v>89047.0</v>
      </c>
      <c r="I293" s="34">
        <v>0.0</v>
      </c>
      <c r="J293" s="34">
        <v>9.06363485E8</v>
      </c>
      <c r="K293" s="34">
        <v>1.0635596E7</v>
      </c>
      <c r="L293" s="34">
        <v>2697.0</v>
      </c>
      <c r="M293" s="33" t="s">
        <v>66</v>
      </c>
      <c r="N293" s="33">
        <v>23.0</v>
      </c>
      <c r="O293" s="33"/>
      <c r="P293" s="33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1.59650107E8</v>
      </c>
      <c r="B294" s="33" t="s">
        <v>319</v>
      </c>
      <c r="C294" s="34">
        <v>1.0659666E7</v>
      </c>
      <c r="D294" s="34">
        <v>1536602.0</v>
      </c>
      <c r="E294" s="34">
        <v>1041916.0</v>
      </c>
      <c r="F294" s="34">
        <v>7593.0</v>
      </c>
      <c r="G294" s="34">
        <v>41874.0</v>
      </c>
      <c r="H294" s="34">
        <v>55798.0</v>
      </c>
      <c r="I294" s="34">
        <v>0.0</v>
      </c>
      <c r="J294" s="34">
        <v>3.839294585E9</v>
      </c>
      <c r="K294" s="34">
        <v>6.306110993E9</v>
      </c>
      <c r="L294" s="34">
        <v>1033.0</v>
      </c>
      <c r="M294" s="33" t="s">
        <v>153</v>
      </c>
      <c r="N294" s="33">
        <v>22.0</v>
      </c>
      <c r="O294" s="33"/>
      <c r="P294" s="33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2.02638038E8</v>
      </c>
      <c r="B295" s="33" t="s">
        <v>322</v>
      </c>
      <c r="C295" s="34">
        <v>1.0495334E7</v>
      </c>
      <c r="D295" s="34">
        <v>145261.0</v>
      </c>
      <c r="E295" s="34">
        <v>30575.0</v>
      </c>
      <c r="F295" s="34">
        <v>456.0</v>
      </c>
      <c r="G295" s="34">
        <v>829.0</v>
      </c>
      <c r="H295" s="34">
        <v>6844.0</v>
      </c>
      <c r="I295" s="34">
        <v>0.0</v>
      </c>
      <c r="J295" s="34">
        <v>4.789965982E9</v>
      </c>
      <c r="K295" s="34">
        <v>1.965616847E9</v>
      </c>
      <c r="L295" s="34">
        <v>759.0</v>
      </c>
      <c r="M295" s="33" t="s">
        <v>165</v>
      </c>
      <c r="N295" s="33">
        <v>23.0</v>
      </c>
      <c r="O295" s="33"/>
      <c r="P295" s="33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1.44105648E8</v>
      </c>
      <c r="B296" s="33" t="s">
        <v>513</v>
      </c>
      <c r="C296" s="34">
        <v>1.0425678E7</v>
      </c>
      <c r="D296" s="34">
        <v>1076207.0</v>
      </c>
      <c r="E296" s="34">
        <v>981717.0</v>
      </c>
      <c r="F296" s="34">
        <v>41387.0</v>
      </c>
      <c r="G296" s="34">
        <v>11955.0</v>
      </c>
      <c r="H296" s="34">
        <v>39204.0</v>
      </c>
      <c r="I296" s="34">
        <v>0.0</v>
      </c>
      <c r="J296" s="34">
        <v>1.103599736E9</v>
      </c>
      <c r="K296" s="34">
        <v>0.0</v>
      </c>
      <c r="L296" s="34">
        <v>793.0</v>
      </c>
      <c r="M296" s="33" t="s">
        <v>66</v>
      </c>
      <c r="N296" s="33">
        <v>24.0</v>
      </c>
      <c r="O296" s="33"/>
      <c r="P296" s="33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1.66124388E8</v>
      </c>
      <c r="B297" s="33" t="s">
        <v>323</v>
      </c>
      <c r="C297" s="34">
        <v>1.0425622E7</v>
      </c>
      <c r="D297" s="34">
        <v>2289901.0</v>
      </c>
      <c r="E297" s="34">
        <v>910305.0</v>
      </c>
      <c r="F297" s="34">
        <v>71285.0</v>
      </c>
      <c r="G297" s="34">
        <v>187987.0</v>
      </c>
      <c r="H297" s="34">
        <v>18297.0</v>
      </c>
      <c r="I297" s="34">
        <v>0.0</v>
      </c>
      <c r="J297" s="34">
        <v>3.990603994E9</v>
      </c>
      <c r="K297" s="34">
        <v>2.79174755E9</v>
      </c>
      <c r="L297" s="34">
        <v>1541.0</v>
      </c>
      <c r="M297" s="33" t="s">
        <v>94</v>
      </c>
      <c r="N297" s="33">
        <v>23.0</v>
      </c>
      <c r="O297" s="33"/>
      <c r="P297" s="33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1.71233186E8</v>
      </c>
      <c r="B298" s="33" t="s">
        <v>329</v>
      </c>
      <c r="C298" s="34">
        <v>1.0239776E7</v>
      </c>
      <c r="D298" s="34">
        <v>971104.0</v>
      </c>
      <c r="E298" s="34">
        <v>4667.0</v>
      </c>
      <c r="F298" s="34">
        <v>0.0</v>
      </c>
      <c r="G298" s="34">
        <v>90418.0</v>
      </c>
      <c r="H298" s="34">
        <v>2023.0</v>
      </c>
      <c r="I298" s="34">
        <v>0.0</v>
      </c>
      <c r="J298" s="34">
        <v>8.661750561E9</v>
      </c>
      <c r="K298" s="34">
        <v>6.46264768E9</v>
      </c>
      <c r="L298" s="34">
        <v>2127.0</v>
      </c>
      <c r="M298" s="33" t="s">
        <v>153</v>
      </c>
      <c r="N298" s="33">
        <v>23.0</v>
      </c>
      <c r="O298" s="33"/>
      <c r="P298" s="33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1.73868631E8</v>
      </c>
      <c r="B299" s="33" t="s">
        <v>291</v>
      </c>
      <c r="C299" s="34">
        <v>1.0224686E7</v>
      </c>
      <c r="D299" s="34">
        <v>994926.0</v>
      </c>
      <c r="E299" s="34">
        <v>242253.0</v>
      </c>
      <c r="F299" s="34">
        <v>19361.0</v>
      </c>
      <c r="G299" s="34">
        <v>3755.0</v>
      </c>
      <c r="H299" s="34">
        <v>0.0</v>
      </c>
      <c r="I299" s="34">
        <v>0.0</v>
      </c>
      <c r="J299" s="34">
        <v>6.1677344E9</v>
      </c>
      <c r="K299" s="34">
        <v>9.65895874E9</v>
      </c>
      <c r="L299" s="34">
        <v>2392.0</v>
      </c>
      <c r="M299" s="33" t="s">
        <v>94</v>
      </c>
      <c r="N299" s="33">
        <v>22.0</v>
      </c>
      <c r="O299" s="33"/>
      <c r="P299" s="33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1.91592529E8</v>
      </c>
      <c r="B300" s="33" t="s">
        <v>514</v>
      </c>
      <c r="C300" s="34">
        <v>1.0138494E7</v>
      </c>
      <c r="D300" s="34">
        <v>1.2856829E7</v>
      </c>
      <c r="E300" s="34">
        <v>1724797.0</v>
      </c>
      <c r="F300" s="34">
        <v>799986.0</v>
      </c>
      <c r="G300" s="34">
        <v>818352.0</v>
      </c>
      <c r="H300" s="34">
        <v>90639.0</v>
      </c>
      <c r="I300" s="34">
        <v>0.0</v>
      </c>
      <c r="J300" s="34">
        <v>8.96304282E8</v>
      </c>
      <c r="K300" s="34">
        <v>1.48087262E8</v>
      </c>
      <c r="L300" s="34">
        <v>2637.0</v>
      </c>
      <c r="M300" s="33" t="s">
        <v>124</v>
      </c>
      <c r="N300" s="33">
        <v>24.0</v>
      </c>
      <c r="O300" s="33"/>
      <c r="P300" s="33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1.53741092E8</v>
      </c>
      <c r="B301" s="33" t="s">
        <v>328</v>
      </c>
      <c r="C301" s="34">
        <v>1.008164E7</v>
      </c>
      <c r="D301" s="34">
        <v>2348401.0</v>
      </c>
      <c r="E301" s="34">
        <v>533005.0</v>
      </c>
      <c r="F301" s="34">
        <v>250069.0</v>
      </c>
      <c r="G301" s="34">
        <v>100259.0</v>
      </c>
      <c r="H301" s="34">
        <v>0.0</v>
      </c>
      <c r="I301" s="34">
        <v>0.0</v>
      </c>
      <c r="J301" s="34">
        <v>1.211588106E9</v>
      </c>
      <c r="K301" s="34">
        <v>8.08909335E8</v>
      </c>
      <c r="L301" s="34">
        <v>6481.0</v>
      </c>
      <c r="M301" s="33" t="s">
        <v>94</v>
      </c>
      <c r="N301" s="33">
        <v>23.0</v>
      </c>
      <c r="O301" s="33"/>
      <c r="P301" s="33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L302" si="1">SUM(C2:C301)</f>
        <v>12065650427</v>
      </c>
      <c r="D302" s="36">
        <f t="shared" si="1"/>
        <v>133399030773</v>
      </c>
      <c r="E302" s="36">
        <f t="shared" si="1"/>
        <v>1571952663</v>
      </c>
      <c r="F302" s="36">
        <f t="shared" si="1"/>
        <v>2787423295</v>
      </c>
      <c r="G302" s="36">
        <f t="shared" si="1"/>
        <v>4732453746</v>
      </c>
      <c r="H302" s="36">
        <f t="shared" si="1"/>
        <v>4171556907</v>
      </c>
      <c r="I302" s="36">
        <f t="shared" si="1"/>
        <v>8340386</v>
      </c>
      <c r="J302" s="36">
        <f t="shared" si="1"/>
        <v>2810275629528</v>
      </c>
      <c r="K302" s="36">
        <f t="shared" si="1"/>
        <v>1681776274676</v>
      </c>
      <c r="L302" s="36">
        <f t="shared" si="1"/>
        <v>8617634</v>
      </c>
      <c r="M302" s="35"/>
      <c r="N302" s="35">
        <f>COUNT(N2:N301)</f>
        <v>300</v>
      </c>
      <c r="O302" s="35"/>
      <c r="P302" s="35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N2:N301, "25")</f>
        <v>10913196282</v>
      </c>
      <c r="D303" s="38">
        <f>SUMIFS(D2:D301, N2:N301, "25")</f>
        <v>133185732701</v>
      </c>
      <c r="E303" s="38">
        <f>SUMIFS(E2:E301, N2:N301, "25")</f>
        <v>1520651081</v>
      </c>
      <c r="F303" s="38">
        <f>SUMIFS(F2:F301, N2:N301, "25")</f>
        <v>2778954281</v>
      </c>
      <c r="G303" s="38">
        <f>SUMIFS(G2:G301, N2:N301, "25")</f>
        <v>4720355259</v>
      </c>
      <c r="H303" s="38">
        <f>SUMIFS(H2:H301, N2:N301, "25")</f>
        <v>4169143435</v>
      </c>
      <c r="I303" s="38">
        <f>SUMIFS(I2:I301, N2:N301, "25")</f>
        <v>8340386</v>
      </c>
      <c r="J303" s="38">
        <f>SUMIFS(J2:J301, N2:N301, "25")</f>
        <v>2377878039209</v>
      </c>
      <c r="K303" s="38">
        <f>SUMIFS(K2:K301, N2:N301, "25")</f>
        <v>1351616556245</v>
      </c>
      <c r="L303" s="38">
        <f>SUMIFS(L2:L301,N2:N301, "25")</f>
        <v>8443018</v>
      </c>
      <c r="M303" s="37" t="s">
        <v>363</v>
      </c>
      <c r="N303" s="37">
        <f>COUNTIF(N2:N301,"25")</f>
        <v>224</v>
      </c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14"/>
    <col customWidth="1" min="2" max="2" width="22.14"/>
    <col customWidth="1" min="3" max="11" width="19.0"/>
    <col customWidth="1" min="12" max="12" width="9.86"/>
    <col customWidth="1" min="13" max="13" width="24.0"/>
    <col customWidth="1" min="14" max="14" width="13.71"/>
    <col customWidth="1" min="15" max="15" width="13.57"/>
    <col customWidth="1" min="16" max="16" width="73.0"/>
    <col customWidth="1" min="17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58</v>
      </c>
      <c r="G1" s="29" t="s">
        <v>8</v>
      </c>
      <c r="H1" s="29" t="s">
        <v>9</v>
      </c>
      <c r="I1" s="29" t="s">
        <v>10</v>
      </c>
      <c r="J1" s="29" t="s">
        <v>11</v>
      </c>
      <c r="K1" s="29" t="s">
        <v>12</v>
      </c>
      <c r="L1" s="29" t="s">
        <v>13</v>
      </c>
      <c r="M1" s="28" t="s">
        <v>14</v>
      </c>
      <c r="N1" s="28" t="s">
        <v>15</v>
      </c>
      <c r="O1" s="28" t="s">
        <v>59</v>
      </c>
      <c r="P1" s="28" t="s">
        <v>60</v>
      </c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1.10170541E8</v>
      </c>
      <c r="D2" s="32">
        <v>2.76109883E9</v>
      </c>
      <c r="E2" s="32">
        <v>1.4144639E7</v>
      </c>
      <c r="F2" s="32">
        <v>1.1403E7</v>
      </c>
      <c r="G2" s="32">
        <v>5.8335189E7</v>
      </c>
      <c r="H2" s="32">
        <v>1.08405411E8</v>
      </c>
      <c r="I2" s="32">
        <v>0.0</v>
      </c>
      <c r="J2" s="32">
        <v>1.72352458E10</v>
      </c>
      <c r="K2" s="32">
        <v>2.095967435E9</v>
      </c>
      <c r="L2" s="32">
        <v>76428.0</v>
      </c>
      <c r="M2" s="31" t="s">
        <v>147</v>
      </c>
      <c r="N2" s="31">
        <v>25.0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1.45408006E8</v>
      </c>
      <c r="B3" s="31" t="s">
        <v>36</v>
      </c>
      <c r="C3" s="32">
        <v>9.7570636E7</v>
      </c>
      <c r="D3" s="32">
        <v>1.256766825E9</v>
      </c>
      <c r="E3" s="32">
        <v>1.2985725E7</v>
      </c>
      <c r="F3" s="32">
        <v>1.19561949E8</v>
      </c>
      <c r="G3" s="32">
        <v>3.755526E7</v>
      </c>
      <c r="H3" s="32">
        <v>4.2373187E7</v>
      </c>
      <c r="I3" s="32">
        <v>0.0</v>
      </c>
      <c r="J3" s="32">
        <v>1.2616069498E10</v>
      </c>
      <c r="K3" s="32">
        <v>9.7148239E7</v>
      </c>
      <c r="L3" s="32">
        <v>31572.0</v>
      </c>
      <c r="M3" s="31" t="s">
        <v>34</v>
      </c>
      <c r="N3" s="31">
        <v>25.0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6.496634E7</v>
      </c>
      <c r="B4" s="31" t="s">
        <v>35</v>
      </c>
      <c r="C4" s="32">
        <v>9.656093E7</v>
      </c>
      <c r="D4" s="32">
        <v>4.389523123E9</v>
      </c>
      <c r="E4" s="32">
        <v>1.8647843E7</v>
      </c>
      <c r="F4" s="32">
        <v>2.3411497E7</v>
      </c>
      <c r="G4" s="32">
        <v>7.6167772E7</v>
      </c>
      <c r="H4" s="32">
        <v>1.80756751E8</v>
      </c>
      <c r="I4" s="32">
        <v>0.0</v>
      </c>
      <c r="J4" s="32">
        <v>3.8523999514E10</v>
      </c>
      <c r="K4" s="32">
        <v>1.4447507139E10</v>
      </c>
      <c r="L4" s="32">
        <v>140765.0</v>
      </c>
      <c r="M4" s="31" t="s">
        <v>34</v>
      </c>
      <c r="N4" s="31">
        <v>25.0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6.2576249E7</v>
      </c>
      <c r="B5" s="31" t="s">
        <v>37</v>
      </c>
      <c r="C5" s="32">
        <v>9.3677938E7</v>
      </c>
      <c r="D5" s="32">
        <v>3.430140579E9</v>
      </c>
      <c r="E5" s="32">
        <v>2.199455E7</v>
      </c>
      <c r="F5" s="32">
        <v>1.36769339E8</v>
      </c>
      <c r="G5" s="32">
        <v>1.0218278E8</v>
      </c>
      <c r="H5" s="32">
        <v>1.16336781E8</v>
      </c>
      <c r="I5" s="32">
        <v>0.0</v>
      </c>
      <c r="J5" s="32">
        <v>2.8206990072E10</v>
      </c>
      <c r="K5" s="32">
        <v>3.3189364731E10</v>
      </c>
      <c r="L5" s="32">
        <v>157519.0</v>
      </c>
      <c r="M5" s="31" t="s">
        <v>34</v>
      </c>
      <c r="N5" s="31">
        <v>25.0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6.7873337E7</v>
      </c>
      <c r="B6" s="31" t="s">
        <v>488</v>
      </c>
      <c r="C6" s="32">
        <v>8.8547181E7</v>
      </c>
      <c r="D6" s="32">
        <v>9.72508615E8</v>
      </c>
      <c r="E6" s="32">
        <v>1.0618651E7</v>
      </c>
      <c r="F6" s="32">
        <v>1.5193878E7</v>
      </c>
      <c r="G6" s="32">
        <v>5.4827218E7</v>
      </c>
      <c r="H6" s="32">
        <v>1.8803796E7</v>
      </c>
      <c r="I6" s="32">
        <v>1441005.0</v>
      </c>
      <c r="J6" s="32">
        <v>1.4104904164E10</v>
      </c>
      <c r="K6" s="32">
        <v>3.1382065312E10</v>
      </c>
      <c r="L6" s="32">
        <v>78979.0</v>
      </c>
      <c r="M6" s="31" t="s">
        <v>34</v>
      </c>
      <c r="N6" s="31">
        <v>25.0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1.1409556E7</v>
      </c>
      <c r="B7" s="31" t="s">
        <v>402</v>
      </c>
      <c r="C7" s="32">
        <v>8.8248871E7</v>
      </c>
      <c r="D7" s="32">
        <v>5.73520685E8</v>
      </c>
      <c r="E7" s="32">
        <v>1.4892721E7</v>
      </c>
      <c r="F7" s="32">
        <v>1.9002385E7</v>
      </c>
      <c r="G7" s="32">
        <v>3.0738755E7</v>
      </c>
      <c r="H7" s="32">
        <v>1.2428196E7</v>
      </c>
      <c r="I7" s="32">
        <v>0.0</v>
      </c>
      <c r="J7" s="32">
        <v>1.5712726159E10</v>
      </c>
      <c r="K7" s="32">
        <v>5.766935771E9</v>
      </c>
      <c r="L7" s="32">
        <v>86697.0</v>
      </c>
      <c r="M7" s="31" t="s">
        <v>34</v>
      </c>
      <c r="N7" s="31">
        <v>25.0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1.71934536E8</v>
      </c>
      <c r="B8" s="31" t="s">
        <v>61</v>
      </c>
      <c r="C8" s="32">
        <v>8.774402E7</v>
      </c>
      <c r="D8" s="32">
        <v>6.86911268E8</v>
      </c>
      <c r="E8" s="32">
        <v>2221644.0</v>
      </c>
      <c r="F8" s="32">
        <v>2.2195584E7</v>
      </c>
      <c r="G8" s="32">
        <v>2.4148641E7</v>
      </c>
      <c r="H8" s="32">
        <v>2.0676569E7</v>
      </c>
      <c r="I8" s="32">
        <v>0.0</v>
      </c>
      <c r="J8" s="32">
        <v>1.5563348025E10</v>
      </c>
      <c r="K8" s="32">
        <v>9.58710757E8</v>
      </c>
      <c r="L8" s="32">
        <v>47941.0</v>
      </c>
      <c r="M8" s="31" t="s">
        <v>147</v>
      </c>
      <c r="N8" s="31">
        <v>25.0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7.9650085E7</v>
      </c>
      <c r="B9" s="31" t="s">
        <v>41</v>
      </c>
      <c r="C9" s="32">
        <v>8.6691979E7</v>
      </c>
      <c r="D9" s="32">
        <v>1.864405394E9</v>
      </c>
      <c r="E9" s="32">
        <v>1.2110118E7</v>
      </c>
      <c r="F9" s="32">
        <v>3.4537502E7</v>
      </c>
      <c r="G9" s="32">
        <v>5.870709E7</v>
      </c>
      <c r="H9" s="32">
        <v>6.2755078E7</v>
      </c>
      <c r="I9" s="32">
        <v>0.0</v>
      </c>
      <c r="J9" s="32">
        <v>1.6052297151E10</v>
      </c>
      <c r="K9" s="32">
        <v>1.5131538986E10</v>
      </c>
      <c r="L9" s="32">
        <v>104677.0</v>
      </c>
      <c r="M9" s="31" t="s">
        <v>34</v>
      </c>
      <c r="N9" s="31">
        <v>25.0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1.03336195E8</v>
      </c>
      <c r="B10" s="31" t="s">
        <v>38</v>
      </c>
      <c r="C10" s="32">
        <v>8.6297136E7</v>
      </c>
      <c r="D10" s="32">
        <v>3.99326181E9</v>
      </c>
      <c r="E10" s="32">
        <v>1.8794569E7</v>
      </c>
      <c r="F10" s="32">
        <v>5.4643392E7</v>
      </c>
      <c r="G10" s="32">
        <v>1.27565565E8</v>
      </c>
      <c r="H10" s="32">
        <v>1.34012119E8</v>
      </c>
      <c r="I10" s="32">
        <v>0.0</v>
      </c>
      <c r="J10" s="32">
        <v>1.5889358269E10</v>
      </c>
      <c r="K10" s="32">
        <v>3.3782410358E10</v>
      </c>
      <c r="L10" s="32">
        <v>128928.0</v>
      </c>
      <c r="M10" s="31" t="s">
        <v>440</v>
      </c>
      <c r="N10" s="31">
        <v>25.0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6.2691192E7</v>
      </c>
      <c r="B11" s="31" t="s">
        <v>43</v>
      </c>
      <c r="C11" s="32">
        <v>8.61434E7</v>
      </c>
      <c r="D11" s="32">
        <v>4.61652502E8</v>
      </c>
      <c r="E11" s="32">
        <v>1.8223195E7</v>
      </c>
      <c r="F11" s="32">
        <v>1337411.0</v>
      </c>
      <c r="G11" s="32">
        <v>1.0280481E7</v>
      </c>
      <c r="H11" s="32">
        <v>1.7745909E7</v>
      </c>
      <c r="I11" s="32">
        <v>0.0</v>
      </c>
      <c r="J11" s="32">
        <v>2.0840815771E10</v>
      </c>
      <c r="K11" s="32">
        <v>6.538529315E9</v>
      </c>
      <c r="L11" s="32">
        <v>85786.0</v>
      </c>
      <c r="M11" s="31" t="s">
        <v>34</v>
      </c>
      <c r="N11" s="31">
        <v>25.0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1.1726598E7</v>
      </c>
      <c r="B12" s="31" t="s">
        <v>42</v>
      </c>
      <c r="C12" s="32">
        <v>8.4488161E7</v>
      </c>
      <c r="D12" s="32">
        <v>8.091828324E9</v>
      </c>
      <c r="E12" s="32">
        <v>2.8150649E7</v>
      </c>
      <c r="F12" s="32">
        <v>8.4598414E7</v>
      </c>
      <c r="G12" s="32">
        <v>2.11464435E8</v>
      </c>
      <c r="H12" s="32">
        <v>2.94751875E8</v>
      </c>
      <c r="I12" s="32">
        <v>3821128.0</v>
      </c>
      <c r="J12" s="32">
        <v>2.3352128155E10</v>
      </c>
      <c r="K12" s="32">
        <v>3.0857472756E10</v>
      </c>
      <c r="L12" s="32">
        <v>170350.0</v>
      </c>
      <c r="M12" s="31" t="s">
        <v>34</v>
      </c>
      <c r="N12" s="31">
        <v>25.0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2463403.0</v>
      </c>
      <c r="B13" s="31" t="s">
        <v>39</v>
      </c>
      <c r="C13" s="32">
        <v>8.3289877E7</v>
      </c>
      <c r="D13" s="32">
        <v>7.360126105E9</v>
      </c>
      <c r="E13" s="32">
        <v>4.0544987E7</v>
      </c>
      <c r="F13" s="32">
        <v>3.0412616E7</v>
      </c>
      <c r="G13" s="32">
        <v>2.00333134E8</v>
      </c>
      <c r="H13" s="32">
        <v>2.65876795E8</v>
      </c>
      <c r="I13" s="32">
        <v>0.0</v>
      </c>
      <c r="J13" s="32">
        <v>2.984985466E10</v>
      </c>
      <c r="K13" s="32">
        <v>1.0256888908E10</v>
      </c>
      <c r="L13" s="32">
        <v>271360.0</v>
      </c>
      <c r="M13" s="31" t="s">
        <v>34</v>
      </c>
      <c r="N13" s="31">
        <v>25.0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1.71879011E8</v>
      </c>
      <c r="B14" s="31" t="s">
        <v>80</v>
      </c>
      <c r="C14" s="32">
        <v>8.3005442E7</v>
      </c>
      <c r="D14" s="32">
        <v>3.27964027E8</v>
      </c>
      <c r="E14" s="32">
        <v>2684384.0</v>
      </c>
      <c r="F14" s="32">
        <v>2.7222938E7</v>
      </c>
      <c r="G14" s="32">
        <v>1.0985273E7</v>
      </c>
      <c r="H14" s="32">
        <v>1.0272311E7</v>
      </c>
      <c r="I14" s="32">
        <v>0.0</v>
      </c>
      <c r="J14" s="32">
        <v>1.4414576231E10</v>
      </c>
      <c r="K14" s="32">
        <v>1.808712272E9</v>
      </c>
      <c r="L14" s="32">
        <v>49871.0</v>
      </c>
      <c r="M14" s="31" t="s">
        <v>147</v>
      </c>
      <c r="N14" s="31">
        <v>25.0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4.3136267E7</v>
      </c>
      <c r="B15" s="31" t="s">
        <v>65</v>
      </c>
      <c r="C15" s="32">
        <v>8.2800998E7</v>
      </c>
      <c r="D15" s="32">
        <v>2.428812804E9</v>
      </c>
      <c r="E15" s="32">
        <v>2.296527E7</v>
      </c>
      <c r="F15" s="32">
        <v>7.9807201E7</v>
      </c>
      <c r="G15" s="32">
        <v>7.3533858E7</v>
      </c>
      <c r="H15" s="32">
        <v>8.3657192E7</v>
      </c>
      <c r="I15" s="32">
        <v>0.0</v>
      </c>
      <c r="J15" s="32">
        <v>2.8375079703E10</v>
      </c>
      <c r="K15" s="32">
        <v>3.7469575604E10</v>
      </c>
      <c r="L15" s="32">
        <v>100012.0</v>
      </c>
      <c r="M15" s="31" t="s">
        <v>153</v>
      </c>
      <c r="N15" s="31">
        <v>25.0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6.4010776E7</v>
      </c>
      <c r="B16" s="31" t="s">
        <v>478</v>
      </c>
      <c r="C16" s="32">
        <v>8.2373857E7</v>
      </c>
      <c r="D16" s="32">
        <v>2.387210276E9</v>
      </c>
      <c r="E16" s="32">
        <v>1.9035238E7</v>
      </c>
      <c r="F16" s="32">
        <v>3.5104753E7</v>
      </c>
      <c r="G16" s="32">
        <v>8.0568711E7</v>
      </c>
      <c r="H16" s="32">
        <v>7.6770484E7</v>
      </c>
      <c r="I16" s="32">
        <v>0.0</v>
      </c>
      <c r="J16" s="32">
        <v>2.0412084852E10</v>
      </c>
      <c r="K16" s="32">
        <v>2.9922279846E10</v>
      </c>
      <c r="L16" s="32">
        <v>108344.0</v>
      </c>
      <c r="M16" s="31" t="s">
        <v>147</v>
      </c>
      <c r="N16" s="31">
        <v>25.0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9.8107237E7</v>
      </c>
      <c r="B17" s="31" t="s">
        <v>68</v>
      </c>
      <c r="C17" s="32">
        <v>8.2346552E7</v>
      </c>
      <c r="D17" s="32">
        <v>2.489452982E9</v>
      </c>
      <c r="E17" s="32">
        <v>1.7389056E7</v>
      </c>
      <c r="F17" s="32">
        <v>2179102.0</v>
      </c>
      <c r="G17" s="32">
        <v>6.5013672E7</v>
      </c>
      <c r="H17" s="32">
        <v>9.1752252E7</v>
      </c>
      <c r="I17" s="32">
        <v>0.0</v>
      </c>
      <c r="J17" s="32">
        <v>3.5041769324E10</v>
      </c>
      <c r="K17" s="32">
        <v>1.1477531851E10</v>
      </c>
      <c r="L17" s="32">
        <v>88513.0</v>
      </c>
      <c r="M17" s="31" t="s">
        <v>147</v>
      </c>
      <c r="N17" s="31">
        <v>25.0</v>
      </c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1.3871553E8</v>
      </c>
      <c r="B18" s="31" t="s">
        <v>62</v>
      </c>
      <c r="C18" s="32">
        <v>8.1928222E7</v>
      </c>
      <c r="D18" s="32">
        <v>8.52138081E8</v>
      </c>
      <c r="E18" s="32">
        <v>1.5433989E7</v>
      </c>
      <c r="F18" s="32">
        <v>4.9055706E7</v>
      </c>
      <c r="G18" s="32">
        <v>2.4670108E7</v>
      </c>
      <c r="H18" s="32">
        <v>2.952211E7</v>
      </c>
      <c r="I18" s="32">
        <v>0.0</v>
      </c>
      <c r="J18" s="32">
        <v>1.933140142E10</v>
      </c>
      <c r="K18" s="32">
        <v>4.647127866E9</v>
      </c>
      <c r="L18" s="32">
        <v>119873.0</v>
      </c>
      <c r="M18" s="31" t="s">
        <v>147</v>
      </c>
      <c r="N18" s="31">
        <v>25.0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6.7071592E7</v>
      </c>
      <c r="B19" s="31" t="s">
        <v>45</v>
      </c>
      <c r="C19" s="32">
        <v>8.0933026E7</v>
      </c>
      <c r="D19" s="32">
        <v>9.838198465E9</v>
      </c>
      <c r="E19" s="32">
        <v>2.9634794E7</v>
      </c>
      <c r="F19" s="32">
        <v>8.0998839E7</v>
      </c>
      <c r="G19" s="32">
        <v>3.87479045E8</v>
      </c>
      <c r="H19" s="32">
        <v>2.91241221E8</v>
      </c>
      <c r="I19" s="32">
        <v>1804833.0</v>
      </c>
      <c r="J19" s="32">
        <v>3.711946253E10</v>
      </c>
      <c r="K19" s="32">
        <v>2.5261215882E10</v>
      </c>
      <c r="L19" s="32">
        <v>229179.0</v>
      </c>
      <c r="M19" s="31" t="s">
        <v>34</v>
      </c>
      <c r="N19" s="31">
        <v>25.0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6.3222201E7</v>
      </c>
      <c r="B20" s="31" t="s">
        <v>64</v>
      </c>
      <c r="C20" s="32">
        <v>8.0760308E7</v>
      </c>
      <c r="D20" s="32">
        <v>1.922004721E9</v>
      </c>
      <c r="E20" s="32">
        <v>1.8475677E7</v>
      </c>
      <c r="F20" s="32">
        <v>2.1480436E7</v>
      </c>
      <c r="G20" s="32">
        <v>7.8931397E7</v>
      </c>
      <c r="H20" s="32">
        <v>5.5147972E7</v>
      </c>
      <c r="I20" s="32">
        <v>0.0</v>
      </c>
      <c r="J20" s="32">
        <v>3.2986177061E10</v>
      </c>
      <c r="K20" s="32">
        <v>1.1337447834E10</v>
      </c>
      <c r="L20" s="32">
        <v>81191.0</v>
      </c>
      <c r="M20" s="31" t="s">
        <v>34</v>
      </c>
      <c r="N20" s="31">
        <v>25.0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2.7578537E7</v>
      </c>
      <c r="B21" s="31" t="s">
        <v>48</v>
      </c>
      <c r="C21" s="32">
        <v>8.0725359E7</v>
      </c>
      <c r="D21" s="32">
        <v>2.989852434E9</v>
      </c>
      <c r="E21" s="32">
        <v>2.4906584E7</v>
      </c>
      <c r="F21" s="32">
        <v>3.4697111E7</v>
      </c>
      <c r="G21" s="32">
        <v>1.02774582E8</v>
      </c>
      <c r="H21" s="32">
        <v>9.6267501E7</v>
      </c>
      <c r="I21" s="32">
        <v>0.0</v>
      </c>
      <c r="J21" s="32">
        <v>2.5513620675E10</v>
      </c>
      <c r="K21" s="32">
        <v>3.3526939303E10</v>
      </c>
      <c r="L21" s="32">
        <v>104211.0</v>
      </c>
      <c r="M21" s="31" t="s">
        <v>34</v>
      </c>
      <c r="N21" s="31">
        <v>25.0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7.7394861E7</v>
      </c>
      <c r="B22" s="31" t="s">
        <v>50</v>
      </c>
      <c r="C22" s="32">
        <v>7.9846829E7</v>
      </c>
      <c r="D22" s="32">
        <v>2.637994365E9</v>
      </c>
      <c r="E22" s="32">
        <v>1.72222E7</v>
      </c>
      <c r="F22" s="32">
        <v>2079335.0</v>
      </c>
      <c r="G22" s="32">
        <v>9.4778206E7</v>
      </c>
      <c r="H22" s="32">
        <v>8.4367108E7</v>
      </c>
      <c r="I22" s="32">
        <v>0.0</v>
      </c>
      <c r="J22" s="32">
        <v>2.7783302554E10</v>
      </c>
      <c r="K22" s="32">
        <v>6.5810471155E10</v>
      </c>
      <c r="L22" s="32">
        <v>184634.0</v>
      </c>
      <c r="M22" s="31" t="s">
        <v>147</v>
      </c>
      <c r="N22" s="31">
        <v>25.0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2.989016E7</v>
      </c>
      <c r="B23" s="31" t="s">
        <v>399</v>
      </c>
      <c r="C23" s="32">
        <v>7.9334072E7</v>
      </c>
      <c r="D23" s="32">
        <v>8.23828952E8</v>
      </c>
      <c r="E23" s="32">
        <v>3.0692516E7</v>
      </c>
      <c r="F23" s="32">
        <v>9.7681853E7</v>
      </c>
      <c r="G23" s="32">
        <v>3.0290243E7</v>
      </c>
      <c r="H23" s="32">
        <v>2.420865E7</v>
      </c>
      <c r="I23" s="32">
        <v>0.0</v>
      </c>
      <c r="J23" s="32">
        <v>1.9765814688E10</v>
      </c>
      <c r="K23" s="32">
        <v>5.308872359E9</v>
      </c>
      <c r="L23" s="32">
        <v>63811.0</v>
      </c>
      <c r="M23" s="31" t="s">
        <v>34</v>
      </c>
      <c r="N23" s="31">
        <v>25.0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7.1152824E7</v>
      </c>
      <c r="B24" s="31" t="s">
        <v>67</v>
      </c>
      <c r="C24" s="32">
        <v>7.9160736E7</v>
      </c>
      <c r="D24" s="32">
        <v>1.801605283E9</v>
      </c>
      <c r="E24" s="32">
        <v>1.8092842E7</v>
      </c>
      <c r="F24" s="32">
        <v>6.7889275E7</v>
      </c>
      <c r="G24" s="32">
        <v>7.2454006E7</v>
      </c>
      <c r="H24" s="32">
        <v>5.1798104E7</v>
      </c>
      <c r="I24" s="32">
        <v>313500.0</v>
      </c>
      <c r="J24" s="32">
        <v>2.4175875502E10</v>
      </c>
      <c r="K24" s="32">
        <v>1.1097140581E10</v>
      </c>
      <c r="L24" s="32">
        <v>57495.0</v>
      </c>
      <c r="M24" s="31" t="s">
        <v>147</v>
      </c>
      <c r="N24" s="31">
        <v>25.0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1.71701107E8</v>
      </c>
      <c r="B25" s="31" t="s">
        <v>73</v>
      </c>
      <c r="C25" s="32">
        <v>7.7542394E7</v>
      </c>
      <c r="D25" s="32">
        <v>5.07327159E8</v>
      </c>
      <c r="E25" s="32">
        <v>2952910.0</v>
      </c>
      <c r="F25" s="32">
        <v>5719228.0</v>
      </c>
      <c r="G25" s="32">
        <v>1.8091725E7</v>
      </c>
      <c r="H25" s="32">
        <v>1.6068903E7</v>
      </c>
      <c r="I25" s="32">
        <v>0.0</v>
      </c>
      <c r="J25" s="32">
        <v>1.0084206093E10</v>
      </c>
      <c r="K25" s="32">
        <v>3.514918782E9</v>
      </c>
      <c r="L25" s="32">
        <v>25700.0</v>
      </c>
      <c r="M25" s="31" t="s">
        <v>34</v>
      </c>
      <c r="N25" s="31">
        <v>25.0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1.15125159E8</v>
      </c>
      <c r="B26" s="31" t="s">
        <v>400</v>
      </c>
      <c r="C26" s="32">
        <v>7.735982E7</v>
      </c>
      <c r="D26" s="32">
        <v>5.94789591E8</v>
      </c>
      <c r="E26" s="32">
        <v>1.0109587E7</v>
      </c>
      <c r="F26" s="32">
        <v>2309595.0</v>
      </c>
      <c r="G26" s="32">
        <v>2.3098886E7</v>
      </c>
      <c r="H26" s="32">
        <v>1.7486076E7</v>
      </c>
      <c r="I26" s="32">
        <v>19919.0</v>
      </c>
      <c r="J26" s="32">
        <v>1.3050502703E10</v>
      </c>
      <c r="K26" s="32">
        <v>2.957793162E9</v>
      </c>
      <c r="L26" s="32">
        <v>50296.0</v>
      </c>
      <c r="M26" s="31" t="s">
        <v>34</v>
      </c>
      <c r="N26" s="31">
        <v>25.0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4.8741756E7</v>
      </c>
      <c r="B27" s="31" t="s">
        <v>51</v>
      </c>
      <c r="C27" s="32">
        <v>7.6705376E7</v>
      </c>
      <c r="D27" s="32">
        <v>2.897930504E9</v>
      </c>
      <c r="E27" s="32">
        <v>2.3350411E7</v>
      </c>
      <c r="F27" s="32">
        <v>6.9157322E7</v>
      </c>
      <c r="G27" s="32">
        <v>1.23068637E8</v>
      </c>
      <c r="H27" s="32">
        <v>8.1812714E7</v>
      </c>
      <c r="I27" s="32">
        <v>804578.0</v>
      </c>
      <c r="J27" s="32">
        <v>2.0302221503E10</v>
      </c>
      <c r="K27" s="32">
        <v>2.2465439519E10</v>
      </c>
      <c r="L27" s="32">
        <v>163194.0</v>
      </c>
      <c r="M27" s="31" t="s">
        <v>34</v>
      </c>
      <c r="N27" s="31">
        <v>25.0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7.4556991E7</v>
      </c>
      <c r="B28" s="31" t="s">
        <v>204</v>
      </c>
      <c r="C28" s="32">
        <v>7.6522138E7</v>
      </c>
      <c r="D28" s="32">
        <v>2.412294291E9</v>
      </c>
      <c r="E28" s="32">
        <v>1.3684356E7</v>
      </c>
      <c r="F28" s="32">
        <v>5949188.0</v>
      </c>
      <c r="G28" s="32">
        <v>5.2483713E7</v>
      </c>
      <c r="H28" s="32">
        <v>9.406656E7</v>
      </c>
      <c r="I28" s="32">
        <v>0.0</v>
      </c>
      <c r="J28" s="32">
        <v>1.8204050889E10</v>
      </c>
      <c r="K28" s="32">
        <v>5.737943886E9</v>
      </c>
      <c r="L28" s="32">
        <v>126343.0</v>
      </c>
      <c r="M28" s="31" t="s">
        <v>34</v>
      </c>
      <c r="N28" s="31">
        <v>25.0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1.44060837E8</v>
      </c>
      <c r="B29" s="31" t="s">
        <v>442</v>
      </c>
      <c r="C29" s="32">
        <v>7.62021E7</v>
      </c>
      <c r="D29" s="32">
        <v>3.8312856E8</v>
      </c>
      <c r="E29" s="32">
        <v>1.386229E7</v>
      </c>
      <c r="F29" s="32">
        <v>2831950.0</v>
      </c>
      <c r="G29" s="32">
        <v>1.2657054E7</v>
      </c>
      <c r="H29" s="32">
        <v>1.1393356E7</v>
      </c>
      <c r="I29" s="32">
        <v>0.0</v>
      </c>
      <c r="J29" s="32">
        <v>1.1619252508E10</v>
      </c>
      <c r="K29" s="32">
        <v>1.846559304E9</v>
      </c>
      <c r="L29" s="32">
        <v>52625.0</v>
      </c>
      <c r="M29" s="31" t="s">
        <v>147</v>
      </c>
      <c r="N29" s="31">
        <v>25.0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1.69461237E8</v>
      </c>
      <c r="B30" s="31" t="s">
        <v>82</v>
      </c>
      <c r="C30" s="32">
        <v>7.5210474E7</v>
      </c>
      <c r="D30" s="32">
        <v>3.74816162E8</v>
      </c>
      <c r="E30" s="32">
        <v>3971161.0</v>
      </c>
      <c r="F30" s="32">
        <v>3057052.0</v>
      </c>
      <c r="G30" s="32">
        <v>2.3104818E7</v>
      </c>
      <c r="H30" s="32">
        <v>5769663.0</v>
      </c>
      <c r="I30" s="32">
        <v>0.0</v>
      </c>
      <c r="J30" s="32">
        <v>3.349764561E9</v>
      </c>
      <c r="K30" s="32">
        <v>2.3798231616E10</v>
      </c>
      <c r="L30" s="32">
        <v>20484.0</v>
      </c>
      <c r="M30" s="31" t="s">
        <v>34</v>
      </c>
      <c r="N30" s="31">
        <v>25.0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1.6942777E8</v>
      </c>
      <c r="B31" s="31" t="s">
        <v>71</v>
      </c>
      <c r="C31" s="32">
        <v>7.5070806E7</v>
      </c>
      <c r="D31" s="32">
        <v>7.05389536E8</v>
      </c>
      <c r="E31" s="32">
        <v>8899862.0</v>
      </c>
      <c r="F31" s="32">
        <v>2437601.0</v>
      </c>
      <c r="G31" s="32">
        <v>2.5910774E7</v>
      </c>
      <c r="H31" s="32">
        <v>2.1966538E7</v>
      </c>
      <c r="I31" s="32">
        <v>0.0</v>
      </c>
      <c r="J31" s="32">
        <v>1.7971959085E10</v>
      </c>
      <c r="K31" s="32">
        <v>6.86897086E8</v>
      </c>
      <c r="L31" s="32">
        <v>106669.0</v>
      </c>
      <c r="M31" s="31" t="s">
        <v>34</v>
      </c>
      <c r="N31" s="31">
        <v>25.0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1.56479771E8</v>
      </c>
      <c r="B32" s="31" t="s">
        <v>70</v>
      </c>
      <c r="C32" s="32">
        <v>7.4681328E7</v>
      </c>
      <c r="D32" s="32">
        <v>1.564853814E9</v>
      </c>
      <c r="E32" s="32">
        <v>1.0205162E7</v>
      </c>
      <c r="F32" s="32">
        <v>4.0075233E7</v>
      </c>
      <c r="G32" s="32">
        <v>6.9410997E7</v>
      </c>
      <c r="H32" s="32">
        <v>4.1143922E7</v>
      </c>
      <c r="I32" s="32">
        <v>0.0</v>
      </c>
      <c r="J32" s="32">
        <v>1.6642817213E10</v>
      </c>
      <c r="K32" s="32">
        <v>1.0511487032E10</v>
      </c>
      <c r="L32" s="32">
        <v>96246.0</v>
      </c>
      <c r="M32" s="31" t="s">
        <v>34</v>
      </c>
      <c r="N32" s="31">
        <v>25.0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7.1613822E7</v>
      </c>
      <c r="B33" s="31" t="s">
        <v>69</v>
      </c>
      <c r="C33" s="32">
        <v>7.4372182E7</v>
      </c>
      <c r="D33" s="32">
        <v>2.096389363E9</v>
      </c>
      <c r="E33" s="32">
        <v>2.9417375E7</v>
      </c>
      <c r="F33" s="32">
        <v>4.9292757E7</v>
      </c>
      <c r="G33" s="32">
        <v>7.5533271E7</v>
      </c>
      <c r="H33" s="32">
        <v>6.5514804E7</v>
      </c>
      <c r="I33" s="32">
        <v>0.0</v>
      </c>
      <c r="J33" s="32">
        <v>2.4608650893E10</v>
      </c>
      <c r="K33" s="32">
        <v>6.537284955E9</v>
      </c>
      <c r="L33" s="32">
        <v>103742.0</v>
      </c>
      <c r="M33" s="31" t="s">
        <v>34</v>
      </c>
      <c r="N33" s="31">
        <v>25.0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1.70866748E8</v>
      </c>
      <c r="B34" s="31" t="s">
        <v>97</v>
      </c>
      <c r="C34" s="32">
        <v>7.4310863E7</v>
      </c>
      <c r="D34" s="32">
        <v>5.2781642E8</v>
      </c>
      <c r="E34" s="32">
        <v>5064860.0</v>
      </c>
      <c r="F34" s="32">
        <v>1156371.0</v>
      </c>
      <c r="G34" s="32">
        <v>8191432.0</v>
      </c>
      <c r="H34" s="32">
        <v>2.2219009E7</v>
      </c>
      <c r="I34" s="32">
        <v>0.0</v>
      </c>
      <c r="J34" s="32">
        <v>1.3881234002E10</v>
      </c>
      <c r="K34" s="32">
        <v>2.217127733E9</v>
      </c>
      <c r="L34" s="32">
        <v>32468.0</v>
      </c>
      <c r="M34" s="31" t="s">
        <v>147</v>
      </c>
      <c r="N34" s="31">
        <v>25.0</v>
      </c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1.69247313E8</v>
      </c>
      <c r="B35" s="31" t="s">
        <v>75</v>
      </c>
      <c r="C35" s="32">
        <v>7.4253151E7</v>
      </c>
      <c r="D35" s="32">
        <v>4.09455737E8</v>
      </c>
      <c r="E35" s="32">
        <v>7540826.0</v>
      </c>
      <c r="F35" s="32">
        <v>2763865.0</v>
      </c>
      <c r="G35" s="32">
        <v>1.7017986E7</v>
      </c>
      <c r="H35" s="32">
        <v>1.1084665E7</v>
      </c>
      <c r="I35" s="32">
        <v>0.0</v>
      </c>
      <c r="J35" s="32">
        <v>1.9647966061E10</v>
      </c>
      <c r="K35" s="32">
        <v>1.929731466E9</v>
      </c>
      <c r="L35" s="32">
        <v>105151.0</v>
      </c>
      <c r="M35" s="31" t="s">
        <v>34</v>
      </c>
      <c r="N35" s="31">
        <v>25.0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1.4572491E7</v>
      </c>
      <c r="B36" s="31" t="s">
        <v>46</v>
      </c>
      <c r="C36" s="32">
        <v>7.4028278E7</v>
      </c>
      <c r="D36" s="32">
        <v>7.041934438E9</v>
      </c>
      <c r="E36" s="32">
        <v>6.3318543E7</v>
      </c>
      <c r="F36" s="32">
        <v>5.6830191E7</v>
      </c>
      <c r="G36" s="32">
        <v>2.11050446E8</v>
      </c>
      <c r="H36" s="32">
        <v>2.42804049E8</v>
      </c>
      <c r="I36" s="32">
        <v>0.0</v>
      </c>
      <c r="J36" s="32">
        <v>1.9421089683E10</v>
      </c>
      <c r="K36" s="32">
        <v>4.7723874529E10</v>
      </c>
      <c r="L36" s="32">
        <v>178674.0</v>
      </c>
      <c r="M36" s="31" t="s">
        <v>34</v>
      </c>
      <c r="N36" s="31">
        <v>25.0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1.6683283E8</v>
      </c>
      <c r="B37" s="31" t="s">
        <v>489</v>
      </c>
      <c r="C37" s="32">
        <v>7.390402E7</v>
      </c>
      <c r="D37" s="32">
        <v>1.014375033E9</v>
      </c>
      <c r="E37" s="32">
        <v>3790649.0</v>
      </c>
      <c r="F37" s="32">
        <v>7929699.0</v>
      </c>
      <c r="G37" s="32">
        <v>4.83294E7</v>
      </c>
      <c r="H37" s="32">
        <v>2.5832166E7</v>
      </c>
      <c r="I37" s="32">
        <v>0.0</v>
      </c>
      <c r="J37" s="32">
        <v>1.5345779072E10</v>
      </c>
      <c r="K37" s="32">
        <v>1.367202204E9</v>
      </c>
      <c r="L37" s="32">
        <v>128563.0</v>
      </c>
      <c r="M37" s="31" t="s">
        <v>490</v>
      </c>
      <c r="N37" s="31">
        <v>25.0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1.44109282E8</v>
      </c>
      <c r="B38" s="31" t="s">
        <v>364</v>
      </c>
      <c r="C38" s="32">
        <v>7.3889981E7</v>
      </c>
      <c r="D38" s="32">
        <v>8.70214825E8</v>
      </c>
      <c r="E38" s="32">
        <v>7793661.0</v>
      </c>
      <c r="F38" s="32">
        <v>1.80520378E8</v>
      </c>
      <c r="G38" s="32">
        <v>3.681879E7</v>
      </c>
      <c r="H38" s="32">
        <v>2.299355E7</v>
      </c>
      <c r="I38" s="32">
        <v>0.0</v>
      </c>
      <c r="J38" s="32">
        <v>1.775138599E10</v>
      </c>
      <c r="K38" s="32">
        <v>4.508200002E9</v>
      </c>
      <c r="L38" s="32">
        <v>73668.0</v>
      </c>
      <c r="M38" s="31" t="s">
        <v>147</v>
      </c>
      <c r="N38" s="31">
        <v>25.0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7887352.0</v>
      </c>
      <c r="B39" s="31" t="s">
        <v>83</v>
      </c>
      <c r="C39" s="32">
        <v>7.3597846E7</v>
      </c>
      <c r="D39" s="32">
        <v>2.18393621E9</v>
      </c>
      <c r="E39" s="32">
        <v>1.6550764E7</v>
      </c>
      <c r="F39" s="32">
        <v>3.4656841E7</v>
      </c>
      <c r="G39" s="32">
        <v>7.0489234E7</v>
      </c>
      <c r="H39" s="32">
        <v>7.3362126E7</v>
      </c>
      <c r="I39" s="32">
        <v>0.0</v>
      </c>
      <c r="J39" s="32">
        <v>1.6621709645E10</v>
      </c>
      <c r="K39" s="32">
        <v>1.2713533366E10</v>
      </c>
      <c r="L39" s="32">
        <v>45861.0</v>
      </c>
      <c r="M39" s="31" t="s">
        <v>147</v>
      </c>
      <c r="N39" s="31">
        <v>25.0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1.71503078E8</v>
      </c>
      <c r="B40" s="31" t="s">
        <v>72</v>
      </c>
      <c r="C40" s="32">
        <v>7.337619E7</v>
      </c>
      <c r="D40" s="32">
        <v>1.175918462E9</v>
      </c>
      <c r="E40" s="32">
        <v>2787885.0</v>
      </c>
      <c r="F40" s="32">
        <v>1.6235741E7</v>
      </c>
      <c r="G40" s="32">
        <v>2.9664509E7</v>
      </c>
      <c r="H40" s="32">
        <v>4.2010743E7</v>
      </c>
      <c r="I40" s="32">
        <v>0.0</v>
      </c>
      <c r="J40" s="32">
        <v>1.8505610483E10</v>
      </c>
      <c r="K40" s="32">
        <v>4.69248407E9</v>
      </c>
      <c r="L40" s="32">
        <v>59451.0</v>
      </c>
      <c r="M40" s="31" t="s">
        <v>34</v>
      </c>
      <c r="N40" s="31">
        <v>25.0</v>
      </c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1.36378574E8</v>
      </c>
      <c r="B41" s="31" t="s">
        <v>401</v>
      </c>
      <c r="C41" s="32">
        <v>7.3240137E7</v>
      </c>
      <c r="D41" s="32">
        <v>5.98467976E8</v>
      </c>
      <c r="E41" s="32">
        <v>6823289.0</v>
      </c>
      <c r="F41" s="32">
        <v>5150003.0</v>
      </c>
      <c r="G41" s="32">
        <v>2.979345E7</v>
      </c>
      <c r="H41" s="32">
        <v>1.4389592E7</v>
      </c>
      <c r="I41" s="32">
        <v>0.0</v>
      </c>
      <c r="J41" s="32">
        <v>1.9493574318E10</v>
      </c>
      <c r="K41" s="32">
        <v>9.741231848E9</v>
      </c>
      <c r="L41" s="32">
        <v>27247.0</v>
      </c>
      <c r="M41" s="31" t="s">
        <v>34</v>
      </c>
      <c r="N41" s="31">
        <v>25.0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1.40009179E8</v>
      </c>
      <c r="B42" s="31" t="s">
        <v>403</v>
      </c>
      <c r="C42" s="32">
        <v>7.3144139E7</v>
      </c>
      <c r="D42" s="32">
        <v>1.039163439E9</v>
      </c>
      <c r="E42" s="32">
        <v>1.0543562E7</v>
      </c>
      <c r="F42" s="32">
        <v>2.8697919E7</v>
      </c>
      <c r="G42" s="32">
        <v>5.8790027E7</v>
      </c>
      <c r="H42" s="32">
        <v>2.1885816E7</v>
      </c>
      <c r="I42" s="32">
        <v>0.0</v>
      </c>
      <c r="J42" s="32">
        <v>1.3843978409E10</v>
      </c>
      <c r="K42" s="32">
        <v>2.648117913E9</v>
      </c>
      <c r="L42" s="32">
        <v>35720.0</v>
      </c>
      <c r="M42" s="31" t="s">
        <v>147</v>
      </c>
      <c r="N42" s="31">
        <v>25.0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1.41154852E8</v>
      </c>
      <c r="B43" s="31" t="s">
        <v>76</v>
      </c>
      <c r="C43" s="32">
        <v>7.3026801E7</v>
      </c>
      <c r="D43" s="32">
        <v>2.546941635E9</v>
      </c>
      <c r="E43" s="32">
        <v>1.1330541E7</v>
      </c>
      <c r="F43" s="32">
        <v>2.9306336E7</v>
      </c>
      <c r="G43" s="32">
        <v>1.05972843E8</v>
      </c>
      <c r="H43" s="32">
        <v>7.1945106E7</v>
      </c>
      <c r="I43" s="32">
        <v>0.0</v>
      </c>
      <c r="J43" s="32">
        <v>1.6447956558E10</v>
      </c>
      <c r="K43" s="32">
        <v>6.056357243E9</v>
      </c>
      <c r="L43" s="32">
        <v>68797.0</v>
      </c>
      <c r="M43" s="31" t="s">
        <v>34</v>
      </c>
      <c r="N43" s="31">
        <v>25.0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1.71491377E8</v>
      </c>
      <c r="B44" s="31" t="s">
        <v>84</v>
      </c>
      <c r="C44" s="32">
        <v>7.1087983E7</v>
      </c>
      <c r="D44" s="32">
        <v>4.00360745E8</v>
      </c>
      <c r="E44" s="32">
        <v>3269032.0</v>
      </c>
      <c r="F44" s="32">
        <v>3170587.0</v>
      </c>
      <c r="G44" s="32">
        <v>9838670.0</v>
      </c>
      <c r="H44" s="32">
        <v>1.497799E7</v>
      </c>
      <c r="I44" s="32">
        <v>0.0</v>
      </c>
      <c r="J44" s="32">
        <v>1.2577764937E10</v>
      </c>
      <c r="K44" s="32">
        <v>1.080422782E9</v>
      </c>
      <c r="L44" s="32">
        <v>52083.0</v>
      </c>
      <c r="M44" s="31" t="s">
        <v>34</v>
      </c>
      <c r="N44" s="31">
        <v>25.0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1.77526978E8</v>
      </c>
      <c r="B45" s="31" t="s">
        <v>74</v>
      </c>
      <c r="C45" s="32">
        <v>7.0855324E7</v>
      </c>
      <c r="D45" s="32">
        <v>9.8136386E7</v>
      </c>
      <c r="E45" s="32">
        <v>3081133.0</v>
      </c>
      <c r="F45" s="32">
        <v>6554003.0</v>
      </c>
      <c r="G45" s="32">
        <v>3514205.0</v>
      </c>
      <c r="H45" s="32">
        <v>3012640.0</v>
      </c>
      <c r="I45" s="32">
        <v>0.0</v>
      </c>
      <c r="J45" s="32">
        <v>9.120116302E9</v>
      </c>
      <c r="K45" s="32">
        <v>7.881382248E9</v>
      </c>
      <c r="L45" s="32">
        <v>24474.0</v>
      </c>
      <c r="M45" s="31" t="s">
        <v>34</v>
      </c>
      <c r="N45" s="31">
        <v>25.0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1.66497805E8</v>
      </c>
      <c r="B46" s="31" t="s">
        <v>77</v>
      </c>
      <c r="C46" s="32">
        <v>7.0826143E7</v>
      </c>
      <c r="D46" s="32">
        <v>5.58510476E8</v>
      </c>
      <c r="E46" s="32">
        <v>5287654.0</v>
      </c>
      <c r="F46" s="32">
        <v>2158221.0</v>
      </c>
      <c r="G46" s="32">
        <v>2.5730546E7</v>
      </c>
      <c r="H46" s="32">
        <v>1.4529347E7</v>
      </c>
      <c r="I46" s="32">
        <v>0.0</v>
      </c>
      <c r="J46" s="32">
        <v>1.4564326351E10</v>
      </c>
      <c r="K46" s="32">
        <v>3.56763729E8</v>
      </c>
      <c r="L46" s="32">
        <v>58954.0</v>
      </c>
      <c r="M46" s="31" t="s">
        <v>147</v>
      </c>
      <c r="N46" s="31">
        <v>25.0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1.72021868E8</v>
      </c>
      <c r="B47" s="31" t="s">
        <v>81</v>
      </c>
      <c r="C47" s="32">
        <v>7.050588E7</v>
      </c>
      <c r="D47" s="32">
        <v>7.52407454E8</v>
      </c>
      <c r="E47" s="32">
        <v>3357923.0</v>
      </c>
      <c r="F47" s="32">
        <v>1.1460652E7</v>
      </c>
      <c r="G47" s="32">
        <v>1.4765746E7</v>
      </c>
      <c r="H47" s="32">
        <v>3.0031459E7</v>
      </c>
      <c r="I47" s="32">
        <v>0.0</v>
      </c>
      <c r="J47" s="32">
        <v>9.482813349E9</v>
      </c>
      <c r="K47" s="32">
        <v>1.49770917E9</v>
      </c>
      <c r="L47" s="32">
        <v>74843.0</v>
      </c>
      <c r="M47" s="31" t="s">
        <v>34</v>
      </c>
      <c r="N47" s="31">
        <v>25.0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1.43088559E8</v>
      </c>
      <c r="B48" s="31" t="s">
        <v>93</v>
      </c>
      <c r="C48" s="32">
        <v>7.0197233E7</v>
      </c>
      <c r="D48" s="32">
        <v>4.63290559E8</v>
      </c>
      <c r="E48" s="32">
        <v>4093564.0</v>
      </c>
      <c r="F48" s="32">
        <v>1.0480295E7</v>
      </c>
      <c r="G48" s="32">
        <v>2.6725717E7</v>
      </c>
      <c r="H48" s="32">
        <v>8944637.0</v>
      </c>
      <c r="I48" s="32">
        <v>0.0</v>
      </c>
      <c r="J48" s="32">
        <v>1.2942256349E10</v>
      </c>
      <c r="K48" s="32">
        <v>2.11081372E9</v>
      </c>
      <c r="L48" s="32">
        <v>36437.0</v>
      </c>
      <c r="M48" s="31" t="s">
        <v>34</v>
      </c>
      <c r="N48" s="31">
        <v>25.0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1.71604682E8</v>
      </c>
      <c r="B49" s="31" t="s">
        <v>86</v>
      </c>
      <c r="C49" s="32">
        <v>7.0087618E7</v>
      </c>
      <c r="D49" s="32">
        <v>1.136556411E9</v>
      </c>
      <c r="E49" s="32">
        <v>6004602.0</v>
      </c>
      <c r="F49" s="32">
        <v>1.1801935E7</v>
      </c>
      <c r="G49" s="32">
        <v>4.462233E7</v>
      </c>
      <c r="H49" s="32">
        <v>3.2409377E7</v>
      </c>
      <c r="I49" s="32">
        <v>0.0</v>
      </c>
      <c r="J49" s="32">
        <v>8.894734495E9</v>
      </c>
      <c r="K49" s="32">
        <v>1.370720264E9</v>
      </c>
      <c r="L49" s="32">
        <v>59812.0</v>
      </c>
      <c r="M49" s="31" t="s">
        <v>34</v>
      </c>
      <c r="N49" s="31">
        <v>25.0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1.20029911E8</v>
      </c>
      <c r="B50" s="31" t="s">
        <v>79</v>
      </c>
      <c r="C50" s="32">
        <v>6.95014E7</v>
      </c>
      <c r="D50" s="32">
        <v>8.55181687E8</v>
      </c>
      <c r="E50" s="32">
        <v>1.0378492E7</v>
      </c>
      <c r="F50" s="32">
        <v>1.1576167E7</v>
      </c>
      <c r="G50" s="32">
        <v>4.2156743E7</v>
      </c>
      <c r="H50" s="32">
        <v>2.0068423E7</v>
      </c>
      <c r="I50" s="32">
        <v>135423.0</v>
      </c>
      <c r="J50" s="32">
        <v>1.0333407063E10</v>
      </c>
      <c r="K50" s="32">
        <v>1.6524234312E10</v>
      </c>
      <c r="L50" s="32">
        <v>53093.0</v>
      </c>
      <c r="M50" s="31" t="s">
        <v>34</v>
      </c>
      <c r="N50" s="31">
        <v>25.0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1.71927851E8</v>
      </c>
      <c r="B51" s="31" t="s">
        <v>96</v>
      </c>
      <c r="C51" s="32">
        <v>6.9361206E7</v>
      </c>
      <c r="D51" s="32">
        <v>3.00033193E8</v>
      </c>
      <c r="E51" s="32">
        <v>2660983.0</v>
      </c>
      <c r="F51" s="32">
        <v>9960405.0</v>
      </c>
      <c r="G51" s="32">
        <v>5380231.0</v>
      </c>
      <c r="H51" s="32">
        <v>1.2129322E7</v>
      </c>
      <c r="I51" s="32">
        <v>0.0</v>
      </c>
      <c r="J51" s="32">
        <v>9.438242616E9</v>
      </c>
      <c r="K51" s="32">
        <v>1.01624E8</v>
      </c>
      <c r="L51" s="32">
        <v>29791.0</v>
      </c>
      <c r="M51" s="31" t="s">
        <v>34</v>
      </c>
      <c r="N51" s="31">
        <v>25.0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1.68923934E8</v>
      </c>
      <c r="B52" s="31" t="s">
        <v>98</v>
      </c>
      <c r="C52" s="32">
        <v>6.9259348E7</v>
      </c>
      <c r="D52" s="32">
        <v>5.67743117E8</v>
      </c>
      <c r="E52" s="32">
        <v>4148381.0</v>
      </c>
      <c r="F52" s="32">
        <v>4.2203045E7</v>
      </c>
      <c r="G52" s="32">
        <v>2.1479429E7</v>
      </c>
      <c r="H52" s="32">
        <v>1.5458813E7</v>
      </c>
      <c r="I52" s="32">
        <v>0.0</v>
      </c>
      <c r="J52" s="32">
        <v>7.416471108E9</v>
      </c>
      <c r="K52" s="32">
        <v>4.97581842E8</v>
      </c>
      <c r="L52" s="32">
        <v>30068.0</v>
      </c>
      <c r="M52" s="31" t="s">
        <v>66</v>
      </c>
      <c r="N52" s="31">
        <v>25.0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1.66110884E8</v>
      </c>
      <c r="B53" s="31" t="s">
        <v>95</v>
      </c>
      <c r="C53" s="32">
        <v>6.9155451E7</v>
      </c>
      <c r="D53" s="32">
        <v>8.3299285E8</v>
      </c>
      <c r="E53" s="32">
        <v>6283339.0</v>
      </c>
      <c r="F53" s="32">
        <v>4.3590233E7</v>
      </c>
      <c r="G53" s="32">
        <v>3.1900006E7</v>
      </c>
      <c r="H53" s="32">
        <v>2.3488565E7</v>
      </c>
      <c r="I53" s="32">
        <v>0.0</v>
      </c>
      <c r="J53" s="32">
        <v>8.491765837E9</v>
      </c>
      <c r="K53" s="32">
        <v>3.624684682E9</v>
      </c>
      <c r="L53" s="32">
        <v>67848.0</v>
      </c>
      <c r="M53" s="31" t="s">
        <v>34</v>
      </c>
      <c r="N53" s="31">
        <v>25.0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1.71972257E8</v>
      </c>
      <c r="B54" s="31" t="s">
        <v>90</v>
      </c>
      <c r="C54" s="32">
        <v>6.8697924E7</v>
      </c>
      <c r="D54" s="32">
        <v>5.78286881E8</v>
      </c>
      <c r="E54" s="32">
        <v>4645032.0</v>
      </c>
      <c r="F54" s="32">
        <v>4.6650805E7</v>
      </c>
      <c r="G54" s="32">
        <v>2.3351808E7</v>
      </c>
      <c r="H54" s="32">
        <v>1.6466672E7</v>
      </c>
      <c r="I54" s="32">
        <v>0.0</v>
      </c>
      <c r="J54" s="32">
        <v>1.3334034609E10</v>
      </c>
      <c r="K54" s="32">
        <v>2.961253098E9</v>
      </c>
      <c r="L54" s="32">
        <v>16256.0</v>
      </c>
      <c r="M54" s="31" t="s">
        <v>34</v>
      </c>
      <c r="N54" s="31">
        <v>25.0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1.72033754E8</v>
      </c>
      <c r="B55" s="31" t="s">
        <v>92</v>
      </c>
      <c r="C55" s="32">
        <v>6.7863157E7</v>
      </c>
      <c r="D55" s="32">
        <v>3.80312343E8</v>
      </c>
      <c r="E55" s="32">
        <v>6385775.0</v>
      </c>
      <c r="F55" s="32">
        <v>1.4861437E7</v>
      </c>
      <c r="G55" s="32">
        <v>1.6406987E7</v>
      </c>
      <c r="H55" s="32">
        <v>1.0140014E7</v>
      </c>
      <c r="I55" s="32">
        <v>0.0</v>
      </c>
      <c r="J55" s="32">
        <v>1.062581716E10</v>
      </c>
      <c r="K55" s="32">
        <v>1.15993687E9</v>
      </c>
      <c r="L55" s="32">
        <v>34507.0</v>
      </c>
      <c r="M55" s="31" t="s">
        <v>34</v>
      </c>
      <c r="N55" s="31">
        <v>25.0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1.5633938E8</v>
      </c>
      <c r="B56" s="31" t="s">
        <v>89</v>
      </c>
      <c r="C56" s="32">
        <v>6.7670564E7</v>
      </c>
      <c r="D56" s="32">
        <v>5.9957193E8</v>
      </c>
      <c r="E56" s="32">
        <v>8368655.0</v>
      </c>
      <c r="F56" s="32">
        <v>5866143.0</v>
      </c>
      <c r="G56" s="32">
        <v>3.1184905E7</v>
      </c>
      <c r="H56" s="32">
        <v>1.2768389E7</v>
      </c>
      <c r="I56" s="32">
        <v>0.0</v>
      </c>
      <c r="J56" s="32">
        <v>1.5551217112E10</v>
      </c>
      <c r="K56" s="32">
        <v>3.759929489E9</v>
      </c>
      <c r="L56" s="32">
        <v>124244.0</v>
      </c>
      <c r="M56" s="31" t="s">
        <v>34</v>
      </c>
      <c r="N56" s="31">
        <v>25.0</v>
      </c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1.72041454E8</v>
      </c>
      <c r="B57" s="31" t="s">
        <v>87</v>
      </c>
      <c r="C57" s="32">
        <v>6.7641924E7</v>
      </c>
      <c r="D57" s="32">
        <v>4.05651065E8</v>
      </c>
      <c r="E57" s="32">
        <v>6599843.0</v>
      </c>
      <c r="F57" s="32">
        <v>2.7015979E7</v>
      </c>
      <c r="G57" s="32">
        <v>1.9983194E7</v>
      </c>
      <c r="H57" s="32">
        <v>9612001.0</v>
      </c>
      <c r="I57" s="32">
        <v>0.0</v>
      </c>
      <c r="J57" s="32">
        <v>1.0496220833E10</v>
      </c>
      <c r="K57" s="32">
        <v>9.81560618E8</v>
      </c>
      <c r="L57" s="32">
        <v>48011.0</v>
      </c>
      <c r="M57" s="31" t="s">
        <v>34</v>
      </c>
      <c r="N57" s="31">
        <v>25.0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1.71983336E8</v>
      </c>
      <c r="B58" s="31" t="s">
        <v>408</v>
      </c>
      <c r="C58" s="32">
        <v>6.762034E7</v>
      </c>
      <c r="D58" s="32">
        <v>2.95659185E8</v>
      </c>
      <c r="E58" s="32">
        <v>4742242.0</v>
      </c>
      <c r="F58" s="32">
        <v>7597237.0</v>
      </c>
      <c r="G58" s="32">
        <v>1.1608442E7</v>
      </c>
      <c r="H58" s="32">
        <v>8505242.0</v>
      </c>
      <c r="I58" s="32">
        <v>0.0</v>
      </c>
      <c r="J58" s="32">
        <v>1.3871251411E10</v>
      </c>
      <c r="K58" s="32">
        <v>4.885278491E9</v>
      </c>
      <c r="L58" s="32">
        <v>101791.0</v>
      </c>
      <c r="M58" s="31" t="s">
        <v>34</v>
      </c>
      <c r="N58" s="31">
        <v>25.0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1915332.0</v>
      </c>
      <c r="B59" s="31" t="s">
        <v>110</v>
      </c>
      <c r="C59" s="32">
        <v>6.746881E7</v>
      </c>
      <c r="D59" s="32">
        <v>3.75711974E8</v>
      </c>
      <c r="E59" s="32">
        <v>9024801.0</v>
      </c>
      <c r="F59" s="32">
        <v>1.7924392E7</v>
      </c>
      <c r="G59" s="32">
        <v>1.618351E7</v>
      </c>
      <c r="H59" s="32">
        <v>9771421.0</v>
      </c>
      <c r="I59" s="32">
        <v>0.0</v>
      </c>
      <c r="J59" s="32">
        <v>7.291274959E9</v>
      </c>
      <c r="K59" s="32">
        <v>4.025499586E9</v>
      </c>
      <c r="L59" s="32">
        <v>32825.0</v>
      </c>
      <c r="M59" s="31" t="s">
        <v>147</v>
      </c>
      <c r="N59" s="31">
        <v>25.0</v>
      </c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1.69446634E8</v>
      </c>
      <c r="B60" s="31" t="s">
        <v>405</v>
      </c>
      <c r="C60" s="32">
        <v>6.832248E7</v>
      </c>
      <c r="D60" s="32">
        <v>2.61319587E8</v>
      </c>
      <c r="E60" s="32">
        <v>8440248.0</v>
      </c>
      <c r="F60" s="32">
        <v>736198.0</v>
      </c>
      <c r="G60" s="32">
        <v>9844232.0</v>
      </c>
      <c r="H60" s="32">
        <v>8045877.0</v>
      </c>
      <c r="I60" s="32">
        <v>0.0</v>
      </c>
      <c r="J60" s="32">
        <v>1.095562951E10</v>
      </c>
      <c r="K60" s="32">
        <v>3.3338578E8</v>
      </c>
      <c r="L60" s="32">
        <v>54909.0</v>
      </c>
      <c r="M60" s="31" t="s">
        <v>34</v>
      </c>
      <c r="N60" s="31">
        <v>25.0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1.55534128E8</v>
      </c>
      <c r="B61" s="31" t="s">
        <v>105</v>
      </c>
      <c r="C61" s="32">
        <v>6.7095561E7</v>
      </c>
      <c r="D61" s="32">
        <v>1.033464288E9</v>
      </c>
      <c r="E61" s="32">
        <v>7997536.0</v>
      </c>
      <c r="F61" s="32">
        <v>1.4980011E7</v>
      </c>
      <c r="G61" s="32">
        <v>3.733076E7</v>
      </c>
      <c r="H61" s="32">
        <v>3.231658E7</v>
      </c>
      <c r="I61" s="32">
        <v>0.0</v>
      </c>
      <c r="J61" s="32">
        <v>7.979975427E9</v>
      </c>
      <c r="K61" s="32">
        <v>9.17037441E8</v>
      </c>
      <c r="L61" s="32">
        <v>50443.0</v>
      </c>
      <c r="M61" s="31" t="s">
        <v>34</v>
      </c>
      <c r="N61" s="31">
        <v>25.0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5.524249E7</v>
      </c>
      <c r="B62" s="31" t="s">
        <v>88</v>
      </c>
      <c r="C62" s="32">
        <v>6.6774597E7</v>
      </c>
      <c r="D62" s="32">
        <v>8.66621637E8</v>
      </c>
      <c r="E62" s="32">
        <v>1.0318279E7</v>
      </c>
      <c r="F62" s="32">
        <v>1.11017608E8</v>
      </c>
      <c r="G62" s="32">
        <v>2.2480042E7</v>
      </c>
      <c r="H62" s="32">
        <v>3.0277338E7</v>
      </c>
      <c r="I62" s="32">
        <v>0.0</v>
      </c>
      <c r="J62" s="32">
        <v>1.3065452687E10</v>
      </c>
      <c r="K62" s="32">
        <v>5.43576093E9</v>
      </c>
      <c r="L62" s="32">
        <v>52061.0</v>
      </c>
      <c r="M62" s="31" t="s">
        <v>34</v>
      </c>
      <c r="N62" s="31">
        <v>25.0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1.69326547E8</v>
      </c>
      <c r="B63" s="31" t="s">
        <v>47</v>
      </c>
      <c r="C63" s="32">
        <v>6.5908457E7</v>
      </c>
      <c r="D63" s="32">
        <v>3.062565974E9</v>
      </c>
      <c r="E63" s="32">
        <v>8496161.0</v>
      </c>
      <c r="F63" s="32">
        <v>8445190.0</v>
      </c>
      <c r="G63" s="32">
        <v>8.8980384E7</v>
      </c>
      <c r="H63" s="32">
        <v>1.06739412E8</v>
      </c>
      <c r="I63" s="32">
        <v>0.0</v>
      </c>
      <c r="J63" s="32">
        <v>1.0509950626E10</v>
      </c>
      <c r="K63" s="32">
        <v>9.410822851E9</v>
      </c>
      <c r="L63" s="32">
        <v>116184.0</v>
      </c>
      <c r="M63" s="31" t="s">
        <v>147</v>
      </c>
      <c r="N63" s="31">
        <v>25.0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1.71806191E8</v>
      </c>
      <c r="B64" s="31" t="s">
        <v>443</v>
      </c>
      <c r="C64" s="32">
        <v>6.5899704E7</v>
      </c>
      <c r="D64" s="32">
        <v>2.08819289E8</v>
      </c>
      <c r="E64" s="32">
        <v>2536251.0</v>
      </c>
      <c r="F64" s="32">
        <v>1244899.0</v>
      </c>
      <c r="G64" s="32">
        <v>6790337.0</v>
      </c>
      <c r="H64" s="32">
        <v>6976648.0</v>
      </c>
      <c r="I64" s="32">
        <v>0.0</v>
      </c>
      <c r="J64" s="32">
        <v>9.39927209E9</v>
      </c>
      <c r="K64" s="32">
        <v>1.15560939E8</v>
      </c>
      <c r="L64" s="32">
        <v>18741.0</v>
      </c>
      <c r="M64" s="31" t="s">
        <v>147</v>
      </c>
      <c r="N64" s="31">
        <v>25.0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1.71355737E8</v>
      </c>
      <c r="B65" s="31" t="s">
        <v>491</v>
      </c>
      <c r="C65" s="32">
        <v>6.5817731E7</v>
      </c>
      <c r="D65" s="32">
        <v>4.3557366E8</v>
      </c>
      <c r="E65" s="32">
        <v>4073422.0</v>
      </c>
      <c r="F65" s="32">
        <v>1726911.0</v>
      </c>
      <c r="G65" s="32">
        <v>1.6252473E7</v>
      </c>
      <c r="H65" s="32">
        <v>1.3596523E7</v>
      </c>
      <c r="I65" s="32">
        <v>0.0</v>
      </c>
      <c r="J65" s="32">
        <v>1.342757781E10</v>
      </c>
      <c r="K65" s="32">
        <v>6.904546118E9</v>
      </c>
      <c r="L65" s="32">
        <v>76997.0</v>
      </c>
      <c r="M65" s="31" t="s">
        <v>34</v>
      </c>
      <c r="N65" s="31">
        <v>25.0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1.46428825E8</v>
      </c>
      <c r="B66" s="31" t="s">
        <v>52</v>
      </c>
      <c r="C66" s="32">
        <v>6.5650163E7</v>
      </c>
      <c r="D66" s="32">
        <v>1.663621008E9</v>
      </c>
      <c r="E66" s="32">
        <v>9469366.0</v>
      </c>
      <c r="F66" s="32">
        <v>1.2809552E7</v>
      </c>
      <c r="G66" s="32">
        <v>5.6607782E7</v>
      </c>
      <c r="H66" s="32">
        <v>5.4332568E7</v>
      </c>
      <c r="I66" s="32">
        <v>0.0</v>
      </c>
      <c r="J66" s="32">
        <v>2.6109365553E10</v>
      </c>
      <c r="K66" s="32">
        <v>9.070861277E9</v>
      </c>
      <c r="L66" s="32">
        <v>134263.0</v>
      </c>
      <c r="M66" s="31" t="s">
        <v>34</v>
      </c>
      <c r="N66" s="31">
        <v>25.0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1.70708608E8</v>
      </c>
      <c r="B67" s="31" t="s">
        <v>91</v>
      </c>
      <c r="C67" s="32">
        <v>6.5617075E7</v>
      </c>
      <c r="D67" s="32">
        <v>2.64717443E8</v>
      </c>
      <c r="E67" s="32">
        <v>7064598.0</v>
      </c>
      <c r="F67" s="32">
        <v>4.8030318E7</v>
      </c>
      <c r="G67" s="32">
        <v>7941104.0</v>
      </c>
      <c r="H67" s="32">
        <v>8545524.0</v>
      </c>
      <c r="I67" s="32">
        <v>0.0</v>
      </c>
      <c r="J67" s="32">
        <v>9.524414287E9</v>
      </c>
      <c r="K67" s="32">
        <v>1.58724317E9</v>
      </c>
      <c r="L67" s="32">
        <v>23365.0</v>
      </c>
      <c r="M67" s="31" t="s">
        <v>34</v>
      </c>
      <c r="N67" s="31">
        <v>25.0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1.68839111E8</v>
      </c>
      <c r="B68" s="31" t="s">
        <v>101</v>
      </c>
      <c r="C68" s="32">
        <v>6.5525698E7</v>
      </c>
      <c r="D68" s="32">
        <v>3.66025566E8</v>
      </c>
      <c r="E68" s="32">
        <v>4599003.0</v>
      </c>
      <c r="F68" s="32">
        <v>2.0221743E7</v>
      </c>
      <c r="G68" s="32">
        <v>2.2505669E7</v>
      </c>
      <c r="H68" s="32">
        <v>6603480.0</v>
      </c>
      <c r="I68" s="32">
        <v>0.0</v>
      </c>
      <c r="J68" s="32">
        <v>1.3952624718E10</v>
      </c>
      <c r="K68" s="32">
        <v>3.011985477E9</v>
      </c>
      <c r="L68" s="32">
        <v>36664.0</v>
      </c>
      <c r="M68" s="31" t="s">
        <v>34</v>
      </c>
      <c r="N68" s="31">
        <v>25.0</v>
      </c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1.6757738E8</v>
      </c>
      <c r="B69" s="31" t="s">
        <v>107</v>
      </c>
      <c r="C69" s="32">
        <v>6.4262762E7</v>
      </c>
      <c r="D69" s="32">
        <v>3.89650755E8</v>
      </c>
      <c r="E69" s="32">
        <v>5611995.0</v>
      </c>
      <c r="F69" s="32">
        <v>4819417.0</v>
      </c>
      <c r="G69" s="32">
        <v>1.4670939E7</v>
      </c>
      <c r="H69" s="32">
        <v>1.1693648E7</v>
      </c>
      <c r="I69" s="32">
        <v>0.0</v>
      </c>
      <c r="J69" s="32">
        <v>7.71978597E9</v>
      </c>
      <c r="K69" s="32">
        <v>9.70788659E8</v>
      </c>
      <c r="L69" s="32">
        <v>46164.0</v>
      </c>
      <c r="M69" s="31" t="s">
        <v>34</v>
      </c>
      <c r="N69" s="31">
        <v>25.0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1.71753933E8</v>
      </c>
      <c r="B70" s="31" t="s">
        <v>108</v>
      </c>
      <c r="C70" s="32">
        <v>6.4115618E7</v>
      </c>
      <c r="D70" s="32">
        <v>8.1154746E7</v>
      </c>
      <c r="E70" s="32">
        <v>4571959.0</v>
      </c>
      <c r="F70" s="32">
        <v>254494.0</v>
      </c>
      <c r="G70" s="32">
        <v>2683800.0</v>
      </c>
      <c r="H70" s="32">
        <v>2698196.0</v>
      </c>
      <c r="I70" s="32">
        <v>0.0</v>
      </c>
      <c r="J70" s="32">
        <v>1.2074029995E10</v>
      </c>
      <c r="K70" s="32">
        <v>1.52796998E8</v>
      </c>
      <c r="L70" s="32">
        <v>51222.0</v>
      </c>
      <c r="M70" s="31" t="s">
        <v>34</v>
      </c>
      <c r="N70" s="31">
        <v>25.0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1.67637163E8</v>
      </c>
      <c r="B71" s="31" t="s">
        <v>446</v>
      </c>
      <c r="C71" s="32">
        <v>6.3798727E7</v>
      </c>
      <c r="D71" s="32">
        <v>4.52376008E8</v>
      </c>
      <c r="E71" s="32">
        <v>9007139.0</v>
      </c>
      <c r="F71" s="32">
        <v>3066053.0</v>
      </c>
      <c r="G71" s="32">
        <v>2.6682282E7</v>
      </c>
      <c r="H71" s="32">
        <v>8033732.0</v>
      </c>
      <c r="I71" s="32">
        <v>0.0</v>
      </c>
      <c r="J71" s="32">
        <v>9.680565455E9</v>
      </c>
      <c r="K71" s="32">
        <v>1.8263875341E10</v>
      </c>
      <c r="L71" s="32">
        <v>93545.0</v>
      </c>
      <c r="M71" s="31" t="s">
        <v>34</v>
      </c>
      <c r="N71" s="31">
        <v>25.0</v>
      </c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1.71209025E8</v>
      </c>
      <c r="B72" s="31" t="s">
        <v>444</v>
      </c>
      <c r="C72" s="32">
        <v>6.354548E7</v>
      </c>
      <c r="D72" s="32">
        <v>3.65338727E8</v>
      </c>
      <c r="E72" s="32">
        <v>1.0102187E7</v>
      </c>
      <c r="F72" s="32">
        <v>3.5403615E7</v>
      </c>
      <c r="G72" s="32">
        <v>1.8174369E7</v>
      </c>
      <c r="H72" s="32">
        <v>7662943.0</v>
      </c>
      <c r="I72" s="32">
        <v>0.0</v>
      </c>
      <c r="J72" s="32">
        <v>1.3734352072E10</v>
      </c>
      <c r="K72" s="32">
        <v>1.404842811E9</v>
      </c>
      <c r="L72" s="32">
        <v>37524.0</v>
      </c>
      <c r="M72" s="31" t="s">
        <v>147</v>
      </c>
      <c r="N72" s="31">
        <v>25.0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1.53857025E8</v>
      </c>
      <c r="B73" s="31" t="s">
        <v>106</v>
      </c>
      <c r="C73" s="32">
        <v>6.3199615E7</v>
      </c>
      <c r="D73" s="32">
        <v>7.17995956E8</v>
      </c>
      <c r="E73" s="32">
        <v>6866078.0</v>
      </c>
      <c r="F73" s="32">
        <v>2.4541741E7</v>
      </c>
      <c r="G73" s="32">
        <v>1.6628768E7</v>
      </c>
      <c r="H73" s="32">
        <v>2.7119545E7</v>
      </c>
      <c r="I73" s="32">
        <v>0.0</v>
      </c>
      <c r="J73" s="32">
        <v>1.4629751363E10</v>
      </c>
      <c r="K73" s="32">
        <v>6.904186976E9</v>
      </c>
      <c r="L73" s="32">
        <v>71433.0</v>
      </c>
      <c r="M73" s="31" t="s">
        <v>34</v>
      </c>
      <c r="N73" s="31">
        <v>25.0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1.70972148E8</v>
      </c>
      <c r="B74" s="31" t="s">
        <v>406</v>
      </c>
      <c r="C74" s="32">
        <v>6.2656595E7</v>
      </c>
      <c r="D74" s="32">
        <v>2.17195474E8</v>
      </c>
      <c r="E74" s="32">
        <v>4140585.0</v>
      </c>
      <c r="F74" s="32">
        <v>1.4804982E7</v>
      </c>
      <c r="G74" s="32">
        <v>9073372.0</v>
      </c>
      <c r="H74" s="32">
        <v>6086914.0</v>
      </c>
      <c r="I74" s="32">
        <v>0.0</v>
      </c>
      <c r="J74" s="32">
        <v>1.0957602431E10</v>
      </c>
      <c r="K74" s="32">
        <v>1.493960679E9</v>
      </c>
      <c r="L74" s="32">
        <v>26477.0</v>
      </c>
      <c r="M74" s="31" t="s">
        <v>34</v>
      </c>
      <c r="N74" s="31">
        <v>25.0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1.44049878E8</v>
      </c>
      <c r="B75" s="31" t="s">
        <v>127</v>
      </c>
      <c r="C75" s="32">
        <v>6.2335821E7</v>
      </c>
      <c r="D75" s="32">
        <v>2.94429546E8</v>
      </c>
      <c r="E75" s="32">
        <v>8563602.0</v>
      </c>
      <c r="F75" s="32">
        <v>3617320.0</v>
      </c>
      <c r="G75" s="32">
        <v>1.1937091E7</v>
      </c>
      <c r="H75" s="32">
        <v>8544596.0</v>
      </c>
      <c r="I75" s="32">
        <v>0.0</v>
      </c>
      <c r="J75" s="32">
        <v>1.0794676681E10</v>
      </c>
      <c r="K75" s="32">
        <v>7.2816E8</v>
      </c>
      <c r="L75" s="32">
        <v>49964.0</v>
      </c>
      <c r="M75" s="31" t="s">
        <v>34</v>
      </c>
      <c r="N75" s="31">
        <v>25.0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1.70728362E8</v>
      </c>
      <c r="B76" s="31" t="s">
        <v>104</v>
      </c>
      <c r="C76" s="32">
        <v>6.2198157E7</v>
      </c>
      <c r="D76" s="32">
        <v>4.50008153E8</v>
      </c>
      <c r="E76" s="32">
        <v>9150132.0</v>
      </c>
      <c r="F76" s="32">
        <v>1.0481617E7</v>
      </c>
      <c r="G76" s="32">
        <v>1.5020001E7</v>
      </c>
      <c r="H76" s="32">
        <v>1.4272349E7</v>
      </c>
      <c r="I76" s="32">
        <v>0.0</v>
      </c>
      <c r="J76" s="32">
        <v>6.435465513E9</v>
      </c>
      <c r="K76" s="32">
        <v>5.699580133E9</v>
      </c>
      <c r="L76" s="32">
        <v>59757.0</v>
      </c>
      <c r="M76" s="31" t="s">
        <v>34</v>
      </c>
      <c r="N76" s="31">
        <v>25.0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1.4504414E8</v>
      </c>
      <c r="B77" s="31" t="s">
        <v>449</v>
      </c>
      <c r="C77" s="32">
        <v>6.2001012E7</v>
      </c>
      <c r="D77" s="32">
        <v>9.2997565E7</v>
      </c>
      <c r="E77" s="32">
        <v>8442987.0</v>
      </c>
      <c r="F77" s="32">
        <v>108728.0</v>
      </c>
      <c r="G77" s="32">
        <v>1804323.0</v>
      </c>
      <c r="H77" s="32">
        <v>3655415.0</v>
      </c>
      <c r="I77" s="32">
        <v>0.0</v>
      </c>
      <c r="J77" s="32">
        <v>7.356825533E9</v>
      </c>
      <c r="K77" s="32">
        <v>4.08309634E8</v>
      </c>
      <c r="L77" s="32">
        <v>12329.0</v>
      </c>
      <c r="M77" s="31" t="s">
        <v>34</v>
      </c>
      <c r="N77" s="31">
        <v>25.0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1.66871338E8</v>
      </c>
      <c r="B78" s="31" t="s">
        <v>78</v>
      </c>
      <c r="C78" s="32">
        <v>6.1989641E7</v>
      </c>
      <c r="D78" s="32">
        <v>9.57486898E8</v>
      </c>
      <c r="E78" s="32">
        <v>6830366.0</v>
      </c>
      <c r="F78" s="32">
        <v>9.3171794E7</v>
      </c>
      <c r="G78" s="32">
        <v>5.9294273E7</v>
      </c>
      <c r="H78" s="32">
        <v>1.6165031E7</v>
      </c>
      <c r="I78" s="32">
        <v>0.0</v>
      </c>
      <c r="J78" s="32">
        <v>8.722292204E9</v>
      </c>
      <c r="K78" s="32">
        <v>3.117290499E9</v>
      </c>
      <c r="L78" s="32">
        <v>45929.0</v>
      </c>
      <c r="M78" s="31" t="s">
        <v>34</v>
      </c>
      <c r="N78" s="31">
        <v>25.0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1.66807426E8</v>
      </c>
      <c r="B79" s="31" t="s">
        <v>404</v>
      </c>
      <c r="C79" s="32">
        <v>6.1840004E7</v>
      </c>
      <c r="D79" s="32">
        <v>3.42027547E8</v>
      </c>
      <c r="E79" s="32">
        <v>5890717.0</v>
      </c>
      <c r="F79" s="32">
        <v>5.4946707E7</v>
      </c>
      <c r="G79" s="32">
        <v>1.5419065E7</v>
      </c>
      <c r="H79" s="32">
        <v>8754871.0</v>
      </c>
      <c r="I79" s="32">
        <v>0.0</v>
      </c>
      <c r="J79" s="32">
        <v>4.522037919E9</v>
      </c>
      <c r="K79" s="32">
        <v>3.02842793E9</v>
      </c>
      <c r="L79" s="32">
        <v>50394.0</v>
      </c>
      <c r="M79" s="31" t="s">
        <v>440</v>
      </c>
      <c r="N79" s="31">
        <v>25.0</v>
      </c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1.71910225E8</v>
      </c>
      <c r="B80" s="31" t="s">
        <v>99</v>
      </c>
      <c r="C80" s="32">
        <v>6.1719574E7</v>
      </c>
      <c r="D80" s="32">
        <v>2.23701898E8</v>
      </c>
      <c r="E80" s="32">
        <v>5638979.0</v>
      </c>
      <c r="F80" s="32">
        <v>260484.0</v>
      </c>
      <c r="G80" s="32">
        <v>4096269.0</v>
      </c>
      <c r="H80" s="32">
        <v>9102228.0</v>
      </c>
      <c r="I80" s="32">
        <v>0.0</v>
      </c>
      <c r="J80" s="32">
        <v>1.3955458239E10</v>
      </c>
      <c r="K80" s="32">
        <v>1.447133765E9</v>
      </c>
      <c r="L80" s="32">
        <v>35825.0</v>
      </c>
      <c r="M80" s="31" t="s">
        <v>34</v>
      </c>
      <c r="N80" s="31">
        <v>25.0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1.38752108E8</v>
      </c>
      <c r="B81" s="31" t="s">
        <v>445</v>
      </c>
      <c r="C81" s="32">
        <v>6.1668659E7</v>
      </c>
      <c r="D81" s="32">
        <v>4.35412557E8</v>
      </c>
      <c r="E81" s="32">
        <v>5651167.0</v>
      </c>
      <c r="F81" s="32">
        <v>889466.0</v>
      </c>
      <c r="G81" s="32">
        <v>1.0396596E7</v>
      </c>
      <c r="H81" s="32">
        <v>1.6500168E7</v>
      </c>
      <c r="I81" s="32">
        <v>0.0</v>
      </c>
      <c r="J81" s="32">
        <v>2.4442866104E10</v>
      </c>
      <c r="K81" s="32">
        <v>6.19918153E8</v>
      </c>
      <c r="L81" s="32">
        <v>82972.0</v>
      </c>
      <c r="M81" s="31" t="s">
        <v>34</v>
      </c>
      <c r="N81" s="31">
        <v>25.0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1.44010731E8</v>
      </c>
      <c r="B82" s="31" t="s">
        <v>407</v>
      </c>
      <c r="C82" s="32">
        <v>6.1586046E7</v>
      </c>
      <c r="D82" s="32">
        <v>1.14373721E8</v>
      </c>
      <c r="E82" s="32">
        <v>8638244.0</v>
      </c>
      <c r="F82" s="32">
        <v>144507.0</v>
      </c>
      <c r="G82" s="32">
        <v>2557123.0</v>
      </c>
      <c r="H82" s="32">
        <v>4345440.0</v>
      </c>
      <c r="I82" s="32">
        <v>0.0</v>
      </c>
      <c r="J82" s="32">
        <v>7.557143998E9</v>
      </c>
      <c r="K82" s="32">
        <v>7.02856257E8</v>
      </c>
      <c r="L82" s="32">
        <v>29470.0</v>
      </c>
      <c r="M82" s="31" t="s">
        <v>147</v>
      </c>
      <c r="N82" s="31">
        <v>25.0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1.71358436E8</v>
      </c>
      <c r="B83" s="31" t="s">
        <v>115</v>
      </c>
      <c r="C83" s="32">
        <v>6.1129341E7</v>
      </c>
      <c r="D83" s="32">
        <v>6.64788743E8</v>
      </c>
      <c r="E83" s="32">
        <v>5833655.0</v>
      </c>
      <c r="F83" s="32">
        <v>6461365.0</v>
      </c>
      <c r="G83" s="32">
        <v>3.001493E7</v>
      </c>
      <c r="H83" s="32">
        <v>1.7313129E7</v>
      </c>
      <c r="I83" s="32">
        <v>0.0</v>
      </c>
      <c r="J83" s="32">
        <v>4.595571565E9</v>
      </c>
      <c r="K83" s="32">
        <v>2.453327612E9</v>
      </c>
      <c r="L83" s="32">
        <v>50994.0</v>
      </c>
      <c r="M83" s="31" t="s">
        <v>34</v>
      </c>
      <c r="N83" s="31">
        <v>25.0</v>
      </c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1.44684719E8</v>
      </c>
      <c r="B84" s="31" t="s">
        <v>366</v>
      </c>
      <c r="C84" s="32">
        <v>6.1001088E7</v>
      </c>
      <c r="D84" s="32">
        <v>2.48224069E8</v>
      </c>
      <c r="E84" s="32">
        <v>1.2711285E7</v>
      </c>
      <c r="F84" s="32">
        <v>1300647.0</v>
      </c>
      <c r="G84" s="32">
        <v>9525140.0</v>
      </c>
      <c r="H84" s="32">
        <v>7378592.0</v>
      </c>
      <c r="I84" s="32">
        <v>0.0</v>
      </c>
      <c r="J84" s="32">
        <v>6.580285498E9</v>
      </c>
      <c r="K84" s="32">
        <v>1.436811379E9</v>
      </c>
      <c r="L84" s="32">
        <v>38606.0</v>
      </c>
      <c r="M84" s="31" t="s">
        <v>34</v>
      </c>
      <c r="N84" s="31">
        <v>25.0</v>
      </c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1.7160984E8</v>
      </c>
      <c r="B85" s="31" t="s">
        <v>103</v>
      </c>
      <c r="C85" s="32">
        <v>6.0433641E7</v>
      </c>
      <c r="D85" s="32">
        <v>4.96301563E8</v>
      </c>
      <c r="E85" s="32">
        <v>4863428.0</v>
      </c>
      <c r="F85" s="32">
        <v>4497129.0</v>
      </c>
      <c r="G85" s="32">
        <v>1.3018421E7</v>
      </c>
      <c r="H85" s="32">
        <v>1.7980147E7</v>
      </c>
      <c r="I85" s="32">
        <v>0.0</v>
      </c>
      <c r="J85" s="32">
        <v>7.417055627E9</v>
      </c>
      <c r="K85" s="32">
        <v>2.27640069E8</v>
      </c>
      <c r="L85" s="32">
        <v>43516.0</v>
      </c>
      <c r="M85" s="31" t="s">
        <v>34</v>
      </c>
      <c r="N85" s="31">
        <v>25.0</v>
      </c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1.4406546E8</v>
      </c>
      <c r="B86" s="31" t="s">
        <v>412</v>
      </c>
      <c r="C86" s="32">
        <v>6.0179644E7</v>
      </c>
      <c r="D86" s="32">
        <v>1.10767249E8</v>
      </c>
      <c r="E86" s="32">
        <v>6665757.0</v>
      </c>
      <c r="F86" s="32">
        <v>173335.0</v>
      </c>
      <c r="G86" s="32">
        <v>2170172.0</v>
      </c>
      <c r="H86" s="32">
        <v>4430151.0</v>
      </c>
      <c r="I86" s="32">
        <v>0.0</v>
      </c>
      <c r="J86" s="32">
        <v>1.1070637436E10</v>
      </c>
      <c r="K86" s="32">
        <v>4.97472383E8</v>
      </c>
      <c r="L86" s="32">
        <v>48520.0</v>
      </c>
      <c r="M86" s="31" t="s">
        <v>147</v>
      </c>
      <c r="N86" s="31">
        <v>25.0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1.71982346E8</v>
      </c>
      <c r="B87" s="31" t="s">
        <v>409</v>
      </c>
      <c r="C87" s="32">
        <v>5.9929969E7</v>
      </c>
      <c r="D87" s="32">
        <v>1.01989739E8</v>
      </c>
      <c r="E87" s="32">
        <v>3278594.0</v>
      </c>
      <c r="F87" s="32">
        <v>111988.0</v>
      </c>
      <c r="G87" s="32">
        <v>3802310.0</v>
      </c>
      <c r="H87" s="32">
        <v>3167392.0</v>
      </c>
      <c r="I87" s="32">
        <v>0.0</v>
      </c>
      <c r="J87" s="32">
        <v>6.578239401E9</v>
      </c>
      <c r="K87" s="32">
        <v>4.33818604E8</v>
      </c>
      <c r="L87" s="32">
        <v>22610.0</v>
      </c>
      <c r="M87" s="31" t="s">
        <v>34</v>
      </c>
      <c r="N87" s="31">
        <v>25.0</v>
      </c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1.71679053E8</v>
      </c>
      <c r="B88" s="31" t="s">
        <v>111</v>
      </c>
      <c r="C88" s="32">
        <v>5.8839699E7</v>
      </c>
      <c r="D88" s="32">
        <v>1.85689203E8</v>
      </c>
      <c r="E88" s="32">
        <v>3996431.0</v>
      </c>
      <c r="F88" s="32">
        <v>719495.0</v>
      </c>
      <c r="G88" s="32">
        <v>6275574.0</v>
      </c>
      <c r="H88" s="32">
        <v>5996127.0</v>
      </c>
      <c r="I88" s="32">
        <v>0.0</v>
      </c>
      <c r="J88" s="32">
        <v>1.0026888791E10</v>
      </c>
      <c r="K88" s="32">
        <v>1.339045371E9</v>
      </c>
      <c r="L88" s="32">
        <v>25885.0</v>
      </c>
      <c r="M88" s="31" t="s">
        <v>34</v>
      </c>
      <c r="N88" s="31">
        <v>25.0</v>
      </c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1.67614515E8</v>
      </c>
      <c r="B89" s="31" t="s">
        <v>365</v>
      </c>
      <c r="C89" s="32">
        <v>5.8797833E7</v>
      </c>
      <c r="D89" s="32">
        <v>2.16809058E8</v>
      </c>
      <c r="E89" s="32">
        <v>6044773.0</v>
      </c>
      <c r="F89" s="32">
        <v>1261703.0</v>
      </c>
      <c r="G89" s="32">
        <v>1.2712412E7</v>
      </c>
      <c r="H89" s="32">
        <v>4330830.0</v>
      </c>
      <c r="I89" s="32">
        <v>0.0</v>
      </c>
      <c r="J89" s="32">
        <v>1.3637566408E10</v>
      </c>
      <c r="K89" s="32">
        <v>7.99053053E8</v>
      </c>
      <c r="L89" s="32">
        <v>49134.0</v>
      </c>
      <c r="M89" s="31" t="s">
        <v>34</v>
      </c>
      <c r="N89" s="31">
        <v>25.0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1.71827401E8</v>
      </c>
      <c r="B90" s="31" t="s">
        <v>123</v>
      </c>
      <c r="C90" s="32">
        <v>5.8764334E7</v>
      </c>
      <c r="D90" s="32">
        <v>1.528169813E9</v>
      </c>
      <c r="E90" s="32">
        <v>7975447.0</v>
      </c>
      <c r="F90" s="32">
        <v>4.2447525E7</v>
      </c>
      <c r="G90" s="32">
        <v>1.10599101E8</v>
      </c>
      <c r="H90" s="32">
        <v>1.7289391E7</v>
      </c>
      <c r="I90" s="32">
        <v>0.0</v>
      </c>
      <c r="J90" s="32">
        <v>3.062126535E9</v>
      </c>
      <c r="K90" s="32">
        <v>7.802247764E9</v>
      </c>
      <c r="L90" s="32">
        <v>31861.0</v>
      </c>
      <c r="M90" s="31" t="s">
        <v>492</v>
      </c>
      <c r="N90" s="31">
        <v>25.0</v>
      </c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1.71858863E8</v>
      </c>
      <c r="B91" s="31" t="s">
        <v>120</v>
      </c>
      <c r="C91" s="32">
        <v>5.8277647E7</v>
      </c>
      <c r="D91" s="32">
        <v>4.4074696E7</v>
      </c>
      <c r="E91" s="32">
        <v>4374063.0</v>
      </c>
      <c r="F91" s="32">
        <v>51770.0</v>
      </c>
      <c r="G91" s="32">
        <v>804984.0</v>
      </c>
      <c r="H91" s="32">
        <v>1782705.0</v>
      </c>
      <c r="I91" s="32">
        <v>0.0</v>
      </c>
      <c r="J91" s="32">
        <v>6.439272477E9</v>
      </c>
      <c r="K91" s="32">
        <v>5.215262E8</v>
      </c>
      <c r="L91" s="32">
        <v>8142.0</v>
      </c>
      <c r="M91" s="31" t="s">
        <v>34</v>
      </c>
      <c r="N91" s="31">
        <v>25.0</v>
      </c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1.39292614E8</v>
      </c>
      <c r="B92" s="31" t="s">
        <v>112</v>
      </c>
      <c r="C92" s="32">
        <v>5.758562E7</v>
      </c>
      <c r="D92" s="32">
        <v>6.60247901E8</v>
      </c>
      <c r="E92" s="32">
        <v>1.1222901E7</v>
      </c>
      <c r="F92" s="32">
        <v>1.8048155E7</v>
      </c>
      <c r="G92" s="32">
        <v>1.4860148E7</v>
      </c>
      <c r="H92" s="32">
        <v>2.5024044E7</v>
      </c>
      <c r="I92" s="32">
        <v>0.0</v>
      </c>
      <c r="J92" s="32">
        <v>1.1084767197E10</v>
      </c>
      <c r="K92" s="32">
        <v>4.518817481E9</v>
      </c>
      <c r="L92" s="32">
        <v>39027.0</v>
      </c>
      <c r="M92" s="31" t="s">
        <v>34</v>
      </c>
      <c r="N92" s="31">
        <v>25.0</v>
      </c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1.69446444E8</v>
      </c>
      <c r="B93" s="31" t="s">
        <v>117</v>
      </c>
      <c r="C93" s="32">
        <v>5.7449966E7</v>
      </c>
      <c r="D93" s="32">
        <v>9.00640071E8</v>
      </c>
      <c r="E93" s="32">
        <v>7041959.0</v>
      </c>
      <c r="F93" s="32">
        <v>3332837.0</v>
      </c>
      <c r="G93" s="32">
        <v>1.9675962E7</v>
      </c>
      <c r="H93" s="32">
        <v>3.4628328E7</v>
      </c>
      <c r="I93" s="32">
        <v>0.0</v>
      </c>
      <c r="J93" s="32">
        <v>6.24424321E9</v>
      </c>
      <c r="K93" s="32">
        <v>7.87113675E9</v>
      </c>
      <c r="L93" s="32">
        <v>69129.0</v>
      </c>
      <c r="M93" s="31" t="s">
        <v>34</v>
      </c>
      <c r="N93" s="31">
        <v>25.0</v>
      </c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1.51360763E8</v>
      </c>
      <c r="B94" s="31" t="s">
        <v>367</v>
      </c>
      <c r="C94" s="32">
        <v>5.7271753E7</v>
      </c>
      <c r="D94" s="32">
        <v>1.05334287E8</v>
      </c>
      <c r="E94" s="32">
        <v>5049906.0</v>
      </c>
      <c r="F94" s="32">
        <v>5776546.0</v>
      </c>
      <c r="G94" s="32">
        <v>5702838.0</v>
      </c>
      <c r="H94" s="32">
        <v>2324626.0</v>
      </c>
      <c r="I94" s="32">
        <v>0.0</v>
      </c>
      <c r="J94" s="32">
        <v>2.5381111549E10</v>
      </c>
      <c r="K94" s="32">
        <v>1.0438012042E10</v>
      </c>
      <c r="L94" s="32">
        <v>19446.0</v>
      </c>
      <c r="M94" s="31" t="s">
        <v>34</v>
      </c>
      <c r="N94" s="31">
        <v>25.0</v>
      </c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1.43457511E8</v>
      </c>
      <c r="B95" s="31" t="s">
        <v>515</v>
      </c>
      <c r="C95" s="32">
        <v>5.6915685E7</v>
      </c>
      <c r="D95" s="32">
        <v>3.50690858E8</v>
      </c>
      <c r="E95" s="32">
        <v>9513016.0</v>
      </c>
      <c r="F95" s="32">
        <v>711922.0</v>
      </c>
      <c r="G95" s="32">
        <v>1.7472878E7</v>
      </c>
      <c r="H95" s="32">
        <v>8476269.0</v>
      </c>
      <c r="I95" s="32">
        <v>0.0</v>
      </c>
      <c r="J95" s="32">
        <v>1.3274500847E10</v>
      </c>
      <c r="K95" s="32">
        <v>9.811560189E9</v>
      </c>
      <c r="L95" s="32">
        <v>40697.0</v>
      </c>
      <c r="M95" s="31" t="s">
        <v>147</v>
      </c>
      <c r="N95" s="31">
        <v>25.0</v>
      </c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1.61646318E8</v>
      </c>
      <c r="B96" s="31" t="s">
        <v>122</v>
      </c>
      <c r="C96" s="32">
        <v>5.6855903E7</v>
      </c>
      <c r="D96" s="32">
        <v>2.1552813E8</v>
      </c>
      <c r="E96" s="32">
        <v>5275736.0</v>
      </c>
      <c r="F96" s="32">
        <v>649831.0</v>
      </c>
      <c r="G96" s="32">
        <v>8539500.0</v>
      </c>
      <c r="H96" s="32">
        <v>6430684.0</v>
      </c>
      <c r="I96" s="32">
        <v>0.0</v>
      </c>
      <c r="J96" s="32">
        <v>1.3534697706E10</v>
      </c>
      <c r="K96" s="32">
        <v>2.30164973E9</v>
      </c>
      <c r="L96" s="32">
        <v>46544.0</v>
      </c>
      <c r="M96" s="31" t="s">
        <v>34</v>
      </c>
      <c r="N96" s="31">
        <v>25.0</v>
      </c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1.45008495E8</v>
      </c>
      <c r="B97" s="31" t="s">
        <v>448</v>
      </c>
      <c r="C97" s="32">
        <v>5.6687939E7</v>
      </c>
      <c r="D97" s="32">
        <v>4.12418988E8</v>
      </c>
      <c r="E97" s="32">
        <v>1.3049993E7</v>
      </c>
      <c r="F97" s="32">
        <v>4824111.0</v>
      </c>
      <c r="G97" s="32">
        <v>2.7374737E7</v>
      </c>
      <c r="H97" s="32">
        <v>6125894.0</v>
      </c>
      <c r="I97" s="32">
        <v>0.0</v>
      </c>
      <c r="J97" s="32">
        <v>6.79953114E9</v>
      </c>
      <c r="K97" s="32">
        <v>1.055954784E9</v>
      </c>
      <c r="L97" s="32">
        <v>21121.0</v>
      </c>
      <c r="M97" s="31" t="s">
        <v>147</v>
      </c>
      <c r="N97" s="31">
        <v>25.0</v>
      </c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1.71345916E8</v>
      </c>
      <c r="B98" s="31" t="s">
        <v>447</v>
      </c>
      <c r="C98" s="32">
        <v>5.611708E7</v>
      </c>
      <c r="D98" s="32">
        <v>2.10628218E8</v>
      </c>
      <c r="E98" s="32">
        <v>4437730.0</v>
      </c>
      <c r="F98" s="32">
        <v>1.6284332E7</v>
      </c>
      <c r="G98" s="32">
        <v>1.2075295E7</v>
      </c>
      <c r="H98" s="32">
        <v>3540806.0</v>
      </c>
      <c r="I98" s="32">
        <v>0.0</v>
      </c>
      <c r="J98" s="32">
        <v>7.276794625E9</v>
      </c>
      <c r="K98" s="32">
        <v>1.778342095E9</v>
      </c>
      <c r="L98" s="32">
        <v>69856.0</v>
      </c>
      <c r="M98" s="31" t="s">
        <v>34</v>
      </c>
      <c r="N98" s="31">
        <v>25.0</v>
      </c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2.1489428E7</v>
      </c>
      <c r="B99" s="31" t="s">
        <v>125</v>
      </c>
      <c r="C99" s="32">
        <v>5.568497E7</v>
      </c>
      <c r="D99" s="32">
        <v>5.8051737E8</v>
      </c>
      <c r="E99" s="32">
        <v>1.7688104E7</v>
      </c>
      <c r="F99" s="32">
        <v>1083192.0</v>
      </c>
      <c r="G99" s="32">
        <v>1.8483076E7</v>
      </c>
      <c r="H99" s="32">
        <v>1.95188E7</v>
      </c>
      <c r="I99" s="32">
        <v>0.0</v>
      </c>
      <c r="J99" s="32">
        <v>1.6049999344E10</v>
      </c>
      <c r="K99" s="32">
        <v>9.234571546E9</v>
      </c>
      <c r="L99" s="32">
        <v>44876.0</v>
      </c>
      <c r="M99" s="31" t="s">
        <v>126</v>
      </c>
      <c r="N99" s="31">
        <v>25.0</v>
      </c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1.63138873E8</v>
      </c>
      <c r="B100" s="31" t="s">
        <v>410</v>
      </c>
      <c r="C100" s="32">
        <v>5.5302169E7</v>
      </c>
      <c r="D100" s="32">
        <v>1.13454977E8</v>
      </c>
      <c r="E100" s="32">
        <v>8459581.0</v>
      </c>
      <c r="F100" s="32">
        <v>5273325.0</v>
      </c>
      <c r="G100" s="32">
        <v>5453708.0</v>
      </c>
      <c r="H100" s="32">
        <v>2816889.0</v>
      </c>
      <c r="I100" s="32">
        <v>0.0</v>
      </c>
      <c r="J100" s="32">
        <v>4.082341656E9</v>
      </c>
      <c r="K100" s="32">
        <v>3.44242356E8</v>
      </c>
      <c r="L100" s="32">
        <v>18253.0</v>
      </c>
      <c r="M100" s="31" t="s">
        <v>147</v>
      </c>
      <c r="N100" s="31">
        <v>25.0</v>
      </c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1.69363448E8</v>
      </c>
      <c r="B101" s="31" t="s">
        <v>133</v>
      </c>
      <c r="C101" s="32">
        <v>5.4738351E7</v>
      </c>
      <c r="D101" s="32">
        <v>3.20823351E8</v>
      </c>
      <c r="E101" s="32">
        <v>4563332.0</v>
      </c>
      <c r="F101" s="32">
        <v>1816615.0</v>
      </c>
      <c r="G101" s="32">
        <v>1.6886029E7</v>
      </c>
      <c r="H101" s="32">
        <v>7151171.0</v>
      </c>
      <c r="I101" s="32">
        <v>0.0</v>
      </c>
      <c r="J101" s="32">
        <v>7.98457613E9</v>
      </c>
      <c r="K101" s="32">
        <v>6.667116137E9</v>
      </c>
      <c r="L101" s="32">
        <v>41416.0</v>
      </c>
      <c r="M101" s="31" t="s">
        <v>34</v>
      </c>
      <c r="N101" s="31">
        <v>25.0</v>
      </c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1.68091444E8</v>
      </c>
      <c r="B102" s="31" t="s">
        <v>121</v>
      </c>
      <c r="C102" s="32">
        <v>5.4323951E7</v>
      </c>
      <c r="D102" s="32">
        <v>1.12170793E8</v>
      </c>
      <c r="E102" s="32">
        <v>7197561.0</v>
      </c>
      <c r="F102" s="32">
        <v>415679.0</v>
      </c>
      <c r="G102" s="32">
        <v>5692863.0</v>
      </c>
      <c r="H102" s="32">
        <v>2698380.0</v>
      </c>
      <c r="I102" s="32">
        <v>0.0</v>
      </c>
      <c r="J102" s="32">
        <v>6.907804678E9</v>
      </c>
      <c r="K102" s="32">
        <v>5.40264414E8</v>
      </c>
      <c r="L102" s="32">
        <v>41907.0</v>
      </c>
      <c r="M102" s="31" t="s">
        <v>34</v>
      </c>
      <c r="N102" s="31">
        <v>25.0</v>
      </c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1.27560055E8</v>
      </c>
      <c r="B103" s="31" t="s">
        <v>118</v>
      </c>
      <c r="C103" s="32">
        <v>5.4117802E7</v>
      </c>
      <c r="D103" s="32">
        <v>5.37189192E8</v>
      </c>
      <c r="E103" s="32">
        <v>1.6415019E7</v>
      </c>
      <c r="F103" s="32">
        <v>6.0649963E7</v>
      </c>
      <c r="G103" s="32">
        <v>3.5272658E7</v>
      </c>
      <c r="H103" s="32">
        <v>6965049.0</v>
      </c>
      <c r="I103" s="32">
        <v>0.0</v>
      </c>
      <c r="J103" s="32">
        <v>8.843690143E9</v>
      </c>
      <c r="K103" s="32">
        <v>1.426775546E9</v>
      </c>
      <c r="L103" s="32">
        <v>53172.0</v>
      </c>
      <c r="M103" s="31" t="s">
        <v>66</v>
      </c>
      <c r="N103" s="31">
        <v>25.0</v>
      </c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1.69672885E8</v>
      </c>
      <c r="B104" s="31" t="s">
        <v>129</v>
      </c>
      <c r="C104" s="32">
        <v>5.3420048E7</v>
      </c>
      <c r="D104" s="32">
        <v>3.5671747E8</v>
      </c>
      <c r="E104" s="32">
        <v>7429894.0</v>
      </c>
      <c r="F104" s="32">
        <v>8777321.0</v>
      </c>
      <c r="G104" s="32">
        <v>1.7743386E7</v>
      </c>
      <c r="H104" s="32">
        <v>8257737.0</v>
      </c>
      <c r="I104" s="32">
        <v>0.0</v>
      </c>
      <c r="J104" s="32">
        <v>6.778646484E9</v>
      </c>
      <c r="K104" s="32">
        <v>3.646814417E9</v>
      </c>
      <c r="L104" s="32">
        <v>32298.0</v>
      </c>
      <c r="M104" s="31" t="s">
        <v>147</v>
      </c>
      <c r="N104" s="31">
        <v>25.0</v>
      </c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1.58817223E8</v>
      </c>
      <c r="B105" s="31" t="s">
        <v>131</v>
      </c>
      <c r="C105" s="32">
        <v>5.2776067E7</v>
      </c>
      <c r="D105" s="32">
        <v>2.23109998E8</v>
      </c>
      <c r="E105" s="32">
        <v>7178989.0</v>
      </c>
      <c r="F105" s="32">
        <v>5303944.0</v>
      </c>
      <c r="G105" s="32">
        <v>8968673.0</v>
      </c>
      <c r="H105" s="32">
        <v>6089363.0</v>
      </c>
      <c r="I105" s="32">
        <v>0.0</v>
      </c>
      <c r="J105" s="32">
        <v>6.491012784E9</v>
      </c>
      <c r="K105" s="32">
        <v>4.550025581E9</v>
      </c>
      <c r="L105" s="32">
        <v>36702.0</v>
      </c>
      <c r="M105" s="31" t="s">
        <v>147</v>
      </c>
      <c r="N105" s="31">
        <v>25.0</v>
      </c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1.55415774E8</v>
      </c>
      <c r="B106" s="31" t="s">
        <v>493</v>
      </c>
      <c r="C106" s="32">
        <v>5.2506757E7</v>
      </c>
      <c r="D106" s="32">
        <v>4.45068489E8</v>
      </c>
      <c r="E106" s="32">
        <v>7860795.0</v>
      </c>
      <c r="F106" s="32">
        <v>1.9782177E7</v>
      </c>
      <c r="G106" s="32">
        <v>1.9049017E7</v>
      </c>
      <c r="H106" s="32">
        <v>1.2132102E7</v>
      </c>
      <c r="I106" s="32">
        <v>0.0</v>
      </c>
      <c r="J106" s="32">
        <v>1.047417777E9</v>
      </c>
      <c r="K106" s="32">
        <v>4.743923039E9</v>
      </c>
      <c r="L106" s="32">
        <v>26793.0</v>
      </c>
      <c r="M106" s="31" t="s">
        <v>66</v>
      </c>
      <c r="N106" s="31">
        <v>25.0</v>
      </c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1.45033056E8</v>
      </c>
      <c r="B107" s="31" t="s">
        <v>450</v>
      </c>
      <c r="C107" s="32">
        <v>5.1732689E7</v>
      </c>
      <c r="D107" s="32">
        <v>4.40332697E8</v>
      </c>
      <c r="E107" s="32">
        <v>1.2527098E7</v>
      </c>
      <c r="F107" s="32">
        <v>2031149.0</v>
      </c>
      <c r="G107" s="32">
        <v>1.6303343E7</v>
      </c>
      <c r="H107" s="32">
        <v>1.3642622E7</v>
      </c>
      <c r="I107" s="32">
        <v>0.0</v>
      </c>
      <c r="J107" s="32">
        <v>1.3998215026E10</v>
      </c>
      <c r="K107" s="32">
        <v>7.29379775E8</v>
      </c>
      <c r="L107" s="32">
        <v>32094.0</v>
      </c>
      <c r="M107" s="31" t="s">
        <v>147</v>
      </c>
      <c r="N107" s="31">
        <v>25.0</v>
      </c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1.4461836E8</v>
      </c>
      <c r="B108" s="31" t="s">
        <v>116</v>
      </c>
      <c r="C108" s="32">
        <v>5.1260834E7</v>
      </c>
      <c r="D108" s="32">
        <v>2.57544033E8</v>
      </c>
      <c r="E108" s="32">
        <v>2915124.0</v>
      </c>
      <c r="F108" s="32">
        <v>1708458.0</v>
      </c>
      <c r="G108" s="32">
        <v>9355372.0</v>
      </c>
      <c r="H108" s="32">
        <v>8006629.0</v>
      </c>
      <c r="I108" s="32">
        <v>0.0</v>
      </c>
      <c r="J108" s="32">
        <v>8.995207054E9</v>
      </c>
      <c r="K108" s="32">
        <v>5.66487787E8</v>
      </c>
      <c r="L108" s="32">
        <v>41803.0</v>
      </c>
      <c r="M108" s="31" t="s">
        <v>34</v>
      </c>
      <c r="N108" s="31">
        <v>25.0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1.36662717E8</v>
      </c>
      <c r="B109" s="31" t="s">
        <v>368</v>
      </c>
      <c r="C109" s="32">
        <v>5.0895207E7</v>
      </c>
      <c r="D109" s="32">
        <v>6.42591057E8</v>
      </c>
      <c r="E109" s="32">
        <v>5983193.0</v>
      </c>
      <c r="F109" s="32">
        <v>9070828.0</v>
      </c>
      <c r="G109" s="32">
        <v>2.1875352E7</v>
      </c>
      <c r="H109" s="32">
        <v>2.0746119E7</v>
      </c>
      <c r="I109" s="32">
        <v>0.0</v>
      </c>
      <c r="J109" s="32">
        <v>8.674736417E9</v>
      </c>
      <c r="K109" s="32">
        <v>6.253611637E9</v>
      </c>
      <c r="L109" s="32">
        <v>53465.0</v>
      </c>
      <c r="M109" s="31" t="s">
        <v>119</v>
      </c>
      <c r="N109" s="31">
        <v>25.0</v>
      </c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4.9509851E7</v>
      </c>
      <c r="B110" s="31" t="s">
        <v>494</v>
      </c>
      <c r="C110" s="32">
        <v>5.0499903E7</v>
      </c>
      <c r="D110" s="32">
        <v>4.07994458E8</v>
      </c>
      <c r="E110" s="32">
        <v>4365803.0</v>
      </c>
      <c r="F110" s="32">
        <v>1.0875682E7</v>
      </c>
      <c r="G110" s="32">
        <v>2.1346983E7</v>
      </c>
      <c r="H110" s="32">
        <v>8917738.0</v>
      </c>
      <c r="I110" s="32">
        <v>0.0</v>
      </c>
      <c r="J110" s="32">
        <v>6.603443577E9</v>
      </c>
      <c r="K110" s="32">
        <v>1.416612953E10</v>
      </c>
      <c r="L110" s="32">
        <v>30771.0</v>
      </c>
      <c r="M110" s="31" t="s">
        <v>492</v>
      </c>
      <c r="N110" s="31">
        <v>25.0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1.0047682E8</v>
      </c>
      <c r="B111" s="31" t="s">
        <v>370</v>
      </c>
      <c r="C111" s="32">
        <v>5.020197E7</v>
      </c>
      <c r="D111" s="32">
        <v>9.844334E7</v>
      </c>
      <c r="E111" s="32">
        <v>9618029.0</v>
      </c>
      <c r="F111" s="32">
        <v>103212.0</v>
      </c>
      <c r="G111" s="32">
        <v>3542905.0</v>
      </c>
      <c r="H111" s="32">
        <v>3140229.0</v>
      </c>
      <c r="I111" s="32">
        <v>0.0</v>
      </c>
      <c r="J111" s="32">
        <v>3.5310028756E10</v>
      </c>
      <c r="K111" s="32">
        <v>4.3490023804E10</v>
      </c>
      <c r="L111" s="32">
        <v>21131.0</v>
      </c>
      <c r="M111" s="31" t="s">
        <v>147</v>
      </c>
      <c r="N111" s="31">
        <v>25.0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1.59857111E8</v>
      </c>
      <c r="B112" s="31" t="s">
        <v>369</v>
      </c>
      <c r="C112" s="32">
        <v>4.927791E7</v>
      </c>
      <c r="D112" s="32">
        <v>4.62312575E8</v>
      </c>
      <c r="E112" s="32">
        <v>3125000.0</v>
      </c>
      <c r="F112" s="32">
        <v>2.1498577E7</v>
      </c>
      <c r="G112" s="32">
        <v>3.5649606E7</v>
      </c>
      <c r="H112" s="32">
        <v>4723804.0</v>
      </c>
      <c r="I112" s="32">
        <v>0.0</v>
      </c>
      <c r="J112" s="32">
        <v>8.122501681E9</v>
      </c>
      <c r="K112" s="32">
        <v>3.350520456E9</v>
      </c>
      <c r="L112" s="32">
        <v>37300.0</v>
      </c>
      <c r="M112" s="31" t="s">
        <v>479</v>
      </c>
      <c r="N112" s="31">
        <v>25.0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1.68025153E8</v>
      </c>
      <c r="B113" s="31" t="s">
        <v>146</v>
      </c>
      <c r="C113" s="32">
        <v>4.892164E7</v>
      </c>
      <c r="D113" s="32">
        <v>2.8188141E7</v>
      </c>
      <c r="E113" s="32">
        <v>1667579.0</v>
      </c>
      <c r="F113" s="32">
        <v>260005.0</v>
      </c>
      <c r="G113" s="32">
        <v>748668.0</v>
      </c>
      <c r="H113" s="32">
        <v>1032023.0</v>
      </c>
      <c r="I113" s="32">
        <v>0.0</v>
      </c>
      <c r="J113" s="32">
        <v>3.907117979E9</v>
      </c>
      <c r="K113" s="32">
        <v>2.779142711E9</v>
      </c>
      <c r="L113" s="32">
        <v>4554.0</v>
      </c>
      <c r="M113" s="31" t="s">
        <v>34</v>
      </c>
      <c r="N113" s="31">
        <v>25.0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1.44088316E8</v>
      </c>
      <c r="B114" s="31" t="s">
        <v>152</v>
      </c>
      <c r="C114" s="32">
        <v>4.8569844E7</v>
      </c>
      <c r="D114" s="32">
        <v>4.2555014E7</v>
      </c>
      <c r="E114" s="32">
        <v>4390339.0</v>
      </c>
      <c r="F114" s="32">
        <v>456983.0</v>
      </c>
      <c r="G114" s="32">
        <v>939021.0</v>
      </c>
      <c r="H114" s="32">
        <v>1357682.0</v>
      </c>
      <c r="I114" s="32">
        <v>0.0</v>
      </c>
      <c r="J114" s="32">
        <v>1.1060769826E10</v>
      </c>
      <c r="K114" s="32">
        <v>1.45E9</v>
      </c>
      <c r="L114" s="32">
        <v>13313.0</v>
      </c>
      <c r="M114" s="31" t="s">
        <v>153</v>
      </c>
      <c r="N114" s="31">
        <v>25.0</v>
      </c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1.44049503E8</v>
      </c>
      <c r="B115" s="31" t="s">
        <v>495</v>
      </c>
      <c r="C115" s="32">
        <v>4.7694107E7</v>
      </c>
      <c r="D115" s="32">
        <v>1.51533045E8</v>
      </c>
      <c r="E115" s="32">
        <v>5568342.0</v>
      </c>
      <c r="F115" s="32">
        <v>1905869.0</v>
      </c>
      <c r="G115" s="32">
        <v>8778048.0</v>
      </c>
      <c r="H115" s="32">
        <v>2950554.0</v>
      </c>
      <c r="I115" s="32">
        <v>0.0</v>
      </c>
      <c r="J115" s="32">
        <v>9.157310325E9</v>
      </c>
      <c r="K115" s="32">
        <v>1.86E7</v>
      </c>
      <c r="L115" s="32">
        <v>30055.0</v>
      </c>
      <c r="M115" s="31" t="s">
        <v>66</v>
      </c>
      <c r="N115" s="31">
        <v>25.0</v>
      </c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1.44064126E8</v>
      </c>
      <c r="B116" s="31" t="s">
        <v>416</v>
      </c>
      <c r="C116" s="32">
        <v>4.768854E7</v>
      </c>
      <c r="D116" s="32">
        <v>3.28313084E8</v>
      </c>
      <c r="E116" s="32">
        <v>8224568.0</v>
      </c>
      <c r="F116" s="32">
        <v>5000101.0</v>
      </c>
      <c r="G116" s="32">
        <v>1.8254451E7</v>
      </c>
      <c r="H116" s="32">
        <v>5172191.0</v>
      </c>
      <c r="I116" s="32">
        <v>0.0</v>
      </c>
      <c r="J116" s="32">
        <v>9.122257299E9</v>
      </c>
      <c r="K116" s="32">
        <v>4.867183E7</v>
      </c>
      <c r="L116" s="32">
        <v>13851.0</v>
      </c>
      <c r="M116" s="31" t="s">
        <v>66</v>
      </c>
      <c r="N116" s="31">
        <v>25.0</v>
      </c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1.69953509E8</v>
      </c>
      <c r="B117" s="31" t="s">
        <v>415</v>
      </c>
      <c r="C117" s="32">
        <v>4.7758219E7</v>
      </c>
      <c r="D117" s="32">
        <v>2.30591814E8</v>
      </c>
      <c r="E117" s="32">
        <v>5726080.0</v>
      </c>
      <c r="F117" s="32">
        <v>6.62997E7</v>
      </c>
      <c r="G117" s="32">
        <v>7384557.0</v>
      </c>
      <c r="H117" s="32">
        <v>6623854.0</v>
      </c>
      <c r="I117" s="32">
        <v>0.0</v>
      </c>
      <c r="J117" s="32">
        <v>9.387307365E9</v>
      </c>
      <c r="K117" s="32">
        <v>1.994309821E9</v>
      </c>
      <c r="L117" s="32">
        <v>20669.0</v>
      </c>
      <c r="M117" s="31" t="s">
        <v>34</v>
      </c>
      <c r="N117" s="31">
        <v>25.0</v>
      </c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1.69420296E8</v>
      </c>
      <c r="B118" s="31" t="s">
        <v>136</v>
      </c>
      <c r="C118" s="32">
        <v>4.7646786E7</v>
      </c>
      <c r="D118" s="32">
        <v>1.73179572E8</v>
      </c>
      <c r="E118" s="32">
        <v>5961553.0</v>
      </c>
      <c r="F118" s="32">
        <v>212763.0</v>
      </c>
      <c r="G118" s="32">
        <v>4573682.0</v>
      </c>
      <c r="H118" s="32">
        <v>6352278.0</v>
      </c>
      <c r="I118" s="32">
        <v>0.0</v>
      </c>
      <c r="J118" s="32">
        <v>1.3366905913E10</v>
      </c>
      <c r="K118" s="32">
        <v>2.23272131E8</v>
      </c>
      <c r="L118" s="32">
        <v>32373.0</v>
      </c>
      <c r="M118" s="31" t="s">
        <v>147</v>
      </c>
      <c r="N118" s="31">
        <v>25.0</v>
      </c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1.72015122E8</v>
      </c>
      <c r="B119" s="31" t="s">
        <v>419</v>
      </c>
      <c r="C119" s="32">
        <v>4.7614722E7</v>
      </c>
      <c r="D119" s="32">
        <v>6.9641716E7</v>
      </c>
      <c r="E119" s="32">
        <v>6395944.0</v>
      </c>
      <c r="F119" s="32">
        <v>1149740.0</v>
      </c>
      <c r="G119" s="32">
        <v>4123036.0</v>
      </c>
      <c r="H119" s="32">
        <v>1280819.0</v>
      </c>
      <c r="I119" s="32">
        <v>0.0</v>
      </c>
      <c r="J119" s="32">
        <v>6.320081165E9</v>
      </c>
      <c r="K119" s="32">
        <v>2.255803635E9</v>
      </c>
      <c r="L119" s="32">
        <v>14158.0</v>
      </c>
      <c r="M119" s="31" t="s">
        <v>66</v>
      </c>
      <c r="N119" s="31">
        <v>25.0</v>
      </c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1.6901814E8</v>
      </c>
      <c r="B120" s="31" t="s">
        <v>137</v>
      </c>
      <c r="C120" s="32">
        <v>4.71131E7</v>
      </c>
      <c r="D120" s="32">
        <v>1.37265257E8</v>
      </c>
      <c r="E120" s="32">
        <v>3817474.0</v>
      </c>
      <c r="F120" s="32">
        <v>420836.0</v>
      </c>
      <c r="G120" s="32">
        <v>5462223.0</v>
      </c>
      <c r="H120" s="32">
        <v>4086517.0</v>
      </c>
      <c r="I120" s="32">
        <v>0.0</v>
      </c>
      <c r="J120" s="32">
        <v>1.1971151551E10</v>
      </c>
      <c r="K120" s="32">
        <v>3.087268407E9</v>
      </c>
      <c r="L120" s="32">
        <v>32248.0</v>
      </c>
      <c r="M120" s="31" t="s">
        <v>34</v>
      </c>
      <c r="N120" s="31">
        <v>25.0</v>
      </c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1.66234202E8</v>
      </c>
      <c r="B121" s="31" t="s">
        <v>135</v>
      </c>
      <c r="C121" s="32">
        <v>4.7002547E7</v>
      </c>
      <c r="D121" s="32">
        <v>2.90951834E8</v>
      </c>
      <c r="E121" s="32">
        <v>4602423.0</v>
      </c>
      <c r="F121" s="32">
        <v>1992214.0</v>
      </c>
      <c r="G121" s="32">
        <v>1.3715314E7</v>
      </c>
      <c r="H121" s="32">
        <v>6461817.0</v>
      </c>
      <c r="I121" s="32">
        <v>0.0</v>
      </c>
      <c r="J121" s="32">
        <v>1.1284304188E10</v>
      </c>
      <c r="K121" s="32">
        <v>1.48881707E9</v>
      </c>
      <c r="L121" s="32">
        <v>33382.0</v>
      </c>
      <c r="M121" s="31" t="s">
        <v>34</v>
      </c>
      <c r="N121" s="31">
        <v>25.0</v>
      </c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1.44114697E8</v>
      </c>
      <c r="B122" s="31" t="s">
        <v>417</v>
      </c>
      <c r="C122" s="32">
        <v>4.6762128E7</v>
      </c>
      <c r="D122" s="32">
        <v>2.01875553E8</v>
      </c>
      <c r="E122" s="32">
        <v>4023063.0</v>
      </c>
      <c r="F122" s="32">
        <v>682449.0</v>
      </c>
      <c r="G122" s="32">
        <v>7945813.0</v>
      </c>
      <c r="H122" s="32">
        <v>5801472.0</v>
      </c>
      <c r="I122" s="32">
        <v>0.0</v>
      </c>
      <c r="J122" s="32">
        <v>9.956358527E9</v>
      </c>
      <c r="K122" s="32">
        <v>4.278847644E9</v>
      </c>
      <c r="L122" s="32">
        <v>35353.0</v>
      </c>
      <c r="M122" s="31" t="s">
        <v>66</v>
      </c>
      <c r="N122" s="31">
        <v>25.0</v>
      </c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1.76044158E8</v>
      </c>
      <c r="B123" s="31" t="s">
        <v>139</v>
      </c>
      <c r="C123" s="32">
        <v>4.6485986E7</v>
      </c>
      <c r="D123" s="32">
        <v>7.9882444E7</v>
      </c>
      <c r="E123" s="32">
        <v>3644629.0</v>
      </c>
      <c r="F123" s="32">
        <v>315692.0</v>
      </c>
      <c r="G123" s="32">
        <v>2290632.0</v>
      </c>
      <c r="H123" s="32">
        <v>2829715.0</v>
      </c>
      <c r="I123" s="32">
        <v>0.0</v>
      </c>
      <c r="J123" s="32">
        <v>1.6964869963E10</v>
      </c>
      <c r="K123" s="32">
        <v>4.244536539E9</v>
      </c>
      <c r="L123" s="32">
        <v>15458.0</v>
      </c>
      <c r="M123" s="31" t="s">
        <v>34</v>
      </c>
      <c r="N123" s="31">
        <v>25.0</v>
      </c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1.72008118E8</v>
      </c>
      <c r="B124" s="31" t="s">
        <v>453</v>
      </c>
      <c r="C124" s="32">
        <v>4.6483519E7</v>
      </c>
      <c r="D124" s="32">
        <v>3.7403711E7</v>
      </c>
      <c r="E124" s="32">
        <v>4591447.0</v>
      </c>
      <c r="F124" s="32">
        <v>57057.0</v>
      </c>
      <c r="G124" s="32">
        <v>1153831.0</v>
      </c>
      <c r="H124" s="32">
        <v>1274367.0</v>
      </c>
      <c r="I124" s="32">
        <v>0.0</v>
      </c>
      <c r="J124" s="32">
        <v>8.160035243E9</v>
      </c>
      <c r="K124" s="32">
        <v>1.80113412E8</v>
      </c>
      <c r="L124" s="32">
        <v>7874.0</v>
      </c>
      <c r="M124" s="31" t="s">
        <v>34</v>
      </c>
      <c r="N124" s="31">
        <v>25.0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1.56007436E8</v>
      </c>
      <c r="B125" s="31" t="s">
        <v>413</v>
      </c>
      <c r="C125" s="32">
        <v>4.6329279E7</v>
      </c>
      <c r="D125" s="32">
        <v>1.56860132E8</v>
      </c>
      <c r="E125" s="32">
        <v>1.1314409E7</v>
      </c>
      <c r="F125" s="32">
        <v>432174.0</v>
      </c>
      <c r="G125" s="32">
        <v>4983875.0</v>
      </c>
      <c r="H125" s="32">
        <v>5276550.0</v>
      </c>
      <c r="I125" s="32">
        <v>0.0</v>
      </c>
      <c r="J125" s="32">
        <v>1.104118655E10</v>
      </c>
      <c r="K125" s="32">
        <v>1.357531292E9</v>
      </c>
      <c r="L125" s="32">
        <v>13385.0</v>
      </c>
      <c r="M125" s="31" t="s">
        <v>34</v>
      </c>
      <c r="N125" s="31">
        <v>25.0</v>
      </c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1.70028719E8</v>
      </c>
      <c r="B126" s="31" t="s">
        <v>452</v>
      </c>
      <c r="C126" s="32">
        <v>4.6053497E7</v>
      </c>
      <c r="D126" s="32">
        <v>1.13525805E8</v>
      </c>
      <c r="E126" s="32">
        <v>2509868.0</v>
      </c>
      <c r="F126" s="32">
        <v>2239547.0</v>
      </c>
      <c r="G126" s="32">
        <v>4864304.0</v>
      </c>
      <c r="H126" s="32">
        <v>2816899.0</v>
      </c>
      <c r="I126" s="32">
        <v>0.0</v>
      </c>
      <c r="J126" s="32">
        <v>5.741864317E9</v>
      </c>
      <c r="K126" s="32">
        <v>3.979143277E9</v>
      </c>
      <c r="L126" s="32">
        <v>40619.0</v>
      </c>
      <c r="M126" s="31" t="s">
        <v>147</v>
      </c>
      <c r="N126" s="31">
        <v>25.0</v>
      </c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1.77187021E8</v>
      </c>
      <c r="B127" s="31" t="s">
        <v>418</v>
      </c>
      <c r="C127" s="32">
        <v>4.5498157E7</v>
      </c>
      <c r="D127" s="32">
        <v>1.05104406E8</v>
      </c>
      <c r="E127" s="32">
        <v>6685524.0</v>
      </c>
      <c r="F127" s="32">
        <v>465612.0</v>
      </c>
      <c r="G127" s="32">
        <v>2717479.0</v>
      </c>
      <c r="H127" s="32">
        <v>3875468.0</v>
      </c>
      <c r="I127" s="32">
        <v>0.0</v>
      </c>
      <c r="J127" s="32">
        <v>8.804481932E9</v>
      </c>
      <c r="K127" s="32">
        <v>7.08430819E8</v>
      </c>
      <c r="L127" s="32">
        <v>24703.0</v>
      </c>
      <c r="M127" s="31" t="s">
        <v>34</v>
      </c>
      <c r="N127" s="31">
        <v>25.0</v>
      </c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1.45023737E8</v>
      </c>
      <c r="B128" s="31" t="s">
        <v>161</v>
      </c>
      <c r="C128" s="32">
        <v>4.5478321E7</v>
      </c>
      <c r="D128" s="32">
        <v>1.54949093E8</v>
      </c>
      <c r="E128" s="32">
        <v>2447417.0</v>
      </c>
      <c r="F128" s="32">
        <v>1349297.0</v>
      </c>
      <c r="G128" s="32">
        <v>1.0444082E7</v>
      </c>
      <c r="H128" s="32">
        <v>2189568.0</v>
      </c>
      <c r="I128" s="32">
        <v>0.0</v>
      </c>
      <c r="J128" s="32">
        <v>7.020805933E9</v>
      </c>
      <c r="K128" s="32">
        <v>6.96238399E8</v>
      </c>
      <c r="L128" s="32">
        <v>24655.0</v>
      </c>
      <c r="M128" s="31" t="s">
        <v>147</v>
      </c>
      <c r="N128" s="31">
        <v>25.0</v>
      </c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1.71697263E8</v>
      </c>
      <c r="B129" s="31" t="s">
        <v>109</v>
      </c>
      <c r="C129" s="32">
        <v>4.488788E7</v>
      </c>
      <c r="D129" s="32">
        <v>3.70923377E8</v>
      </c>
      <c r="E129" s="32">
        <v>8416391.0</v>
      </c>
      <c r="F129" s="32">
        <v>1.7151277E7</v>
      </c>
      <c r="G129" s="32">
        <v>1.6767073E7</v>
      </c>
      <c r="H129" s="32">
        <v>9924028.0</v>
      </c>
      <c r="I129" s="32">
        <v>0.0</v>
      </c>
      <c r="J129" s="32">
        <v>5.304537565E9</v>
      </c>
      <c r="K129" s="32">
        <v>6.76969728E8</v>
      </c>
      <c r="L129" s="32">
        <v>42669.0</v>
      </c>
      <c r="M129" s="31" t="s">
        <v>34</v>
      </c>
      <c r="N129" s="31">
        <v>25.0</v>
      </c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1.71945722E8</v>
      </c>
      <c r="B130" s="31" t="s">
        <v>371</v>
      </c>
      <c r="C130" s="32">
        <v>4.4075592E7</v>
      </c>
      <c r="D130" s="32">
        <v>6.0955703E7</v>
      </c>
      <c r="E130" s="32">
        <v>4437053.0</v>
      </c>
      <c r="F130" s="32">
        <v>107839.0</v>
      </c>
      <c r="G130" s="32">
        <v>3030969.0</v>
      </c>
      <c r="H130" s="32">
        <v>1522461.0</v>
      </c>
      <c r="I130" s="32">
        <v>0.0</v>
      </c>
      <c r="J130" s="32">
        <v>1.0886425435E10</v>
      </c>
      <c r="K130" s="32">
        <v>2.86825022E9</v>
      </c>
      <c r="L130" s="32">
        <v>15508.0</v>
      </c>
      <c r="M130" s="31" t="s">
        <v>34</v>
      </c>
      <c r="N130" s="31">
        <v>25.0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1.60258193E8</v>
      </c>
      <c r="B131" s="31" t="s">
        <v>145</v>
      </c>
      <c r="C131" s="32">
        <v>4.2822452E7</v>
      </c>
      <c r="D131" s="32">
        <v>4.3574739E7</v>
      </c>
      <c r="E131" s="32">
        <v>2440420.0</v>
      </c>
      <c r="F131" s="32">
        <v>1459647.0</v>
      </c>
      <c r="G131" s="32">
        <v>2666256.0</v>
      </c>
      <c r="H131" s="32">
        <v>711945.0</v>
      </c>
      <c r="I131" s="32">
        <v>0.0</v>
      </c>
      <c r="J131" s="32">
        <v>6.392135956E9</v>
      </c>
      <c r="K131" s="32">
        <v>1.242818482E9</v>
      </c>
      <c r="L131" s="32">
        <v>22884.0</v>
      </c>
      <c r="M131" s="31" t="s">
        <v>147</v>
      </c>
      <c r="N131" s="31">
        <v>25.0</v>
      </c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1.4361245E8</v>
      </c>
      <c r="B132" s="31" t="s">
        <v>144</v>
      </c>
      <c r="C132" s="32">
        <v>4.267031E7</v>
      </c>
      <c r="D132" s="32">
        <v>4.93645616E8</v>
      </c>
      <c r="E132" s="32">
        <v>4384868.0</v>
      </c>
      <c r="F132" s="32">
        <v>4579744.0</v>
      </c>
      <c r="G132" s="32">
        <v>2.8417506E7</v>
      </c>
      <c r="H132" s="32">
        <v>9875211.0</v>
      </c>
      <c r="I132" s="32">
        <v>0.0</v>
      </c>
      <c r="J132" s="32">
        <v>9.975094645E9</v>
      </c>
      <c r="K132" s="32">
        <v>7.147666033E9</v>
      </c>
      <c r="L132" s="32">
        <v>32165.0</v>
      </c>
      <c r="M132" s="31" t="s">
        <v>34</v>
      </c>
      <c r="N132" s="31">
        <v>25.0</v>
      </c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8.8110635E7</v>
      </c>
      <c r="B133" s="31" t="s">
        <v>149</v>
      </c>
      <c r="C133" s="32">
        <v>4.2393837E7</v>
      </c>
      <c r="D133" s="32">
        <v>3.6234973E7</v>
      </c>
      <c r="E133" s="32">
        <v>6531506.0</v>
      </c>
      <c r="F133" s="32">
        <v>32907.0</v>
      </c>
      <c r="G133" s="32">
        <v>941976.0</v>
      </c>
      <c r="H133" s="32">
        <v>1302977.0</v>
      </c>
      <c r="I133" s="32">
        <v>0.0</v>
      </c>
      <c r="J133" s="32">
        <v>9.056445524E9</v>
      </c>
      <c r="K133" s="32">
        <v>1.05797584E8</v>
      </c>
      <c r="L133" s="32">
        <v>13081.0</v>
      </c>
      <c r="M133" s="31" t="s">
        <v>126</v>
      </c>
      <c r="N133" s="31">
        <v>25.0</v>
      </c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1.43551941E8</v>
      </c>
      <c r="B134" s="31" t="s">
        <v>151</v>
      </c>
      <c r="C134" s="32">
        <v>4.2380578E7</v>
      </c>
      <c r="D134" s="32">
        <v>1.46157717E8</v>
      </c>
      <c r="E134" s="32">
        <v>2445001.0</v>
      </c>
      <c r="F134" s="32">
        <v>1655199.0</v>
      </c>
      <c r="G134" s="32">
        <v>9930156.0</v>
      </c>
      <c r="H134" s="32">
        <v>2043226.0</v>
      </c>
      <c r="I134" s="32">
        <v>0.0</v>
      </c>
      <c r="J134" s="32">
        <v>7.011555418E9</v>
      </c>
      <c r="K134" s="32">
        <v>3.2640001E7</v>
      </c>
      <c r="L134" s="32">
        <v>26468.0</v>
      </c>
      <c r="M134" s="31" t="s">
        <v>480</v>
      </c>
      <c r="N134" s="31">
        <v>25.0</v>
      </c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1.68206434E8</v>
      </c>
      <c r="B135" s="31" t="s">
        <v>454</v>
      </c>
      <c r="C135" s="32">
        <v>4.209098E7</v>
      </c>
      <c r="D135" s="32">
        <v>1.06879695E8</v>
      </c>
      <c r="E135" s="32">
        <v>6942759.0</v>
      </c>
      <c r="F135" s="32">
        <v>853198.0</v>
      </c>
      <c r="G135" s="32">
        <v>4459154.0</v>
      </c>
      <c r="H135" s="32">
        <v>2856721.0</v>
      </c>
      <c r="I135" s="32">
        <v>0.0</v>
      </c>
      <c r="J135" s="32">
        <v>5.12605058E9</v>
      </c>
      <c r="K135" s="32">
        <v>2.72430913E8</v>
      </c>
      <c r="L135" s="32">
        <v>5971.0</v>
      </c>
      <c r="M135" s="31" t="s">
        <v>147</v>
      </c>
      <c r="N135" s="31">
        <v>25.0</v>
      </c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1.75650426E8</v>
      </c>
      <c r="B136" s="31" t="s">
        <v>154</v>
      </c>
      <c r="C136" s="32">
        <v>4.1020056E7</v>
      </c>
      <c r="D136" s="32">
        <v>1.9611264E8</v>
      </c>
      <c r="E136" s="32">
        <v>6762867.0</v>
      </c>
      <c r="F136" s="32">
        <v>6316304.0</v>
      </c>
      <c r="G136" s="32">
        <v>8168096.0</v>
      </c>
      <c r="H136" s="32">
        <v>4923434.0</v>
      </c>
      <c r="I136" s="32">
        <v>0.0</v>
      </c>
      <c r="J136" s="32">
        <v>6.184097473E9</v>
      </c>
      <c r="K136" s="32">
        <v>3.299085086E9</v>
      </c>
      <c r="L136" s="32">
        <v>19374.0</v>
      </c>
      <c r="M136" s="31" t="s">
        <v>34</v>
      </c>
      <c r="N136" s="31">
        <v>25.0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1.71922856E8</v>
      </c>
      <c r="B137" s="31" t="s">
        <v>420</v>
      </c>
      <c r="C137" s="32">
        <v>4.0807752E7</v>
      </c>
      <c r="D137" s="32">
        <v>7.1515828E7</v>
      </c>
      <c r="E137" s="32">
        <v>3619775.0</v>
      </c>
      <c r="F137" s="32">
        <v>184044.0</v>
      </c>
      <c r="G137" s="32">
        <v>2680128.0</v>
      </c>
      <c r="H137" s="32">
        <v>1917374.0</v>
      </c>
      <c r="I137" s="32">
        <v>0.0</v>
      </c>
      <c r="J137" s="32">
        <v>5.329409545E9</v>
      </c>
      <c r="K137" s="32">
        <v>5.66068641E8</v>
      </c>
      <c r="L137" s="32">
        <v>17466.0</v>
      </c>
      <c r="M137" s="31" t="s">
        <v>34</v>
      </c>
      <c r="N137" s="31">
        <v>25.0</v>
      </c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1.67863288E8</v>
      </c>
      <c r="B138" s="31" t="s">
        <v>481</v>
      </c>
      <c r="C138" s="32">
        <v>4.051509E7</v>
      </c>
      <c r="D138" s="32">
        <v>1.31331874E8</v>
      </c>
      <c r="E138" s="32">
        <v>6375488.0</v>
      </c>
      <c r="F138" s="32">
        <v>1542021.0</v>
      </c>
      <c r="G138" s="32">
        <v>6804637.0</v>
      </c>
      <c r="H138" s="32">
        <v>2893886.0</v>
      </c>
      <c r="I138" s="32">
        <v>0.0</v>
      </c>
      <c r="J138" s="32">
        <v>9.31458726E9</v>
      </c>
      <c r="K138" s="32">
        <v>2.405594729E9</v>
      </c>
      <c r="L138" s="32">
        <v>41076.0</v>
      </c>
      <c r="M138" s="31" t="s">
        <v>119</v>
      </c>
      <c r="N138" s="31">
        <v>25.0</v>
      </c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1.72029365E8</v>
      </c>
      <c r="B139" s="31" t="s">
        <v>148</v>
      </c>
      <c r="C139" s="32">
        <v>4.0272496E7</v>
      </c>
      <c r="D139" s="32">
        <v>1.31399465E8</v>
      </c>
      <c r="E139" s="32">
        <v>8193329.0</v>
      </c>
      <c r="F139" s="32">
        <v>670128.0</v>
      </c>
      <c r="G139" s="32">
        <v>3794613.0</v>
      </c>
      <c r="H139" s="32">
        <v>4588637.0</v>
      </c>
      <c r="I139" s="32">
        <v>0.0</v>
      </c>
      <c r="J139" s="32">
        <v>5.857118336E9</v>
      </c>
      <c r="K139" s="32">
        <v>1.169311746E9</v>
      </c>
      <c r="L139" s="32">
        <v>17596.0</v>
      </c>
      <c r="M139" s="31" t="s">
        <v>34</v>
      </c>
      <c r="N139" s="31">
        <v>25.0</v>
      </c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1.75551858E8</v>
      </c>
      <c r="B140" s="31" t="s">
        <v>496</v>
      </c>
      <c r="C140" s="32">
        <v>3.9996457E7</v>
      </c>
      <c r="D140" s="32">
        <v>5.564354E7</v>
      </c>
      <c r="E140" s="32">
        <v>6315733.0</v>
      </c>
      <c r="F140" s="32">
        <v>477113.0</v>
      </c>
      <c r="G140" s="32">
        <v>4088704.0</v>
      </c>
      <c r="H140" s="32">
        <v>684436.0</v>
      </c>
      <c r="I140" s="32">
        <v>0.0</v>
      </c>
      <c r="J140" s="32">
        <v>5.834369183E9</v>
      </c>
      <c r="K140" s="32">
        <v>4.83084529E8</v>
      </c>
      <c r="L140" s="32">
        <v>10301.0</v>
      </c>
      <c r="M140" s="31" t="s">
        <v>66</v>
      </c>
      <c r="N140" s="31">
        <v>25.0</v>
      </c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1.45948216E8</v>
      </c>
      <c r="B141" s="31" t="s">
        <v>167</v>
      </c>
      <c r="C141" s="32">
        <v>3.9258409E7</v>
      </c>
      <c r="D141" s="32">
        <v>6.1245328E7</v>
      </c>
      <c r="E141" s="32">
        <v>4232587.0</v>
      </c>
      <c r="F141" s="32">
        <v>52194.0</v>
      </c>
      <c r="G141" s="32">
        <v>1178160.0</v>
      </c>
      <c r="H141" s="32">
        <v>2460564.0</v>
      </c>
      <c r="I141" s="32">
        <v>0.0</v>
      </c>
      <c r="J141" s="32">
        <v>1.0640403973E10</v>
      </c>
      <c r="K141" s="32">
        <v>6.848628877E9</v>
      </c>
      <c r="L141" s="32">
        <v>10380.0</v>
      </c>
      <c r="M141" s="31" t="s">
        <v>34</v>
      </c>
      <c r="N141" s="31">
        <v>25.0</v>
      </c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1.71830779E8</v>
      </c>
      <c r="B142" s="31" t="s">
        <v>372</v>
      </c>
      <c r="C142" s="32">
        <v>3.9124393E7</v>
      </c>
      <c r="D142" s="32">
        <v>1.97306617E8</v>
      </c>
      <c r="E142" s="32">
        <v>6279274.0</v>
      </c>
      <c r="F142" s="32">
        <v>896608.0</v>
      </c>
      <c r="G142" s="32">
        <v>1.0786997E7</v>
      </c>
      <c r="H142" s="32">
        <v>4400279.0</v>
      </c>
      <c r="I142" s="32">
        <v>0.0</v>
      </c>
      <c r="J142" s="32">
        <v>6.486958669E9</v>
      </c>
      <c r="K142" s="32">
        <v>5.681506E8</v>
      </c>
      <c r="L142" s="32">
        <v>44708.0</v>
      </c>
      <c r="M142" s="31" t="s">
        <v>147</v>
      </c>
      <c r="N142" s="31">
        <v>25.0</v>
      </c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1.44079875E8</v>
      </c>
      <c r="B143" s="31" t="s">
        <v>497</v>
      </c>
      <c r="C143" s="32">
        <v>3.7416853E7</v>
      </c>
      <c r="D143" s="32">
        <v>3.4849267E7</v>
      </c>
      <c r="E143" s="32">
        <v>1639848.0</v>
      </c>
      <c r="F143" s="32">
        <v>1726368.0</v>
      </c>
      <c r="G143" s="32">
        <v>1241495.0</v>
      </c>
      <c r="H143" s="32">
        <v>449037.0</v>
      </c>
      <c r="I143" s="32">
        <v>0.0</v>
      </c>
      <c r="J143" s="32">
        <v>6.201412364E9</v>
      </c>
      <c r="K143" s="32">
        <v>7.22210937E8</v>
      </c>
      <c r="L143" s="32">
        <v>5020.0</v>
      </c>
      <c r="M143" s="31" t="s">
        <v>66</v>
      </c>
      <c r="N143" s="31">
        <v>25.0</v>
      </c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6.5948574E7</v>
      </c>
      <c r="B144" s="31" t="s">
        <v>157</v>
      </c>
      <c r="C144" s="32">
        <v>3.7047608E7</v>
      </c>
      <c r="D144" s="32">
        <v>1.23470244E8</v>
      </c>
      <c r="E144" s="32">
        <v>9779974.0</v>
      </c>
      <c r="F144" s="32">
        <v>920251.0</v>
      </c>
      <c r="G144" s="32">
        <v>5037806.0</v>
      </c>
      <c r="H144" s="32">
        <v>3513962.0</v>
      </c>
      <c r="I144" s="32">
        <v>0.0</v>
      </c>
      <c r="J144" s="32">
        <v>2.191844686E10</v>
      </c>
      <c r="K144" s="32">
        <v>2.3958373403E10</v>
      </c>
      <c r="L144" s="32">
        <v>21536.0</v>
      </c>
      <c r="M144" s="31" t="s">
        <v>34</v>
      </c>
      <c r="N144" s="31">
        <v>25.0</v>
      </c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1.43328412E8</v>
      </c>
      <c r="B145" s="31" t="s">
        <v>158</v>
      </c>
      <c r="C145" s="32">
        <v>3.6364022E7</v>
      </c>
      <c r="D145" s="32">
        <v>3.24920088E8</v>
      </c>
      <c r="E145" s="32">
        <v>5751734.0</v>
      </c>
      <c r="F145" s="32">
        <v>2657791.0</v>
      </c>
      <c r="G145" s="32">
        <v>2.4253096E7</v>
      </c>
      <c r="H145" s="32">
        <v>3145842.0</v>
      </c>
      <c r="I145" s="32">
        <v>0.0</v>
      </c>
      <c r="J145" s="32">
        <v>1.0062343813E10</v>
      </c>
      <c r="K145" s="32">
        <v>8.501035607E9</v>
      </c>
      <c r="L145" s="32">
        <v>30006.0</v>
      </c>
      <c r="M145" s="31" t="s">
        <v>94</v>
      </c>
      <c r="N145" s="31">
        <v>25.0</v>
      </c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1.44052871E8</v>
      </c>
      <c r="B146" s="31" t="s">
        <v>162</v>
      </c>
      <c r="C146" s="32">
        <v>3.6027341E7</v>
      </c>
      <c r="D146" s="32">
        <v>1.0830023E7</v>
      </c>
      <c r="E146" s="32">
        <v>7086114.0</v>
      </c>
      <c r="F146" s="32">
        <v>294567.0</v>
      </c>
      <c r="G146" s="32">
        <v>392460.0</v>
      </c>
      <c r="H146" s="32">
        <v>216867.0</v>
      </c>
      <c r="I146" s="32">
        <v>0.0</v>
      </c>
      <c r="J146" s="32">
        <v>5.584152217E9</v>
      </c>
      <c r="K146" s="32">
        <v>64161.0</v>
      </c>
      <c r="L146" s="32">
        <v>316.0</v>
      </c>
      <c r="M146" s="31" t="s">
        <v>456</v>
      </c>
      <c r="N146" s="31">
        <v>25.0</v>
      </c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6.6847214E7</v>
      </c>
      <c r="B147" s="31" t="s">
        <v>159</v>
      </c>
      <c r="C147" s="32">
        <v>3.4736961E7</v>
      </c>
      <c r="D147" s="32">
        <v>1.27502569E8</v>
      </c>
      <c r="E147" s="32">
        <v>7182928.0</v>
      </c>
      <c r="F147" s="32">
        <v>258487.0</v>
      </c>
      <c r="G147" s="32">
        <v>4065081.0</v>
      </c>
      <c r="H147" s="32">
        <v>4268971.0</v>
      </c>
      <c r="I147" s="32">
        <v>0.0</v>
      </c>
      <c r="J147" s="32">
        <v>1.2266626872E10</v>
      </c>
      <c r="K147" s="32">
        <v>1.5933720332E10</v>
      </c>
      <c r="L147" s="32">
        <v>8245.0</v>
      </c>
      <c r="M147" s="31" t="s">
        <v>34</v>
      </c>
      <c r="N147" s="31">
        <v>25.0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6.4767252E7</v>
      </c>
      <c r="B148" s="31" t="s">
        <v>516</v>
      </c>
      <c r="C148" s="32">
        <v>3.3654688E7</v>
      </c>
      <c r="D148" s="32">
        <v>7.0286219E7</v>
      </c>
      <c r="E148" s="32">
        <v>1.0023578E7</v>
      </c>
      <c r="F148" s="32">
        <v>2.0765755E7</v>
      </c>
      <c r="G148" s="32">
        <v>1776659.0</v>
      </c>
      <c r="H148" s="32">
        <v>2376181.0</v>
      </c>
      <c r="I148" s="32">
        <v>0.0</v>
      </c>
      <c r="J148" s="32">
        <v>2.7566233664E10</v>
      </c>
      <c r="K148" s="32">
        <v>2.2325264292E10</v>
      </c>
      <c r="L148" s="32">
        <v>14830.0</v>
      </c>
      <c r="M148" s="31" t="s">
        <v>66</v>
      </c>
      <c r="N148" s="31">
        <v>25.0</v>
      </c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1.44059309E8</v>
      </c>
      <c r="B149" s="31" t="s">
        <v>164</v>
      </c>
      <c r="C149" s="32">
        <v>3.3159759E7</v>
      </c>
      <c r="D149" s="32">
        <v>1.7598036E7</v>
      </c>
      <c r="E149" s="32">
        <v>8743288.0</v>
      </c>
      <c r="F149" s="32">
        <v>557123.0</v>
      </c>
      <c r="G149" s="32">
        <v>628313.0</v>
      </c>
      <c r="H149" s="32">
        <v>269406.0</v>
      </c>
      <c r="I149" s="32">
        <v>0.0</v>
      </c>
      <c r="J149" s="32">
        <v>3.989965345E9</v>
      </c>
      <c r="K149" s="32">
        <v>719086.0</v>
      </c>
      <c r="L149" s="32">
        <v>2247.0</v>
      </c>
      <c r="M149" s="31" t="s">
        <v>165</v>
      </c>
      <c r="N149" s="31">
        <v>25.0</v>
      </c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1.81527216E8</v>
      </c>
      <c r="B150" s="31" t="s">
        <v>166</v>
      </c>
      <c r="C150" s="32">
        <v>3.2293723E7</v>
      </c>
      <c r="D150" s="32">
        <v>8713098.0</v>
      </c>
      <c r="E150" s="32">
        <v>3721329.0</v>
      </c>
      <c r="F150" s="32">
        <v>367661.0</v>
      </c>
      <c r="G150" s="32">
        <v>395838.0</v>
      </c>
      <c r="H150" s="32">
        <v>233744.0</v>
      </c>
      <c r="I150" s="32">
        <v>0.0</v>
      </c>
      <c r="J150" s="32">
        <v>3.716881516E9</v>
      </c>
      <c r="K150" s="32">
        <v>0.0</v>
      </c>
      <c r="L150" s="32">
        <v>5247.0</v>
      </c>
      <c r="M150" s="31" t="s">
        <v>165</v>
      </c>
      <c r="N150" s="31">
        <v>25.0</v>
      </c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3">
        <v>1.73621774E8</v>
      </c>
      <c r="B151" s="33" t="s">
        <v>421</v>
      </c>
      <c r="C151" s="34">
        <v>3.2253403E7</v>
      </c>
      <c r="D151" s="34">
        <v>5371343.0</v>
      </c>
      <c r="E151" s="34">
        <v>1065662.0</v>
      </c>
      <c r="F151" s="34">
        <v>253769.0</v>
      </c>
      <c r="G151" s="34">
        <v>215029.0</v>
      </c>
      <c r="H151" s="34">
        <v>107306.0</v>
      </c>
      <c r="I151" s="34">
        <v>0.0</v>
      </c>
      <c r="J151" s="34">
        <v>1.0474413902E10</v>
      </c>
      <c r="K151" s="34">
        <v>2.797921909E9</v>
      </c>
      <c r="L151" s="34">
        <v>4971.0</v>
      </c>
      <c r="M151" s="33" t="s">
        <v>153</v>
      </c>
      <c r="N151" s="33">
        <v>24.0</v>
      </c>
      <c r="O151" s="33"/>
      <c r="P151" s="33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1.39139149E8</v>
      </c>
      <c r="B152" s="31" t="s">
        <v>172</v>
      </c>
      <c r="C152" s="32">
        <v>3.1761394E7</v>
      </c>
      <c r="D152" s="32">
        <v>3.2066717E8</v>
      </c>
      <c r="E152" s="32">
        <v>5005600.0</v>
      </c>
      <c r="F152" s="32">
        <v>1.3375761E7</v>
      </c>
      <c r="G152" s="32">
        <v>2.1995011E7</v>
      </c>
      <c r="H152" s="32">
        <v>4331928.0</v>
      </c>
      <c r="I152" s="32">
        <v>0.0</v>
      </c>
      <c r="J152" s="32">
        <v>7.579831826E9</v>
      </c>
      <c r="K152" s="32">
        <v>5.98299802E8</v>
      </c>
      <c r="L152" s="32">
        <v>23375.0</v>
      </c>
      <c r="M152" s="31" t="s">
        <v>66</v>
      </c>
      <c r="N152" s="31">
        <v>25.0</v>
      </c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1.48890128E8</v>
      </c>
      <c r="B153" s="31" t="s">
        <v>170</v>
      </c>
      <c r="C153" s="32">
        <v>3.0927224E7</v>
      </c>
      <c r="D153" s="32">
        <v>2.6185762E7</v>
      </c>
      <c r="E153" s="32">
        <v>4350443.0</v>
      </c>
      <c r="F153" s="32">
        <v>269772.0</v>
      </c>
      <c r="G153" s="32">
        <v>1744020.0</v>
      </c>
      <c r="H153" s="32">
        <v>330142.0</v>
      </c>
      <c r="I153" s="32">
        <v>0.0</v>
      </c>
      <c r="J153" s="32">
        <v>8.164728585E9</v>
      </c>
      <c r="K153" s="32">
        <v>4.011433363E9</v>
      </c>
      <c r="L153" s="32">
        <v>6492.0</v>
      </c>
      <c r="M153" s="31" t="s">
        <v>126</v>
      </c>
      <c r="N153" s="31">
        <v>25.0</v>
      </c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1.44046322E8</v>
      </c>
      <c r="B154" s="31" t="s">
        <v>180</v>
      </c>
      <c r="C154" s="32">
        <v>3.0751183E7</v>
      </c>
      <c r="D154" s="32">
        <v>8494096.0</v>
      </c>
      <c r="E154" s="32">
        <v>3782729.0</v>
      </c>
      <c r="F154" s="32">
        <v>150382.0</v>
      </c>
      <c r="G154" s="32">
        <v>500008.0</v>
      </c>
      <c r="H154" s="32">
        <v>98276.0</v>
      </c>
      <c r="I154" s="32">
        <v>0.0</v>
      </c>
      <c r="J154" s="32">
        <v>4.035831394E9</v>
      </c>
      <c r="K154" s="32">
        <v>0.0</v>
      </c>
      <c r="L154" s="32">
        <v>1806.0</v>
      </c>
      <c r="M154" s="31" t="s">
        <v>373</v>
      </c>
      <c r="N154" s="31">
        <v>25.0</v>
      </c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6.1881204E7</v>
      </c>
      <c r="B155" s="31" t="s">
        <v>178</v>
      </c>
      <c r="C155" s="32">
        <v>3.0615394E7</v>
      </c>
      <c r="D155" s="32">
        <v>6.3055979E7</v>
      </c>
      <c r="E155" s="32">
        <v>1.0290878E7</v>
      </c>
      <c r="F155" s="32">
        <v>729778.0</v>
      </c>
      <c r="G155" s="32">
        <v>1791230.0</v>
      </c>
      <c r="H155" s="32">
        <v>2197294.0</v>
      </c>
      <c r="I155" s="32">
        <v>0.0</v>
      </c>
      <c r="J155" s="32">
        <v>1.6768737494E10</v>
      </c>
      <c r="K155" s="32">
        <v>1.8860385883E10</v>
      </c>
      <c r="L155" s="32">
        <v>11333.0</v>
      </c>
      <c r="M155" s="31" t="s">
        <v>147</v>
      </c>
      <c r="N155" s="31">
        <v>25.0</v>
      </c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1.81734011E8</v>
      </c>
      <c r="B156" s="31" t="s">
        <v>169</v>
      </c>
      <c r="C156" s="32">
        <v>3.0578588E7</v>
      </c>
      <c r="D156" s="32">
        <v>5.6856158E7</v>
      </c>
      <c r="E156" s="32">
        <v>2697940.0</v>
      </c>
      <c r="F156" s="32">
        <v>226191.0</v>
      </c>
      <c r="G156" s="32">
        <v>1909785.0</v>
      </c>
      <c r="H156" s="32">
        <v>1696607.0</v>
      </c>
      <c r="I156" s="32">
        <v>0.0</v>
      </c>
      <c r="J156" s="32">
        <v>7.901014002E9</v>
      </c>
      <c r="K156" s="32">
        <v>1.49070088E8</v>
      </c>
      <c r="L156" s="32">
        <v>12033.0</v>
      </c>
      <c r="M156" s="31" t="s">
        <v>147</v>
      </c>
      <c r="N156" s="31">
        <v>25.0</v>
      </c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1.72219261E8</v>
      </c>
      <c r="B157" s="31" t="s">
        <v>185</v>
      </c>
      <c r="C157" s="32">
        <v>3.0291244E7</v>
      </c>
      <c r="D157" s="32">
        <v>9107647.0</v>
      </c>
      <c r="E157" s="32">
        <v>4088173.0</v>
      </c>
      <c r="F157" s="32">
        <v>80005.0</v>
      </c>
      <c r="G157" s="32">
        <v>224964.0</v>
      </c>
      <c r="H157" s="32">
        <v>333443.0</v>
      </c>
      <c r="I157" s="32">
        <v>0.0</v>
      </c>
      <c r="J157" s="32">
        <v>4.589400855E9</v>
      </c>
      <c r="K157" s="32">
        <v>2.75E7</v>
      </c>
      <c r="L157" s="32">
        <v>3708.0</v>
      </c>
      <c r="M157" s="31" t="s">
        <v>119</v>
      </c>
      <c r="N157" s="31">
        <v>25.0</v>
      </c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1.47116341E8</v>
      </c>
      <c r="B158" s="31" t="s">
        <v>374</v>
      </c>
      <c r="C158" s="32">
        <v>2.9928211E7</v>
      </c>
      <c r="D158" s="32">
        <v>1.3529689E7</v>
      </c>
      <c r="E158" s="32">
        <v>526000.0</v>
      </c>
      <c r="F158" s="32">
        <v>308.0</v>
      </c>
      <c r="G158" s="32">
        <v>807831.0</v>
      </c>
      <c r="H158" s="32">
        <v>271954.0</v>
      </c>
      <c r="I158" s="32">
        <v>0.0</v>
      </c>
      <c r="J158" s="32">
        <v>6.227745695E9</v>
      </c>
      <c r="K158" s="32">
        <v>6.456585973E9</v>
      </c>
      <c r="L158" s="32">
        <v>2888.0</v>
      </c>
      <c r="M158" s="31" t="s">
        <v>165</v>
      </c>
      <c r="N158" s="31">
        <v>25.0</v>
      </c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3">
        <v>1.70449746E8</v>
      </c>
      <c r="B159" s="33" t="s">
        <v>184</v>
      </c>
      <c r="C159" s="34">
        <v>2.930704E7</v>
      </c>
      <c r="D159" s="34">
        <v>5291709.0</v>
      </c>
      <c r="E159" s="34">
        <v>102004.0</v>
      </c>
      <c r="F159" s="34">
        <v>305.0</v>
      </c>
      <c r="G159" s="34">
        <v>362162.0</v>
      </c>
      <c r="H159" s="34">
        <v>82623.0</v>
      </c>
      <c r="I159" s="34">
        <v>0.0</v>
      </c>
      <c r="J159" s="34">
        <v>6.128977284E9</v>
      </c>
      <c r="K159" s="34">
        <v>4.426139492E9</v>
      </c>
      <c r="L159" s="34">
        <v>2768.0</v>
      </c>
      <c r="M159" s="33" t="s">
        <v>153</v>
      </c>
      <c r="N159" s="33">
        <v>23.0</v>
      </c>
      <c r="O159" s="33"/>
      <c r="P159" s="33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1.1279231E8</v>
      </c>
      <c r="B160" s="31" t="s">
        <v>197</v>
      </c>
      <c r="C160" s="32">
        <v>2.9258625E7</v>
      </c>
      <c r="D160" s="32">
        <v>5.1841755E7</v>
      </c>
      <c r="E160" s="32">
        <v>4158383.0</v>
      </c>
      <c r="F160" s="32">
        <v>979015.0</v>
      </c>
      <c r="G160" s="32">
        <v>1962237.0</v>
      </c>
      <c r="H160" s="32">
        <v>1451878.0</v>
      </c>
      <c r="I160" s="32">
        <v>0.0</v>
      </c>
      <c r="J160" s="32">
        <v>3.0883883872E10</v>
      </c>
      <c r="K160" s="32">
        <v>3.4355762438E10</v>
      </c>
      <c r="L160" s="32">
        <v>12285.0</v>
      </c>
      <c r="M160" s="31" t="s">
        <v>34</v>
      </c>
      <c r="N160" s="31">
        <v>25.0</v>
      </c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1.75314255E8</v>
      </c>
      <c r="B161" s="31" t="s">
        <v>179</v>
      </c>
      <c r="C161" s="32">
        <v>2.8727737E7</v>
      </c>
      <c r="D161" s="32">
        <v>2.2022689E7</v>
      </c>
      <c r="E161" s="32">
        <v>3465707.0</v>
      </c>
      <c r="F161" s="32">
        <v>281976.0</v>
      </c>
      <c r="G161" s="32">
        <v>1320076.0</v>
      </c>
      <c r="H161" s="32">
        <v>412977.0</v>
      </c>
      <c r="I161" s="32">
        <v>0.0</v>
      </c>
      <c r="J161" s="32">
        <v>4.030488395E9</v>
      </c>
      <c r="K161" s="32">
        <v>1.22435684E8</v>
      </c>
      <c r="L161" s="32">
        <v>8907.0</v>
      </c>
      <c r="M161" s="31" t="s">
        <v>94</v>
      </c>
      <c r="N161" s="31">
        <v>25.0</v>
      </c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1.44094596E8</v>
      </c>
      <c r="B162" s="31" t="s">
        <v>189</v>
      </c>
      <c r="C162" s="32">
        <v>2.8701557E7</v>
      </c>
      <c r="D162" s="32">
        <v>8.5917526E7</v>
      </c>
      <c r="E162" s="32">
        <v>3031180.0</v>
      </c>
      <c r="F162" s="32">
        <v>1.3616531E7</v>
      </c>
      <c r="G162" s="32">
        <v>5271610.0</v>
      </c>
      <c r="H162" s="32">
        <v>1435775.0</v>
      </c>
      <c r="I162" s="32">
        <v>0.0</v>
      </c>
      <c r="J162" s="32">
        <v>5.357258082E9</v>
      </c>
      <c r="K162" s="32">
        <v>1.2391473E7</v>
      </c>
      <c r="L162" s="32">
        <v>9785.0</v>
      </c>
      <c r="M162" s="31" t="s">
        <v>66</v>
      </c>
      <c r="N162" s="31">
        <v>25.0</v>
      </c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6.3513788E7</v>
      </c>
      <c r="B163" s="31" t="s">
        <v>190</v>
      </c>
      <c r="C163" s="32">
        <v>2.828147E7</v>
      </c>
      <c r="D163" s="32">
        <v>3.5067748E7</v>
      </c>
      <c r="E163" s="32">
        <v>8961628.0</v>
      </c>
      <c r="F163" s="32">
        <v>22581.0</v>
      </c>
      <c r="G163" s="32">
        <v>1179501.0</v>
      </c>
      <c r="H163" s="32">
        <v>1151796.0</v>
      </c>
      <c r="I163" s="32">
        <v>0.0</v>
      </c>
      <c r="J163" s="32">
        <v>1.697946482E10</v>
      </c>
      <c r="K163" s="32">
        <v>1.854703805E10</v>
      </c>
      <c r="L163" s="32">
        <v>8421.0</v>
      </c>
      <c r="M163" s="31" t="s">
        <v>147</v>
      </c>
      <c r="N163" s="31">
        <v>25.0</v>
      </c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1.38821863E8</v>
      </c>
      <c r="B164" s="31" t="s">
        <v>186</v>
      </c>
      <c r="C164" s="32">
        <v>2.8216308E7</v>
      </c>
      <c r="D164" s="32">
        <v>2.5263796E7</v>
      </c>
      <c r="E164" s="32">
        <v>1656998.0</v>
      </c>
      <c r="F164" s="32">
        <v>397842.0</v>
      </c>
      <c r="G164" s="32">
        <v>2006020.0</v>
      </c>
      <c r="H164" s="32">
        <v>109825.0</v>
      </c>
      <c r="I164" s="32">
        <v>0.0</v>
      </c>
      <c r="J164" s="32">
        <v>4.82005428E9</v>
      </c>
      <c r="K164" s="32">
        <v>6.36064786E8</v>
      </c>
      <c r="L164" s="32">
        <v>8581.0</v>
      </c>
      <c r="M164" s="31" t="s">
        <v>153</v>
      </c>
      <c r="N164" s="31">
        <v>25.0</v>
      </c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1.1363981E7</v>
      </c>
      <c r="B165" s="31" t="s">
        <v>188</v>
      </c>
      <c r="C165" s="32">
        <v>2.8082403E7</v>
      </c>
      <c r="D165" s="32">
        <v>2.0359575E8</v>
      </c>
      <c r="E165" s="32">
        <v>8274658.0</v>
      </c>
      <c r="F165" s="32">
        <v>883504.0</v>
      </c>
      <c r="G165" s="32">
        <v>7698527.0</v>
      </c>
      <c r="H165" s="32">
        <v>6213364.0</v>
      </c>
      <c r="I165" s="32">
        <v>0.0</v>
      </c>
      <c r="J165" s="32">
        <v>1.0671365761E10</v>
      </c>
      <c r="K165" s="32">
        <v>1.465163898E10</v>
      </c>
      <c r="L165" s="32">
        <v>11950.0</v>
      </c>
      <c r="M165" s="31" t="s">
        <v>147</v>
      </c>
      <c r="N165" s="31">
        <v>25.0</v>
      </c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1.83952984E8</v>
      </c>
      <c r="B166" s="31" t="s">
        <v>498</v>
      </c>
      <c r="C166" s="32">
        <v>2.8002934E7</v>
      </c>
      <c r="D166" s="32">
        <v>1.1502563E7</v>
      </c>
      <c r="E166" s="32">
        <v>1045189.0</v>
      </c>
      <c r="F166" s="32">
        <v>258418.0</v>
      </c>
      <c r="G166" s="32">
        <v>844777.0</v>
      </c>
      <c r="H166" s="32">
        <v>67652.0</v>
      </c>
      <c r="I166" s="32">
        <v>0.0</v>
      </c>
      <c r="J166" s="32">
        <v>3.47429202E9</v>
      </c>
      <c r="K166" s="32">
        <v>5.4133889E8</v>
      </c>
      <c r="L166" s="32">
        <v>5495.0</v>
      </c>
      <c r="M166" s="31" t="s">
        <v>66</v>
      </c>
      <c r="N166" s="31">
        <v>25.0</v>
      </c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1.58296838E8</v>
      </c>
      <c r="B167" s="31" t="s">
        <v>458</v>
      </c>
      <c r="C167" s="32">
        <v>2.7990242E7</v>
      </c>
      <c r="D167" s="32">
        <v>4715810.0</v>
      </c>
      <c r="E167" s="32">
        <v>262324.0</v>
      </c>
      <c r="F167" s="32">
        <v>146522.0</v>
      </c>
      <c r="G167" s="32">
        <v>393091.0</v>
      </c>
      <c r="H167" s="32">
        <v>9004.0</v>
      </c>
      <c r="I167" s="32">
        <v>0.0</v>
      </c>
      <c r="J167" s="32">
        <v>4.295571207E9</v>
      </c>
      <c r="K167" s="32">
        <v>1.087153533E9</v>
      </c>
      <c r="L167" s="32">
        <v>6439.0</v>
      </c>
      <c r="M167" s="31" t="s">
        <v>94</v>
      </c>
      <c r="N167" s="31">
        <v>25.0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7.9647211E7</v>
      </c>
      <c r="B168" s="31" t="s">
        <v>191</v>
      </c>
      <c r="C168" s="32">
        <v>2.7417805E7</v>
      </c>
      <c r="D168" s="32">
        <v>3.1906045E7</v>
      </c>
      <c r="E168" s="32">
        <v>1675915.0</v>
      </c>
      <c r="F168" s="32">
        <v>1337.0</v>
      </c>
      <c r="G168" s="32">
        <v>967916.0</v>
      </c>
      <c r="H168" s="32">
        <v>1109148.0</v>
      </c>
      <c r="I168" s="32">
        <v>0.0</v>
      </c>
      <c r="J168" s="32">
        <v>6.267249792E9</v>
      </c>
      <c r="K168" s="32">
        <v>1.0408320798E10</v>
      </c>
      <c r="L168" s="32">
        <v>3395.0</v>
      </c>
      <c r="M168" s="31" t="s">
        <v>34</v>
      </c>
      <c r="N168" s="31">
        <v>25.0</v>
      </c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7.7474302E7</v>
      </c>
      <c r="B169" s="31" t="s">
        <v>195</v>
      </c>
      <c r="C169" s="32">
        <v>2.7200184E7</v>
      </c>
      <c r="D169" s="32">
        <v>3.8220683E7</v>
      </c>
      <c r="E169" s="32">
        <v>4747649.0</v>
      </c>
      <c r="F169" s="32">
        <v>164935.0</v>
      </c>
      <c r="G169" s="32">
        <v>925311.0</v>
      </c>
      <c r="H169" s="32">
        <v>1410586.0</v>
      </c>
      <c r="I169" s="32">
        <v>0.0</v>
      </c>
      <c r="J169" s="32">
        <v>1.3665739395E10</v>
      </c>
      <c r="K169" s="32">
        <v>1.5904120679E10</v>
      </c>
      <c r="L169" s="32">
        <v>9266.0</v>
      </c>
      <c r="M169" s="31" t="s">
        <v>147</v>
      </c>
      <c r="N169" s="31">
        <v>25.0</v>
      </c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1.44104572E8</v>
      </c>
      <c r="B170" s="31" t="s">
        <v>196</v>
      </c>
      <c r="C170" s="32">
        <v>2.7140625E7</v>
      </c>
      <c r="D170" s="32">
        <v>2.568058E7</v>
      </c>
      <c r="E170" s="32">
        <v>2996569.0</v>
      </c>
      <c r="F170" s="32">
        <v>4109690.0</v>
      </c>
      <c r="G170" s="32">
        <v>1511030.0</v>
      </c>
      <c r="H170" s="32">
        <v>334000.0</v>
      </c>
      <c r="I170" s="32">
        <v>0.0</v>
      </c>
      <c r="J170" s="32">
        <v>2.914113906E9</v>
      </c>
      <c r="K170" s="32">
        <v>8.33264E7</v>
      </c>
      <c r="L170" s="32">
        <v>5948.0</v>
      </c>
      <c r="M170" s="31" t="s">
        <v>411</v>
      </c>
      <c r="N170" s="31">
        <v>25.0</v>
      </c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1.46036286E8</v>
      </c>
      <c r="B171" s="31" t="s">
        <v>205</v>
      </c>
      <c r="C171" s="32">
        <v>2.6871413E7</v>
      </c>
      <c r="D171" s="32">
        <v>4.1952764E7</v>
      </c>
      <c r="E171" s="32">
        <v>4816318.0</v>
      </c>
      <c r="F171" s="32">
        <v>591932.0</v>
      </c>
      <c r="G171" s="32">
        <v>2761806.0</v>
      </c>
      <c r="H171" s="32">
        <v>521469.0</v>
      </c>
      <c r="I171" s="32">
        <v>0.0</v>
      </c>
      <c r="J171" s="32">
        <v>1.9868323211E10</v>
      </c>
      <c r="K171" s="32">
        <v>1.1736223974E10</v>
      </c>
      <c r="L171" s="32">
        <v>5667.0</v>
      </c>
      <c r="M171" s="31" t="s">
        <v>153</v>
      </c>
      <c r="N171" s="31">
        <v>25.0</v>
      </c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1.7395388E8</v>
      </c>
      <c r="B172" s="31" t="s">
        <v>422</v>
      </c>
      <c r="C172" s="32">
        <v>2.6790692E7</v>
      </c>
      <c r="D172" s="32">
        <v>1648460.0</v>
      </c>
      <c r="E172" s="32">
        <v>1653283.0</v>
      </c>
      <c r="F172" s="32">
        <v>0.0</v>
      </c>
      <c r="G172" s="32">
        <v>106204.0</v>
      </c>
      <c r="H172" s="32">
        <v>28128.0</v>
      </c>
      <c r="I172" s="32">
        <v>0.0</v>
      </c>
      <c r="J172" s="32">
        <v>4.771679454E9</v>
      </c>
      <c r="K172" s="32">
        <v>3.346021861E9</v>
      </c>
      <c r="L172" s="32">
        <v>2397.0</v>
      </c>
      <c r="M172" s="31" t="s">
        <v>153</v>
      </c>
      <c r="N172" s="31">
        <v>25.0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1.45295709E8</v>
      </c>
      <c r="B173" s="31" t="s">
        <v>423</v>
      </c>
      <c r="C173" s="32">
        <v>2.6376346E7</v>
      </c>
      <c r="D173" s="32">
        <v>3.3008222E7</v>
      </c>
      <c r="E173" s="32">
        <v>2275922.0</v>
      </c>
      <c r="F173" s="32">
        <v>3893494.0</v>
      </c>
      <c r="G173" s="32">
        <v>1891027.0</v>
      </c>
      <c r="H173" s="32">
        <v>389473.0</v>
      </c>
      <c r="I173" s="32">
        <v>0.0</v>
      </c>
      <c r="J173" s="32">
        <v>2.75326985E9</v>
      </c>
      <c r="K173" s="32">
        <v>8.1594054E7</v>
      </c>
      <c r="L173" s="32">
        <v>7474.0</v>
      </c>
      <c r="M173" s="31" t="s">
        <v>66</v>
      </c>
      <c r="N173" s="31">
        <v>25.0</v>
      </c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1.44030384E8</v>
      </c>
      <c r="B174" s="31" t="s">
        <v>517</v>
      </c>
      <c r="C174" s="32">
        <v>2.6152524E7</v>
      </c>
      <c r="D174" s="32">
        <v>6622223.0</v>
      </c>
      <c r="E174" s="32">
        <v>3244492.0</v>
      </c>
      <c r="F174" s="32">
        <v>43779.0</v>
      </c>
      <c r="G174" s="32">
        <v>398700.0</v>
      </c>
      <c r="H174" s="32">
        <v>109150.0</v>
      </c>
      <c r="I174" s="32">
        <v>0.0</v>
      </c>
      <c r="J174" s="32">
        <v>4.090810993E9</v>
      </c>
      <c r="K174" s="32">
        <v>4.3826996E8</v>
      </c>
      <c r="L174" s="32">
        <v>13472.0</v>
      </c>
      <c r="M174" s="31" t="s">
        <v>492</v>
      </c>
      <c r="N174" s="31">
        <v>25.0</v>
      </c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1.57398284E8</v>
      </c>
      <c r="B175" s="31" t="s">
        <v>380</v>
      </c>
      <c r="C175" s="32">
        <v>2.5666219E7</v>
      </c>
      <c r="D175" s="32">
        <v>4812381.0</v>
      </c>
      <c r="E175" s="32">
        <v>1021778.0</v>
      </c>
      <c r="F175" s="32">
        <v>124957.0</v>
      </c>
      <c r="G175" s="32">
        <v>318827.0</v>
      </c>
      <c r="H175" s="32">
        <v>52796.0</v>
      </c>
      <c r="I175" s="32">
        <v>0.0</v>
      </c>
      <c r="J175" s="32">
        <v>1.3314571328E10</v>
      </c>
      <c r="K175" s="32">
        <v>6.116E9</v>
      </c>
      <c r="L175" s="32">
        <v>4270.0</v>
      </c>
      <c r="M175" s="31" t="s">
        <v>94</v>
      </c>
      <c r="N175" s="31">
        <v>25.0</v>
      </c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6.1106312E7</v>
      </c>
      <c r="B176" s="31" t="s">
        <v>201</v>
      </c>
      <c r="C176" s="32">
        <v>2.5178854E7</v>
      </c>
      <c r="D176" s="32">
        <v>1.34119074E8</v>
      </c>
      <c r="E176" s="32">
        <v>6457701.0</v>
      </c>
      <c r="F176" s="32">
        <v>1064273.0</v>
      </c>
      <c r="G176" s="32">
        <v>8326622.0</v>
      </c>
      <c r="H176" s="32">
        <v>1608118.0</v>
      </c>
      <c r="I176" s="32">
        <v>0.0</v>
      </c>
      <c r="J176" s="32">
        <v>1.5345202001E10</v>
      </c>
      <c r="K176" s="32">
        <v>1.6233438464E10</v>
      </c>
      <c r="L176" s="32">
        <v>12386.0</v>
      </c>
      <c r="M176" s="31" t="s">
        <v>147</v>
      </c>
      <c r="N176" s="31">
        <v>25.0</v>
      </c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3">
        <v>7.1189562E7</v>
      </c>
      <c r="B177" s="33" t="s">
        <v>199</v>
      </c>
      <c r="C177" s="34">
        <v>2.512154E7</v>
      </c>
      <c r="D177" s="34">
        <v>2408509.0</v>
      </c>
      <c r="E177" s="34">
        <v>823250.0</v>
      </c>
      <c r="F177" s="34">
        <v>18168.0</v>
      </c>
      <c r="G177" s="34">
        <v>172952.0</v>
      </c>
      <c r="H177" s="34">
        <v>26188.0</v>
      </c>
      <c r="I177" s="34">
        <v>0.0</v>
      </c>
      <c r="J177" s="34">
        <v>1.2556223117E10</v>
      </c>
      <c r="K177" s="34">
        <v>1.3148346788E10</v>
      </c>
      <c r="L177" s="34">
        <v>3037.0</v>
      </c>
      <c r="M177" s="33" t="s">
        <v>153</v>
      </c>
      <c r="N177" s="33">
        <v>24.0</v>
      </c>
      <c r="O177" s="33"/>
      <c r="P177" s="33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1.66394798E8</v>
      </c>
      <c r="B178" s="31" t="s">
        <v>202</v>
      </c>
      <c r="C178" s="32">
        <v>2.501501E7</v>
      </c>
      <c r="D178" s="32">
        <v>4.8334581E7</v>
      </c>
      <c r="E178" s="32">
        <v>2377006.0</v>
      </c>
      <c r="F178" s="32">
        <v>567889.0</v>
      </c>
      <c r="G178" s="32">
        <v>3113738.0</v>
      </c>
      <c r="H178" s="32">
        <v>661991.0</v>
      </c>
      <c r="I178" s="32">
        <v>0.0</v>
      </c>
      <c r="J178" s="32">
        <v>5.998466185E9</v>
      </c>
      <c r="K178" s="32">
        <v>1.5214260866E10</v>
      </c>
      <c r="L178" s="32">
        <v>12280.0</v>
      </c>
      <c r="M178" s="31" t="s">
        <v>147</v>
      </c>
      <c r="N178" s="31">
        <v>25.0</v>
      </c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1.58265064E8</v>
      </c>
      <c r="B179" s="31" t="s">
        <v>200</v>
      </c>
      <c r="C179" s="32">
        <v>2.4776303E7</v>
      </c>
      <c r="D179" s="32">
        <v>1.1312096E7</v>
      </c>
      <c r="E179" s="32">
        <v>1040720.0</v>
      </c>
      <c r="F179" s="32">
        <v>238681.0</v>
      </c>
      <c r="G179" s="32">
        <v>435809.0</v>
      </c>
      <c r="H179" s="32">
        <v>209818.0</v>
      </c>
      <c r="I179" s="32">
        <v>0.0</v>
      </c>
      <c r="J179" s="32">
        <v>3.75047088E9</v>
      </c>
      <c r="K179" s="32">
        <v>2.856723815E9</v>
      </c>
      <c r="L179" s="32">
        <v>8676.0</v>
      </c>
      <c r="M179" s="31" t="s">
        <v>147</v>
      </c>
      <c r="N179" s="31">
        <v>25.0</v>
      </c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1">
        <v>1.16425532E8</v>
      </c>
      <c r="B180" s="31" t="s">
        <v>518</v>
      </c>
      <c r="C180" s="32">
        <v>2.4042968E7</v>
      </c>
      <c r="D180" s="32">
        <v>2.3613518E7</v>
      </c>
      <c r="E180" s="32">
        <v>2910788.0</v>
      </c>
      <c r="F180" s="32">
        <v>1205951.0</v>
      </c>
      <c r="G180" s="32">
        <v>1310914.0</v>
      </c>
      <c r="H180" s="32">
        <v>177349.0</v>
      </c>
      <c r="I180" s="32">
        <v>0.0</v>
      </c>
      <c r="J180" s="32">
        <v>3.332897307E9</v>
      </c>
      <c r="K180" s="32">
        <v>1.7720049E7</v>
      </c>
      <c r="L180" s="32">
        <v>14167.0</v>
      </c>
      <c r="M180" s="31" t="s">
        <v>66</v>
      </c>
      <c r="N180" s="31">
        <v>25.0</v>
      </c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7.7531879E7</v>
      </c>
      <c r="B181" s="31" t="s">
        <v>460</v>
      </c>
      <c r="C181" s="32">
        <v>2.351376E7</v>
      </c>
      <c r="D181" s="32">
        <v>4537895.0</v>
      </c>
      <c r="E181" s="32">
        <v>76522.0</v>
      </c>
      <c r="F181" s="32">
        <v>36.0</v>
      </c>
      <c r="G181" s="32">
        <v>104025.0</v>
      </c>
      <c r="H181" s="32">
        <v>174604.0</v>
      </c>
      <c r="I181" s="32">
        <v>0.0</v>
      </c>
      <c r="J181" s="32">
        <v>8.839908273E9</v>
      </c>
      <c r="K181" s="32">
        <v>1.0691935775E10</v>
      </c>
      <c r="L181" s="32">
        <v>3905.0</v>
      </c>
      <c r="M181" s="31" t="s">
        <v>153</v>
      </c>
      <c r="N181" s="31">
        <v>25.0</v>
      </c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1.48355572E8</v>
      </c>
      <c r="B182" s="31" t="s">
        <v>209</v>
      </c>
      <c r="C182" s="32">
        <v>2.3405086E7</v>
      </c>
      <c r="D182" s="32">
        <v>8739485.0</v>
      </c>
      <c r="E182" s="32">
        <v>2046882.0</v>
      </c>
      <c r="F182" s="32">
        <v>57025.0</v>
      </c>
      <c r="G182" s="32">
        <v>645107.0</v>
      </c>
      <c r="H182" s="32">
        <v>92543.0</v>
      </c>
      <c r="I182" s="32">
        <v>0.0</v>
      </c>
      <c r="J182" s="32">
        <v>2.33359142E9</v>
      </c>
      <c r="K182" s="32">
        <v>2.23164667E8</v>
      </c>
      <c r="L182" s="32">
        <v>1679.0</v>
      </c>
      <c r="M182" s="31" t="s">
        <v>153</v>
      </c>
      <c r="N182" s="31">
        <v>25.0</v>
      </c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1.440086E8</v>
      </c>
      <c r="B183" s="31" t="s">
        <v>461</v>
      </c>
      <c r="C183" s="32">
        <v>2.3280824E7</v>
      </c>
      <c r="D183" s="32">
        <v>3061650.0</v>
      </c>
      <c r="E183" s="32">
        <v>2510557.0</v>
      </c>
      <c r="F183" s="32">
        <v>27133.0</v>
      </c>
      <c r="G183" s="32">
        <v>58607.0</v>
      </c>
      <c r="H183" s="32">
        <v>85372.0</v>
      </c>
      <c r="I183" s="32">
        <v>0.0</v>
      </c>
      <c r="J183" s="32">
        <v>3.961928933E9</v>
      </c>
      <c r="K183" s="32">
        <v>0.0</v>
      </c>
      <c r="L183" s="32">
        <v>3897.0</v>
      </c>
      <c r="M183" s="31" t="s">
        <v>66</v>
      </c>
      <c r="N183" s="31">
        <v>25.0</v>
      </c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3">
        <v>1.85391227E8</v>
      </c>
      <c r="B184" s="33" t="s">
        <v>207</v>
      </c>
      <c r="C184" s="34">
        <v>2.3236378E7</v>
      </c>
      <c r="D184" s="34">
        <v>4933077.0</v>
      </c>
      <c r="E184" s="34">
        <v>964026.0</v>
      </c>
      <c r="F184" s="34">
        <v>186.0</v>
      </c>
      <c r="G184" s="34">
        <v>214.0</v>
      </c>
      <c r="H184" s="34">
        <v>246545.0</v>
      </c>
      <c r="I184" s="34">
        <v>0.0</v>
      </c>
      <c r="J184" s="34">
        <v>7.724862597E9</v>
      </c>
      <c r="K184" s="34">
        <v>5.777495661E9</v>
      </c>
      <c r="L184" s="34">
        <v>2443.0</v>
      </c>
      <c r="M184" s="33" t="s">
        <v>94</v>
      </c>
      <c r="N184" s="33">
        <v>24.0</v>
      </c>
      <c r="O184" s="33"/>
      <c r="P184" s="33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3">
        <v>4.8558795E7</v>
      </c>
      <c r="B185" s="33" t="s">
        <v>208</v>
      </c>
      <c r="C185" s="34">
        <v>2.3156155E7</v>
      </c>
      <c r="D185" s="34">
        <v>1928497.0</v>
      </c>
      <c r="E185" s="34">
        <v>461565.0</v>
      </c>
      <c r="F185" s="34">
        <v>485.0</v>
      </c>
      <c r="G185" s="34">
        <v>141444.0</v>
      </c>
      <c r="H185" s="34">
        <v>25698.0</v>
      </c>
      <c r="I185" s="34">
        <v>0.0</v>
      </c>
      <c r="J185" s="34">
        <v>1.1436501731E10</v>
      </c>
      <c r="K185" s="34">
        <v>1.3897885997E10</v>
      </c>
      <c r="L185" s="34">
        <v>2630.0</v>
      </c>
      <c r="M185" s="33" t="s">
        <v>153</v>
      </c>
      <c r="N185" s="33">
        <v>24.0</v>
      </c>
      <c r="O185" s="33"/>
      <c r="P185" s="33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1.40545176E8</v>
      </c>
      <c r="B186" s="31" t="s">
        <v>499</v>
      </c>
      <c r="C186" s="32">
        <v>2.3106762E7</v>
      </c>
      <c r="D186" s="32">
        <v>9042295.0</v>
      </c>
      <c r="E186" s="32">
        <v>3758297.0</v>
      </c>
      <c r="F186" s="32">
        <v>79868.0</v>
      </c>
      <c r="G186" s="32">
        <v>706100.0</v>
      </c>
      <c r="H186" s="32">
        <v>92321.0</v>
      </c>
      <c r="I186" s="32">
        <v>0.0</v>
      </c>
      <c r="J186" s="32">
        <v>3.181942422E9</v>
      </c>
      <c r="K186" s="32">
        <v>1870000.0</v>
      </c>
      <c r="L186" s="32">
        <v>3541.0</v>
      </c>
      <c r="M186" s="31" t="s">
        <v>66</v>
      </c>
      <c r="N186" s="31">
        <v>25.0</v>
      </c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1.74530133E8</v>
      </c>
      <c r="B187" s="31" t="s">
        <v>214</v>
      </c>
      <c r="C187" s="32">
        <v>2.2889741E7</v>
      </c>
      <c r="D187" s="32">
        <v>2253561.0</v>
      </c>
      <c r="E187" s="32">
        <v>331940.0</v>
      </c>
      <c r="F187" s="32">
        <v>3127.0</v>
      </c>
      <c r="G187" s="32">
        <v>27691.0</v>
      </c>
      <c r="H187" s="32">
        <v>96770.0</v>
      </c>
      <c r="I187" s="32">
        <v>0.0</v>
      </c>
      <c r="J187" s="32">
        <v>1.5411111246E10</v>
      </c>
      <c r="K187" s="32">
        <v>1.1791635993E10</v>
      </c>
      <c r="L187" s="32">
        <v>3591.0</v>
      </c>
      <c r="M187" s="31" t="s">
        <v>165</v>
      </c>
      <c r="N187" s="31">
        <v>25.0</v>
      </c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1.16558461E8</v>
      </c>
      <c r="B188" s="31" t="s">
        <v>210</v>
      </c>
      <c r="C188" s="32">
        <v>2.2733418E7</v>
      </c>
      <c r="D188" s="32">
        <v>2.7313532E7</v>
      </c>
      <c r="E188" s="32">
        <v>3735086.0</v>
      </c>
      <c r="F188" s="32">
        <v>804564.0</v>
      </c>
      <c r="G188" s="32">
        <v>1891906.0</v>
      </c>
      <c r="H188" s="32">
        <v>259337.0</v>
      </c>
      <c r="I188" s="32">
        <v>0.0</v>
      </c>
      <c r="J188" s="32">
        <v>4.842780126E9</v>
      </c>
      <c r="K188" s="32">
        <v>5.2E7</v>
      </c>
      <c r="L188" s="32">
        <v>2344.0</v>
      </c>
      <c r="M188" s="31" t="s">
        <v>66</v>
      </c>
      <c r="N188" s="31">
        <v>25.0</v>
      </c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1">
        <v>1.71556791E8</v>
      </c>
      <c r="B189" s="31" t="s">
        <v>462</v>
      </c>
      <c r="C189" s="32">
        <v>2.2260884E7</v>
      </c>
      <c r="D189" s="32">
        <v>4949159.0</v>
      </c>
      <c r="E189" s="32">
        <v>626101.0</v>
      </c>
      <c r="F189" s="32">
        <v>25466.0</v>
      </c>
      <c r="G189" s="32">
        <v>210000.0</v>
      </c>
      <c r="H189" s="32">
        <v>116244.0</v>
      </c>
      <c r="I189" s="32">
        <v>0.0</v>
      </c>
      <c r="J189" s="32">
        <v>7.873762732E9</v>
      </c>
      <c r="K189" s="32">
        <v>1.4361031366E10</v>
      </c>
      <c r="L189" s="32">
        <v>3546.0</v>
      </c>
      <c r="M189" s="31" t="s">
        <v>34</v>
      </c>
      <c r="N189" s="31">
        <v>25.0</v>
      </c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1.44034173E8</v>
      </c>
      <c r="B190" s="31" t="s">
        <v>427</v>
      </c>
      <c r="C190" s="32">
        <v>2.2002198E7</v>
      </c>
      <c r="D190" s="32">
        <v>5.8304964E7</v>
      </c>
      <c r="E190" s="32">
        <v>2384004.0</v>
      </c>
      <c r="F190" s="32">
        <v>2479362.0</v>
      </c>
      <c r="G190" s="32">
        <v>2537151.0</v>
      </c>
      <c r="H190" s="32">
        <v>327251.0</v>
      </c>
      <c r="I190" s="32">
        <v>0.0</v>
      </c>
      <c r="J190" s="32">
        <v>3.646994224E9</v>
      </c>
      <c r="K190" s="32">
        <v>73477.0</v>
      </c>
      <c r="L190" s="32">
        <v>12472.0</v>
      </c>
      <c r="M190" s="31" t="s">
        <v>66</v>
      </c>
      <c r="N190" s="31">
        <v>25.0</v>
      </c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1">
        <v>1.24153706E8</v>
      </c>
      <c r="B191" s="31" t="s">
        <v>463</v>
      </c>
      <c r="C191" s="32">
        <v>2.1597174E7</v>
      </c>
      <c r="D191" s="32">
        <v>5867482.0</v>
      </c>
      <c r="E191" s="32">
        <v>1692075.0</v>
      </c>
      <c r="F191" s="32">
        <v>57790.0</v>
      </c>
      <c r="G191" s="32">
        <v>470573.0</v>
      </c>
      <c r="H191" s="32">
        <v>52787.0</v>
      </c>
      <c r="I191" s="32">
        <v>0.0</v>
      </c>
      <c r="J191" s="32">
        <v>5.100679038E9</v>
      </c>
      <c r="K191" s="32">
        <v>5.642037005E9</v>
      </c>
      <c r="L191" s="32">
        <v>10171.0</v>
      </c>
      <c r="M191" s="31" t="s">
        <v>153</v>
      </c>
      <c r="N191" s="31">
        <v>25.0</v>
      </c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1.44032974E8</v>
      </c>
      <c r="B192" s="31" t="s">
        <v>500</v>
      </c>
      <c r="C192" s="32">
        <v>2.1557871E7</v>
      </c>
      <c r="D192" s="32">
        <v>883270.0</v>
      </c>
      <c r="E192" s="32">
        <v>1317329.0</v>
      </c>
      <c r="F192" s="32">
        <v>9540.0</v>
      </c>
      <c r="G192" s="32">
        <v>5489.0</v>
      </c>
      <c r="H192" s="32">
        <v>39094.0</v>
      </c>
      <c r="I192" s="32">
        <v>0.0</v>
      </c>
      <c r="J192" s="32">
        <v>1.802813766E9</v>
      </c>
      <c r="K192" s="32">
        <v>0.0</v>
      </c>
      <c r="L192" s="32">
        <v>2164.0</v>
      </c>
      <c r="M192" s="31" t="s">
        <v>94</v>
      </c>
      <c r="N192" s="31">
        <v>25.0</v>
      </c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7521367.0</v>
      </c>
      <c r="B193" s="31" t="s">
        <v>234</v>
      </c>
      <c r="C193" s="32">
        <v>2.1164265E7</v>
      </c>
      <c r="D193" s="32">
        <v>5.505315E7</v>
      </c>
      <c r="E193" s="32">
        <v>2342583.0</v>
      </c>
      <c r="F193" s="32">
        <v>196972.0</v>
      </c>
      <c r="G193" s="32">
        <v>2373606.0</v>
      </c>
      <c r="H193" s="32">
        <v>1559002.0</v>
      </c>
      <c r="I193" s="32">
        <v>0.0</v>
      </c>
      <c r="J193" s="32">
        <v>7.282323718E9</v>
      </c>
      <c r="K193" s="32">
        <v>6.985159384E9</v>
      </c>
      <c r="L193" s="32">
        <v>3670.0</v>
      </c>
      <c r="M193" s="31" t="s">
        <v>147</v>
      </c>
      <c r="N193" s="31">
        <v>25.0</v>
      </c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3">
        <v>1.75706269E8</v>
      </c>
      <c r="B194" s="33" t="s">
        <v>219</v>
      </c>
      <c r="C194" s="34">
        <v>2.1141297E7</v>
      </c>
      <c r="D194" s="34">
        <v>8860602.0</v>
      </c>
      <c r="E194" s="34">
        <v>1519238.0</v>
      </c>
      <c r="F194" s="34">
        <v>21032.0</v>
      </c>
      <c r="G194" s="34">
        <v>813972.0</v>
      </c>
      <c r="H194" s="34">
        <v>23044.0</v>
      </c>
      <c r="I194" s="34">
        <v>0.0</v>
      </c>
      <c r="J194" s="34">
        <v>2.861612406E9</v>
      </c>
      <c r="K194" s="34">
        <v>3.22468511E8</v>
      </c>
      <c r="L194" s="34">
        <v>1071.0</v>
      </c>
      <c r="M194" s="33" t="s">
        <v>220</v>
      </c>
      <c r="N194" s="33">
        <v>24.0</v>
      </c>
      <c r="O194" s="33"/>
      <c r="P194" s="33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3">
        <v>1.73351722E8</v>
      </c>
      <c r="B195" s="33" t="s">
        <v>236</v>
      </c>
      <c r="C195" s="34">
        <v>2.100651E7</v>
      </c>
      <c r="D195" s="34">
        <v>7033148.0</v>
      </c>
      <c r="E195" s="34">
        <v>471728.0</v>
      </c>
      <c r="F195" s="34">
        <v>323190.0</v>
      </c>
      <c r="G195" s="34">
        <v>336667.0</v>
      </c>
      <c r="H195" s="34">
        <v>180092.0</v>
      </c>
      <c r="I195" s="34">
        <v>0.0</v>
      </c>
      <c r="J195" s="34">
        <v>9.744806035E9</v>
      </c>
      <c r="K195" s="34">
        <v>6.658700087E9</v>
      </c>
      <c r="L195" s="34">
        <v>1845.0</v>
      </c>
      <c r="M195" s="33" t="s">
        <v>153</v>
      </c>
      <c r="N195" s="33">
        <v>24.0</v>
      </c>
      <c r="O195" s="33"/>
      <c r="P195" s="33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3">
        <v>1.72587132E8</v>
      </c>
      <c r="B196" s="33" t="s">
        <v>212</v>
      </c>
      <c r="C196" s="34">
        <v>2.0989701E7</v>
      </c>
      <c r="D196" s="34">
        <v>4830923.0</v>
      </c>
      <c r="E196" s="34">
        <v>1608532.0</v>
      </c>
      <c r="F196" s="34">
        <v>280268.0</v>
      </c>
      <c r="G196" s="34">
        <v>383297.0</v>
      </c>
      <c r="H196" s="34">
        <v>31497.0</v>
      </c>
      <c r="I196" s="34">
        <v>0.0</v>
      </c>
      <c r="J196" s="34">
        <v>1.2618217433E10</v>
      </c>
      <c r="K196" s="34">
        <v>1.1627061896E10</v>
      </c>
      <c r="L196" s="34">
        <v>4066.0</v>
      </c>
      <c r="M196" s="33" t="s">
        <v>94</v>
      </c>
      <c r="N196" s="33">
        <v>23.0</v>
      </c>
      <c r="O196" s="33"/>
      <c r="P196" s="33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1">
        <v>1.39174133E8</v>
      </c>
      <c r="B197" s="31" t="s">
        <v>501</v>
      </c>
      <c r="C197" s="32">
        <v>2.0935991E7</v>
      </c>
      <c r="D197" s="32">
        <v>2.3973456E7</v>
      </c>
      <c r="E197" s="32">
        <v>2330705.0</v>
      </c>
      <c r="F197" s="32">
        <v>710514.0</v>
      </c>
      <c r="G197" s="32">
        <v>1638295.0</v>
      </c>
      <c r="H197" s="32">
        <v>262884.0</v>
      </c>
      <c r="I197" s="32">
        <v>0.0</v>
      </c>
      <c r="J197" s="32">
        <v>3.418926672E9</v>
      </c>
      <c r="K197" s="32">
        <v>3.13864878E8</v>
      </c>
      <c r="L197" s="32">
        <v>6636.0</v>
      </c>
      <c r="M197" s="31" t="s">
        <v>411</v>
      </c>
      <c r="N197" s="31">
        <v>25.0</v>
      </c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3">
        <v>9.716129E7</v>
      </c>
      <c r="B198" s="33" t="s">
        <v>216</v>
      </c>
      <c r="C198" s="34">
        <v>2.0934177E7</v>
      </c>
      <c r="D198" s="34">
        <v>663448.0</v>
      </c>
      <c r="E198" s="34">
        <v>580431.0</v>
      </c>
      <c r="F198" s="34">
        <v>3771.0</v>
      </c>
      <c r="G198" s="34">
        <v>10201.0</v>
      </c>
      <c r="H198" s="34">
        <v>27973.0</v>
      </c>
      <c r="I198" s="34">
        <v>0.0</v>
      </c>
      <c r="J198" s="34">
        <v>3.766558942E9</v>
      </c>
      <c r="K198" s="34">
        <v>7.00828389E8</v>
      </c>
      <c r="L198" s="34">
        <v>701.0</v>
      </c>
      <c r="M198" s="33" t="s">
        <v>147</v>
      </c>
      <c r="N198" s="33">
        <v>24.0</v>
      </c>
      <c r="O198" s="33"/>
      <c r="P198" s="33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1.58392134E8</v>
      </c>
      <c r="B199" s="31" t="s">
        <v>519</v>
      </c>
      <c r="C199" s="32">
        <v>2.088609E7</v>
      </c>
      <c r="D199" s="32">
        <v>4.4568442E7</v>
      </c>
      <c r="E199" s="32">
        <v>2885776.0</v>
      </c>
      <c r="F199" s="32">
        <v>1517402.0</v>
      </c>
      <c r="G199" s="32">
        <v>2520889.0</v>
      </c>
      <c r="H199" s="32">
        <v>676030.0</v>
      </c>
      <c r="I199" s="32">
        <v>0.0</v>
      </c>
      <c r="J199" s="32">
        <v>3.762932539E9</v>
      </c>
      <c r="K199" s="32">
        <v>2.195290365E9</v>
      </c>
      <c r="L199" s="32">
        <v>13775.0</v>
      </c>
      <c r="M199" s="31" t="s">
        <v>34</v>
      </c>
      <c r="N199" s="31">
        <v>25.0</v>
      </c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6.9795161E7</v>
      </c>
      <c r="B200" s="31" t="s">
        <v>482</v>
      </c>
      <c r="C200" s="32">
        <v>2.0883831E7</v>
      </c>
      <c r="D200" s="32">
        <v>1005744.0</v>
      </c>
      <c r="E200" s="32">
        <v>680216.0</v>
      </c>
      <c r="F200" s="32">
        <v>3542.0</v>
      </c>
      <c r="G200" s="32">
        <v>22474.0</v>
      </c>
      <c r="H200" s="32">
        <v>38910.0</v>
      </c>
      <c r="I200" s="32">
        <v>0.0</v>
      </c>
      <c r="J200" s="32">
        <v>5.190694602E9</v>
      </c>
      <c r="K200" s="32">
        <v>2.966813705E9</v>
      </c>
      <c r="L200" s="32">
        <v>2138.0</v>
      </c>
      <c r="M200" s="31" t="s">
        <v>147</v>
      </c>
      <c r="N200" s="31">
        <v>25.0</v>
      </c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1.72508036E8</v>
      </c>
      <c r="B201" s="31" t="s">
        <v>502</v>
      </c>
      <c r="C201" s="32">
        <v>2.0665014E7</v>
      </c>
      <c r="D201" s="32">
        <v>2171908.0</v>
      </c>
      <c r="E201" s="32">
        <v>140168.0</v>
      </c>
      <c r="F201" s="32">
        <v>0.0</v>
      </c>
      <c r="G201" s="32">
        <v>3651.0</v>
      </c>
      <c r="H201" s="32">
        <v>106590.0</v>
      </c>
      <c r="I201" s="32">
        <v>0.0</v>
      </c>
      <c r="J201" s="32">
        <v>3.485900076E9</v>
      </c>
      <c r="K201" s="32">
        <v>1.0024E9</v>
      </c>
      <c r="L201" s="32">
        <v>1196.0</v>
      </c>
      <c r="M201" s="31" t="s">
        <v>147</v>
      </c>
      <c r="N201" s="31">
        <v>25.0</v>
      </c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1.4586076E8</v>
      </c>
      <c r="B202" s="31" t="s">
        <v>223</v>
      </c>
      <c r="C202" s="32">
        <v>2.0605625E7</v>
      </c>
      <c r="D202" s="32">
        <v>2503746.0</v>
      </c>
      <c r="E202" s="32">
        <v>641516.0</v>
      </c>
      <c r="F202" s="32">
        <v>196473.0</v>
      </c>
      <c r="G202" s="32">
        <v>204412.0</v>
      </c>
      <c r="H202" s="32">
        <v>0.0</v>
      </c>
      <c r="I202" s="32">
        <v>0.0</v>
      </c>
      <c r="J202" s="32">
        <v>7.281885059E9</v>
      </c>
      <c r="K202" s="32">
        <v>7.106242499E9</v>
      </c>
      <c r="L202" s="32">
        <v>3163.0</v>
      </c>
      <c r="M202" s="31" t="s">
        <v>153</v>
      </c>
      <c r="N202" s="31">
        <v>25.0</v>
      </c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1.71989291E8</v>
      </c>
      <c r="B203" s="33" t="s">
        <v>224</v>
      </c>
      <c r="C203" s="34">
        <v>2.0560125E7</v>
      </c>
      <c r="D203" s="34">
        <v>1953757.0</v>
      </c>
      <c r="E203" s="34">
        <v>1329583.0</v>
      </c>
      <c r="F203" s="34">
        <v>1398.0</v>
      </c>
      <c r="G203" s="34">
        <v>2019.0</v>
      </c>
      <c r="H203" s="34">
        <v>94344.0</v>
      </c>
      <c r="I203" s="34">
        <v>0.0</v>
      </c>
      <c r="J203" s="34">
        <v>9.95256502E9</v>
      </c>
      <c r="K203" s="34">
        <v>8.866503859E9</v>
      </c>
      <c r="L203" s="34">
        <v>3471.0</v>
      </c>
      <c r="M203" s="33" t="s">
        <v>153</v>
      </c>
      <c r="N203" s="33">
        <v>24.0</v>
      </c>
      <c r="O203" s="33"/>
      <c r="P203" s="33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1">
        <v>1.90550149E8</v>
      </c>
      <c r="B204" s="31" t="s">
        <v>425</v>
      </c>
      <c r="C204" s="32">
        <v>1.9943971E7</v>
      </c>
      <c r="D204" s="32">
        <v>3.3450339E7</v>
      </c>
      <c r="E204" s="32">
        <v>2867138.0</v>
      </c>
      <c r="F204" s="32">
        <v>3369948.0</v>
      </c>
      <c r="G204" s="32">
        <v>1674212.0</v>
      </c>
      <c r="H204" s="32">
        <v>261758.0</v>
      </c>
      <c r="I204" s="32">
        <v>0.0</v>
      </c>
      <c r="J204" s="32">
        <v>1.956050774E9</v>
      </c>
      <c r="K204" s="32">
        <v>1.32787435E8</v>
      </c>
      <c r="L204" s="32">
        <v>6377.0</v>
      </c>
      <c r="M204" s="31" t="s">
        <v>126</v>
      </c>
      <c r="N204" s="31">
        <v>25.0</v>
      </c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3">
        <v>1.47792502E8</v>
      </c>
      <c r="B205" s="33" t="s">
        <v>232</v>
      </c>
      <c r="C205" s="34">
        <v>1.9941926E7</v>
      </c>
      <c r="D205" s="34">
        <v>1.5553596E7</v>
      </c>
      <c r="E205" s="34">
        <v>501345.0</v>
      </c>
      <c r="F205" s="34">
        <v>265931.0</v>
      </c>
      <c r="G205" s="34">
        <v>1325650.0</v>
      </c>
      <c r="H205" s="34">
        <v>68313.0</v>
      </c>
      <c r="I205" s="34">
        <v>0.0</v>
      </c>
      <c r="J205" s="34">
        <v>1.8497967346E10</v>
      </c>
      <c r="K205" s="34">
        <v>1.4948256784E10</v>
      </c>
      <c r="L205" s="34">
        <v>6690.0</v>
      </c>
      <c r="M205" s="33" t="s">
        <v>153</v>
      </c>
      <c r="N205" s="33">
        <v>24.0</v>
      </c>
      <c r="O205" s="33"/>
      <c r="P205" s="33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3">
        <v>1.59674611E8</v>
      </c>
      <c r="B206" s="33" t="s">
        <v>260</v>
      </c>
      <c r="C206" s="34">
        <v>1.978765E7</v>
      </c>
      <c r="D206" s="34">
        <v>932235.0</v>
      </c>
      <c r="E206" s="34">
        <v>136798.0</v>
      </c>
      <c r="F206" s="34">
        <v>509198.0</v>
      </c>
      <c r="G206" s="34">
        <v>5166.0</v>
      </c>
      <c r="H206" s="34">
        <v>0.0</v>
      </c>
      <c r="I206" s="34">
        <v>0.0</v>
      </c>
      <c r="J206" s="34">
        <v>3.039717215E9</v>
      </c>
      <c r="K206" s="34">
        <v>8.00719676E8</v>
      </c>
      <c r="L206" s="34">
        <v>2363.0</v>
      </c>
      <c r="M206" s="33" t="s">
        <v>94</v>
      </c>
      <c r="N206" s="33">
        <v>23.0</v>
      </c>
      <c r="O206" s="33"/>
      <c r="P206" s="33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1">
        <v>1.07309959E8</v>
      </c>
      <c r="B207" s="31" t="s">
        <v>229</v>
      </c>
      <c r="C207" s="32">
        <v>1.9764105E7</v>
      </c>
      <c r="D207" s="32">
        <v>880638.0</v>
      </c>
      <c r="E207" s="32">
        <v>633209.0</v>
      </c>
      <c r="F207" s="32">
        <v>24063.0</v>
      </c>
      <c r="G207" s="32">
        <v>19253.0</v>
      </c>
      <c r="H207" s="32">
        <v>0.0</v>
      </c>
      <c r="I207" s="32">
        <v>0.0</v>
      </c>
      <c r="J207" s="32">
        <v>4.41721045E9</v>
      </c>
      <c r="K207" s="32">
        <v>1.692E9</v>
      </c>
      <c r="L207" s="32">
        <v>2335.0</v>
      </c>
      <c r="M207" s="31" t="s">
        <v>153</v>
      </c>
      <c r="N207" s="31">
        <v>25.0</v>
      </c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3">
        <v>1.72730913E8</v>
      </c>
      <c r="B208" s="33" t="s">
        <v>221</v>
      </c>
      <c r="C208" s="34">
        <v>1.974875E7</v>
      </c>
      <c r="D208" s="34">
        <v>-1.0</v>
      </c>
      <c r="E208" s="34">
        <v>0.0</v>
      </c>
      <c r="F208" s="34">
        <v>0.0</v>
      </c>
      <c r="G208" s="34">
        <v>0.0</v>
      </c>
      <c r="H208" s="34">
        <v>0.0</v>
      </c>
      <c r="I208" s="34">
        <v>0.0</v>
      </c>
      <c r="J208" s="34">
        <v>4.705360528E9</v>
      </c>
      <c r="K208" s="34">
        <v>1.54E7</v>
      </c>
      <c r="L208" s="34">
        <v>1695.0</v>
      </c>
      <c r="M208" s="33" t="s">
        <v>153</v>
      </c>
      <c r="N208" s="33">
        <v>23.0</v>
      </c>
      <c r="O208" s="33"/>
      <c r="P208" s="33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1.44065202E8</v>
      </c>
      <c r="B209" s="31" t="s">
        <v>222</v>
      </c>
      <c r="C209" s="32">
        <v>1.9576543E7</v>
      </c>
      <c r="D209" s="32">
        <v>9825953.0</v>
      </c>
      <c r="E209" s="32">
        <v>3217489.0</v>
      </c>
      <c r="F209" s="32">
        <v>510456.0</v>
      </c>
      <c r="G209" s="32">
        <v>407070.0</v>
      </c>
      <c r="H209" s="32">
        <v>244210.0</v>
      </c>
      <c r="I209" s="32">
        <v>0.0</v>
      </c>
      <c r="J209" s="32">
        <v>1.852624321E9</v>
      </c>
      <c r="K209" s="32">
        <v>1.4406792E7</v>
      </c>
      <c r="L209" s="32">
        <v>3795.0</v>
      </c>
      <c r="M209" s="31" t="s">
        <v>66</v>
      </c>
      <c r="N209" s="31">
        <v>25.0</v>
      </c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1.0996021E8</v>
      </c>
      <c r="B210" s="31" t="s">
        <v>227</v>
      </c>
      <c r="C210" s="32">
        <v>1.9492978E7</v>
      </c>
      <c r="D210" s="32">
        <v>3385640.0</v>
      </c>
      <c r="E210" s="32">
        <v>281916.0</v>
      </c>
      <c r="F210" s="32">
        <v>0.0</v>
      </c>
      <c r="G210" s="32">
        <v>66702.0</v>
      </c>
      <c r="H210" s="32">
        <v>135931.0</v>
      </c>
      <c r="I210" s="32">
        <v>0.0</v>
      </c>
      <c r="J210" s="32">
        <v>3.079025482E9</v>
      </c>
      <c r="K210" s="32">
        <v>8.98856569E8</v>
      </c>
      <c r="L210" s="32">
        <v>1356.0</v>
      </c>
      <c r="M210" s="31" t="s">
        <v>147</v>
      </c>
      <c r="N210" s="31">
        <v>25.0</v>
      </c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1.37982827E8</v>
      </c>
      <c r="B211" s="31" t="s">
        <v>230</v>
      </c>
      <c r="C211" s="32">
        <v>1.9190788E7</v>
      </c>
      <c r="D211" s="32">
        <v>1033440.0</v>
      </c>
      <c r="E211" s="32">
        <v>1686588.0</v>
      </c>
      <c r="F211" s="32">
        <v>928101.0</v>
      </c>
      <c r="G211" s="32">
        <v>2888.0</v>
      </c>
      <c r="H211" s="32">
        <v>37966.0</v>
      </c>
      <c r="I211" s="32">
        <v>0.0</v>
      </c>
      <c r="J211" s="32">
        <v>2.0725090361E10</v>
      </c>
      <c r="K211" s="32">
        <v>2.2150871927E10</v>
      </c>
      <c r="L211" s="32">
        <v>4398.0</v>
      </c>
      <c r="M211" s="31" t="s">
        <v>153</v>
      </c>
      <c r="N211" s="31">
        <v>25.0</v>
      </c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1.79309911E8</v>
      </c>
      <c r="B212" s="33" t="s">
        <v>250</v>
      </c>
      <c r="C212" s="34">
        <v>1.8549758E7</v>
      </c>
      <c r="D212" s="34">
        <v>3539957.0</v>
      </c>
      <c r="E212" s="34">
        <v>1463306.0</v>
      </c>
      <c r="F212" s="34">
        <v>52987.0</v>
      </c>
      <c r="G212" s="34">
        <v>321378.0</v>
      </c>
      <c r="H212" s="34">
        <v>5689.0</v>
      </c>
      <c r="I212" s="34">
        <v>0.0</v>
      </c>
      <c r="J212" s="34">
        <v>5.193403748E9</v>
      </c>
      <c r="K212" s="34">
        <v>3.113286741E9</v>
      </c>
      <c r="L212" s="34">
        <v>1416.0</v>
      </c>
      <c r="M212" s="33" t="s">
        <v>94</v>
      </c>
      <c r="N212" s="33">
        <v>24.0</v>
      </c>
      <c r="O212" s="33"/>
      <c r="P212" s="33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1.26974968E8</v>
      </c>
      <c r="B213" s="33" t="s">
        <v>244</v>
      </c>
      <c r="C213" s="34">
        <v>1.840883E7</v>
      </c>
      <c r="D213" s="34">
        <v>1232807.0</v>
      </c>
      <c r="E213" s="34">
        <v>877225.0</v>
      </c>
      <c r="F213" s="34">
        <v>5599.0</v>
      </c>
      <c r="G213" s="34">
        <v>56920.0</v>
      </c>
      <c r="H213" s="34">
        <v>25459.0</v>
      </c>
      <c r="I213" s="34">
        <v>0.0</v>
      </c>
      <c r="J213" s="34">
        <v>8.943999306E9</v>
      </c>
      <c r="K213" s="34">
        <v>1.0523962294E10</v>
      </c>
      <c r="L213" s="34">
        <v>2653.0</v>
      </c>
      <c r="M213" s="33" t="s">
        <v>94</v>
      </c>
      <c r="N213" s="33">
        <v>24.0</v>
      </c>
      <c r="O213" s="33"/>
      <c r="P213" s="33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1">
        <v>1.44034439E8</v>
      </c>
      <c r="B214" s="31" t="s">
        <v>235</v>
      </c>
      <c r="C214" s="32">
        <v>1.8298101E7</v>
      </c>
      <c r="D214" s="32">
        <v>3185436.0</v>
      </c>
      <c r="E214" s="32">
        <v>5053227.0</v>
      </c>
      <c r="F214" s="32">
        <v>37361.0</v>
      </c>
      <c r="G214" s="32">
        <v>106493.0</v>
      </c>
      <c r="H214" s="32">
        <v>89020.0</v>
      </c>
      <c r="I214" s="32">
        <v>0.0</v>
      </c>
      <c r="J214" s="32">
        <v>9.548848841E9</v>
      </c>
      <c r="K214" s="32">
        <v>0.0</v>
      </c>
      <c r="L214" s="32">
        <v>7321.0</v>
      </c>
      <c r="M214" s="31" t="s">
        <v>165</v>
      </c>
      <c r="N214" s="31">
        <v>25.0</v>
      </c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1.4065212E8</v>
      </c>
      <c r="B215" s="33" t="s">
        <v>238</v>
      </c>
      <c r="C215" s="34">
        <v>1.8043811E7</v>
      </c>
      <c r="D215" s="34">
        <v>4736361.0</v>
      </c>
      <c r="E215" s="34">
        <v>2093014.0</v>
      </c>
      <c r="F215" s="34">
        <v>14525.0</v>
      </c>
      <c r="G215" s="34">
        <v>310893.0</v>
      </c>
      <c r="H215" s="34">
        <v>81061.0</v>
      </c>
      <c r="I215" s="34">
        <v>0.0</v>
      </c>
      <c r="J215" s="34">
        <v>1.5156446414E10</v>
      </c>
      <c r="K215" s="34">
        <v>1.6054611479E10</v>
      </c>
      <c r="L215" s="34">
        <v>5457.0</v>
      </c>
      <c r="M215" s="33" t="s">
        <v>153</v>
      </c>
      <c r="N215" s="33">
        <v>24.0</v>
      </c>
      <c r="O215" s="33"/>
      <c r="P215" s="33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1">
        <v>1.44068963E8</v>
      </c>
      <c r="B216" s="31" t="s">
        <v>239</v>
      </c>
      <c r="C216" s="32">
        <v>1.8005696E7</v>
      </c>
      <c r="D216" s="32">
        <v>1242154.0</v>
      </c>
      <c r="E216" s="32">
        <v>1892316.0</v>
      </c>
      <c r="F216" s="32">
        <v>10404.0</v>
      </c>
      <c r="G216" s="32">
        <v>7009.0</v>
      </c>
      <c r="H216" s="32">
        <v>57313.0</v>
      </c>
      <c r="I216" s="32">
        <v>0.0</v>
      </c>
      <c r="J216" s="32">
        <v>1.800249361E9</v>
      </c>
      <c r="K216" s="32">
        <v>200000.0</v>
      </c>
      <c r="L216" s="32">
        <v>323.0</v>
      </c>
      <c r="M216" s="31" t="s">
        <v>240</v>
      </c>
      <c r="N216" s="31">
        <v>25.0</v>
      </c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1">
        <v>6.2280166E7</v>
      </c>
      <c r="B217" s="31" t="s">
        <v>520</v>
      </c>
      <c r="C217" s="32">
        <v>1.793565E7</v>
      </c>
      <c r="D217" s="32">
        <v>4247465.0</v>
      </c>
      <c r="E217" s="32">
        <v>340427.0</v>
      </c>
      <c r="F217" s="32">
        <v>432447.0</v>
      </c>
      <c r="G217" s="32">
        <v>156154.0</v>
      </c>
      <c r="H217" s="32">
        <v>0.0</v>
      </c>
      <c r="I217" s="32">
        <v>0.0</v>
      </c>
      <c r="J217" s="32">
        <v>1.684807653E9</v>
      </c>
      <c r="K217" s="32">
        <v>13037.0</v>
      </c>
      <c r="L217" s="32">
        <v>2016.0</v>
      </c>
      <c r="M217" s="31" t="s">
        <v>66</v>
      </c>
      <c r="N217" s="31">
        <v>25.0</v>
      </c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3">
        <v>1.78556109E8</v>
      </c>
      <c r="B218" s="33" t="s">
        <v>248</v>
      </c>
      <c r="C218" s="34">
        <v>1.7745795E7</v>
      </c>
      <c r="D218" s="34">
        <v>1240300.0</v>
      </c>
      <c r="E218" s="34">
        <v>125805.0</v>
      </c>
      <c r="F218" s="34">
        <v>0.0</v>
      </c>
      <c r="G218" s="34">
        <v>7308.0</v>
      </c>
      <c r="H218" s="34">
        <v>58361.0</v>
      </c>
      <c r="I218" s="34">
        <v>0.0</v>
      </c>
      <c r="J218" s="34">
        <v>1.2597218362E10</v>
      </c>
      <c r="K218" s="34">
        <v>1.1321629033E10</v>
      </c>
      <c r="L218" s="34">
        <v>3563.0</v>
      </c>
      <c r="M218" s="33" t="s">
        <v>153</v>
      </c>
      <c r="N218" s="33">
        <v>24.0</v>
      </c>
      <c r="O218" s="33"/>
      <c r="P218" s="33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1">
        <v>1.27147255E8</v>
      </c>
      <c r="B219" s="31" t="s">
        <v>249</v>
      </c>
      <c r="C219" s="32">
        <v>1.7611403E7</v>
      </c>
      <c r="D219" s="32">
        <v>1404762.0</v>
      </c>
      <c r="E219" s="32">
        <v>1620937.0</v>
      </c>
      <c r="F219" s="32">
        <v>43.0</v>
      </c>
      <c r="G219" s="32">
        <v>23523.0</v>
      </c>
      <c r="H219" s="32">
        <v>57743.0</v>
      </c>
      <c r="I219" s="32">
        <v>0.0</v>
      </c>
      <c r="J219" s="32">
        <v>9.899698932E9</v>
      </c>
      <c r="K219" s="32">
        <v>1.4204180855E10</v>
      </c>
      <c r="L219" s="32">
        <v>2940.0</v>
      </c>
      <c r="M219" s="31" t="s">
        <v>94</v>
      </c>
      <c r="N219" s="31">
        <v>25.0</v>
      </c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3">
        <v>1.46678079E8</v>
      </c>
      <c r="B220" s="33" t="s">
        <v>521</v>
      </c>
      <c r="C220" s="34">
        <v>1.747234E7</v>
      </c>
      <c r="D220" s="34">
        <v>2.3326006E7</v>
      </c>
      <c r="E220" s="34">
        <v>3376263.0</v>
      </c>
      <c r="F220" s="34">
        <v>1252441.0</v>
      </c>
      <c r="G220" s="34">
        <v>1215131.0</v>
      </c>
      <c r="H220" s="34">
        <v>32770.0</v>
      </c>
      <c r="I220" s="34">
        <v>0.0</v>
      </c>
      <c r="J220" s="34">
        <v>1.744010234E9</v>
      </c>
      <c r="K220" s="34">
        <v>1.76777944E8</v>
      </c>
      <c r="L220" s="34">
        <v>1859.0</v>
      </c>
      <c r="M220" s="33" t="s">
        <v>153</v>
      </c>
      <c r="N220" s="33">
        <v>24.0</v>
      </c>
      <c r="O220" s="33"/>
      <c r="P220" s="33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1.90203348E8</v>
      </c>
      <c r="B221" s="33" t="s">
        <v>237</v>
      </c>
      <c r="C221" s="34">
        <v>1.7388045E7</v>
      </c>
      <c r="D221" s="34">
        <v>943.0</v>
      </c>
      <c r="E221" s="34">
        <v>0.0</v>
      </c>
      <c r="F221" s="34">
        <v>4717.0</v>
      </c>
      <c r="G221" s="34">
        <v>0.0</v>
      </c>
      <c r="H221" s="34">
        <v>0.0</v>
      </c>
      <c r="I221" s="34">
        <v>0.0</v>
      </c>
      <c r="J221" s="34">
        <v>3.942195625E9</v>
      </c>
      <c r="K221" s="34">
        <v>1.981971695E9</v>
      </c>
      <c r="L221" s="34">
        <v>1013.0</v>
      </c>
      <c r="M221" s="33" t="s">
        <v>147</v>
      </c>
      <c r="N221" s="33">
        <v>24.0</v>
      </c>
      <c r="O221" s="33"/>
      <c r="P221" s="33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1.77786882E8</v>
      </c>
      <c r="B222" s="33" t="s">
        <v>242</v>
      </c>
      <c r="C222" s="34">
        <v>1.7379722E7</v>
      </c>
      <c r="D222" s="34">
        <v>734715.0</v>
      </c>
      <c r="E222" s="34">
        <v>2048.0</v>
      </c>
      <c r="F222" s="34">
        <v>227.0</v>
      </c>
      <c r="G222" s="34">
        <v>6051.0</v>
      </c>
      <c r="H222" s="34">
        <v>33708.0</v>
      </c>
      <c r="I222" s="34">
        <v>0.0</v>
      </c>
      <c r="J222" s="34">
        <v>1.1466171134E10</v>
      </c>
      <c r="K222" s="34">
        <v>7.062626932E9</v>
      </c>
      <c r="L222" s="34">
        <v>3057.0</v>
      </c>
      <c r="M222" s="33" t="s">
        <v>153</v>
      </c>
      <c r="N222" s="33">
        <v>24.0</v>
      </c>
      <c r="O222" s="33"/>
      <c r="P222" s="33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1.88084419E8</v>
      </c>
      <c r="B223" s="33" t="s">
        <v>203</v>
      </c>
      <c r="C223" s="34">
        <v>1.732022E7</v>
      </c>
      <c r="D223" s="34">
        <v>2566037.0</v>
      </c>
      <c r="E223" s="34">
        <v>399331.0</v>
      </c>
      <c r="F223" s="34">
        <v>28076.0</v>
      </c>
      <c r="G223" s="34">
        <v>169779.0</v>
      </c>
      <c r="H223" s="34">
        <v>4764.0</v>
      </c>
      <c r="I223" s="34">
        <v>0.0</v>
      </c>
      <c r="J223" s="34">
        <v>1.945558288E9</v>
      </c>
      <c r="K223" s="34">
        <v>1.040661447E9</v>
      </c>
      <c r="L223" s="34">
        <v>2463.0</v>
      </c>
      <c r="M223" s="33" t="s">
        <v>147</v>
      </c>
      <c r="N223" s="33">
        <v>24.0</v>
      </c>
      <c r="O223" s="33"/>
      <c r="P223" s="33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1">
        <v>9.9317493E7</v>
      </c>
      <c r="B224" s="31" t="s">
        <v>252</v>
      </c>
      <c r="C224" s="32">
        <v>1.7255554E7</v>
      </c>
      <c r="D224" s="32">
        <v>1.1147718E7</v>
      </c>
      <c r="E224" s="32">
        <v>2481046.0</v>
      </c>
      <c r="F224" s="32">
        <v>49534.0</v>
      </c>
      <c r="G224" s="32">
        <v>893317.0</v>
      </c>
      <c r="H224" s="32">
        <v>67760.0</v>
      </c>
      <c r="I224" s="32">
        <v>0.0</v>
      </c>
      <c r="J224" s="32">
        <v>2.983028283E9</v>
      </c>
      <c r="K224" s="32">
        <v>5.3065867E7</v>
      </c>
      <c r="L224" s="32">
        <v>3762.0</v>
      </c>
      <c r="M224" s="31" t="s">
        <v>126</v>
      </c>
      <c r="N224" s="31">
        <v>25.0</v>
      </c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1">
        <v>1.54073945E8</v>
      </c>
      <c r="B225" s="31" t="s">
        <v>381</v>
      </c>
      <c r="C225" s="32">
        <v>1.687574E7</v>
      </c>
      <c r="D225" s="32">
        <v>3284697.0</v>
      </c>
      <c r="E225" s="32">
        <v>4029606.0</v>
      </c>
      <c r="F225" s="32">
        <v>307.0</v>
      </c>
      <c r="G225" s="32">
        <v>299366.0</v>
      </c>
      <c r="H225" s="32">
        <v>14399.0</v>
      </c>
      <c r="I225" s="32">
        <v>0.0</v>
      </c>
      <c r="J225" s="32">
        <v>6.480180535E9</v>
      </c>
      <c r="K225" s="32">
        <v>2.007222579E9</v>
      </c>
      <c r="L225" s="32">
        <v>1577.0</v>
      </c>
      <c r="M225" s="31" t="s">
        <v>153</v>
      </c>
      <c r="N225" s="31">
        <v>25.0</v>
      </c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1.28213955E8</v>
      </c>
      <c r="B226" s="33" t="s">
        <v>253</v>
      </c>
      <c r="C226" s="34">
        <v>1.6817047E7</v>
      </c>
      <c r="D226" s="34">
        <v>75852.0</v>
      </c>
      <c r="E226" s="34">
        <v>0.0</v>
      </c>
      <c r="F226" s="34">
        <v>720.0</v>
      </c>
      <c r="G226" s="34">
        <v>1254.0</v>
      </c>
      <c r="H226" s="34">
        <v>0.0</v>
      </c>
      <c r="I226" s="34">
        <v>0.0</v>
      </c>
      <c r="J226" s="34">
        <v>9.854813072E9</v>
      </c>
      <c r="K226" s="34">
        <v>1.1506807503E10</v>
      </c>
      <c r="L226" s="34">
        <v>2480.0</v>
      </c>
      <c r="M226" s="33" t="s">
        <v>94</v>
      </c>
      <c r="N226" s="33">
        <v>24.0</v>
      </c>
      <c r="O226" s="33"/>
      <c r="P226" s="33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3">
        <v>6.8552994E7</v>
      </c>
      <c r="B227" s="33" t="s">
        <v>246</v>
      </c>
      <c r="C227" s="34">
        <v>1.6803675E7</v>
      </c>
      <c r="D227" s="34">
        <v>1055186.0</v>
      </c>
      <c r="E227" s="34">
        <v>689492.0</v>
      </c>
      <c r="F227" s="34">
        <v>237673.0</v>
      </c>
      <c r="G227" s="34">
        <v>11356.0</v>
      </c>
      <c r="H227" s="34">
        <v>11638.0</v>
      </c>
      <c r="I227" s="34">
        <v>0.0</v>
      </c>
      <c r="J227" s="34">
        <v>8.140788825E9</v>
      </c>
      <c r="K227" s="34">
        <v>5.375385608E9</v>
      </c>
      <c r="L227" s="34">
        <v>4747.0</v>
      </c>
      <c r="M227" s="33" t="s">
        <v>153</v>
      </c>
      <c r="N227" s="33">
        <v>23.0</v>
      </c>
      <c r="O227" s="33"/>
      <c r="P227" s="33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3">
        <v>1.81616674E8</v>
      </c>
      <c r="B228" s="33" t="s">
        <v>247</v>
      </c>
      <c r="C228" s="34">
        <v>1.6753337E7</v>
      </c>
      <c r="D228" s="34">
        <v>-1.0</v>
      </c>
      <c r="E228" s="34">
        <v>0.0</v>
      </c>
      <c r="F228" s="34">
        <v>0.0</v>
      </c>
      <c r="G228" s="34">
        <v>0.0</v>
      </c>
      <c r="H228" s="34">
        <v>0.0</v>
      </c>
      <c r="I228" s="34">
        <v>0.0</v>
      </c>
      <c r="J228" s="34">
        <v>3.368557084E9</v>
      </c>
      <c r="K228" s="34">
        <v>1.734E9</v>
      </c>
      <c r="L228" s="34">
        <v>1015.0</v>
      </c>
      <c r="M228" s="33" t="s">
        <v>153</v>
      </c>
      <c r="N228" s="33">
        <v>23.0</v>
      </c>
      <c r="O228" s="33"/>
      <c r="P228" s="33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1">
        <v>6.7692991E7</v>
      </c>
      <c r="B229" s="31" t="s">
        <v>284</v>
      </c>
      <c r="C229" s="32">
        <v>1.6668279E7</v>
      </c>
      <c r="D229" s="32">
        <v>5.5012697E7</v>
      </c>
      <c r="E229" s="32">
        <v>2761342.0</v>
      </c>
      <c r="F229" s="32">
        <v>254236.0</v>
      </c>
      <c r="G229" s="32">
        <v>2653898.0</v>
      </c>
      <c r="H229" s="32">
        <v>1340108.0</v>
      </c>
      <c r="I229" s="32">
        <v>0.0</v>
      </c>
      <c r="J229" s="32">
        <v>6.316371756E9</v>
      </c>
      <c r="K229" s="32">
        <v>5.897427786E9</v>
      </c>
      <c r="L229" s="32">
        <v>5120.0</v>
      </c>
      <c r="M229" s="31" t="s">
        <v>34</v>
      </c>
      <c r="N229" s="31">
        <v>25.0</v>
      </c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1">
        <v>6.9470044E7</v>
      </c>
      <c r="B230" s="31" t="s">
        <v>504</v>
      </c>
      <c r="C230" s="32">
        <v>1.6578621E7</v>
      </c>
      <c r="D230" s="32">
        <v>5574354.0</v>
      </c>
      <c r="E230" s="32">
        <v>2720243.0</v>
      </c>
      <c r="F230" s="32">
        <v>227923.0</v>
      </c>
      <c r="G230" s="32">
        <v>219997.0</v>
      </c>
      <c r="H230" s="32">
        <v>82155.0</v>
      </c>
      <c r="I230" s="32">
        <v>0.0</v>
      </c>
      <c r="J230" s="32">
        <v>7.639174978E9</v>
      </c>
      <c r="K230" s="32">
        <v>6.476304962E9</v>
      </c>
      <c r="L230" s="32">
        <v>3398.0</v>
      </c>
      <c r="M230" s="31" t="s">
        <v>153</v>
      </c>
      <c r="N230" s="31">
        <v>25.0</v>
      </c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1">
        <v>9.3652844E7</v>
      </c>
      <c r="B231" s="31" t="s">
        <v>467</v>
      </c>
      <c r="C231" s="32">
        <v>1.6540056E7</v>
      </c>
      <c r="D231" s="32">
        <v>155776.0</v>
      </c>
      <c r="E231" s="32">
        <v>1024.0</v>
      </c>
      <c r="F231" s="32">
        <v>9910.0</v>
      </c>
      <c r="G231" s="32">
        <v>3171.0</v>
      </c>
      <c r="H231" s="32">
        <v>4808.0</v>
      </c>
      <c r="I231" s="32">
        <v>0.0</v>
      </c>
      <c r="J231" s="32">
        <v>5.61017526E9</v>
      </c>
      <c r="K231" s="32">
        <v>4.93765001E9</v>
      </c>
      <c r="L231" s="32">
        <v>1970.0</v>
      </c>
      <c r="M231" s="31" t="s">
        <v>153</v>
      </c>
      <c r="N231" s="31">
        <v>25.0</v>
      </c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1">
        <v>3.5412124E7</v>
      </c>
      <c r="B232" s="31" t="s">
        <v>251</v>
      </c>
      <c r="C232" s="32">
        <v>1.6329301E7</v>
      </c>
      <c r="D232" s="32">
        <v>8956841.0</v>
      </c>
      <c r="E232" s="32">
        <v>1027712.0</v>
      </c>
      <c r="F232" s="32">
        <v>572749.0</v>
      </c>
      <c r="G232" s="32">
        <v>366444.0</v>
      </c>
      <c r="H232" s="32">
        <v>75045.0</v>
      </c>
      <c r="I232" s="32">
        <v>0.0</v>
      </c>
      <c r="J232" s="32">
        <v>4.16279169E8</v>
      </c>
      <c r="K232" s="32">
        <v>1709320.0</v>
      </c>
      <c r="L232" s="32">
        <v>1124.0</v>
      </c>
      <c r="M232" s="31" t="s">
        <v>165</v>
      </c>
      <c r="N232" s="31">
        <v>25.0</v>
      </c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1.67715529E8</v>
      </c>
      <c r="B233" s="33" t="s">
        <v>257</v>
      </c>
      <c r="C233" s="34">
        <v>1.5626947E7</v>
      </c>
      <c r="D233" s="34">
        <v>45360.0</v>
      </c>
      <c r="E233" s="34">
        <v>0.0</v>
      </c>
      <c r="F233" s="34">
        <v>0.0</v>
      </c>
      <c r="G233" s="34">
        <v>1832.0</v>
      </c>
      <c r="H233" s="34">
        <v>1352.0</v>
      </c>
      <c r="I233" s="34">
        <v>0.0</v>
      </c>
      <c r="J233" s="34">
        <v>8.191162347E9</v>
      </c>
      <c r="K233" s="34">
        <v>6.044415749E9</v>
      </c>
      <c r="L233" s="34">
        <v>1723.0</v>
      </c>
      <c r="M233" s="33" t="s">
        <v>153</v>
      </c>
      <c r="N233" s="33">
        <v>24.0</v>
      </c>
      <c r="O233" s="33"/>
      <c r="P233" s="33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1.80504744E8</v>
      </c>
      <c r="B234" s="31" t="s">
        <v>384</v>
      </c>
      <c r="C234" s="32">
        <v>1.5560608E7</v>
      </c>
      <c r="D234" s="32">
        <v>63296.0</v>
      </c>
      <c r="E234" s="32">
        <v>183910.0</v>
      </c>
      <c r="F234" s="32">
        <v>1162.0</v>
      </c>
      <c r="G234" s="32">
        <v>3864.0</v>
      </c>
      <c r="H234" s="32">
        <v>951.0</v>
      </c>
      <c r="I234" s="32">
        <v>0.0</v>
      </c>
      <c r="J234" s="32">
        <v>2.001921589E9</v>
      </c>
      <c r="K234" s="32">
        <v>6.48E8</v>
      </c>
      <c r="L234" s="32">
        <v>841.0</v>
      </c>
      <c r="M234" s="31" t="s">
        <v>147</v>
      </c>
      <c r="N234" s="31">
        <v>25.0</v>
      </c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1.84287725E8</v>
      </c>
      <c r="B235" s="33" t="s">
        <v>233</v>
      </c>
      <c r="C235" s="34">
        <v>1.5497492E7</v>
      </c>
      <c r="D235" s="34">
        <v>173990.0</v>
      </c>
      <c r="E235" s="34">
        <v>0.0</v>
      </c>
      <c r="F235" s="34">
        <v>0.0</v>
      </c>
      <c r="G235" s="34">
        <v>6551.0</v>
      </c>
      <c r="H235" s="34">
        <v>5424.0</v>
      </c>
      <c r="I235" s="34">
        <v>0.0</v>
      </c>
      <c r="J235" s="34">
        <v>3.416400469E9</v>
      </c>
      <c r="K235" s="34">
        <v>0.0</v>
      </c>
      <c r="L235" s="34">
        <v>716.0</v>
      </c>
      <c r="M235" s="33" t="s">
        <v>94</v>
      </c>
      <c r="N235" s="33">
        <v>23.0</v>
      </c>
      <c r="O235" s="33"/>
      <c r="P235" s="33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1">
        <v>1.75281453E8</v>
      </c>
      <c r="B236" s="31" t="s">
        <v>262</v>
      </c>
      <c r="C236" s="32">
        <v>1.5483482E7</v>
      </c>
      <c r="D236" s="32">
        <v>1.200256E7</v>
      </c>
      <c r="E236" s="32">
        <v>1043466.0</v>
      </c>
      <c r="F236" s="32">
        <v>633100.0</v>
      </c>
      <c r="G236" s="32">
        <v>323471.0</v>
      </c>
      <c r="H236" s="32">
        <v>246075.0</v>
      </c>
      <c r="I236" s="32">
        <v>0.0</v>
      </c>
      <c r="J236" s="32">
        <v>3.946642581E9</v>
      </c>
      <c r="K236" s="32">
        <v>2.785644157E9</v>
      </c>
      <c r="L236" s="32">
        <v>12686.0</v>
      </c>
      <c r="M236" s="31" t="s">
        <v>153</v>
      </c>
      <c r="N236" s="31">
        <v>25.0</v>
      </c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1.83302822E8</v>
      </c>
      <c r="B237" s="33" t="s">
        <v>280</v>
      </c>
      <c r="C237" s="34">
        <v>1.508293E7</v>
      </c>
      <c r="D237" s="34">
        <v>877526.0</v>
      </c>
      <c r="E237" s="34">
        <v>1168563.0</v>
      </c>
      <c r="F237" s="34">
        <v>28604.0</v>
      </c>
      <c r="G237" s="34">
        <v>64450.0</v>
      </c>
      <c r="H237" s="34">
        <v>4027.0</v>
      </c>
      <c r="I237" s="34">
        <v>0.0</v>
      </c>
      <c r="J237" s="34">
        <v>4.0792625E9</v>
      </c>
      <c r="K237" s="34">
        <v>2.80535441E9</v>
      </c>
      <c r="L237" s="34">
        <v>1362.0</v>
      </c>
      <c r="M237" s="33" t="s">
        <v>94</v>
      </c>
      <c r="N237" s="33">
        <v>24.0</v>
      </c>
      <c r="O237" s="33"/>
      <c r="P237" s="33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3">
        <v>1.96555794E8</v>
      </c>
      <c r="B238" s="33" t="s">
        <v>261</v>
      </c>
      <c r="C238" s="34">
        <v>1.5076917E7</v>
      </c>
      <c r="D238" s="34">
        <v>112502.0</v>
      </c>
      <c r="E238" s="34">
        <v>0.0</v>
      </c>
      <c r="F238" s="34">
        <v>105330.0</v>
      </c>
      <c r="G238" s="34">
        <v>401.0</v>
      </c>
      <c r="H238" s="34">
        <v>158.0</v>
      </c>
      <c r="I238" s="34">
        <v>0.0</v>
      </c>
      <c r="J238" s="34">
        <v>4.108491892E9</v>
      </c>
      <c r="K238" s="34">
        <v>1.25674129E9</v>
      </c>
      <c r="L238" s="34">
        <v>2594.0</v>
      </c>
      <c r="M238" s="33" t="s">
        <v>94</v>
      </c>
      <c r="N238" s="33">
        <v>23.0</v>
      </c>
      <c r="O238" s="33"/>
      <c r="P238" s="33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1.05661574E8</v>
      </c>
      <c r="B239" s="31" t="s">
        <v>505</v>
      </c>
      <c r="C239" s="32">
        <v>1.4933027E7</v>
      </c>
      <c r="D239" s="32">
        <v>3.0199245E7</v>
      </c>
      <c r="E239" s="32">
        <v>2028234.0</v>
      </c>
      <c r="F239" s="32">
        <v>539006.0</v>
      </c>
      <c r="G239" s="32">
        <v>2070947.0</v>
      </c>
      <c r="H239" s="32">
        <v>324308.0</v>
      </c>
      <c r="I239" s="32">
        <v>0.0</v>
      </c>
      <c r="J239" s="32">
        <v>8.337740019E9</v>
      </c>
      <c r="K239" s="32">
        <v>8.605176133E9</v>
      </c>
      <c r="L239" s="32">
        <v>4976.0</v>
      </c>
      <c r="M239" s="31" t="s">
        <v>153</v>
      </c>
      <c r="N239" s="31">
        <v>25.0</v>
      </c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1.4404346E8</v>
      </c>
      <c r="B240" s="33" t="s">
        <v>231</v>
      </c>
      <c r="C240" s="34">
        <v>1.4939561E7</v>
      </c>
      <c r="D240" s="34">
        <v>2445760.0</v>
      </c>
      <c r="E240" s="34">
        <v>213678.0</v>
      </c>
      <c r="F240" s="34">
        <v>156164.0</v>
      </c>
      <c r="G240" s="34">
        <v>6083.0</v>
      </c>
      <c r="H240" s="34">
        <v>0.0</v>
      </c>
      <c r="I240" s="34">
        <v>0.0</v>
      </c>
      <c r="J240" s="34">
        <v>1.980451371E9</v>
      </c>
      <c r="K240" s="34">
        <v>0.0</v>
      </c>
      <c r="L240" s="34">
        <v>1315.0</v>
      </c>
      <c r="M240" s="33" t="s">
        <v>165</v>
      </c>
      <c r="N240" s="33">
        <v>24.0</v>
      </c>
      <c r="O240" s="33"/>
      <c r="P240" s="33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1.92309473E8</v>
      </c>
      <c r="B241" s="33" t="s">
        <v>270</v>
      </c>
      <c r="C241" s="34">
        <v>1.4780327E7</v>
      </c>
      <c r="D241" s="34">
        <v>0.0</v>
      </c>
      <c r="E241" s="34">
        <v>0.0</v>
      </c>
      <c r="F241" s="34">
        <v>0.0</v>
      </c>
      <c r="G241" s="34">
        <v>0.0</v>
      </c>
      <c r="H241" s="34">
        <v>0.0</v>
      </c>
      <c r="I241" s="34">
        <v>0.0</v>
      </c>
      <c r="J241" s="34">
        <v>5.697131747E9</v>
      </c>
      <c r="K241" s="34">
        <v>2.406281775E9</v>
      </c>
      <c r="L241" s="34">
        <v>1265.0</v>
      </c>
      <c r="M241" s="33" t="s">
        <v>153</v>
      </c>
      <c r="N241" s="33">
        <v>24.0</v>
      </c>
      <c r="O241" s="33"/>
      <c r="P241" s="33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1.31105326E8</v>
      </c>
      <c r="B242" s="33" t="s">
        <v>271</v>
      </c>
      <c r="C242" s="34">
        <v>1.473816E7</v>
      </c>
      <c r="D242" s="34">
        <v>52342.0</v>
      </c>
      <c r="E242" s="34">
        <v>0.0</v>
      </c>
      <c r="F242" s="34">
        <v>8582.0</v>
      </c>
      <c r="G242" s="34">
        <v>3649.0</v>
      </c>
      <c r="H242" s="34">
        <v>0.0</v>
      </c>
      <c r="I242" s="34">
        <v>0.0</v>
      </c>
      <c r="J242" s="34">
        <v>7.778233258E9</v>
      </c>
      <c r="K242" s="34">
        <v>9.045134782E9</v>
      </c>
      <c r="L242" s="34">
        <v>1619.0</v>
      </c>
      <c r="M242" s="33" t="s">
        <v>94</v>
      </c>
      <c r="N242" s="33">
        <v>24.0</v>
      </c>
      <c r="O242" s="33"/>
      <c r="P242" s="33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1.67721298E8</v>
      </c>
      <c r="B243" s="33" t="s">
        <v>266</v>
      </c>
      <c r="C243" s="34">
        <v>1.4734001E7</v>
      </c>
      <c r="D243" s="34">
        <v>8969284.0</v>
      </c>
      <c r="E243" s="34">
        <v>1497386.0</v>
      </c>
      <c r="F243" s="34">
        <v>45213.0</v>
      </c>
      <c r="G243" s="34">
        <v>642441.0</v>
      </c>
      <c r="H243" s="34">
        <v>114691.0</v>
      </c>
      <c r="I243" s="34">
        <v>0.0</v>
      </c>
      <c r="J243" s="34">
        <v>1.2321738051E10</v>
      </c>
      <c r="K243" s="34">
        <v>9.827811063E9</v>
      </c>
      <c r="L243" s="34">
        <v>2211.0</v>
      </c>
      <c r="M243" s="33" t="s">
        <v>94</v>
      </c>
      <c r="N243" s="33">
        <v>24.0</v>
      </c>
      <c r="O243" s="33"/>
      <c r="P243" s="33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1.59431767E8</v>
      </c>
      <c r="B244" s="33" t="s">
        <v>258</v>
      </c>
      <c r="C244" s="34">
        <v>1.4722589E7</v>
      </c>
      <c r="D244" s="34">
        <v>0.0</v>
      </c>
      <c r="E244" s="34">
        <v>0.0</v>
      </c>
      <c r="F244" s="34">
        <v>0.0</v>
      </c>
      <c r="G244" s="34">
        <v>0.0</v>
      </c>
      <c r="H244" s="34">
        <v>0.0</v>
      </c>
      <c r="I244" s="34">
        <v>0.0</v>
      </c>
      <c r="J244" s="34">
        <v>3.001494188E9</v>
      </c>
      <c r="K244" s="34">
        <v>1.377969507E9</v>
      </c>
      <c r="L244" s="34">
        <v>808.0</v>
      </c>
      <c r="M244" s="33" t="s">
        <v>153</v>
      </c>
      <c r="N244" s="33">
        <v>24.0</v>
      </c>
      <c r="O244" s="33"/>
      <c r="P244" s="33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1">
        <v>1.17526833E8</v>
      </c>
      <c r="B245" s="31" t="s">
        <v>468</v>
      </c>
      <c r="C245" s="32">
        <v>1.4719237E7</v>
      </c>
      <c r="D245" s="32">
        <v>1338678.0</v>
      </c>
      <c r="E245" s="32">
        <v>1092659.0</v>
      </c>
      <c r="F245" s="32">
        <v>22923.0</v>
      </c>
      <c r="G245" s="32">
        <v>42600.0</v>
      </c>
      <c r="H245" s="32">
        <v>34607.0</v>
      </c>
      <c r="I245" s="32">
        <v>0.0</v>
      </c>
      <c r="J245" s="32">
        <v>2.101054154E9</v>
      </c>
      <c r="K245" s="32">
        <v>4219586.0</v>
      </c>
      <c r="L245" s="32">
        <v>2138.0</v>
      </c>
      <c r="M245" s="31" t="s">
        <v>492</v>
      </c>
      <c r="N245" s="31">
        <v>25.0</v>
      </c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1.92376835E8</v>
      </c>
      <c r="B246" s="33" t="s">
        <v>272</v>
      </c>
      <c r="C246" s="34">
        <v>1.4702941E7</v>
      </c>
      <c r="D246" s="34">
        <v>0.0</v>
      </c>
      <c r="E246" s="34">
        <v>0.0</v>
      </c>
      <c r="F246" s="34">
        <v>0.0</v>
      </c>
      <c r="G246" s="34">
        <v>0.0</v>
      </c>
      <c r="H246" s="34">
        <v>0.0</v>
      </c>
      <c r="I246" s="34">
        <v>0.0</v>
      </c>
      <c r="J246" s="34">
        <v>5.486666804E9</v>
      </c>
      <c r="K246" s="34">
        <v>2.225148957E9</v>
      </c>
      <c r="L246" s="34">
        <v>1284.0</v>
      </c>
      <c r="M246" s="33" t="s">
        <v>153</v>
      </c>
      <c r="N246" s="33">
        <v>24.0</v>
      </c>
      <c r="O246" s="33"/>
      <c r="P246" s="33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1">
        <v>1.06264973E8</v>
      </c>
      <c r="B247" s="31" t="s">
        <v>506</v>
      </c>
      <c r="C247" s="32">
        <v>1.4689673E7</v>
      </c>
      <c r="D247" s="32">
        <v>8880223.0</v>
      </c>
      <c r="E247" s="32">
        <v>1336041.0</v>
      </c>
      <c r="F247" s="32">
        <v>240809.0</v>
      </c>
      <c r="G247" s="32">
        <v>689374.0</v>
      </c>
      <c r="H247" s="32">
        <v>25642.0</v>
      </c>
      <c r="I247" s="32">
        <v>0.0</v>
      </c>
      <c r="J247" s="32">
        <v>4.898850099E9</v>
      </c>
      <c r="K247" s="32">
        <v>2.637422044E9</v>
      </c>
      <c r="L247" s="32">
        <v>13511.0</v>
      </c>
      <c r="M247" s="31" t="s">
        <v>153</v>
      </c>
      <c r="N247" s="31">
        <v>25.0</v>
      </c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1.77632834E8</v>
      </c>
      <c r="B248" s="33" t="s">
        <v>268</v>
      </c>
      <c r="C248" s="34">
        <v>1.4645638E7</v>
      </c>
      <c r="D248" s="34">
        <v>1249958.0</v>
      </c>
      <c r="E248" s="34">
        <v>701662.0</v>
      </c>
      <c r="F248" s="34">
        <v>1912.0</v>
      </c>
      <c r="G248" s="34">
        <v>19146.0</v>
      </c>
      <c r="H248" s="34">
        <v>52011.0</v>
      </c>
      <c r="I248" s="34">
        <v>0.0</v>
      </c>
      <c r="J248" s="34">
        <v>1.765969419E9</v>
      </c>
      <c r="K248" s="34">
        <v>2.49001512E8</v>
      </c>
      <c r="L248" s="34">
        <v>1168.0</v>
      </c>
      <c r="M248" s="33" t="s">
        <v>147</v>
      </c>
      <c r="N248" s="33">
        <v>24.0</v>
      </c>
      <c r="O248" s="33"/>
      <c r="P248" s="33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1.44078795E8</v>
      </c>
      <c r="B249" s="33" t="s">
        <v>263</v>
      </c>
      <c r="C249" s="34">
        <v>1.4468791E7</v>
      </c>
      <c r="D249" s="34">
        <v>508139.0</v>
      </c>
      <c r="E249" s="34">
        <v>622978.0</v>
      </c>
      <c r="F249" s="34">
        <v>1515.0</v>
      </c>
      <c r="G249" s="34">
        <v>40282.0</v>
      </c>
      <c r="H249" s="34">
        <v>5056.0</v>
      </c>
      <c r="I249" s="34">
        <v>0.0</v>
      </c>
      <c r="J249" s="34">
        <v>9971915.0</v>
      </c>
      <c r="K249" s="34">
        <v>3904993.0</v>
      </c>
      <c r="L249" s="34">
        <v>1673.0</v>
      </c>
      <c r="M249" s="33" t="s">
        <v>264</v>
      </c>
      <c r="N249" s="33">
        <v>22.0</v>
      </c>
      <c r="O249" s="33"/>
      <c r="P249" s="33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1.44056117E8</v>
      </c>
      <c r="B250" s="33" t="s">
        <v>269</v>
      </c>
      <c r="C250" s="34">
        <v>1.4352997E7</v>
      </c>
      <c r="D250" s="34">
        <v>3285581.0</v>
      </c>
      <c r="E250" s="34">
        <v>1090347.0</v>
      </c>
      <c r="F250" s="34">
        <v>90017.0</v>
      </c>
      <c r="G250" s="34">
        <v>134161.0</v>
      </c>
      <c r="H250" s="34">
        <v>41198.0</v>
      </c>
      <c r="I250" s="34">
        <v>0.0</v>
      </c>
      <c r="J250" s="34">
        <v>2.618983945E9</v>
      </c>
      <c r="K250" s="34">
        <v>1030848.0</v>
      </c>
      <c r="L250" s="34">
        <v>859.0</v>
      </c>
      <c r="M250" s="33" t="s">
        <v>119</v>
      </c>
      <c r="N250" s="33">
        <v>23.0</v>
      </c>
      <c r="O250" s="33"/>
      <c r="P250" s="33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1.44114562E8</v>
      </c>
      <c r="B251" s="33" t="s">
        <v>507</v>
      </c>
      <c r="C251" s="34">
        <v>1.4327275E7</v>
      </c>
      <c r="D251" s="34">
        <v>1212832.0</v>
      </c>
      <c r="E251" s="34">
        <v>1922195.0</v>
      </c>
      <c r="F251" s="34">
        <v>0.0</v>
      </c>
      <c r="G251" s="34">
        <v>67600.0</v>
      </c>
      <c r="H251" s="34">
        <v>24256.0</v>
      </c>
      <c r="I251" s="34">
        <v>0.0</v>
      </c>
      <c r="J251" s="34">
        <v>1.533704423E9</v>
      </c>
      <c r="K251" s="34">
        <v>3401938.0</v>
      </c>
      <c r="L251" s="34">
        <v>1210.0</v>
      </c>
      <c r="M251" s="33" t="s">
        <v>66</v>
      </c>
      <c r="N251" s="33">
        <v>23.0</v>
      </c>
      <c r="O251" s="33"/>
      <c r="P251" s="33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1.68857269E8</v>
      </c>
      <c r="B252" s="33" t="s">
        <v>273</v>
      </c>
      <c r="C252" s="34">
        <v>1.4097146E7</v>
      </c>
      <c r="D252" s="34">
        <v>6749231.0</v>
      </c>
      <c r="E252" s="34">
        <v>1357929.0</v>
      </c>
      <c r="F252" s="34">
        <v>39286.0</v>
      </c>
      <c r="G252" s="34">
        <v>609241.0</v>
      </c>
      <c r="H252" s="34">
        <v>29545.0</v>
      </c>
      <c r="I252" s="34">
        <v>0.0</v>
      </c>
      <c r="J252" s="34">
        <v>3.906988277E9</v>
      </c>
      <c r="K252" s="34">
        <v>6.62826713E8</v>
      </c>
      <c r="L252" s="34">
        <v>1600.0</v>
      </c>
      <c r="M252" s="33" t="s">
        <v>153</v>
      </c>
      <c r="N252" s="33">
        <v>24.0</v>
      </c>
      <c r="O252" s="33"/>
      <c r="P252" s="33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1.48245743E8</v>
      </c>
      <c r="B253" s="33" t="s">
        <v>484</v>
      </c>
      <c r="C253" s="34">
        <v>1.4072085E7</v>
      </c>
      <c r="D253" s="34">
        <v>2804575.0</v>
      </c>
      <c r="E253" s="34">
        <v>718507.0</v>
      </c>
      <c r="F253" s="34">
        <v>18986.0</v>
      </c>
      <c r="G253" s="34">
        <v>94334.0</v>
      </c>
      <c r="H253" s="34">
        <v>85451.0</v>
      </c>
      <c r="I253" s="34">
        <v>0.0</v>
      </c>
      <c r="J253" s="34">
        <v>1.169599659E9</v>
      </c>
      <c r="K253" s="34">
        <v>0.0</v>
      </c>
      <c r="L253" s="34">
        <v>439.0</v>
      </c>
      <c r="M253" s="33" t="s">
        <v>94</v>
      </c>
      <c r="N253" s="33">
        <v>24.0</v>
      </c>
      <c r="O253" s="33"/>
      <c r="P253" s="33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1.76614955E8</v>
      </c>
      <c r="B254" s="33" t="s">
        <v>274</v>
      </c>
      <c r="C254" s="34">
        <v>1.391995E7</v>
      </c>
      <c r="D254" s="34">
        <v>2911595.0</v>
      </c>
      <c r="E254" s="34">
        <v>178776.0</v>
      </c>
      <c r="F254" s="34">
        <v>206889.0</v>
      </c>
      <c r="G254" s="34">
        <v>246985.0</v>
      </c>
      <c r="H254" s="34">
        <v>1.0</v>
      </c>
      <c r="I254" s="34">
        <v>0.0</v>
      </c>
      <c r="J254" s="34">
        <v>1.0163202954E10</v>
      </c>
      <c r="K254" s="34">
        <v>9.436300713E9</v>
      </c>
      <c r="L254" s="34">
        <v>4956.0</v>
      </c>
      <c r="M254" s="33" t="s">
        <v>153</v>
      </c>
      <c r="N254" s="33">
        <v>24.0</v>
      </c>
      <c r="O254" s="33"/>
      <c r="P254" s="33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3">
        <v>7.9098771E7</v>
      </c>
      <c r="B255" s="33" t="s">
        <v>508</v>
      </c>
      <c r="C255" s="34">
        <v>1.3842746E7</v>
      </c>
      <c r="D255" s="34">
        <v>2548139.0</v>
      </c>
      <c r="E255" s="34">
        <v>606164.0</v>
      </c>
      <c r="F255" s="34">
        <v>23465.0</v>
      </c>
      <c r="G255" s="34">
        <v>166025.0</v>
      </c>
      <c r="H255" s="34">
        <v>44126.0</v>
      </c>
      <c r="I255" s="34">
        <v>0.0</v>
      </c>
      <c r="J255" s="34">
        <v>8.847622887E9</v>
      </c>
      <c r="K255" s="34">
        <v>7.593529434E9</v>
      </c>
      <c r="L255" s="34">
        <v>1726.0</v>
      </c>
      <c r="M255" s="33" t="s">
        <v>94</v>
      </c>
      <c r="N255" s="33">
        <v>23.0</v>
      </c>
      <c r="O255" s="33"/>
      <c r="P255" s="33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1">
        <v>1.68821399E8</v>
      </c>
      <c r="B256" s="31" t="s">
        <v>385</v>
      </c>
      <c r="C256" s="32">
        <v>1.3627762E7</v>
      </c>
      <c r="D256" s="32">
        <v>3357118.0</v>
      </c>
      <c r="E256" s="32">
        <v>1916784.0</v>
      </c>
      <c r="F256" s="32">
        <v>328231.0</v>
      </c>
      <c r="G256" s="32">
        <v>286104.0</v>
      </c>
      <c r="H256" s="32">
        <v>14726.0</v>
      </c>
      <c r="I256" s="32">
        <v>0.0</v>
      </c>
      <c r="J256" s="32">
        <v>8.17501813E9</v>
      </c>
      <c r="K256" s="32">
        <v>4.619081699E9</v>
      </c>
      <c r="L256" s="32">
        <v>1799.0</v>
      </c>
      <c r="M256" s="31" t="s">
        <v>153</v>
      </c>
      <c r="N256" s="31">
        <v>25.0</v>
      </c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1.90414225E8</v>
      </c>
      <c r="B257" s="33" t="s">
        <v>509</v>
      </c>
      <c r="C257" s="34">
        <v>1.3509416E7</v>
      </c>
      <c r="D257" s="34">
        <v>2246854.0</v>
      </c>
      <c r="E257" s="34">
        <v>0.0</v>
      </c>
      <c r="F257" s="34">
        <v>0.0</v>
      </c>
      <c r="G257" s="34">
        <v>177233.0</v>
      </c>
      <c r="H257" s="34">
        <v>0.0</v>
      </c>
      <c r="I257" s="34">
        <v>0.0</v>
      </c>
      <c r="J257" s="34">
        <v>1.557682911E9</v>
      </c>
      <c r="K257" s="34">
        <v>0.0</v>
      </c>
      <c r="L257" s="34">
        <v>1104.0</v>
      </c>
      <c r="M257" s="33" t="s">
        <v>153</v>
      </c>
      <c r="N257" s="33">
        <v>24.0</v>
      </c>
      <c r="O257" s="33"/>
      <c r="P257" s="33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1">
        <v>1.69610538E8</v>
      </c>
      <c r="B258" s="31" t="s">
        <v>432</v>
      </c>
      <c r="C258" s="32">
        <v>1.3265376E7</v>
      </c>
      <c r="D258" s="32">
        <v>492926.0</v>
      </c>
      <c r="E258" s="32">
        <v>1569585.0</v>
      </c>
      <c r="F258" s="32">
        <v>3.0</v>
      </c>
      <c r="G258" s="32">
        <v>4092.0</v>
      </c>
      <c r="H258" s="32">
        <v>21064.0</v>
      </c>
      <c r="I258" s="32">
        <v>0.0</v>
      </c>
      <c r="J258" s="32">
        <v>8.964627673E9</v>
      </c>
      <c r="K258" s="32">
        <v>4.669995414E9</v>
      </c>
      <c r="L258" s="32">
        <v>1519.0</v>
      </c>
      <c r="M258" s="31" t="s">
        <v>94</v>
      </c>
      <c r="N258" s="31">
        <v>25.0</v>
      </c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8.7579313E7</v>
      </c>
      <c r="B259" s="31" t="s">
        <v>510</v>
      </c>
      <c r="C259" s="32">
        <v>1.31872E7</v>
      </c>
      <c r="D259" s="32">
        <v>2825806.0</v>
      </c>
      <c r="E259" s="32">
        <v>1274114.0</v>
      </c>
      <c r="F259" s="32">
        <v>973310.0</v>
      </c>
      <c r="G259" s="32">
        <v>128400.0</v>
      </c>
      <c r="H259" s="32">
        <v>41492.0</v>
      </c>
      <c r="I259" s="32">
        <v>0.0</v>
      </c>
      <c r="J259" s="32">
        <v>8.958618912E9</v>
      </c>
      <c r="K259" s="32">
        <v>6.483333966E9</v>
      </c>
      <c r="L259" s="32">
        <v>2370.0</v>
      </c>
      <c r="M259" s="31" t="s">
        <v>66</v>
      </c>
      <c r="N259" s="31">
        <v>25.0</v>
      </c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1">
        <v>1.79651678E8</v>
      </c>
      <c r="B260" s="31" t="s">
        <v>283</v>
      </c>
      <c r="C260" s="32">
        <v>1.3126304E7</v>
      </c>
      <c r="D260" s="32">
        <v>9596330.0</v>
      </c>
      <c r="E260" s="32">
        <v>1786794.0</v>
      </c>
      <c r="F260" s="32">
        <v>593624.0</v>
      </c>
      <c r="G260" s="32">
        <v>647464.0</v>
      </c>
      <c r="H260" s="32">
        <v>145591.0</v>
      </c>
      <c r="I260" s="32">
        <v>0.0</v>
      </c>
      <c r="J260" s="32">
        <v>5.217569289E9</v>
      </c>
      <c r="K260" s="32">
        <v>3.167058363E9</v>
      </c>
      <c r="L260" s="32">
        <v>2177.0</v>
      </c>
      <c r="M260" s="31" t="s">
        <v>147</v>
      </c>
      <c r="N260" s="31">
        <v>25.0</v>
      </c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3">
        <v>1.05646511E8</v>
      </c>
      <c r="B261" s="33" t="s">
        <v>485</v>
      </c>
      <c r="C261" s="34">
        <v>1.3082925E7</v>
      </c>
      <c r="D261" s="34">
        <v>2403005.0</v>
      </c>
      <c r="E261" s="34">
        <v>504461.0</v>
      </c>
      <c r="F261" s="34">
        <v>132176.0</v>
      </c>
      <c r="G261" s="34">
        <v>67351.0</v>
      </c>
      <c r="H261" s="34">
        <v>7671.0</v>
      </c>
      <c r="I261" s="34">
        <v>0.0</v>
      </c>
      <c r="J261" s="34">
        <v>1.224362147E9</v>
      </c>
      <c r="K261" s="34">
        <v>2.3589896E7</v>
      </c>
      <c r="L261" s="34">
        <v>3387.0</v>
      </c>
      <c r="M261" s="33" t="s">
        <v>66</v>
      </c>
      <c r="N261" s="33">
        <v>23.0</v>
      </c>
      <c r="O261" s="33"/>
      <c r="P261" s="33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1.51248241E8</v>
      </c>
      <c r="B262" s="33" t="s">
        <v>290</v>
      </c>
      <c r="C262" s="34">
        <v>1.2994726E7</v>
      </c>
      <c r="D262" s="34">
        <v>1371541.0</v>
      </c>
      <c r="E262" s="34">
        <v>94486.0</v>
      </c>
      <c r="F262" s="34">
        <v>6395.0</v>
      </c>
      <c r="G262" s="34">
        <v>126790.0</v>
      </c>
      <c r="H262" s="34">
        <v>0.0</v>
      </c>
      <c r="I262" s="34">
        <v>0.0</v>
      </c>
      <c r="J262" s="34">
        <v>2.701020126E9</v>
      </c>
      <c r="K262" s="34">
        <v>7.26817496E8</v>
      </c>
      <c r="L262" s="34">
        <v>5898.0</v>
      </c>
      <c r="M262" s="33" t="s">
        <v>94</v>
      </c>
      <c r="N262" s="33">
        <v>24.0</v>
      </c>
      <c r="O262" s="33"/>
      <c r="P262" s="33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2.4777206E7</v>
      </c>
      <c r="B263" s="33" t="s">
        <v>289</v>
      </c>
      <c r="C263" s="34">
        <v>1.2960674E7</v>
      </c>
      <c r="D263" s="34">
        <v>3178989.0</v>
      </c>
      <c r="E263" s="34">
        <v>1435029.0</v>
      </c>
      <c r="F263" s="34">
        <v>23338.0</v>
      </c>
      <c r="G263" s="34">
        <v>52691.0</v>
      </c>
      <c r="H263" s="34">
        <v>90243.0</v>
      </c>
      <c r="I263" s="34">
        <v>0.0</v>
      </c>
      <c r="J263" s="34">
        <v>4.004185147E9</v>
      </c>
      <c r="K263" s="34">
        <v>6.196163634E9</v>
      </c>
      <c r="L263" s="34">
        <v>2572.0</v>
      </c>
      <c r="M263" s="33" t="s">
        <v>153</v>
      </c>
      <c r="N263" s="33">
        <v>23.0</v>
      </c>
      <c r="O263" s="33"/>
      <c r="P263" s="33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1">
        <v>1.4420936E8</v>
      </c>
      <c r="B264" s="31" t="s">
        <v>511</v>
      </c>
      <c r="C264" s="32">
        <v>1.2934235E7</v>
      </c>
      <c r="D264" s="32">
        <v>1499914.0</v>
      </c>
      <c r="E264" s="32">
        <v>1248165.0</v>
      </c>
      <c r="F264" s="32">
        <v>48254.0</v>
      </c>
      <c r="G264" s="32">
        <v>45611.0</v>
      </c>
      <c r="H264" s="32">
        <v>36122.0</v>
      </c>
      <c r="I264" s="32">
        <v>0.0</v>
      </c>
      <c r="J264" s="32">
        <v>1.990311509E9</v>
      </c>
      <c r="K264" s="32">
        <v>2400000.0</v>
      </c>
      <c r="L264" s="32">
        <v>1377.0</v>
      </c>
      <c r="M264" s="31" t="s">
        <v>66</v>
      </c>
      <c r="N264" s="31">
        <v>25.0</v>
      </c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3">
        <v>4.7157775E7</v>
      </c>
      <c r="B265" s="33" t="s">
        <v>276</v>
      </c>
      <c r="C265" s="34">
        <v>1.2909303E7</v>
      </c>
      <c r="D265" s="34">
        <v>469490.0</v>
      </c>
      <c r="E265" s="34">
        <v>719004.0</v>
      </c>
      <c r="F265" s="34">
        <v>1153.0</v>
      </c>
      <c r="G265" s="34">
        <v>7698.0</v>
      </c>
      <c r="H265" s="34">
        <v>10645.0</v>
      </c>
      <c r="I265" s="34">
        <v>0.0</v>
      </c>
      <c r="J265" s="34">
        <v>2.191029981E10</v>
      </c>
      <c r="K265" s="34">
        <v>2.121211705E10</v>
      </c>
      <c r="L265" s="34">
        <v>2798.0</v>
      </c>
      <c r="M265" s="33" t="s">
        <v>153</v>
      </c>
      <c r="N265" s="33">
        <v>24.0</v>
      </c>
      <c r="O265" s="33"/>
      <c r="P265" s="33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1">
        <v>1.80743895E8</v>
      </c>
      <c r="B266" s="31" t="s">
        <v>435</v>
      </c>
      <c r="C266" s="32">
        <v>1.2821551E7</v>
      </c>
      <c r="D266" s="32">
        <v>1283072.0</v>
      </c>
      <c r="E266" s="32">
        <v>1893314.0</v>
      </c>
      <c r="F266" s="32">
        <v>4711.0</v>
      </c>
      <c r="G266" s="32">
        <v>13098.0</v>
      </c>
      <c r="H266" s="32">
        <v>56755.0</v>
      </c>
      <c r="I266" s="32">
        <v>0.0</v>
      </c>
      <c r="J266" s="32">
        <v>4.307908007E9</v>
      </c>
      <c r="K266" s="32">
        <v>3.349477122E9</v>
      </c>
      <c r="L266" s="32">
        <v>1956.0</v>
      </c>
      <c r="M266" s="31" t="s">
        <v>153</v>
      </c>
      <c r="N266" s="31">
        <v>25.0</v>
      </c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1.21407372E8</v>
      </c>
      <c r="B267" s="33" t="s">
        <v>433</v>
      </c>
      <c r="C267" s="34">
        <v>1.2746587E7</v>
      </c>
      <c r="D267" s="34">
        <v>212428.0</v>
      </c>
      <c r="E267" s="34">
        <v>59062.0</v>
      </c>
      <c r="F267" s="34">
        <v>10974.0</v>
      </c>
      <c r="G267" s="34">
        <v>8297.0</v>
      </c>
      <c r="H267" s="34">
        <v>0.0</v>
      </c>
      <c r="I267" s="34">
        <v>0.0</v>
      </c>
      <c r="J267" s="34">
        <v>1.390412267E9</v>
      </c>
      <c r="K267" s="34">
        <v>0.0</v>
      </c>
      <c r="L267" s="34">
        <v>677.0</v>
      </c>
      <c r="M267" s="33" t="s">
        <v>66</v>
      </c>
      <c r="N267" s="33">
        <v>24.0</v>
      </c>
      <c r="O267" s="33"/>
      <c r="P267" s="33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1.77225071E8</v>
      </c>
      <c r="B268" s="33" t="s">
        <v>298</v>
      </c>
      <c r="C268" s="34">
        <v>1.2542369E7</v>
      </c>
      <c r="D268" s="34">
        <v>1033872.0</v>
      </c>
      <c r="E268" s="34">
        <v>2192960.0</v>
      </c>
      <c r="F268" s="34">
        <v>662231.0</v>
      </c>
      <c r="G268" s="34">
        <v>58320.0</v>
      </c>
      <c r="H268" s="34">
        <v>9575.0</v>
      </c>
      <c r="I268" s="34">
        <v>0.0</v>
      </c>
      <c r="J268" s="34">
        <v>6.048829252E9</v>
      </c>
      <c r="K268" s="34">
        <v>5.163686099E9</v>
      </c>
      <c r="L268" s="34">
        <v>1453.0</v>
      </c>
      <c r="M268" s="33" t="s">
        <v>147</v>
      </c>
      <c r="N268" s="33">
        <v>24.0</v>
      </c>
      <c r="O268" s="33"/>
      <c r="P268" s="33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1">
        <v>1.00844055E8</v>
      </c>
      <c r="B269" s="31" t="s">
        <v>386</v>
      </c>
      <c r="C269" s="32">
        <v>1.2540772E7</v>
      </c>
      <c r="D269" s="32">
        <v>8818085.0</v>
      </c>
      <c r="E269" s="32">
        <v>1945308.0</v>
      </c>
      <c r="F269" s="32">
        <v>18479.0</v>
      </c>
      <c r="G269" s="32">
        <v>815682.0</v>
      </c>
      <c r="H269" s="32">
        <v>22112.0</v>
      </c>
      <c r="I269" s="32">
        <v>0.0</v>
      </c>
      <c r="J269" s="32">
        <v>3.59742656E9</v>
      </c>
      <c r="K269" s="32">
        <v>1.253977396E9</v>
      </c>
      <c r="L269" s="32">
        <v>7448.0</v>
      </c>
      <c r="M269" s="31" t="s">
        <v>165</v>
      </c>
      <c r="N269" s="31">
        <v>25.0</v>
      </c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7.7397858E7</v>
      </c>
      <c r="B270" s="33" t="s">
        <v>297</v>
      </c>
      <c r="C270" s="34">
        <v>1.2538335E7</v>
      </c>
      <c r="D270" s="34">
        <v>6039713.0</v>
      </c>
      <c r="E270" s="34">
        <v>1121881.0</v>
      </c>
      <c r="F270" s="34">
        <v>201117.0</v>
      </c>
      <c r="G270" s="34">
        <v>295460.0</v>
      </c>
      <c r="H270" s="34">
        <v>51656.0</v>
      </c>
      <c r="I270" s="34">
        <v>0.0</v>
      </c>
      <c r="J270" s="34">
        <v>7.21492209E8</v>
      </c>
      <c r="K270" s="34">
        <v>0.0</v>
      </c>
      <c r="L270" s="34">
        <v>1095.0</v>
      </c>
      <c r="M270" s="33" t="s">
        <v>66</v>
      </c>
      <c r="N270" s="33">
        <v>23.0</v>
      </c>
      <c r="O270" s="33"/>
      <c r="P270" s="33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1">
        <v>9.1488989E7</v>
      </c>
      <c r="B271" s="31" t="s">
        <v>486</v>
      </c>
      <c r="C271" s="32">
        <v>1.2527827E7</v>
      </c>
      <c r="D271" s="32">
        <v>971720.0</v>
      </c>
      <c r="E271" s="32">
        <v>798277.0</v>
      </c>
      <c r="F271" s="32">
        <v>2341.0</v>
      </c>
      <c r="G271" s="32">
        <v>92524.0</v>
      </c>
      <c r="H271" s="32">
        <v>0.0</v>
      </c>
      <c r="I271" s="32">
        <v>0.0</v>
      </c>
      <c r="J271" s="32">
        <v>1.018423027E9</v>
      </c>
      <c r="K271" s="32">
        <v>0.0</v>
      </c>
      <c r="L271" s="32">
        <v>729.0</v>
      </c>
      <c r="M271" s="31" t="s">
        <v>66</v>
      </c>
      <c r="N271" s="31">
        <v>25.0</v>
      </c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1.78759749E8</v>
      </c>
      <c r="B272" s="33" t="s">
        <v>294</v>
      </c>
      <c r="C272" s="34">
        <v>1.2455559E7</v>
      </c>
      <c r="D272" s="34">
        <v>123088.0</v>
      </c>
      <c r="E272" s="34">
        <v>127880.0</v>
      </c>
      <c r="F272" s="34">
        <v>362.0</v>
      </c>
      <c r="G272" s="34">
        <v>8565.0</v>
      </c>
      <c r="H272" s="34">
        <v>0.0</v>
      </c>
      <c r="I272" s="34">
        <v>0.0</v>
      </c>
      <c r="J272" s="34">
        <v>6.537206197E9</v>
      </c>
      <c r="K272" s="34">
        <v>5.399273645E9</v>
      </c>
      <c r="L272" s="34">
        <v>1482.0</v>
      </c>
      <c r="M272" s="33" t="s">
        <v>153</v>
      </c>
      <c r="N272" s="33">
        <v>24.0</v>
      </c>
      <c r="O272" s="33"/>
      <c r="P272" s="33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1.44075646E8</v>
      </c>
      <c r="B273" s="33" t="s">
        <v>277</v>
      </c>
      <c r="C273" s="34">
        <v>1.2414047E7</v>
      </c>
      <c r="D273" s="34">
        <v>7432.0</v>
      </c>
      <c r="E273" s="34">
        <v>0.0</v>
      </c>
      <c r="F273" s="34">
        <v>1501.0</v>
      </c>
      <c r="G273" s="34">
        <v>379.0</v>
      </c>
      <c r="H273" s="34">
        <v>0.0</v>
      </c>
      <c r="I273" s="34">
        <v>0.0</v>
      </c>
      <c r="J273" s="34">
        <v>6.05779908E8</v>
      </c>
      <c r="K273" s="34">
        <v>0.0</v>
      </c>
      <c r="L273" s="34">
        <v>423.0</v>
      </c>
      <c r="M273" s="33" t="s">
        <v>165</v>
      </c>
      <c r="N273" s="33">
        <v>22.0</v>
      </c>
      <c r="O273" s="33"/>
      <c r="P273" s="33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1">
        <v>6.5702055E7</v>
      </c>
      <c r="B274" s="31" t="s">
        <v>302</v>
      </c>
      <c r="C274" s="32">
        <v>1.2366549E7</v>
      </c>
      <c r="D274" s="32">
        <v>506067.0</v>
      </c>
      <c r="E274" s="32">
        <v>795024.0</v>
      </c>
      <c r="F274" s="32">
        <v>28966.0</v>
      </c>
      <c r="G274" s="32">
        <v>25195.0</v>
      </c>
      <c r="H274" s="32">
        <v>3024.0</v>
      </c>
      <c r="I274" s="32">
        <v>0.0</v>
      </c>
      <c r="J274" s="32">
        <v>9.675513435E9</v>
      </c>
      <c r="K274" s="32">
        <v>1.0218488381E10</v>
      </c>
      <c r="L274" s="32">
        <v>2162.0</v>
      </c>
      <c r="M274" s="31" t="s">
        <v>153</v>
      </c>
      <c r="N274" s="31">
        <v>25.0</v>
      </c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1.77647871E8</v>
      </c>
      <c r="B275" s="33" t="s">
        <v>293</v>
      </c>
      <c r="C275" s="34">
        <v>1.2338323E7</v>
      </c>
      <c r="D275" s="34">
        <v>255311.0</v>
      </c>
      <c r="E275" s="34">
        <v>0.0</v>
      </c>
      <c r="F275" s="34">
        <v>21295.0</v>
      </c>
      <c r="G275" s="34">
        <v>14770.0</v>
      </c>
      <c r="H275" s="34">
        <v>0.0</v>
      </c>
      <c r="I275" s="34">
        <v>0.0</v>
      </c>
      <c r="J275" s="34">
        <v>2.060171405E9</v>
      </c>
      <c r="K275" s="34">
        <v>1.868392265E9</v>
      </c>
      <c r="L275" s="34">
        <v>778.0</v>
      </c>
      <c r="M275" s="33" t="s">
        <v>153</v>
      </c>
      <c r="N275" s="33">
        <v>23.0</v>
      </c>
      <c r="O275" s="33"/>
      <c r="P275" s="33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1.77721232E8</v>
      </c>
      <c r="B276" s="33" t="s">
        <v>299</v>
      </c>
      <c r="C276" s="34">
        <v>1.2248586E7</v>
      </c>
      <c r="D276" s="34">
        <v>169357.0</v>
      </c>
      <c r="E276" s="34">
        <v>716670.0</v>
      </c>
      <c r="F276" s="34">
        <v>3768.0</v>
      </c>
      <c r="G276" s="34">
        <v>16742.0</v>
      </c>
      <c r="H276" s="34">
        <v>0.0</v>
      </c>
      <c r="I276" s="34">
        <v>0.0</v>
      </c>
      <c r="J276" s="34">
        <v>7.879134636E9</v>
      </c>
      <c r="K276" s="34">
        <v>7.671897794E9</v>
      </c>
      <c r="L276" s="34">
        <v>2694.0</v>
      </c>
      <c r="M276" s="33" t="s">
        <v>153</v>
      </c>
      <c r="N276" s="33">
        <v>23.0</v>
      </c>
      <c r="O276" s="33"/>
      <c r="P276" s="33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1.38285772E8</v>
      </c>
      <c r="B277" s="33" t="s">
        <v>305</v>
      </c>
      <c r="C277" s="34">
        <v>1.1863107E7</v>
      </c>
      <c r="D277" s="34">
        <v>188240.0</v>
      </c>
      <c r="E277" s="34">
        <v>31313.0</v>
      </c>
      <c r="F277" s="34">
        <v>0.0</v>
      </c>
      <c r="G277" s="34">
        <v>18824.0</v>
      </c>
      <c r="H277" s="34">
        <v>0.0</v>
      </c>
      <c r="I277" s="34">
        <v>0.0</v>
      </c>
      <c r="J277" s="34">
        <v>7.050924956E9</v>
      </c>
      <c r="K277" s="34">
        <v>8.963956931E9</v>
      </c>
      <c r="L277" s="34">
        <v>1422.0</v>
      </c>
      <c r="M277" s="33" t="s">
        <v>94</v>
      </c>
      <c r="N277" s="33">
        <v>24.0</v>
      </c>
      <c r="O277" s="33"/>
      <c r="P277" s="33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1">
        <v>1.52201713E8</v>
      </c>
      <c r="B278" s="31" t="s">
        <v>436</v>
      </c>
      <c r="C278" s="32">
        <v>1.1753249E7</v>
      </c>
      <c r="D278" s="32">
        <v>909034.0</v>
      </c>
      <c r="E278" s="32">
        <v>1197900.0</v>
      </c>
      <c r="F278" s="32">
        <v>0.0</v>
      </c>
      <c r="G278" s="32">
        <v>79442.0</v>
      </c>
      <c r="H278" s="32">
        <v>4810.0</v>
      </c>
      <c r="I278" s="32">
        <v>0.0</v>
      </c>
      <c r="J278" s="32">
        <v>2.717685482E9</v>
      </c>
      <c r="K278" s="32">
        <v>1.843640216E9</v>
      </c>
      <c r="L278" s="32">
        <v>895.0</v>
      </c>
      <c r="M278" s="31" t="s">
        <v>153</v>
      </c>
      <c r="N278" s="31">
        <v>25.0</v>
      </c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1">
        <v>9.6284047E7</v>
      </c>
      <c r="B279" s="31" t="s">
        <v>473</v>
      </c>
      <c r="C279" s="32">
        <v>1.1684329E7</v>
      </c>
      <c r="D279" s="32">
        <v>43742.0</v>
      </c>
      <c r="E279" s="32">
        <v>57258.0</v>
      </c>
      <c r="F279" s="32">
        <v>913.0</v>
      </c>
      <c r="G279" s="32">
        <v>1456.0</v>
      </c>
      <c r="H279" s="32">
        <v>1390.0</v>
      </c>
      <c r="I279" s="32">
        <v>0.0</v>
      </c>
      <c r="J279" s="32">
        <v>1.965345073E9</v>
      </c>
      <c r="K279" s="32">
        <v>1.644448385E9</v>
      </c>
      <c r="L279" s="32">
        <v>944.0</v>
      </c>
      <c r="M279" s="31" t="s">
        <v>153</v>
      </c>
      <c r="N279" s="31">
        <v>25.0</v>
      </c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1">
        <v>1.4402991E8</v>
      </c>
      <c r="B280" s="31" t="s">
        <v>296</v>
      </c>
      <c r="C280" s="32">
        <v>1.1629033E7</v>
      </c>
      <c r="D280" s="32">
        <v>6837594.0</v>
      </c>
      <c r="E280" s="32">
        <v>1758438.0</v>
      </c>
      <c r="F280" s="32">
        <v>22980.0</v>
      </c>
      <c r="G280" s="32">
        <v>464968.0</v>
      </c>
      <c r="H280" s="32">
        <v>71229.0</v>
      </c>
      <c r="I280" s="32">
        <v>0.0</v>
      </c>
      <c r="J280" s="32">
        <v>6.025174721E9</v>
      </c>
      <c r="K280" s="32">
        <v>4.559048087E9</v>
      </c>
      <c r="L280" s="32">
        <v>3241.0</v>
      </c>
      <c r="M280" s="31" t="s">
        <v>373</v>
      </c>
      <c r="N280" s="31">
        <v>25.0</v>
      </c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6.7568162E7</v>
      </c>
      <c r="B281" s="33" t="s">
        <v>300</v>
      </c>
      <c r="C281" s="34">
        <v>1.1598277E7</v>
      </c>
      <c r="D281" s="34">
        <v>202704.0</v>
      </c>
      <c r="E281" s="34">
        <v>42020.0</v>
      </c>
      <c r="F281" s="34">
        <v>26634.0</v>
      </c>
      <c r="G281" s="34">
        <v>0.0</v>
      </c>
      <c r="H281" s="34">
        <v>5336.0</v>
      </c>
      <c r="I281" s="34">
        <v>0.0</v>
      </c>
      <c r="J281" s="34">
        <v>5.453264717E9</v>
      </c>
      <c r="K281" s="34">
        <v>1.940712211E9</v>
      </c>
      <c r="L281" s="34">
        <v>1524.0</v>
      </c>
      <c r="M281" s="33" t="s">
        <v>153</v>
      </c>
      <c r="N281" s="33">
        <v>24.0</v>
      </c>
      <c r="O281" s="33"/>
      <c r="P281" s="33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1.90202885E8</v>
      </c>
      <c r="B282" s="33" t="s">
        <v>278</v>
      </c>
      <c r="C282" s="34">
        <v>1.1510407E7</v>
      </c>
      <c r="D282" s="34">
        <v>6.0</v>
      </c>
      <c r="E282" s="34">
        <v>0.0</v>
      </c>
      <c r="F282" s="34">
        <v>30.0</v>
      </c>
      <c r="G282" s="34">
        <v>0.0</v>
      </c>
      <c r="H282" s="34">
        <v>0.0</v>
      </c>
      <c r="I282" s="34">
        <v>0.0</v>
      </c>
      <c r="J282" s="34">
        <v>2.553944644E9</v>
      </c>
      <c r="K282" s="34">
        <v>1.05660658E9</v>
      </c>
      <c r="L282" s="34">
        <v>1085.0</v>
      </c>
      <c r="M282" s="33" t="s">
        <v>153</v>
      </c>
      <c r="N282" s="33">
        <v>23.0</v>
      </c>
      <c r="O282" s="33"/>
      <c r="P282" s="33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1.57465282E8</v>
      </c>
      <c r="B283" s="33" t="s">
        <v>474</v>
      </c>
      <c r="C283" s="34">
        <v>1.1432859E7</v>
      </c>
      <c r="D283" s="34">
        <v>1059330.0</v>
      </c>
      <c r="E283" s="34">
        <v>435892.0</v>
      </c>
      <c r="F283" s="34">
        <v>81933.0</v>
      </c>
      <c r="G283" s="34">
        <v>58926.0</v>
      </c>
      <c r="H283" s="34">
        <v>5178.0</v>
      </c>
      <c r="I283" s="34">
        <v>0.0</v>
      </c>
      <c r="J283" s="34">
        <v>7.747643386E9</v>
      </c>
      <c r="K283" s="34">
        <v>2.366887416E9</v>
      </c>
      <c r="L283" s="34">
        <v>1778.0</v>
      </c>
      <c r="M283" s="33" t="s">
        <v>165</v>
      </c>
      <c r="N283" s="33">
        <v>22.0</v>
      </c>
      <c r="O283" s="33"/>
      <c r="P283" s="33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1.28382827E8</v>
      </c>
      <c r="B284" s="33" t="s">
        <v>312</v>
      </c>
      <c r="C284" s="34">
        <v>1.1395092E7</v>
      </c>
      <c r="D284" s="34">
        <v>5689027.0</v>
      </c>
      <c r="E284" s="34">
        <v>1604666.0</v>
      </c>
      <c r="F284" s="34">
        <v>26229.0</v>
      </c>
      <c r="G284" s="34">
        <v>520858.0</v>
      </c>
      <c r="H284" s="34">
        <v>20165.0</v>
      </c>
      <c r="I284" s="34">
        <v>0.0</v>
      </c>
      <c r="J284" s="34">
        <v>9.657380807E9</v>
      </c>
      <c r="K284" s="34">
        <v>1.1244240604E10</v>
      </c>
      <c r="L284" s="34">
        <v>2106.0</v>
      </c>
      <c r="M284" s="33" t="s">
        <v>94</v>
      </c>
      <c r="N284" s="33">
        <v>24.0</v>
      </c>
      <c r="O284" s="33"/>
      <c r="P284" s="33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1.44098997E8</v>
      </c>
      <c r="B285" s="33" t="s">
        <v>437</v>
      </c>
      <c r="C285" s="34">
        <v>1.1321767E7</v>
      </c>
      <c r="D285" s="34">
        <v>2085911.0</v>
      </c>
      <c r="E285" s="34">
        <v>1773255.0</v>
      </c>
      <c r="F285" s="34">
        <v>121189.0</v>
      </c>
      <c r="G285" s="34">
        <v>57689.0</v>
      </c>
      <c r="H285" s="34">
        <v>40024.0</v>
      </c>
      <c r="I285" s="34">
        <v>0.0</v>
      </c>
      <c r="J285" s="34">
        <v>1.594495002E9</v>
      </c>
      <c r="K285" s="34">
        <v>3047603.0</v>
      </c>
      <c r="L285" s="34">
        <v>1453.0</v>
      </c>
      <c r="M285" s="33" t="s">
        <v>126</v>
      </c>
      <c r="N285" s="33">
        <v>24.0</v>
      </c>
      <c r="O285" s="33"/>
      <c r="P285" s="33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1.43566987E8</v>
      </c>
      <c r="B286" s="33" t="s">
        <v>476</v>
      </c>
      <c r="C286" s="34">
        <v>1.1291618E7</v>
      </c>
      <c r="D286" s="34">
        <v>8883694.0</v>
      </c>
      <c r="E286" s="34">
        <v>822911.0</v>
      </c>
      <c r="F286" s="34">
        <v>517584.0</v>
      </c>
      <c r="G286" s="34">
        <v>382774.0</v>
      </c>
      <c r="H286" s="34">
        <v>148852.0</v>
      </c>
      <c r="I286" s="34">
        <v>0.0</v>
      </c>
      <c r="J286" s="34">
        <v>6.65822284E8</v>
      </c>
      <c r="K286" s="34">
        <v>1.18868156E8</v>
      </c>
      <c r="L286" s="34">
        <v>10243.0</v>
      </c>
      <c r="M286" s="33" t="s">
        <v>66</v>
      </c>
      <c r="N286" s="33">
        <v>24.0</v>
      </c>
      <c r="O286" s="33"/>
      <c r="P286" s="33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1.83887182E8</v>
      </c>
      <c r="B287" s="33" t="s">
        <v>313</v>
      </c>
      <c r="C287" s="34">
        <v>1.1267863E7</v>
      </c>
      <c r="D287" s="34">
        <v>2537211.0</v>
      </c>
      <c r="E287" s="34">
        <v>800103.0</v>
      </c>
      <c r="F287" s="34">
        <v>4358.0</v>
      </c>
      <c r="G287" s="34">
        <v>234472.0</v>
      </c>
      <c r="H287" s="34">
        <v>7693.0</v>
      </c>
      <c r="I287" s="34">
        <v>0.0</v>
      </c>
      <c r="J287" s="34">
        <v>2.663209098E9</v>
      </c>
      <c r="K287" s="34">
        <v>9.3810346E8</v>
      </c>
      <c r="L287" s="34">
        <v>1097.0</v>
      </c>
      <c r="M287" s="33" t="s">
        <v>153</v>
      </c>
      <c r="N287" s="33">
        <v>24.0</v>
      </c>
      <c r="O287" s="33"/>
      <c r="P287" s="33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3">
        <v>3.1303775E7</v>
      </c>
      <c r="B288" s="33" t="s">
        <v>311</v>
      </c>
      <c r="C288" s="34">
        <v>1.1121638E7</v>
      </c>
      <c r="D288" s="34">
        <v>8644167.0</v>
      </c>
      <c r="E288" s="34">
        <v>1667127.0</v>
      </c>
      <c r="F288" s="34">
        <v>297318.0</v>
      </c>
      <c r="G288" s="34">
        <v>388443.0</v>
      </c>
      <c r="H288" s="34">
        <v>111080.0</v>
      </c>
      <c r="I288" s="34">
        <v>0.0</v>
      </c>
      <c r="J288" s="34">
        <v>4.088717654E9</v>
      </c>
      <c r="K288" s="34">
        <v>6.02326523E9</v>
      </c>
      <c r="L288" s="34">
        <v>1822.0</v>
      </c>
      <c r="M288" s="33" t="s">
        <v>153</v>
      </c>
      <c r="N288" s="33">
        <v>24.0</v>
      </c>
      <c r="O288" s="33"/>
      <c r="P288" s="33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6.9287686E7</v>
      </c>
      <c r="B289" s="33" t="s">
        <v>316</v>
      </c>
      <c r="C289" s="34">
        <v>1.1111693E7</v>
      </c>
      <c r="D289" s="34">
        <v>2027902.0</v>
      </c>
      <c r="E289" s="34">
        <v>235658.0</v>
      </c>
      <c r="F289" s="34">
        <v>457711.0</v>
      </c>
      <c r="G289" s="34">
        <v>39331.0</v>
      </c>
      <c r="H289" s="34">
        <v>0.0</v>
      </c>
      <c r="I289" s="34">
        <v>0.0</v>
      </c>
      <c r="J289" s="34">
        <v>6.046617216E9</v>
      </c>
      <c r="K289" s="34">
        <v>5.396044102E9</v>
      </c>
      <c r="L289" s="34">
        <v>3849.0</v>
      </c>
      <c r="M289" s="33" t="s">
        <v>94</v>
      </c>
      <c r="N289" s="33">
        <v>24.0</v>
      </c>
      <c r="O289" s="33"/>
      <c r="P289" s="33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1">
        <v>1.84527302E8</v>
      </c>
      <c r="B290" s="31" t="s">
        <v>304</v>
      </c>
      <c r="C290" s="32">
        <v>1.1066358E7</v>
      </c>
      <c r="D290" s="32">
        <v>67130.0</v>
      </c>
      <c r="E290" s="32">
        <v>67634.0</v>
      </c>
      <c r="F290" s="32">
        <v>0.0</v>
      </c>
      <c r="G290" s="32">
        <v>1877.0</v>
      </c>
      <c r="H290" s="32">
        <v>2418.0</v>
      </c>
      <c r="I290" s="32">
        <v>0.0</v>
      </c>
      <c r="J290" s="32">
        <v>2.231502658E9</v>
      </c>
      <c r="K290" s="32">
        <v>5.246275642E9</v>
      </c>
      <c r="L290" s="32">
        <v>573.0</v>
      </c>
      <c r="M290" s="31" t="s">
        <v>147</v>
      </c>
      <c r="N290" s="31">
        <v>25.0</v>
      </c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1.72734416E8</v>
      </c>
      <c r="B291" s="33" t="s">
        <v>512</v>
      </c>
      <c r="C291" s="34">
        <v>1.1015819E7</v>
      </c>
      <c r="D291" s="34">
        <v>1320.0</v>
      </c>
      <c r="E291" s="34">
        <v>0.0</v>
      </c>
      <c r="F291" s="34">
        <v>3043.0</v>
      </c>
      <c r="G291" s="34">
        <v>0.0</v>
      </c>
      <c r="H291" s="34">
        <v>0.0</v>
      </c>
      <c r="I291" s="34">
        <v>0.0</v>
      </c>
      <c r="J291" s="34">
        <v>3.04305782E8</v>
      </c>
      <c r="K291" s="34">
        <v>2.33201495E8</v>
      </c>
      <c r="L291" s="34">
        <v>1283.0</v>
      </c>
      <c r="M291" s="33" t="s">
        <v>66</v>
      </c>
      <c r="N291" s="33">
        <v>23.0</v>
      </c>
      <c r="O291" s="33"/>
      <c r="P291" s="33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1.85532677E8</v>
      </c>
      <c r="B292" s="33" t="s">
        <v>477</v>
      </c>
      <c r="C292" s="34">
        <v>1.0957062E7</v>
      </c>
      <c r="D292" s="34">
        <v>645314.0</v>
      </c>
      <c r="E292" s="34">
        <v>77403.0</v>
      </c>
      <c r="F292" s="34">
        <v>59584.0</v>
      </c>
      <c r="G292" s="34">
        <v>9225.0</v>
      </c>
      <c r="H292" s="34">
        <v>3801.0</v>
      </c>
      <c r="I292" s="34">
        <v>0.0</v>
      </c>
      <c r="J292" s="34">
        <v>1.86008243E9</v>
      </c>
      <c r="K292" s="34">
        <v>572583.0</v>
      </c>
      <c r="L292" s="34">
        <v>3069.0</v>
      </c>
      <c r="M292" s="33" t="s">
        <v>94</v>
      </c>
      <c r="N292" s="33">
        <v>23.0</v>
      </c>
      <c r="O292" s="33"/>
      <c r="P292" s="33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9.9531415E7</v>
      </c>
      <c r="B293" s="33" t="s">
        <v>392</v>
      </c>
      <c r="C293" s="34">
        <v>1.0863732E7</v>
      </c>
      <c r="D293" s="34">
        <v>7180678.0</v>
      </c>
      <c r="E293" s="34">
        <v>1583779.0</v>
      </c>
      <c r="F293" s="34">
        <v>549491.0</v>
      </c>
      <c r="G293" s="34">
        <v>192250.0</v>
      </c>
      <c r="H293" s="34">
        <v>89047.0</v>
      </c>
      <c r="I293" s="34">
        <v>0.0</v>
      </c>
      <c r="J293" s="34">
        <v>9.06363485E8</v>
      </c>
      <c r="K293" s="34">
        <v>1.0635596E7</v>
      </c>
      <c r="L293" s="34">
        <v>2697.0</v>
      </c>
      <c r="M293" s="33" t="s">
        <v>66</v>
      </c>
      <c r="N293" s="33">
        <v>23.0</v>
      </c>
      <c r="O293" s="33"/>
      <c r="P293" s="33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1.59650107E8</v>
      </c>
      <c r="B294" s="33" t="s">
        <v>319</v>
      </c>
      <c r="C294" s="34">
        <v>1.0661418E7</v>
      </c>
      <c r="D294" s="34">
        <v>1536602.0</v>
      </c>
      <c r="E294" s="34">
        <v>1041916.0</v>
      </c>
      <c r="F294" s="34">
        <v>7593.0</v>
      </c>
      <c r="G294" s="34">
        <v>41874.0</v>
      </c>
      <c r="H294" s="34">
        <v>55798.0</v>
      </c>
      <c r="I294" s="34">
        <v>0.0</v>
      </c>
      <c r="J294" s="34">
        <v>3.839294585E9</v>
      </c>
      <c r="K294" s="34">
        <v>6.306110993E9</v>
      </c>
      <c r="L294" s="34">
        <v>1033.0</v>
      </c>
      <c r="M294" s="33" t="s">
        <v>153</v>
      </c>
      <c r="N294" s="33">
        <v>22.0</v>
      </c>
      <c r="O294" s="33"/>
      <c r="P294" s="33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2.02638038E8</v>
      </c>
      <c r="B295" s="33" t="s">
        <v>322</v>
      </c>
      <c r="C295" s="34">
        <v>1.0492534E7</v>
      </c>
      <c r="D295" s="34">
        <v>145261.0</v>
      </c>
      <c r="E295" s="34">
        <v>30575.0</v>
      </c>
      <c r="F295" s="34">
        <v>456.0</v>
      </c>
      <c r="G295" s="34">
        <v>829.0</v>
      </c>
      <c r="H295" s="34">
        <v>6844.0</v>
      </c>
      <c r="I295" s="34">
        <v>0.0</v>
      </c>
      <c r="J295" s="34">
        <v>4.584516868E9</v>
      </c>
      <c r="K295" s="34">
        <v>1.965616847E9</v>
      </c>
      <c r="L295" s="34">
        <v>737.0</v>
      </c>
      <c r="M295" s="33" t="s">
        <v>165</v>
      </c>
      <c r="N295" s="33">
        <v>23.0</v>
      </c>
      <c r="O295" s="33"/>
      <c r="P295" s="33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1.44105648E8</v>
      </c>
      <c r="B296" s="33" t="s">
        <v>513</v>
      </c>
      <c r="C296" s="34">
        <v>1.0425678E7</v>
      </c>
      <c r="D296" s="34">
        <v>1076207.0</v>
      </c>
      <c r="E296" s="34">
        <v>981717.0</v>
      </c>
      <c r="F296" s="34">
        <v>41387.0</v>
      </c>
      <c r="G296" s="34">
        <v>11955.0</v>
      </c>
      <c r="H296" s="34">
        <v>39204.0</v>
      </c>
      <c r="I296" s="34">
        <v>0.0</v>
      </c>
      <c r="J296" s="34">
        <v>1.103599736E9</v>
      </c>
      <c r="K296" s="34">
        <v>0.0</v>
      </c>
      <c r="L296" s="34">
        <v>793.0</v>
      </c>
      <c r="M296" s="33" t="s">
        <v>66</v>
      </c>
      <c r="N296" s="33">
        <v>24.0</v>
      </c>
      <c r="O296" s="33"/>
      <c r="P296" s="33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1.66124388E8</v>
      </c>
      <c r="B297" s="33" t="s">
        <v>323</v>
      </c>
      <c r="C297" s="34">
        <v>1.031575E7</v>
      </c>
      <c r="D297" s="34">
        <v>2289901.0</v>
      </c>
      <c r="E297" s="34">
        <v>910305.0</v>
      </c>
      <c r="F297" s="34">
        <v>71285.0</v>
      </c>
      <c r="G297" s="34">
        <v>187987.0</v>
      </c>
      <c r="H297" s="34">
        <v>18297.0</v>
      </c>
      <c r="I297" s="34">
        <v>0.0</v>
      </c>
      <c r="J297" s="34">
        <v>3.984687244E9</v>
      </c>
      <c r="K297" s="34">
        <v>2.528982397E9</v>
      </c>
      <c r="L297" s="34">
        <v>1540.0</v>
      </c>
      <c r="M297" s="33" t="s">
        <v>94</v>
      </c>
      <c r="N297" s="33">
        <v>23.0</v>
      </c>
      <c r="O297" s="33"/>
      <c r="P297" s="33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1.71233186E8</v>
      </c>
      <c r="B298" s="33" t="s">
        <v>329</v>
      </c>
      <c r="C298" s="34">
        <v>1.0239776E7</v>
      </c>
      <c r="D298" s="34">
        <v>971104.0</v>
      </c>
      <c r="E298" s="34">
        <v>4667.0</v>
      </c>
      <c r="F298" s="34">
        <v>0.0</v>
      </c>
      <c r="G298" s="34">
        <v>90418.0</v>
      </c>
      <c r="H298" s="34">
        <v>2023.0</v>
      </c>
      <c r="I298" s="34">
        <v>0.0</v>
      </c>
      <c r="J298" s="34">
        <v>8.558745561E9</v>
      </c>
      <c r="K298" s="34">
        <v>6.46264768E9</v>
      </c>
      <c r="L298" s="34">
        <v>2114.0</v>
      </c>
      <c r="M298" s="33" t="s">
        <v>153</v>
      </c>
      <c r="N298" s="33">
        <v>23.0</v>
      </c>
      <c r="O298" s="33"/>
      <c r="P298" s="33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1.73868631E8</v>
      </c>
      <c r="B299" s="33" t="s">
        <v>291</v>
      </c>
      <c r="C299" s="34">
        <v>1.0224686E7</v>
      </c>
      <c r="D299" s="34">
        <v>994926.0</v>
      </c>
      <c r="E299" s="34">
        <v>242253.0</v>
      </c>
      <c r="F299" s="34">
        <v>19361.0</v>
      </c>
      <c r="G299" s="34">
        <v>3755.0</v>
      </c>
      <c r="H299" s="34">
        <v>0.0</v>
      </c>
      <c r="I299" s="34">
        <v>0.0</v>
      </c>
      <c r="J299" s="34">
        <v>6.15873944E9</v>
      </c>
      <c r="K299" s="34">
        <v>9.65895874E9</v>
      </c>
      <c r="L299" s="34">
        <v>2391.0</v>
      </c>
      <c r="M299" s="33" t="s">
        <v>66</v>
      </c>
      <c r="N299" s="33">
        <v>22.0</v>
      </c>
      <c r="O299" s="33"/>
      <c r="P299" s="33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1.80674763E8</v>
      </c>
      <c r="B300" s="33" t="s">
        <v>522</v>
      </c>
      <c r="C300" s="34">
        <v>1.006275E7</v>
      </c>
      <c r="D300" s="34">
        <v>421401.0</v>
      </c>
      <c r="E300" s="34">
        <v>251215.0</v>
      </c>
      <c r="F300" s="34">
        <v>3309.0</v>
      </c>
      <c r="G300" s="34">
        <v>27330.0</v>
      </c>
      <c r="H300" s="34">
        <v>6218.0</v>
      </c>
      <c r="I300" s="34">
        <v>0.0</v>
      </c>
      <c r="J300" s="34">
        <v>1.373188652E9</v>
      </c>
      <c r="K300" s="34">
        <v>0.0</v>
      </c>
      <c r="L300" s="34">
        <v>352.0</v>
      </c>
      <c r="M300" s="33" t="s">
        <v>165</v>
      </c>
      <c r="N300" s="33">
        <v>24.0</v>
      </c>
      <c r="O300" s="33"/>
      <c r="P300" s="33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1.49335105E8</v>
      </c>
      <c r="B301" s="33" t="s">
        <v>331</v>
      </c>
      <c r="C301" s="34">
        <v>9996288.0</v>
      </c>
      <c r="D301" s="34">
        <v>557579.0</v>
      </c>
      <c r="E301" s="34">
        <v>217099.0</v>
      </c>
      <c r="F301" s="34">
        <v>558.0</v>
      </c>
      <c r="G301" s="34">
        <v>38148.0</v>
      </c>
      <c r="H301" s="34">
        <v>0.0</v>
      </c>
      <c r="I301" s="34">
        <v>0.0</v>
      </c>
      <c r="J301" s="34">
        <v>5.611629443E9</v>
      </c>
      <c r="K301" s="34">
        <v>4.893223336E9</v>
      </c>
      <c r="L301" s="34">
        <v>1103.0</v>
      </c>
      <c r="M301" s="33" t="s">
        <v>94</v>
      </c>
      <c r="N301" s="33">
        <v>23.0</v>
      </c>
      <c r="O301" s="33"/>
      <c r="P301" s="33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L302" si="1">SUM(C2:C301)</f>
        <v>12023128714</v>
      </c>
      <c r="D302" s="36">
        <f t="shared" si="1"/>
        <v>133779353866</v>
      </c>
      <c r="E302" s="36">
        <f t="shared" si="1"/>
        <v>1597147677</v>
      </c>
      <c r="F302" s="36">
        <f t="shared" si="1"/>
        <v>2802579359</v>
      </c>
      <c r="G302" s="36">
        <f t="shared" si="1"/>
        <v>4754282140</v>
      </c>
      <c r="H302" s="36">
        <f t="shared" si="1"/>
        <v>4179574709</v>
      </c>
      <c r="I302" s="36">
        <f t="shared" si="1"/>
        <v>8340386</v>
      </c>
      <c r="J302" s="36">
        <f t="shared" si="1"/>
        <v>2836660971200</v>
      </c>
      <c r="K302" s="36">
        <f t="shared" si="1"/>
        <v>1700512856155</v>
      </c>
      <c r="L302" s="36">
        <f t="shared" si="1"/>
        <v>8655309</v>
      </c>
      <c r="M302" s="35"/>
      <c r="N302" s="35">
        <f>COUNT(N2:N301)</f>
        <v>300</v>
      </c>
      <c r="O302" s="35"/>
      <c r="P302" s="35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N2:N301, "25")</f>
        <v>10887722325</v>
      </c>
      <c r="D303" s="38">
        <f>SUMIFS(D2:D301, N2:N301, "25")</f>
        <v>133582488481</v>
      </c>
      <c r="E303" s="38">
        <f>SUMIFS(E2:E301, N2:N301, "25")</f>
        <v>1548753539</v>
      </c>
      <c r="F303" s="38">
        <f>SUMIFS(F2:F301, N2:N301, "25")</f>
        <v>2795225367</v>
      </c>
      <c r="G303" s="38">
        <f>SUMIFS(G2:G301, N2:N301, "25")</f>
        <v>4743170732</v>
      </c>
      <c r="H303" s="38">
        <f>SUMIFS(H2:H301, N2:N301, "25")</f>
        <v>4177270990</v>
      </c>
      <c r="I303" s="38">
        <f>SUMIFS(I2:I301, N2:N301, "25")</f>
        <v>8340386</v>
      </c>
      <c r="J303" s="38">
        <f>SUMIFS(J2:J301, N2:N301, "25")</f>
        <v>2412275200441</v>
      </c>
      <c r="K303" s="38">
        <f>SUMIFS(K2:K301, N2:N301, "25")</f>
        <v>1375320932907</v>
      </c>
      <c r="L303" s="38">
        <f>SUMIFS(L2:L301, N2:N301, "25")</f>
        <v>8491455</v>
      </c>
      <c r="M303" s="37" t="s">
        <v>363</v>
      </c>
      <c r="N303" s="37">
        <f>COUNTIF(N2:N301, "25")</f>
        <v>225</v>
      </c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0"/>
    <col customWidth="1" min="2" max="2" width="21.0"/>
    <col customWidth="1" min="3" max="11" width="17.86"/>
    <col customWidth="1" min="12" max="12" width="11.14"/>
    <col customWidth="1" min="13" max="13" width="23.0"/>
    <col customWidth="1" min="14" max="14" width="12.14"/>
    <col customWidth="1" min="15" max="15" width="14.0"/>
    <col customWidth="1" min="16" max="16" width="54.29"/>
    <col customWidth="1" min="17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58</v>
      </c>
      <c r="G1" s="29" t="s">
        <v>8</v>
      </c>
      <c r="H1" s="29" t="s">
        <v>9</v>
      </c>
      <c r="I1" s="29" t="s">
        <v>10</v>
      </c>
      <c r="J1" s="29" t="s">
        <v>11</v>
      </c>
      <c r="K1" s="29" t="s">
        <v>12</v>
      </c>
      <c r="L1" s="29" t="s">
        <v>13</v>
      </c>
      <c r="M1" s="28" t="s">
        <v>14</v>
      </c>
      <c r="N1" s="28" t="s">
        <v>15</v>
      </c>
      <c r="O1" s="28" t="s">
        <v>59</v>
      </c>
      <c r="P1" s="28" t="s">
        <v>60</v>
      </c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1.18531241E8</v>
      </c>
      <c r="D2" s="32">
        <v>2.600812023E9</v>
      </c>
      <c r="E2" s="32">
        <v>1.3462892E7</v>
      </c>
      <c r="F2" s="32">
        <v>1.1402995E7</v>
      </c>
      <c r="G2" s="32">
        <v>5.7705402E7</v>
      </c>
      <c r="H2" s="32">
        <v>1.00706194E8</v>
      </c>
      <c r="I2" s="32">
        <v>0.0</v>
      </c>
      <c r="J2" s="32">
        <v>1.7152104147E10</v>
      </c>
      <c r="K2" s="32">
        <v>2.095967435E9</v>
      </c>
      <c r="L2" s="32">
        <v>75444.0</v>
      </c>
      <c r="M2" s="31" t="s">
        <v>34</v>
      </c>
      <c r="N2" s="31">
        <v>25.0</v>
      </c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1.0601765E8</v>
      </c>
      <c r="D3" s="32">
        <v>4.158381077E9</v>
      </c>
      <c r="E3" s="32">
        <v>1.8028667E7</v>
      </c>
      <c r="F3" s="32">
        <v>2.3297159E7</v>
      </c>
      <c r="G3" s="32">
        <v>7.4400483E7</v>
      </c>
      <c r="H3" s="32">
        <v>1.70087043E8</v>
      </c>
      <c r="I3" s="32">
        <v>0.0</v>
      </c>
      <c r="J3" s="32">
        <v>3.8477926835E10</v>
      </c>
      <c r="K3" s="32">
        <v>1.4447507139E10</v>
      </c>
      <c r="L3" s="32">
        <v>138687.0</v>
      </c>
      <c r="M3" s="31" t="s">
        <v>34</v>
      </c>
      <c r="N3" s="31">
        <v>25.0</v>
      </c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1.02323387E8</v>
      </c>
      <c r="D4" s="32">
        <v>1.208379828E9</v>
      </c>
      <c r="E4" s="32">
        <v>1.2596331E7</v>
      </c>
      <c r="F4" s="32">
        <v>1.19545642E8</v>
      </c>
      <c r="G4" s="32">
        <v>3.6779995E7</v>
      </c>
      <c r="H4" s="32">
        <v>4.0342683E7</v>
      </c>
      <c r="I4" s="32">
        <v>0.0</v>
      </c>
      <c r="J4" s="32">
        <v>1.2585080209E10</v>
      </c>
      <c r="K4" s="32">
        <v>9.7148239E7</v>
      </c>
      <c r="L4" s="32">
        <v>31259.0</v>
      </c>
      <c r="M4" s="31" t="s">
        <v>34</v>
      </c>
      <c r="N4" s="31">
        <v>25.0</v>
      </c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6.2576249E7</v>
      </c>
      <c r="B5" s="31" t="s">
        <v>37</v>
      </c>
      <c r="C5" s="32">
        <v>9.6605528E7</v>
      </c>
      <c r="D5" s="32">
        <v>3.277365308E9</v>
      </c>
      <c r="E5" s="32">
        <v>2.1653131E7</v>
      </c>
      <c r="F5" s="32">
        <v>1.36762451E8</v>
      </c>
      <c r="G5" s="32">
        <v>1.01607892E8</v>
      </c>
      <c r="H5" s="32">
        <v>1.08991713E8</v>
      </c>
      <c r="I5" s="32">
        <v>0.0</v>
      </c>
      <c r="J5" s="32">
        <v>2.8125051507E10</v>
      </c>
      <c r="K5" s="32">
        <v>3.3189364731E10</v>
      </c>
      <c r="L5" s="32">
        <v>156752.0</v>
      </c>
      <c r="M5" s="31" t="s">
        <v>34</v>
      </c>
      <c r="N5" s="31">
        <v>25.0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7.9650085E7</v>
      </c>
      <c r="B6" s="31" t="s">
        <v>41</v>
      </c>
      <c r="C6" s="32">
        <v>9.1160825E7</v>
      </c>
      <c r="D6" s="32">
        <v>1.84428862E9</v>
      </c>
      <c r="E6" s="32">
        <v>1.2044507E7</v>
      </c>
      <c r="F6" s="32">
        <v>3.4537501E7</v>
      </c>
      <c r="G6" s="32">
        <v>5.8561115E7</v>
      </c>
      <c r="H6" s="32">
        <v>6.1822342E7</v>
      </c>
      <c r="I6" s="32">
        <v>0.0</v>
      </c>
      <c r="J6" s="32">
        <v>1.6022016899E10</v>
      </c>
      <c r="K6" s="32">
        <v>1.5131538986E10</v>
      </c>
      <c r="L6" s="32">
        <v>104549.0</v>
      </c>
      <c r="M6" s="31" t="s">
        <v>34</v>
      </c>
      <c r="N6" s="31">
        <v>25.0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2463403.0</v>
      </c>
      <c r="B7" s="31" t="s">
        <v>39</v>
      </c>
      <c r="C7" s="32">
        <v>9.1042347E7</v>
      </c>
      <c r="D7" s="32">
        <v>7.158593637E9</v>
      </c>
      <c r="E7" s="32">
        <v>3.9990822E7</v>
      </c>
      <c r="F7" s="32">
        <v>3.0408668E7</v>
      </c>
      <c r="G7" s="32">
        <v>1.99538778E8</v>
      </c>
      <c r="H7" s="32">
        <v>2.56197391E8</v>
      </c>
      <c r="I7" s="32">
        <v>0.0</v>
      </c>
      <c r="J7" s="32">
        <v>2.9829554453E10</v>
      </c>
      <c r="K7" s="32">
        <v>1.0256888908E10</v>
      </c>
      <c r="L7" s="32">
        <v>269921.0</v>
      </c>
      <c r="M7" s="31" t="s">
        <v>34</v>
      </c>
      <c r="N7" s="31">
        <v>25.0</v>
      </c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1.03336195E8</v>
      </c>
      <c r="B8" s="31" t="s">
        <v>38</v>
      </c>
      <c r="C8" s="32">
        <v>9.0786056E7</v>
      </c>
      <c r="D8" s="32">
        <v>3.88620875E9</v>
      </c>
      <c r="E8" s="32">
        <v>1.8459458E7</v>
      </c>
      <c r="F8" s="32">
        <v>5.464277E7</v>
      </c>
      <c r="G8" s="32">
        <v>1.2703761E8</v>
      </c>
      <c r="H8" s="32">
        <v>1.28923463E8</v>
      </c>
      <c r="I8" s="32">
        <v>0.0</v>
      </c>
      <c r="J8" s="32">
        <v>1.5829744143E10</v>
      </c>
      <c r="K8" s="32">
        <v>3.3782410358E10</v>
      </c>
      <c r="L8" s="32">
        <v>128729.0</v>
      </c>
      <c r="M8" s="31" t="s">
        <v>34</v>
      </c>
      <c r="N8" s="31">
        <v>25.0</v>
      </c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6.7873337E7</v>
      </c>
      <c r="B9" s="31" t="s">
        <v>488</v>
      </c>
      <c r="C9" s="32">
        <v>8.8547181E7</v>
      </c>
      <c r="D9" s="32">
        <v>9.72508615E8</v>
      </c>
      <c r="E9" s="32">
        <v>1.0618651E7</v>
      </c>
      <c r="F9" s="32">
        <v>1.5193878E7</v>
      </c>
      <c r="G9" s="32">
        <v>5.4827218E7</v>
      </c>
      <c r="H9" s="32">
        <v>1.8803796E7</v>
      </c>
      <c r="I9" s="32">
        <v>1441005.0</v>
      </c>
      <c r="J9" s="32">
        <v>1.4104904164E10</v>
      </c>
      <c r="K9" s="32">
        <v>3.1382065312E10</v>
      </c>
      <c r="L9" s="32">
        <v>78979.0</v>
      </c>
      <c r="M9" s="31" t="s">
        <v>34</v>
      </c>
      <c r="N9" s="31">
        <v>25.0</v>
      </c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1.1409556E7</v>
      </c>
      <c r="B10" s="31" t="s">
        <v>402</v>
      </c>
      <c r="C10" s="32">
        <v>8.8356721E7</v>
      </c>
      <c r="D10" s="32">
        <v>5.66770165E8</v>
      </c>
      <c r="E10" s="32">
        <v>1.4864436E7</v>
      </c>
      <c r="F10" s="32">
        <v>1.9002385E7</v>
      </c>
      <c r="G10" s="32">
        <v>3.0738537E7</v>
      </c>
      <c r="H10" s="32">
        <v>1.2090779E7</v>
      </c>
      <c r="I10" s="32">
        <v>0.0</v>
      </c>
      <c r="J10" s="32">
        <v>1.5700937252E10</v>
      </c>
      <c r="K10" s="32">
        <v>5.766935771E9</v>
      </c>
      <c r="L10" s="32">
        <v>86656.0</v>
      </c>
      <c r="M10" s="31" t="s">
        <v>34</v>
      </c>
      <c r="N10" s="31">
        <v>25.0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1.71934536E8</v>
      </c>
      <c r="B11" s="31" t="s">
        <v>61</v>
      </c>
      <c r="C11" s="32">
        <v>8.769602E7</v>
      </c>
      <c r="D11" s="32">
        <v>6.86911268E8</v>
      </c>
      <c r="E11" s="32">
        <v>2221644.0</v>
      </c>
      <c r="F11" s="32">
        <v>2.2195584E7</v>
      </c>
      <c r="G11" s="32">
        <v>2.4148641E7</v>
      </c>
      <c r="H11" s="32">
        <v>2.0676569E7</v>
      </c>
      <c r="I11" s="32">
        <v>0.0</v>
      </c>
      <c r="J11" s="32">
        <v>1.5553049625E10</v>
      </c>
      <c r="K11" s="32">
        <v>9.58710757E8</v>
      </c>
      <c r="L11" s="32">
        <v>47939.0</v>
      </c>
      <c r="M11" s="31" t="s">
        <v>34</v>
      </c>
      <c r="N11" s="31">
        <v>25.0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1.1726598E7</v>
      </c>
      <c r="B12" s="31" t="s">
        <v>42</v>
      </c>
      <c r="C12" s="32">
        <v>8.708222E7</v>
      </c>
      <c r="D12" s="32">
        <v>7.532122629E9</v>
      </c>
      <c r="E12" s="32">
        <v>2.7941848E7</v>
      </c>
      <c r="F12" s="32">
        <v>8.4592879E7</v>
      </c>
      <c r="G12" s="32">
        <v>2.09508567E8</v>
      </c>
      <c r="H12" s="32">
        <v>2.67744853E8</v>
      </c>
      <c r="I12" s="32">
        <v>3821128.0</v>
      </c>
      <c r="J12" s="32">
        <v>2.3330872256E10</v>
      </c>
      <c r="K12" s="32">
        <v>3.0857472756E10</v>
      </c>
      <c r="L12" s="32">
        <v>169665.0</v>
      </c>
      <c r="M12" s="31" t="s">
        <v>34</v>
      </c>
      <c r="N12" s="31">
        <v>25.0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2.7578537E7</v>
      </c>
      <c r="B13" s="31" t="s">
        <v>48</v>
      </c>
      <c r="C13" s="32">
        <v>8.6649209E7</v>
      </c>
      <c r="D13" s="32">
        <v>2.842225317E9</v>
      </c>
      <c r="E13" s="32">
        <v>2.4722443E7</v>
      </c>
      <c r="F13" s="32">
        <v>3.4662036E7</v>
      </c>
      <c r="G13" s="32">
        <v>1.02342006E8</v>
      </c>
      <c r="H13" s="32">
        <v>8.910499E7</v>
      </c>
      <c r="I13" s="32">
        <v>0.0</v>
      </c>
      <c r="J13" s="32">
        <v>2.5459481346E10</v>
      </c>
      <c r="K13" s="32">
        <v>3.3526939303E10</v>
      </c>
      <c r="L13" s="32">
        <v>103103.0</v>
      </c>
      <c r="M13" s="31" t="s">
        <v>34</v>
      </c>
      <c r="N13" s="31">
        <v>25.0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2.989016E7</v>
      </c>
      <c r="B14" s="31" t="s">
        <v>399</v>
      </c>
      <c r="C14" s="32">
        <v>8.6327394E7</v>
      </c>
      <c r="D14" s="32">
        <v>7.99068661E8</v>
      </c>
      <c r="E14" s="32">
        <v>3.0167298E7</v>
      </c>
      <c r="F14" s="32">
        <v>9.7625138E7</v>
      </c>
      <c r="G14" s="32">
        <v>2.9943055E7</v>
      </c>
      <c r="H14" s="32">
        <v>2.3159294E7</v>
      </c>
      <c r="I14" s="32">
        <v>0.0</v>
      </c>
      <c r="J14" s="32">
        <v>1.9735142063E10</v>
      </c>
      <c r="K14" s="32">
        <v>5.308872359E9</v>
      </c>
      <c r="L14" s="32">
        <v>63586.0</v>
      </c>
      <c r="M14" s="31" t="s">
        <v>34</v>
      </c>
      <c r="N14" s="31">
        <v>25.0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1.3871553E8</v>
      </c>
      <c r="B15" s="31" t="s">
        <v>62</v>
      </c>
      <c r="C15" s="32">
        <v>8.6018892E7</v>
      </c>
      <c r="D15" s="32">
        <v>8.28219541E8</v>
      </c>
      <c r="E15" s="32">
        <v>1.5338297E7</v>
      </c>
      <c r="F15" s="32">
        <v>4.9055706E7</v>
      </c>
      <c r="G15" s="32">
        <v>2.4615642E7</v>
      </c>
      <c r="H15" s="32">
        <v>2.8353416E7</v>
      </c>
      <c r="I15" s="32">
        <v>0.0</v>
      </c>
      <c r="J15" s="32">
        <v>1.92906063E10</v>
      </c>
      <c r="K15" s="32">
        <v>4.647127866E9</v>
      </c>
      <c r="L15" s="32">
        <v>119560.0</v>
      </c>
      <c r="M15" s="31" t="s">
        <v>34</v>
      </c>
      <c r="N15" s="31">
        <v>25.0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6.2691192E7</v>
      </c>
      <c r="B16" s="31" t="s">
        <v>43</v>
      </c>
      <c r="C16" s="32">
        <v>8.5959E7</v>
      </c>
      <c r="D16" s="32">
        <v>4.61652502E8</v>
      </c>
      <c r="E16" s="32">
        <v>1.8223195E7</v>
      </c>
      <c r="F16" s="32">
        <v>1337411.0</v>
      </c>
      <c r="G16" s="32">
        <v>1.0280481E7</v>
      </c>
      <c r="H16" s="32">
        <v>1.7745909E7</v>
      </c>
      <c r="I16" s="32">
        <v>0.0</v>
      </c>
      <c r="J16" s="32">
        <v>2.0821965614E10</v>
      </c>
      <c r="K16" s="32">
        <v>6.538529315E9</v>
      </c>
      <c r="L16" s="32">
        <v>85763.0</v>
      </c>
      <c r="M16" s="31" t="s">
        <v>34</v>
      </c>
      <c r="N16" s="31">
        <v>25.0</v>
      </c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6.4010776E7</v>
      </c>
      <c r="B17" s="31" t="s">
        <v>478</v>
      </c>
      <c r="C17" s="32">
        <v>8.5943147E7</v>
      </c>
      <c r="D17" s="32">
        <v>2.358208628E9</v>
      </c>
      <c r="E17" s="32">
        <v>1.8762582E7</v>
      </c>
      <c r="F17" s="32">
        <v>3.5104753E7</v>
      </c>
      <c r="G17" s="32">
        <v>8.0510823E7</v>
      </c>
      <c r="H17" s="32">
        <v>7.5349352E7</v>
      </c>
      <c r="I17" s="32">
        <v>0.0</v>
      </c>
      <c r="J17" s="32">
        <v>2.0412084852E10</v>
      </c>
      <c r="K17" s="32">
        <v>2.9922279846E10</v>
      </c>
      <c r="L17" s="32">
        <v>108039.0</v>
      </c>
      <c r="M17" s="31" t="s">
        <v>34</v>
      </c>
      <c r="N17" s="31">
        <v>25.0</v>
      </c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6.3222201E7</v>
      </c>
      <c r="B18" s="31" t="s">
        <v>64</v>
      </c>
      <c r="C18" s="32">
        <v>8.5071946E7</v>
      </c>
      <c r="D18" s="32">
        <v>1.8917797E9</v>
      </c>
      <c r="E18" s="32">
        <v>1.8313369E7</v>
      </c>
      <c r="F18" s="32">
        <v>2.1447894E7</v>
      </c>
      <c r="G18" s="32">
        <v>7.8651691E7</v>
      </c>
      <c r="H18" s="32">
        <v>5.3777095E7</v>
      </c>
      <c r="I18" s="32">
        <v>0.0</v>
      </c>
      <c r="J18" s="32">
        <v>3.2922130773E10</v>
      </c>
      <c r="K18" s="32">
        <v>1.1337447834E10</v>
      </c>
      <c r="L18" s="32">
        <v>80511.0</v>
      </c>
      <c r="M18" s="31" t="s">
        <v>34</v>
      </c>
      <c r="N18" s="31">
        <v>25.0</v>
      </c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6.7071592E7</v>
      </c>
      <c r="B19" s="31" t="s">
        <v>45</v>
      </c>
      <c r="C19" s="32">
        <v>8.4863684E7</v>
      </c>
      <c r="D19" s="32">
        <v>9.714154806E9</v>
      </c>
      <c r="E19" s="32">
        <v>2.9190309E7</v>
      </c>
      <c r="F19" s="32">
        <v>8.0994901E7</v>
      </c>
      <c r="G19" s="32">
        <v>3.86874853E8</v>
      </c>
      <c r="H19" s="32">
        <v>2.8534126E8</v>
      </c>
      <c r="I19" s="32">
        <v>1804833.0</v>
      </c>
      <c r="J19" s="32">
        <v>3.7093975242E10</v>
      </c>
      <c r="K19" s="32">
        <v>2.5261215882E10</v>
      </c>
      <c r="L19" s="32">
        <v>228905.0</v>
      </c>
      <c r="M19" s="31" t="s">
        <v>34</v>
      </c>
      <c r="N19" s="31">
        <v>25.0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9.8107237E7</v>
      </c>
      <c r="B20" s="31" t="s">
        <v>68</v>
      </c>
      <c r="C20" s="32">
        <v>8.4136542E7</v>
      </c>
      <c r="D20" s="32">
        <v>2.387964216E9</v>
      </c>
      <c r="E20" s="32">
        <v>1.7180657E7</v>
      </c>
      <c r="F20" s="32">
        <v>2150940.0</v>
      </c>
      <c r="G20" s="32">
        <v>6.4813629E7</v>
      </c>
      <c r="H20" s="32">
        <v>8.6778128E7</v>
      </c>
      <c r="I20" s="32">
        <v>0.0</v>
      </c>
      <c r="J20" s="32">
        <v>3.493441452E10</v>
      </c>
      <c r="K20" s="32">
        <v>1.1477531851E10</v>
      </c>
      <c r="L20" s="32">
        <v>87345.0</v>
      </c>
      <c r="M20" s="31" t="s">
        <v>34</v>
      </c>
      <c r="N20" s="31">
        <v>25.0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4.8741756E7</v>
      </c>
      <c r="B21" s="31" t="s">
        <v>51</v>
      </c>
      <c r="C21" s="32">
        <v>8.3577666E7</v>
      </c>
      <c r="D21" s="32">
        <v>2.873915306E9</v>
      </c>
      <c r="E21" s="32">
        <v>2.3049568E7</v>
      </c>
      <c r="F21" s="32">
        <v>6.9047201E7</v>
      </c>
      <c r="G21" s="32">
        <v>1.22766191E8</v>
      </c>
      <c r="H21" s="32">
        <v>8.0764447E7</v>
      </c>
      <c r="I21" s="32">
        <v>804578.0</v>
      </c>
      <c r="J21" s="32">
        <v>2.0256963502E10</v>
      </c>
      <c r="K21" s="32">
        <v>2.2465439519E10</v>
      </c>
      <c r="L21" s="32">
        <v>162284.0</v>
      </c>
      <c r="M21" s="31" t="s">
        <v>34</v>
      </c>
      <c r="N21" s="31">
        <v>25.0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7.4556991E7</v>
      </c>
      <c r="B22" s="31" t="s">
        <v>204</v>
      </c>
      <c r="C22" s="32">
        <v>8.3002983E7</v>
      </c>
      <c r="D22" s="32">
        <v>2.297498275E9</v>
      </c>
      <c r="E22" s="32">
        <v>1.3203542E7</v>
      </c>
      <c r="F22" s="32">
        <v>5943597.0</v>
      </c>
      <c r="G22" s="32">
        <v>5.1687254E7</v>
      </c>
      <c r="H22" s="32">
        <v>8.8725447E7</v>
      </c>
      <c r="I22" s="32">
        <v>0.0</v>
      </c>
      <c r="J22" s="32">
        <v>1.8194663402E10</v>
      </c>
      <c r="K22" s="32">
        <v>5.737943886E9</v>
      </c>
      <c r="L22" s="32">
        <v>126196.0</v>
      </c>
      <c r="M22" s="31" t="s">
        <v>34</v>
      </c>
      <c r="N22" s="31">
        <v>25.0</v>
      </c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1.71879011E8</v>
      </c>
      <c r="B23" s="31" t="s">
        <v>80</v>
      </c>
      <c r="C23" s="32">
        <v>8.2876902E7</v>
      </c>
      <c r="D23" s="32">
        <v>3.25570457E8</v>
      </c>
      <c r="E23" s="32">
        <v>2684384.0</v>
      </c>
      <c r="F23" s="32">
        <v>2.7222938E7</v>
      </c>
      <c r="G23" s="32">
        <v>1.0985054E7</v>
      </c>
      <c r="H23" s="32">
        <v>1.0152742E7</v>
      </c>
      <c r="I23" s="32">
        <v>0.0</v>
      </c>
      <c r="J23" s="32">
        <v>1.4392164677E10</v>
      </c>
      <c r="K23" s="32">
        <v>1.808712272E9</v>
      </c>
      <c r="L23" s="32">
        <v>49852.0</v>
      </c>
      <c r="M23" s="31" t="s">
        <v>34</v>
      </c>
      <c r="N23" s="31">
        <v>25.0</v>
      </c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4.3136267E7</v>
      </c>
      <c r="B24" s="31" t="s">
        <v>65</v>
      </c>
      <c r="C24" s="32">
        <v>8.2777164E7</v>
      </c>
      <c r="D24" s="32">
        <v>2.428812804E9</v>
      </c>
      <c r="E24" s="32">
        <v>2.296527E7</v>
      </c>
      <c r="F24" s="32">
        <v>7.9807201E7</v>
      </c>
      <c r="G24" s="32">
        <v>7.3533858E7</v>
      </c>
      <c r="H24" s="32">
        <v>8.3657192E7</v>
      </c>
      <c r="I24" s="32">
        <v>0.0</v>
      </c>
      <c r="J24" s="32">
        <v>2.8375079703E10</v>
      </c>
      <c r="K24" s="32">
        <v>3.7469575604E10</v>
      </c>
      <c r="L24" s="32">
        <v>100011.0</v>
      </c>
      <c r="M24" s="31" t="s">
        <v>153</v>
      </c>
      <c r="N24" s="31">
        <v>25.0</v>
      </c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7.7394861E7</v>
      </c>
      <c r="B25" s="31" t="s">
        <v>50</v>
      </c>
      <c r="C25" s="32">
        <v>8.2387279E7</v>
      </c>
      <c r="D25" s="32">
        <v>2.605801785E9</v>
      </c>
      <c r="E25" s="32">
        <v>1.7174859E7</v>
      </c>
      <c r="F25" s="32">
        <v>2079335.0</v>
      </c>
      <c r="G25" s="32">
        <v>9.4697858E7</v>
      </c>
      <c r="H25" s="32">
        <v>8.2797653E7</v>
      </c>
      <c r="I25" s="32">
        <v>0.0</v>
      </c>
      <c r="J25" s="32">
        <v>2.7695552762E10</v>
      </c>
      <c r="K25" s="32">
        <v>6.5810471155E10</v>
      </c>
      <c r="L25" s="32">
        <v>184503.0</v>
      </c>
      <c r="M25" s="31" t="s">
        <v>34</v>
      </c>
      <c r="N25" s="31">
        <v>25.0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7.1613822E7</v>
      </c>
      <c r="B26" s="31" t="s">
        <v>69</v>
      </c>
      <c r="C26" s="32">
        <v>8.1597772E7</v>
      </c>
      <c r="D26" s="32">
        <v>2.059312658E9</v>
      </c>
      <c r="E26" s="32">
        <v>2.8669178E7</v>
      </c>
      <c r="F26" s="32">
        <v>4.9000753E7</v>
      </c>
      <c r="G26" s="32">
        <v>7.4258403E7</v>
      </c>
      <c r="H26" s="32">
        <v>6.4302874E7</v>
      </c>
      <c r="I26" s="32">
        <v>0.0</v>
      </c>
      <c r="J26" s="32">
        <v>2.4577010111E10</v>
      </c>
      <c r="K26" s="32">
        <v>6.537284955E9</v>
      </c>
      <c r="L26" s="32">
        <v>103640.0</v>
      </c>
      <c r="M26" s="31" t="s">
        <v>34</v>
      </c>
      <c r="N26" s="31">
        <v>25.0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7.1152824E7</v>
      </c>
      <c r="B27" s="31" t="s">
        <v>67</v>
      </c>
      <c r="C27" s="32">
        <v>8.0797136E7</v>
      </c>
      <c r="D27" s="32">
        <v>1.788027543E9</v>
      </c>
      <c r="E27" s="32">
        <v>1.8092842E7</v>
      </c>
      <c r="F27" s="32">
        <v>6.7889275E7</v>
      </c>
      <c r="G27" s="32">
        <v>7.2452166E7</v>
      </c>
      <c r="H27" s="32">
        <v>5.1120137E7</v>
      </c>
      <c r="I27" s="32">
        <v>313500.0</v>
      </c>
      <c r="J27" s="32">
        <v>2.4162175802E10</v>
      </c>
      <c r="K27" s="32">
        <v>1.1097140581E10</v>
      </c>
      <c r="L27" s="32">
        <v>57062.0</v>
      </c>
      <c r="M27" s="31" t="s">
        <v>34</v>
      </c>
      <c r="N27" s="31">
        <v>25.0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1.6942777E8</v>
      </c>
      <c r="B28" s="31" t="s">
        <v>71</v>
      </c>
      <c r="C28" s="32">
        <v>8.0718266E7</v>
      </c>
      <c r="D28" s="32">
        <v>6.56237675E8</v>
      </c>
      <c r="E28" s="32">
        <v>8280580.0</v>
      </c>
      <c r="F28" s="32">
        <v>2417647.0</v>
      </c>
      <c r="G28" s="32">
        <v>2.5227263E7</v>
      </c>
      <c r="H28" s="32">
        <v>1.9851898E7</v>
      </c>
      <c r="I28" s="32">
        <v>0.0</v>
      </c>
      <c r="J28" s="32">
        <v>1.7914862647E10</v>
      </c>
      <c r="K28" s="32">
        <v>6.86897086E8</v>
      </c>
      <c r="L28" s="32">
        <v>106277.0</v>
      </c>
      <c r="M28" s="31" t="s">
        <v>34</v>
      </c>
      <c r="N28" s="31">
        <v>25.0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1.44060837E8</v>
      </c>
      <c r="B29" s="31" t="s">
        <v>442</v>
      </c>
      <c r="C29" s="32">
        <v>8.055297E7</v>
      </c>
      <c r="D29" s="32">
        <v>3.75605866E8</v>
      </c>
      <c r="E29" s="32">
        <v>1.330877E7</v>
      </c>
      <c r="F29" s="32">
        <v>2831950.0</v>
      </c>
      <c r="G29" s="32">
        <v>1.2522385E7</v>
      </c>
      <c r="H29" s="32">
        <v>1.1084884E7</v>
      </c>
      <c r="I29" s="32">
        <v>0.0</v>
      </c>
      <c r="J29" s="32">
        <v>1.1584084416E10</v>
      </c>
      <c r="K29" s="32">
        <v>1.846559304E9</v>
      </c>
      <c r="L29" s="32">
        <v>52544.0</v>
      </c>
      <c r="M29" s="31" t="s">
        <v>34</v>
      </c>
      <c r="N29" s="31">
        <v>25.0</v>
      </c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1.44109282E8</v>
      </c>
      <c r="B30" s="31" t="s">
        <v>364</v>
      </c>
      <c r="C30" s="32">
        <v>8.0341777E7</v>
      </c>
      <c r="D30" s="32">
        <v>8.45933592E8</v>
      </c>
      <c r="E30" s="32">
        <v>7760554.0</v>
      </c>
      <c r="F30" s="32">
        <v>1.80377572E8</v>
      </c>
      <c r="G30" s="32">
        <v>3.654748E7</v>
      </c>
      <c r="H30" s="32">
        <v>2.1917404E7</v>
      </c>
      <c r="I30" s="32">
        <v>0.0</v>
      </c>
      <c r="J30" s="32">
        <v>1.7713409857E10</v>
      </c>
      <c r="K30" s="32">
        <v>3.368200002E9</v>
      </c>
      <c r="L30" s="32">
        <v>73441.0</v>
      </c>
      <c r="M30" s="31" t="s">
        <v>34</v>
      </c>
      <c r="N30" s="31">
        <v>25.0</v>
      </c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1.71701107E8</v>
      </c>
      <c r="B31" s="31" t="s">
        <v>73</v>
      </c>
      <c r="C31" s="32">
        <v>7.8210604E7</v>
      </c>
      <c r="D31" s="32">
        <v>4.86873209E8</v>
      </c>
      <c r="E31" s="32">
        <v>2917546.0</v>
      </c>
      <c r="F31" s="32">
        <v>5719228.0</v>
      </c>
      <c r="G31" s="32">
        <v>1.8020858E7</v>
      </c>
      <c r="H31" s="32">
        <v>1.5081639E7</v>
      </c>
      <c r="I31" s="32">
        <v>0.0</v>
      </c>
      <c r="J31" s="32">
        <v>1.0052078463E10</v>
      </c>
      <c r="K31" s="32">
        <v>3.514918782E9</v>
      </c>
      <c r="L31" s="32">
        <v>24852.0</v>
      </c>
      <c r="M31" s="31" t="s">
        <v>34</v>
      </c>
      <c r="N31" s="31">
        <v>25.0</v>
      </c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1.4572491E7</v>
      </c>
      <c r="B32" s="31" t="s">
        <v>46</v>
      </c>
      <c r="C32" s="32">
        <v>7.7738458E7</v>
      </c>
      <c r="D32" s="32">
        <v>7.037053918E9</v>
      </c>
      <c r="E32" s="32">
        <v>6.3318543E7</v>
      </c>
      <c r="F32" s="32">
        <v>5.683019E7</v>
      </c>
      <c r="G32" s="32">
        <v>2.11036344E8</v>
      </c>
      <c r="H32" s="32">
        <v>2.42567074E8</v>
      </c>
      <c r="I32" s="32">
        <v>0.0</v>
      </c>
      <c r="J32" s="32">
        <v>1.9418445149E10</v>
      </c>
      <c r="K32" s="32">
        <v>4.7723874529E10</v>
      </c>
      <c r="L32" s="32">
        <v>178645.0</v>
      </c>
      <c r="M32" s="31" t="s">
        <v>34</v>
      </c>
      <c r="N32" s="31">
        <v>25.0</v>
      </c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1.66497805E8</v>
      </c>
      <c r="B33" s="31" t="s">
        <v>523</v>
      </c>
      <c r="C33" s="32">
        <v>7.7541647E7</v>
      </c>
      <c r="D33" s="32">
        <v>5.11716356E8</v>
      </c>
      <c r="E33" s="32">
        <v>4858479.0</v>
      </c>
      <c r="F33" s="32">
        <v>2158221.0</v>
      </c>
      <c r="G33" s="32">
        <v>2.5678516E7</v>
      </c>
      <c r="H33" s="32">
        <v>1.2215656E7</v>
      </c>
      <c r="I33" s="32">
        <v>0.0</v>
      </c>
      <c r="J33" s="32">
        <v>1.4462665915E10</v>
      </c>
      <c r="K33" s="32">
        <v>3.56763729E8</v>
      </c>
      <c r="L33" s="32">
        <v>57525.0</v>
      </c>
      <c r="M33" s="31" t="s">
        <v>34</v>
      </c>
      <c r="N33" s="31">
        <v>25.0</v>
      </c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1.15125159E8</v>
      </c>
      <c r="B34" s="31" t="s">
        <v>400</v>
      </c>
      <c r="C34" s="32">
        <v>7.728894E7</v>
      </c>
      <c r="D34" s="32">
        <v>5.94789591E8</v>
      </c>
      <c r="E34" s="32">
        <v>1.0109587E7</v>
      </c>
      <c r="F34" s="32">
        <v>2309595.0</v>
      </c>
      <c r="G34" s="32">
        <v>2.3098886E7</v>
      </c>
      <c r="H34" s="32">
        <v>1.7486076E7</v>
      </c>
      <c r="I34" s="32">
        <v>19919.0</v>
      </c>
      <c r="J34" s="32">
        <v>1.3045132091E10</v>
      </c>
      <c r="K34" s="32">
        <v>2.957793162E9</v>
      </c>
      <c r="L34" s="32">
        <v>50293.0</v>
      </c>
      <c r="M34" s="31" t="s">
        <v>34</v>
      </c>
      <c r="N34" s="31">
        <v>25.0</v>
      </c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1.41154852E8</v>
      </c>
      <c r="B35" s="31" t="s">
        <v>76</v>
      </c>
      <c r="C35" s="32">
        <v>7.7152387E7</v>
      </c>
      <c r="D35" s="32">
        <v>2.412135891E9</v>
      </c>
      <c r="E35" s="32">
        <v>1.1052316E7</v>
      </c>
      <c r="F35" s="32">
        <v>2.8959755E7</v>
      </c>
      <c r="G35" s="32">
        <v>1.00681883E8</v>
      </c>
      <c r="H35" s="32">
        <v>6.7998E7</v>
      </c>
      <c r="I35" s="32">
        <v>0.0</v>
      </c>
      <c r="J35" s="32">
        <v>1.6381865523E10</v>
      </c>
      <c r="K35" s="32">
        <v>6.056357243E9</v>
      </c>
      <c r="L35" s="32">
        <v>68271.0</v>
      </c>
      <c r="M35" s="31" t="s">
        <v>34</v>
      </c>
      <c r="N35" s="31">
        <v>25.0</v>
      </c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1.71503078E8</v>
      </c>
      <c r="B36" s="31" t="s">
        <v>72</v>
      </c>
      <c r="C36" s="32">
        <v>7.6748702E7</v>
      </c>
      <c r="D36" s="32">
        <v>1.074240672E9</v>
      </c>
      <c r="E36" s="32">
        <v>2621178.0</v>
      </c>
      <c r="F36" s="32">
        <v>1.6235741E7</v>
      </c>
      <c r="G36" s="32">
        <v>2.9312234E7</v>
      </c>
      <c r="H36" s="32">
        <v>3.7103071E7</v>
      </c>
      <c r="I36" s="32">
        <v>0.0</v>
      </c>
      <c r="J36" s="32">
        <v>1.8420053128E10</v>
      </c>
      <c r="K36" s="32">
        <v>4.69248407E9</v>
      </c>
      <c r="L36" s="32">
        <v>58332.0</v>
      </c>
      <c r="M36" s="31" t="s">
        <v>34</v>
      </c>
      <c r="N36" s="31">
        <v>25.0</v>
      </c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1.69247313E8</v>
      </c>
      <c r="B37" s="31" t="s">
        <v>75</v>
      </c>
      <c r="C37" s="32">
        <v>7.6707061E7</v>
      </c>
      <c r="D37" s="32">
        <v>3.84303396E8</v>
      </c>
      <c r="E37" s="32">
        <v>7219775.0</v>
      </c>
      <c r="F37" s="32">
        <v>2763413.0</v>
      </c>
      <c r="G37" s="32">
        <v>1.6530035E7</v>
      </c>
      <c r="H37" s="32">
        <v>1.0071068E7</v>
      </c>
      <c r="I37" s="32">
        <v>0.0</v>
      </c>
      <c r="J37" s="32">
        <v>1.9561471643E10</v>
      </c>
      <c r="K37" s="32">
        <v>1.929731466E9</v>
      </c>
      <c r="L37" s="32">
        <v>104960.0</v>
      </c>
      <c r="M37" s="31" t="s">
        <v>34</v>
      </c>
      <c r="N37" s="31">
        <v>25.0</v>
      </c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1.56479771E8</v>
      </c>
      <c r="B38" s="31" t="s">
        <v>70</v>
      </c>
      <c r="C38" s="32">
        <v>7.6612334E7</v>
      </c>
      <c r="D38" s="32">
        <v>1.549914388E9</v>
      </c>
      <c r="E38" s="32">
        <v>1.0191515E7</v>
      </c>
      <c r="F38" s="32">
        <v>4.0075233E7</v>
      </c>
      <c r="G38" s="32">
        <v>6.9340839E7</v>
      </c>
      <c r="H38" s="32">
        <v>4.043203E7</v>
      </c>
      <c r="I38" s="32">
        <v>0.0</v>
      </c>
      <c r="J38" s="32">
        <v>1.6599083629E10</v>
      </c>
      <c r="K38" s="32">
        <v>1.0511487032E10</v>
      </c>
      <c r="L38" s="32">
        <v>96100.0</v>
      </c>
      <c r="M38" s="31" t="s">
        <v>34</v>
      </c>
      <c r="N38" s="31">
        <v>25.0</v>
      </c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1.70866748E8</v>
      </c>
      <c r="B39" s="31" t="s">
        <v>97</v>
      </c>
      <c r="C39" s="32">
        <v>7.6274401E7</v>
      </c>
      <c r="D39" s="32">
        <v>4.96505797E8</v>
      </c>
      <c r="E39" s="32">
        <v>4944198.0</v>
      </c>
      <c r="F39" s="32">
        <v>1156369.0</v>
      </c>
      <c r="G39" s="32">
        <v>8062915.0</v>
      </c>
      <c r="H39" s="32">
        <v>2.0717737E7</v>
      </c>
      <c r="I39" s="32">
        <v>0.0</v>
      </c>
      <c r="J39" s="32">
        <v>1.3799033814E10</v>
      </c>
      <c r="K39" s="32">
        <v>2.217127733E9</v>
      </c>
      <c r="L39" s="32">
        <v>32178.0</v>
      </c>
      <c r="M39" s="31" t="s">
        <v>34</v>
      </c>
      <c r="N39" s="31">
        <v>25.0</v>
      </c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1.69461237E8</v>
      </c>
      <c r="B40" s="31" t="s">
        <v>82</v>
      </c>
      <c r="C40" s="32">
        <v>7.5210474E7</v>
      </c>
      <c r="D40" s="32">
        <v>3.74816162E8</v>
      </c>
      <c r="E40" s="32">
        <v>3971161.0</v>
      </c>
      <c r="F40" s="32">
        <v>3057052.0</v>
      </c>
      <c r="G40" s="32">
        <v>2.3104818E7</v>
      </c>
      <c r="H40" s="32">
        <v>5769663.0</v>
      </c>
      <c r="I40" s="32">
        <v>0.0</v>
      </c>
      <c r="J40" s="32">
        <v>3.341434836E9</v>
      </c>
      <c r="K40" s="32">
        <v>2.2498231616E10</v>
      </c>
      <c r="L40" s="32">
        <v>20452.0</v>
      </c>
      <c r="M40" s="31" t="s">
        <v>34</v>
      </c>
      <c r="N40" s="31">
        <v>25.0</v>
      </c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1.72041454E8</v>
      </c>
      <c r="B41" s="31" t="s">
        <v>87</v>
      </c>
      <c r="C41" s="32">
        <v>7.4891004E7</v>
      </c>
      <c r="D41" s="32">
        <v>3.85707626E8</v>
      </c>
      <c r="E41" s="32">
        <v>6316966.0</v>
      </c>
      <c r="F41" s="32">
        <v>2.70105E7</v>
      </c>
      <c r="G41" s="32">
        <v>1.9626275E7</v>
      </c>
      <c r="H41" s="32">
        <v>8793716.0</v>
      </c>
      <c r="I41" s="32">
        <v>0.0</v>
      </c>
      <c r="J41" s="32">
        <v>1.0454035752E10</v>
      </c>
      <c r="K41" s="32">
        <v>9.81560618E8</v>
      </c>
      <c r="L41" s="32">
        <v>47055.0</v>
      </c>
      <c r="M41" s="31" t="s">
        <v>34</v>
      </c>
      <c r="N41" s="31">
        <v>25.0</v>
      </c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1.6683283E8</v>
      </c>
      <c r="B42" s="31" t="s">
        <v>489</v>
      </c>
      <c r="C42" s="32">
        <v>7.390402E7</v>
      </c>
      <c r="D42" s="32">
        <v>1.014375033E9</v>
      </c>
      <c r="E42" s="32">
        <v>3790649.0</v>
      </c>
      <c r="F42" s="32">
        <v>7929699.0</v>
      </c>
      <c r="G42" s="32">
        <v>4.83294E7</v>
      </c>
      <c r="H42" s="32">
        <v>2.5832166E7</v>
      </c>
      <c r="I42" s="32">
        <v>0.0</v>
      </c>
      <c r="J42" s="32">
        <v>1.5345779072E10</v>
      </c>
      <c r="K42" s="32">
        <v>1.367202204E9</v>
      </c>
      <c r="L42" s="32">
        <v>128563.0</v>
      </c>
      <c r="M42" s="31" t="s">
        <v>490</v>
      </c>
      <c r="N42" s="31">
        <v>25.0</v>
      </c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1.40009179E8</v>
      </c>
      <c r="B43" s="31" t="s">
        <v>403</v>
      </c>
      <c r="C43" s="32">
        <v>7.3144139E7</v>
      </c>
      <c r="D43" s="32">
        <v>1.039163439E9</v>
      </c>
      <c r="E43" s="32">
        <v>1.0543562E7</v>
      </c>
      <c r="F43" s="32">
        <v>2.8697919E7</v>
      </c>
      <c r="G43" s="32">
        <v>5.8790027E7</v>
      </c>
      <c r="H43" s="32">
        <v>2.1885816E7</v>
      </c>
      <c r="I43" s="32">
        <v>0.0</v>
      </c>
      <c r="J43" s="32">
        <v>1.3843978409E10</v>
      </c>
      <c r="K43" s="32">
        <v>2.648117913E9</v>
      </c>
      <c r="L43" s="32">
        <v>35720.0</v>
      </c>
      <c r="M43" s="31" t="s">
        <v>147</v>
      </c>
      <c r="N43" s="31">
        <v>25.0</v>
      </c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1.36378574E8</v>
      </c>
      <c r="B44" s="31" t="s">
        <v>401</v>
      </c>
      <c r="C44" s="32">
        <v>7.3118045E7</v>
      </c>
      <c r="D44" s="32">
        <v>5.98467976E8</v>
      </c>
      <c r="E44" s="32">
        <v>6823289.0</v>
      </c>
      <c r="F44" s="32">
        <v>5150003.0</v>
      </c>
      <c r="G44" s="32">
        <v>2.979345E7</v>
      </c>
      <c r="H44" s="32">
        <v>1.4389592E7</v>
      </c>
      <c r="I44" s="32">
        <v>0.0</v>
      </c>
      <c r="J44" s="32">
        <v>1.9439064629E10</v>
      </c>
      <c r="K44" s="32">
        <v>9.741231848E9</v>
      </c>
      <c r="L44" s="32">
        <v>27239.0</v>
      </c>
      <c r="M44" s="31" t="s">
        <v>34</v>
      </c>
      <c r="N44" s="31">
        <v>25.0</v>
      </c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1.20029911E8</v>
      </c>
      <c r="B45" s="31" t="s">
        <v>79</v>
      </c>
      <c r="C45" s="32">
        <v>7.3055962E7</v>
      </c>
      <c r="D45" s="32">
        <v>8.40227445E8</v>
      </c>
      <c r="E45" s="32">
        <v>1.0197212E7</v>
      </c>
      <c r="F45" s="32">
        <v>1.1573599E7</v>
      </c>
      <c r="G45" s="32">
        <v>4.2013989E7</v>
      </c>
      <c r="H45" s="32">
        <v>1.9392116E7</v>
      </c>
      <c r="I45" s="32">
        <v>135423.0</v>
      </c>
      <c r="J45" s="32">
        <v>1.0303966734E10</v>
      </c>
      <c r="K45" s="32">
        <v>1.6524234312E10</v>
      </c>
      <c r="L45" s="32">
        <v>52980.0</v>
      </c>
      <c r="M45" s="31" t="s">
        <v>34</v>
      </c>
      <c r="N45" s="31">
        <v>25.0</v>
      </c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1.71604682E8</v>
      </c>
      <c r="B46" s="31" t="s">
        <v>86</v>
      </c>
      <c r="C46" s="32">
        <v>7.2662012E7</v>
      </c>
      <c r="D46" s="32">
        <v>1.073587588E9</v>
      </c>
      <c r="E46" s="32">
        <v>5696214.0</v>
      </c>
      <c r="F46" s="32">
        <v>1.1619281E7</v>
      </c>
      <c r="G46" s="32">
        <v>4.3131336E7</v>
      </c>
      <c r="H46" s="32">
        <v>3.0009811E7</v>
      </c>
      <c r="I46" s="32">
        <v>0.0</v>
      </c>
      <c r="J46" s="32">
        <v>8.868002138E9</v>
      </c>
      <c r="K46" s="32">
        <v>1.370720264E9</v>
      </c>
      <c r="L46" s="32">
        <v>59662.0</v>
      </c>
      <c r="M46" s="31" t="s">
        <v>34</v>
      </c>
      <c r="N46" s="31">
        <v>25.0</v>
      </c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1.71491377E8</v>
      </c>
      <c r="B47" s="31" t="s">
        <v>84</v>
      </c>
      <c r="C47" s="32">
        <v>7.2530033E7</v>
      </c>
      <c r="D47" s="32">
        <v>3.62277925E8</v>
      </c>
      <c r="E47" s="32">
        <v>2994836.0</v>
      </c>
      <c r="F47" s="32">
        <v>3092439.0</v>
      </c>
      <c r="G47" s="32">
        <v>9292633.0</v>
      </c>
      <c r="H47" s="32">
        <v>1.3350653E7</v>
      </c>
      <c r="I47" s="32">
        <v>0.0</v>
      </c>
      <c r="J47" s="32">
        <v>1.2546588356E10</v>
      </c>
      <c r="K47" s="32">
        <v>1.080422782E9</v>
      </c>
      <c r="L47" s="32">
        <v>51932.0</v>
      </c>
      <c r="M47" s="31" t="s">
        <v>34</v>
      </c>
      <c r="N47" s="31">
        <v>25.0</v>
      </c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7887352.0</v>
      </c>
      <c r="B48" s="31" t="s">
        <v>83</v>
      </c>
      <c r="C48" s="32">
        <v>7.2461666E7</v>
      </c>
      <c r="D48" s="32">
        <v>2.1794922E9</v>
      </c>
      <c r="E48" s="32">
        <v>1.6550764E7</v>
      </c>
      <c r="F48" s="32">
        <v>3.4656841E7</v>
      </c>
      <c r="G48" s="32">
        <v>7.0485111E7</v>
      </c>
      <c r="H48" s="32">
        <v>7.3141987E7</v>
      </c>
      <c r="I48" s="32">
        <v>0.0</v>
      </c>
      <c r="J48" s="32">
        <v>1.660952916E10</v>
      </c>
      <c r="K48" s="32">
        <v>1.2713533366E10</v>
      </c>
      <c r="L48" s="32">
        <v>45814.0</v>
      </c>
      <c r="M48" s="31" t="s">
        <v>34</v>
      </c>
      <c r="N48" s="31">
        <v>25.0</v>
      </c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1.71972257E8</v>
      </c>
      <c r="B49" s="31" t="s">
        <v>90</v>
      </c>
      <c r="C49" s="32">
        <v>7.2339108E7</v>
      </c>
      <c r="D49" s="32">
        <v>5.66918027E8</v>
      </c>
      <c r="E49" s="32">
        <v>4545871.0</v>
      </c>
      <c r="F49" s="32">
        <v>4.6609537E7</v>
      </c>
      <c r="G49" s="32">
        <v>2.3028174E7</v>
      </c>
      <c r="H49" s="32">
        <v>1.6060459E7</v>
      </c>
      <c r="I49" s="32">
        <v>0.0</v>
      </c>
      <c r="J49" s="32">
        <v>1.3271370787E10</v>
      </c>
      <c r="K49" s="32">
        <v>2.961253098E9</v>
      </c>
      <c r="L49" s="32">
        <v>16252.0</v>
      </c>
      <c r="M49" s="31" t="s">
        <v>34</v>
      </c>
      <c r="N49" s="31">
        <v>25.0</v>
      </c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1.66871338E8</v>
      </c>
      <c r="B50" s="31" t="s">
        <v>78</v>
      </c>
      <c r="C50" s="32">
        <v>7.2269196E7</v>
      </c>
      <c r="D50" s="32">
        <v>9.19017305E8</v>
      </c>
      <c r="E50" s="32">
        <v>5747732.0</v>
      </c>
      <c r="F50" s="32">
        <v>9.3171687E7</v>
      </c>
      <c r="G50" s="32">
        <v>5.9141375E7</v>
      </c>
      <c r="H50" s="32">
        <v>1.431803E7</v>
      </c>
      <c r="I50" s="32">
        <v>0.0</v>
      </c>
      <c r="J50" s="32">
        <v>8.682322578E9</v>
      </c>
      <c r="K50" s="32">
        <v>3.117290499E9</v>
      </c>
      <c r="L50" s="32">
        <v>45848.0</v>
      </c>
      <c r="M50" s="31" t="s">
        <v>34</v>
      </c>
      <c r="N50" s="31">
        <v>25.0</v>
      </c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1.77526978E8</v>
      </c>
      <c r="B51" s="31" t="s">
        <v>74</v>
      </c>
      <c r="C51" s="32">
        <v>7.2227352E7</v>
      </c>
      <c r="D51" s="32">
        <v>9.2779966E7</v>
      </c>
      <c r="E51" s="32">
        <v>3007809.0</v>
      </c>
      <c r="F51" s="32">
        <v>6554003.0</v>
      </c>
      <c r="G51" s="32">
        <v>3458011.0</v>
      </c>
      <c r="H51" s="32">
        <v>2772916.0</v>
      </c>
      <c r="I51" s="32">
        <v>0.0</v>
      </c>
      <c r="J51" s="32">
        <v>9.055202634E9</v>
      </c>
      <c r="K51" s="32">
        <v>7.881382248E9</v>
      </c>
      <c r="L51" s="32">
        <v>24386.0</v>
      </c>
      <c r="M51" s="31" t="s">
        <v>34</v>
      </c>
      <c r="N51" s="31">
        <v>25.0</v>
      </c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1.71355737E8</v>
      </c>
      <c r="B52" s="31" t="s">
        <v>491</v>
      </c>
      <c r="C52" s="32">
        <v>7.1646867E7</v>
      </c>
      <c r="D52" s="32">
        <v>3.55644809E8</v>
      </c>
      <c r="E52" s="32">
        <v>3602321.0</v>
      </c>
      <c r="F52" s="32">
        <v>1726886.0</v>
      </c>
      <c r="G52" s="32">
        <v>1.5495195E7</v>
      </c>
      <c r="H52" s="32">
        <v>9979354.0</v>
      </c>
      <c r="I52" s="32">
        <v>0.0</v>
      </c>
      <c r="J52" s="32">
        <v>1.3416642735E10</v>
      </c>
      <c r="K52" s="32">
        <v>6.904546118E9</v>
      </c>
      <c r="L52" s="32">
        <v>76596.0</v>
      </c>
      <c r="M52" s="31" t="s">
        <v>34</v>
      </c>
      <c r="N52" s="31">
        <v>25.0</v>
      </c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1.72033754E8</v>
      </c>
      <c r="B53" s="31" t="s">
        <v>92</v>
      </c>
      <c r="C53" s="32">
        <v>7.1449076E7</v>
      </c>
      <c r="D53" s="32">
        <v>3.48643487E8</v>
      </c>
      <c r="E53" s="32">
        <v>5925412.0</v>
      </c>
      <c r="F53" s="32">
        <v>1.4858289E7</v>
      </c>
      <c r="G53" s="32">
        <v>1.5696619E7</v>
      </c>
      <c r="H53" s="32">
        <v>8912184.0</v>
      </c>
      <c r="I53" s="32">
        <v>0.0</v>
      </c>
      <c r="J53" s="32">
        <v>1.0587014329E10</v>
      </c>
      <c r="K53" s="32">
        <v>1.15993687E9</v>
      </c>
      <c r="L53" s="32">
        <v>34069.0</v>
      </c>
      <c r="M53" s="31" t="s">
        <v>34</v>
      </c>
      <c r="N53" s="31">
        <v>25.0</v>
      </c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1.72021868E8</v>
      </c>
      <c r="B54" s="31" t="s">
        <v>81</v>
      </c>
      <c r="C54" s="32">
        <v>7.1342E7</v>
      </c>
      <c r="D54" s="32">
        <v>6.61107876E8</v>
      </c>
      <c r="E54" s="32">
        <v>3207821.0</v>
      </c>
      <c r="F54" s="32">
        <v>1.1460652E7</v>
      </c>
      <c r="G54" s="32">
        <v>1.4519388E7</v>
      </c>
      <c r="H54" s="32">
        <v>2.5589694E7</v>
      </c>
      <c r="I54" s="32">
        <v>0.0</v>
      </c>
      <c r="J54" s="32">
        <v>9.465745743E9</v>
      </c>
      <c r="K54" s="32">
        <v>1.49770917E9</v>
      </c>
      <c r="L54" s="32">
        <v>733711.0</v>
      </c>
      <c r="M54" s="31" t="s">
        <v>34</v>
      </c>
      <c r="N54" s="31">
        <v>25.0</v>
      </c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1.5633938E8</v>
      </c>
      <c r="B55" s="31" t="s">
        <v>89</v>
      </c>
      <c r="C55" s="32">
        <v>7.0967784E7</v>
      </c>
      <c r="D55" s="32">
        <v>5.6617242E8</v>
      </c>
      <c r="E55" s="32">
        <v>7988391.0</v>
      </c>
      <c r="F55" s="32">
        <v>5864811.0</v>
      </c>
      <c r="G55" s="32">
        <v>3.0606696E7</v>
      </c>
      <c r="H55" s="32">
        <v>1.1387693E7</v>
      </c>
      <c r="I55" s="32">
        <v>0.0</v>
      </c>
      <c r="J55" s="32">
        <v>1.5514562602E10</v>
      </c>
      <c r="K55" s="32">
        <v>3.759929489E9</v>
      </c>
      <c r="L55" s="32">
        <v>123017.0</v>
      </c>
      <c r="M55" s="31" t="s">
        <v>34</v>
      </c>
      <c r="N55" s="31">
        <v>25.0</v>
      </c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1.68923934E8</v>
      </c>
      <c r="B56" s="31" t="s">
        <v>98</v>
      </c>
      <c r="C56" s="32">
        <v>7.0349308E7</v>
      </c>
      <c r="D56" s="32">
        <v>5.63505407E8</v>
      </c>
      <c r="E56" s="32">
        <v>4142651.0</v>
      </c>
      <c r="F56" s="32">
        <v>4.2203045E7</v>
      </c>
      <c r="G56" s="32">
        <v>2.1468322E7</v>
      </c>
      <c r="H56" s="32">
        <v>1.5252481E7</v>
      </c>
      <c r="I56" s="32">
        <v>0.0</v>
      </c>
      <c r="J56" s="32">
        <v>7.416471108E9</v>
      </c>
      <c r="K56" s="32">
        <v>4.97581842E8</v>
      </c>
      <c r="L56" s="32">
        <v>30051.0</v>
      </c>
      <c r="M56" s="31" t="s">
        <v>34</v>
      </c>
      <c r="N56" s="31">
        <v>25.0</v>
      </c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1.43088559E8</v>
      </c>
      <c r="B57" s="31" t="s">
        <v>93</v>
      </c>
      <c r="C57" s="32">
        <v>6.9899573E7</v>
      </c>
      <c r="D57" s="32">
        <v>4.63290559E8</v>
      </c>
      <c r="E57" s="32">
        <v>4093564.0</v>
      </c>
      <c r="F57" s="32">
        <v>1.0480295E7</v>
      </c>
      <c r="G57" s="32">
        <v>2.6725717E7</v>
      </c>
      <c r="H57" s="32">
        <v>8944637.0</v>
      </c>
      <c r="I57" s="32">
        <v>0.0</v>
      </c>
      <c r="J57" s="32">
        <v>1.2922435531E10</v>
      </c>
      <c r="K57" s="32">
        <v>2.11081372E9</v>
      </c>
      <c r="L57" s="32">
        <v>36433.0</v>
      </c>
      <c r="M57" s="31" t="s">
        <v>66</v>
      </c>
      <c r="N57" s="31">
        <v>25.0</v>
      </c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1.71927851E8</v>
      </c>
      <c r="B58" s="31" t="s">
        <v>96</v>
      </c>
      <c r="C58" s="32">
        <v>6.9607684E7</v>
      </c>
      <c r="D58" s="32">
        <v>2.81217383E8</v>
      </c>
      <c r="E58" s="32">
        <v>2632321.0</v>
      </c>
      <c r="F58" s="32">
        <v>9960405.0</v>
      </c>
      <c r="G58" s="32">
        <v>5301108.0</v>
      </c>
      <c r="H58" s="32">
        <v>1.1228093E7</v>
      </c>
      <c r="I58" s="32">
        <v>0.0</v>
      </c>
      <c r="J58" s="32">
        <v>9.407176046E9</v>
      </c>
      <c r="K58" s="32">
        <v>1.01624E8</v>
      </c>
      <c r="L58" s="32">
        <v>29711.0</v>
      </c>
      <c r="M58" s="31" t="s">
        <v>34</v>
      </c>
      <c r="N58" s="31">
        <v>25.0</v>
      </c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1.69446634E8</v>
      </c>
      <c r="B59" s="31" t="s">
        <v>405</v>
      </c>
      <c r="C59" s="32">
        <v>6.9579548E7</v>
      </c>
      <c r="D59" s="32">
        <v>2.52154598E8</v>
      </c>
      <c r="E59" s="32">
        <v>8239052.0</v>
      </c>
      <c r="F59" s="32">
        <v>736192.0</v>
      </c>
      <c r="G59" s="32">
        <v>9684648.0</v>
      </c>
      <c r="H59" s="32">
        <v>7668039.0</v>
      </c>
      <c r="I59" s="32">
        <v>0.0</v>
      </c>
      <c r="J59" s="32">
        <v>1.0901183579E10</v>
      </c>
      <c r="K59" s="32">
        <v>3.3338578E8</v>
      </c>
      <c r="L59" s="32">
        <v>54171.0</v>
      </c>
      <c r="M59" s="31" t="s">
        <v>34</v>
      </c>
      <c r="N59" s="31">
        <v>25.0</v>
      </c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1.44049878E8</v>
      </c>
      <c r="B60" s="31" t="s">
        <v>127</v>
      </c>
      <c r="C60" s="32">
        <v>6.9483912E7</v>
      </c>
      <c r="D60" s="32">
        <v>2.86142216E8</v>
      </c>
      <c r="E60" s="32">
        <v>8378126.0</v>
      </c>
      <c r="F60" s="32">
        <v>3607230.0</v>
      </c>
      <c r="G60" s="32">
        <v>1.1786976E7</v>
      </c>
      <c r="H60" s="32">
        <v>8205398.0</v>
      </c>
      <c r="I60" s="32">
        <v>0.0</v>
      </c>
      <c r="J60" s="32">
        <v>1.0752782446E10</v>
      </c>
      <c r="K60" s="32">
        <v>7.2816E8</v>
      </c>
      <c r="L60" s="32">
        <v>49734.0</v>
      </c>
      <c r="M60" s="31" t="s">
        <v>66</v>
      </c>
      <c r="N60" s="31">
        <v>25.0</v>
      </c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1.71983336E8</v>
      </c>
      <c r="B61" s="31" t="s">
        <v>408</v>
      </c>
      <c r="C61" s="32">
        <v>6.945533E7</v>
      </c>
      <c r="D61" s="32">
        <v>2.89650571E8</v>
      </c>
      <c r="E61" s="32">
        <v>4518904.0</v>
      </c>
      <c r="F61" s="32">
        <v>7589069.0</v>
      </c>
      <c r="G61" s="32">
        <v>1.143137E7</v>
      </c>
      <c r="H61" s="32">
        <v>8293618.0</v>
      </c>
      <c r="I61" s="32">
        <v>0.0</v>
      </c>
      <c r="J61" s="32">
        <v>1.3816816676E10</v>
      </c>
      <c r="K61" s="32">
        <v>4.885278491E9</v>
      </c>
      <c r="L61" s="32">
        <v>101131.0</v>
      </c>
      <c r="M61" s="31" t="s">
        <v>34</v>
      </c>
      <c r="N61" s="31">
        <v>25.0</v>
      </c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1.69326547E8</v>
      </c>
      <c r="B62" s="31" t="s">
        <v>47</v>
      </c>
      <c r="C62" s="32">
        <v>6.9417257E7</v>
      </c>
      <c r="D62" s="32">
        <v>2.906237594E9</v>
      </c>
      <c r="E62" s="32">
        <v>8052132.0</v>
      </c>
      <c r="F62" s="32">
        <v>8445062.0</v>
      </c>
      <c r="G62" s="32">
        <v>8.8065023E7</v>
      </c>
      <c r="H62" s="32">
        <v>9.9383605E7</v>
      </c>
      <c r="I62" s="32">
        <v>0.0</v>
      </c>
      <c r="J62" s="32">
        <v>1.0480293026E10</v>
      </c>
      <c r="K62" s="32">
        <v>9.410822851E9</v>
      </c>
      <c r="L62" s="32">
        <v>115294.0</v>
      </c>
      <c r="M62" s="31" t="s">
        <v>34</v>
      </c>
      <c r="N62" s="31">
        <v>25.0</v>
      </c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5.524249E7</v>
      </c>
      <c r="B63" s="31" t="s">
        <v>88</v>
      </c>
      <c r="C63" s="32">
        <v>6.9162503E7</v>
      </c>
      <c r="D63" s="32">
        <v>7.9269562E8</v>
      </c>
      <c r="E63" s="32">
        <v>1.0003145E7</v>
      </c>
      <c r="F63" s="32">
        <v>1.10764903E8</v>
      </c>
      <c r="G63" s="32">
        <v>2.1986973E7</v>
      </c>
      <c r="H63" s="32">
        <v>2.6830528E7</v>
      </c>
      <c r="I63" s="32">
        <v>0.0</v>
      </c>
      <c r="J63" s="32">
        <v>1.3009310378E10</v>
      </c>
      <c r="K63" s="32">
        <v>5.43576093E9</v>
      </c>
      <c r="L63" s="32">
        <v>50921.0</v>
      </c>
      <c r="M63" s="31" t="s">
        <v>34</v>
      </c>
      <c r="N63" s="31">
        <v>25.0</v>
      </c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1.66110884E8</v>
      </c>
      <c r="B64" s="31" t="s">
        <v>95</v>
      </c>
      <c r="C64" s="32">
        <v>6.8997771E7</v>
      </c>
      <c r="D64" s="32">
        <v>7.95558953E8</v>
      </c>
      <c r="E64" s="32">
        <v>6225085.0</v>
      </c>
      <c r="F64" s="32">
        <v>4.3590195E7</v>
      </c>
      <c r="G64" s="32">
        <v>3.1882645E7</v>
      </c>
      <c r="H64" s="32">
        <v>2.1625551E7</v>
      </c>
      <c r="I64" s="32">
        <v>0.0</v>
      </c>
      <c r="J64" s="32">
        <v>8.456411489E9</v>
      </c>
      <c r="K64" s="32">
        <v>3.624684682E9</v>
      </c>
      <c r="L64" s="32">
        <v>67506.0</v>
      </c>
      <c r="M64" s="31" t="s">
        <v>34</v>
      </c>
      <c r="N64" s="31">
        <v>25.0</v>
      </c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1.46428825E8</v>
      </c>
      <c r="B65" s="31" t="s">
        <v>52</v>
      </c>
      <c r="C65" s="32">
        <v>6.8958763E7</v>
      </c>
      <c r="D65" s="32">
        <v>1.600675018E9</v>
      </c>
      <c r="E65" s="32">
        <v>9321904.0</v>
      </c>
      <c r="F65" s="32">
        <v>1.2734453E7</v>
      </c>
      <c r="G65" s="32">
        <v>5.5744476E7</v>
      </c>
      <c r="H65" s="32">
        <v>5.1618634E7</v>
      </c>
      <c r="I65" s="32">
        <v>0.0</v>
      </c>
      <c r="J65" s="32">
        <v>2.6047006509E10</v>
      </c>
      <c r="K65" s="32">
        <v>9.070861277E9</v>
      </c>
      <c r="L65" s="32">
        <v>133931.0</v>
      </c>
      <c r="M65" s="31" t="s">
        <v>34</v>
      </c>
      <c r="N65" s="31">
        <v>25.0</v>
      </c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1915332.0</v>
      </c>
      <c r="B66" s="31" t="s">
        <v>110</v>
      </c>
      <c r="C66" s="32">
        <v>6.8133698E7</v>
      </c>
      <c r="D66" s="32">
        <v>3.72159504E8</v>
      </c>
      <c r="E66" s="32">
        <v>9024801.0</v>
      </c>
      <c r="F66" s="32">
        <v>1.7924392E7</v>
      </c>
      <c r="G66" s="32">
        <v>1.6161987E7</v>
      </c>
      <c r="H66" s="32">
        <v>9604559.0</v>
      </c>
      <c r="I66" s="32">
        <v>0.0</v>
      </c>
      <c r="J66" s="32">
        <v>7.276113915E9</v>
      </c>
      <c r="K66" s="32">
        <v>4.025499586E9</v>
      </c>
      <c r="L66" s="32">
        <v>32677.0</v>
      </c>
      <c r="M66" s="31" t="s">
        <v>34</v>
      </c>
      <c r="N66" s="31">
        <v>25.0</v>
      </c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1.70972148E8</v>
      </c>
      <c r="B67" s="31" t="s">
        <v>406</v>
      </c>
      <c r="C67" s="32">
        <v>6.8038971E7</v>
      </c>
      <c r="D67" s="32">
        <v>2.08801784E8</v>
      </c>
      <c r="E67" s="32">
        <v>4067137.0</v>
      </c>
      <c r="F67" s="32">
        <v>1.4804982E7</v>
      </c>
      <c r="G67" s="32">
        <v>9004477.0</v>
      </c>
      <c r="H67" s="32">
        <v>5701677.0</v>
      </c>
      <c r="I67" s="32">
        <v>0.0</v>
      </c>
      <c r="J67" s="32">
        <v>1.0927676001E10</v>
      </c>
      <c r="K67" s="32">
        <v>1.493960679E9</v>
      </c>
      <c r="L67" s="32">
        <v>26276.0</v>
      </c>
      <c r="M67" s="31" t="s">
        <v>34</v>
      </c>
      <c r="N67" s="31">
        <v>25.0</v>
      </c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1.55534128E8</v>
      </c>
      <c r="B68" s="31" t="s">
        <v>105</v>
      </c>
      <c r="C68" s="32">
        <v>6.7966207E7</v>
      </c>
      <c r="D68" s="32">
        <v>1.000110292E9</v>
      </c>
      <c r="E68" s="32">
        <v>7861012.0</v>
      </c>
      <c r="F68" s="32">
        <v>1.4979632E7</v>
      </c>
      <c r="G68" s="32">
        <v>3.7121656E7</v>
      </c>
      <c r="H68" s="32">
        <v>3.0753436E7</v>
      </c>
      <c r="I68" s="32">
        <v>0.0</v>
      </c>
      <c r="J68" s="32">
        <v>7.966939656E9</v>
      </c>
      <c r="K68" s="32">
        <v>9.17037441E8</v>
      </c>
      <c r="L68" s="32">
        <v>50337.0</v>
      </c>
      <c r="M68" s="31" t="s">
        <v>34</v>
      </c>
      <c r="N68" s="31">
        <v>25.0</v>
      </c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1.70708608E8</v>
      </c>
      <c r="B69" s="31" t="s">
        <v>91</v>
      </c>
      <c r="C69" s="32">
        <v>6.683193E7</v>
      </c>
      <c r="D69" s="32">
        <v>2.49446472E8</v>
      </c>
      <c r="E69" s="32">
        <v>7042300.0</v>
      </c>
      <c r="F69" s="32">
        <v>4.8028712E7</v>
      </c>
      <c r="G69" s="32">
        <v>7914881.0</v>
      </c>
      <c r="H69" s="32">
        <v>7795103.0</v>
      </c>
      <c r="I69" s="32">
        <v>0.0</v>
      </c>
      <c r="J69" s="32">
        <v>9.435876559E9</v>
      </c>
      <c r="K69" s="32">
        <v>1.58724317E9</v>
      </c>
      <c r="L69" s="32">
        <v>23308.0</v>
      </c>
      <c r="M69" s="31" t="s">
        <v>34</v>
      </c>
      <c r="N69" s="31">
        <v>25.0</v>
      </c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1.71806191E8</v>
      </c>
      <c r="B70" s="31" t="s">
        <v>443</v>
      </c>
      <c r="C70" s="32">
        <v>6.6738134E7</v>
      </c>
      <c r="D70" s="32">
        <v>2.01096519E8</v>
      </c>
      <c r="E70" s="32">
        <v>2535139.0</v>
      </c>
      <c r="F70" s="32">
        <v>1244899.0</v>
      </c>
      <c r="G70" s="32">
        <v>6778926.0</v>
      </c>
      <c r="H70" s="32">
        <v>6596215.0</v>
      </c>
      <c r="I70" s="32">
        <v>0.0</v>
      </c>
      <c r="J70" s="32">
        <v>9.349142138E9</v>
      </c>
      <c r="K70" s="32">
        <v>1.15560939E8</v>
      </c>
      <c r="L70" s="32">
        <v>18087.0</v>
      </c>
      <c r="M70" s="31" t="s">
        <v>34</v>
      </c>
      <c r="N70" s="31">
        <v>25.0</v>
      </c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1.68839111E8</v>
      </c>
      <c r="B71" s="31" t="s">
        <v>101</v>
      </c>
      <c r="C71" s="32">
        <v>6.6072448E7</v>
      </c>
      <c r="D71" s="32">
        <v>3.59777974E8</v>
      </c>
      <c r="E71" s="32">
        <v>4543240.0</v>
      </c>
      <c r="F71" s="32">
        <v>2.0221743E7</v>
      </c>
      <c r="G71" s="32">
        <v>2.2459181E7</v>
      </c>
      <c r="H71" s="32">
        <v>6314347.0</v>
      </c>
      <c r="I71" s="32">
        <v>0.0</v>
      </c>
      <c r="J71" s="32">
        <v>1.3886380151E10</v>
      </c>
      <c r="K71" s="32">
        <v>3.011985477E9</v>
      </c>
      <c r="L71" s="32">
        <v>36432.0</v>
      </c>
      <c r="M71" s="31" t="s">
        <v>34</v>
      </c>
      <c r="N71" s="31">
        <v>25.0</v>
      </c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1.70728362E8</v>
      </c>
      <c r="B72" s="31" t="s">
        <v>104</v>
      </c>
      <c r="C72" s="32">
        <v>6.5939815E7</v>
      </c>
      <c r="D72" s="32">
        <v>4.12218441E8</v>
      </c>
      <c r="E72" s="32">
        <v>8739036.0</v>
      </c>
      <c r="F72" s="32">
        <v>1.0480698E7</v>
      </c>
      <c r="G72" s="32">
        <v>1.4680533E7</v>
      </c>
      <c r="H72" s="32">
        <v>1.2552791E7</v>
      </c>
      <c r="I72" s="32">
        <v>0.0</v>
      </c>
      <c r="J72" s="32">
        <v>6.416154181E9</v>
      </c>
      <c r="K72" s="32">
        <v>5.699580133E9</v>
      </c>
      <c r="L72" s="32">
        <v>58921.0</v>
      </c>
      <c r="M72" s="31" t="s">
        <v>34</v>
      </c>
      <c r="N72" s="31">
        <v>25.0</v>
      </c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1.7160984E8</v>
      </c>
      <c r="B73" s="31" t="s">
        <v>103</v>
      </c>
      <c r="C73" s="32">
        <v>6.5782765E7</v>
      </c>
      <c r="D73" s="32">
        <v>4.66804153E8</v>
      </c>
      <c r="E73" s="32">
        <v>4819502.0</v>
      </c>
      <c r="F73" s="32">
        <v>4497129.0</v>
      </c>
      <c r="G73" s="32">
        <v>1.2880378E7</v>
      </c>
      <c r="H73" s="32">
        <v>1.6574298E7</v>
      </c>
      <c r="I73" s="32">
        <v>0.0</v>
      </c>
      <c r="J73" s="32">
        <v>7.371910772E9</v>
      </c>
      <c r="K73" s="32">
        <v>2.27640069E8</v>
      </c>
      <c r="L73" s="32">
        <v>43345.0</v>
      </c>
      <c r="M73" s="31" t="s">
        <v>34</v>
      </c>
      <c r="N73" s="31">
        <v>25.0</v>
      </c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1.71982346E8</v>
      </c>
      <c r="B74" s="31" t="s">
        <v>409</v>
      </c>
      <c r="C74" s="32">
        <v>6.5463989E7</v>
      </c>
      <c r="D74" s="32">
        <v>9.4657889E7</v>
      </c>
      <c r="E74" s="32">
        <v>3207492.0</v>
      </c>
      <c r="F74" s="32">
        <v>111988.0</v>
      </c>
      <c r="G74" s="32">
        <v>3740631.0</v>
      </c>
      <c r="H74" s="32">
        <v>2831639.0</v>
      </c>
      <c r="I74" s="32">
        <v>0.0</v>
      </c>
      <c r="J74" s="32">
        <v>6.550932295E9</v>
      </c>
      <c r="K74" s="32">
        <v>4.33818604E8</v>
      </c>
      <c r="L74" s="32">
        <v>22501.0</v>
      </c>
      <c r="M74" s="31" t="s">
        <v>34</v>
      </c>
      <c r="N74" s="31">
        <v>25.0</v>
      </c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1.4406546E8</v>
      </c>
      <c r="B75" s="31" t="s">
        <v>412</v>
      </c>
      <c r="C75" s="32">
        <v>6.514929E7</v>
      </c>
      <c r="D75" s="32">
        <v>1.02470409E8</v>
      </c>
      <c r="E75" s="32">
        <v>5302568.0</v>
      </c>
      <c r="F75" s="32">
        <v>173335.0</v>
      </c>
      <c r="G75" s="32">
        <v>2164844.0</v>
      </c>
      <c r="H75" s="32">
        <v>4017973.0</v>
      </c>
      <c r="I75" s="32">
        <v>0.0</v>
      </c>
      <c r="J75" s="32">
        <v>1.1015242395E10</v>
      </c>
      <c r="K75" s="32">
        <v>4.97472383E8</v>
      </c>
      <c r="L75" s="32">
        <v>48309.0</v>
      </c>
      <c r="M75" s="31" t="s">
        <v>34</v>
      </c>
      <c r="N75" s="31">
        <v>25.0</v>
      </c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1.66807426E8</v>
      </c>
      <c r="B76" s="31" t="s">
        <v>404</v>
      </c>
      <c r="C76" s="32">
        <v>6.4867388E7</v>
      </c>
      <c r="D76" s="32">
        <v>3.33665172E8</v>
      </c>
      <c r="E76" s="32">
        <v>5890594.0</v>
      </c>
      <c r="F76" s="32">
        <v>5.4946671E7</v>
      </c>
      <c r="G76" s="32">
        <v>1.5401159E7</v>
      </c>
      <c r="H76" s="32">
        <v>8345709.0</v>
      </c>
      <c r="I76" s="32">
        <v>0.0</v>
      </c>
      <c r="J76" s="32">
        <v>4.511555634E9</v>
      </c>
      <c r="K76" s="32">
        <v>3.02842793E9</v>
      </c>
      <c r="L76" s="32">
        <v>50251.0</v>
      </c>
      <c r="M76" s="31" t="s">
        <v>34</v>
      </c>
      <c r="N76" s="31">
        <v>25.0</v>
      </c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1.71910225E8</v>
      </c>
      <c r="B77" s="31" t="s">
        <v>99</v>
      </c>
      <c r="C77" s="32">
        <v>6.4775936E7</v>
      </c>
      <c r="D77" s="32">
        <v>1.7705866E8</v>
      </c>
      <c r="E77" s="32">
        <v>5133698.0</v>
      </c>
      <c r="F77" s="32">
        <v>246404.0</v>
      </c>
      <c r="G77" s="32">
        <v>3580169.0</v>
      </c>
      <c r="H77" s="32">
        <v>7028275.0</v>
      </c>
      <c r="I77" s="32">
        <v>0.0</v>
      </c>
      <c r="J77" s="32">
        <v>1.3872932239E10</v>
      </c>
      <c r="K77" s="32">
        <v>1.447133765E9</v>
      </c>
      <c r="L77" s="32">
        <v>34431.0</v>
      </c>
      <c r="M77" s="31" t="s">
        <v>34</v>
      </c>
      <c r="N77" s="31">
        <v>25.0</v>
      </c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1.53857025E8</v>
      </c>
      <c r="B78" s="31" t="s">
        <v>106</v>
      </c>
      <c r="C78" s="32">
        <v>6.4433183E7</v>
      </c>
      <c r="D78" s="32">
        <v>6.57681542E8</v>
      </c>
      <c r="E78" s="32">
        <v>6595389.0</v>
      </c>
      <c r="F78" s="32">
        <v>2.4487691E7</v>
      </c>
      <c r="G78" s="32">
        <v>1.6055443E7</v>
      </c>
      <c r="H78" s="32">
        <v>2.4391291E7</v>
      </c>
      <c r="I78" s="32">
        <v>0.0</v>
      </c>
      <c r="J78" s="32">
        <v>1.4596354268E10</v>
      </c>
      <c r="K78" s="32">
        <v>6.904186976E9</v>
      </c>
      <c r="L78" s="32">
        <v>70142.0</v>
      </c>
      <c r="M78" s="31" t="s">
        <v>34</v>
      </c>
      <c r="N78" s="31">
        <v>25.0</v>
      </c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1.71753933E8</v>
      </c>
      <c r="B79" s="31" t="s">
        <v>108</v>
      </c>
      <c r="C79" s="32">
        <v>6.4299228E7</v>
      </c>
      <c r="D79" s="32">
        <v>8.0430586E7</v>
      </c>
      <c r="E79" s="32">
        <v>4532998.0</v>
      </c>
      <c r="F79" s="32">
        <v>254494.0</v>
      </c>
      <c r="G79" s="32">
        <v>2681186.0</v>
      </c>
      <c r="H79" s="32">
        <v>2663295.0</v>
      </c>
      <c r="I79" s="32">
        <v>0.0</v>
      </c>
      <c r="J79" s="32">
        <v>1.2029503498E10</v>
      </c>
      <c r="K79" s="32">
        <v>1.52796998E8</v>
      </c>
      <c r="L79" s="32">
        <v>51153.0</v>
      </c>
      <c r="M79" s="31" t="s">
        <v>34</v>
      </c>
      <c r="N79" s="31">
        <v>25.0</v>
      </c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1.6757738E8</v>
      </c>
      <c r="B80" s="31" t="s">
        <v>107</v>
      </c>
      <c r="C80" s="32">
        <v>6.4150762E7</v>
      </c>
      <c r="D80" s="32">
        <v>3.89650755E8</v>
      </c>
      <c r="E80" s="32">
        <v>5611995.0</v>
      </c>
      <c r="F80" s="32">
        <v>4819417.0</v>
      </c>
      <c r="G80" s="32">
        <v>1.4670939E7</v>
      </c>
      <c r="H80" s="32">
        <v>1.1693648E7</v>
      </c>
      <c r="I80" s="32">
        <v>0.0</v>
      </c>
      <c r="J80" s="32">
        <v>7.71978597E9</v>
      </c>
      <c r="K80" s="32">
        <v>9.70788659E8</v>
      </c>
      <c r="L80" s="32">
        <v>46157.0</v>
      </c>
      <c r="M80" s="31" t="s">
        <v>34</v>
      </c>
      <c r="N80" s="31">
        <v>25.0</v>
      </c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1.71209025E8</v>
      </c>
      <c r="B81" s="31" t="s">
        <v>444</v>
      </c>
      <c r="C81" s="32">
        <v>6.3433424E7</v>
      </c>
      <c r="D81" s="32">
        <v>3.65338727E8</v>
      </c>
      <c r="E81" s="32">
        <v>1.0102187E7</v>
      </c>
      <c r="F81" s="32">
        <v>3.5403615E7</v>
      </c>
      <c r="G81" s="32">
        <v>1.8174369E7</v>
      </c>
      <c r="H81" s="32">
        <v>7662943.0</v>
      </c>
      <c r="I81" s="32">
        <v>0.0</v>
      </c>
      <c r="J81" s="32">
        <v>1.368904214E10</v>
      </c>
      <c r="K81" s="32">
        <v>1.404842811E9</v>
      </c>
      <c r="L81" s="32">
        <v>37505.0</v>
      </c>
      <c r="M81" s="31" t="s">
        <v>34</v>
      </c>
      <c r="N81" s="31">
        <v>25.0</v>
      </c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1.67637163E8</v>
      </c>
      <c r="B82" s="31" t="s">
        <v>446</v>
      </c>
      <c r="C82" s="32">
        <v>6.3421427E7</v>
      </c>
      <c r="D82" s="32">
        <v>4.52376008E8</v>
      </c>
      <c r="E82" s="32">
        <v>9007139.0</v>
      </c>
      <c r="F82" s="32">
        <v>3066053.0</v>
      </c>
      <c r="G82" s="32">
        <v>2.6682282E7</v>
      </c>
      <c r="H82" s="32">
        <v>8033732.0</v>
      </c>
      <c r="I82" s="32">
        <v>0.0</v>
      </c>
      <c r="J82" s="32">
        <v>9.650185105E9</v>
      </c>
      <c r="K82" s="32">
        <v>1.7213875341E10</v>
      </c>
      <c r="L82" s="32">
        <v>93226.0</v>
      </c>
      <c r="M82" s="31" t="s">
        <v>34</v>
      </c>
      <c r="N82" s="31">
        <v>25.0</v>
      </c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1.39292614E8</v>
      </c>
      <c r="B83" s="31" t="s">
        <v>112</v>
      </c>
      <c r="C83" s="32">
        <v>6.331741E7</v>
      </c>
      <c r="D83" s="32">
        <v>6.12794461E8</v>
      </c>
      <c r="E83" s="32">
        <v>1.0290453E7</v>
      </c>
      <c r="F83" s="32">
        <v>1.8048155E7</v>
      </c>
      <c r="G83" s="32">
        <v>1.4523535E7</v>
      </c>
      <c r="H83" s="32">
        <v>2.2819774E7</v>
      </c>
      <c r="I83" s="32">
        <v>0.0</v>
      </c>
      <c r="J83" s="32">
        <v>1.1025623148E10</v>
      </c>
      <c r="K83" s="32">
        <v>4.518817481E9</v>
      </c>
      <c r="L83" s="32">
        <v>37875.0</v>
      </c>
      <c r="M83" s="31" t="s">
        <v>34</v>
      </c>
      <c r="N83" s="31">
        <v>25.0</v>
      </c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1.44684719E8</v>
      </c>
      <c r="B84" s="31" t="s">
        <v>366</v>
      </c>
      <c r="C84" s="32">
        <v>6.2610862E7</v>
      </c>
      <c r="D84" s="32">
        <v>2.37735374E8</v>
      </c>
      <c r="E84" s="32">
        <v>1.2250242E7</v>
      </c>
      <c r="F84" s="32">
        <v>1284083.0</v>
      </c>
      <c r="G84" s="32">
        <v>9267870.0</v>
      </c>
      <c r="H84" s="32">
        <v>6983156.0</v>
      </c>
      <c r="I84" s="32">
        <v>0.0</v>
      </c>
      <c r="J84" s="32">
        <v>6.571397376E9</v>
      </c>
      <c r="K84" s="32">
        <v>1.436811379E9</v>
      </c>
      <c r="L84" s="32">
        <v>38512.0</v>
      </c>
      <c r="M84" s="31" t="s">
        <v>34</v>
      </c>
      <c r="N84" s="31">
        <v>25.0</v>
      </c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1.4504414E8</v>
      </c>
      <c r="B85" s="31" t="s">
        <v>449</v>
      </c>
      <c r="C85" s="32">
        <v>6.1956249E7</v>
      </c>
      <c r="D85" s="32">
        <v>8.9281895E7</v>
      </c>
      <c r="E85" s="32">
        <v>8442987.0</v>
      </c>
      <c r="F85" s="32">
        <v>108728.0</v>
      </c>
      <c r="G85" s="32">
        <v>1801936.0</v>
      </c>
      <c r="H85" s="32">
        <v>3470825.0</v>
      </c>
      <c r="I85" s="32">
        <v>0.0</v>
      </c>
      <c r="J85" s="32">
        <v>7.352395406E9</v>
      </c>
      <c r="K85" s="32">
        <v>4.08309634E8</v>
      </c>
      <c r="L85" s="32">
        <v>12310.0</v>
      </c>
      <c r="M85" s="31" t="s">
        <v>34</v>
      </c>
      <c r="N85" s="31">
        <v>25.0</v>
      </c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1.71679053E8</v>
      </c>
      <c r="B86" s="31" t="s">
        <v>111</v>
      </c>
      <c r="C86" s="32">
        <v>6.1731087E7</v>
      </c>
      <c r="D86" s="32">
        <v>1.70482117E8</v>
      </c>
      <c r="E86" s="32">
        <v>3274718.0</v>
      </c>
      <c r="F86" s="32">
        <v>719495.0</v>
      </c>
      <c r="G86" s="32">
        <v>6050739.0</v>
      </c>
      <c r="H86" s="32">
        <v>5348891.0</v>
      </c>
      <c r="I86" s="32">
        <v>0.0</v>
      </c>
      <c r="J86" s="32">
        <v>9.965378439E9</v>
      </c>
      <c r="K86" s="32">
        <v>1.339045371E9</v>
      </c>
      <c r="L86" s="32">
        <v>25660.0</v>
      </c>
      <c r="M86" s="31" t="s">
        <v>34</v>
      </c>
      <c r="N86" s="31">
        <v>25.0</v>
      </c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1.38752108E8</v>
      </c>
      <c r="B87" s="31" t="s">
        <v>445</v>
      </c>
      <c r="C87" s="32">
        <v>6.1673789E7</v>
      </c>
      <c r="D87" s="32">
        <v>4.35412557E8</v>
      </c>
      <c r="E87" s="32">
        <v>5651167.0</v>
      </c>
      <c r="F87" s="32">
        <v>889466.0</v>
      </c>
      <c r="G87" s="32">
        <v>1.0396596E7</v>
      </c>
      <c r="H87" s="32">
        <v>1.6500168E7</v>
      </c>
      <c r="I87" s="32">
        <v>0.0</v>
      </c>
      <c r="J87" s="32">
        <v>2.4426887524E10</v>
      </c>
      <c r="K87" s="32">
        <v>6.19918153E8</v>
      </c>
      <c r="L87" s="32">
        <v>82966.0</v>
      </c>
      <c r="M87" s="31" t="s">
        <v>34</v>
      </c>
      <c r="N87" s="31">
        <v>25.0</v>
      </c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1.67614515E8</v>
      </c>
      <c r="B88" s="31" t="s">
        <v>365</v>
      </c>
      <c r="C88" s="32">
        <v>6.1132249E7</v>
      </c>
      <c r="D88" s="32">
        <v>2.15633488E8</v>
      </c>
      <c r="E88" s="32">
        <v>5989468.0</v>
      </c>
      <c r="F88" s="32">
        <v>1261703.0</v>
      </c>
      <c r="G88" s="32">
        <v>1.2665257E7</v>
      </c>
      <c r="H88" s="32">
        <v>4295629.0</v>
      </c>
      <c r="I88" s="32">
        <v>0.0</v>
      </c>
      <c r="J88" s="32">
        <v>1.3609217471E10</v>
      </c>
      <c r="K88" s="32">
        <v>7.99053053E8</v>
      </c>
      <c r="L88" s="32">
        <v>48988.0</v>
      </c>
      <c r="M88" s="31" t="s">
        <v>34</v>
      </c>
      <c r="N88" s="31">
        <v>25.0</v>
      </c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1.71358436E8</v>
      </c>
      <c r="B89" s="31" t="s">
        <v>115</v>
      </c>
      <c r="C89" s="32">
        <v>6.1065341E7</v>
      </c>
      <c r="D89" s="32">
        <v>6.64788743E8</v>
      </c>
      <c r="E89" s="32">
        <v>5833655.0</v>
      </c>
      <c r="F89" s="32">
        <v>6461365.0</v>
      </c>
      <c r="G89" s="32">
        <v>3.001493E7</v>
      </c>
      <c r="H89" s="32">
        <v>1.7313129E7</v>
      </c>
      <c r="I89" s="32">
        <v>0.0</v>
      </c>
      <c r="J89" s="32">
        <v>4.595571565E9</v>
      </c>
      <c r="K89" s="32">
        <v>2.453327612E9</v>
      </c>
      <c r="L89" s="32">
        <v>50992.0</v>
      </c>
      <c r="M89" s="31" t="s">
        <v>34</v>
      </c>
      <c r="N89" s="31">
        <v>25.0</v>
      </c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1.44010731E8</v>
      </c>
      <c r="B90" s="31" t="s">
        <v>407</v>
      </c>
      <c r="C90" s="32">
        <v>6.04846E7</v>
      </c>
      <c r="D90" s="32">
        <v>1.08379551E8</v>
      </c>
      <c r="E90" s="32">
        <v>8533368.0</v>
      </c>
      <c r="F90" s="32">
        <v>144507.0</v>
      </c>
      <c r="G90" s="32">
        <v>2481423.0</v>
      </c>
      <c r="H90" s="32">
        <v>4083583.0</v>
      </c>
      <c r="I90" s="32">
        <v>0.0</v>
      </c>
      <c r="J90" s="32">
        <v>7.49814149E9</v>
      </c>
      <c r="K90" s="32">
        <v>7.02856257E8</v>
      </c>
      <c r="L90" s="32">
        <v>28425.0</v>
      </c>
      <c r="M90" s="31" t="s">
        <v>34</v>
      </c>
      <c r="N90" s="31">
        <v>25.0</v>
      </c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1.69446444E8</v>
      </c>
      <c r="B91" s="31" t="s">
        <v>117</v>
      </c>
      <c r="C91" s="32">
        <v>5.95343E7</v>
      </c>
      <c r="D91" s="32">
        <v>7.54788758E8</v>
      </c>
      <c r="E91" s="32">
        <v>6847295.0</v>
      </c>
      <c r="F91" s="32">
        <v>3332323.0</v>
      </c>
      <c r="G91" s="32">
        <v>1.9238006E7</v>
      </c>
      <c r="H91" s="32">
        <v>2.7555019E7</v>
      </c>
      <c r="I91" s="32">
        <v>0.0</v>
      </c>
      <c r="J91" s="32">
        <v>6.223142302E9</v>
      </c>
      <c r="K91" s="32">
        <v>7.87113675E9</v>
      </c>
      <c r="L91" s="32">
        <v>68801.0</v>
      </c>
      <c r="M91" s="31" t="s">
        <v>34</v>
      </c>
      <c r="N91" s="31">
        <v>25.0</v>
      </c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1.71827401E8</v>
      </c>
      <c r="B92" s="31" t="s">
        <v>123</v>
      </c>
      <c r="C92" s="32">
        <v>5.8584334E7</v>
      </c>
      <c r="D92" s="32">
        <v>1.528169813E9</v>
      </c>
      <c r="E92" s="32">
        <v>7975447.0</v>
      </c>
      <c r="F92" s="32">
        <v>4.2447525E7</v>
      </c>
      <c r="G92" s="32">
        <v>1.10599101E8</v>
      </c>
      <c r="H92" s="32">
        <v>1.7289391E7</v>
      </c>
      <c r="I92" s="32">
        <v>0.0</v>
      </c>
      <c r="J92" s="32">
        <v>3.062126535E9</v>
      </c>
      <c r="K92" s="32">
        <v>7.802247764E9</v>
      </c>
      <c r="L92" s="32">
        <v>31859.0</v>
      </c>
      <c r="M92" s="31" t="s">
        <v>492</v>
      </c>
      <c r="N92" s="31">
        <v>25.0</v>
      </c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1.71858863E8</v>
      </c>
      <c r="B93" s="31" t="s">
        <v>120</v>
      </c>
      <c r="C93" s="32">
        <v>5.8127447E7</v>
      </c>
      <c r="D93" s="32">
        <v>4.3889116E7</v>
      </c>
      <c r="E93" s="32">
        <v>4374063.0</v>
      </c>
      <c r="F93" s="32">
        <v>51770.0</v>
      </c>
      <c r="G93" s="32">
        <v>804984.0</v>
      </c>
      <c r="H93" s="32">
        <v>1773426.0</v>
      </c>
      <c r="I93" s="32">
        <v>0.0</v>
      </c>
      <c r="J93" s="32">
        <v>6.427771559E9</v>
      </c>
      <c r="K93" s="32">
        <v>5.215262E8</v>
      </c>
      <c r="L93" s="32">
        <v>8139.0</v>
      </c>
      <c r="M93" s="31" t="s">
        <v>34</v>
      </c>
      <c r="N93" s="31">
        <v>25.0</v>
      </c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1.61646318E8</v>
      </c>
      <c r="B94" s="31" t="s">
        <v>122</v>
      </c>
      <c r="C94" s="32">
        <v>5.7494823E7</v>
      </c>
      <c r="D94" s="32">
        <v>2.1313261E8</v>
      </c>
      <c r="E94" s="32">
        <v>5159419.0</v>
      </c>
      <c r="F94" s="32">
        <v>646750.0</v>
      </c>
      <c r="G94" s="32">
        <v>8384720.0</v>
      </c>
      <c r="H94" s="32">
        <v>6388807.0</v>
      </c>
      <c r="I94" s="32">
        <v>0.0</v>
      </c>
      <c r="J94" s="32">
        <v>1.347970307E10</v>
      </c>
      <c r="K94" s="32">
        <v>2.30164973E9</v>
      </c>
      <c r="L94" s="32">
        <v>46458.0</v>
      </c>
      <c r="M94" s="31" t="s">
        <v>34</v>
      </c>
      <c r="N94" s="31">
        <v>25.0</v>
      </c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1.45008495E8</v>
      </c>
      <c r="B95" s="31" t="s">
        <v>448</v>
      </c>
      <c r="C95" s="32">
        <v>5.7304321E7</v>
      </c>
      <c r="D95" s="32">
        <v>4.07463049E8</v>
      </c>
      <c r="E95" s="32">
        <v>1.3016544E7</v>
      </c>
      <c r="F95" s="32">
        <v>4824108.0</v>
      </c>
      <c r="G95" s="32">
        <v>2.73478E7</v>
      </c>
      <c r="H95" s="32">
        <v>5891572.0</v>
      </c>
      <c r="I95" s="32">
        <v>0.0</v>
      </c>
      <c r="J95" s="32">
        <v>6.796988418E9</v>
      </c>
      <c r="K95" s="32">
        <v>1.055954784E9</v>
      </c>
      <c r="L95" s="32">
        <v>20442.0</v>
      </c>
      <c r="M95" s="31" t="s">
        <v>34</v>
      </c>
      <c r="N95" s="31">
        <v>25.0</v>
      </c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1.51360763E8</v>
      </c>
      <c r="B96" s="31" t="s">
        <v>367</v>
      </c>
      <c r="C96" s="32">
        <v>5.7175105E7</v>
      </c>
      <c r="D96" s="32">
        <v>1.05334287E8</v>
      </c>
      <c r="E96" s="32">
        <v>5049906.0</v>
      </c>
      <c r="F96" s="32">
        <v>5776546.0</v>
      </c>
      <c r="G96" s="32">
        <v>5702838.0</v>
      </c>
      <c r="H96" s="32">
        <v>2324626.0</v>
      </c>
      <c r="I96" s="32">
        <v>0.0</v>
      </c>
      <c r="J96" s="32">
        <v>2.5298209159E10</v>
      </c>
      <c r="K96" s="32">
        <v>1.0438012042E10</v>
      </c>
      <c r="L96" s="32">
        <v>19420.0</v>
      </c>
      <c r="M96" s="31" t="s">
        <v>34</v>
      </c>
      <c r="N96" s="31">
        <v>25.0</v>
      </c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1.43457511E8</v>
      </c>
      <c r="B97" s="31" t="s">
        <v>515</v>
      </c>
      <c r="C97" s="32">
        <v>5.6897309E7</v>
      </c>
      <c r="D97" s="32">
        <v>3.50690858E8</v>
      </c>
      <c r="E97" s="32">
        <v>9513016.0</v>
      </c>
      <c r="F97" s="32">
        <v>711922.0</v>
      </c>
      <c r="G97" s="32">
        <v>1.7472878E7</v>
      </c>
      <c r="H97" s="32">
        <v>8476269.0</v>
      </c>
      <c r="I97" s="32">
        <v>0.0</v>
      </c>
      <c r="J97" s="32">
        <v>1.3274500847E10</v>
      </c>
      <c r="K97" s="32">
        <v>9.811560189E9</v>
      </c>
      <c r="L97" s="32">
        <v>40695.0</v>
      </c>
      <c r="M97" s="31" t="s">
        <v>147</v>
      </c>
      <c r="N97" s="31">
        <v>25.0</v>
      </c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1.71345916E8</v>
      </c>
      <c r="B98" s="31" t="s">
        <v>447</v>
      </c>
      <c r="C98" s="32">
        <v>5.582873E7</v>
      </c>
      <c r="D98" s="32">
        <v>2.10302898E8</v>
      </c>
      <c r="E98" s="32">
        <v>4437730.0</v>
      </c>
      <c r="F98" s="32">
        <v>1.6284332E7</v>
      </c>
      <c r="G98" s="32">
        <v>1.2075295E7</v>
      </c>
      <c r="H98" s="32">
        <v>3524540.0</v>
      </c>
      <c r="I98" s="32">
        <v>0.0</v>
      </c>
      <c r="J98" s="32">
        <v>7.253296196E9</v>
      </c>
      <c r="K98" s="32">
        <v>1.778342095E9</v>
      </c>
      <c r="L98" s="32">
        <v>69733.0</v>
      </c>
      <c r="M98" s="31" t="s">
        <v>34</v>
      </c>
      <c r="N98" s="31">
        <v>25.0</v>
      </c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2.1489428E7</v>
      </c>
      <c r="B99" s="31" t="s">
        <v>125</v>
      </c>
      <c r="C99" s="32">
        <v>5.568497E7</v>
      </c>
      <c r="D99" s="32">
        <v>5.8051737E8</v>
      </c>
      <c r="E99" s="32">
        <v>1.7688104E7</v>
      </c>
      <c r="F99" s="32">
        <v>1083192.0</v>
      </c>
      <c r="G99" s="32">
        <v>1.8483076E7</v>
      </c>
      <c r="H99" s="32">
        <v>1.95188E7</v>
      </c>
      <c r="I99" s="32">
        <v>0.0</v>
      </c>
      <c r="J99" s="32">
        <v>1.6049999344E10</v>
      </c>
      <c r="K99" s="32">
        <v>9.234571546E9</v>
      </c>
      <c r="L99" s="32">
        <v>44876.0</v>
      </c>
      <c r="M99" s="31" t="s">
        <v>126</v>
      </c>
      <c r="N99" s="31">
        <v>25.0</v>
      </c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1.63138873E8</v>
      </c>
      <c r="B100" s="31" t="s">
        <v>410</v>
      </c>
      <c r="C100" s="32">
        <v>5.5174275E7</v>
      </c>
      <c r="D100" s="32">
        <v>1.12728767E8</v>
      </c>
      <c r="E100" s="32">
        <v>8459581.0</v>
      </c>
      <c r="F100" s="32">
        <v>5273325.0</v>
      </c>
      <c r="G100" s="32">
        <v>5453337.0</v>
      </c>
      <c r="H100" s="32">
        <v>2780764.0</v>
      </c>
      <c r="I100" s="32">
        <v>0.0</v>
      </c>
      <c r="J100" s="32">
        <v>4.081277579E9</v>
      </c>
      <c r="K100" s="32">
        <v>3.44242356E8</v>
      </c>
      <c r="L100" s="32">
        <v>18186.0</v>
      </c>
      <c r="M100" s="31" t="s">
        <v>34</v>
      </c>
      <c r="N100" s="31">
        <v>25.0</v>
      </c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1.69363448E8</v>
      </c>
      <c r="B101" s="31" t="s">
        <v>133</v>
      </c>
      <c r="C101" s="32">
        <v>5.5026773E7</v>
      </c>
      <c r="D101" s="32">
        <v>3.20504329E8</v>
      </c>
      <c r="E101" s="32">
        <v>4560698.0</v>
      </c>
      <c r="F101" s="32">
        <v>1816609.0</v>
      </c>
      <c r="G101" s="32">
        <v>1.6883601E7</v>
      </c>
      <c r="H101" s="32">
        <v>7136434.0</v>
      </c>
      <c r="I101" s="32">
        <v>0.0</v>
      </c>
      <c r="J101" s="32">
        <v>7.976794963E9</v>
      </c>
      <c r="K101" s="32">
        <v>6.667116137E9</v>
      </c>
      <c r="L101" s="32">
        <v>40797.0</v>
      </c>
      <c r="M101" s="31" t="s">
        <v>34</v>
      </c>
      <c r="N101" s="31">
        <v>25.0</v>
      </c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1.58817223E8</v>
      </c>
      <c r="B102" s="31" t="s">
        <v>131</v>
      </c>
      <c r="C102" s="32">
        <v>5.4226927E7</v>
      </c>
      <c r="D102" s="32">
        <v>2.20098928E8</v>
      </c>
      <c r="E102" s="32">
        <v>7114771.0</v>
      </c>
      <c r="F102" s="32">
        <v>5303944.0</v>
      </c>
      <c r="G102" s="32">
        <v>8890056.0</v>
      </c>
      <c r="H102" s="32">
        <v>5978118.0</v>
      </c>
      <c r="I102" s="32">
        <v>0.0</v>
      </c>
      <c r="J102" s="32">
        <v>6.466847266E9</v>
      </c>
      <c r="K102" s="32">
        <v>4.550025581E9</v>
      </c>
      <c r="L102" s="32">
        <v>36624.0</v>
      </c>
      <c r="M102" s="31" t="s">
        <v>34</v>
      </c>
      <c r="N102" s="31">
        <v>25.0</v>
      </c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1.27560055E8</v>
      </c>
      <c r="B103" s="31" t="s">
        <v>118</v>
      </c>
      <c r="C103" s="32">
        <v>5.4117802E7</v>
      </c>
      <c r="D103" s="32">
        <v>5.37189192E8</v>
      </c>
      <c r="E103" s="32">
        <v>1.6415019E7</v>
      </c>
      <c r="F103" s="32">
        <v>6.0649963E7</v>
      </c>
      <c r="G103" s="32">
        <v>3.5272658E7</v>
      </c>
      <c r="H103" s="32">
        <v>6965049.0</v>
      </c>
      <c r="I103" s="32">
        <v>0.0</v>
      </c>
      <c r="J103" s="32">
        <v>8.843690143E9</v>
      </c>
      <c r="K103" s="32">
        <v>1.426775546E9</v>
      </c>
      <c r="L103" s="32">
        <v>53172.0</v>
      </c>
      <c r="M103" s="31" t="s">
        <v>66</v>
      </c>
      <c r="N103" s="31">
        <v>25.0</v>
      </c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1.69672885E8</v>
      </c>
      <c r="B104" s="31" t="s">
        <v>129</v>
      </c>
      <c r="C104" s="32">
        <v>5.4049602E7</v>
      </c>
      <c r="D104" s="32">
        <v>3.35801178E8</v>
      </c>
      <c r="E104" s="32">
        <v>7195395.0</v>
      </c>
      <c r="F104" s="32">
        <v>8777321.0</v>
      </c>
      <c r="G104" s="32">
        <v>1.7563248E7</v>
      </c>
      <c r="H104" s="32">
        <v>7301996.0</v>
      </c>
      <c r="I104" s="32">
        <v>0.0</v>
      </c>
      <c r="J104" s="32">
        <v>6.770141761E9</v>
      </c>
      <c r="K104" s="32">
        <v>3.646814417E9</v>
      </c>
      <c r="L104" s="32">
        <v>32201.0</v>
      </c>
      <c r="M104" s="31" t="s">
        <v>34</v>
      </c>
      <c r="N104" s="31">
        <v>25.0</v>
      </c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1.45033056E8</v>
      </c>
      <c r="B105" s="31" t="s">
        <v>450</v>
      </c>
      <c r="C105" s="32">
        <v>5.3905885E7</v>
      </c>
      <c r="D105" s="32">
        <v>4.30246223E8</v>
      </c>
      <c r="E105" s="32">
        <v>1.1934623E7</v>
      </c>
      <c r="F105" s="32">
        <v>2030428.0</v>
      </c>
      <c r="G105" s="32">
        <v>1.6034129E7</v>
      </c>
      <c r="H105" s="32">
        <v>1.3272984E7</v>
      </c>
      <c r="I105" s="32">
        <v>0.0</v>
      </c>
      <c r="J105" s="32">
        <v>1.3900964077E10</v>
      </c>
      <c r="K105" s="32">
        <v>7.29379775E8</v>
      </c>
      <c r="L105" s="32">
        <v>31877.0</v>
      </c>
      <c r="M105" s="31" t="s">
        <v>34</v>
      </c>
      <c r="N105" s="31">
        <v>25.0</v>
      </c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1.56007436E8</v>
      </c>
      <c r="B106" s="31" t="s">
        <v>413</v>
      </c>
      <c r="C106" s="32">
        <v>5.3384564E7</v>
      </c>
      <c r="D106" s="32">
        <v>1.49343241E8</v>
      </c>
      <c r="E106" s="32">
        <v>9047473.0</v>
      </c>
      <c r="F106" s="32">
        <v>432166.0</v>
      </c>
      <c r="G106" s="32">
        <v>4936588.0</v>
      </c>
      <c r="H106" s="32">
        <v>4924349.0</v>
      </c>
      <c r="I106" s="32">
        <v>0.0</v>
      </c>
      <c r="J106" s="32">
        <v>1.0997911436E10</v>
      </c>
      <c r="K106" s="32">
        <v>1.357531292E9</v>
      </c>
      <c r="L106" s="32">
        <v>13001.0</v>
      </c>
      <c r="M106" s="31" t="s">
        <v>34</v>
      </c>
      <c r="N106" s="31">
        <v>25.0</v>
      </c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1.55415774E8</v>
      </c>
      <c r="B107" s="31" t="s">
        <v>493</v>
      </c>
      <c r="C107" s="32">
        <v>5.2506757E7</v>
      </c>
      <c r="D107" s="32">
        <v>4.45068489E8</v>
      </c>
      <c r="E107" s="32">
        <v>7860795.0</v>
      </c>
      <c r="F107" s="32">
        <v>1.9782177E7</v>
      </c>
      <c r="G107" s="32">
        <v>1.9049017E7</v>
      </c>
      <c r="H107" s="32">
        <v>1.2132102E7</v>
      </c>
      <c r="I107" s="32">
        <v>0.0</v>
      </c>
      <c r="J107" s="32">
        <v>1.047417777E9</v>
      </c>
      <c r="K107" s="32">
        <v>4.743923039E9</v>
      </c>
      <c r="L107" s="32">
        <v>26793.0</v>
      </c>
      <c r="M107" s="31" t="s">
        <v>66</v>
      </c>
      <c r="N107" s="31">
        <v>25.0</v>
      </c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1.4461836E8</v>
      </c>
      <c r="B108" s="31" t="s">
        <v>116</v>
      </c>
      <c r="C108" s="32">
        <v>5.1188122E7</v>
      </c>
      <c r="D108" s="32">
        <v>2.57544033E8</v>
      </c>
      <c r="E108" s="32">
        <v>2915124.0</v>
      </c>
      <c r="F108" s="32">
        <v>1708458.0</v>
      </c>
      <c r="G108" s="32">
        <v>9355372.0</v>
      </c>
      <c r="H108" s="32">
        <v>8006629.0</v>
      </c>
      <c r="I108" s="32">
        <v>0.0</v>
      </c>
      <c r="J108" s="32">
        <v>8.973931665E9</v>
      </c>
      <c r="K108" s="32">
        <v>5.66487787E8</v>
      </c>
      <c r="L108" s="32">
        <v>41791.0</v>
      </c>
      <c r="M108" s="31" t="s">
        <v>34</v>
      </c>
      <c r="N108" s="31">
        <v>25.0</v>
      </c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1.36662717E8</v>
      </c>
      <c r="B109" s="31" t="s">
        <v>368</v>
      </c>
      <c r="C109" s="32">
        <v>5.0895207E7</v>
      </c>
      <c r="D109" s="32">
        <v>6.42591057E8</v>
      </c>
      <c r="E109" s="32">
        <v>5983193.0</v>
      </c>
      <c r="F109" s="32">
        <v>9070828.0</v>
      </c>
      <c r="G109" s="32">
        <v>2.1875352E7</v>
      </c>
      <c r="H109" s="32">
        <v>2.0746119E7</v>
      </c>
      <c r="I109" s="32">
        <v>0.0</v>
      </c>
      <c r="J109" s="32">
        <v>8.674736417E9</v>
      </c>
      <c r="K109" s="32">
        <v>6.253611637E9</v>
      </c>
      <c r="L109" s="32">
        <v>53465.0</v>
      </c>
      <c r="M109" s="31" t="s">
        <v>119</v>
      </c>
      <c r="N109" s="31">
        <v>25.0</v>
      </c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4.9509851E7</v>
      </c>
      <c r="B110" s="31" t="s">
        <v>494</v>
      </c>
      <c r="C110" s="32">
        <v>5.0499903E7</v>
      </c>
      <c r="D110" s="32">
        <v>4.07994458E8</v>
      </c>
      <c r="E110" s="32">
        <v>4365803.0</v>
      </c>
      <c r="F110" s="32">
        <v>1.0875682E7</v>
      </c>
      <c r="G110" s="32">
        <v>2.1346983E7</v>
      </c>
      <c r="H110" s="32">
        <v>8917738.0</v>
      </c>
      <c r="I110" s="32">
        <v>0.0</v>
      </c>
      <c r="J110" s="32">
        <v>6.603443577E9</v>
      </c>
      <c r="K110" s="32">
        <v>1.416612953E10</v>
      </c>
      <c r="L110" s="32">
        <v>30771.0</v>
      </c>
      <c r="M110" s="31" t="s">
        <v>492</v>
      </c>
      <c r="N110" s="31">
        <v>25.0</v>
      </c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1.0047682E8</v>
      </c>
      <c r="B111" s="31" t="s">
        <v>370</v>
      </c>
      <c r="C111" s="32">
        <v>5.0298006E7</v>
      </c>
      <c r="D111" s="32">
        <v>9.840376E7</v>
      </c>
      <c r="E111" s="32">
        <v>9618029.0</v>
      </c>
      <c r="F111" s="32">
        <v>103212.0</v>
      </c>
      <c r="G111" s="32">
        <v>3542905.0</v>
      </c>
      <c r="H111" s="32">
        <v>3138250.0</v>
      </c>
      <c r="I111" s="32">
        <v>0.0</v>
      </c>
      <c r="J111" s="32">
        <v>3.5214989003E10</v>
      </c>
      <c r="K111" s="32">
        <v>4.2912250878E10</v>
      </c>
      <c r="L111" s="32">
        <v>21089.0</v>
      </c>
      <c r="M111" s="31" t="s">
        <v>147</v>
      </c>
      <c r="N111" s="31">
        <v>25.0</v>
      </c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1.68091444E8</v>
      </c>
      <c r="B112" s="31" t="s">
        <v>121</v>
      </c>
      <c r="C112" s="32">
        <v>4.9934984E7</v>
      </c>
      <c r="D112" s="32">
        <v>1.12164824E8</v>
      </c>
      <c r="E112" s="32">
        <v>7197561.0</v>
      </c>
      <c r="F112" s="32">
        <v>385833.0</v>
      </c>
      <c r="G112" s="32">
        <v>5692863.0</v>
      </c>
      <c r="H112" s="32">
        <v>2698380.0</v>
      </c>
      <c r="I112" s="32">
        <v>0.0</v>
      </c>
      <c r="J112" s="32">
        <v>6.853321131E9</v>
      </c>
      <c r="K112" s="32">
        <v>5.40264414E8</v>
      </c>
      <c r="L112" s="32">
        <v>41695.0</v>
      </c>
      <c r="M112" s="31" t="s">
        <v>34</v>
      </c>
      <c r="N112" s="31">
        <v>25.0</v>
      </c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1.59857111E8</v>
      </c>
      <c r="B113" s="31" t="s">
        <v>369</v>
      </c>
      <c r="C113" s="32">
        <v>4.9234899E7</v>
      </c>
      <c r="D113" s="32">
        <v>4.61488335E8</v>
      </c>
      <c r="E113" s="32">
        <v>3125000.0</v>
      </c>
      <c r="F113" s="32">
        <v>2.1498577E7</v>
      </c>
      <c r="G113" s="32">
        <v>3.5649558E7</v>
      </c>
      <c r="H113" s="32">
        <v>4682616.0</v>
      </c>
      <c r="I113" s="32">
        <v>0.0</v>
      </c>
      <c r="J113" s="32">
        <v>8.112507364E9</v>
      </c>
      <c r="K113" s="32">
        <v>3.350520456E9</v>
      </c>
      <c r="L113" s="32">
        <v>37280.0</v>
      </c>
      <c r="M113" s="31" t="s">
        <v>34</v>
      </c>
      <c r="N113" s="31">
        <v>25.0</v>
      </c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1.66234202E8</v>
      </c>
      <c r="B114" s="31" t="s">
        <v>135</v>
      </c>
      <c r="C114" s="32">
        <v>4.9063679E7</v>
      </c>
      <c r="D114" s="32">
        <v>2.81505217E8</v>
      </c>
      <c r="E114" s="32">
        <v>4381426.0</v>
      </c>
      <c r="F114" s="32">
        <v>1968646.0</v>
      </c>
      <c r="G114" s="32">
        <v>1.370718E7</v>
      </c>
      <c r="H114" s="32">
        <v>5993859.0</v>
      </c>
      <c r="I114" s="32">
        <v>0.0</v>
      </c>
      <c r="J114" s="32">
        <v>1.1206652448E10</v>
      </c>
      <c r="K114" s="32">
        <v>1.48881707E9</v>
      </c>
      <c r="L114" s="32">
        <v>33327.0</v>
      </c>
      <c r="M114" s="31" t="s">
        <v>34</v>
      </c>
      <c r="N114" s="31">
        <v>25.0</v>
      </c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1.69420296E8</v>
      </c>
      <c r="B115" s="31" t="s">
        <v>136</v>
      </c>
      <c r="C115" s="32">
        <v>4.8971006E7</v>
      </c>
      <c r="D115" s="32">
        <v>1.5617538E8</v>
      </c>
      <c r="E115" s="32">
        <v>5880966.0</v>
      </c>
      <c r="F115" s="32">
        <v>212701.0</v>
      </c>
      <c r="G115" s="32">
        <v>4420692.0</v>
      </c>
      <c r="H115" s="32">
        <v>5578564.0</v>
      </c>
      <c r="I115" s="32">
        <v>0.0</v>
      </c>
      <c r="J115" s="32">
        <v>1.328299025E10</v>
      </c>
      <c r="K115" s="32">
        <v>2.23272131E8</v>
      </c>
      <c r="L115" s="32">
        <v>32011.0</v>
      </c>
      <c r="M115" s="31" t="s">
        <v>34</v>
      </c>
      <c r="N115" s="31">
        <v>25.0</v>
      </c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1.68025153E8</v>
      </c>
      <c r="B116" s="31" t="s">
        <v>146</v>
      </c>
      <c r="C116" s="32">
        <v>4.8812928E7</v>
      </c>
      <c r="D116" s="32">
        <v>2.8188141E7</v>
      </c>
      <c r="E116" s="32">
        <v>1667579.0</v>
      </c>
      <c r="F116" s="32">
        <v>260005.0</v>
      </c>
      <c r="G116" s="32">
        <v>748668.0</v>
      </c>
      <c r="H116" s="32">
        <v>1032023.0</v>
      </c>
      <c r="I116" s="32">
        <v>0.0</v>
      </c>
      <c r="J116" s="32">
        <v>3.907117979E9</v>
      </c>
      <c r="K116" s="32">
        <v>2.779142711E9</v>
      </c>
      <c r="L116" s="32">
        <v>4554.0</v>
      </c>
      <c r="M116" s="31" t="s">
        <v>34</v>
      </c>
      <c r="N116" s="31">
        <v>25.0</v>
      </c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1.44088316E8</v>
      </c>
      <c r="B117" s="31" t="s">
        <v>152</v>
      </c>
      <c r="C117" s="32">
        <v>4.8478584E7</v>
      </c>
      <c r="D117" s="32">
        <v>4.2555014E7</v>
      </c>
      <c r="E117" s="32">
        <v>4390339.0</v>
      </c>
      <c r="F117" s="32">
        <v>456983.0</v>
      </c>
      <c r="G117" s="32">
        <v>939021.0</v>
      </c>
      <c r="H117" s="32">
        <v>1357682.0</v>
      </c>
      <c r="I117" s="32">
        <v>0.0</v>
      </c>
      <c r="J117" s="32">
        <v>1.1034277096E10</v>
      </c>
      <c r="K117" s="32">
        <v>1.45E9</v>
      </c>
      <c r="L117" s="32">
        <v>13310.0</v>
      </c>
      <c r="M117" s="31" t="s">
        <v>153</v>
      </c>
      <c r="N117" s="31">
        <v>25.0</v>
      </c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1.69953509E8</v>
      </c>
      <c r="B118" s="31" t="s">
        <v>415</v>
      </c>
      <c r="C118" s="32">
        <v>4.831986E7</v>
      </c>
      <c r="D118" s="32">
        <v>2.23099364E8</v>
      </c>
      <c r="E118" s="32">
        <v>5531831.0</v>
      </c>
      <c r="F118" s="32">
        <v>6.6242332E7</v>
      </c>
      <c r="G118" s="32">
        <v>7187505.0</v>
      </c>
      <c r="H118" s="32">
        <v>6348677.0</v>
      </c>
      <c r="I118" s="32">
        <v>0.0</v>
      </c>
      <c r="J118" s="32">
        <v>9.377510906E9</v>
      </c>
      <c r="K118" s="32">
        <v>1.994309821E9</v>
      </c>
      <c r="L118" s="32">
        <v>20595.0</v>
      </c>
      <c r="M118" s="31" t="s">
        <v>34</v>
      </c>
      <c r="N118" s="31">
        <v>25.0</v>
      </c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1.44049503E8</v>
      </c>
      <c r="B119" s="31" t="s">
        <v>495</v>
      </c>
      <c r="C119" s="32">
        <v>4.7694107E7</v>
      </c>
      <c r="D119" s="32">
        <v>1.51533045E8</v>
      </c>
      <c r="E119" s="32">
        <v>5568342.0</v>
      </c>
      <c r="F119" s="32">
        <v>1905869.0</v>
      </c>
      <c r="G119" s="32">
        <v>8778048.0</v>
      </c>
      <c r="H119" s="32">
        <v>2950554.0</v>
      </c>
      <c r="I119" s="32">
        <v>0.0</v>
      </c>
      <c r="J119" s="32">
        <v>9.157310325E9</v>
      </c>
      <c r="K119" s="32">
        <v>1.86E7</v>
      </c>
      <c r="L119" s="32">
        <v>30055.0</v>
      </c>
      <c r="M119" s="31" t="s">
        <v>66</v>
      </c>
      <c r="N119" s="31">
        <v>25.0</v>
      </c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1.70028719E8</v>
      </c>
      <c r="B120" s="31" t="s">
        <v>452</v>
      </c>
      <c r="C120" s="32">
        <v>4.7684709E7</v>
      </c>
      <c r="D120" s="32">
        <v>1.12951945E8</v>
      </c>
      <c r="E120" s="32">
        <v>2509868.0</v>
      </c>
      <c r="F120" s="32">
        <v>2239547.0</v>
      </c>
      <c r="G120" s="32">
        <v>4863608.0</v>
      </c>
      <c r="H120" s="32">
        <v>2788554.0</v>
      </c>
      <c r="I120" s="32">
        <v>0.0</v>
      </c>
      <c r="J120" s="32">
        <v>5.736656068E9</v>
      </c>
      <c r="K120" s="32">
        <v>3.939143277E9</v>
      </c>
      <c r="L120" s="32">
        <v>40534.0</v>
      </c>
      <c r="M120" s="31" t="s">
        <v>34</v>
      </c>
      <c r="N120" s="31">
        <v>25.0</v>
      </c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1.44064126E8</v>
      </c>
      <c r="B121" s="31" t="s">
        <v>416</v>
      </c>
      <c r="C121" s="32">
        <v>4.7565204E7</v>
      </c>
      <c r="D121" s="32">
        <v>3.28313084E8</v>
      </c>
      <c r="E121" s="32">
        <v>8224568.0</v>
      </c>
      <c r="F121" s="32">
        <v>5000101.0</v>
      </c>
      <c r="G121" s="32">
        <v>1.8254451E7</v>
      </c>
      <c r="H121" s="32">
        <v>5172191.0</v>
      </c>
      <c r="I121" s="32">
        <v>0.0</v>
      </c>
      <c r="J121" s="32">
        <v>9.116404599E9</v>
      </c>
      <c r="K121" s="32">
        <v>4.867183E7</v>
      </c>
      <c r="L121" s="32">
        <v>13851.0</v>
      </c>
      <c r="M121" s="31" t="s">
        <v>66</v>
      </c>
      <c r="N121" s="31">
        <v>25.0</v>
      </c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1.6901814E8</v>
      </c>
      <c r="B122" s="31" t="s">
        <v>137</v>
      </c>
      <c r="C122" s="32">
        <v>4.7494406E7</v>
      </c>
      <c r="D122" s="32">
        <v>1.34982363E8</v>
      </c>
      <c r="E122" s="32">
        <v>3731779.0</v>
      </c>
      <c r="F122" s="32">
        <v>420836.0</v>
      </c>
      <c r="G122" s="32">
        <v>5331491.0</v>
      </c>
      <c r="H122" s="32">
        <v>4037935.0</v>
      </c>
      <c r="I122" s="32">
        <v>0.0</v>
      </c>
      <c r="J122" s="32">
        <v>1.1922661134E10</v>
      </c>
      <c r="K122" s="32">
        <v>3.087268407E9</v>
      </c>
      <c r="L122" s="32">
        <v>32192.0</v>
      </c>
      <c r="M122" s="31" t="s">
        <v>34</v>
      </c>
      <c r="N122" s="31">
        <v>25.0</v>
      </c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1.76044158E8</v>
      </c>
      <c r="B123" s="31" t="s">
        <v>139</v>
      </c>
      <c r="C123" s="32">
        <v>4.7424798E7</v>
      </c>
      <c r="D123" s="32">
        <v>7.1273563E7</v>
      </c>
      <c r="E123" s="32">
        <v>3361151.0</v>
      </c>
      <c r="F123" s="32">
        <v>315686.0</v>
      </c>
      <c r="G123" s="32">
        <v>2198964.0</v>
      </c>
      <c r="H123" s="32">
        <v>2445105.0</v>
      </c>
      <c r="I123" s="32">
        <v>0.0</v>
      </c>
      <c r="J123" s="32">
        <v>1.6856575929E10</v>
      </c>
      <c r="K123" s="32">
        <v>4.244536539E9</v>
      </c>
      <c r="L123" s="32">
        <v>15077.0</v>
      </c>
      <c r="M123" s="31" t="s">
        <v>34</v>
      </c>
      <c r="N123" s="31">
        <v>25.0</v>
      </c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1.72015122E8</v>
      </c>
      <c r="B124" s="31" t="s">
        <v>419</v>
      </c>
      <c r="C124" s="32">
        <v>4.7062178E7</v>
      </c>
      <c r="D124" s="32">
        <v>6.9641716E7</v>
      </c>
      <c r="E124" s="32">
        <v>6395944.0</v>
      </c>
      <c r="F124" s="32">
        <v>1149740.0</v>
      </c>
      <c r="G124" s="32">
        <v>4123036.0</v>
      </c>
      <c r="H124" s="32">
        <v>1280819.0</v>
      </c>
      <c r="I124" s="32">
        <v>0.0</v>
      </c>
      <c r="J124" s="32">
        <v>6.320081165E9</v>
      </c>
      <c r="K124" s="32">
        <v>2.255803635E9</v>
      </c>
      <c r="L124" s="32">
        <v>14158.0</v>
      </c>
      <c r="M124" s="31" t="s">
        <v>524</v>
      </c>
      <c r="N124" s="31">
        <v>25.0</v>
      </c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1.77187021E8</v>
      </c>
      <c r="B125" s="31" t="s">
        <v>418</v>
      </c>
      <c r="C125" s="32">
        <v>4.6801093E7</v>
      </c>
      <c r="D125" s="32">
        <v>9.5562426E7</v>
      </c>
      <c r="E125" s="32">
        <v>6585804.0</v>
      </c>
      <c r="F125" s="32">
        <v>465611.0</v>
      </c>
      <c r="G125" s="32">
        <v>2654389.0</v>
      </c>
      <c r="H125" s="32">
        <v>3429914.0</v>
      </c>
      <c r="I125" s="32">
        <v>0.0</v>
      </c>
      <c r="J125" s="32">
        <v>8.779075567E9</v>
      </c>
      <c r="K125" s="32">
        <v>7.08430819E8</v>
      </c>
      <c r="L125" s="32">
        <v>24541.0</v>
      </c>
      <c r="M125" s="31" t="s">
        <v>34</v>
      </c>
      <c r="N125" s="31">
        <v>25.0</v>
      </c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1.44114697E8</v>
      </c>
      <c r="B126" s="31" t="s">
        <v>417</v>
      </c>
      <c r="C126" s="32">
        <v>4.6706706E7</v>
      </c>
      <c r="D126" s="32">
        <v>2.01875553E8</v>
      </c>
      <c r="E126" s="32">
        <v>4023063.0</v>
      </c>
      <c r="F126" s="32">
        <v>682449.0</v>
      </c>
      <c r="G126" s="32">
        <v>7945813.0</v>
      </c>
      <c r="H126" s="32">
        <v>5801472.0</v>
      </c>
      <c r="I126" s="32">
        <v>0.0</v>
      </c>
      <c r="J126" s="32">
        <v>9.955523777E9</v>
      </c>
      <c r="K126" s="32">
        <v>4.278847644E9</v>
      </c>
      <c r="L126" s="32">
        <v>35353.0</v>
      </c>
      <c r="M126" s="31" t="s">
        <v>66</v>
      </c>
      <c r="N126" s="31">
        <v>25.0</v>
      </c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1.45023737E8</v>
      </c>
      <c r="B127" s="31" t="s">
        <v>161</v>
      </c>
      <c r="C127" s="32">
        <v>4.6565281E7</v>
      </c>
      <c r="D127" s="32">
        <v>1.51987441E8</v>
      </c>
      <c r="E127" s="32">
        <v>2299396.0</v>
      </c>
      <c r="F127" s="32">
        <v>1349296.0</v>
      </c>
      <c r="G127" s="32">
        <v>1.0377546E7</v>
      </c>
      <c r="H127" s="32">
        <v>2074755.0</v>
      </c>
      <c r="I127" s="32">
        <v>0.0</v>
      </c>
      <c r="J127" s="32">
        <v>7.017428834E9</v>
      </c>
      <c r="K127" s="32">
        <v>6.96238399E8</v>
      </c>
      <c r="L127" s="32">
        <v>24559.0</v>
      </c>
      <c r="M127" s="31" t="s">
        <v>34</v>
      </c>
      <c r="N127" s="31">
        <v>25.0</v>
      </c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1.72008118E8</v>
      </c>
      <c r="B128" s="31" t="s">
        <v>453</v>
      </c>
      <c r="C128" s="32">
        <v>4.6338619E7</v>
      </c>
      <c r="D128" s="32">
        <v>3.7403711E7</v>
      </c>
      <c r="E128" s="32">
        <v>4591447.0</v>
      </c>
      <c r="F128" s="32">
        <v>57057.0</v>
      </c>
      <c r="G128" s="32">
        <v>1153831.0</v>
      </c>
      <c r="H128" s="32">
        <v>1274367.0</v>
      </c>
      <c r="I128" s="32">
        <v>0.0</v>
      </c>
      <c r="J128" s="32">
        <v>8.12070903E9</v>
      </c>
      <c r="K128" s="32">
        <v>1.80113412E8</v>
      </c>
      <c r="L128" s="32">
        <v>7871.0</v>
      </c>
      <c r="M128" s="31" t="s">
        <v>34</v>
      </c>
      <c r="N128" s="31">
        <v>25.0</v>
      </c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1.71697263E8</v>
      </c>
      <c r="B129" s="31" t="s">
        <v>109</v>
      </c>
      <c r="C129" s="32">
        <v>4.5610451E7</v>
      </c>
      <c r="D129" s="32">
        <v>3.54685334E8</v>
      </c>
      <c r="E129" s="32">
        <v>8179333.0</v>
      </c>
      <c r="F129" s="32">
        <v>1.7135672E7</v>
      </c>
      <c r="G129" s="32">
        <v>1.6481145E7</v>
      </c>
      <c r="H129" s="32">
        <v>9256198.0</v>
      </c>
      <c r="I129" s="32">
        <v>0.0</v>
      </c>
      <c r="J129" s="32">
        <v>5.281878571E9</v>
      </c>
      <c r="K129" s="32">
        <v>6.76969728E8</v>
      </c>
      <c r="L129" s="32">
        <v>42267.0</v>
      </c>
      <c r="M129" s="31" t="s">
        <v>34</v>
      </c>
      <c r="N129" s="31">
        <v>25.0</v>
      </c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1.71945722E8</v>
      </c>
      <c r="B130" s="31" t="s">
        <v>371</v>
      </c>
      <c r="C130" s="32">
        <v>4.4011092E7</v>
      </c>
      <c r="D130" s="32">
        <v>6.0955703E7</v>
      </c>
      <c r="E130" s="32">
        <v>4437053.0</v>
      </c>
      <c r="F130" s="32">
        <v>107839.0</v>
      </c>
      <c r="G130" s="32">
        <v>3030969.0</v>
      </c>
      <c r="H130" s="32">
        <v>1522461.0</v>
      </c>
      <c r="I130" s="32">
        <v>0.0</v>
      </c>
      <c r="J130" s="32">
        <v>1.086180059E10</v>
      </c>
      <c r="K130" s="32">
        <v>2.86825022E9</v>
      </c>
      <c r="L130" s="32">
        <v>15464.0</v>
      </c>
      <c r="M130" s="31" t="s">
        <v>34</v>
      </c>
      <c r="N130" s="31">
        <v>25.0</v>
      </c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1.4361245E8</v>
      </c>
      <c r="B131" s="31" t="s">
        <v>144</v>
      </c>
      <c r="C131" s="32">
        <v>4.3692612E7</v>
      </c>
      <c r="D131" s="32">
        <v>4.85592936E8</v>
      </c>
      <c r="E131" s="32">
        <v>4373200.0</v>
      </c>
      <c r="F131" s="32">
        <v>4579744.0</v>
      </c>
      <c r="G131" s="32">
        <v>2.8397404E7</v>
      </c>
      <c r="H131" s="32">
        <v>9482628.0</v>
      </c>
      <c r="I131" s="32">
        <v>0.0</v>
      </c>
      <c r="J131" s="32">
        <v>9.898315246E9</v>
      </c>
      <c r="K131" s="32">
        <v>7.147666033E9</v>
      </c>
      <c r="L131" s="32">
        <v>32105.0</v>
      </c>
      <c r="M131" s="31" t="s">
        <v>34</v>
      </c>
      <c r="N131" s="31">
        <v>25.0</v>
      </c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1.75650426E8</v>
      </c>
      <c r="B132" s="31" t="s">
        <v>154</v>
      </c>
      <c r="C132" s="32">
        <v>4.2552752E7</v>
      </c>
      <c r="D132" s="32">
        <v>1.93760314E8</v>
      </c>
      <c r="E132" s="32">
        <v>6582237.0</v>
      </c>
      <c r="F132" s="32">
        <v>6316304.0</v>
      </c>
      <c r="G132" s="32">
        <v>8111805.0</v>
      </c>
      <c r="H132" s="32">
        <v>4833964.0</v>
      </c>
      <c r="I132" s="32">
        <v>0.0</v>
      </c>
      <c r="J132" s="32">
        <v>6.176618768E9</v>
      </c>
      <c r="K132" s="32">
        <v>3.299085086E9</v>
      </c>
      <c r="L132" s="32">
        <v>19311.0</v>
      </c>
      <c r="M132" s="31" t="s">
        <v>34</v>
      </c>
      <c r="N132" s="31">
        <v>25.0</v>
      </c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1.60258193E8</v>
      </c>
      <c r="B133" s="31" t="s">
        <v>145</v>
      </c>
      <c r="C133" s="32">
        <v>4.2483634E7</v>
      </c>
      <c r="D133" s="32">
        <v>4.3554939E7</v>
      </c>
      <c r="E133" s="32">
        <v>2440420.0</v>
      </c>
      <c r="F133" s="32">
        <v>1459647.0</v>
      </c>
      <c r="G133" s="32">
        <v>2666256.0</v>
      </c>
      <c r="H133" s="32">
        <v>710955.0</v>
      </c>
      <c r="I133" s="32">
        <v>0.0</v>
      </c>
      <c r="J133" s="32">
        <v>6.337409584E9</v>
      </c>
      <c r="K133" s="32">
        <v>1.242818482E9</v>
      </c>
      <c r="L133" s="32">
        <v>22858.0</v>
      </c>
      <c r="M133" s="31" t="s">
        <v>34</v>
      </c>
      <c r="N133" s="31">
        <v>25.0</v>
      </c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8.8110635E7</v>
      </c>
      <c r="B134" s="31" t="s">
        <v>149</v>
      </c>
      <c r="C134" s="32">
        <v>4.2393837E7</v>
      </c>
      <c r="D134" s="32">
        <v>3.6234973E7</v>
      </c>
      <c r="E134" s="32">
        <v>6531506.0</v>
      </c>
      <c r="F134" s="32">
        <v>32907.0</v>
      </c>
      <c r="G134" s="32">
        <v>941976.0</v>
      </c>
      <c r="H134" s="32">
        <v>1302977.0</v>
      </c>
      <c r="I134" s="32">
        <v>0.0</v>
      </c>
      <c r="J134" s="32">
        <v>9.056445524E9</v>
      </c>
      <c r="K134" s="32">
        <v>1.05797584E8</v>
      </c>
      <c r="L134" s="32">
        <v>13079.0</v>
      </c>
      <c r="M134" s="31" t="s">
        <v>126</v>
      </c>
      <c r="N134" s="31">
        <v>25.0</v>
      </c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1.43551941E8</v>
      </c>
      <c r="B135" s="31" t="s">
        <v>151</v>
      </c>
      <c r="C135" s="32">
        <v>4.2380578E7</v>
      </c>
      <c r="D135" s="32">
        <v>1.46157717E8</v>
      </c>
      <c r="E135" s="32">
        <v>2445001.0</v>
      </c>
      <c r="F135" s="32">
        <v>1655199.0</v>
      </c>
      <c r="G135" s="32">
        <v>9930156.0</v>
      </c>
      <c r="H135" s="32">
        <v>2043226.0</v>
      </c>
      <c r="I135" s="32">
        <v>0.0</v>
      </c>
      <c r="J135" s="32">
        <v>7.011555418E9</v>
      </c>
      <c r="K135" s="32">
        <v>3.2640001E7</v>
      </c>
      <c r="L135" s="32">
        <v>26468.0</v>
      </c>
      <c r="M135" s="31" t="s">
        <v>480</v>
      </c>
      <c r="N135" s="31">
        <v>25.0</v>
      </c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1.68206434E8</v>
      </c>
      <c r="B136" s="31" t="s">
        <v>454</v>
      </c>
      <c r="C136" s="32">
        <v>4.2051284E7</v>
      </c>
      <c r="D136" s="32">
        <v>1.06376405E8</v>
      </c>
      <c r="E136" s="32">
        <v>6942759.0</v>
      </c>
      <c r="F136" s="32">
        <v>853198.0</v>
      </c>
      <c r="G136" s="32">
        <v>4458979.0</v>
      </c>
      <c r="H136" s="32">
        <v>2831644.0</v>
      </c>
      <c r="I136" s="32">
        <v>0.0</v>
      </c>
      <c r="J136" s="32">
        <v>5.12175707E9</v>
      </c>
      <c r="K136" s="32">
        <v>2.72430913E8</v>
      </c>
      <c r="L136" s="32">
        <v>5970.0</v>
      </c>
      <c r="M136" s="31" t="s">
        <v>34</v>
      </c>
      <c r="N136" s="31">
        <v>25.0</v>
      </c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1.72029365E8</v>
      </c>
      <c r="B137" s="31" t="s">
        <v>148</v>
      </c>
      <c r="C137" s="32">
        <v>4.1497848E7</v>
      </c>
      <c r="D137" s="32">
        <v>1.22016779E8</v>
      </c>
      <c r="E137" s="32">
        <v>7851491.0</v>
      </c>
      <c r="F137" s="32">
        <v>670127.0</v>
      </c>
      <c r="G137" s="32">
        <v>3625354.0</v>
      </c>
      <c r="H137" s="32">
        <v>4204304.0</v>
      </c>
      <c r="I137" s="32">
        <v>0.0</v>
      </c>
      <c r="J137" s="32">
        <v>5.850906055E9</v>
      </c>
      <c r="K137" s="32">
        <v>1.169311746E9</v>
      </c>
      <c r="L137" s="32">
        <v>17096.0</v>
      </c>
      <c r="M137" s="31" t="s">
        <v>34</v>
      </c>
      <c r="N137" s="31">
        <v>25.0</v>
      </c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1.71922856E8</v>
      </c>
      <c r="B138" s="31" t="s">
        <v>420</v>
      </c>
      <c r="C138" s="32">
        <v>4.1486824E7</v>
      </c>
      <c r="D138" s="32">
        <v>6.8587648E7</v>
      </c>
      <c r="E138" s="32">
        <v>3429082.0</v>
      </c>
      <c r="F138" s="32">
        <v>184041.0</v>
      </c>
      <c r="G138" s="32">
        <v>2665310.0</v>
      </c>
      <c r="H138" s="32">
        <v>1778374.0</v>
      </c>
      <c r="I138" s="32">
        <v>0.0</v>
      </c>
      <c r="J138" s="32">
        <v>5.32011919E9</v>
      </c>
      <c r="K138" s="32">
        <v>5.66068641E8</v>
      </c>
      <c r="L138" s="32">
        <v>17443.0</v>
      </c>
      <c r="M138" s="31" t="s">
        <v>34</v>
      </c>
      <c r="N138" s="31">
        <v>25.0</v>
      </c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1.67863288E8</v>
      </c>
      <c r="B139" s="31" t="s">
        <v>481</v>
      </c>
      <c r="C139" s="32">
        <v>4.051509E7</v>
      </c>
      <c r="D139" s="32">
        <v>1.31331874E8</v>
      </c>
      <c r="E139" s="32">
        <v>6375488.0</v>
      </c>
      <c r="F139" s="32">
        <v>1542021.0</v>
      </c>
      <c r="G139" s="32">
        <v>6804637.0</v>
      </c>
      <c r="H139" s="32">
        <v>2893886.0</v>
      </c>
      <c r="I139" s="32">
        <v>0.0</v>
      </c>
      <c r="J139" s="32">
        <v>9.31458726E9</v>
      </c>
      <c r="K139" s="32">
        <v>2.405594729E9</v>
      </c>
      <c r="L139" s="32">
        <v>41076.0</v>
      </c>
      <c r="M139" s="31" t="s">
        <v>119</v>
      </c>
      <c r="N139" s="31">
        <v>25.0</v>
      </c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1.45948216E8</v>
      </c>
      <c r="B140" s="31" t="s">
        <v>167</v>
      </c>
      <c r="C140" s="32">
        <v>4.0400817E7</v>
      </c>
      <c r="D140" s="32">
        <v>5.9810921E7</v>
      </c>
      <c r="E140" s="32">
        <v>4207713.0</v>
      </c>
      <c r="F140" s="32">
        <v>41627.0</v>
      </c>
      <c r="G140" s="32">
        <v>1157303.0</v>
      </c>
      <c r="H140" s="32">
        <v>2399627.0</v>
      </c>
      <c r="I140" s="32">
        <v>0.0</v>
      </c>
      <c r="J140" s="32">
        <v>1.0600753498E10</v>
      </c>
      <c r="K140" s="32">
        <v>6.848628877E9</v>
      </c>
      <c r="L140" s="32">
        <v>10322.0</v>
      </c>
      <c r="M140" s="31" t="s">
        <v>147</v>
      </c>
      <c r="N140" s="31">
        <v>25.0</v>
      </c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1.71830779E8</v>
      </c>
      <c r="B141" s="31" t="s">
        <v>372</v>
      </c>
      <c r="C141" s="32">
        <v>4.0082487E7</v>
      </c>
      <c r="D141" s="32">
        <v>1.89741265E8</v>
      </c>
      <c r="E141" s="32">
        <v>6012211.0</v>
      </c>
      <c r="F141" s="32">
        <v>896608.0</v>
      </c>
      <c r="G141" s="32">
        <v>1.0646971E7</v>
      </c>
      <c r="H141" s="32">
        <v>4092152.0</v>
      </c>
      <c r="I141" s="32">
        <v>0.0</v>
      </c>
      <c r="J141" s="32">
        <v>6.461011053E9</v>
      </c>
      <c r="K141" s="32">
        <v>5.681506E8</v>
      </c>
      <c r="L141" s="32">
        <v>44551.0</v>
      </c>
      <c r="M141" s="31" t="s">
        <v>34</v>
      </c>
      <c r="N141" s="31">
        <v>25.0</v>
      </c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1.75551858E8</v>
      </c>
      <c r="B142" s="31" t="s">
        <v>496</v>
      </c>
      <c r="C142" s="32">
        <v>3.9996457E7</v>
      </c>
      <c r="D142" s="32">
        <v>5.564354E7</v>
      </c>
      <c r="E142" s="32">
        <v>6315733.0</v>
      </c>
      <c r="F142" s="32">
        <v>477113.0</v>
      </c>
      <c r="G142" s="32">
        <v>4088704.0</v>
      </c>
      <c r="H142" s="32">
        <v>684436.0</v>
      </c>
      <c r="I142" s="32">
        <v>0.0</v>
      </c>
      <c r="J142" s="32">
        <v>5.834369183E9</v>
      </c>
      <c r="K142" s="32">
        <v>4.83084529E8</v>
      </c>
      <c r="L142" s="32">
        <v>10301.0</v>
      </c>
      <c r="M142" s="31" t="s">
        <v>524</v>
      </c>
      <c r="N142" s="31">
        <v>25.0</v>
      </c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6.6847214E7</v>
      </c>
      <c r="B143" s="31" t="s">
        <v>159</v>
      </c>
      <c r="C143" s="32">
        <v>3.771759E7</v>
      </c>
      <c r="D143" s="32">
        <v>1.23880311E8</v>
      </c>
      <c r="E143" s="32">
        <v>6875099.0</v>
      </c>
      <c r="F143" s="32">
        <v>258486.0</v>
      </c>
      <c r="G143" s="32">
        <v>3989626.0</v>
      </c>
      <c r="H143" s="32">
        <v>4125666.0</v>
      </c>
      <c r="I143" s="32">
        <v>0.0</v>
      </c>
      <c r="J143" s="32">
        <v>1.2226510749E10</v>
      </c>
      <c r="K143" s="32">
        <v>1.5933720332E10</v>
      </c>
      <c r="L143" s="32">
        <v>8173.0</v>
      </c>
      <c r="M143" s="31" t="s">
        <v>34</v>
      </c>
      <c r="N143" s="31">
        <v>25.0</v>
      </c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1.44079875E8</v>
      </c>
      <c r="B144" s="31" t="s">
        <v>497</v>
      </c>
      <c r="C144" s="32">
        <v>3.7416853E7</v>
      </c>
      <c r="D144" s="32">
        <v>3.4849267E7</v>
      </c>
      <c r="E144" s="32">
        <v>1639848.0</v>
      </c>
      <c r="F144" s="32">
        <v>1726368.0</v>
      </c>
      <c r="G144" s="32">
        <v>1241495.0</v>
      </c>
      <c r="H144" s="32">
        <v>449037.0</v>
      </c>
      <c r="I144" s="32">
        <v>0.0</v>
      </c>
      <c r="J144" s="32">
        <v>6.201412364E9</v>
      </c>
      <c r="K144" s="32">
        <v>7.22210937E8</v>
      </c>
      <c r="L144" s="32">
        <v>5020.0</v>
      </c>
      <c r="M144" s="31" t="s">
        <v>66</v>
      </c>
      <c r="N144" s="31">
        <v>25.0</v>
      </c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6.5948574E7</v>
      </c>
      <c r="B145" s="31" t="s">
        <v>157</v>
      </c>
      <c r="C145" s="32">
        <v>3.7403048E7</v>
      </c>
      <c r="D145" s="32">
        <v>1.23143884E8</v>
      </c>
      <c r="E145" s="32">
        <v>9760147.0</v>
      </c>
      <c r="F145" s="32">
        <v>920251.0</v>
      </c>
      <c r="G145" s="32">
        <v>5034286.0</v>
      </c>
      <c r="H145" s="32">
        <v>3499404.0</v>
      </c>
      <c r="I145" s="32">
        <v>0.0</v>
      </c>
      <c r="J145" s="32">
        <v>2.1906832225E10</v>
      </c>
      <c r="K145" s="32">
        <v>2.3958373403E10</v>
      </c>
      <c r="L145" s="32">
        <v>21528.0</v>
      </c>
      <c r="M145" s="31" t="s">
        <v>147</v>
      </c>
      <c r="N145" s="31">
        <v>25.0</v>
      </c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1.43328412E8</v>
      </c>
      <c r="B146" s="31" t="s">
        <v>158</v>
      </c>
      <c r="C146" s="32">
        <v>3.6364022E7</v>
      </c>
      <c r="D146" s="32">
        <v>3.24920088E8</v>
      </c>
      <c r="E146" s="32">
        <v>5751734.0</v>
      </c>
      <c r="F146" s="32">
        <v>2657791.0</v>
      </c>
      <c r="G146" s="32">
        <v>2.4253096E7</v>
      </c>
      <c r="H146" s="32">
        <v>3145842.0</v>
      </c>
      <c r="I146" s="32">
        <v>0.0</v>
      </c>
      <c r="J146" s="32">
        <v>1.0062343813E10</v>
      </c>
      <c r="K146" s="32">
        <v>8.501035607E9</v>
      </c>
      <c r="L146" s="32">
        <v>29999.0</v>
      </c>
      <c r="M146" s="31" t="s">
        <v>94</v>
      </c>
      <c r="N146" s="31">
        <v>25.0</v>
      </c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1.44052871E8</v>
      </c>
      <c r="B147" s="31" t="s">
        <v>162</v>
      </c>
      <c r="C147" s="32">
        <v>3.5968741E7</v>
      </c>
      <c r="D147" s="32">
        <v>1.0830023E7</v>
      </c>
      <c r="E147" s="32">
        <v>7086114.0</v>
      </c>
      <c r="F147" s="32">
        <v>294567.0</v>
      </c>
      <c r="G147" s="32">
        <v>392460.0</v>
      </c>
      <c r="H147" s="32">
        <v>216867.0</v>
      </c>
      <c r="I147" s="32">
        <v>0.0</v>
      </c>
      <c r="J147" s="32">
        <v>5.584152217E9</v>
      </c>
      <c r="K147" s="32">
        <v>64161.0</v>
      </c>
      <c r="L147" s="32">
        <v>316.0</v>
      </c>
      <c r="M147" s="31" t="s">
        <v>456</v>
      </c>
      <c r="N147" s="31">
        <v>25.0</v>
      </c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6.4767252E7</v>
      </c>
      <c r="B148" s="31" t="s">
        <v>516</v>
      </c>
      <c r="C148" s="32">
        <v>3.3654688E7</v>
      </c>
      <c r="D148" s="32">
        <v>7.0286219E7</v>
      </c>
      <c r="E148" s="32">
        <v>1.0023578E7</v>
      </c>
      <c r="F148" s="32">
        <v>2.0765755E7</v>
      </c>
      <c r="G148" s="32">
        <v>1776659.0</v>
      </c>
      <c r="H148" s="32">
        <v>2376181.0</v>
      </c>
      <c r="I148" s="32">
        <v>0.0</v>
      </c>
      <c r="J148" s="32">
        <v>2.7566233664E10</v>
      </c>
      <c r="K148" s="32">
        <v>2.2325264292E10</v>
      </c>
      <c r="L148" s="32">
        <v>14830.0</v>
      </c>
      <c r="M148" s="31" t="s">
        <v>66</v>
      </c>
      <c r="N148" s="31">
        <v>25.0</v>
      </c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1.44059309E8</v>
      </c>
      <c r="B149" s="31" t="s">
        <v>164</v>
      </c>
      <c r="C149" s="32">
        <v>3.2983354E7</v>
      </c>
      <c r="D149" s="32">
        <v>1.7598036E7</v>
      </c>
      <c r="E149" s="32">
        <v>8743288.0</v>
      </c>
      <c r="F149" s="32">
        <v>557123.0</v>
      </c>
      <c r="G149" s="32">
        <v>628313.0</v>
      </c>
      <c r="H149" s="32">
        <v>269406.0</v>
      </c>
      <c r="I149" s="32">
        <v>0.0</v>
      </c>
      <c r="J149" s="32">
        <v>3.986080345E9</v>
      </c>
      <c r="K149" s="32">
        <v>719086.0</v>
      </c>
      <c r="L149" s="32">
        <v>2234.0</v>
      </c>
      <c r="M149" s="31" t="s">
        <v>165</v>
      </c>
      <c r="N149" s="31">
        <v>25.0</v>
      </c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1.81527216E8</v>
      </c>
      <c r="B150" s="31" t="s">
        <v>166</v>
      </c>
      <c r="C150" s="32">
        <v>3.212907E7</v>
      </c>
      <c r="D150" s="32">
        <v>8713098.0</v>
      </c>
      <c r="E150" s="32">
        <v>3721329.0</v>
      </c>
      <c r="F150" s="32">
        <v>367661.0</v>
      </c>
      <c r="G150" s="32">
        <v>395838.0</v>
      </c>
      <c r="H150" s="32">
        <v>233744.0</v>
      </c>
      <c r="I150" s="32">
        <v>0.0</v>
      </c>
      <c r="J150" s="32">
        <v>3.699917443E9</v>
      </c>
      <c r="K150" s="32">
        <v>0.0</v>
      </c>
      <c r="L150" s="32">
        <v>5238.0</v>
      </c>
      <c r="M150" s="31" t="s">
        <v>165</v>
      </c>
      <c r="N150" s="31">
        <v>25.0</v>
      </c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3">
        <v>1.73621774E8</v>
      </c>
      <c r="B151" s="33" t="s">
        <v>421</v>
      </c>
      <c r="C151" s="34">
        <v>3.2120603E7</v>
      </c>
      <c r="D151" s="34">
        <v>5371343.0</v>
      </c>
      <c r="E151" s="34">
        <v>1065662.0</v>
      </c>
      <c r="F151" s="34">
        <v>253769.0</v>
      </c>
      <c r="G151" s="34">
        <v>215029.0</v>
      </c>
      <c r="H151" s="34">
        <v>107306.0</v>
      </c>
      <c r="I151" s="34">
        <v>0.0</v>
      </c>
      <c r="J151" s="34">
        <v>1.0406797738E10</v>
      </c>
      <c r="K151" s="34">
        <v>2.797921909E9</v>
      </c>
      <c r="L151" s="34">
        <v>4939.0</v>
      </c>
      <c r="M151" s="33" t="s">
        <v>153</v>
      </c>
      <c r="N151" s="33">
        <v>24.0</v>
      </c>
      <c r="O151" s="33"/>
      <c r="P151" s="33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1.39139149E8</v>
      </c>
      <c r="B152" s="31" t="s">
        <v>172</v>
      </c>
      <c r="C152" s="32">
        <v>3.1761394E7</v>
      </c>
      <c r="D152" s="32">
        <v>3.2066717E8</v>
      </c>
      <c r="E152" s="32">
        <v>5005600.0</v>
      </c>
      <c r="F152" s="32">
        <v>1.3375761E7</v>
      </c>
      <c r="G152" s="32">
        <v>2.1995011E7</v>
      </c>
      <c r="H152" s="32">
        <v>4331928.0</v>
      </c>
      <c r="I152" s="32">
        <v>0.0</v>
      </c>
      <c r="J152" s="32">
        <v>7.579831826E9</v>
      </c>
      <c r="K152" s="32">
        <v>5.98299802E8</v>
      </c>
      <c r="L152" s="32">
        <v>23375.0</v>
      </c>
      <c r="M152" s="31" t="s">
        <v>66</v>
      </c>
      <c r="N152" s="31">
        <v>25.0</v>
      </c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1.81734011E8</v>
      </c>
      <c r="B153" s="31" t="s">
        <v>169</v>
      </c>
      <c r="C153" s="32">
        <v>3.1299848E7</v>
      </c>
      <c r="D153" s="32">
        <v>5.2815309E7</v>
      </c>
      <c r="E153" s="32">
        <v>2591884.0</v>
      </c>
      <c r="F153" s="32">
        <v>220817.0</v>
      </c>
      <c r="G153" s="32">
        <v>1765364.0</v>
      </c>
      <c r="H153" s="32">
        <v>1567208.0</v>
      </c>
      <c r="I153" s="32">
        <v>0.0</v>
      </c>
      <c r="J153" s="32">
        <v>7.859868236E9</v>
      </c>
      <c r="K153" s="32">
        <v>1.49070088E8</v>
      </c>
      <c r="L153" s="32">
        <v>11886.0</v>
      </c>
      <c r="M153" s="31" t="s">
        <v>34</v>
      </c>
      <c r="N153" s="31">
        <v>25.0</v>
      </c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1.48890128E8</v>
      </c>
      <c r="B154" s="31" t="s">
        <v>170</v>
      </c>
      <c r="C154" s="32">
        <v>3.076694E7</v>
      </c>
      <c r="D154" s="32">
        <v>2.6185762E7</v>
      </c>
      <c r="E154" s="32">
        <v>4350443.0</v>
      </c>
      <c r="F154" s="32">
        <v>269772.0</v>
      </c>
      <c r="G154" s="32">
        <v>1744020.0</v>
      </c>
      <c r="H154" s="32">
        <v>330142.0</v>
      </c>
      <c r="I154" s="32">
        <v>0.0</v>
      </c>
      <c r="J154" s="32">
        <v>8.159174934E9</v>
      </c>
      <c r="K154" s="32">
        <v>4.011433363E9</v>
      </c>
      <c r="L154" s="32">
        <v>6491.0</v>
      </c>
      <c r="M154" s="31" t="s">
        <v>126</v>
      </c>
      <c r="N154" s="31">
        <v>25.0</v>
      </c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6.1881204E7</v>
      </c>
      <c r="B155" s="31" t="s">
        <v>178</v>
      </c>
      <c r="C155" s="32">
        <v>3.0601794E7</v>
      </c>
      <c r="D155" s="32">
        <v>6.3055979E7</v>
      </c>
      <c r="E155" s="32">
        <v>1.0290878E7</v>
      </c>
      <c r="F155" s="32">
        <v>729778.0</v>
      </c>
      <c r="G155" s="32">
        <v>1791230.0</v>
      </c>
      <c r="H155" s="32">
        <v>2197294.0</v>
      </c>
      <c r="I155" s="32">
        <v>0.0</v>
      </c>
      <c r="J155" s="32">
        <v>1.6712501332E10</v>
      </c>
      <c r="K155" s="32">
        <v>1.8860385883E10</v>
      </c>
      <c r="L155" s="32">
        <v>11322.0</v>
      </c>
      <c r="M155" s="31" t="s">
        <v>147</v>
      </c>
      <c r="N155" s="31">
        <v>25.0</v>
      </c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1.72219261E8</v>
      </c>
      <c r="B156" s="31" t="s">
        <v>185</v>
      </c>
      <c r="C156" s="32">
        <v>3.0029644E7</v>
      </c>
      <c r="D156" s="32">
        <v>9107647.0</v>
      </c>
      <c r="E156" s="32">
        <v>4088173.0</v>
      </c>
      <c r="F156" s="32">
        <v>80005.0</v>
      </c>
      <c r="G156" s="32">
        <v>224964.0</v>
      </c>
      <c r="H156" s="32">
        <v>333443.0</v>
      </c>
      <c r="I156" s="32">
        <v>0.0</v>
      </c>
      <c r="J156" s="32">
        <v>4.569639871E9</v>
      </c>
      <c r="K156" s="32">
        <v>2.75E7</v>
      </c>
      <c r="L156" s="32">
        <v>3704.0</v>
      </c>
      <c r="M156" s="31" t="s">
        <v>119</v>
      </c>
      <c r="N156" s="31">
        <v>25.0</v>
      </c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1.47116341E8</v>
      </c>
      <c r="B157" s="31" t="s">
        <v>374</v>
      </c>
      <c r="C157" s="32">
        <v>2.9902057E7</v>
      </c>
      <c r="D157" s="32">
        <v>1.3529689E7</v>
      </c>
      <c r="E157" s="32">
        <v>526000.0</v>
      </c>
      <c r="F157" s="32">
        <v>308.0</v>
      </c>
      <c r="G157" s="32">
        <v>807831.0</v>
      </c>
      <c r="H157" s="32">
        <v>271954.0</v>
      </c>
      <c r="I157" s="32">
        <v>0.0</v>
      </c>
      <c r="J157" s="32">
        <v>6.22266632E9</v>
      </c>
      <c r="K157" s="32">
        <v>6.456585973E9</v>
      </c>
      <c r="L157" s="32">
        <v>2886.0</v>
      </c>
      <c r="M157" s="31" t="s">
        <v>165</v>
      </c>
      <c r="N157" s="31">
        <v>25.0</v>
      </c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1.44046322E8</v>
      </c>
      <c r="B158" s="31" t="s">
        <v>180</v>
      </c>
      <c r="C158" s="32">
        <v>2.9502383E7</v>
      </c>
      <c r="D158" s="32">
        <v>8494096.0</v>
      </c>
      <c r="E158" s="32">
        <v>3782729.0</v>
      </c>
      <c r="F158" s="32">
        <v>150382.0</v>
      </c>
      <c r="G158" s="32">
        <v>500008.0</v>
      </c>
      <c r="H158" s="32">
        <v>98276.0</v>
      </c>
      <c r="I158" s="32">
        <v>0.0</v>
      </c>
      <c r="J158" s="32">
        <v>4.032960067E9</v>
      </c>
      <c r="K158" s="32">
        <v>0.0</v>
      </c>
      <c r="L158" s="32">
        <v>1806.0</v>
      </c>
      <c r="M158" s="31" t="s">
        <v>373</v>
      </c>
      <c r="N158" s="31">
        <v>25.0</v>
      </c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3">
        <v>1.70449746E8</v>
      </c>
      <c r="B159" s="33" t="s">
        <v>184</v>
      </c>
      <c r="C159" s="34">
        <v>2.9225222E7</v>
      </c>
      <c r="D159" s="34">
        <v>5291709.0</v>
      </c>
      <c r="E159" s="34">
        <v>102004.0</v>
      </c>
      <c r="F159" s="34">
        <v>305.0</v>
      </c>
      <c r="G159" s="34">
        <v>362162.0</v>
      </c>
      <c r="H159" s="34">
        <v>82623.0</v>
      </c>
      <c r="I159" s="34">
        <v>0.0</v>
      </c>
      <c r="J159" s="34">
        <v>6.0836754E9</v>
      </c>
      <c r="K159" s="34">
        <v>4.426139492E9</v>
      </c>
      <c r="L159" s="34">
        <v>2762.0</v>
      </c>
      <c r="M159" s="33" t="s">
        <v>153</v>
      </c>
      <c r="N159" s="33">
        <v>23.0</v>
      </c>
      <c r="O159" s="33"/>
      <c r="P159" s="33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1.1279231E8</v>
      </c>
      <c r="B160" s="31" t="s">
        <v>197</v>
      </c>
      <c r="C160" s="32">
        <v>2.9167025E7</v>
      </c>
      <c r="D160" s="32">
        <v>5.1841755E7</v>
      </c>
      <c r="E160" s="32">
        <v>4158383.0</v>
      </c>
      <c r="F160" s="32">
        <v>979015.0</v>
      </c>
      <c r="G160" s="32">
        <v>1962237.0</v>
      </c>
      <c r="H160" s="32">
        <v>1451878.0</v>
      </c>
      <c r="I160" s="32">
        <v>0.0</v>
      </c>
      <c r="J160" s="32">
        <v>3.0782731456E10</v>
      </c>
      <c r="K160" s="32">
        <v>2.9335762438E10</v>
      </c>
      <c r="L160" s="32">
        <v>12264.0</v>
      </c>
      <c r="M160" s="31" t="s">
        <v>147</v>
      </c>
      <c r="N160" s="31">
        <v>25.0</v>
      </c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1.75314255E8</v>
      </c>
      <c r="B161" s="31" t="s">
        <v>179</v>
      </c>
      <c r="C161" s="32">
        <v>2.8727737E7</v>
      </c>
      <c r="D161" s="32">
        <v>2.2022689E7</v>
      </c>
      <c r="E161" s="32">
        <v>3465707.0</v>
      </c>
      <c r="F161" s="32">
        <v>281976.0</v>
      </c>
      <c r="G161" s="32">
        <v>1320076.0</v>
      </c>
      <c r="H161" s="32">
        <v>412977.0</v>
      </c>
      <c r="I161" s="32">
        <v>0.0</v>
      </c>
      <c r="J161" s="32">
        <v>4.030488395E9</v>
      </c>
      <c r="K161" s="32">
        <v>1.22435684E8</v>
      </c>
      <c r="L161" s="32">
        <v>8907.0</v>
      </c>
      <c r="M161" s="31" t="s">
        <v>94</v>
      </c>
      <c r="N161" s="31">
        <v>25.0</v>
      </c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1.44094596E8</v>
      </c>
      <c r="B162" s="31" t="s">
        <v>189</v>
      </c>
      <c r="C162" s="32">
        <v>2.8701557E7</v>
      </c>
      <c r="D162" s="32">
        <v>8.5917526E7</v>
      </c>
      <c r="E162" s="32">
        <v>3031180.0</v>
      </c>
      <c r="F162" s="32">
        <v>1.3616531E7</v>
      </c>
      <c r="G162" s="32">
        <v>5271610.0</v>
      </c>
      <c r="H162" s="32">
        <v>1435775.0</v>
      </c>
      <c r="I162" s="32">
        <v>0.0</v>
      </c>
      <c r="J162" s="32">
        <v>5.357258082E9</v>
      </c>
      <c r="K162" s="32">
        <v>1.2391473E7</v>
      </c>
      <c r="L162" s="32">
        <v>9785.0</v>
      </c>
      <c r="M162" s="31" t="s">
        <v>66</v>
      </c>
      <c r="N162" s="31">
        <v>25.0</v>
      </c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7.9647211E7</v>
      </c>
      <c r="B163" s="31" t="s">
        <v>191</v>
      </c>
      <c r="C163" s="32">
        <v>2.8474572E7</v>
      </c>
      <c r="D163" s="32">
        <v>3.0818083E7</v>
      </c>
      <c r="E163" s="32">
        <v>1578445.0</v>
      </c>
      <c r="F163" s="32">
        <v>1337.0</v>
      </c>
      <c r="G163" s="32">
        <v>914241.0</v>
      </c>
      <c r="H163" s="32">
        <v>1081874.0</v>
      </c>
      <c r="I163" s="32">
        <v>0.0</v>
      </c>
      <c r="J163" s="32">
        <v>6.25373194E9</v>
      </c>
      <c r="K163" s="32">
        <v>1.0398320798E10</v>
      </c>
      <c r="L163" s="32">
        <v>3365.0</v>
      </c>
      <c r="M163" s="31" t="s">
        <v>34</v>
      </c>
      <c r="N163" s="31">
        <v>25.0</v>
      </c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6.3513788E7</v>
      </c>
      <c r="B164" s="31" t="s">
        <v>190</v>
      </c>
      <c r="C164" s="32">
        <v>2.828147E7</v>
      </c>
      <c r="D164" s="32">
        <v>3.5067748E7</v>
      </c>
      <c r="E164" s="32">
        <v>8961628.0</v>
      </c>
      <c r="F164" s="32">
        <v>22581.0</v>
      </c>
      <c r="G164" s="32">
        <v>1179501.0</v>
      </c>
      <c r="H164" s="32">
        <v>1151796.0</v>
      </c>
      <c r="I164" s="32">
        <v>0.0</v>
      </c>
      <c r="J164" s="32">
        <v>1.692493412E10</v>
      </c>
      <c r="K164" s="32">
        <v>1.854703805E10</v>
      </c>
      <c r="L164" s="32">
        <v>8410.0</v>
      </c>
      <c r="M164" s="31" t="s">
        <v>147</v>
      </c>
      <c r="N164" s="31">
        <v>25.0</v>
      </c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1.1363981E7</v>
      </c>
      <c r="B165" s="31" t="s">
        <v>188</v>
      </c>
      <c r="C165" s="32">
        <v>2.8060803E7</v>
      </c>
      <c r="D165" s="32">
        <v>2.0359575E8</v>
      </c>
      <c r="E165" s="32">
        <v>8274658.0</v>
      </c>
      <c r="F165" s="32">
        <v>883504.0</v>
      </c>
      <c r="G165" s="32">
        <v>7698527.0</v>
      </c>
      <c r="H165" s="32">
        <v>6213364.0</v>
      </c>
      <c r="I165" s="32">
        <v>0.0</v>
      </c>
      <c r="J165" s="32">
        <v>1.0662860761E10</v>
      </c>
      <c r="K165" s="32">
        <v>1.465163898E10</v>
      </c>
      <c r="L165" s="32">
        <v>11946.0</v>
      </c>
      <c r="M165" s="31" t="s">
        <v>147</v>
      </c>
      <c r="N165" s="31">
        <v>25.0</v>
      </c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1.83952984E8</v>
      </c>
      <c r="B166" s="31" t="s">
        <v>498</v>
      </c>
      <c r="C166" s="32">
        <v>2.8002934E7</v>
      </c>
      <c r="D166" s="32">
        <v>1.1502563E7</v>
      </c>
      <c r="E166" s="32">
        <v>1045189.0</v>
      </c>
      <c r="F166" s="32">
        <v>258418.0</v>
      </c>
      <c r="G166" s="32">
        <v>844777.0</v>
      </c>
      <c r="H166" s="32">
        <v>67652.0</v>
      </c>
      <c r="I166" s="32">
        <v>0.0</v>
      </c>
      <c r="J166" s="32">
        <v>3.47429202E9</v>
      </c>
      <c r="K166" s="32">
        <v>5.4133889E8</v>
      </c>
      <c r="L166" s="32">
        <v>5495.0</v>
      </c>
      <c r="M166" s="31" t="s">
        <v>66</v>
      </c>
      <c r="N166" s="31">
        <v>25.0</v>
      </c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1.58296838E8</v>
      </c>
      <c r="B167" s="31" t="s">
        <v>458</v>
      </c>
      <c r="C167" s="32">
        <v>2.7990242E7</v>
      </c>
      <c r="D167" s="32">
        <v>4715810.0</v>
      </c>
      <c r="E167" s="32">
        <v>262324.0</v>
      </c>
      <c r="F167" s="32">
        <v>146522.0</v>
      </c>
      <c r="G167" s="32">
        <v>393091.0</v>
      </c>
      <c r="H167" s="32">
        <v>9004.0</v>
      </c>
      <c r="I167" s="32">
        <v>0.0</v>
      </c>
      <c r="J167" s="32">
        <v>4.295571207E9</v>
      </c>
      <c r="K167" s="32">
        <v>1.087153533E9</v>
      </c>
      <c r="L167" s="32">
        <v>6439.0</v>
      </c>
      <c r="M167" s="31" t="s">
        <v>94</v>
      </c>
      <c r="N167" s="31">
        <v>25.0</v>
      </c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1.38821863E8</v>
      </c>
      <c r="B168" s="31" t="s">
        <v>186</v>
      </c>
      <c r="C168" s="32">
        <v>2.7230795E7</v>
      </c>
      <c r="D168" s="32">
        <v>2.5263796E7</v>
      </c>
      <c r="E168" s="32">
        <v>1656998.0</v>
      </c>
      <c r="F168" s="32">
        <v>397842.0</v>
      </c>
      <c r="G168" s="32">
        <v>2006020.0</v>
      </c>
      <c r="H168" s="32">
        <v>109825.0</v>
      </c>
      <c r="I168" s="32">
        <v>0.0</v>
      </c>
      <c r="J168" s="32">
        <v>4.79738972E9</v>
      </c>
      <c r="K168" s="32">
        <v>6.36064786E8</v>
      </c>
      <c r="L168" s="32">
        <v>8577.0</v>
      </c>
      <c r="M168" s="31" t="s">
        <v>153</v>
      </c>
      <c r="N168" s="31">
        <v>25.0</v>
      </c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1.44104572E8</v>
      </c>
      <c r="B169" s="31" t="s">
        <v>196</v>
      </c>
      <c r="C169" s="32">
        <v>2.7227825E7</v>
      </c>
      <c r="D169" s="32">
        <v>2.568058E7</v>
      </c>
      <c r="E169" s="32">
        <v>2996569.0</v>
      </c>
      <c r="F169" s="32">
        <v>4109690.0</v>
      </c>
      <c r="G169" s="32">
        <v>1511030.0</v>
      </c>
      <c r="H169" s="32">
        <v>334000.0</v>
      </c>
      <c r="I169" s="32">
        <v>0.0</v>
      </c>
      <c r="J169" s="32">
        <v>2.914113906E9</v>
      </c>
      <c r="K169" s="32">
        <v>8.33264E7</v>
      </c>
      <c r="L169" s="32">
        <v>5948.0</v>
      </c>
      <c r="M169" s="31" t="s">
        <v>411</v>
      </c>
      <c r="N169" s="31">
        <v>25.0</v>
      </c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7.7474302E7</v>
      </c>
      <c r="B170" s="31" t="s">
        <v>195</v>
      </c>
      <c r="C170" s="32">
        <v>2.7200184E7</v>
      </c>
      <c r="D170" s="32">
        <v>3.8220683E7</v>
      </c>
      <c r="E170" s="32">
        <v>4747649.0</v>
      </c>
      <c r="F170" s="32">
        <v>164935.0</v>
      </c>
      <c r="G170" s="32">
        <v>925311.0</v>
      </c>
      <c r="H170" s="32">
        <v>1410586.0</v>
      </c>
      <c r="I170" s="32">
        <v>0.0</v>
      </c>
      <c r="J170" s="32">
        <v>1.3612765583E10</v>
      </c>
      <c r="K170" s="32">
        <v>1.5904120679E10</v>
      </c>
      <c r="L170" s="32">
        <v>9256.0</v>
      </c>
      <c r="M170" s="31" t="s">
        <v>147</v>
      </c>
      <c r="N170" s="31">
        <v>25.0</v>
      </c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1.46036286E8</v>
      </c>
      <c r="B171" s="31" t="s">
        <v>205</v>
      </c>
      <c r="C171" s="32">
        <v>2.6817013E7</v>
      </c>
      <c r="D171" s="32">
        <v>4.1952764E7</v>
      </c>
      <c r="E171" s="32">
        <v>4816318.0</v>
      </c>
      <c r="F171" s="32">
        <v>591932.0</v>
      </c>
      <c r="G171" s="32">
        <v>2761806.0</v>
      </c>
      <c r="H171" s="32">
        <v>521469.0</v>
      </c>
      <c r="I171" s="32">
        <v>0.0</v>
      </c>
      <c r="J171" s="32">
        <v>1.9807364577E10</v>
      </c>
      <c r="K171" s="32">
        <v>1.1736223974E10</v>
      </c>
      <c r="L171" s="32">
        <v>5656.0</v>
      </c>
      <c r="M171" s="31" t="s">
        <v>153</v>
      </c>
      <c r="N171" s="31">
        <v>25.0</v>
      </c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1.7395388E8</v>
      </c>
      <c r="B172" s="31" t="s">
        <v>422</v>
      </c>
      <c r="C172" s="32">
        <v>2.6790692E7</v>
      </c>
      <c r="D172" s="32">
        <v>1648460.0</v>
      </c>
      <c r="E172" s="32">
        <v>1653283.0</v>
      </c>
      <c r="F172" s="32">
        <v>0.0</v>
      </c>
      <c r="G172" s="32">
        <v>106204.0</v>
      </c>
      <c r="H172" s="32">
        <v>28128.0</v>
      </c>
      <c r="I172" s="32">
        <v>0.0</v>
      </c>
      <c r="J172" s="32">
        <v>4.771679454E9</v>
      </c>
      <c r="K172" s="32">
        <v>3.346021861E9</v>
      </c>
      <c r="L172" s="32">
        <v>2397.0</v>
      </c>
      <c r="M172" s="31" t="s">
        <v>153</v>
      </c>
      <c r="N172" s="31">
        <v>25.0</v>
      </c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1.42660926E8</v>
      </c>
      <c r="B173" s="31" t="s">
        <v>525</v>
      </c>
      <c r="C173" s="32">
        <v>2.6720295E7</v>
      </c>
      <c r="D173" s="32">
        <v>1.04754333E8</v>
      </c>
      <c r="E173" s="32">
        <v>3235775.0</v>
      </c>
      <c r="F173" s="32">
        <v>1198949.0</v>
      </c>
      <c r="G173" s="32">
        <v>6784864.0</v>
      </c>
      <c r="H173" s="32">
        <v>1603642.0</v>
      </c>
      <c r="I173" s="32">
        <v>0.0</v>
      </c>
      <c r="J173" s="32">
        <v>4.067088234E9</v>
      </c>
      <c r="K173" s="32">
        <v>9.41870595E8</v>
      </c>
      <c r="L173" s="32">
        <v>24217.0</v>
      </c>
      <c r="M173" s="31" t="s">
        <v>66</v>
      </c>
      <c r="N173" s="31">
        <v>25.0</v>
      </c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1.48121991E8</v>
      </c>
      <c r="B174" s="31" t="s">
        <v>526</v>
      </c>
      <c r="C174" s="32">
        <v>2.6432125E7</v>
      </c>
      <c r="D174" s="32">
        <v>4.1271482E7</v>
      </c>
      <c r="E174" s="32">
        <v>6096345.0</v>
      </c>
      <c r="F174" s="32">
        <v>47603.0</v>
      </c>
      <c r="G174" s="32">
        <v>2097453.0</v>
      </c>
      <c r="H174" s="32">
        <v>986866.0</v>
      </c>
      <c r="I174" s="32">
        <v>0.0</v>
      </c>
      <c r="J174" s="32">
        <v>3.225474131E9</v>
      </c>
      <c r="K174" s="32">
        <v>1.694573934E9</v>
      </c>
      <c r="L174" s="32">
        <v>9118.0</v>
      </c>
      <c r="M174" s="31" t="s">
        <v>66</v>
      </c>
      <c r="N174" s="31">
        <v>25.0</v>
      </c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1.45295709E8</v>
      </c>
      <c r="B175" s="31" t="s">
        <v>423</v>
      </c>
      <c r="C175" s="32">
        <v>2.6369646E7</v>
      </c>
      <c r="D175" s="32">
        <v>3.3008222E7</v>
      </c>
      <c r="E175" s="32">
        <v>2275922.0</v>
      </c>
      <c r="F175" s="32">
        <v>3893494.0</v>
      </c>
      <c r="G175" s="32">
        <v>1891027.0</v>
      </c>
      <c r="H175" s="32">
        <v>389473.0</v>
      </c>
      <c r="I175" s="32">
        <v>0.0</v>
      </c>
      <c r="J175" s="32">
        <v>2.75326985E9</v>
      </c>
      <c r="K175" s="32">
        <v>8.1594054E7</v>
      </c>
      <c r="L175" s="32">
        <v>7474.0</v>
      </c>
      <c r="M175" s="31" t="s">
        <v>66</v>
      </c>
      <c r="N175" s="31">
        <v>25.0</v>
      </c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1.44030384E8</v>
      </c>
      <c r="B176" s="31" t="s">
        <v>517</v>
      </c>
      <c r="C176" s="32">
        <v>2.6152524E7</v>
      </c>
      <c r="D176" s="32">
        <v>6622223.0</v>
      </c>
      <c r="E176" s="32">
        <v>3244492.0</v>
      </c>
      <c r="F176" s="32">
        <v>43779.0</v>
      </c>
      <c r="G176" s="32">
        <v>398700.0</v>
      </c>
      <c r="H176" s="32">
        <v>109150.0</v>
      </c>
      <c r="I176" s="32">
        <v>0.0</v>
      </c>
      <c r="J176" s="32">
        <v>4.090810993E9</v>
      </c>
      <c r="K176" s="32">
        <v>4.3826996E8</v>
      </c>
      <c r="L176" s="32">
        <v>13472.0</v>
      </c>
      <c r="M176" s="31" t="s">
        <v>492</v>
      </c>
      <c r="N176" s="31">
        <v>25.0</v>
      </c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1.57398284E8</v>
      </c>
      <c r="B177" s="31" t="s">
        <v>380</v>
      </c>
      <c r="C177" s="32">
        <v>2.5597469E7</v>
      </c>
      <c r="D177" s="32">
        <v>4812381.0</v>
      </c>
      <c r="E177" s="32">
        <v>1021778.0</v>
      </c>
      <c r="F177" s="32">
        <v>124957.0</v>
      </c>
      <c r="G177" s="32">
        <v>318827.0</v>
      </c>
      <c r="H177" s="32">
        <v>52796.0</v>
      </c>
      <c r="I177" s="32">
        <v>0.0</v>
      </c>
      <c r="J177" s="32">
        <v>1.3260959767E10</v>
      </c>
      <c r="K177" s="32">
        <v>6.116E9</v>
      </c>
      <c r="L177" s="32">
        <v>4257.0</v>
      </c>
      <c r="M177" s="31" t="s">
        <v>94</v>
      </c>
      <c r="N177" s="31">
        <v>25.0</v>
      </c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1.58265064E8</v>
      </c>
      <c r="B178" s="31" t="s">
        <v>200</v>
      </c>
      <c r="C178" s="32">
        <v>2.5412832E7</v>
      </c>
      <c r="D178" s="32">
        <v>1.1085196E7</v>
      </c>
      <c r="E178" s="32">
        <v>910531.0</v>
      </c>
      <c r="F178" s="32">
        <v>238681.0</v>
      </c>
      <c r="G178" s="32">
        <v>435809.0</v>
      </c>
      <c r="H178" s="32">
        <v>198473.0</v>
      </c>
      <c r="I178" s="32">
        <v>0.0</v>
      </c>
      <c r="J178" s="32">
        <v>3.74769888E9</v>
      </c>
      <c r="K178" s="32">
        <v>2.856723815E9</v>
      </c>
      <c r="L178" s="32">
        <v>8654.0</v>
      </c>
      <c r="M178" s="31" t="s">
        <v>147</v>
      </c>
      <c r="N178" s="31">
        <v>25.0</v>
      </c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6.1106312E7</v>
      </c>
      <c r="B179" s="31" t="s">
        <v>201</v>
      </c>
      <c r="C179" s="32">
        <v>2.5171495E7</v>
      </c>
      <c r="D179" s="32">
        <v>1.34119074E8</v>
      </c>
      <c r="E179" s="32">
        <v>6457701.0</v>
      </c>
      <c r="F179" s="32">
        <v>1064273.0</v>
      </c>
      <c r="G179" s="32">
        <v>8326622.0</v>
      </c>
      <c r="H179" s="32">
        <v>1608118.0</v>
      </c>
      <c r="I179" s="32">
        <v>0.0</v>
      </c>
      <c r="J179" s="32">
        <v>1.5327351855E10</v>
      </c>
      <c r="K179" s="32">
        <v>1.6233438464E10</v>
      </c>
      <c r="L179" s="32">
        <v>12383.0</v>
      </c>
      <c r="M179" s="31" t="s">
        <v>34</v>
      </c>
      <c r="N179" s="31">
        <v>25.0</v>
      </c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3">
        <v>7.1189562E7</v>
      </c>
      <c r="B180" s="33" t="s">
        <v>199</v>
      </c>
      <c r="C180" s="34">
        <v>2.512154E7</v>
      </c>
      <c r="D180" s="34">
        <v>2408509.0</v>
      </c>
      <c r="E180" s="34">
        <v>823250.0</v>
      </c>
      <c r="F180" s="34">
        <v>18168.0</v>
      </c>
      <c r="G180" s="34">
        <v>172952.0</v>
      </c>
      <c r="H180" s="34">
        <v>26188.0</v>
      </c>
      <c r="I180" s="34">
        <v>0.0</v>
      </c>
      <c r="J180" s="34">
        <v>1.2454677448E10</v>
      </c>
      <c r="K180" s="34">
        <v>1.3148346788E10</v>
      </c>
      <c r="L180" s="34">
        <v>3026.0</v>
      </c>
      <c r="M180" s="33" t="s">
        <v>153</v>
      </c>
      <c r="N180" s="33">
        <v>24.0</v>
      </c>
      <c r="O180" s="33"/>
      <c r="P180" s="33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1.66394798E8</v>
      </c>
      <c r="B181" s="31" t="s">
        <v>202</v>
      </c>
      <c r="C181" s="32">
        <v>2.499101E7</v>
      </c>
      <c r="D181" s="32">
        <v>4.8334581E7</v>
      </c>
      <c r="E181" s="32">
        <v>2377006.0</v>
      </c>
      <c r="F181" s="32">
        <v>567889.0</v>
      </c>
      <c r="G181" s="32">
        <v>3113738.0</v>
      </c>
      <c r="H181" s="32">
        <v>661991.0</v>
      </c>
      <c r="I181" s="32">
        <v>0.0</v>
      </c>
      <c r="J181" s="32">
        <v>5.985791373E9</v>
      </c>
      <c r="K181" s="32">
        <v>1.5214260866E10</v>
      </c>
      <c r="L181" s="32">
        <v>12279.0</v>
      </c>
      <c r="M181" s="31" t="s">
        <v>147</v>
      </c>
      <c r="N181" s="31">
        <v>25.0</v>
      </c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1.16425532E8</v>
      </c>
      <c r="B182" s="31" t="s">
        <v>518</v>
      </c>
      <c r="C182" s="32">
        <v>2.4042968E7</v>
      </c>
      <c r="D182" s="32">
        <v>2.3613518E7</v>
      </c>
      <c r="E182" s="32">
        <v>2910788.0</v>
      </c>
      <c r="F182" s="32">
        <v>1205951.0</v>
      </c>
      <c r="G182" s="32">
        <v>1310914.0</v>
      </c>
      <c r="H182" s="32">
        <v>177349.0</v>
      </c>
      <c r="I182" s="32">
        <v>0.0</v>
      </c>
      <c r="J182" s="32">
        <v>3.332897307E9</v>
      </c>
      <c r="K182" s="32">
        <v>1.7720049E7</v>
      </c>
      <c r="L182" s="32">
        <v>14167.0</v>
      </c>
      <c r="M182" s="31" t="s">
        <v>66</v>
      </c>
      <c r="N182" s="31">
        <v>25.0</v>
      </c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7.7531879E7</v>
      </c>
      <c r="B183" s="31" t="s">
        <v>460</v>
      </c>
      <c r="C183" s="32">
        <v>2.351376E7</v>
      </c>
      <c r="D183" s="32">
        <v>4537895.0</v>
      </c>
      <c r="E183" s="32">
        <v>76522.0</v>
      </c>
      <c r="F183" s="32">
        <v>36.0</v>
      </c>
      <c r="G183" s="32">
        <v>104025.0</v>
      </c>
      <c r="H183" s="32">
        <v>174604.0</v>
      </c>
      <c r="I183" s="32">
        <v>0.0</v>
      </c>
      <c r="J183" s="32">
        <v>8.822583273E9</v>
      </c>
      <c r="K183" s="32">
        <v>1.0691935775E10</v>
      </c>
      <c r="L183" s="32">
        <v>3903.0</v>
      </c>
      <c r="M183" s="31" t="s">
        <v>153</v>
      </c>
      <c r="N183" s="31">
        <v>25.0</v>
      </c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1.48355572E8</v>
      </c>
      <c r="B184" s="31" t="s">
        <v>209</v>
      </c>
      <c r="C184" s="32">
        <v>2.3405086E7</v>
      </c>
      <c r="D184" s="32">
        <v>8739485.0</v>
      </c>
      <c r="E184" s="32">
        <v>2046882.0</v>
      </c>
      <c r="F184" s="32">
        <v>57025.0</v>
      </c>
      <c r="G184" s="32">
        <v>645107.0</v>
      </c>
      <c r="H184" s="32">
        <v>92543.0</v>
      </c>
      <c r="I184" s="32">
        <v>0.0</v>
      </c>
      <c r="J184" s="32">
        <v>2.33359142E9</v>
      </c>
      <c r="K184" s="32">
        <v>2.23164667E8</v>
      </c>
      <c r="L184" s="32">
        <v>1679.0</v>
      </c>
      <c r="M184" s="31" t="s">
        <v>153</v>
      </c>
      <c r="N184" s="31">
        <v>25.0</v>
      </c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3">
        <v>1.85391227E8</v>
      </c>
      <c r="B185" s="33" t="s">
        <v>207</v>
      </c>
      <c r="C185" s="34">
        <v>2.3178078E7</v>
      </c>
      <c r="D185" s="34">
        <v>4933077.0</v>
      </c>
      <c r="E185" s="34">
        <v>964026.0</v>
      </c>
      <c r="F185" s="34">
        <v>186.0</v>
      </c>
      <c r="G185" s="34">
        <v>214.0</v>
      </c>
      <c r="H185" s="34">
        <v>246545.0</v>
      </c>
      <c r="I185" s="34">
        <v>0.0</v>
      </c>
      <c r="J185" s="34">
        <v>7.690979602E9</v>
      </c>
      <c r="K185" s="34">
        <v>5.777495661E9</v>
      </c>
      <c r="L185" s="34">
        <v>2434.0</v>
      </c>
      <c r="M185" s="33" t="s">
        <v>94</v>
      </c>
      <c r="N185" s="33">
        <v>24.0</v>
      </c>
      <c r="O185" s="33"/>
      <c r="P185" s="33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3">
        <v>4.8558795E7</v>
      </c>
      <c r="B186" s="33" t="s">
        <v>208</v>
      </c>
      <c r="C186" s="34">
        <v>2.3156155E7</v>
      </c>
      <c r="D186" s="34">
        <v>1928497.0</v>
      </c>
      <c r="E186" s="34">
        <v>461565.0</v>
      </c>
      <c r="F186" s="34">
        <v>485.0</v>
      </c>
      <c r="G186" s="34">
        <v>141444.0</v>
      </c>
      <c r="H186" s="34">
        <v>25698.0</v>
      </c>
      <c r="I186" s="34">
        <v>0.0</v>
      </c>
      <c r="J186" s="34">
        <v>1.1359965041E10</v>
      </c>
      <c r="K186" s="34">
        <v>1.3897885997E10</v>
      </c>
      <c r="L186" s="34">
        <v>2617.0</v>
      </c>
      <c r="M186" s="33" t="s">
        <v>153</v>
      </c>
      <c r="N186" s="33">
        <v>24.0</v>
      </c>
      <c r="O186" s="33"/>
      <c r="P186" s="33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1.40545176E8</v>
      </c>
      <c r="B187" s="31" t="s">
        <v>499</v>
      </c>
      <c r="C187" s="32">
        <v>2.3106762E7</v>
      </c>
      <c r="D187" s="32">
        <v>9042295.0</v>
      </c>
      <c r="E187" s="32">
        <v>3758297.0</v>
      </c>
      <c r="F187" s="32">
        <v>79868.0</v>
      </c>
      <c r="G187" s="32">
        <v>706100.0</v>
      </c>
      <c r="H187" s="32">
        <v>92321.0</v>
      </c>
      <c r="I187" s="32">
        <v>0.0</v>
      </c>
      <c r="J187" s="32">
        <v>3.181942422E9</v>
      </c>
      <c r="K187" s="32">
        <v>1870000.0</v>
      </c>
      <c r="L187" s="32">
        <v>3541.0</v>
      </c>
      <c r="M187" s="31" t="s">
        <v>66</v>
      </c>
      <c r="N187" s="31">
        <v>25.0</v>
      </c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1.74530133E8</v>
      </c>
      <c r="B188" s="31" t="s">
        <v>214</v>
      </c>
      <c r="C188" s="32">
        <v>2.2889741E7</v>
      </c>
      <c r="D188" s="32">
        <v>2253561.0</v>
      </c>
      <c r="E188" s="32">
        <v>331940.0</v>
      </c>
      <c r="F188" s="32">
        <v>3127.0</v>
      </c>
      <c r="G188" s="32">
        <v>27691.0</v>
      </c>
      <c r="H188" s="32">
        <v>96770.0</v>
      </c>
      <c r="I188" s="32">
        <v>0.0</v>
      </c>
      <c r="J188" s="32">
        <v>1.5291912772E10</v>
      </c>
      <c r="K188" s="32">
        <v>1.1791635993E10</v>
      </c>
      <c r="L188" s="32">
        <v>3577.0</v>
      </c>
      <c r="M188" s="31" t="s">
        <v>165</v>
      </c>
      <c r="N188" s="31">
        <v>25.0</v>
      </c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1">
        <v>5.6270145E7</v>
      </c>
      <c r="B189" s="31" t="s">
        <v>527</v>
      </c>
      <c r="C189" s="32">
        <v>2.282136E7</v>
      </c>
      <c r="D189" s="32">
        <v>1.1728022E7</v>
      </c>
      <c r="E189" s="32">
        <v>2094456.0</v>
      </c>
      <c r="F189" s="32">
        <v>173794.0</v>
      </c>
      <c r="G189" s="32">
        <v>945008.0</v>
      </c>
      <c r="H189" s="32">
        <v>6773.0</v>
      </c>
      <c r="I189" s="32">
        <v>0.0</v>
      </c>
      <c r="J189" s="32">
        <v>5.055881773E9</v>
      </c>
      <c r="K189" s="32">
        <v>4.763445559E9</v>
      </c>
      <c r="L189" s="32">
        <v>12814.0</v>
      </c>
      <c r="M189" s="31" t="s">
        <v>66</v>
      </c>
      <c r="N189" s="31">
        <v>25.0</v>
      </c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1.58392134E8</v>
      </c>
      <c r="B190" s="31" t="s">
        <v>519</v>
      </c>
      <c r="C190" s="32">
        <v>2.2796274E7</v>
      </c>
      <c r="D190" s="32">
        <v>4.4161204E7</v>
      </c>
      <c r="E190" s="32">
        <v>2858709.0</v>
      </c>
      <c r="F190" s="32">
        <v>1517402.0</v>
      </c>
      <c r="G190" s="32">
        <v>2509923.0</v>
      </c>
      <c r="H190" s="32">
        <v>661188.0</v>
      </c>
      <c r="I190" s="32">
        <v>0.0</v>
      </c>
      <c r="J190" s="32">
        <v>3.733661974E9</v>
      </c>
      <c r="K190" s="32">
        <v>2.195290365E9</v>
      </c>
      <c r="L190" s="32">
        <v>13761.0</v>
      </c>
      <c r="M190" s="31" t="s">
        <v>34</v>
      </c>
      <c r="N190" s="31">
        <v>25.0</v>
      </c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1">
        <v>1.16558461E8</v>
      </c>
      <c r="B191" s="31" t="s">
        <v>210</v>
      </c>
      <c r="C191" s="32">
        <v>2.2733418E7</v>
      </c>
      <c r="D191" s="32">
        <v>2.7313532E7</v>
      </c>
      <c r="E191" s="32">
        <v>3735086.0</v>
      </c>
      <c r="F191" s="32">
        <v>804564.0</v>
      </c>
      <c r="G191" s="32">
        <v>1891906.0</v>
      </c>
      <c r="H191" s="32">
        <v>259337.0</v>
      </c>
      <c r="I191" s="32">
        <v>0.0</v>
      </c>
      <c r="J191" s="32">
        <v>4.842780126E9</v>
      </c>
      <c r="K191" s="32">
        <v>5.2E7</v>
      </c>
      <c r="L191" s="32">
        <v>2344.0</v>
      </c>
      <c r="M191" s="31" t="s">
        <v>66</v>
      </c>
      <c r="N191" s="31">
        <v>25.0</v>
      </c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6.9795161E7</v>
      </c>
      <c r="B192" s="31" t="s">
        <v>482</v>
      </c>
      <c r="C192" s="32">
        <v>2.2587719E7</v>
      </c>
      <c r="D192" s="32">
        <v>488794.0</v>
      </c>
      <c r="E192" s="32">
        <v>338212.0</v>
      </c>
      <c r="F192" s="32">
        <v>3542.0</v>
      </c>
      <c r="G192" s="32">
        <v>16633.0</v>
      </c>
      <c r="H192" s="32">
        <v>15983.0</v>
      </c>
      <c r="I192" s="32">
        <v>0.0</v>
      </c>
      <c r="J192" s="32">
        <v>5.18897589E9</v>
      </c>
      <c r="K192" s="32">
        <v>2.966813705E9</v>
      </c>
      <c r="L192" s="32">
        <v>2133.0</v>
      </c>
      <c r="M192" s="31" t="s">
        <v>147</v>
      </c>
      <c r="N192" s="31">
        <v>25.0</v>
      </c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1.71556791E8</v>
      </c>
      <c r="B193" s="31" t="s">
        <v>462</v>
      </c>
      <c r="C193" s="32">
        <v>2.226398E7</v>
      </c>
      <c r="D193" s="32">
        <v>4949159.0</v>
      </c>
      <c r="E193" s="32">
        <v>626101.0</v>
      </c>
      <c r="F193" s="32">
        <v>25466.0</v>
      </c>
      <c r="G193" s="32">
        <v>210000.0</v>
      </c>
      <c r="H193" s="32">
        <v>116244.0</v>
      </c>
      <c r="I193" s="32">
        <v>0.0</v>
      </c>
      <c r="J193" s="32">
        <v>7.841188584E9</v>
      </c>
      <c r="K193" s="32">
        <v>1.4361031366E10</v>
      </c>
      <c r="L193" s="32">
        <v>3539.0</v>
      </c>
      <c r="M193" s="31" t="s">
        <v>147</v>
      </c>
      <c r="N193" s="31">
        <v>25.0</v>
      </c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1">
        <v>1.24153706E8</v>
      </c>
      <c r="B194" s="31" t="s">
        <v>463</v>
      </c>
      <c r="C194" s="32">
        <v>2.1597174E7</v>
      </c>
      <c r="D194" s="32">
        <v>5867482.0</v>
      </c>
      <c r="E194" s="32">
        <v>1692075.0</v>
      </c>
      <c r="F194" s="32">
        <v>57790.0</v>
      </c>
      <c r="G194" s="32">
        <v>470573.0</v>
      </c>
      <c r="H194" s="32">
        <v>52787.0</v>
      </c>
      <c r="I194" s="32">
        <v>0.0</v>
      </c>
      <c r="J194" s="32">
        <v>5.100679038E9</v>
      </c>
      <c r="K194" s="32">
        <v>5.642037005E9</v>
      </c>
      <c r="L194" s="32">
        <v>10171.0</v>
      </c>
      <c r="M194" s="31" t="s">
        <v>153</v>
      </c>
      <c r="N194" s="31">
        <v>25.0</v>
      </c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1">
        <v>1.44032974E8</v>
      </c>
      <c r="B195" s="31" t="s">
        <v>500</v>
      </c>
      <c r="C195" s="32">
        <v>2.1557871E7</v>
      </c>
      <c r="D195" s="32">
        <v>883270.0</v>
      </c>
      <c r="E195" s="32">
        <v>1317329.0</v>
      </c>
      <c r="F195" s="32">
        <v>9540.0</v>
      </c>
      <c r="G195" s="32">
        <v>5489.0</v>
      </c>
      <c r="H195" s="32">
        <v>39094.0</v>
      </c>
      <c r="I195" s="32">
        <v>0.0</v>
      </c>
      <c r="J195" s="32">
        <v>1.802813766E9</v>
      </c>
      <c r="K195" s="32">
        <v>0.0</v>
      </c>
      <c r="L195" s="32">
        <v>2164.0</v>
      </c>
      <c r="M195" s="31" t="s">
        <v>94</v>
      </c>
      <c r="N195" s="31">
        <v>25.0</v>
      </c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7521367.0</v>
      </c>
      <c r="B196" s="31" t="s">
        <v>234</v>
      </c>
      <c r="C196" s="32">
        <v>2.1109865E7</v>
      </c>
      <c r="D196" s="32">
        <v>5.505315E7</v>
      </c>
      <c r="E196" s="32">
        <v>2342583.0</v>
      </c>
      <c r="F196" s="32">
        <v>196972.0</v>
      </c>
      <c r="G196" s="32">
        <v>2373606.0</v>
      </c>
      <c r="H196" s="32">
        <v>1559002.0</v>
      </c>
      <c r="I196" s="32">
        <v>0.0</v>
      </c>
      <c r="J196" s="32">
        <v>7.278205618E9</v>
      </c>
      <c r="K196" s="32">
        <v>6.985159384E9</v>
      </c>
      <c r="L196" s="32">
        <v>3668.0</v>
      </c>
      <c r="M196" s="31" t="s">
        <v>147</v>
      </c>
      <c r="N196" s="31">
        <v>25.0</v>
      </c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3">
        <v>1.73351722E8</v>
      </c>
      <c r="B197" s="33" t="s">
        <v>236</v>
      </c>
      <c r="C197" s="34">
        <v>2.1003106E7</v>
      </c>
      <c r="D197" s="34">
        <v>7033148.0</v>
      </c>
      <c r="E197" s="34">
        <v>471728.0</v>
      </c>
      <c r="F197" s="34">
        <v>323190.0</v>
      </c>
      <c r="G197" s="34">
        <v>336667.0</v>
      </c>
      <c r="H197" s="34">
        <v>180092.0</v>
      </c>
      <c r="I197" s="34">
        <v>0.0</v>
      </c>
      <c r="J197" s="34">
        <v>9.650651294E9</v>
      </c>
      <c r="K197" s="34">
        <v>6.658700087E9</v>
      </c>
      <c r="L197" s="34">
        <v>1834.0</v>
      </c>
      <c r="M197" s="33" t="s">
        <v>153</v>
      </c>
      <c r="N197" s="33">
        <v>24.0</v>
      </c>
      <c r="O197" s="33"/>
      <c r="P197" s="33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1.39174133E8</v>
      </c>
      <c r="B198" s="31" t="s">
        <v>501</v>
      </c>
      <c r="C198" s="32">
        <v>2.0935991E7</v>
      </c>
      <c r="D198" s="32">
        <v>2.3973456E7</v>
      </c>
      <c r="E198" s="32">
        <v>2330705.0</v>
      </c>
      <c r="F198" s="32">
        <v>710514.0</v>
      </c>
      <c r="G198" s="32">
        <v>1638295.0</v>
      </c>
      <c r="H198" s="32">
        <v>262884.0</v>
      </c>
      <c r="I198" s="32">
        <v>0.0</v>
      </c>
      <c r="J198" s="32">
        <v>3.418926672E9</v>
      </c>
      <c r="K198" s="32">
        <v>3.13864878E8</v>
      </c>
      <c r="L198" s="32">
        <v>6636.0</v>
      </c>
      <c r="M198" s="31" t="s">
        <v>411</v>
      </c>
      <c r="N198" s="31">
        <v>25.0</v>
      </c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3">
        <v>1.75706269E8</v>
      </c>
      <c r="B199" s="33" t="s">
        <v>219</v>
      </c>
      <c r="C199" s="34">
        <v>2.0928929E7</v>
      </c>
      <c r="D199" s="34">
        <v>8860602.0</v>
      </c>
      <c r="E199" s="34">
        <v>1519238.0</v>
      </c>
      <c r="F199" s="34">
        <v>21032.0</v>
      </c>
      <c r="G199" s="34">
        <v>813972.0</v>
      </c>
      <c r="H199" s="34">
        <v>23044.0</v>
      </c>
      <c r="I199" s="34">
        <v>0.0</v>
      </c>
      <c r="J199" s="34">
        <v>2.858150556E9</v>
      </c>
      <c r="K199" s="34">
        <v>3.22468511E8</v>
      </c>
      <c r="L199" s="34">
        <v>1071.0</v>
      </c>
      <c r="M199" s="33" t="s">
        <v>220</v>
      </c>
      <c r="N199" s="33">
        <v>24.0</v>
      </c>
      <c r="O199" s="33"/>
      <c r="P199" s="33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3">
        <v>1.72587132E8</v>
      </c>
      <c r="B200" s="33" t="s">
        <v>212</v>
      </c>
      <c r="C200" s="34">
        <v>2.0885401E7</v>
      </c>
      <c r="D200" s="34">
        <v>4830923.0</v>
      </c>
      <c r="E200" s="34">
        <v>1608532.0</v>
      </c>
      <c r="F200" s="34">
        <v>280268.0</v>
      </c>
      <c r="G200" s="34">
        <v>383297.0</v>
      </c>
      <c r="H200" s="34">
        <v>31497.0</v>
      </c>
      <c r="I200" s="34">
        <v>0.0</v>
      </c>
      <c r="J200" s="34">
        <v>1.2538856175E10</v>
      </c>
      <c r="K200" s="34">
        <v>1.1627061896E10</v>
      </c>
      <c r="L200" s="34">
        <v>4056.0</v>
      </c>
      <c r="M200" s="33" t="s">
        <v>94</v>
      </c>
      <c r="N200" s="33">
        <v>23.0</v>
      </c>
      <c r="O200" s="33"/>
      <c r="P200" s="33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3">
        <v>9.716129E7</v>
      </c>
      <c r="B201" s="33" t="s">
        <v>216</v>
      </c>
      <c r="C201" s="34">
        <v>2.080019E7</v>
      </c>
      <c r="D201" s="34">
        <v>663448.0</v>
      </c>
      <c r="E201" s="34">
        <v>580431.0</v>
      </c>
      <c r="F201" s="34">
        <v>3771.0</v>
      </c>
      <c r="G201" s="34">
        <v>10201.0</v>
      </c>
      <c r="H201" s="34">
        <v>27973.0</v>
      </c>
      <c r="I201" s="34">
        <v>0.0</v>
      </c>
      <c r="J201" s="34">
        <v>3.694749442E9</v>
      </c>
      <c r="K201" s="34">
        <v>7.00828389E8</v>
      </c>
      <c r="L201" s="34">
        <v>683.0</v>
      </c>
      <c r="M201" s="33" t="s">
        <v>147</v>
      </c>
      <c r="N201" s="33">
        <v>24.0</v>
      </c>
      <c r="O201" s="33"/>
      <c r="P201" s="33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1.90550149E8</v>
      </c>
      <c r="B202" s="31" t="s">
        <v>425</v>
      </c>
      <c r="C202" s="32">
        <v>2.0714121E7</v>
      </c>
      <c r="D202" s="32">
        <v>3.1263097E7</v>
      </c>
      <c r="E202" s="32">
        <v>2840830.0</v>
      </c>
      <c r="F202" s="32">
        <v>3009985.0</v>
      </c>
      <c r="G202" s="32">
        <v>1533415.0</v>
      </c>
      <c r="H202" s="32">
        <v>226394.0</v>
      </c>
      <c r="I202" s="32">
        <v>0.0</v>
      </c>
      <c r="J202" s="32">
        <v>1.937168039E9</v>
      </c>
      <c r="K202" s="32">
        <v>1.12543401E8</v>
      </c>
      <c r="L202" s="32">
        <v>6374.0</v>
      </c>
      <c r="M202" s="31" t="s">
        <v>126</v>
      </c>
      <c r="N202" s="31">
        <v>25.0</v>
      </c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1">
        <v>1.4586076E8</v>
      </c>
      <c r="B203" s="31" t="s">
        <v>223</v>
      </c>
      <c r="C203" s="32">
        <v>2.0578915E7</v>
      </c>
      <c r="D203" s="32">
        <v>2503746.0</v>
      </c>
      <c r="E203" s="32">
        <v>641516.0</v>
      </c>
      <c r="F203" s="32">
        <v>196473.0</v>
      </c>
      <c r="G203" s="32">
        <v>204412.0</v>
      </c>
      <c r="H203" s="32">
        <v>0.0</v>
      </c>
      <c r="I203" s="32">
        <v>0.0</v>
      </c>
      <c r="J203" s="32">
        <v>7.274356559E9</v>
      </c>
      <c r="K203" s="32">
        <v>7.106242499E9</v>
      </c>
      <c r="L203" s="32">
        <v>3162.0</v>
      </c>
      <c r="M203" s="31" t="s">
        <v>153</v>
      </c>
      <c r="N203" s="31">
        <v>25.0</v>
      </c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3">
        <v>1.71989291E8</v>
      </c>
      <c r="B204" s="33" t="s">
        <v>224</v>
      </c>
      <c r="C204" s="34">
        <v>2.0560125E7</v>
      </c>
      <c r="D204" s="34">
        <v>1953757.0</v>
      </c>
      <c r="E204" s="34">
        <v>1329583.0</v>
      </c>
      <c r="F204" s="34">
        <v>1398.0</v>
      </c>
      <c r="G204" s="34">
        <v>2019.0</v>
      </c>
      <c r="H204" s="34">
        <v>94344.0</v>
      </c>
      <c r="I204" s="34">
        <v>0.0</v>
      </c>
      <c r="J204" s="34">
        <v>9.95256502E9</v>
      </c>
      <c r="K204" s="34">
        <v>8.866503859E9</v>
      </c>
      <c r="L204" s="34">
        <v>3471.0</v>
      </c>
      <c r="M204" s="33" t="s">
        <v>153</v>
      </c>
      <c r="N204" s="33">
        <v>24.0</v>
      </c>
      <c r="O204" s="33"/>
      <c r="P204" s="33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1">
        <v>1.72508036E8</v>
      </c>
      <c r="B205" s="31" t="s">
        <v>502</v>
      </c>
      <c r="C205" s="32">
        <v>2.0549165E7</v>
      </c>
      <c r="D205" s="32">
        <v>2171908.0</v>
      </c>
      <c r="E205" s="32">
        <v>140168.0</v>
      </c>
      <c r="F205" s="32">
        <v>0.0</v>
      </c>
      <c r="G205" s="32">
        <v>3651.0</v>
      </c>
      <c r="H205" s="32">
        <v>106590.0</v>
      </c>
      <c r="I205" s="32">
        <v>0.0</v>
      </c>
      <c r="J205" s="32">
        <v>3.427609188E9</v>
      </c>
      <c r="K205" s="32">
        <v>1.0024E9</v>
      </c>
      <c r="L205" s="32">
        <v>1180.0</v>
      </c>
      <c r="M205" s="31" t="s">
        <v>147</v>
      </c>
      <c r="N205" s="31">
        <v>25.0</v>
      </c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1.0996021E8</v>
      </c>
      <c r="B206" s="31" t="s">
        <v>227</v>
      </c>
      <c r="C206" s="32">
        <v>2.0175746E7</v>
      </c>
      <c r="D206" s="32">
        <v>3143180.0</v>
      </c>
      <c r="E206" s="32">
        <v>253288.0</v>
      </c>
      <c r="F206" s="32">
        <v>0.0</v>
      </c>
      <c r="G206" s="32">
        <v>62104.0</v>
      </c>
      <c r="H206" s="32">
        <v>126107.0</v>
      </c>
      <c r="I206" s="32">
        <v>0.0</v>
      </c>
      <c r="J206" s="32">
        <v>3.041992883E9</v>
      </c>
      <c r="K206" s="32">
        <v>8.58856569E8</v>
      </c>
      <c r="L206" s="32">
        <v>1307.0</v>
      </c>
      <c r="M206" s="31" t="s">
        <v>147</v>
      </c>
      <c r="N206" s="31">
        <v>25.0</v>
      </c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3">
        <v>1.47792502E8</v>
      </c>
      <c r="B207" s="33" t="s">
        <v>232</v>
      </c>
      <c r="C207" s="34">
        <v>1.9941926E7</v>
      </c>
      <c r="D207" s="34">
        <v>1.5553596E7</v>
      </c>
      <c r="E207" s="34">
        <v>501345.0</v>
      </c>
      <c r="F207" s="34">
        <v>265931.0</v>
      </c>
      <c r="G207" s="34">
        <v>1325650.0</v>
      </c>
      <c r="H207" s="34">
        <v>68313.0</v>
      </c>
      <c r="I207" s="34">
        <v>0.0</v>
      </c>
      <c r="J207" s="34">
        <v>1.8444938539E10</v>
      </c>
      <c r="K207" s="34">
        <v>1.4948256784E10</v>
      </c>
      <c r="L207" s="34">
        <v>6676.0</v>
      </c>
      <c r="M207" s="33" t="s">
        <v>153</v>
      </c>
      <c r="N207" s="33">
        <v>24.0</v>
      </c>
      <c r="O207" s="33"/>
      <c r="P207" s="33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3">
        <v>1.59674611E8</v>
      </c>
      <c r="B208" s="33" t="s">
        <v>260</v>
      </c>
      <c r="C208" s="34">
        <v>1.976665E7</v>
      </c>
      <c r="D208" s="34">
        <v>932235.0</v>
      </c>
      <c r="E208" s="34">
        <v>136798.0</v>
      </c>
      <c r="F208" s="34">
        <v>509198.0</v>
      </c>
      <c r="G208" s="34">
        <v>5166.0</v>
      </c>
      <c r="H208" s="34">
        <v>0.0</v>
      </c>
      <c r="I208" s="34">
        <v>0.0</v>
      </c>
      <c r="J208" s="34">
        <v>3.034514465E9</v>
      </c>
      <c r="K208" s="34">
        <v>8.00719676E8</v>
      </c>
      <c r="L208" s="34">
        <v>2361.0</v>
      </c>
      <c r="M208" s="33" t="s">
        <v>94</v>
      </c>
      <c r="N208" s="33">
        <v>23.0</v>
      </c>
      <c r="O208" s="33"/>
      <c r="P208" s="33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1.07309959E8</v>
      </c>
      <c r="B209" s="31" t="s">
        <v>229</v>
      </c>
      <c r="C209" s="32">
        <v>1.9733109E7</v>
      </c>
      <c r="D209" s="32">
        <v>880638.0</v>
      </c>
      <c r="E209" s="32">
        <v>633209.0</v>
      </c>
      <c r="F209" s="32">
        <v>24063.0</v>
      </c>
      <c r="G209" s="32">
        <v>19253.0</v>
      </c>
      <c r="H209" s="32">
        <v>0.0</v>
      </c>
      <c r="I209" s="32">
        <v>0.0</v>
      </c>
      <c r="J209" s="32">
        <v>4.4096977E9</v>
      </c>
      <c r="K209" s="32">
        <v>1.692E9</v>
      </c>
      <c r="L209" s="32">
        <v>2334.0</v>
      </c>
      <c r="M209" s="31" t="s">
        <v>153</v>
      </c>
      <c r="N209" s="31">
        <v>25.0</v>
      </c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3">
        <v>1.72730913E8</v>
      </c>
      <c r="B210" s="33" t="s">
        <v>221</v>
      </c>
      <c r="C210" s="34">
        <v>1.971069E7</v>
      </c>
      <c r="D210" s="34">
        <v>0.0</v>
      </c>
      <c r="E210" s="34">
        <v>0.0</v>
      </c>
      <c r="F210" s="34">
        <v>0.0</v>
      </c>
      <c r="G210" s="34">
        <v>0.0</v>
      </c>
      <c r="H210" s="34">
        <v>0.0</v>
      </c>
      <c r="I210" s="34">
        <v>0.0</v>
      </c>
      <c r="J210" s="34">
        <v>4.677106144E9</v>
      </c>
      <c r="K210" s="34">
        <v>1.54E7</v>
      </c>
      <c r="L210" s="34">
        <v>1689.0</v>
      </c>
      <c r="M210" s="33" t="s">
        <v>153</v>
      </c>
      <c r="N210" s="33">
        <v>23.0</v>
      </c>
      <c r="O210" s="33"/>
      <c r="P210" s="33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1.44065202E8</v>
      </c>
      <c r="B211" s="31" t="s">
        <v>222</v>
      </c>
      <c r="C211" s="32">
        <v>1.9576543E7</v>
      </c>
      <c r="D211" s="32">
        <v>9825953.0</v>
      </c>
      <c r="E211" s="32">
        <v>3217489.0</v>
      </c>
      <c r="F211" s="32">
        <v>510456.0</v>
      </c>
      <c r="G211" s="32">
        <v>407070.0</v>
      </c>
      <c r="H211" s="32">
        <v>244210.0</v>
      </c>
      <c r="I211" s="32">
        <v>0.0</v>
      </c>
      <c r="J211" s="32">
        <v>1.852624321E9</v>
      </c>
      <c r="K211" s="32">
        <v>1.4406792E7</v>
      </c>
      <c r="L211" s="32">
        <v>3795.0</v>
      </c>
      <c r="M211" s="31" t="s">
        <v>66</v>
      </c>
      <c r="N211" s="31">
        <v>25.0</v>
      </c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1">
        <v>1.37982827E8</v>
      </c>
      <c r="B212" s="31" t="s">
        <v>230</v>
      </c>
      <c r="C212" s="32">
        <v>1.9190788E7</v>
      </c>
      <c r="D212" s="32">
        <v>1033440.0</v>
      </c>
      <c r="E212" s="32">
        <v>1686588.0</v>
      </c>
      <c r="F212" s="32">
        <v>928101.0</v>
      </c>
      <c r="G212" s="32">
        <v>2888.0</v>
      </c>
      <c r="H212" s="32">
        <v>37966.0</v>
      </c>
      <c r="I212" s="32">
        <v>0.0</v>
      </c>
      <c r="J212" s="32">
        <v>2.0617321583E10</v>
      </c>
      <c r="K212" s="32">
        <v>2.1164177048E10</v>
      </c>
      <c r="L212" s="32">
        <v>4380.0</v>
      </c>
      <c r="M212" s="31" t="s">
        <v>153</v>
      </c>
      <c r="N212" s="31">
        <v>25.0</v>
      </c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1.79309911E8</v>
      </c>
      <c r="B213" s="33" t="s">
        <v>250</v>
      </c>
      <c r="C213" s="34">
        <v>1.8468206E7</v>
      </c>
      <c r="D213" s="34">
        <v>3539957.0</v>
      </c>
      <c r="E213" s="34">
        <v>1463306.0</v>
      </c>
      <c r="F213" s="34">
        <v>52987.0</v>
      </c>
      <c r="G213" s="34">
        <v>321378.0</v>
      </c>
      <c r="H213" s="34">
        <v>5689.0</v>
      </c>
      <c r="I213" s="34">
        <v>0.0</v>
      </c>
      <c r="J213" s="34">
        <v>5.143012089E9</v>
      </c>
      <c r="K213" s="34">
        <v>3.113286741E9</v>
      </c>
      <c r="L213" s="34">
        <v>1409.0</v>
      </c>
      <c r="M213" s="33" t="s">
        <v>94</v>
      </c>
      <c r="N213" s="33">
        <v>24.0</v>
      </c>
      <c r="O213" s="33"/>
      <c r="P213" s="33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1.26974968E8</v>
      </c>
      <c r="B214" s="33" t="s">
        <v>244</v>
      </c>
      <c r="C214" s="34">
        <v>1.840883E7</v>
      </c>
      <c r="D214" s="34">
        <v>1232807.0</v>
      </c>
      <c r="E214" s="34">
        <v>877225.0</v>
      </c>
      <c r="F214" s="34">
        <v>5599.0</v>
      </c>
      <c r="G214" s="34">
        <v>56920.0</v>
      </c>
      <c r="H214" s="34">
        <v>25459.0</v>
      </c>
      <c r="I214" s="34">
        <v>0.0</v>
      </c>
      <c r="J214" s="34">
        <v>8.930682156E9</v>
      </c>
      <c r="K214" s="34">
        <v>1.0523962294E10</v>
      </c>
      <c r="L214" s="34">
        <v>2649.0</v>
      </c>
      <c r="M214" s="33" t="s">
        <v>94</v>
      </c>
      <c r="N214" s="33">
        <v>24.0</v>
      </c>
      <c r="O214" s="33"/>
      <c r="P214" s="33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1">
        <v>1.44034439E8</v>
      </c>
      <c r="B215" s="31" t="s">
        <v>235</v>
      </c>
      <c r="C215" s="32">
        <v>1.8243701E7</v>
      </c>
      <c r="D215" s="32">
        <v>3185436.0</v>
      </c>
      <c r="E215" s="32">
        <v>5053227.0</v>
      </c>
      <c r="F215" s="32">
        <v>37361.0</v>
      </c>
      <c r="G215" s="32">
        <v>106493.0</v>
      </c>
      <c r="H215" s="32">
        <v>89020.0</v>
      </c>
      <c r="I215" s="32">
        <v>0.0</v>
      </c>
      <c r="J215" s="32">
        <v>9.511180091E9</v>
      </c>
      <c r="K215" s="32">
        <v>0.0</v>
      </c>
      <c r="L215" s="32">
        <v>7315.0</v>
      </c>
      <c r="M215" s="31" t="s">
        <v>165</v>
      </c>
      <c r="N215" s="31">
        <v>25.0</v>
      </c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1.4065212E8</v>
      </c>
      <c r="B216" s="33" t="s">
        <v>238</v>
      </c>
      <c r="C216" s="34">
        <v>1.8043811E7</v>
      </c>
      <c r="D216" s="34">
        <v>4736361.0</v>
      </c>
      <c r="E216" s="34">
        <v>2093014.0</v>
      </c>
      <c r="F216" s="34">
        <v>14525.0</v>
      </c>
      <c r="G216" s="34">
        <v>310893.0</v>
      </c>
      <c r="H216" s="34">
        <v>81061.0</v>
      </c>
      <c r="I216" s="34">
        <v>0.0</v>
      </c>
      <c r="J216" s="34">
        <v>1.5093402654E10</v>
      </c>
      <c r="K216" s="34">
        <v>1.5489595113E10</v>
      </c>
      <c r="L216" s="34">
        <v>5443.0</v>
      </c>
      <c r="M216" s="33" t="s">
        <v>153</v>
      </c>
      <c r="N216" s="33">
        <v>24.0</v>
      </c>
      <c r="O216" s="33"/>
      <c r="P216" s="33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1">
        <v>1.44068963E8</v>
      </c>
      <c r="B217" s="31" t="s">
        <v>239</v>
      </c>
      <c r="C217" s="32">
        <v>1.800492E7</v>
      </c>
      <c r="D217" s="32">
        <v>1242154.0</v>
      </c>
      <c r="E217" s="32">
        <v>1892316.0</v>
      </c>
      <c r="F217" s="32">
        <v>10404.0</v>
      </c>
      <c r="G217" s="32">
        <v>7009.0</v>
      </c>
      <c r="H217" s="32">
        <v>57313.0</v>
      </c>
      <c r="I217" s="32">
        <v>0.0</v>
      </c>
      <c r="J217" s="32">
        <v>1.799068111E9</v>
      </c>
      <c r="K217" s="32">
        <v>200000.0</v>
      </c>
      <c r="L217" s="32">
        <v>323.0</v>
      </c>
      <c r="M217" s="31" t="s">
        <v>240</v>
      </c>
      <c r="N217" s="31">
        <v>25.0</v>
      </c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1">
        <v>6.2280166E7</v>
      </c>
      <c r="B218" s="31" t="s">
        <v>520</v>
      </c>
      <c r="C218" s="32">
        <v>1.793565E7</v>
      </c>
      <c r="D218" s="32">
        <v>4247465.0</v>
      </c>
      <c r="E218" s="32">
        <v>340427.0</v>
      </c>
      <c r="F218" s="32">
        <v>432447.0</v>
      </c>
      <c r="G218" s="32">
        <v>156154.0</v>
      </c>
      <c r="H218" s="32">
        <v>0.0</v>
      </c>
      <c r="I218" s="32">
        <v>0.0</v>
      </c>
      <c r="J218" s="32">
        <v>1.684807653E9</v>
      </c>
      <c r="K218" s="32">
        <v>13037.0</v>
      </c>
      <c r="L218" s="32">
        <v>2016.0</v>
      </c>
      <c r="M218" s="31" t="s">
        <v>66</v>
      </c>
      <c r="N218" s="31">
        <v>25.0</v>
      </c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1.78556109E8</v>
      </c>
      <c r="B219" s="33" t="s">
        <v>248</v>
      </c>
      <c r="C219" s="34">
        <v>1.7745795E7</v>
      </c>
      <c r="D219" s="34">
        <v>1240300.0</v>
      </c>
      <c r="E219" s="34">
        <v>125805.0</v>
      </c>
      <c r="F219" s="34">
        <v>0.0</v>
      </c>
      <c r="G219" s="34">
        <v>7308.0</v>
      </c>
      <c r="H219" s="34">
        <v>58361.0</v>
      </c>
      <c r="I219" s="34">
        <v>0.0</v>
      </c>
      <c r="J219" s="34">
        <v>1.2505058113E10</v>
      </c>
      <c r="K219" s="34">
        <v>1.1321629033E10</v>
      </c>
      <c r="L219" s="34">
        <v>3550.0</v>
      </c>
      <c r="M219" s="33" t="s">
        <v>153</v>
      </c>
      <c r="N219" s="33">
        <v>24.0</v>
      </c>
      <c r="O219" s="33"/>
      <c r="P219" s="33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1.27147255E8</v>
      </c>
      <c r="B220" s="31" t="s">
        <v>249</v>
      </c>
      <c r="C220" s="32">
        <v>1.7611403E7</v>
      </c>
      <c r="D220" s="32">
        <v>1404762.0</v>
      </c>
      <c r="E220" s="32">
        <v>1620937.0</v>
      </c>
      <c r="F220" s="32">
        <v>43.0</v>
      </c>
      <c r="G220" s="32">
        <v>23523.0</v>
      </c>
      <c r="H220" s="32">
        <v>57743.0</v>
      </c>
      <c r="I220" s="32">
        <v>0.0</v>
      </c>
      <c r="J220" s="32">
        <v>9.884310948E9</v>
      </c>
      <c r="K220" s="32">
        <v>1.4204180855E10</v>
      </c>
      <c r="L220" s="32">
        <v>2937.0</v>
      </c>
      <c r="M220" s="31" t="s">
        <v>94</v>
      </c>
      <c r="N220" s="31">
        <v>25.0</v>
      </c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1.46678079E8</v>
      </c>
      <c r="B221" s="33" t="s">
        <v>521</v>
      </c>
      <c r="C221" s="34">
        <v>1.745074E7</v>
      </c>
      <c r="D221" s="34">
        <v>2.3326006E7</v>
      </c>
      <c r="E221" s="34">
        <v>3376263.0</v>
      </c>
      <c r="F221" s="34">
        <v>1252441.0</v>
      </c>
      <c r="G221" s="34">
        <v>1215131.0</v>
      </c>
      <c r="H221" s="34">
        <v>32770.0</v>
      </c>
      <c r="I221" s="34">
        <v>0.0</v>
      </c>
      <c r="J221" s="34">
        <v>1.744010234E9</v>
      </c>
      <c r="K221" s="34">
        <v>1.76777944E8</v>
      </c>
      <c r="L221" s="34">
        <v>1859.0</v>
      </c>
      <c r="M221" s="33" t="s">
        <v>153</v>
      </c>
      <c r="N221" s="33">
        <v>24.0</v>
      </c>
      <c r="O221" s="33"/>
      <c r="P221" s="33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1.90203348E8</v>
      </c>
      <c r="B222" s="33" t="s">
        <v>237</v>
      </c>
      <c r="C222" s="34">
        <v>1.7320745E7</v>
      </c>
      <c r="D222" s="34">
        <v>943.0</v>
      </c>
      <c r="E222" s="34">
        <v>0.0</v>
      </c>
      <c r="F222" s="34">
        <v>4717.0</v>
      </c>
      <c r="G222" s="34">
        <v>0.0</v>
      </c>
      <c r="H222" s="34">
        <v>0.0</v>
      </c>
      <c r="I222" s="34">
        <v>0.0</v>
      </c>
      <c r="J222" s="34">
        <v>3.919337125E9</v>
      </c>
      <c r="K222" s="34">
        <v>1.981971695E9</v>
      </c>
      <c r="L222" s="34">
        <v>1007.0</v>
      </c>
      <c r="M222" s="33" t="s">
        <v>147</v>
      </c>
      <c r="N222" s="33">
        <v>24.0</v>
      </c>
      <c r="O222" s="33"/>
      <c r="P222" s="33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1">
        <v>9.9317493E7</v>
      </c>
      <c r="B223" s="31" t="s">
        <v>252</v>
      </c>
      <c r="C223" s="32">
        <v>1.7255554E7</v>
      </c>
      <c r="D223" s="32">
        <v>1.1147718E7</v>
      </c>
      <c r="E223" s="32">
        <v>2481046.0</v>
      </c>
      <c r="F223" s="32">
        <v>49534.0</v>
      </c>
      <c r="G223" s="32">
        <v>893317.0</v>
      </c>
      <c r="H223" s="32">
        <v>67760.0</v>
      </c>
      <c r="I223" s="32">
        <v>0.0</v>
      </c>
      <c r="J223" s="32">
        <v>2.983028283E9</v>
      </c>
      <c r="K223" s="32">
        <v>5.3065867E7</v>
      </c>
      <c r="L223" s="32">
        <v>3761.0</v>
      </c>
      <c r="M223" s="31" t="s">
        <v>126</v>
      </c>
      <c r="N223" s="31">
        <v>25.0</v>
      </c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1.77786882E8</v>
      </c>
      <c r="B224" s="33" t="s">
        <v>242</v>
      </c>
      <c r="C224" s="34">
        <v>1.721508E7</v>
      </c>
      <c r="D224" s="34">
        <v>734715.0</v>
      </c>
      <c r="E224" s="34">
        <v>2048.0</v>
      </c>
      <c r="F224" s="34">
        <v>227.0</v>
      </c>
      <c r="G224" s="34">
        <v>6051.0</v>
      </c>
      <c r="H224" s="34">
        <v>33708.0</v>
      </c>
      <c r="I224" s="34">
        <v>0.0</v>
      </c>
      <c r="J224" s="34">
        <v>1.1411710881E10</v>
      </c>
      <c r="K224" s="34">
        <v>7.062626932E9</v>
      </c>
      <c r="L224" s="34">
        <v>3040.0</v>
      </c>
      <c r="M224" s="33" t="s">
        <v>153</v>
      </c>
      <c r="N224" s="33">
        <v>24.0</v>
      </c>
      <c r="O224" s="33"/>
      <c r="P224" s="33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1">
        <v>1.54073945E8</v>
      </c>
      <c r="B225" s="31" t="s">
        <v>381</v>
      </c>
      <c r="C225" s="32">
        <v>1.687574E7</v>
      </c>
      <c r="D225" s="32">
        <v>3284697.0</v>
      </c>
      <c r="E225" s="32">
        <v>4029606.0</v>
      </c>
      <c r="F225" s="32">
        <v>307.0</v>
      </c>
      <c r="G225" s="32">
        <v>299366.0</v>
      </c>
      <c r="H225" s="32">
        <v>14399.0</v>
      </c>
      <c r="I225" s="32">
        <v>0.0</v>
      </c>
      <c r="J225" s="32">
        <v>6.454193035E9</v>
      </c>
      <c r="K225" s="32">
        <v>2.007222579E9</v>
      </c>
      <c r="L225" s="32">
        <v>1570.0</v>
      </c>
      <c r="M225" s="31" t="s">
        <v>153</v>
      </c>
      <c r="N225" s="31">
        <v>25.0</v>
      </c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1.28213955E8</v>
      </c>
      <c r="B226" s="33" t="s">
        <v>253</v>
      </c>
      <c r="C226" s="34">
        <v>1.6817047E7</v>
      </c>
      <c r="D226" s="34">
        <v>75852.0</v>
      </c>
      <c r="E226" s="34">
        <v>0.0</v>
      </c>
      <c r="F226" s="34">
        <v>720.0</v>
      </c>
      <c r="G226" s="34">
        <v>1254.0</v>
      </c>
      <c r="H226" s="34">
        <v>0.0</v>
      </c>
      <c r="I226" s="34">
        <v>0.0</v>
      </c>
      <c r="J226" s="34">
        <v>9.842465072E9</v>
      </c>
      <c r="K226" s="34">
        <v>1.1506807503E10</v>
      </c>
      <c r="L226" s="34">
        <v>2477.0</v>
      </c>
      <c r="M226" s="33" t="s">
        <v>94</v>
      </c>
      <c r="N226" s="33">
        <v>24.0</v>
      </c>
      <c r="O226" s="33"/>
      <c r="P226" s="33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3">
        <v>6.8552994E7</v>
      </c>
      <c r="B227" s="33" t="s">
        <v>246</v>
      </c>
      <c r="C227" s="34">
        <v>1.6803675E7</v>
      </c>
      <c r="D227" s="34">
        <v>1055186.0</v>
      </c>
      <c r="E227" s="34">
        <v>689492.0</v>
      </c>
      <c r="F227" s="34">
        <v>237673.0</v>
      </c>
      <c r="G227" s="34">
        <v>11356.0</v>
      </c>
      <c r="H227" s="34">
        <v>11638.0</v>
      </c>
      <c r="I227" s="34">
        <v>0.0</v>
      </c>
      <c r="J227" s="34">
        <v>8.140788825E9</v>
      </c>
      <c r="K227" s="34">
        <v>5.375385608E9</v>
      </c>
      <c r="L227" s="34">
        <v>4747.0</v>
      </c>
      <c r="M227" s="33" t="s">
        <v>153</v>
      </c>
      <c r="N227" s="33">
        <v>23.0</v>
      </c>
      <c r="O227" s="33"/>
      <c r="P227" s="33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1">
        <v>6.7692991E7</v>
      </c>
      <c r="B228" s="31" t="s">
        <v>284</v>
      </c>
      <c r="C228" s="32">
        <v>1.6641079E7</v>
      </c>
      <c r="D228" s="32">
        <v>5.4749617E7</v>
      </c>
      <c r="E228" s="32">
        <v>2761342.0</v>
      </c>
      <c r="F228" s="32">
        <v>254236.0</v>
      </c>
      <c r="G228" s="32">
        <v>2627590.0</v>
      </c>
      <c r="H228" s="32">
        <v>1340108.0</v>
      </c>
      <c r="I228" s="32">
        <v>0.0</v>
      </c>
      <c r="J228" s="32">
        <v>6.310054956E9</v>
      </c>
      <c r="K228" s="32">
        <v>5.897427786E9</v>
      </c>
      <c r="L228" s="32">
        <v>5111.0</v>
      </c>
      <c r="M228" s="31" t="s">
        <v>147</v>
      </c>
      <c r="N228" s="31">
        <v>25.0</v>
      </c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1.81616674E8</v>
      </c>
      <c r="B229" s="33" t="s">
        <v>247</v>
      </c>
      <c r="C229" s="34">
        <v>1.6652963E7</v>
      </c>
      <c r="D229" s="34">
        <v>0.0</v>
      </c>
      <c r="E229" s="34">
        <v>0.0</v>
      </c>
      <c r="F229" s="34">
        <v>0.0</v>
      </c>
      <c r="G229" s="34">
        <v>0.0</v>
      </c>
      <c r="H229" s="34">
        <v>0.0</v>
      </c>
      <c r="I229" s="34">
        <v>0.0</v>
      </c>
      <c r="J229" s="34">
        <v>3.332763673E9</v>
      </c>
      <c r="K229" s="34">
        <v>1.734E9</v>
      </c>
      <c r="L229" s="34">
        <v>1007.0</v>
      </c>
      <c r="M229" s="33" t="s">
        <v>153</v>
      </c>
      <c r="N229" s="33">
        <v>23.0</v>
      </c>
      <c r="O229" s="33"/>
      <c r="P229" s="33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1">
        <v>6.9470044E7</v>
      </c>
      <c r="B230" s="31" t="s">
        <v>504</v>
      </c>
      <c r="C230" s="32">
        <v>1.6578621E7</v>
      </c>
      <c r="D230" s="32">
        <v>5574354.0</v>
      </c>
      <c r="E230" s="32">
        <v>2720243.0</v>
      </c>
      <c r="F230" s="32">
        <v>227923.0</v>
      </c>
      <c r="G230" s="32">
        <v>219997.0</v>
      </c>
      <c r="H230" s="32">
        <v>82155.0</v>
      </c>
      <c r="I230" s="32">
        <v>0.0</v>
      </c>
      <c r="J230" s="32">
        <v>7.639174978E9</v>
      </c>
      <c r="K230" s="32">
        <v>6.476304962E9</v>
      </c>
      <c r="L230" s="32">
        <v>3398.0</v>
      </c>
      <c r="M230" s="31" t="s">
        <v>153</v>
      </c>
      <c r="N230" s="31">
        <v>25.0</v>
      </c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1">
        <v>9.3652844E7</v>
      </c>
      <c r="B231" s="31" t="s">
        <v>467</v>
      </c>
      <c r="C231" s="32">
        <v>1.6540056E7</v>
      </c>
      <c r="D231" s="32">
        <v>155776.0</v>
      </c>
      <c r="E231" s="32">
        <v>1024.0</v>
      </c>
      <c r="F231" s="32">
        <v>9910.0</v>
      </c>
      <c r="G231" s="32">
        <v>3171.0</v>
      </c>
      <c r="H231" s="32">
        <v>4808.0</v>
      </c>
      <c r="I231" s="32">
        <v>0.0</v>
      </c>
      <c r="J231" s="32">
        <v>5.59358736E9</v>
      </c>
      <c r="K231" s="32">
        <v>4.93765001E9</v>
      </c>
      <c r="L231" s="32">
        <v>1968.0</v>
      </c>
      <c r="M231" s="31" t="s">
        <v>153</v>
      </c>
      <c r="N231" s="31">
        <v>25.0</v>
      </c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1">
        <v>3.5412124E7</v>
      </c>
      <c r="B232" s="31" t="s">
        <v>251</v>
      </c>
      <c r="C232" s="32">
        <v>1.619146E7</v>
      </c>
      <c r="D232" s="32">
        <v>8956841.0</v>
      </c>
      <c r="E232" s="32">
        <v>1027712.0</v>
      </c>
      <c r="F232" s="32">
        <v>572749.0</v>
      </c>
      <c r="G232" s="32">
        <v>366444.0</v>
      </c>
      <c r="H232" s="32">
        <v>75045.0</v>
      </c>
      <c r="I232" s="32">
        <v>0.0</v>
      </c>
      <c r="J232" s="32">
        <v>4.16279169E8</v>
      </c>
      <c r="K232" s="32">
        <v>1709320.0</v>
      </c>
      <c r="L232" s="32">
        <v>1112.0</v>
      </c>
      <c r="M232" s="31" t="s">
        <v>165</v>
      </c>
      <c r="N232" s="31">
        <v>25.0</v>
      </c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1.67715529E8</v>
      </c>
      <c r="B233" s="33" t="s">
        <v>257</v>
      </c>
      <c r="C233" s="34">
        <v>1.5626447E7</v>
      </c>
      <c r="D233" s="34">
        <v>45360.0</v>
      </c>
      <c r="E233" s="34">
        <v>0.0</v>
      </c>
      <c r="F233" s="34">
        <v>0.0</v>
      </c>
      <c r="G233" s="34">
        <v>1832.0</v>
      </c>
      <c r="H233" s="34">
        <v>1352.0</v>
      </c>
      <c r="I233" s="34">
        <v>0.0</v>
      </c>
      <c r="J233" s="34">
        <v>8.140145614E9</v>
      </c>
      <c r="K233" s="34">
        <v>6.044415749E9</v>
      </c>
      <c r="L233" s="34">
        <v>1707.0</v>
      </c>
      <c r="M233" s="33" t="s">
        <v>153</v>
      </c>
      <c r="N233" s="33">
        <v>24.0</v>
      </c>
      <c r="O233" s="33"/>
      <c r="P233" s="33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1.80504744E8</v>
      </c>
      <c r="B234" s="31" t="s">
        <v>384</v>
      </c>
      <c r="C234" s="32">
        <v>1.5499108E7</v>
      </c>
      <c r="D234" s="32">
        <v>63296.0</v>
      </c>
      <c r="E234" s="32">
        <v>183910.0</v>
      </c>
      <c r="F234" s="32">
        <v>1162.0</v>
      </c>
      <c r="G234" s="32">
        <v>3864.0</v>
      </c>
      <c r="H234" s="32">
        <v>951.0</v>
      </c>
      <c r="I234" s="32">
        <v>0.0</v>
      </c>
      <c r="J234" s="32">
        <v>1.970318761E9</v>
      </c>
      <c r="K234" s="32">
        <v>3.2E8</v>
      </c>
      <c r="L234" s="32">
        <v>794.0</v>
      </c>
      <c r="M234" s="31" t="s">
        <v>147</v>
      </c>
      <c r="N234" s="31">
        <v>25.0</v>
      </c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1">
        <v>1.75281453E8</v>
      </c>
      <c r="B235" s="31" t="s">
        <v>262</v>
      </c>
      <c r="C235" s="32">
        <v>1.5483482E7</v>
      </c>
      <c r="D235" s="32">
        <v>1.200256E7</v>
      </c>
      <c r="E235" s="32">
        <v>1043466.0</v>
      </c>
      <c r="F235" s="32">
        <v>633100.0</v>
      </c>
      <c r="G235" s="32">
        <v>323471.0</v>
      </c>
      <c r="H235" s="32">
        <v>246075.0</v>
      </c>
      <c r="I235" s="32">
        <v>0.0</v>
      </c>
      <c r="J235" s="32">
        <v>3.946642581E9</v>
      </c>
      <c r="K235" s="32">
        <v>2.785644157E9</v>
      </c>
      <c r="L235" s="32">
        <v>12686.0</v>
      </c>
      <c r="M235" s="31" t="s">
        <v>153</v>
      </c>
      <c r="N235" s="31">
        <v>25.0</v>
      </c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1.84287725E8</v>
      </c>
      <c r="B236" s="33" t="s">
        <v>233</v>
      </c>
      <c r="C236" s="34">
        <v>1.5199567E7</v>
      </c>
      <c r="D236" s="34">
        <v>173990.0</v>
      </c>
      <c r="E236" s="34">
        <v>0.0</v>
      </c>
      <c r="F236" s="34">
        <v>0.0</v>
      </c>
      <c r="G236" s="34">
        <v>6551.0</v>
      </c>
      <c r="H236" s="34">
        <v>5424.0</v>
      </c>
      <c r="I236" s="34">
        <v>0.0</v>
      </c>
      <c r="J236" s="34">
        <v>3.347488675E9</v>
      </c>
      <c r="K236" s="34">
        <v>0.0</v>
      </c>
      <c r="L236" s="34">
        <v>700.0</v>
      </c>
      <c r="M236" s="33" t="s">
        <v>94</v>
      </c>
      <c r="N236" s="33">
        <v>23.0</v>
      </c>
      <c r="O236" s="33"/>
      <c r="P236" s="33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1.96555794E8</v>
      </c>
      <c r="B237" s="33" t="s">
        <v>261</v>
      </c>
      <c r="C237" s="34">
        <v>1.5076917E7</v>
      </c>
      <c r="D237" s="34">
        <v>112502.0</v>
      </c>
      <c r="E237" s="34">
        <v>0.0</v>
      </c>
      <c r="F237" s="34">
        <v>105330.0</v>
      </c>
      <c r="G237" s="34">
        <v>401.0</v>
      </c>
      <c r="H237" s="34">
        <v>158.0</v>
      </c>
      <c r="I237" s="34">
        <v>0.0</v>
      </c>
      <c r="J237" s="34">
        <v>4.034623474E9</v>
      </c>
      <c r="K237" s="34">
        <v>1.25674129E9</v>
      </c>
      <c r="L237" s="34">
        <v>2576.0</v>
      </c>
      <c r="M237" s="33" t="s">
        <v>94</v>
      </c>
      <c r="N237" s="33">
        <v>23.0</v>
      </c>
      <c r="O237" s="33"/>
      <c r="P237" s="33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3">
        <v>1.83302822E8</v>
      </c>
      <c r="B238" s="33" t="s">
        <v>280</v>
      </c>
      <c r="C238" s="34">
        <v>1.500843E7</v>
      </c>
      <c r="D238" s="34">
        <v>877526.0</v>
      </c>
      <c r="E238" s="34">
        <v>1168563.0</v>
      </c>
      <c r="F238" s="34">
        <v>28604.0</v>
      </c>
      <c r="G238" s="34">
        <v>64450.0</v>
      </c>
      <c r="H238" s="34">
        <v>4027.0</v>
      </c>
      <c r="I238" s="34">
        <v>0.0</v>
      </c>
      <c r="J238" s="34">
        <v>4.040353094E9</v>
      </c>
      <c r="K238" s="34">
        <v>2.80535441E9</v>
      </c>
      <c r="L238" s="34">
        <v>1354.0</v>
      </c>
      <c r="M238" s="33" t="s">
        <v>94</v>
      </c>
      <c r="N238" s="33">
        <v>24.0</v>
      </c>
      <c r="O238" s="33"/>
      <c r="P238" s="33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1">
        <v>1.05661574E8</v>
      </c>
      <c r="B239" s="31" t="s">
        <v>505</v>
      </c>
      <c r="C239" s="32">
        <v>1.4933027E7</v>
      </c>
      <c r="D239" s="32">
        <v>3.0199245E7</v>
      </c>
      <c r="E239" s="32">
        <v>2028234.0</v>
      </c>
      <c r="F239" s="32">
        <v>539006.0</v>
      </c>
      <c r="G239" s="32">
        <v>2070947.0</v>
      </c>
      <c r="H239" s="32">
        <v>324308.0</v>
      </c>
      <c r="I239" s="32">
        <v>0.0</v>
      </c>
      <c r="J239" s="32">
        <v>8.337740019E9</v>
      </c>
      <c r="K239" s="32">
        <v>8.605176133E9</v>
      </c>
      <c r="L239" s="32">
        <v>4976.0</v>
      </c>
      <c r="M239" s="31" t="s">
        <v>153</v>
      </c>
      <c r="N239" s="31">
        <v>25.0</v>
      </c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1.4404346E8</v>
      </c>
      <c r="B240" s="33" t="s">
        <v>231</v>
      </c>
      <c r="C240" s="34">
        <v>1.4803459E7</v>
      </c>
      <c r="D240" s="34">
        <v>2445760.0</v>
      </c>
      <c r="E240" s="34">
        <v>213678.0</v>
      </c>
      <c r="F240" s="34">
        <v>156164.0</v>
      </c>
      <c r="G240" s="34">
        <v>6083.0</v>
      </c>
      <c r="H240" s="34">
        <v>0.0</v>
      </c>
      <c r="I240" s="34">
        <v>0.0</v>
      </c>
      <c r="J240" s="34">
        <v>1.911656518E9</v>
      </c>
      <c r="K240" s="34">
        <v>0.0</v>
      </c>
      <c r="L240" s="34">
        <v>1295.0</v>
      </c>
      <c r="M240" s="33" t="s">
        <v>165</v>
      </c>
      <c r="N240" s="33">
        <v>24.0</v>
      </c>
      <c r="O240" s="33"/>
      <c r="P240" s="33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1.92309473E8</v>
      </c>
      <c r="B241" s="33" t="s">
        <v>270</v>
      </c>
      <c r="C241" s="34">
        <v>1.4775027E7</v>
      </c>
      <c r="D241" s="34">
        <v>0.0</v>
      </c>
      <c r="E241" s="34">
        <v>0.0</v>
      </c>
      <c r="F241" s="34">
        <v>0.0</v>
      </c>
      <c r="G241" s="34">
        <v>0.0</v>
      </c>
      <c r="H241" s="34">
        <v>0.0</v>
      </c>
      <c r="I241" s="34">
        <v>0.0</v>
      </c>
      <c r="J241" s="34">
        <v>5.672194775E9</v>
      </c>
      <c r="K241" s="34">
        <v>2.406281775E9</v>
      </c>
      <c r="L241" s="34">
        <v>1261.0</v>
      </c>
      <c r="M241" s="33" t="s">
        <v>153</v>
      </c>
      <c r="N241" s="33">
        <v>24.0</v>
      </c>
      <c r="O241" s="33"/>
      <c r="P241" s="33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3">
        <v>1.31105326E8</v>
      </c>
      <c r="B242" s="33" t="s">
        <v>271</v>
      </c>
      <c r="C242" s="34">
        <v>1.473176E7</v>
      </c>
      <c r="D242" s="34">
        <v>52342.0</v>
      </c>
      <c r="E242" s="34">
        <v>0.0</v>
      </c>
      <c r="F242" s="34">
        <v>8582.0</v>
      </c>
      <c r="G242" s="34">
        <v>3649.0</v>
      </c>
      <c r="H242" s="34">
        <v>0.0</v>
      </c>
      <c r="I242" s="34">
        <v>0.0</v>
      </c>
      <c r="J242" s="34">
        <v>7.762135199E9</v>
      </c>
      <c r="K242" s="34">
        <v>9.045134782E9</v>
      </c>
      <c r="L242" s="34">
        <v>1616.0</v>
      </c>
      <c r="M242" s="33" t="s">
        <v>94</v>
      </c>
      <c r="N242" s="33">
        <v>24.0</v>
      </c>
      <c r="O242" s="33"/>
      <c r="P242" s="33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3">
        <v>1.88084419E8</v>
      </c>
      <c r="B243" s="33" t="s">
        <v>203</v>
      </c>
      <c r="C243" s="34">
        <v>1.4711646E7</v>
      </c>
      <c r="D243" s="34">
        <v>2566037.0</v>
      </c>
      <c r="E243" s="34">
        <v>399331.0</v>
      </c>
      <c r="F243" s="34">
        <v>28076.0</v>
      </c>
      <c r="G243" s="34">
        <v>169779.0</v>
      </c>
      <c r="H243" s="34">
        <v>4764.0</v>
      </c>
      <c r="I243" s="34">
        <v>0.0</v>
      </c>
      <c r="J243" s="34">
        <v>1.907679438E9</v>
      </c>
      <c r="K243" s="34">
        <v>1.040661447E9</v>
      </c>
      <c r="L243" s="34">
        <v>2398.0</v>
      </c>
      <c r="M243" s="33" t="s">
        <v>147</v>
      </c>
      <c r="N243" s="33">
        <v>24.0</v>
      </c>
      <c r="O243" s="33"/>
      <c r="P243" s="33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1.92376835E8</v>
      </c>
      <c r="B244" s="33" t="s">
        <v>272</v>
      </c>
      <c r="C244" s="34">
        <v>1.4702941E7</v>
      </c>
      <c r="D244" s="34">
        <v>0.0</v>
      </c>
      <c r="E244" s="34">
        <v>0.0</v>
      </c>
      <c r="F244" s="34">
        <v>0.0</v>
      </c>
      <c r="G244" s="34">
        <v>0.0</v>
      </c>
      <c r="H244" s="34">
        <v>0.0</v>
      </c>
      <c r="I244" s="34">
        <v>0.0</v>
      </c>
      <c r="J244" s="34">
        <v>5.461718358E9</v>
      </c>
      <c r="K244" s="34">
        <v>2.225148957E9</v>
      </c>
      <c r="L244" s="34">
        <v>1279.0</v>
      </c>
      <c r="M244" s="33" t="s">
        <v>153</v>
      </c>
      <c r="N244" s="33">
        <v>24.0</v>
      </c>
      <c r="O244" s="33"/>
      <c r="P244" s="33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1">
        <v>1.06264973E8</v>
      </c>
      <c r="B245" s="31" t="s">
        <v>506</v>
      </c>
      <c r="C245" s="32">
        <v>1.4689673E7</v>
      </c>
      <c r="D245" s="32">
        <v>8880223.0</v>
      </c>
      <c r="E245" s="32">
        <v>1336041.0</v>
      </c>
      <c r="F245" s="32">
        <v>240809.0</v>
      </c>
      <c r="G245" s="32">
        <v>689374.0</v>
      </c>
      <c r="H245" s="32">
        <v>25642.0</v>
      </c>
      <c r="I245" s="32">
        <v>0.0</v>
      </c>
      <c r="J245" s="32">
        <v>4.898850099E9</v>
      </c>
      <c r="K245" s="32">
        <v>2.637422044E9</v>
      </c>
      <c r="L245" s="32">
        <v>13511.0</v>
      </c>
      <c r="M245" s="31" t="s">
        <v>153</v>
      </c>
      <c r="N245" s="31">
        <v>25.0</v>
      </c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1.59431767E8</v>
      </c>
      <c r="B246" s="33" t="s">
        <v>258</v>
      </c>
      <c r="C246" s="34">
        <v>1.4653071E7</v>
      </c>
      <c r="D246" s="34">
        <v>-1.0</v>
      </c>
      <c r="E246" s="34">
        <v>0.0</v>
      </c>
      <c r="F246" s="34">
        <v>0.0</v>
      </c>
      <c r="G246" s="34">
        <v>0.0</v>
      </c>
      <c r="H246" s="34">
        <v>0.0</v>
      </c>
      <c r="I246" s="34">
        <v>0.0</v>
      </c>
      <c r="J246" s="34">
        <v>2.910680359E9</v>
      </c>
      <c r="K246" s="34">
        <v>1.377969507E9</v>
      </c>
      <c r="L246" s="34">
        <v>797.0</v>
      </c>
      <c r="M246" s="33" t="s">
        <v>153</v>
      </c>
      <c r="N246" s="33">
        <v>24.0</v>
      </c>
      <c r="O246" s="33"/>
      <c r="P246" s="33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1">
        <v>1.17526833E8</v>
      </c>
      <c r="B247" s="31" t="s">
        <v>468</v>
      </c>
      <c r="C247" s="32">
        <v>1.4565723E7</v>
      </c>
      <c r="D247" s="32">
        <v>1338678.0</v>
      </c>
      <c r="E247" s="32">
        <v>1092659.0</v>
      </c>
      <c r="F247" s="32">
        <v>22923.0</v>
      </c>
      <c r="G247" s="32">
        <v>42600.0</v>
      </c>
      <c r="H247" s="32">
        <v>34607.0</v>
      </c>
      <c r="I247" s="32">
        <v>0.0</v>
      </c>
      <c r="J247" s="32">
        <v>2.085622275E9</v>
      </c>
      <c r="K247" s="32">
        <v>4219586.0</v>
      </c>
      <c r="L247" s="32">
        <v>2137.0</v>
      </c>
      <c r="M247" s="31" t="s">
        <v>492</v>
      </c>
      <c r="N247" s="31">
        <v>25.0</v>
      </c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1.67721298E8</v>
      </c>
      <c r="B248" s="33" t="s">
        <v>266</v>
      </c>
      <c r="C248" s="34">
        <v>1.4505425E7</v>
      </c>
      <c r="D248" s="34">
        <v>8969284.0</v>
      </c>
      <c r="E248" s="34">
        <v>1497386.0</v>
      </c>
      <c r="F248" s="34">
        <v>45213.0</v>
      </c>
      <c r="G248" s="34">
        <v>642441.0</v>
      </c>
      <c r="H248" s="34">
        <v>114691.0</v>
      </c>
      <c r="I248" s="34">
        <v>0.0</v>
      </c>
      <c r="J248" s="34">
        <v>1.2273285584E10</v>
      </c>
      <c r="K248" s="34">
        <v>9.827811063E9</v>
      </c>
      <c r="L248" s="34">
        <v>2199.0</v>
      </c>
      <c r="M248" s="33" t="s">
        <v>94</v>
      </c>
      <c r="N248" s="33">
        <v>24.0</v>
      </c>
      <c r="O248" s="33"/>
      <c r="P248" s="33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1.77632834E8</v>
      </c>
      <c r="B249" s="33" t="s">
        <v>268</v>
      </c>
      <c r="C249" s="34">
        <v>1.4352087E7</v>
      </c>
      <c r="D249" s="34">
        <v>1249958.0</v>
      </c>
      <c r="E249" s="34">
        <v>701662.0</v>
      </c>
      <c r="F249" s="34">
        <v>1912.0</v>
      </c>
      <c r="G249" s="34">
        <v>19146.0</v>
      </c>
      <c r="H249" s="34">
        <v>52011.0</v>
      </c>
      <c r="I249" s="34">
        <v>0.0</v>
      </c>
      <c r="J249" s="34">
        <v>1.744496919E9</v>
      </c>
      <c r="K249" s="34">
        <v>2.49001512E8</v>
      </c>
      <c r="L249" s="34">
        <v>1153.0</v>
      </c>
      <c r="M249" s="33" t="s">
        <v>147</v>
      </c>
      <c r="N249" s="33">
        <v>24.0</v>
      </c>
      <c r="O249" s="33"/>
      <c r="P249" s="33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1.44114562E8</v>
      </c>
      <c r="B250" s="33" t="s">
        <v>507</v>
      </c>
      <c r="C250" s="34">
        <v>1.4327275E7</v>
      </c>
      <c r="D250" s="34">
        <v>1212832.0</v>
      </c>
      <c r="E250" s="34">
        <v>1922195.0</v>
      </c>
      <c r="F250" s="34">
        <v>0.0</v>
      </c>
      <c r="G250" s="34">
        <v>67600.0</v>
      </c>
      <c r="H250" s="34">
        <v>24256.0</v>
      </c>
      <c r="I250" s="34">
        <v>0.0</v>
      </c>
      <c r="J250" s="34">
        <v>1.533704423E9</v>
      </c>
      <c r="K250" s="34">
        <v>3401938.0</v>
      </c>
      <c r="L250" s="34">
        <v>1210.0</v>
      </c>
      <c r="M250" s="33" t="s">
        <v>66</v>
      </c>
      <c r="N250" s="33">
        <v>23.0</v>
      </c>
      <c r="O250" s="33"/>
      <c r="P250" s="33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1.44078795E8</v>
      </c>
      <c r="B251" s="33" t="s">
        <v>263</v>
      </c>
      <c r="C251" s="34">
        <v>1.4295599E7</v>
      </c>
      <c r="D251" s="34">
        <v>508139.0</v>
      </c>
      <c r="E251" s="34">
        <v>622978.0</v>
      </c>
      <c r="F251" s="34">
        <v>1515.0</v>
      </c>
      <c r="G251" s="34">
        <v>40282.0</v>
      </c>
      <c r="H251" s="34">
        <v>5056.0</v>
      </c>
      <c r="I251" s="34">
        <v>0.0</v>
      </c>
      <c r="J251" s="34">
        <v>9971915.0</v>
      </c>
      <c r="K251" s="34">
        <v>3904993.0</v>
      </c>
      <c r="L251" s="34">
        <v>1673.0</v>
      </c>
      <c r="M251" s="33" t="s">
        <v>264</v>
      </c>
      <c r="N251" s="33">
        <v>22.0</v>
      </c>
      <c r="O251" s="33"/>
      <c r="P251" s="33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1.44056117E8</v>
      </c>
      <c r="B252" s="33" t="s">
        <v>269</v>
      </c>
      <c r="C252" s="34">
        <v>1.4248095E7</v>
      </c>
      <c r="D252" s="34">
        <v>3285581.0</v>
      </c>
      <c r="E252" s="34">
        <v>1090347.0</v>
      </c>
      <c r="F252" s="34">
        <v>90017.0</v>
      </c>
      <c r="G252" s="34">
        <v>134161.0</v>
      </c>
      <c r="H252" s="34">
        <v>41198.0</v>
      </c>
      <c r="I252" s="34">
        <v>0.0</v>
      </c>
      <c r="J252" s="34">
        <v>2.611943695E9</v>
      </c>
      <c r="K252" s="34">
        <v>1030848.0</v>
      </c>
      <c r="L252" s="34">
        <v>855.0</v>
      </c>
      <c r="M252" s="33" t="s">
        <v>492</v>
      </c>
      <c r="N252" s="33">
        <v>23.0</v>
      </c>
      <c r="O252" s="33"/>
      <c r="P252" s="33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9.0073079E7</v>
      </c>
      <c r="B253" s="33" t="s">
        <v>275</v>
      </c>
      <c r="C253" s="34">
        <v>1.4235182E7</v>
      </c>
      <c r="D253" s="34">
        <v>442264.0</v>
      </c>
      <c r="E253" s="34">
        <v>12587.0</v>
      </c>
      <c r="F253" s="34">
        <v>95320.0</v>
      </c>
      <c r="G253" s="34">
        <v>8707.0</v>
      </c>
      <c r="H253" s="34">
        <v>0.0</v>
      </c>
      <c r="I253" s="34">
        <v>0.0</v>
      </c>
      <c r="J253" s="34">
        <v>1.2072865238E10</v>
      </c>
      <c r="K253" s="34">
        <v>1.404924399E10</v>
      </c>
      <c r="L253" s="34">
        <v>5189.0</v>
      </c>
      <c r="M253" s="33" t="s">
        <v>66</v>
      </c>
      <c r="N253" s="33">
        <v>22.0</v>
      </c>
      <c r="O253" s="33"/>
      <c r="P253" s="33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1.48245743E8</v>
      </c>
      <c r="B254" s="33" t="s">
        <v>484</v>
      </c>
      <c r="C254" s="34">
        <v>1.4072085E7</v>
      </c>
      <c r="D254" s="34">
        <v>2804575.0</v>
      </c>
      <c r="E254" s="34">
        <v>718507.0</v>
      </c>
      <c r="F254" s="34">
        <v>18986.0</v>
      </c>
      <c r="G254" s="34">
        <v>94334.0</v>
      </c>
      <c r="H254" s="34">
        <v>85451.0</v>
      </c>
      <c r="I254" s="34">
        <v>0.0</v>
      </c>
      <c r="J254" s="34">
        <v>1.169599659E9</v>
      </c>
      <c r="K254" s="34">
        <v>0.0</v>
      </c>
      <c r="L254" s="34">
        <v>439.0</v>
      </c>
      <c r="M254" s="33" t="s">
        <v>94</v>
      </c>
      <c r="N254" s="33">
        <v>24.0</v>
      </c>
      <c r="O254" s="33"/>
      <c r="P254" s="33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3">
        <v>8.7312053E7</v>
      </c>
      <c r="B255" s="33" t="s">
        <v>279</v>
      </c>
      <c r="C255" s="34">
        <v>1.399864E7</v>
      </c>
      <c r="D255" s="34">
        <v>1422545.0</v>
      </c>
      <c r="E255" s="34">
        <v>137846.0</v>
      </c>
      <c r="F255" s="34">
        <v>205069.0</v>
      </c>
      <c r="G255" s="34">
        <v>11703.0</v>
      </c>
      <c r="H255" s="34">
        <v>0.0</v>
      </c>
      <c r="I255" s="34">
        <v>0.0</v>
      </c>
      <c r="J255" s="34">
        <v>1.1631979703E10</v>
      </c>
      <c r="K255" s="34">
        <v>1.2302695274E10</v>
      </c>
      <c r="L255" s="34">
        <v>6508.0</v>
      </c>
      <c r="M255" s="33" t="s">
        <v>66</v>
      </c>
      <c r="N255" s="33">
        <v>22.0</v>
      </c>
      <c r="O255" s="33"/>
      <c r="P255" s="33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1.68857269E8</v>
      </c>
      <c r="B256" s="33" t="s">
        <v>273</v>
      </c>
      <c r="C256" s="34">
        <v>1.3985646E7</v>
      </c>
      <c r="D256" s="34">
        <v>6749231.0</v>
      </c>
      <c r="E256" s="34">
        <v>1357929.0</v>
      </c>
      <c r="F256" s="34">
        <v>39286.0</v>
      </c>
      <c r="G256" s="34">
        <v>609241.0</v>
      </c>
      <c r="H256" s="34">
        <v>29545.0</v>
      </c>
      <c r="I256" s="34">
        <v>0.0</v>
      </c>
      <c r="J256" s="34">
        <v>3.860730527E9</v>
      </c>
      <c r="K256" s="34">
        <v>6.62826713E8</v>
      </c>
      <c r="L256" s="34">
        <v>1594.0</v>
      </c>
      <c r="M256" s="33" t="s">
        <v>153</v>
      </c>
      <c r="N256" s="33">
        <v>24.0</v>
      </c>
      <c r="O256" s="33"/>
      <c r="P256" s="33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1.76614955E8</v>
      </c>
      <c r="B257" s="33" t="s">
        <v>274</v>
      </c>
      <c r="C257" s="34">
        <v>1.391995E7</v>
      </c>
      <c r="D257" s="34">
        <v>2911595.0</v>
      </c>
      <c r="E257" s="34">
        <v>178776.0</v>
      </c>
      <c r="F257" s="34">
        <v>206889.0</v>
      </c>
      <c r="G257" s="34">
        <v>246985.0</v>
      </c>
      <c r="H257" s="34">
        <v>1.0</v>
      </c>
      <c r="I257" s="34">
        <v>0.0</v>
      </c>
      <c r="J257" s="34">
        <v>1.0163202954E10</v>
      </c>
      <c r="K257" s="34">
        <v>9.436300713E9</v>
      </c>
      <c r="L257" s="34">
        <v>4955.0</v>
      </c>
      <c r="M257" s="33" t="s">
        <v>153</v>
      </c>
      <c r="N257" s="33">
        <v>24.0</v>
      </c>
      <c r="O257" s="33"/>
      <c r="P257" s="33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7.9098771E7</v>
      </c>
      <c r="B258" s="33" t="s">
        <v>508</v>
      </c>
      <c r="C258" s="34">
        <v>1.3842746E7</v>
      </c>
      <c r="D258" s="34">
        <v>2548139.0</v>
      </c>
      <c r="E258" s="34">
        <v>606164.0</v>
      </c>
      <c r="F258" s="34">
        <v>23465.0</v>
      </c>
      <c r="G258" s="34">
        <v>166025.0</v>
      </c>
      <c r="H258" s="34">
        <v>44126.0</v>
      </c>
      <c r="I258" s="34">
        <v>0.0</v>
      </c>
      <c r="J258" s="34">
        <v>8.847622887E9</v>
      </c>
      <c r="K258" s="34">
        <v>7.593529434E9</v>
      </c>
      <c r="L258" s="34">
        <v>1726.0</v>
      </c>
      <c r="M258" s="33" t="s">
        <v>94</v>
      </c>
      <c r="N258" s="33">
        <v>23.0</v>
      </c>
      <c r="O258" s="33"/>
      <c r="P258" s="33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1.68821399E8</v>
      </c>
      <c r="B259" s="31" t="s">
        <v>385</v>
      </c>
      <c r="C259" s="32">
        <v>1.3627762E7</v>
      </c>
      <c r="D259" s="32">
        <v>3357118.0</v>
      </c>
      <c r="E259" s="32">
        <v>1916784.0</v>
      </c>
      <c r="F259" s="32">
        <v>328231.0</v>
      </c>
      <c r="G259" s="32">
        <v>286104.0</v>
      </c>
      <c r="H259" s="32">
        <v>14726.0</v>
      </c>
      <c r="I259" s="32">
        <v>0.0</v>
      </c>
      <c r="J259" s="32">
        <v>8.14944643E9</v>
      </c>
      <c r="K259" s="32">
        <v>4.619081699E9</v>
      </c>
      <c r="L259" s="32">
        <v>1792.0</v>
      </c>
      <c r="M259" s="31" t="s">
        <v>153</v>
      </c>
      <c r="N259" s="31">
        <v>25.0</v>
      </c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8.9432154E7</v>
      </c>
      <c r="B260" s="33" t="s">
        <v>285</v>
      </c>
      <c r="C260" s="34">
        <v>1.3527968E7</v>
      </c>
      <c r="D260" s="34">
        <v>2306854.0</v>
      </c>
      <c r="E260" s="34">
        <v>552580.0</v>
      </c>
      <c r="F260" s="34">
        <v>11044.0</v>
      </c>
      <c r="G260" s="34">
        <v>192874.0</v>
      </c>
      <c r="H260" s="34">
        <v>0.0</v>
      </c>
      <c r="I260" s="34">
        <v>0.0</v>
      </c>
      <c r="J260" s="34">
        <v>1.2002318952E10</v>
      </c>
      <c r="K260" s="34">
        <v>1.3564085239E10</v>
      </c>
      <c r="L260" s="34">
        <v>4614.0</v>
      </c>
      <c r="M260" s="33" t="s">
        <v>66</v>
      </c>
      <c r="N260" s="33">
        <v>22.0</v>
      </c>
      <c r="O260" s="33"/>
      <c r="P260" s="33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3">
        <v>1.90414225E8</v>
      </c>
      <c r="B261" s="33" t="s">
        <v>509</v>
      </c>
      <c r="C261" s="34">
        <v>1.3509416E7</v>
      </c>
      <c r="D261" s="34">
        <v>2246854.0</v>
      </c>
      <c r="E261" s="34">
        <v>0.0</v>
      </c>
      <c r="F261" s="34">
        <v>0.0</v>
      </c>
      <c r="G261" s="34">
        <v>177233.0</v>
      </c>
      <c r="H261" s="34">
        <v>0.0</v>
      </c>
      <c r="I261" s="34">
        <v>0.0</v>
      </c>
      <c r="J261" s="34">
        <v>1.557682911E9</v>
      </c>
      <c r="K261" s="34">
        <v>0.0</v>
      </c>
      <c r="L261" s="34">
        <v>1104.0</v>
      </c>
      <c r="M261" s="33" t="s">
        <v>153</v>
      </c>
      <c r="N261" s="33">
        <v>24.0</v>
      </c>
      <c r="O261" s="33"/>
      <c r="P261" s="33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1.5265234E8</v>
      </c>
      <c r="B262" s="33" t="s">
        <v>286</v>
      </c>
      <c r="C262" s="34">
        <v>1.349431E7</v>
      </c>
      <c r="D262" s="34">
        <v>3280939.0</v>
      </c>
      <c r="E262" s="34">
        <v>2379037.0</v>
      </c>
      <c r="F262" s="34">
        <v>18066.0</v>
      </c>
      <c r="G262" s="34">
        <v>179178.0</v>
      </c>
      <c r="H262" s="34">
        <v>53452.0</v>
      </c>
      <c r="I262" s="34">
        <v>0.0</v>
      </c>
      <c r="J262" s="34">
        <v>7.919920766E9</v>
      </c>
      <c r="K262" s="34">
        <v>5.840859107E9</v>
      </c>
      <c r="L262" s="34">
        <v>1588.0</v>
      </c>
      <c r="M262" s="33" t="s">
        <v>66</v>
      </c>
      <c r="N262" s="33">
        <v>24.0</v>
      </c>
      <c r="O262" s="33"/>
      <c r="P262" s="33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8.7754003E7</v>
      </c>
      <c r="B263" s="33" t="s">
        <v>470</v>
      </c>
      <c r="C263" s="34">
        <v>1.3323797E7</v>
      </c>
      <c r="D263" s="34">
        <v>478058.0</v>
      </c>
      <c r="E263" s="34">
        <v>11855.0</v>
      </c>
      <c r="F263" s="34">
        <v>98714.0</v>
      </c>
      <c r="G263" s="34">
        <v>9348.0</v>
      </c>
      <c r="H263" s="34">
        <v>0.0</v>
      </c>
      <c r="I263" s="34">
        <v>0.0</v>
      </c>
      <c r="J263" s="34">
        <v>8.491332483E9</v>
      </c>
      <c r="K263" s="34">
        <v>9.381113498E9</v>
      </c>
      <c r="L263" s="34">
        <v>5132.0</v>
      </c>
      <c r="M263" s="33" t="s">
        <v>66</v>
      </c>
      <c r="N263" s="33">
        <v>22.0</v>
      </c>
      <c r="O263" s="33"/>
      <c r="P263" s="33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1">
        <v>1.69610538E8</v>
      </c>
      <c r="B264" s="31" t="s">
        <v>432</v>
      </c>
      <c r="C264" s="32">
        <v>1.3265376E7</v>
      </c>
      <c r="D264" s="32">
        <v>492926.0</v>
      </c>
      <c r="E264" s="32">
        <v>1569585.0</v>
      </c>
      <c r="F264" s="32">
        <v>3.0</v>
      </c>
      <c r="G264" s="32">
        <v>4092.0</v>
      </c>
      <c r="H264" s="32">
        <v>21064.0</v>
      </c>
      <c r="I264" s="32">
        <v>0.0</v>
      </c>
      <c r="J264" s="32">
        <v>8.887197523E9</v>
      </c>
      <c r="K264" s="32">
        <v>4.669995414E9</v>
      </c>
      <c r="L264" s="32">
        <v>1510.0</v>
      </c>
      <c r="M264" s="31" t="s">
        <v>94</v>
      </c>
      <c r="N264" s="31">
        <v>25.0</v>
      </c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1">
        <v>8.7579313E7</v>
      </c>
      <c r="B265" s="31" t="s">
        <v>510</v>
      </c>
      <c r="C265" s="32">
        <v>1.31872E7</v>
      </c>
      <c r="D265" s="32">
        <v>2825806.0</v>
      </c>
      <c r="E265" s="32">
        <v>1274114.0</v>
      </c>
      <c r="F265" s="32">
        <v>973310.0</v>
      </c>
      <c r="G265" s="32">
        <v>128400.0</v>
      </c>
      <c r="H265" s="32">
        <v>41492.0</v>
      </c>
      <c r="I265" s="32">
        <v>0.0</v>
      </c>
      <c r="J265" s="32">
        <v>8.958618912E9</v>
      </c>
      <c r="K265" s="32">
        <v>6.483333966E9</v>
      </c>
      <c r="L265" s="32">
        <v>2370.0</v>
      </c>
      <c r="M265" s="31" t="s">
        <v>66</v>
      </c>
      <c r="N265" s="31">
        <v>25.0</v>
      </c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3">
        <v>1.52653457E8</v>
      </c>
      <c r="B266" s="33" t="s">
        <v>287</v>
      </c>
      <c r="C266" s="34">
        <v>1.3172757E7</v>
      </c>
      <c r="D266" s="34">
        <v>3195669.0</v>
      </c>
      <c r="E266" s="34">
        <v>2692068.0</v>
      </c>
      <c r="F266" s="34">
        <v>37019.0</v>
      </c>
      <c r="G266" s="34">
        <v>144359.0</v>
      </c>
      <c r="H266" s="34">
        <v>72708.0</v>
      </c>
      <c r="I266" s="34">
        <v>0.0</v>
      </c>
      <c r="J266" s="34">
        <v>7.906702788E9</v>
      </c>
      <c r="K266" s="34">
        <v>5.796085395E9</v>
      </c>
      <c r="L266" s="34">
        <v>1513.0</v>
      </c>
      <c r="M266" s="33" t="s">
        <v>66</v>
      </c>
      <c r="N266" s="33">
        <v>24.0</v>
      </c>
      <c r="O266" s="33"/>
      <c r="P266" s="33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8.7531547E7</v>
      </c>
      <c r="B267" s="33" t="s">
        <v>288</v>
      </c>
      <c r="C267" s="34">
        <v>1.316376E7</v>
      </c>
      <c r="D267" s="34">
        <v>1588813.0</v>
      </c>
      <c r="E267" s="34">
        <v>692135.0</v>
      </c>
      <c r="F267" s="34">
        <v>309639.0</v>
      </c>
      <c r="G267" s="34">
        <v>82124.0</v>
      </c>
      <c r="H267" s="34">
        <v>962.0</v>
      </c>
      <c r="I267" s="34">
        <v>0.0</v>
      </c>
      <c r="J267" s="34">
        <v>1.088797859E10</v>
      </c>
      <c r="K267" s="34">
        <v>1.1769149917E10</v>
      </c>
      <c r="L267" s="34">
        <v>4051.0</v>
      </c>
      <c r="M267" s="33" t="s">
        <v>66</v>
      </c>
      <c r="N267" s="33">
        <v>22.0</v>
      </c>
      <c r="O267" s="33"/>
      <c r="P267" s="33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1">
        <v>1.79651678E8</v>
      </c>
      <c r="B268" s="31" t="s">
        <v>283</v>
      </c>
      <c r="C268" s="32">
        <v>1.3126304E7</v>
      </c>
      <c r="D268" s="32">
        <v>9596330.0</v>
      </c>
      <c r="E268" s="32">
        <v>1786794.0</v>
      </c>
      <c r="F268" s="32">
        <v>593624.0</v>
      </c>
      <c r="G268" s="32">
        <v>647464.0</v>
      </c>
      <c r="H268" s="32">
        <v>145591.0</v>
      </c>
      <c r="I268" s="32">
        <v>0.0</v>
      </c>
      <c r="J268" s="32">
        <v>5.211696115E9</v>
      </c>
      <c r="K268" s="32">
        <v>3.167058363E9</v>
      </c>
      <c r="L268" s="32">
        <v>2177.0</v>
      </c>
      <c r="M268" s="31" t="s">
        <v>147</v>
      </c>
      <c r="N268" s="31">
        <v>25.0</v>
      </c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1.05646511E8</v>
      </c>
      <c r="B269" s="33" t="s">
        <v>485</v>
      </c>
      <c r="C269" s="34">
        <v>1.3082925E7</v>
      </c>
      <c r="D269" s="34">
        <v>2403005.0</v>
      </c>
      <c r="E269" s="34">
        <v>504461.0</v>
      </c>
      <c r="F269" s="34">
        <v>132176.0</v>
      </c>
      <c r="G269" s="34">
        <v>67351.0</v>
      </c>
      <c r="H269" s="34">
        <v>7671.0</v>
      </c>
      <c r="I269" s="34">
        <v>0.0</v>
      </c>
      <c r="J269" s="34">
        <v>1.224362147E9</v>
      </c>
      <c r="K269" s="34">
        <v>2.3589896E7</v>
      </c>
      <c r="L269" s="34">
        <v>3387.0</v>
      </c>
      <c r="M269" s="33" t="s">
        <v>66</v>
      </c>
      <c r="N269" s="33">
        <v>23.0</v>
      </c>
      <c r="O269" s="33"/>
      <c r="P269" s="33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1.51248241E8</v>
      </c>
      <c r="B270" s="33" t="s">
        <v>290</v>
      </c>
      <c r="C270" s="34">
        <v>1.2988326E7</v>
      </c>
      <c r="D270" s="34">
        <v>1371541.0</v>
      </c>
      <c r="E270" s="34">
        <v>94486.0</v>
      </c>
      <c r="F270" s="34">
        <v>6395.0</v>
      </c>
      <c r="G270" s="34">
        <v>126790.0</v>
      </c>
      <c r="H270" s="34">
        <v>0.0</v>
      </c>
      <c r="I270" s="34">
        <v>0.0</v>
      </c>
      <c r="J270" s="34">
        <v>2.685046205E9</v>
      </c>
      <c r="K270" s="34">
        <v>7.26817496E8</v>
      </c>
      <c r="L270" s="34">
        <v>5896.0</v>
      </c>
      <c r="M270" s="33" t="s">
        <v>94</v>
      </c>
      <c r="N270" s="33">
        <v>24.0</v>
      </c>
      <c r="O270" s="33"/>
      <c r="P270" s="33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2.4777206E7</v>
      </c>
      <c r="B271" s="33" t="s">
        <v>289</v>
      </c>
      <c r="C271" s="34">
        <v>1.2941474E7</v>
      </c>
      <c r="D271" s="34">
        <v>3178989.0</v>
      </c>
      <c r="E271" s="34">
        <v>1435029.0</v>
      </c>
      <c r="F271" s="34">
        <v>23338.0</v>
      </c>
      <c r="G271" s="34">
        <v>52691.0</v>
      </c>
      <c r="H271" s="34">
        <v>90243.0</v>
      </c>
      <c r="I271" s="34">
        <v>0.0</v>
      </c>
      <c r="J271" s="34">
        <v>3.996719175E9</v>
      </c>
      <c r="K271" s="34">
        <v>5.813477761E9</v>
      </c>
      <c r="L271" s="34">
        <v>2571.0</v>
      </c>
      <c r="M271" s="33" t="s">
        <v>153</v>
      </c>
      <c r="N271" s="33">
        <v>23.0</v>
      </c>
      <c r="O271" s="33"/>
      <c r="P271" s="33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1">
        <v>1.4420936E8</v>
      </c>
      <c r="B272" s="31" t="s">
        <v>511</v>
      </c>
      <c r="C272" s="32">
        <v>1.2934235E7</v>
      </c>
      <c r="D272" s="32">
        <v>1499914.0</v>
      </c>
      <c r="E272" s="32">
        <v>1248165.0</v>
      </c>
      <c r="F272" s="32">
        <v>48254.0</v>
      </c>
      <c r="G272" s="32">
        <v>45611.0</v>
      </c>
      <c r="H272" s="32">
        <v>36122.0</v>
      </c>
      <c r="I272" s="32">
        <v>0.0</v>
      </c>
      <c r="J272" s="32">
        <v>1.990311509E9</v>
      </c>
      <c r="K272" s="32">
        <v>2400000.0</v>
      </c>
      <c r="L272" s="32">
        <v>1377.0</v>
      </c>
      <c r="M272" s="31" t="s">
        <v>66</v>
      </c>
      <c r="N272" s="31">
        <v>25.0</v>
      </c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4.7157775E7</v>
      </c>
      <c r="B273" s="33" t="s">
        <v>276</v>
      </c>
      <c r="C273" s="34">
        <v>1.2890103E7</v>
      </c>
      <c r="D273" s="34">
        <v>469490.0</v>
      </c>
      <c r="E273" s="34">
        <v>719004.0</v>
      </c>
      <c r="F273" s="34">
        <v>1153.0</v>
      </c>
      <c r="G273" s="34">
        <v>7698.0</v>
      </c>
      <c r="H273" s="34">
        <v>10645.0</v>
      </c>
      <c r="I273" s="34">
        <v>0.0</v>
      </c>
      <c r="J273" s="34">
        <v>2.177221776E10</v>
      </c>
      <c r="K273" s="34">
        <v>2.0138690131E10</v>
      </c>
      <c r="L273" s="34">
        <v>2779.0</v>
      </c>
      <c r="M273" s="33" t="s">
        <v>153</v>
      </c>
      <c r="N273" s="33">
        <v>24.0</v>
      </c>
      <c r="O273" s="33"/>
      <c r="P273" s="33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1">
        <v>1.80743895E8</v>
      </c>
      <c r="B274" s="31" t="s">
        <v>435</v>
      </c>
      <c r="C274" s="32">
        <v>1.2821551E7</v>
      </c>
      <c r="D274" s="32">
        <v>1283072.0</v>
      </c>
      <c r="E274" s="32">
        <v>1893314.0</v>
      </c>
      <c r="F274" s="32">
        <v>4711.0</v>
      </c>
      <c r="G274" s="32">
        <v>13098.0</v>
      </c>
      <c r="H274" s="32">
        <v>56755.0</v>
      </c>
      <c r="I274" s="32">
        <v>0.0</v>
      </c>
      <c r="J274" s="32">
        <v>4.307908007E9</v>
      </c>
      <c r="K274" s="32">
        <v>3.349477122E9</v>
      </c>
      <c r="L274" s="32">
        <v>1956.0</v>
      </c>
      <c r="M274" s="31" t="s">
        <v>153</v>
      </c>
      <c r="N274" s="31">
        <v>25.0</v>
      </c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1.77225071E8</v>
      </c>
      <c r="B275" s="33" t="s">
        <v>298</v>
      </c>
      <c r="C275" s="34">
        <v>1.2542369E7</v>
      </c>
      <c r="D275" s="34">
        <v>1033872.0</v>
      </c>
      <c r="E275" s="34">
        <v>2192960.0</v>
      </c>
      <c r="F275" s="34">
        <v>662231.0</v>
      </c>
      <c r="G275" s="34">
        <v>58320.0</v>
      </c>
      <c r="H275" s="34">
        <v>9575.0</v>
      </c>
      <c r="I275" s="34">
        <v>0.0</v>
      </c>
      <c r="J275" s="34">
        <v>6.048829252E9</v>
      </c>
      <c r="K275" s="34">
        <v>5.163686099E9</v>
      </c>
      <c r="L275" s="34">
        <v>1453.0</v>
      </c>
      <c r="M275" s="33" t="s">
        <v>147</v>
      </c>
      <c r="N275" s="33">
        <v>24.0</v>
      </c>
      <c r="O275" s="33"/>
      <c r="P275" s="33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1">
        <v>1.00844055E8</v>
      </c>
      <c r="B276" s="31" t="s">
        <v>386</v>
      </c>
      <c r="C276" s="32">
        <v>1.2540772E7</v>
      </c>
      <c r="D276" s="32">
        <v>8818085.0</v>
      </c>
      <c r="E276" s="32">
        <v>1945308.0</v>
      </c>
      <c r="F276" s="32">
        <v>18479.0</v>
      </c>
      <c r="G276" s="32">
        <v>815682.0</v>
      </c>
      <c r="H276" s="32">
        <v>22112.0</v>
      </c>
      <c r="I276" s="32">
        <v>0.0</v>
      </c>
      <c r="J276" s="32">
        <v>3.59742656E9</v>
      </c>
      <c r="K276" s="32">
        <v>1.253977396E9</v>
      </c>
      <c r="L276" s="32">
        <v>7448.0</v>
      </c>
      <c r="M276" s="31" t="s">
        <v>165</v>
      </c>
      <c r="N276" s="31">
        <v>25.0</v>
      </c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7.7397858E7</v>
      </c>
      <c r="B277" s="33" t="s">
        <v>297</v>
      </c>
      <c r="C277" s="34">
        <v>1.2538335E7</v>
      </c>
      <c r="D277" s="34">
        <v>6039713.0</v>
      </c>
      <c r="E277" s="34">
        <v>1121881.0</v>
      </c>
      <c r="F277" s="34">
        <v>201117.0</v>
      </c>
      <c r="G277" s="34">
        <v>295460.0</v>
      </c>
      <c r="H277" s="34">
        <v>51656.0</v>
      </c>
      <c r="I277" s="34">
        <v>0.0</v>
      </c>
      <c r="J277" s="34">
        <v>7.21492209E8</v>
      </c>
      <c r="K277" s="34">
        <v>0.0</v>
      </c>
      <c r="L277" s="34">
        <v>1095.0</v>
      </c>
      <c r="M277" s="33" t="s">
        <v>66</v>
      </c>
      <c r="N277" s="33">
        <v>23.0</v>
      </c>
      <c r="O277" s="33"/>
      <c r="P277" s="33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1">
        <v>9.1488989E7</v>
      </c>
      <c r="B278" s="31" t="s">
        <v>486</v>
      </c>
      <c r="C278" s="32">
        <v>1.2527827E7</v>
      </c>
      <c r="D278" s="32">
        <v>971720.0</v>
      </c>
      <c r="E278" s="32">
        <v>798277.0</v>
      </c>
      <c r="F278" s="32">
        <v>2341.0</v>
      </c>
      <c r="G278" s="32">
        <v>92524.0</v>
      </c>
      <c r="H278" s="32">
        <v>0.0</v>
      </c>
      <c r="I278" s="32">
        <v>0.0</v>
      </c>
      <c r="J278" s="32">
        <v>1.018423027E9</v>
      </c>
      <c r="K278" s="32">
        <v>0.0</v>
      </c>
      <c r="L278" s="32">
        <v>729.0</v>
      </c>
      <c r="M278" s="31" t="s">
        <v>66</v>
      </c>
      <c r="N278" s="31">
        <v>25.0</v>
      </c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1.44003473E8</v>
      </c>
      <c r="B279" s="33" t="s">
        <v>295</v>
      </c>
      <c r="C279" s="34">
        <v>1.2522327E7</v>
      </c>
      <c r="D279" s="34">
        <v>2748308.0</v>
      </c>
      <c r="E279" s="34">
        <v>799051.0</v>
      </c>
      <c r="F279" s="34">
        <v>10740.0</v>
      </c>
      <c r="G279" s="34">
        <v>206424.0</v>
      </c>
      <c r="H279" s="34">
        <v>26473.0</v>
      </c>
      <c r="I279" s="34">
        <v>0.0</v>
      </c>
      <c r="J279" s="34">
        <v>6.458922655E9</v>
      </c>
      <c r="K279" s="34">
        <v>3.39326158E9</v>
      </c>
      <c r="L279" s="34">
        <v>2514.0</v>
      </c>
      <c r="M279" s="33" t="s">
        <v>66</v>
      </c>
      <c r="N279" s="33">
        <v>24.0</v>
      </c>
      <c r="O279" s="33"/>
      <c r="P279" s="33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1.78759749E8</v>
      </c>
      <c r="B280" s="33" t="s">
        <v>294</v>
      </c>
      <c r="C280" s="34">
        <v>1.2455559E7</v>
      </c>
      <c r="D280" s="34">
        <v>123088.0</v>
      </c>
      <c r="E280" s="34">
        <v>127880.0</v>
      </c>
      <c r="F280" s="34">
        <v>362.0</v>
      </c>
      <c r="G280" s="34">
        <v>8565.0</v>
      </c>
      <c r="H280" s="34">
        <v>0.0</v>
      </c>
      <c r="I280" s="34">
        <v>0.0</v>
      </c>
      <c r="J280" s="34">
        <v>6.537206197E9</v>
      </c>
      <c r="K280" s="34">
        <v>5.399273645E9</v>
      </c>
      <c r="L280" s="34">
        <v>1482.0</v>
      </c>
      <c r="M280" s="33" t="s">
        <v>153</v>
      </c>
      <c r="N280" s="33">
        <v>24.0</v>
      </c>
      <c r="O280" s="33"/>
      <c r="P280" s="33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1">
        <v>6.5702055E7</v>
      </c>
      <c r="B281" s="31" t="s">
        <v>302</v>
      </c>
      <c r="C281" s="32">
        <v>1.2366549E7</v>
      </c>
      <c r="D281" s="32">
        <v>506067.0</v>
      </c>
      <c r="E281" s="32">
        <v>795024.0</v>
      </c>
      <c r="F281" s="32">
        <v>28966.0</v>
      </c>
      <c r="G281" s="32">
        <v>25195.0</v>
      </c>
      <c r="H281" s="32">
        <v>3024.0</v>
      </c>
      <c r="I281" s="32">
        <v>0.0</v>
      </c>
      <c r="J281" s="32">
        <v>9.658458461E9</v>
      </c>
      <c r="K281" s="32">
        <v>1.0218488381E10</v>
      </c>
      <c r="L281" s="32">
        <v>2161.0</v>
      </c>
      <c r="M281" s="31" t="s">
        <v>153</v>
      </c>
      <c r="N281" s="31">
        <v>25.0</v>
      </c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8.7273183E7</v>
      </c>
      <c r="B282" s="33" t="s">
        <v>301</v>
      </c>
      <c r="C282" s="34">
        <v>1.2345728E7</v>
      </c>
      <c r="D282" s="34">
        <v>1562113.0</v>
      </c>
      <c r="E282" s="34">
        <v>629419.0</v>
      </c>
      <c r="F282" s="34">
        <v>84546.0</v>
      </c>
      <c r="G282" s="34">
        <v>135458.0</v>
      </c>
      <c r="H282" s="34">
        <v>0.0</v>
      </c>
      <c r="I282" s="34">
        <v>0.0</v>
      </c>
      <c r="J282" s="34">
        <v>1.1450622502E10</v>
      </c>
      <c r="K282" s="34">
        <v>1.2196585503E10</v>
      </c>
      <c r="L282" s="34">
        <v>4488.0</v>
      </c>
      <c r="M282" s="33" t="s">
        <v>66</v>
      </c>
      <c r="N282" s="33">
        <v>22.0</v>
      </c>
      <c r="O282" s="33"/>
      <c r="P282" s="33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1.77647871E8</v>
      </c>
      <c r="B283" s="33" t="s">
        <v>293</v>
      </c>
      <c r="C283" s="34">
        <v>1.2322223E7</v>
      </c>
      <c r="D283" s="34">
        <v>255311.0</v>
      </c>
      <c r="E283" s="34">
        <v>0.0</v>
      </c>
      <c r="F283" s="34">
        <v>21295.0</v>
      </c>
      <c r="G283" s="34">
        <v>14770.0</v>
      </c>
      <c r="H283" s="34">
        <v>0.0</v>
      </c>
      <c r="I283" s="34">
        <v>0.0</v>
      </c>
      <c r="J283" s="34">
        <v>2.052581241E9</v>
      </c>
      <c r="K283" s="34">
        <v>1.868392265E9</v>
      </c>
      <c r="L283" s="34">
        <v>777.0</v>
      </c>
      <c r="M283" s="33" t="s">
        <v>153</v>
      </c>
      <c r="N283" s="33">
        <v>23.0</v>
      </c>
      <c r="O283" s="33"/>
      <c r="P283" s="33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1.77721232E8</v>
      </c>
      <c r="B284" s="33" t="s">
        <v>299</v>
      </c>
      <c r="C284" s="34">
        <v>1.2248586E7</v>
      </c>
      <c r="D284" s="34">
        <v>169357.0</v>
      </c>
      <c r="E284" s="34">
        <v>716670.0</v>
      </c>
      <c r="F284" s="34">
        <v>3768.0</v>
      </c>
      <c r="G284" s="34">
        <v>16742.0</v>
      </c>
      <c r="H284" s="34">
        <v>0.0</v>
      </c>
      <c r="I284" s="34">
        <v>0.0</v>
      </c>
      <c r="J284" s="34">
        <v>7.879134636E9</v>
      </c>
      <c r="K284" s="34">
        <v>7.671897794E9</v>
      </c>
      <c r="L284" s="34">
        <v>2694.0</v>
      </c>
      <c r="M284" s="33" t="s">
        <v>153</v>
      </c>
      <c r="N284" s="33">
        <v>23.0</v>
      </c>
      <c r="O284" s="33"/>
      <c r="P284" s="33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1.44075646E8</v>
      </c>
      <c r="B285" s="33" t="s">
        <v>277</v>
      </c>
      <c r="C285" s="34">
        <v>1.219295E7</v>
      </c>
      <c r="D285" s="34">
        <v>7432.0</v>
      </c>
      <c r="E285" s="34">
        <v>0.0</v>
      </c>
      <c r="F285" s="34">
        <v>1501.0</v>
      </c>
      <c r="G285" s="34">
        <v>379.0</v>
      </c>
      <c r="H285" s="34">
        <v>0.0</v>
      </c>
      <c r="I285" s="34">
        <v>0.0</v>
      </c>
      <c r="J285" s="34">
        <v>5.81652063E8</v>
      </c>
      <c r="K285" s="34">
        <v>0.0</v>
      </c>
      <c r="L285" s="34">
        <v>416.0</v>
      </c>
      <c r="M285" s="33" t="s">
        <v>165</v>
      </c>
      <c r="N285" s="33">
        <v>22.0</v>
      </c>
      <c r="O285" s="33"/>
      <c r="P285" s="33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1.38285772E8</v>
      </c>
      <c r="B286" s="33" t="s">
        <v>305</v>
      </c>
      <c r="C286" s="34">
        <v>1.1851907E7</v>
      </c>
      <c r="D286" s="34">
        <v>188240.0</v>
      </c>
      <c r="E286" s="34">
        <v>31313.0</v>
      </c>
      <c r="F286" s="34">
        <v>0.0</v>
      </c>
      <c r="G286" s="34">
        <v>18824.0</v>
      </c>
      <c r="H286" s="34">
        <v>0.0</v>
      </c>
      <c r="I286" s="34">
        <v>0.0</v>
      </c>
      <c r="J286" s="34">
        <v>7.033589654E9</v>
      </c>
      <c r="K286" s="34">
        <v>8.963956931E9</v>
      </c>
      <c r="L286" s="34">
        <v>1419.0</v>
      </c>
      <c r="M286" s="33" t="s">
        <v>94</v>
      </c>
      <c r="N286" s="33">
        <v>24.0</v>
      </c>
      <c r="O286" s="33"/>
      <c r="P286" s="33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1">
        <v>1.52201713E8</v>
      </c>
      <c r="B287" s="31" t="s">
        <v>436</v>
      </c>
      <c r="C287" s="32">
        <v>1.1753249E7</v>
      </c>
      <c r="D287" s="32">
        <v>909034.0</v>
      </c>
      <c r="E287" s="32">
        <v>1197900.0</v>
      </c>
      <c r="F287" s="32">
        <v>0.0</v>
      </c>
      <c r="G287" s="32">
        <v>79442.0</v>
      </c>
      <c r="H287" s="32">
        <v>4810.0</v>
      </c>
      <c r="I287" s="32">
        <v>0.0</v>
      </c>
      <c r="J287" s="32">
        <v>2.717685482E9</v>
      </c>
      <c r="K287" s="32">
        <v>1.843640216E9</v>
      </c>
      <c r="L287" s="32">
        <v>895.0</v>
      </c>
      <c r="M287" s="31" t="s">
        <v>153</v>
      </c>
      <c r="N287" s="31">
        <v>25.0</v>
      </c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1">
        <v>9.6284047E7</v>
      </c>
      <c r="B288" s="31" t="s">
        <v>473</v>
      </c>
      <c r="C288" s="32">
        <v>1.1684329E7</v>
      </c>
      <c r="D288" s="32">
        <v>43742.0</v>
      </c>
      <c r="E288" s="32">
        <v>57258.0</v>
      </c>
      <c r="F288" s="32">
        <v>913.0</v>
      </c>
      <c r="G288" s="32">
        <v>1456.0</v>
      </c>
      <c r="H288" s="32">
        <v>1390.0</v>
      </c>
      <c r="I288" s="32">
        <v>0.0</v>
      </c>
      <c r="J288" s="32">
        <v>1.959131698E9</v>
      </c>
      <c r="K288" s="32">
        <v>1.644448385E9</v>
      </c>
      <c r="L288" s="32">
        <v>943.0</v>
      </c>
      <c r="M288" s="31" t="s">
        <v>153</v>
      </c>
      <c r="N288" s="31">
        <v>25.0</v>
      </c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1">
        <v>1.4402991E8</v>
      </c>
      <c r="B289" s="31" t="s">
        <v>296</v>
      </c>
      <c r="C289" s="32">
        <v>1.1629033E7</v>
      </c>
      <c r="D289" s="32">
        <v>6837594.0</v>
      </c>
      <c r="E289" s="32">
        <v>1758438.0</v>
      </c>
      <c r="F289" s="32">
        <v>22980.0</v>
      </c>
      <c r="G289" s="32">
        <v>464968.0</v>
      </c>
      <c r="H289" s="32">
        <v>71229.0</v>
      </c>
      <c r="I289" s="32">
        <v>0.0</v>
      </c>
      <c r="J289" s="32">
        <v>6.025174721E9</v>
      </c>
      <c r="K289" s="32">
        <v>4.559048087E9</v>
      </c>
      <c r="L289" s="32">
        <v>3241.0</v>
      </c>
      <c r="M289" s="31" t="s">
        <v>373</v>
      </c>
      <c r="N289" s="31">
        <v>25.0</v>
      </c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6.7568162E7</v>
      </c>
      <c r="B290" s="33" t="s">
        <v>300</v>
      </c>
      <c r="C290" s="34">
        <v>1.1598277E7</v>
      </c>
      <c r="D290" s="34">
        <v>202704.0</v>
      </c>
      <c r="E290" s="34">
        <v>42020.0</v>
      </c>
      <c r="F290" s="34">
        <v>26634.0</v>
      </c>
      <c r="G290" s="34">
        <v>0.0</v>
      </c>
      <c r="H290" s="34">
        <v>5336.0</v>
      </c>
      <c r="I290" s="34">
        <v>0.0</v>
      </c>
      <c r="J290" s="34">
        <v>5.402773023E9</v>
      </c>
      <c r="K290" s="34">
        <v>1.940712211E9</v>
      </c>
      <c r="L290" s="34">
        <v>1508.0</v>
      </c>
      <c r="M290" s="33" t="s">
        <v>153</v>
      </c>
      <c r="N290" s="33">
        <v>24.0</v>
      </c>
      <c r="O290" s="33"/>
      <c r="P290" s="33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1.28382827E8</v>
      </c>
      <c r="B291" s="33" t="s">
        <v>312</v>
      </c>
      <c r="C291" s="34">
        <v>1.1388692E7</v>
      </c>
      <c r="D291" s="34">
        <v>5689027.0</v>
      </c>
      <c r="E291" s="34">
        <v>1604666.0</v>
      </c>
      <c r="F291" s="34">
        <v>26229.0</v>
      </c>
      <c r="G291" s="34">
        <v>520858.0</v>
      </c>
      <c r="H291" s="34">
        <v>20165.0</v>
      </c>
      <c r="I291" s="34">
        <v>0.0</v>
      </c>
      <c r="J291" s="34">
        <v>9.642783337E9</v>
      </c>
      <c r="K291" s="34">
        <v>1.1244240604E10</v>
      </c>
      <c r="L291" s="34">
        <v>2102.0</v>
      </c>
      <c r="M291" s="33" t="s">
        <v>94</v>
      </c>
      <c r="N291" s="33">
        <v>24.0</v>
      </c>
      <c r="O291" s="33"/>
      <c r="P291" s="33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1.90202885E8</v>
      </c>
      <c r="B292" s="33" t="s">
        <v>278</v>
      </c>
      <c r="C292" s="34">
        <v>1.1301599E7</v>
      </c>
      <c r="D292" s="34">
        <v>6.0</v>
      </c>
      <c r="E292" s="34">
        <v>0.0</v>
      </c>
      <c r="F292" s="34">
        <v>30.0</v>
      </c>
      <c r="G292" s="34">
        <v>0.0</v>
      </c>
      <c r="H292" s="34">
        <v>0.0</v>
      </c>
      <c r="I292" s="34">
        <v>0.0</v>
      </c>
      <c r="J292" s="34">
        <v>2.526986945E9</v>
      </c>
      <c r="K292" s="34">
        <v>1.05660658E9</v>
      </c>
      <c r="L292" s="34">
        <v>1079.0</v>
      </c>
      <c r="M292" s="33" t="s">
        <v>153</v>
      </c>
      <c r="N292" s="33">
        <v>23.0</v>
      </c>
      <c r="O292" s="33"/>
      <c r="P292" s="33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1.43566987E8</v>
      </c>
      <c r="B293" s="33" t="s">
        <v>476</v>
      </c>
      <c r="C293" s="34">
        <v>1.1291618E7</v>
      </c>
      <c r="D293" s="34">
        <v>8883694.0</v>
      </c>
      <c r="E293" s="34">
        <v>822911.0</v>
      </c>
      <c r="F293" s="34">
        <v>517584.0</v>
      </c>
      <c r="G293" s="34">
        <v>382774.0</v>
      </c>
      <c r="H293" s="34">
        <v>148852.0</v>
      </c>
      <c r="I293" s="34">
        <v>0.0</v>
      </c>
      <c r="J293" s="34">
        <v>6.65822284E8</v>
      </c>
      <c r="K293" s="34">
        <v>1.18868156E8</v>
      </c>
      <c r="L293" s="34">
        <v>10243.0</v>
      </c>
      <c r="M293" s="33" t="s">
        <v>66</v>
      </c>
      <c r="N293" s="33">
        <v>24.0</v>
      </c>
      <c r="O293" s="33"/>
      <c r="P293" s="33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1.83887182E8</v>
      </c>
      <c r="B294" s="33" t="s">
        <v>313</v>
      </c>
      <c r="C294" s="34">
        <v>1.1267863E7</v>
      </c>
      <c r="D294" s="34">
        <v>2537211.0</v>
      </c>
      <c r="E294" s="34">
        <v>800103.0</v>
      </c>
      <c r="F294" s="34">
        <v>4358.0</v>
      </c>
      <c r="G294" s="34">
        <v>234472.0</v>
      </c>
      <c r="H294" s="34">
        <v>7693.0</v>
      </c>
      <c r="I294" s="34">
        <v>0.0</v>
      </c>
      <c r="J294" s="34">
        <v>2.663209098E9</v>
      </c>
      <c r="K294" s="34">
        <v>9.3810346E8</v>
      </c>
      <c r="L294" s="34">
        <v>1097.0</v>
      </c>
      <c r="M294" s="33" t="s">
        <v>153</v>
      </c>
      <c r="N294" s="33">
        <v>24.0</v>
      </c>
      <c r="O294" s="33"/>
      <c r="P294" s="33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1.57465282E8</v>
      </c>
      <c r="B295" s="33" t="s">
        <v>474</v>
      </c>
      <c r="C295" s="34">
        <v>1.1266245E7</v>
      </c>
      <c r="D295" s="34">
        <v>1059330.0</v>
      </c>
      <c r="E295" s="34">
        <v>435892.0</v>
      </c>
      <c r="F295" s="34">
        <v>81933.0</v>
      </c>
      <c r="G295" s="34">
        <v>58926.0</v>
      </c>
      <c r="H295" s="34">
        <v>5178.0</v>
      </c>
      <c r="I295" s="34">
        <v>0.0</v>
      </c>
      <c r="J295" s="34">
        <v>7.698135702E9</v>
      </c>
      <c r="K295" s="34">
        <v>2.366887416E9</v>
      </c>
      <c r="L295" s="34">
        <v>1771.0</v>
      </c>
      <c r="M295" s="33" t="s">
        <v>165</v>
      </c>
      <c r="N295" s="33">
        <v>22.0</v>
      </c>
      <c r="O295" s="33"/>
      <c r="P295" s="33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1.44098997E8</v>
      </c>
      <c r="B296" s="33" t="s">
        <v>437</v>
      </c>
      <c r="C296" s="34">
        <v>1.1206567E7</v>
      </c>
      <c r="D296" s="34">
        <v>2085911.0</v>
      </c>
      <c r="E296" s="34">
        <v>1773255.0</v>
      </c>
      <c r="F296" s="34">
        <v>121189.0</v>
      </c>
      <c r="G296" s="34">
        <v>57689.0</v>
      </c>
      <c r="H296" s="34">
        <v>40024.0</v>
      </c>
      <c r="I296" s="34">
        <v>0.0</v>
      </c>
      <c r="J296" s="34">
        <v>1.589455002E9</v>
      </c>
      <c r="K296" s="34">
        <v>3047603.0</v>
      </c>
      <c r="L296" s="34">
        <v>1451.0</v>
      </c>
      <c r="M296" s="33" t="s">
        <v>126</v>
      </c>
      <c r="N296" s="33">
        <v>24.0</v>
      </c>
      <c r="O296" s="33"/>
      <c r="P296" s="33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6.9287686E7</v>
      </c>
      <c r="B297" s="33" t="s">
        <v>316</v>
      </c>
      <c r="C297" s="34">
        <v>1.1111693E7</v>
      </c>
      <c r="D297" s="34">
        <v>2027902.0</v>
      </c>
      <c r="E297" s="34">
        <v>235658.0</v>
      </c>
      <c r="F297" s="34">
        <v>457711.0</v>
      </c>
      <c r="G297" s="34">
        <v>39331.0</v>
      </c>
      <c r="H297" s="34">
        <v>0.0</v>
      </c>
      <c r="I297" s="34">
        <v>0.0</v>
      </c>
      <c r="J297" s="34">
        <v>6.033196289E9</v>
      </c>
      <c r="K297" s="34">
        <v>5.396044102E9</v>
      </c>
      <c r="L297" s="34">
        <v>3847.0</v>
      </c>
      <c r="M297" s="33" t="s">
        <v>94</v>
      </c>
      <c r="N297" s="33">
        <v>24.0</v>
      </c>
      <c r="O297" s="33"/>
      <c r="P297" s="33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3.1303775E7</v>
      </c>
      <c r="B298" s="33" t="s">
        <v>311</v>
      </c>
      <c r="C298" s="34">
        <v>1.1096038E7</v>
      </c>
      <c r="D298" s="34">
        <v>8644167.0</v>
      </c>
      <c r="E298" s="34">
        <v>1667127.0</v>
      </c>
      <c r="F298" s="34">
        <v>297318.0</v>
      </c>
      <c r="G298" s="34">
        <v>388443.0</v>
      </c>
      <c r="H298" s="34">
        <v>111080.0</v>
      </c>
      <c r="I298" s="34">
        <v>0.0</v>
      </c>
      <c r="J298" s="34">
        <v>4.082214259E9</v>
      </c>
      <c r="K298" s="34">
        <v>5.767133633E9</v>
      </c>
      <c r="L298" s="34">
        <v>1820.0</v>
      </c>
      <c r="M298" s="33" t="s">
        <v>153</v>
      </c>
      <c r="N298" s="33">
        <v>24.0</v>
      </c>
      <c r="O298" s="33"/>
      <c r="P298" s="33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1">
        <v>1.84527302E8</v>
      </c>
      <c r="B299" s="31" t="s">
        <v>304</v>
      </c>
      <c r="C299" s="32">
        <v>1.1017561E7</v>
      </c>
      <c r="D299" s="32">
        <v>67130.0</v>
      </c>
      <c r="E299" s="32">
        <v>67634.0</v>
      </c>
      <c r="F299" s="32">
        <v>0.0</v>
      </c>
      <c r="G299" s="32">
        <v>1877.0</v>
      </c>
      <c r="H299" s="32">
        <v>2418.0</v>
      </c>
      <c r="I299" s="32">
        <v>0.0</v>
      </c>
      <c r="J299" s="32">
        <v>2.228121964E9</v>
      </c>
      <c r="K299" s="32">
        <v>5.046275642E9</v>
      </c>
      <c r="L299" s="32">
        <v>572.0</v>
      </c>
      <c r="M299" s="31" t="s">
        <v>147</v>
      </c>
      <c r="N299" s="31">
        <v>25.0</v>
      </c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1.72734416E8</v>
      </c>
      <c r="B300" s="33" t="s">
        <v>512</v>
      </c>
      <c r="C300" s="34">
        <v>1.1015819E7</v>
      </c>
      <c r="D300" s="34">
        <v>1320.0</v>
      </c>
      <c r="E300" s="34">
        <v>0.0</v>
      </c>
      <c r="F300" s="34">
        <v>3043.0</v>
      </c>
      <c r="G300" s="34">
        <v>0.0</v>
      </c>
      <c r="H300" s="34">
        <v>0.0</v>
      </c>
      <c r="I300" s="34">
        <v>0.0</v>
      </c>
      <c r="J300" s="34">
        <v>3.04305782E8</v>
      </c>
      <c r="K300" s="34">
        <v>2.33201495E8</v>
      </c>
      <c r="L300" s="34">
        <v>1283.0</v>
      </c>
      <c r="M300" s="33" t="s">
        <v>66</v>
      </c>
      <c r="N300" s="33">
        <v>23.0</v>
      </c>
      <c r="O300" s="33"/>
      <c r="P300" s="33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1.85532677E8</v>
      </c>
      <c r="B301" s="33" t="s">
        <v>477</v>
      </c>
      <c r="C301" s="34">
        <v>1.0957062E7</v>
      </c>
      <c r="D301" s="34">
        <v>645314.0</v>
      </c>
      <c r="E301" s="34">
        <v>77403.0</v>
      </c>
      <c r="F301" s="34">
        <v>59584.0</v>
      </c>
      <c r="G301" s="34">
        <v>9225.0</v>
      </c>
      <c r="H301" s="34">
        <v>3801.0</v>
      </c>
      <c r="I301" s="34">
        <v>0.0</v>
      </c>
      <c r="J301" s="34">
        <v>1.86008243E9</v>
      </c>
      <c r="K301" s="34">
        <v>572583.0</v>
      </c>
      <c r="L301" s="34">
        <v>3069.0</v>
      </c>
      <c r="M301" s="33" t="s">
        <v>94</v>
      </c>
      <c r="N301" s="33">
        <v>23.0</v>
      </c>
      <c r="O301" s="33"/>
      <c r="P301" s="33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L302" si="1">SUM(C2:C301)</f>
        <v>12344284741</v>
      </c>
      <c r="D302" s="36">
        <f t="shared" si="1"/>
        <v>129740503914</v>
      </c>
      <c r="E302" s="36">
        <f t="shared" si="1"/>
        <v>1579400130</v>
      </c>
      <c r="F302" s="36">
        <f t="shared" si="1"/>
        <v>2799182069</v>
      </c>
      <c r="G302" s="36">
        <f t="shared" si="1"/>
        <v>4728425207</v>
      </c>
      <c r="H302" s="36">
        <f t="shared" si="1"/>
        <v>3991797025</v>
      </c>
      <c r="I302" s="36">
        <f t="shared" si="1"/>
        <v>8340386</v>
      </c>
      <c r="J302" s="36">
        <f t="shared" si="1"/>
        <v>2884775753135</v>
      </c>
      <c r="K302" s="36">
        <f t="shared" si="1"/>
        <v>1751389604086</v>
      </c>
      <c r="L302" s="36">
        <f t="shared" si="1"/>
        <v>9324843</v>
      </c>
      <c r="M302" s="35"/>
      <c r="N302" s="35">
        <f>COUNT(N2:N301)</f>
        <v>300</v>
      </c>
      <c r="O302" s="35"/>
      <c r="P302" s="35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N2:N301, "25")</f>
        <v>11201270946</v>
      </c>
      <c r="D303" s="38">
        <f>SUMIFS(D2:D301, N2:N301, "25")</f>
        <v>129541999052</v>
      </c>
      <c r="E303" s="38">
        <f>SUMIFS(E2:E301, N2:N301, "25")</f>
        <v>1528422002</v>
      </c>
      <c r="F303" s="38">
        <f>SUMIFS(F2:F301, N2:N301, "25")</f>
        <v>2791662334</v>
      </c>
      <c r="G303" s="38">
        <f>SUMIFS(G2:G301, N2:N301, "25")</f>
        <v>4716946467</v>
      </c>
      <c r="H303" s="38">
        <f>SUMIFS(H2:H301, N2:N301, "25")</f>
        <v>3989557142</v>
      </c>
      <c r="I303" s="38">
        <f>SUMIFS(I2:I301, N2:N301, "25")</f>
        <v>8340386</v>
      </c>
      <c r="J303" s="38">
        <f>SUMIFS(J2:J301, N2:N301, "25")</f>
        <v>2411079540104</v>
      </c>
      <c r="K303" s="38">
        <f>SUMIFS(K2:K301, N2:N301, "25")</f>
        <v>1372008037679</v>
      </c>
      <c r="L303" s="38">
        <f>SUMIFS(L2:L301, N2:N301, "25")</f>
        <v>9139309</v>
      </c>
      <c r="M303" s="37" t="s">
        <v>363</v>
      </c>
      <c r="N303" s="37">
        <f>COUNTIF(N2:N301, "25")</f>
        <v>226</v>
      </c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29"/>
    <col customWidth="1" min="2" max="2" width="22.14"/>
    <col customWidth="1" min="3" max="10" width="19.57"/>
    <col customWidth="1" min="11" max="11" width="15.29"/>
    <col customWidth="1" min="12" max="12" width="23.0"/>
    <col customWidth="1" min="13" max="13" width="11.71"/>
    <col customWidth="1" min="14" max="14" width="12.43"/>
    <col customWidth="1" min="15" max="15" width="63.57"/>
    <col customWidth="1" min="16" max="26" width="8.71"/>
  </cols>
  <sheetData>
    <row r="1" ht="22.5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8</v>
      </c>
      <c r="G1" s="29" t="s">
        <v>9</v>
      </c>
      <c r="H1" s="29" t="s">
        <v>10</v>
      </c>
      <c r="I1" s="29" t="s">
        <v>11</v>
      </c>
      <c r="J1" s="29" t="s">
        <v>12</v>
      </c>
      <c r="K1" s="29" t="s">
        <v>13</v>
      </c>
      <c r="L1" s="28" t="s">
        <v>14</v>
      </c>
      <c r="M1" s="28" t="s">
        <v>15</v>
      </c>
      <c r="N1" s="28" t="s">
        <v>59</v>
      </c>
      <c r="O1" s="28" t="s">
        <v>60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33</v>
      </c>
      <c r="C2" s="32">
        <v>1.10335941E8</v>
      </c>
      <c r="D2" s="32">
        <v>2.600812023E9</v>
      </c>
      <c r="E2" s="32">
        <v>1.3462892E7</v>
      </c>
      <c r="F2" s="32">
        <v>5.7705402E7</v>
      </c>
      <c r="G2" s="32">
        <v>1.00706194E8</v>
      </c>
      <c r="H2" s="32">
        <v>0.0</v>
      </c>
      <c r="I2" s="32">
        <v>1.666972717E10</v>
      </c>
      <c r="J2" s="32">
        <v>2.095967435E9</v>
      </c>
      <c r="K2" s="32">
        <v>73419.0</v>
      </c>
      <c r="L2" s="31" t="s">
        <v>147</v>
      </c>
      <c r="M2" s="31">
        <v>25.0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35</v>
      </c>
      <c r="C3" s="32">
        <v>1.0371262E8</v>
      </c>
      <c r="D3" s="32">
        <v>4.15013494E9</v>
      </c>
      <c r="E3" s="32">
        <v>1.7997065E7</v>
      </c>
      <c r="F3" s="32">
        <v>7.3725746E7</v>
      </c>
      <c r="G3" s="32">
        <v>1.70013746E8</v>
      </c>
      <c r="H3" s="32">
        <v>0.0</v>
      </c>
      <c r="I3" s="32">
        <v>3.8254096246E10</v>
      </c>
      <c r="J3" s="32">
        <v>1.4447507139E10</v>
      </c>
      <c r="K3" s="32">
        <v>136044.0</v>
      </c>
      <c r="L3" s="31" t="s">
        <v>147</v>
      </c>
      <c r="M3" s="31">
        <v>25.0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1.45408006E8</v>
      </c>
      <c r="B4" s="31" t="s">
        <v>36</v>
      </c>
      <c r="C4" s="32">
        <v>1.02596686E8</v>
      </c>
      <c r="D4" s="32">
        <v>1.20013122E9</v>
      </c>
      <c r="E4" s="32">
        <v>1.2541681E7</v>
      </c>
      <c r="F4" s="32">
        <v>3.65756E7</v>
      </c>
      <c r="G4" s="32">
        <v>4.0034143E7</v>
      </c>
      <c r="H4" s="32">
        <v>0.0</v>
      </c>
      <c r="I4" s="32">
        <v>1.2469261635E10</v>
      </c>
      <c r="J4" s="32">
        <v>9.7148239E7</v>
      </c>
      <c r="K4" s="32">
        <v>30378.0</v>
      </c>
      <c r="L4" s="31" t="s">
        <v>147</v>
      </c>
      <c r="M4" s="31">
        <v>25.0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8.693627E7</v>
      </c>
      <c r="B5" s="31" t="s">
        <v>528</v>
      </c>
      <c r="C5" s="32">
        <v>9.963447E7</v>
      </c>
      <c r="D5" s="32">
        <v>1.503034729E9</v>
      </c>
      <c r="E5" s="32">
        <v>2.2074044E7</v>
      </c>
      <c r="F5" s="32">
        <v>5.140165E7</v>
      </c>
      <c r="G5" s="32">
        <v>4.7877493E7</v>
      </c>
      <c r="H5" s="32">
        <v>0.0</v>
      </c>
      <c r="I5" s="32">
        <v>2.2586030778E10</v>
      </c>
      <c r="J5" s="32">
        <v>2.986368915E9</v>
      </c>
      <c r="K5" s="32">
        <v>112142.0</v>
      </c>
      <c r="L5" s="31" t="s">
        <v>66</v>
      </c>
      <c r="M5" s="31">
        <v>25.0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2.7578537E7</v>
      </c>
      <c r="B6" s="31" t="s">
        <v>48</v>
      </c>
      <c r="C6" s="32">
        <v>9.7578623E7</v>
      </c>
      <c r="D6" s="32">
        <v>2.798183604E9</v>
      </c>
      <c r="E6" s="32">
        <v>2.3370645E7</v>
      </c>
      <c r="F6" s="32">
        <v>9.8235444E7</v>
      </c>
      <c r="G6" s="32">
        <v>8.8987383E7</v>
      </c>
      <c r="H6" s="32">
        <v>0.0</v>
      </c>
      <c r="I6" s="32">
        <v>2.5027604787E10</v>
      </c>
      <c r="J6" s="32">
        <v>3.1986939303E10</v>
      </c>
      <c r="K6" s="32">
        <v>101502.0</v>
      </c>
      <c r="L6" s="31" t="s">
        <v>147</v>
      </c>
      <c r="M6" s="31">
        <v>25.0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6.2576249E7</v>
      </c>
      <c r="B7" s="31" t="s">
        <v>37</v>
      </c>
      <c r="C7" s="32">
        <v>9.5663368E7</v>
      </c>
      <c r="D7" s="32">
        <v>3.27126894E9</v>
      </c>
      <c r="E7" s="32">
        <v>2.163592E7</v>
      </c>
      <c r="F7" s="32">
        <v>1.01272867E8</v>
      </c>
      <c r="G7" s="32">
        <v>1.08991713E8</v>
      </c>
      <c r="H7" s="32">
        <v>0.0</v>
      </c>
      <c r="I7" s="32">
        <v>2.7796618662E10</v>
      </c>
      <c r="J7" s="32">
        <v>3.3149364731E10</v>
      </c>
      <c r="K7" s="32">
        <v>155419.0</v>
      </c>
      <c r="L7" s="31" t="s">
        <v>147</v>
      </c>
      <c r="M7" s="31">
        <v>25.0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1.03336195E8</v>
      </c>
      <c r="B8" s="31" t="s">
        <v>38</v>
      </c>
      <c r="C8" s="32">
        <v>8.9284696E7</v>
      </c>
      <c r="D8" s="32">
        <v>3.88620875E9</v>
      </c>
      <c r="E8" s="32">
        <v>1.8459458E7</v>
      </c>
      <c r="F8" s="32">
        <v>1.2703761E8</v>
      </c>
      <c r="G8" s="32">
        <v>1.28923463E8</v>
      </c>
      <c r="H8" s="32">
        <v>0.0</v>
      </c>
      <c r="I8" s="32">
        <v>1.5562316885E10</v>
      </c>
      <c r="J8" s="32">
        <v>3.3782410358E10</v>
      </c>
      <c r="K8" s="32">
        <v>128255.0</v>
      </c>
      <c r="L8" s="31" t="s">
        <v>147</v>
      </c>
      <c r="M8" s="31">
        <v>25.0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2463403.0</v>
      </c>
      <c r="B9" s="31" t="s">
        <v>39</v>
      </c>
      <c r="C9" s="32">
        <v>8.9101347E7</v>
      </c>
      <c r="D9" s="32">
        <v>7.143949247E9</v>
      </c>
      <c r="E9" s="32">
        <v>3.9832007E7</v>
      </c>
      <c r="F9" s="32">
        <v>1.99344116E8</v>
      </c>
      <c r="G9" s="32">
        <v>2.55563348E8</v>
      </c>
      <c r="H9" s="32">
        <v>0.0</v>
      </c>
      <c r="I9" s="32">
        <v>2.9680314539E10</v>
      </c>
      <c r="J9" s="32">
        <v>1.0226888909E10</v>
      </c>
      <c r="K9" s="32">
        <v>264998.0</v>
      </c>
      <c r="L9" s="31" t="s">
        <v>147</v>
      </c>
      <c r="M9" s="31">
        <v>25.0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7.9650085E7</v>
      </c>
      <c r="B10" s="31" t="s">
        <v>41</v>
      </c>
      <c r="C10" s="32">
        <v>8.9074025E7</v>
      </c>
      <c r="D10" s="32">
        <v>1.84428862E9</v>
      </c>
      <c r="E10" s="32">
        <v>1.2044507E7</v>
      </c>
      <c r="F10" s="32">
        <v>5.8561115E7</v>
      </c>
      <c r="G10" s="32">
        <v>6.1822342E7</v>
      </c>
      <c r="H10" s="32">
        <v>0.0</v>
      </c>
      <c r="I10" s="32">
        <v>1.5917094774E10</v>
      </c>
      <c r="J10" s="32">
        <v>1.5131538986E10</v>
      </c>
      <c r="K10" s="32">
        <v>104323.0</v>
      </c>
      <c r="L10" s="31" t="s">
        <v>147</v>
      </c>
      <c r="M10" s="31">
        <v>25.0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6.7873337E7</v>
      </c>
      <c r="B11" s="31" t="s">
        <v>488</v>
      </c>
      <c r="C11" s="32">
        <v>8.8318951E7</v>
      </c>
      <c r="D11" s="32">
        <v>9.67499555E8</v>
      </c>
      <c r="E11" s="32">
        <v>1.0618651E7</v>
      </c>
      <c r="F11" s="32">
        <v>5.4827218E7</v>
      </c>
      <c r="G11" s="32">
        <v>1.8553343E7</v>
      </c>
      <c r="H11" s="32">
        <v>1441005.0</v>
      </c>
      <c r="I11" s="32">
        <v>1.407809045E10</v>
      </c>
      <c r="J11" s="32">
        <v>2.8592065312E10</v>
      </c>
      <c r="K11" s="32">
        <v>78962.0</v>
      </c>
      <c r="L11" s="31" t="s">
        <v>147</v>
      </c>
      <c r="M11" s="31">
        <v>25.0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6.4010776E7</v>
      </c>
      <c r="B12" s="31" t="s">
        <v>478</v>
      </c>
      <c r="C12" s="32">
        <v>8.8294827E7</v>
      </c>
      <c r="D12" s="32">
        <v>2.358208628E9</v>
      </c>
      <c r="E12" s="32">
        <v>1.8762582E7</v>
      </c>
      <c r="F12" s="32">
        <v>8.0510823E7</v>
      </c>
      <c r="G12" s="32">
        <v>7.5349352E7</v>
      </c>
      <c r="H12" s="32">
        <v>0.0</v>
      </c>
      <c r="I12" s="32">
        <v>2.0408920232E10</v>
      </c>
      <c r="J12" s="32">
        <v>2.9913079846E10</v>
      </c>
      <c r="K12" s="32">
        <v>107208.0</v>
      </c>
      <c r="L12" s="31" t="s">
        <v>147</v>
      </c>
      <c r="M12" s="31">
        <v>25.0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1.71934536E8</v>
      </c>
      <c r="B13" s="31" t="s">
        <v>61</v>
      </c>
      <c r="C13" s="32">
        <v>8.744662E7</v>
      </c>
      <c r="D13" s="32">
        <v>6.86911268E8</v>
      </c>
      <c r="E13" s="32">
        <v>2221644.0</v>
      </c>
      <c r="F13" s="32">
        <v>2.4148641E7</v>
      </c>
      <c r="G13" s="32">
        <v>2.0676569E7</v>
      </c>
      <c r="H13" s="32">
        <v>0.0</v>
      </c>
      <c r="I13" s="32">
        <v>1.5485885586E10</v>
      </c>
      <c r="J13" s="32">
        <v>9.58710757E8</v>
      </c>
      <c r="K13" s="32">
        <v>47891.0</v>
      </c>
      <c r="L13" s="31" t="s">
        <v>147</v>
      </c>
      <c r="M13" s="31">
        <v>25.0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1.1409556E7</v>
      </c>
      <c r="B14" s="31" t="s">
        <v>402</v>
      </c>
      <c r="C14" s="32">
        <v>8.7014821E7</v>
      </c>
      <c r="D14" s="32">
        <v>5.66770165E8</v>
      </c>
      <c r="E14" s="32">
        <v>1.4864436E7</v>
      </c>
      <c r="F14" s="32">
        <v>3.0738537E7</v>
      </c>
      <c r="G14" s="32">
        <v>1.2090779E7</v>
      </c>
      <c r="H14" s="32">
        <v>0.0</v>
      </c>
      <c r="I14" s="32">
        <v>1.5654197525E10</v>
      </c>
      <c r="J14" s="32">
        <v>5.766935771E9</v>
      </c>
      <c r="K14" s="32">
        <v>86574.0</v>
      </c>
      <c r="L14" s="31" t="s">
        <v>147</v>
      </c>
      <c r="M14" s="31">
        <v>25.0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1.1726598E7</v>
      </c>
      <c r="B15" s="31" t="s">
        <v>42</v>
      </c>
      <c r="C15" s="32">
        <v>8.5544161E7</v>
      </c>
      <c r="D15" s="32">
        <v>7.514837859E9</v>
      </c>
      <c r="E15" s="32">
        <v>2.7941848E7</v>
      </c>
      <c r="F15" s="32">
        <v>2.0778009E8</v>
      </c>
      <c r="G15" s="32">
        <v>2.67744853E8</v>
      </c>
      <c r="H15" s="32">
        <v>3821128.0</v>
      </c>
      <c r="I15" s="32">
        <v>2.3151607701E10</v>
      </c>
      <c r="J15" s="32">
        <v>3.0857472756E10</v>
      </c>
      <c r="K15" s="32">
        <v>166463.0</v>
      </c>
      <c r="L15" s="31" t="s">
        <v>147</v>
      </c>
      <c r="M15" s="31">
        <v>25.0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6.2691192E7</v>
      </c>
      <c r="B16" s="31" t="s">
        <v>43</v>
      </c>
      <c r="C16" s="32">
        <v>8.53094E7</v>
      </c>
      <c r="D16" s="32">
        <v>4.61652502E8</v>
      </c>
      <c r="E16" s="32">
        <v>1.8223195E7</v>
      </c>
      <c r="F16" s="32">
        <v>1.0280481E7</v>
      </c>
      <c r="G16" s="32">
        <v>1.7745909E7</v>
      </c>
      <c r="H16" s="32">
        <v>0.0</v>
      </c>
      <c r="I16" s="32">
        <v>2.0714172688E10</v>
      </c>
      <c r="J16" s="32">
        <v>6.528529315E9</v>
      </c>
      <c r="K16" s="32">
        <v>85694.0</v>
      </c>
      <c r="L16" s="31" t="s">
        <v>147</v>
      </c>
      <c r="M16" s="31">
        <v>25.0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1.3871553E8</v>
      </c>
      <c r="B17" s="31" t="s">
        <v>62</v>
      </c>
      <c r="C17" s="32">
        <v>8.4663242E7</v>
      </c>
      <c r="D17" s="32">
        <v>8.27729628E8</v>
      </c>
      <c r="E17" s="32">
        <v>1.5336586E7</v>
      </c>
      <c r="F17" s="32">
        <v>2.4567142E7</v>
      </c>
      <c r="G17" s="32">
        <v>2.8353416E7</v>
      </c>
      <c r="H17" s="32">
        <v>0.0</v>
      </c>
      <c r="I17" s="32">
        <v>1.9049228268E10</v>
      </c>
      <c r="J17" s="32">
        <v>4.637127866E9</v>
      </c>
      <c r="K17" s="32">
        <v>119153.0</v>
      </c>
      <c r="L17" s="31" t="s">
        <v>147</v>
      </c>
      <c r="M17" s="31">
        <v>25.0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6.7071592E7</v>
      </c>
      <c r="B18" s="31" t="s">
        <v>45</v>
      </c>
      <c r="C18" s="32">
        <v>8.4639977E7</v>
      </c>
      <c r="D18" s="32">
        <v>9.687393882E9</v>
      </c>
      <c r="E18" s="32">
        <v>2.8919741E7</v>
      </c>
      <c r="F18" s="32">
        <v>3.85167159E8</v>
      </c>
      <c r="G18" s="32">
        <v>2.84863707E8</v>
      </c>
      <c r="H18" s="32">
        <v>1804833.0</v>
      </c>
      <c r="I18" s="32">
        <v>3.698930785E10</v>
      </c>
      <c r="J18" s="32">
        <v>2.5191215882E10</v>
      </c>
      <c r="K18" s="32">
        <v>227114.0</v>
      </c>
      <c r="L18" s="31" t="s">
        <v>147</v>
      </c>
      <c r="M18" s="31">
        <v>25.0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6.3222201E7</v>
      </c>
      <c r="B19" s="31" t="s">
        <v>64</v>
      </c>
      <c r="C19" s="32">
        <v>8.3747446E7</v>
      </c>
      <c r="D19" s="32">
        <v>1.8917797E9</v>
      </c>
      <c r="E19" s="32">
        <v>1.8313369E7</v>
      </c>
      <c r="F19" s="32">
        <v>7.8651691E7</v>
      </c>
      <c r="G19" s="32">
        <v>5.3777095E7</v>
      </c>
      <c r="H19" s="32">
        <v>0.0</v>
      </c>
      <c r="I19" s="32">
        <v>3.2618803554E10</v>
      </c>
      <c r="J19" s="32">
        <v>1.1337447834E10</v>
      </c>
      <c r="K19" s="32">
        <v>79530.0</v>
      </c>
      <c r="L19" s="31" t="s">
        <v>147</v>
      </c>
      <c r="M19" s="31">
        <v>25.0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7.7394861E7</v>
      </c>
      <c r="B20" s="31" t="s">
        <v>50</v>
      </c>
      <c r="C20" s="32">
        <v>8.3320219E7</v>
      </c>
      <c r="D20" s="32">
        <v>2.605801785E9</v>
      </c>
      <c r="E20" s="32">
        <v>1.7174859E7</v>
      </c>
      <c r="F20" s="32">
        <v>9.4697858E7</v>
      </c>
      <c r="G20" s="32">
        <v>8.2797653E7</v>
      </c>
      <c r="H20" s="32">
        <v>0.0</v>
      </c>
      <c r="I20" s="32">
        <v>2.7347555759E10</v>
      </c>
      <c r="J20" s="32">
        <v>6.5792071155E10</v>
      </c>
      <c r="K20" s="32">
        <v>183801.0</v>
      </c>
      <c r="L20" s="31" t="s">
        <v>147</v>
      </c>
      <c r="M20" s="31">
        <v>25.0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4.3136267E7</v>
      </c>
      <c r="B21" s="31" t="s">
        <v>65</v>
      </c>
      <c r="C21" s="32">
        <v>8.2779077E7</v>
      </c>
      <c r="D21" s="32">
        <v>2.428584804E9</v>
      </c>
      <c r="E21" s="32">
        <v>2.296527E7</v>
      </c>
      <c r="F21" s="32">
        <v>7.3533858E7</v>
      </c>
      <c r="G21" s="32">
        <v>8.3657192E7</v>
      </c>
      <c r="H21" s="32">
        <v>0.0</v>
      </c>
      <c r="I21" s="32">
        <v>2.8375079703E10</v>
      </c>
      <c r="J21" s="32">
        <v>3.7469575604E10</v>
      </c>
      <c r="K21" s="32">
        <v>100011.0</v>
      </c>
      <c r="L21" s="31" t="s">
        <v>153</v>
      </c>
      <c r="M21" s="31">
        <v>25.0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9.8107237E7</v>
      </c>
      <c r="B22" s="31" t="s">
        <v>68</v>
      </c>
      <c r="C22" s="32">
        <v>8.2512792E7</v>
      </c>
      <c r="D22" s="32">
        <v>2.374805436E9</v>
      </c>
      <c r="E22" s="32">
        <v>1.7180657E7</v>
      </c>
      <c r="F22" s="32">
        <v>6.3497751E7</v>
      </c>
      <c r="G22" s="32">
        <v>8.6778128E7</v>
      </c>
      <c r="H22" s="32">
        <v>0.0</v>
      </c>
      <c r="I22" s="32">
        <v>3.4336127148E10</v>
      </c>
      <c r="J22" s="32">
        <v>1.1077531851E10</v>
      </c>
      <c r="K22" s="32">
        <v>84506.0</v>
      </c>
      <c r="L22" s="31" t="s">
        <v>147</v>
      </c>
      <c r="M22" s="31">
        <v>25.0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7.1152824E7</v>
      </c>
      <c r="B23" s="31" t="s">
        <v>67</v>
      </c>
      <c r="C23" s="32">
        <v>8.2221946E7</v>
      </c>
      <c r="D23" s="32">
        <v>1.78772348E9</v>
      </c>
      <c r="E23" s="32">
        <v>1.7842389E7</v>
      </c>
      <c r="F23" s="32">
        <v>7.2452166E7</v>
      </c>
      <c r="G23" s="32">
        <v>5.1105175E7</v>
      </c>
      <c r="H23" s="32">
        <v>313500.0</v>
      </c>
      <c r="I23" s="32">
        <v>2.4068952402E10</v>
      </c>
      <c r="J23" s="32">
        <v>1.1097140581E10</v>
      </c>
      <c r="K23" s="32">
        <v>56649.0</v>
      </c>
      <c r="L23" s="31" t="s">
        <v>147</v>
      </c>
      <c r="M23" s="31">
        <v>25.0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7.4556991E7</v>
      </c>
      <c r="B24" s="31" t="s">
        <v>204</v>
      </c>
      <c r="C24" s="32">
        <v>8.1990559E7</v>
      </c>
      <c r="D24" s="32">
        <v>2.297498275E9</v>
      </c>
      <c r="E24" s="32">
        <v>1.3203542E7</v>
      </c>
      <c r="F24" s="32">
        <v>5.1687254E7</v>
      </c>
      <c r="G24" s="32">
        <v>8.8725447E7</v>
      </c>
      <c r="H24" s="32">
        <v>0.0</v>
      </c>
      <c r="I24" s="32">
        <v>1.8138154961E10</v>
      </c>
      <c r="J24" s="32">
        <v>5.737943886E9</v>
      </c>
      <c r="K24" s="32">
        <v>125857.0</v>
      </c>
      <c r="L24" s="31" t="s">
        <v>147</v>
      </c>
      <c r="M24" s="31">
        <v>25.0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4.8741756E7</v>
      </c>
      <c r="B25" s="31" t="s">
        <v>51</v>
      </c>
      <c r="C25" s="32">
        <v>8.1883299E7</v>
      </c>
      <c r="D25" s="32">
        <v>2.851420244E9</v>
      </c>
      <c r="E25" s="32">
        <v>2.3001774E7</v>
      </c>
      <c r="F25" s="32">
        <v>1.2157616E8</v>
      </c>
      <c r="G25" s="32">
        <v>8.025647E7</v>
      </c>
      <c r="H25" s="32">
        <v>804578.0</v>
      </c>
      <c r="I25" s="32">
        <v>1.9995447235E10</v>
      </c>
      <c r="J25" s="32">
        <v>2.2465439519E10</v>
      </c>
      <c r="K25" s="32">
        <v>160476.0</v>
      </c>
      <c r="L25" s="31" t="s">
        <v>147</v>
      </c>
      <c r="M25" s="31">
        <v>25.0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1.71879011E8</v>
      </c>
      <c r="B26" s="31" t="s">
        <v>80</v>
      </c>
      <c r="C26" s="32">
        <v>8.1480933E7</v>
      </c>
      <c r="D26" s="32">
        <v>3.12884879E8</v>
      </c>
      <c r="E26" s="32">
        <v>2604417.0</v>
      </c>
      <c r="F26" s="32">
        <v>1.0008206E7</v>
      </c>
      <c r="G26" s="32">
        <v>1.0010502E7</v>
      </c>
      <c r="H26" s="32">
        <v>0.0</v>
      </c>
      <c r="I26" s="32">
        <v>1.414791156E10</v>
      </c>
      <c r="J26" s="32">
        <v>1.768712272E9</v>
      </c>
      <c r="K26" s="32">
        <v>49456.0</v>
      </c>
      <c r="L26" s="31" t="s">
        <v>147</v>
      </c>
      <c r="M26" s="31">
        <v>25.0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2.989016E7</v>
      </c>
      <c r="B27" s="31" t="s">
        <v>399</v>
      </c>
      <c r="C27" s="32">
        <v>8.1134494E7</v>
      </c>
      <c r="D27" s="32">
        <v>7.99068661E8</v>
      </c>
      <c r="E27" s="32">
        <v>3.0167298E7</v>
      </c>
      <c r="F27" s="32">
        <v>2.9943055E7</v>
      </c>
      <c r="G27" s="32">
        <v>2.3159294E7</v>
      </c>
      <c r="H27" s="32">
        <v>0.0</v>
      </c>
      <c r="I27" s="32">
        <v>1.9289874305E10</v>
      </c>
      <c r="J27" s="32">
        <v>5.308872359E9</v>
      </c>
      <c r="K27" s="32">
        <v>63195.0</v>
      </c>
      <c r="L27" s="31" t="s">
        <v>147</v>
      </c>
      <c r="M27" s="31">
        <v>25.0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7.1613822E7</v>
      </c>
      <c r="B28" s="31" t="s">
        <v>69</v>
      </c>
      <c r="C28" s="32">
        <v>7.8899732E7</v>
      </c>
      <c r="D28" s="32">
        <v>2.059122718E9</v>
      </c>
      <c r="E28" s="32">
        <v>2.8669178E7</v>
      </c>
      <c r="F28" s="32">
        <v>7.4258403E7</v>
      </c>
      <c r="G28" s="32">
        <v>6.4293377E7</v>
      </c>
      <c r="H28" s="32">
        <v>0.0</v>
      </c>
      <c r="I28" s="32">
        <v>2.4382865545E10</v>
      </c>
      <c r="J28" s="32">
        <v>6.537284955E9</v>
      </c>
      <c r="K28" s="32">
        <v>103348.0</v>
      </c>
      <c r="L28" s="31" t="s">
        <v>147</v>
      </c>
      <c r="M28" s="31">
        <v>25.0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1.44060837E8</v>
      </c>
      <c r="B29" s="31" t="s">
        <v>442</v>
      </c>
      <c r="C29" s="32">
        <v>7.8594856E7</v>
      </c>
      <c r="D29" s="32">
        <v>3.75605866E8</v>
      </c>
      <c r="E29" s="32">
        <v>1.330877E7</v>
      </c>
      <c r="F29" s="32">
        <v>1.2522385E7</v>
      </c>
      <c r="G29" s="32">
        <v>1.1084884E7</v>
      </c>
      <c r="H29" s="32">
        <v>0.0</v>
      </c>
      <c r="I29" s="32">
        <v>1.1408308925E10</v>
      </c>
      <c r="J29" s="32">
        <v>1.826559305E9</v>
      </c>
      <c r="K29" s="32">
        <v>52265.0</v>
      </c>
      <c r="L29" s="31" t="s">
        <v>147</v>
      </c>
      <c r="M29" s="31">
        <v>25.0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1.44109282E8</v>
      </c>
      <c r="B30" s="31" t="s">
        <v>364</v>
      </c>
      <c r="C30" s="32">
        <v>7.8200807E7</v>
      </c>
      <c r="D30" s="32">
        <v>8.43991097E8</v>
      </c>
      <c r="E30" s="32">
        <v>7599407.0</v>
      </c>
      <c r="F30" s="32">
        <v>3.6401945E7</v>
      </c>
      <c r="G30" s="32">
        <v>2.189341E7</v>
      </c>
      <c r="H30" s="32">
        <v>0.0</v>
      </c>
      <c r="I30" s="32">
        <v>1.761212848E10</v>
      </c>
      <c r="J30" s="32">
        <v>3.358200002E9</v>
      </c>
      <c r="K30" s="32">
        <v>71447.0</v>
      </c>
      <c r="L30" s="31" t="s">
        <v>147</v>
      </c>
      <c r="M30" s="31">
        <v>25.0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1.6942777E8</v>
      </c>
      <c r="B31" s="31" t="s">
        <v>71</v>
      </c>
      <c r="C31" s="32">
        <v>7.7346694E7</v>
      </c>
      <c r="D31" s="32">
        <v>6.53935051E8</v>
      </c>
      <c r="E31" s="32">
        <v>8264886.0</v>
      </c>
      <c r="F31" s="32">
        <v>2.5150634E7</v>
      </c>
      <c r="G31" s="32">
        <v>1.9775229E7</v>
      </c>
      <c r="H31" s="32">
        <v>0.0</v>
      </c>
      <c r="I31" s="32">
        <v>1.7529875908E10</v>
      </c>
      <c r="J31" s="32">
        <v>6.76897086E8</v>
      </c>
      <c r="K31" s="32">
        <v>105133.0</v>
      </c>
      <c r="L31" s="31" t="s">
        <v>147</v>
      </c>
      <c r="M31" s="31">
        <v>25.0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1.15125159E8</v>
      </c>
      <c r="B32" s="31" t="s">
        <v>400</v>
      </c>
      <c r="C32" s="32">
        <v>7.721355E7</v>
      </c>
      <c r="D32" s="32">
        <v>5.94789591E8</v>
      </c>
      <c r="E32" s="32">
        <v>1.0109587E7</v>
      </c>
      <c r="F32" s="32">
        <v>2.3098886E7</v>
      </c>
      <c r="G32" s="32">
        <v>1.7486076E7</v>
      </c>
      <c r="H32" s="32">
        <v>19919.0</v>
      </c>
      <c r="I32" s="32">
        <v>1.2988626726E10</v>
      </c>
      <c r="J32" s="32">
        <v>2.957793162E9</v>
      </c>
      <c r="K32" s="32">
        <v>50252.0</v>
      </c>
      <c r="L32" s="31" t="s">
        <v>147</v>
      </c>
      <c r="M32" s="31">
        <v>25.0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1.4572491E7</v>
      </c>
      <c r="B33" s="31" t="s">
        <v>529</v>
      </c>
      <c r="C33" s="32">
        <v>7.5955768E7</v>
      </c>
      <c r="D33" s="32">
        <v>7.037053918E9</v>
      </c>
      <c r="E33" s="32">
        <v>6.3318543E7</v>
      </c>
      <c r="F33" s="32">
        <v>2.11036344E8</v>
      </c>
      <c r="G33" s="32">
        <v>2.42567074E8</v>
      </c>
      <c r="H33" s="32">
        <v>0.0</v>
      </c>
      <c r="I33" s="32">
        <v>1.9367191887E10</v>
      </c>
      <c r="J33" s="32">
        <v>4.7723874529E10</v>
      </c>
      <c r="K33" s="32">
        <v>178548.0</v>
      </c>
      <c r="L33" s="31" t="s">
        <v>147</v>
      </c>
      <c r="M33" s="31">
        <v>25.0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1.41154852E8</v>
      </c>
      <c r="B34" s="31" t="s">
        <v>76</v>
      </c>
      <c r="C34" s="32">
        <v>7.5835286E7</v>
      </c>
      <c r="D34" s="32">
        <v>2.406316835E9</v>
      </c>
      <c r="E34" s="32">
        <v>1.1042862E7</v>
      </c>
      <c r="F34" s="32">
        <v>1.00497226E8</v>
      </c>
      <c r="G34" s="32">
        <v>6.7801083E7</v>
      </c>
      <c r="H34" s="32">
        <v>0.0</v>
      </c>
      <c r="I34" s="32">
        <v>1.5872817411E10</v>
      </c>
      <c r="J34" s="32">
        <v>6.046357244E9</v>
      </c>
      <c r="K34" s="32">
        <v>65763.0</v>
      </c>
      <c r="L34" s="31" t="s">
        <v>147</v>
      </c>
      <c r="M34" s="31">
        <v>25.0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1.71503078E8</v>
      </c>
      <c r="B35" s="31" t="s">
        <v>72</v>
      </c>
      <c r="C35" s="32">
        <v>7.5621607E7</v>
      </c>
      <c r="D35" s="32">
        <v>1.074240672E9</v>
      </c>
      <c r="E35" s="32">
        <v>2621178.0</v>
      </c>
      <c r="F35" s="32">
        <v>2.9312234E7</v>
      </c>
      <c r="G35" s="32">
        <v>3.7103071E7</v>
      </c>
      <c r="H35" s="32">
        <v>0.0</v>
      </c>
      <c r="I35" s="32">
        <v>1.7964276209E10</v>
      </c>
      <c r="J35" s="32">
        <v>4.65944807E9</v>
      </c>
      <c r="K35" s="32">
        <v>56785.0</v>
      </c>
      <c r="L35" s="31" t="s">
        <v>147</v>
      </c>
      <c r="M35" s="31">
        <v>25.0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1.69461237E8</v>
      </c>
      <c r="B36" s="31" t="s">
        <v>82</v>
      </c>
      <c r="C36" s="32">
        <v>7.5210474E7</v>
      </c>
      <c r="D36" s="32">
        <v>3.74816162E8</v>
      </c>
      <c r="E36" s="32">
        <v>3971161.0</v>
      </c>
      <c r="F36" s="32">
        <v>2.3104818E7</v>
      </c>
      <c r="G36" s="32">
        <v>5769663.0</v>
      </c>
      <c r="H36" s="32">
        <v>0.0</v>
      </c>
      <c r="I36" s="32">
        <v>3.184666263E9</v>
      </c>
      <c r="J36" s="32">
        <v>1.9898231616E10</v>
      </c>
      <c r="K36" s="32">
        <v>18982.0</v>
      </c>
      <c r="L36" s="31" t="s">
        <v>147</v>
      </c>
      <c r="M36" s="31">
        <v>25.0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1.69247313E8</v>
      </c>
      <c r="B37" s="31" t="s">
        <v>75</v>
      </c>
      <c r="C37" s="32">
        <v>7.5191551E7</v>
      </c>
      <c r="D37" s="32">
        <v>3.79627022E8</v>
      </c>
      <c r="E37" s="32">
        <v>7217759.0</v>
      </c>
      <c r="F37" s="32">
        <v>1.6067139E7</v>
      </c>
      <c r="G37" s="32">
        <v>1.0071068E7</v>
      </c>
      <c r="H37" s="32">
        <v>0.0</v>
      </c>
      <c r="I37" s="32">
        <v>1.9029202749E10</v>
      </c>
      <c r="J37" s="32">
        <v>1.909731466E9</v>
      </c>
      <c r="K37" s="32">
        <v>103699.0</v>
      </c>
      <c r="L37" s="31" t="s">
        <v>147</v>
      </c>
      <c r="M37" s="31">
        <v>25.0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1.56479771E8</v>
      </c>
      <c r="B38" s="31" t="s">
        <v>70</v>
      </c>
      <c r="C38" s="32">
        <v>7.4985735E7</v>
      </c>
      <c r="D38" s="32">
        <v>1.549222299E9</v>
      </c>
      <c r="E38" s="32">
        <v>1.0182922E7</v>
      </c>
      <c r="F38" s="32">
        <v>6.9281447E7</v>
      </c>
      <c r="G38" s="32">
        <v>4.0427508E7</v>
      </c>
      <c r="H38" s="32">
        <v>0.0</v>
      </c>
      <c r="I38" s="32">
        <v>1.629219735E10</v>
      </c>
      <c r="J38" s="32">
        <v>1.0491487032E10</v>
      </c>
      <c r="K38" s="32">
        <v>95471.0</v>
      </c>
      <c r="L38" s="31" t="s">
        <v>147</v>
      </c>
      <c r="M38" s="31">
        <v>25.0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1.71798243E8</v>
      </c>
      <c r="B39" s="31" t="s">
        <v>530</v>
      </c>
      <c r="C39" s="32">
        <v>7.4931648E7</v>
      </c>
      <c r="D39" s="32">
        <v>1.77874614E8</v>
      </c>
      <c r="E39" s="32">
        <v>2419523.0</v>
      </c>
      <c r="F39" s="32">
        <v>4745649.0</v>
      </c>
      <c r="G39" s="32">
        <v>6339923.0</v>
      </c>
      <c r="H39" s="32">
        <v>0.0</v>
      </c>
      <c r="I39" s="32">
        <v>6.039865533E9</v>
      </c>
      <c r="J39" s="32">
        <v>8.327837526E9</v>
      </c>
      <c r="K39" s="32">
        <v>24730.0</v>
      </c>
      <c r="L39" s="31" t="s">
        <v>147</v>
      </c>
      <c r="M39" s="31">
        <v>25.0</v>
      </c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1.70866748E8</v>
      </c>
      <c r="B40" s="31" t="s">
        <v>97</v>
      </c>
      <c r="C40" s="32">
        <v>7.4655691E7</v>
      </c>
      <c r="D40" s="32">
        <v>4.94086077E8</v>
      </c>
      <c r="E40" s="32">
        <v>4918198.0</v>
      </c>
      <c r="F40" s="32">
        <v>8062843.0</v>
      </c>
      <c r="G40" s="32">
        <v>2.0596788E7</v>
      </c>
      <c r="H40" s="32">
        <v>0.0</v>
      </c>
      <c r="I40" s="32">
        <v>1.3284452908E10</v>
      </c>
      <c r="J40" s="32">
        <v>2.217127724E9</v>
      </c>
      <c r="K40" s="32">
        <v>31725.0</v>
      </c>
      <c r="L40" s="31" t="s">
        <v>147</v>
      </c>
      <c r="M40" s="31">
        <v>25.0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1.71701107E8</v>
      </c>
      <c r="B41" s="31" t="s">
        <v>73</v>
      </c>
      <c r="C41" s="32">
        <v>7.3877361E7</v>
      </c>
      <c r="D41" s="32">
        <v>4.74477666E8</v>
      </c>
      <c r="E41" s="32">
        <v>2917546.0</v>
      </c>
      <c r="F41" s="32">
        <v>1.7198774E7</v>
      </c>
      <c r="G41" s="32">
        <v>1.487351E7</v>
      </c>
      <c r="H41" s="32">
        <v>0.0</v>
      </c>
      <c r="I41" s="32">
        <v>9.793596946E9</v>
      </c>
      <c r="J41" s="32">
        <v>3.474918782E9</v>
      </c>
      <c r="K41" s="32">
        <v>23586.0</v>
      </c>
      <c r="L41" s="31" t="s">
        <v>147</v>
      </c>
      <c r="M41" s="31">
        <v>25.0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1.6683283E8</v>
      </c>
      <c r="B42" s="31" t="s">
        <v>489</v>
      </c>
      <c r="C42" s="32">
        <v>7.38828E7</v>
      </c>
      <c r="D42" s="32">
        <v>1.014375033E9</v>
      </c>
      <c r="E42" s="32">
        <v>3790649.0</v>
      </c>
      <c r="F42" s="32">
        <v>4.83294E7</v>
      </c>
      <c r="G42" s="32">
        <v>2.5832166E7</v>
      </c>
      <c r="H42" s="32">
        <v>0.0</v>
      </c>
      <c r="I42" s="32">
        <v>1.5329551388E10</v>
      </c>
      <c r="J42" s="32">
        <v>1.357891804E9</v>
      </c>
      <c r="K42" s="32">
        <v>128541.0</v>
      </c>
      <c r="L42" s="31" t="s">
        <v>147</v>
      </c>
      <c r="M42" s="31">
        <v>25.0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1.66497805E8</v>
      </c>
      <c r="B43" s="31" t="s">
        <v>523</v>
      </c>
      <c r="C43" s="32">
        <v>7.3774287E7</v>
      </c>
      <c r="D43" s="32">
        <v>5.09530917E8</v>
      </c>
      <c r="E43" s="32">
        <v>4846815.0</v>
      </c>
      <c r="F43" s="32">
        <v>2.561536E7</v>
      </c>
      <c r="G43" s="32">
        <v>1.2138094E7</v>
      </c>
      <c r="H43" s="32">
        <v>0.0</v>
      </c>
      <c r="I43" s="32">
        <v>1.4005235058E10</v>
      </c>
      <c r="J43" s="32">
        <v>3.36763729E8</v>
      </c>
      <c r="K43" s="32">
        <v>53912.0</v>
      </c>
      <c r="L43" s="31" t="s">
        <v>147</v>
      </c>
      <c r="M43" s="31">
        <v>25.0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1.72041454E8</v>
      </c>
      <c r="B44" s="31" t="s">
        <v>87</v>
      </c>
      <c r="C44" s="32">
        <v>7.240994E7</v>
      </c>
      <c r="D44" s="32">
        <v>3.79804337E8</v>
      </c>
      <c r="E44" s="32">
        <v>6305574.0</v>
      </c>
      <c r="F44" s="32">
        <v>1.9176471E7</v>
      </c>
      <c r="G44" s="32">
        <v>8729180.0</v>
      </c>
      <c r="H44" s="32">
        <v>0.0</v>
      </c>
      <c r="I44" s="32">
        <v>1.0212755589E10</v>
      </c>
      <c r="J44" s="32">
        <v>9.41560618E8</v>
      </c>
      <c r="K44" s="32">
        <v>44841.0</v>
      </c>
      <c r="L44" s="31" t="s">
        <v>147</v>
      </c>
      <c r="M44" s="31">
        <v>25.0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1.36378574E8</v>
      </c>
      <c r="B45" s="31" t="s">
        <v>401</v>
      </c>
      <c r="C45" s="32">
        <v>7.2397332E7</v>
      </c>
      <c r="D45" s="32">
        <v>5.98467976E8</v>
      </c>
      <c r="E45" s="32">
        <v>6823289.0</v>
      </c>
      <c r="F45" s="32">
        <v>2.979345E7</v>
      </c>
      <c r="G45" s="32">
        <v>1.4389592E7</v>
      </c>
      <c r="H45" s="32">
        <v>0.0</v>
      </c>
      <c r="I45" s="32">
        <v>1.9317893619E10</v>
      </c>
      <c r="J45" s="32">
        <v>9.741231848E9</v>
      </c>
      <c r="K45" s="32">
        <v>27198.0</v>
      </c>
      <c r="L45" s="31" t="s">
        <v>147</v>
      </c>
      <c r="M45" s="31">
        <v>25.0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1.71604682E8</v>
      </c>
      <c r="B46" s="31" t="s">
        <v>531</v>
      </c>
      <c r="C46" s="32">
        <v>7.2394989E7</v>
      </c>
      <c r="D46" s="32">
        <v>1.058823381E9</v>
      </c>
      <c r="E46" s="32">
        <v>5096553.0</v>
      </c>
      <c r="F46" s="32">
        <v>4.1772658E7</v>
      </c>
      <c r="G46" s="32">
        <v>3.0009811E7</v>
      </c>
      <c r="H46" s="32">
        <v>0.0</v>
      </c>
      <c r="I46" s="32">
        <v>8.676400787E9</v>
      </c>
      <c r="J46" s="32">
        <v>1.360720264E9</v>
      </c>
      <c r="K46" s="32">
        <v>58900.0</v>
      </c>
      <c r="L46" s="31" t="s">
        <v>147</v>
      </c>
      <c r="M46" s="31">
        <v>25.0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1.40009179E8</v>
      </c>
      <c r="B47" s="31" t="s">
        <v>403</v>
      </c>
      <c r="C47" s="32">
        <v>7.237935E7</v>
      </c>
      <c r="D47" s="32">
        <v>1.039163439E9</v>
      </c>
      <c r="E47" s="32">
        <v>1.0543562E7</v>
      </c>
      <c r="F47" s="32">
        <v>5.8790027E7</v>
      </c>
      <c r="G47" s="32">
        <v>2.1885816E7</v>
      </c>
      <c r="H47" s="32">
        <v>0.0</v>
      </c>
      <c r="I47" s="32">
        <v>1.3830691709E10</v>
      </c>
      <c r="J47" s="32">
        <v>2.574764229E9</v>
      </c>
      <c r="K47" s="32">
        <v>35697.0</v>
      </c>
      <c r="L47" s="31" t="s">
        <v>147</v>
      </c>
      <c r="M47" s="31">
        <v>25.0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7887352.0</v>
      </c>
      <c r="B48" s="31" t="s">
        <v>83</v>
      </c>
      <c r="C48" s="32">
        <v>7.2139866E7</v>
      </c>
      <c r="D48" s="32">
        <v>2.1794922E9</v>
      </c>
      <c r="E48" s="32">
        <v>1.6550764E7</v>
      </c>
      <c r="F48" s="32">
        <v>7.0485111E7</v>
      </c>
      <c r="G48" s="32">
        <v>7.3141987E7</v>
      </c>
      <c r="H48" s="32">
        <v>0.0</v>
      </c>
      <c r="I48" s="32">
        <v>1.6587438115E10</v>
      </c>
      <c r="J48" s="32">
        <v>1.2713533366E10</v>
      </c>
      <c r="K48" s="32">
        <v>45771.0</v>
      </c>
      <c r="L48" s="31" t="s">
        <v>147</v>
      </c>
      <c r="M48" s="31">
        <v>25.0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1.66871338E8</v>
      </c>
      <c r="B49" s="31" t="s">
        <v>78</v>
      </c>
      <c r="C49" s="32">
        <v>7.1693434E7</v>
      </c>
      <c r="D49" s="32">
        <v>9.04915019E8</v>
      </c>
      <c r="E49" s="32">
        <v>5666936.0</v>
      </c>
      <c r="F49" s="32">
        <v>5.8330892E7</v>
      </c>
      <c r="G49" s="32">
        <v>1.4082384E7</v>
      </c>
      <c r="H49" s="32">
        <v>0.0</v>
      </c>
      <c r="I49" s="32">
        <v>8.499485939E9</v>
      </c>
      <c r="J49" s="32">
        <v>3.107290499E9</v>
      </c>
      <c r="K49" s="32">
        <v>45422.0</v>
      </c>
      <c r="L49" s="31" t="s">
        <v>147</v>
      </c>
      <c r="M49" s="31">
        <v>25.0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1.71972257E8</v>
      </c>
      <c r="B50" s="31" t="s">
        <v>90</v>
      </c>
      <c r="C50" s="32">
        <v>7.1091874E7</v>
      </c>
      <c r="D50" s="32">
        <v>5.65349717E8</v>
      </c>
      <c r="E50" s="32">
        <v>4545871.0</v>
      </c>
      <c r="F50" s="32">
        <v>2.2871343E7</v>
      </c>
      <c r="G50" s="32">
        <v>1.6060459E7</v>
      </c>
      <c r="H50" s="32">
        <v>0.0</v>
      </c>
      <c r="I50" s="32">
        <v>1.2929757687E10</v>
      </c>
      <c r="J50" s="32">
        <v>2.961253098E9</v>
      </c>
      <c r="K50" s="32">
        <v>16124.0</v>
      </c>
      <c r="L50" s="31" t="s">
        <v>147</v>
      </c>
      <c r="M50" s="31">
        <v>25.0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1.20029911E8</v>
      </c>
      <c r="B51" s="31" t="s">
        <v>79</v>
      </c>
      <c r="C51" s="32">
        <v>7.0843152E7</v>
      </c>
      <c r="D51" s="32">
        <v>8.38856406E8</v>
      </c>
      <c r="E51" s="32">
        <v>1.0191882E7</v>
      </c>
      <c r="F51" s="32">
        <v>4.1877723E7</v>
      </c>
      <c r="G51" s="32">
        <v>1.9392116E7</v>
      </c>
      <c r="H51" s="32">
        <v>135423.0</v>
      </c>
      <c r="I51" s="32">
        <v>1.0152980801E10</v>
      </c>
      <c r="J51" s="32">
        <v>1.6484234312E10</v>
      </c>
      <c r="K51" s="32">
        <v>52661.0</v>
      </c>
      <c r="L51" s="31" t="s">
        <v>147</v>
      </c>
      <c r="M51" s="31">
        <v>25.0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1.71491377E8</v>
      </c>
      <c r="B52" s="31" t="s">
        <v>84</v>
      </c>
      <c r="C52" s="32">
        <v>7.0777139E7</v>
      </c>
      <c r="D52" s="32">
        <v>3.62277925E8</v>
      </c>
      <c r="E52" s="32">
        <v>2994836.0</v>
      </c>
      <c r="F52" s="32">
        <v>9292633.0</v>
      </c>
      <c r="G52" s="32">
        <v>1.3350653E7</v>
      </c>
      <c r="H52" s="32">
        <v>0.0</v>
      </c>
      <c r="I52" s="32">
        <v>1.2181684361E10</v>
      </c>
      <c r="J52" s="32">
        <v>1.072142782E9</v>
      </c>
      <c r="K52" s="32">
        <v>51450.0</v>
      </c>
      <c r="L52" s="31" t="s">
        <v>147</v>
      </c>
      <c r="M52" s="31">
        <v>25.0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1.5633938E8</v>
      </c>
      <c r="B53" s="31" t="s">
        <v>89</v>
      </c>
      <c r="C53" s="32">
        <v>7.0491038E7</v>
      </c>
      <c r="D53" s="32">
        <v>5.27985962E8</v>
      </c>
      <c r="E53" s="32">
        <v>7812957.0</v>
      </c>
      <c r="F53" s="32">
        <v>2.7419638E7</v>
      </c>
      <c r="G53" s="32">
        <v>1.1333011E7</v>
      </c>
      <c r="H53" s="32">
        <v>0.0</v>
      </c>
      <c r="I53" s="32">
        <v>1.5169100019E10</v>
      </c>
      <c r="J53" s="32">
        <v>3.579929489E9</v>
      </c>
      <c r="K53" s="32">
        <v>119024.0</v>
      </c>
      <c r="L53" s="31" t="s">
        <v>147</v>
      </c>
      <c r="M53" s="31">
        <v>25.0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1.68923934E8</v>
      </c>
      <c r="B54" s="31" t="s">
        <v>98</v>
      </c>
      <c r="C54" s="32">
        <v>6.9945702E7</v>
      </c>
      <c r="D54" s="32">
        <v>5.56350605E8</v>
      </c>
      <c r="E54" s="32">
        <v>4142651.0</v>
      </c>
      <c r="F54" s="32">
        <v>2.0848575E7</v>
      </c>
      <c r="G54" s="32">
        <v>1.5252481E7</v>
      </c>
      <c r="H54" s="32">
        <v>0.0</v>
      </c>
      <c r="I54" s="32">
        <v>7.223085521E9</v>
      </c>
      <c r="J54" s="32">
        <v>4.87581842E8</v>
      </c>
      <c r="K54" s="32">
        <v>29720.0</v>
      </c>
      <c r="L54" s="31" t="s">
        <v>147</v>
      </c>
      <c r="M54" s="31">
        <v>25.0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1.72033754E8</v>
      </c>
      <c r="B55" s="31" t="s">
        <v>92</v>
      </c>
      <c r="C55" s="32">
        <v>6.9859129E7</v>
      </c>
      <c r="D55" s="32">
        <v>3.10231381E8</v>
      </c>
      <c r="E55" s="32">
        <v>5612575.0</v>
      </c>
      <c r="F55" s="32">
        <v>1.2498368E7</v>
      </c>
      <c r="G55" s="32">
        <v>8745931.0</v>
      </c>
      <c r="H55" s="32">
        <v>0.0</v>
      </c>
      <c r="I55" s="32">
        <v>1.0381443008E10</v>
      </c>
      <c r="J55" s="32">
        <v>5.74564768E8</v>
      </c>
      <c r="K55" s="32">
        <v>32920.0</v>
      </c>
      <c r="L55" s="31" t="s">
        <v>147</v>
      </c>
      <c r="M55" s="31">
        <v>25.0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1.77526978E8</v>
      </c>
      <c r="B56" s="31" t="s">
        <v>74</v>
      </c>
      <c r="C56" s="32">
        <v>6.939776E7</v>
      </c>
      <c r="D56" s="32">
        <v>9.2779966E7</v>
      </c>
      <c r="E56" s="32">
        <v>3007809.0</v>
      </c>
      <c r="F56" s="32">
        <v>3458011.0</v>
      </c>
      <c r="G56" s="32">
        <v>2772916.0</v>
      </c>
      <c r="H56" s="32">
        <v>0.0</v>
      </c>
      <c r="I56" s="32">
        <v>8.681827024E9</v>
      </c>
      <c r="J56" s="32">
        <v>7.881382248E9</v>
      </c>
      <c r="K56" s="32">
        <v>23455.0</v>
      </c>
      <c r="L56" s="31" t="s">
        <v>147</v>
      </c>
      <c r="M56" s="31">
        <v>25.0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1.71355737E8</v>
      </c>
      <c r="B57" s="31" t="s">
        <v>532</v>
      </c>
      <c r="C57" s="32">
        <v>6.8675561E7</v>
      </c>
      <c r="D57" s="32">
        <v>3.55644809E8</v>
      </c>
      <c r="E57" s="32">
        <v>3602321.0</v>
      </c>
      <c r="F57" s="32">
        <v>1.5495195E7</v>
      </c>
      <c r="G57" s="32">
        <v>9979354.0</v>
      </c>
      <c r="H57" s="32">
        <v>0.0</v>
      </c>
      <c r="I57" s="32">
        <v>1.3140990279E10</v>
      </c>
      <c r="J57" s="32">
        <v>6.884546118E9</v>
      </c>
      <c r="K57" s="32">
        <v>75415.0</v>
      </c>
      <c r="L57" s="31" t="s">
        <v>147</v>
      </c>
      <c r="M57" s="31">
        <v>25.0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1.71927851E8</v>
      </c>
      <c r="B58" s="31" t="s">
        <v>96</v>
      </c>
      <c r="C58" s="32">
        <v>6.8553684E7</v>
      </c>
      <c r="D58" s="32">
        <v>2.81217383E8</v>
      </c>
      <c r="E58" s="32">
        <v>2632321.0</v>
      </c>
      <c r="F58" s="32">
        <v>5301108.0</v>
      </c>
      <c r="G58" s="32">
        <v>1.1228093E7</v>
      </c>
      <c r="H58" s="32">
        <v>0.0</v>
      </c>
      <c r="I58" s="32">
        <v>9.233465992E9</v>
      </c>
      <c r="J58" s="32">
        <v>1.01624E8</v>
      </c>
      <c r="K58" s="32">
        <v>28757.0</v>
      </c>
      <c r="L58" s="31" t="s">
        <v>147</v>
      </c>
      <c r="M58" s="31">
        <v>25.0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1.69446634E8</v>
      </c>
      <c r="B59" s="31" t="s">
        <v>405</v>
      </c>
      <c r="C59" s="32">
        <v>6.8507004E7</v>
      </c>
      <c r="D59" s="32">
        <v>2.52154598E8</v>
      </c>
      <c r="E59" s="32">
        <v>8239052.0</v>
      </c>
      <c r="F59" s="32">
        <v>9684648.0</v>
      </c>
      <c r="G59" s="32">
        <v>7668039.0</v>
      </c>
      <c r="H59" s="32">
        <v>0.0</v>
      </c>
      <c r="I59" s="32">
        <v>1.0673496279E10</v>
      </c>
      <c r="J59" s="32">
        <v>3.0756178E8</v>
      </c>
      <c r="K59" s="32">
        <v>51304.0</v>
      </c>
      <c r="L59" s="31" t="s">
        <v>147</v>
      </c>
      <c r="M59" s="31">
        <v>25.0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1.72021868E8</v>
      </c>
      <c r="B60" s="31" t="s">
        <v>81</v>
      </c>
      <c r="C60" s="32">
        <v>6.8451E7</v>
      </c>
      <c r="D60" s="32">
        <v>6.55938793E8</v>
      </c>
      <c r="E60" s="32">
        <v>3187825.0</v>
      </c>
      <c r="F60" s="32">
        <v>1.4073569E7</v>
      </c>
      <c r="G60" s="32">
        <v>2.5555252E7</v>
      </c>
      <c r="H60" s="32">
        <v>0.0</v>
      </c>
      <c r="I60" s="32">
        <v>9.312717936E9</v>
      </c>
      <c r="J60" s="32">
        <v>1.46770917E9</v>
      </c>
      <c r="K60" s="32">
        <v>68023.0</v>
      </c>
      <c r="L60" s="31" t="s">
        <v>147</v>
      </c>
      <c r="M60" s="31">
        <v>25.0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1.71983336E8</v>
      </c>
      <c r="B61" s="31" t="s">
        <v>408</v>
      </c>
      <c r="C61" s="32">
        <v>6.835282E7</v>
      </c>
      <c r="D61" s="32">
        <v>2.89650571E8</v>
      </c>
      <c r="E61" s="32">
        <v>4518904.0</v>
      </c>
      <c r="F61" s="32">
        <v>1.143137E7</v>
      </c>
      <c r="G61" s="32">
        <v>8293618.0</v>
      </c>
      <c r="H61" s="32">
        <v>0.0</v>
      </c>
      <c r="I61" s="32">
        <v>1.3574103892E10</v>
      </c>
      <c r="J61" s="32">
        <v>4.845278491E9</v>
      </c>
      <c r="K61" s="32">
        <v>99830.0</v>
      </c>
      <c r="L61" s="31" t="s">
        <v>147</v>
      </c>
      <c r="M61" s="31">
        <v>25.0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1.69326547E8</v>
      </c>
      <c r="B62" s="31" t="s">
        <v>47</v>
      </c>
      <c r="C62" s="32">
        <v>6.8321873E7</v>
      </c>
      <c r="D62" s="32">
        <v>2.906237594E9</v>
      </c>
      <c r="E62" s="32">
        <v>8052132.0</v>
      </c>
      <c r="F62" s="32">
        <v>8.8065023E7</v>
      </c>
      <c r="G62" s="32">
        <v>9.9383605E7</v>
      </c>
      <c r="H62" s="32">
        <v>0.0</v>
      </c>
      <c r="I62" s="32">
        <v>1.0262383977E10</v>
      </c>
      <c r="J62" s="32">
        <v>9.398982851E9</v>
      </c>
      <c r="K62" s="32">
        <v>114573.0</v>
      </c>
      <c r="L62" s="31" t="s">
        <v>147</v>
      </c>
      <c r="M62" s="31">
        <v>25.0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1.66110884E8</v>
      </c>
      <c r="B63" s="31" t="s">
        <v>95</v>
      </c>
      <c r="C63" s="32">
        <v>6.8179771E7</v>
      </c>
      <c r="D63" s="32">
        <v>7.88597711E8</v>
      </c>
      <c r="E63" s="32">
        <v>6225085.0</v>
      </c>
      <c r="F63" s="32">
        <v>3.1210397E7</v>
      </c>
      <c r="G63" s="32">
        <v>2.1625551E7</v>
      </c>
      <c r="H63" s="32">
        <v>0.0</v>
      </c>
      <c r="I63" s="32">
        <v>8.237496423E9</v>
      </c>
      <c r="J63" s="32">
        <v>3.624684682E9</v>
      </c>
      <c r="K63" s="32">
        <v>66862.0</v>
      </c>
      <c r="L63" s="31" t="s">
        <v>147</v>
      </c>
      <c r="M63" s="31">
        <v>25.0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1.68839111E8</v>
      </c>
      <c r="B64" s="31" t="s">
        <v>101</v>
      </c>
      <c r="C64" s="32">
        <v>6.8111242E7</v>
      </c>
      <c r="D64" s="32">
        <v>3.31437409E8</v>
      </c>
      <c r="E64" s="32">
        <v>3926544.0</v>
      </c>
      <c r="F64" s="32">
        <v>2.1247313E7</v>
      </c>
      <c r="G64" s="32">
        <v>5507855.0</v>
      </c>
      <c r="H64" s="32">
        <v>0.0</v>
      </c>
      <c r="I64" s="32">
        <v>1.3639043192E10</v>
      </c>
      <c r="J64" s="32">
        <v>2.841985477E9</v>
      </c>
      <c r="K64" s="32">
        <v>36085.0</v>
      </c>
      <c r="L64" s="31" t="s">
        <v>147</v>
      </c>
      <c r="M64" s="31">
        <v>25.0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1.44049878E8</v>
      </c>
      <c r="B65" s="31" t="s">
        <v>127</v>
      </c>
      <c r="C65" s="32">
        <v>6.7702966E7</v>
      </c>
      <c r="D65" s="32">
        <v>2.86142216E8</v>
      </c>
      <c r="E65" s="32">
        <v>8378126.0</v>
      </c>
      <c r="F65" s="32">
        <v>1.1786976E7</v>
      </c>
      <c r="G65" s="32">
        <v>8205398.0</v>
      </c>
      <c r="H65" s="32">
        <v>0.0</v>
      </c>
      <c r="I65" s="32">
        <v>1.0583361314E10</v>
      </c>
      <c r="J65" s="32">
        <v>7.08104E8</v>
      </c>
      <c r="K65" s="32">
        <v>49033.0</v>
      </c>
      <c r="L65" s="31" t="s">
        <v>147</v>
      </c>
      <c r="M65" s="31">
        <v>25.0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1.46428825E8</v>
      </c>
      <c r="B66" s="31" t="s">
        <v>52</v>
      </c>
      <c r="C66" s="32">
        <v>6.7591513E7</v>
      </c>
      <c r="D66" s="32">
        <v>1.595034768E9</v>
      </c>
      <c r="E66" s="32">
        <v>9321904.0</v>
      </c>
      <c r="F66" s="32">
        <v>5.5296195E7</v>
      </c>
      <c r="G66" s="32">
        <v>5.1560762E7</v>
      </c>
      <c r="H66" s="32">
        <v>0.0</v>
      </c>
      <c r="I66" s="32">
        <v>2.5553203287E10</v>
      </c>
      <c r="J66" s="32">
        <v>9.060860877E9</v>
      </c>
      <c r="K66" s="32">
        <v>133085.0</v>
      </c>
      <c r="L66" s="31" t="s">
        <v>147</v>
      </c>
      <c r="M66" s="31">
        <v>25.0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5.524249E7</v>
      </c>
      <c r="B67" s="31" t="s">
        <v>88</v>
      </c>
      <c r="C67" s="32">
        <v>6.7356763E7</v>
      </c>
      <c r="D67" s="32">
        <v>7.9269562E8</v>
      </c>
      <c r="E67" s="32">
        <v>1.0003145E7</v>
      </c>
      <c r="F67" s="32">
        <v>2.1986973E7</v>
      </c>
      <c r="G67" s="32">
        <v>2.6830528E7</v>
      </c>
      <c r="H67" s="32">
        <v>0.0</v>
      </c>
      <c r="I67" s="32">
        <v>1.2717493257E10</v>
      </c>
      <c r="J67" s="32">
        <v>5.43576093E9</v>
      </c>
      <c r="K67" s="32">
        <v>49897.0</v>
      </c>
      <c r="L67" s="31" t="s">
        <v>147</v>
      </c>
      <c r="M67" s="31">
        <v>25.0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1.55534128E8</v>
      </c>
      <c r="B68" s="31" t="s">
        <v>105</v>
      </c>
      <c r="C68" s="32">
        <v>6.6945449E7</v>
      </c>
      <c r="D68" s="32">
        <v>1.000110292E9</v>
      </c>
      <c r="E68" s="32">
        <v>7861012.0</v>
      </c>
      <c r="F68" s="32">
        <v>3.7121656E7</v>
      </c>
      <c r="G68" s="32">
        <v>3.0753436E7</v>
      </c>
      <c r="H68" s="32">
        <v>0.0</v>
      </c>
      <c r="I68" s="32">
        <v>7.898269485E9</v>
      </c>
      <c r="J68" s="32">
        <v>9.17037441E8</v>
      </c>
      <c r="K68" s="32">
        <v>50254.0</v>
      </c>
      <c r="L68" s="31" t="s">
        <v>147</v>
      </c>
      <c r="M68" s="31">
        <v>25.0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1.71806191E8</v>
      </c>
      <c r="B69" s="31" t="s">
        <v>443</v>
      </c>
      <c r="C69" s="32">
        <v>6.5703697E7</v>
      </c>
      <c r="D69" s="32">
        <v>2.01096519E8</v>
      </c>
      <c r="E69" s="32">
        <v>2535139.0</v>
      </c>
      <c r="F69" s="32">
        <v>6778926.0</v>
      </c>
      <c r="G69" s="32">
        <v>6596215.0</v>
      </c>
      <c r="H69" s="32">
        <v>0.0</v>
      </c>
      <c r="I69" s="32">
        <v>9.19000912E9</v>
      </c>
      <c r="J69" s="32">
        <v>1.15560939E8</v>
      </c>
      <c r="K69" s="32">
        <v>17595.0</v>
      </c>
      <c r="L69" s="31" t="s">
        <v>147</v>
      </c>
      <c r="M69" s="31">
        <v>25.0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1.70708608E8</v>
      </c>
      <c r="B70" s="31" t="s">
        <v>91</v>
      </c>
      <c r="C70" s="32">
        <v>6.4595943E7</v>
      </c>
      <c r="D70" s="32">
        <v>2.49446472E8</v>
      </c>
      <c r="E70" s="32">
        <v>7042300.0</v>
      </c>
      <c r="F70" s="32">
        <v>7914881.0</v>
      </c>
      <c r="G70" s="32">
        <v>7795103.0</v>
      </c>
      <c r="H70" s="32">
        <v>0.0</v>
      </c>
      <c r="I70" s="32">
        <v>9.156752104E9</v>
      </c>
      <c r="J70" s="32">
        <v>1.56724317E9</v>
      </c>
      <c r="K70" s="32">
        <v>22887.0</v>
      </c>
      <c r="L70" s="31" t="s">
        <v>147</v>
      </c>
      <c r="M70" s="31">
        <v>25.0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1.7160984E8</v>
      </c>
      <c r="B71" s="31" t="s">
        <v>103</v>
      </c>
      <c r="C71" s="32">
        <v>6.4520826E7</v>
      </c>
      <c r="D71" s="32">
        <v>4.66804153E8</v>
      </c>
      <c r="E71" s="32">
        <v>4819502.0</v>
      </c>
      <c r="F71" s="32">
        <v>1.2880378E7</v>
      </c>
      <c r="G71" s="32">
        <v>1.6574298E7</v>
      </c>
      <c r="H71" s="32">
        <v>0.0</v>
      </c>
      <c r="I71" s="32">
        <v>7.18453349E9</v>
      </c>
      <c r="J71" s="32">
        <v>2.17640069E8</v>
      </c>
      <c r="K71" s="32">
        <v>42679.0</v>
      </c>
      <c r="L71" s="31" t="s">
        <v>147</v>
      </c>
      <c r="M71" s="31">
        <v>25.0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1915332.0</v>
      </c>
      <c r="B72" s="31" t="s">
        <v>110</v>
      </c>
      <c r="C72" s="32">
        <v>6.4516518E7</v>
      </c>
      <c r="D72" s="32">
        <v>3.69362864E8</v>
      </c>
      <c r="E72" s="32">
        <v>9024801.0</v>
      </c>
      <c r="F72" s="32">
        <v>1.6066749E7</v>
      </c>
      <c r="G72" s="32">
        <v>9512346.0</v>
      </c>
      <c r="H72" s="32">
        <v>0.0</v>
      </c>
      <c r="I72" s="32">
        <v>7.159438603E9</v>
      </c>
      <c r="J72" s="32">
        <v>4.006287226E9</v>
      </c>
      <c r="K72" s="32">
        <v>31998.0</v>
      </c>
      <c r="L72" s="31" t="s">
        <v>147</v>
      </c>
      <c r="M72" s="31">
        <v>25.0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1.70728362E8</v>
      </c>
      <c r="B73" s="31" t="s">
        <v>104</v>
      </c>
      <c r="C73" s="32">
        <v>6.4505395E7</v>
      </c>
      <c r="D73" s="32">
        <v>3.99939799E8</v>
      </c>
      <c r="E73" s="32">
        <v>8656028.0</v>
      </c>
      <c r="F73" s="32">
        <v>1.3737871E7</v>
      </c>
      <c r="G73" s="32">
        <v>1.2420504E7</v>
      </c>
      <c r="H73" s="32">
        <v>0.0</v>
      </c>
      <c r="I73" s="32">
        <v>6.287135884E9</v>
      </c>
      <c r="J73" s="32">
        <v>5.679580133E9</v>
      </c>
      <c r="K73" s="32">
        <v>57738.0</v>
      </c>
      <c r="L73" s="31" t="s">
        <v>147</v>
      </c>
      <c r="M73" s="31">
        <v>25.0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1.19051033E8</v>
      </c>
      <c r="B74" s="31" t="s">
        <v>533</v>
      </c>
      <c r="C74" s="32">
        <v>6.431441E7</v>
      </c>
      <c r="D74" s="32">
        <v>6.03136147E8</v>
      </c>
      <c r="E74" s="32">
        <v>1.4969585E7</v>
      </c>
      <c r="F74" s="32">
        <v>3.9165818E7</v>
      </c>
      <c r="G74" s="32">
        <v>8857531.0</v>
      </c>
      <c r="H74" s="32">
        <v>87571.0</v>
      </c>
      <c r="I74" s="32">
        <v>1.2628500195E10</v>
      </c>
      <c r="J74" s="32">
        <v>6.536030653E9</v>
      </c>
      <c r="K74" s="32">
        <v>89868.0</v>
      </c>
      <c r="L74" s="31" t="s">
        <v>147</v>
      </c>
      <c r="M74" s="31">
        <v>25.0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1.71982346E8</v>
      </c>
      <c r="B75" s="31" t="s">
        <v>409</v>
      </c>
      <c r="C75" s="32">
        <v>6.4238134E7</v>
      </c>
      <c r="D75" s="32">
        <v>9.4657889E7</v>
      </c>
      <c r="E75" s="32">
        <v>3207492.0</v>
      </c>
      <c r="F75" s="32">
        <v>3740631.0</v>
      </c>
      <c r="G75" s="32">
        <v>2831639.0</v>
      </c>
      <c r="H75" s="32">
        <v>0.0</v>
      </c>
      <c r="I75" s="32">
        <v>6.418080463E9</v>
      </c>
      <c r="J75" s="32">
        <v>4.03818604E8</v>
      </c>
      <c r="K75" s="32">
        <v>22170.0</v>
      </c>
      <c r="L75" s="31" t="s">
        <v>147</v>
      </c>
      <c r="M75" s="31">
        <v>25.0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1.70972148E8</v>
      </c>
      <c r="B76" s="31" t="s">
        <v>406</v>
      </c>
      <c r="C76" s="32">
        <v>6.3927272E7</v>
      </c>
      <c r="D76" s="32">
        <v>2.07129941E8</v>
      </c>
      <c r="E76" s="32">
        <v>3845379.0</v>
      </c>
      <c r="F76" s="32">
        <v>8959500.0</v>
      </c>
      <c r="G76" s="32">
        <v>5640690.0</v>
      </c>
      <c r="H76" s="32">
        <v>0.0</v>
      </c>
      <c r="I76" s="32">
        <v>1.0714304312E10</v>
      </c>
      <c r="J76" s="32">
        <v>1.493960679E9</v>
      </c>
      <c r="K76" s="32">
        <v>24401.0</v>
      </c>
      <c r="L76" s="31" t="s">
        <v>147</v>
      </c>
      <c r="M76" s="31">
        <v>25.0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1.4406546E8</v>
      </c>
      <c r="B77" s="31" t="s">
        <v>412</v>
      </c>
      <c r="C77" s="32">
        <v>6.3571057E7</v>
      </c>
      <c r="D77" s="32">
        <v>1.02470409E8</v>
      </c>
      <c r="E77" s="32">
        <v>5302568.0</v>
      </c>
      <c r="F77" s="32">
        <v>2164844.0</v>
      </c>
      <c r="G77" s="32">
        <v>4017973.0</v>
      </c>
      <c r="H77" s="32">
        <v>0.0</v>
      </c>
      <c r="I77" s="32">
        <v>1.0805073329E10</v>
      </c>
      <c r="J77" s="32">
        <v>4.47472383E8</v>
      </c>
      <c r="K77" s="32">
        <v>47621.0</v>
      </c>
      <c r="L77" s="31" t="s">
        <v>147</v>
      </c>
      <c r="M77" s="31">
        <v>25.0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1.6757738E8</v>
      </c>
      <c r="B78" s="31" t="s">
        <v>107</v>
      </c>
      <c r="C78" s="32">
        <v>6.2974808E7</v>
      </c>
      <c r="D78" s="32">
        <v>3.89650755E8</v>
      </c>
      <c r="E78" s="32">
        <v>5611995.0</v>
      </c>
      <c r="F78" s="32">
        <v>1.4670939E7</v>
      </c>
      <c r="G78" s="32">
        <v>1.1693648E7</v>
      </c>
      <c r="H78" s="32">
        <v>0.0</v>
      </c>
      <c r="I78" s="32">
        <v>7.649783319E9</v>
      </c>
      <c r="J78" s="32">
        <v>9.70788659E8</v>
      </c>
      <c r="K78" s="32">
        <v>46104.0</v>
      </c>
      <c r="L78" s="31" t="s">
        <v>147</v>
      </c>
      <c r="M78" s="31">
        <v>25.0</v>
      </c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1.67637163E8</v>
      </c>
      <c r="B79" s="31" t="s">
        <v>446</v>
      </c>
      <c r="C79" s="32">
        <v>6.2969871E7</v>
      </c>
      <c r="D79" s="32">
        <v>4.43645824E8</v>
      </c>
      <c r="E79" s="32">
        <v>8959786.0</v>
      </c>
      <c r="F79" s="32">
        <v>2.6038288E7</v>
      </c>
      <c r="G79" s="32">
        <v>7952739.0</v>
      </c>
      <c r="H79" s="32">
        <v>0.0</v>
      </c>
      <c r="I79" s="32">
        <v>9.505514153E9</v>
      </c>
      <c r="J79" s="32">
        <v>1.4103810541E10</v>
      </c>
      <c r="K79" s="32">
        <v>92984.0</v>
      </c>
      <c r="L79" s="31" t="s">
        <v>147</v>
      </c>
      <c r="M79" s="31">
        <v>25.0</v>
      </c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1.71209025E8</v>
      </c>
      <c r="B80" s="31" t="s">
        <v>444</v>
      </c>
      <c r="C80" s="32">
        <v>6.2957645E7</v>
      </c>
      <c r="D80" s="32">
        <v>3.64963138E8</v>
      </c>
      <c r="E80" s="32">
        <v>9187942.0</v>
      </c>
      <c r="F80" s="32">
        <v>1.8168238E7</v>
      </c>
      <c r="G80" s="32">
        <v>7662943.0</v>
      </c>
      <c r="H80" s="32">
        <v>0.0</v>
      </c>
      <c r="I80" s="32">
        <v>1.3373376064E10</v>
      </c>
      <c r="J80" s="32">
        <v>1.394842811E9</v>
      </c>
      <c r="K80" s="32">
        <v>37249.0</v>
      </c>
      <c r="L80" s="31" t="s">
        <v>147</v>
      </c>
      <c r="M80" s="31">
        <v>25.0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1.71753933E8</v>
      </c>
      <c r="B81" s="31" t="s">
        <v>108</v>
      </c>
      <c r="C81" s="32">
        <v>6.2677211E7</v>
      </c>
      <c r="D81" s="32">
        <v>8.0430586E7</v>
      </c>
      <c r="E81" s="32">
        <v>4532998.0</v>
      </c>
      <c r="F81" s="32">
        <v>2681186.0</v>
      </c>
      <c r="G81" s="32">
        <v>2663295.0</v>
      </c>
      <c r="H81" s="32">
        <v>0.0</v>
      </c>
      <c r="I81" s="32">
        <v>1.1708192239E10</v>
      </c>
      <c r="J81" s="32">
        <v>1.42796998E8</v>
      </c>
      <c r="K81" s="32">
        <v>50455.0</v>
      </c>
      <c r="L81" s="31" t="s">
        <v>147</v>
      </c>
      <c r="M81" s="31">
        <v>25.0</v>
      </c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1.53857025E8</v>
      </c>
      <c r="B82" s="31" t="s">
        <v>106</v>
      </c>
      <c r="C82" s="32">
        <v>6.2415625E7</v>
      </c>
      <c r="D82" s="32">
        <v>6.57681542E8</v>
      </c>
      <c r="E82" s="32">
        <v>6595389.0</v>
      </c>
      <c r="F82" s="32">
        <v>1.6055443E7</v>
      </c>
      <c r="G82" s="32">
        <v>2.4391291E7</v>
      </c>
      <c r="H82" s="32">
        <v>0.0</v>
      </c>
      <c r="I82" s="32">
        <v>1.4275141821E10</v>
      </c>
      <c r="J82" s="32">
        <v>2.764186976E9</v>
      </c>
      <c r="K82" s="32">
        <v>65898.0</v>
      </c>
      <c r="L82" s="31" t="s">
        <v>147</v>
      </c>
      <c r="M82" s="31">
        <v>25.0</v>
      </c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1.71910225E8</v>
      </c>
      <c r="B83" s="31" t="s">
        <v>99</v>
      </c>
      <c r="C83" s="32">
        <v>6.2420659E7</v>
      </c>
      <c r="D83" s="32">
        <v>1.74431846E8</v>
      </c>
      <c r="E83" s="32">
        <v>5109135.0</v>
      </c>
      <c r="F83" s="32">
        <v>3318500.0</v>
      </c>
      <c r="G83" s="32">
        <v>7028275.0</v>
      </c>
      <c r="H83" s="32">
        <v>0.0</v>
      </c>
      <c r="I83" s="32">
        <v>1.3388436291E10</v>
      </c>
      <c r="J83" s="32">
        <v>1.362930012E9</v>
      </c>
      <c r="K83" s="32">
        <v>32460.0</v>
      </c>
      <c r="L83" s="31" t="s">
        <v>147</v>
      </c>
      <c r="M83" s="31">
        <v>25.0</v>
      </c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2.1489428E7</v>
      </c>
      <c r="B84" s="31" t="s">
        <v>125</v>
      </c>
      <c r="C84" s="32">
        <v>6.2203865E7</v>
      </c>
      <c r="D84" s="32">
        <v>5.7711578E8</v>
      </c>
      <c r="E84" s="32">
        <v>1.6986041E7</v>
      </c>
      <c r="F84" s="32">
        <v>1.8273499E7</v>
      </c>
      <c r="G84" s="32">
        <v>1.9453509E7</v>
      </c>
      <c r="H84" s="32">
        <v>0.0</v>
      </c>
      <c r="I84" s="32">
        <v>1.6049999344E10</v>
      </c>
      <c r="J84" s="32">
        <v>9.234571546E9</v>
      </c>
      <c r="K84" s="32">
        <v>44876.0</v>
      </c>
      <c r="L84" s="31" t="s">
        <v>126</v>
      </c>
      <c r="M84" s="31">
        <v>25.0</v>
      </c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1.39292614E8</v>
      </c>
      <c r="B85" s="31" t="s">
        <v>112</v>
      </c>
      <c r="C85" s="32">
        <v>6.1757612E7</v>
      </c>
      <c r="D85" s="32">
        <v>5.89041222E8</v>
      </c>
      <c r="E85" s="32">
        <v>1.0121607E7</v>
      </c>
      <c r="F85" s="32">
        <v>1.2783634E7</v>
      </c>
      <c r="G85" s="32">
        <v>2.2756501E7</v>
      </c>
      <c r="H85" s="32">
        <v>0.0</v>
      </c>
      <c r="I85" s="32">
        <v>1.0798005325E10</v>
      </c>
      <c r="J85" s="32">
        <v>2.508817481E9</v>
      </c>
      <c r="K85" s="32">
        <v>34799.0</v>
      </c>
      <c r="L85" s="31" t="s">
        <v>147</v>
      </c>
      <c r="M85" s="31">
        <v>25.0</v>
      </c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1.38752108E8</v>
      </c>
      <c r="B86" s="31" t="s">
        <v>445</v>
      </c>
      <c r="C86" s="32">
        <v>6.1536459E7</v>
      </c>
      <c r="D86" s="32">
        <v>4.35412557E8</v>
      </c>
      <c r="E86" s="32">
        <v>5651167.0</v>
      </c>
      <c r="F86" s="32">
        <v>1.0396596E7</v>
      </c>
      <c r="G86" s="32">
        <v>1.6500168E7</v>
      </c>
      <c r="H86" s="32">
        <v>0.0</v>
      </c>
      <c r="I86" s="32">
        <v>2.427391803E10</v>
      </c>
      <c r="J86" s="32">
        <v>5.98942153E8</v>
      </c>
      <c r="K86" s="32">
        <v>82809.0</v>
      </c>
      <c r="L86" s="31" t="s">
        <v>147</v>
      </c>
      <c r="M86" s="31">
        <v>25.0</v>
      </c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1.66807426E8</v>
      </c>
      <c r="B87" s="31" t="s">
        <v>404</v>
      </c>
      <c r="C87" s="32">
        <v>6.1275513E7</v>
      </c>
      <c r="D87" s="32">
        <v>3.33665172E8</v>
      </c>
      <c r="E87" s="32">
        <v>5890594.0</v>
      </c>
      <c r="F87" s="32">
        <v>1.5401159E7</v>
      </c>
      <c r="G87" s="32">
        <v>8345709.0</v>
      </c>
      <c r="H87" s="32">
        <v>0.0</v>
      </c>
      <c r="I87" s="32">
        <v>4.430787703E9</v>
      </c>
      <c r="J87" s="32">
        <v>3.018172648E9</v>
      </c>
      <c r="K87" s="32">
        <v>49659.0</v>
      </c>
      <c r="L87" s="31" t="s">
        <v>147</v>
      </c>
      <c r="M87" s="31">
        <v>25.0</v>
      </c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1.4504414E8</v>
      </c>
      <c r="B88" s="31" t="s">
        <v>449</v>
      </c>
      <c r="C88" s="32">
        <v>6.0986534E7</v>
      </c>
      <c r="D88" s="32">
        <v>8.9281895E7</v>
      </c>
      <c r="E88" s="32">
        <v>8442987.0</v>
      </c>
      <c r="F88" s="32">
        <v>1801936.0</v>
      </c>
      <c r="G88" s="32">
        <v>3470825.0</v>
      </c>
      <c r="H88" s="32">
        <v>0.0</v>
      </c>
      <c r="I88" s="32">
        <v>7.168720722E9</v>
      </c>
      <c r="J88" s="32">
        <v>3.99109634E8</v>
      </c>
      <c r="K88" s="32">
        <v>12143.0</v>
      </c>
      <c r="L88" s="31" t="s">
        <v>147</v>
      </c>
      <c r="M88" s="31">
        <v>25.0</v>
      </c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1.44684719E8</v>
      </c>
      <c r="B89" s="31" t="s">
        <v>366</v>
      </c>
      <c r="C89" s="32">
        <v>6.0979307E7</v>
      </c>
      <c r="D89" s="32">
        <v>2.36862877E8</v>
      </c>
      <c r="E89" s="32">
        <v>1.2250242E7</v>
      </c>
      <c r="F89" s="32">
        <v>9244049.0</v>
      </c>
      <c r="G89" s="32">
        <v>6983156.0</v>
      </c>
      <c r="H89" s="32">
        <v>0.0</v>
      </c>
      <c r="I89" s="32">
        <v>6.495713298E9</v>
      </c>
      <c r="J89" s="32">
        <v>1.426811379E9</v>
      </c>
      <c r="K89" s="32">
        <v>38044.0</v>
      </c>
      <c r="L89" s="31" t="s">
        <v>147</v>
      </c>
      <c r="M89" s="31">
        <v>25.0</v>
      </c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1.71358436E8</v>
      </c>
      <c r="B90" s="31" t="s">
        <v>534</v>
      </c>
      <c r="C90" s="32">
        <v>6.0751441E7</v>
      </c>
      <c r="D90" s="32">
        <v>6.61588823E8</v>
      </c>
      <c r="E90" s="32">
        <v>5833655.0</v>
      </c>
      <c r="F90" s="32">
        <v>2.9999754E7</v>
      </c>
      <c r="G90" s="32">
        <v>1.7160721E7</v>
      </c>
      <c r="H90" s="32">
        <v>0.0</v>
      </c>
      <c r="I90" s="32">
        <v>4.527266443E9</v>
      </c>
      <c r="J90" s="32">
        <v>1.283327612E9</v>
      </c>
      <c r="K90" s="32">
        <v>50778.0</v>
      </c>
      <c r="L90" s="31" t="s">
        <v>94</v>
      </c>
      <c r="M90" s="31">
        <v>25.0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1.67614515E8</v>
      </c>
      <c r="B91" s="31" t="s">
        <v>365</v>
      </c>
      <c r="C91" s="32">
        <v>6.0208167E7</v>
      </c>
      <c r="D91" s="32">
        <v>2.13967858E8</v>
      </c>
      <c r="E91" s="32">
        <v>5989468.0</v>
      </c>
      <c r="F91" s="32">
        <v>1.2498694E7</v>
      </c>
      <c r="G91" s="32">
        <v>4295629.0</v>
      </c>
      <c r="H91" s="32">
        <v>0.0</v>
      </c>
      <c r="I91" s="32">
        <v>1.3307747828E10</v>
      </c>
      <c r="J91" s="32">
        <v>7.99053053E8</v>
      </c>
      <c r="K91" s="32">
        <v>46989.0</v>
      </c>
      <c r="L91" s="31" t="s">
        <v>147</v>
      </c>
      <c r="M91" s="31">
        <v>25.0</v>
      </c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1.71679053E8</v>
      </c>
      <c r="B92" s="31" t="s">
        <v>111</v>
      </c>
      <c r="C92" s="32">
        <v>5.9568004E7</v>
      </c>
      <c r="D92" s="32">
        <v>1.70482117E8</v>
      </c>
      <c r="E92" s="32">
        <v>3274718.0</v>
      </c>
      <c r="F92" s="32">
        <v>6050739.0</v>
      </c>
      <c r="G92" s="32">
        <v>5348891.0</v>
      </c>
      <c r="H92" s="32">
        <v>0.0</v>
      </c>
      <c r="I92" s="32">
        <v>9.741999941E9</v>
      </c>
      <c r="J92" s="32">
        <v>1.328925371E9</v>
      </c>
      <c r="K92" s="32">
        <v>24976.0</v>
      </c>
      <c r="L92" s="31" t="s">
        <v>147</v>
      </c>
      <c r="M92" s="31">
        <v>25.0</v>
      </c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1.44010731E8</v>
      </c>
      <c r="B93" s="31" t="s">
        <v>407</v>
      </c>
      <c r="C93" s="32">
        <v>5.8880981E7</v>
      </c>
      <c r="D93" s="32">
        <v>1.08379551E8</v>
      </c>
      <c r="E93" s="32">
        <v>8533368.0</v>
      </c>
      <c r="F93" s="32">
        <v>2481423.0</v>
      </c>
      <c r="G93" s="32">
        <v>4083583.0</v>
      </c>
      <c r="H93" s="32">
        <v>0.0</v>
      </c>
      <c r="I93" s="32">
        <v>7.400747429E9</v>
      </c>
      <c r="J93" s="32">
        <v>7.02856257E8</v>
      </c>
      <c r="K93" s="32">
        <v>27840.0</v>
      </c>
      <c r="L93" s="31" t="s">
        <v>147</v>
      </c>
      <c r="M93" s="31">
        <v>25.0</v>
      </c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1.15990558E8</v>
      </c>
      <c r="B94" s="31" t="s">
        <v>143</v>
      </c>
      <c r="C94" s="32">
        <v>5.7878231E7</v>
      </c>
      <c r="D94" s="32">
        <v>2.07794485E8</v>
      </c>
      <c r="E94" s="32">
        <v>3077942.0</v>
      </c>
      <c r="F94" s="32">
        <v>1.2394309E7</v>
      </c>
      <c r="G94" s="32">
        <v>3402474.0</v>
      </c>
      <c r="H94" s="32">
        <v>1288645.0</v>
      </c>
      <c r="I94" s="32">
        <v>8.666737392E9</v>
      </c>
      <c r="J94" s="32">
        <v>1.81565802E9</v>
      </c>
      <c r="K94" s="32">
        <v>19391.0</v>
      </c>
      <c r="L94" s="31" t="s">
        <v>66</v>
      </c>
      <c r="M94" s="31">
        <v>25.0</v>
      </c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1.69446444E8</v>
      </c>
      <c r="B95" s="31" t="s">
        <v>117</v>
      </c>
      <c r="C95" s="32">
        <v>5.7611728E7</v>
      </c>
      <c r="D95" s="32">
        <v>7.52438912E8</v>
      </c>
      <c r="E95" s="32">
        <v>6833259.0</v>
      </c>
      <c r="F95" s="32">
        <v>1.9004666E7</v>
      </c>
      <c r="G95" s="32">
        <v>2.7555019E7</v>
      </c>
      <c r="H95" s="32">
        <v>0.0</v>
      </c>
      <c r="I95" s="32">
        <v>6.089419264E9</v>
      </c>
      <c r="J95" s="32">
        <v>7.87113675E9</v>
      </c>
      <c r="K95" s="32">
        <v>67547.0</v>
      </c>
      <c r="L95" s="31" t="s">
        <v>147</v>
      </c>
      <c r="M95" s="31">
        <v>25.0</v>
      </c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1.27560055E8</v>
      </c>
      <c r="B96" s="31" t="s">
        <v>118</v>
      </c>
      <c r="C96" s="32">
        <v>5.7101875E7</v>
      </c>
      <c r="D96" s="32">
        <v>5.36241412E8</v>
      </c>
      <c r="E96" s="32">
        <v>1.6234183E7</v>
      </c>
      <c r="F96" s="32">
        <v>3.5272658E7</v>
      </c>
      <c r="G96" s="32">
        <v>6917660.0</v>
      </c>
      <c r="H96" s="32">
        <v>0.0</v>
      </c>
      <c r="I96" s="32">
        <v>8.843690143E9</v>
      </c>
      <c r="J96" s="32">
        <v>1.426775546E9</v>
      </c>
      <c r="K96" s="32">
        <v>53172.0</v>
      </c>
      <c r="L96" s="31" t="s">
        <v>66</v>
      </c>
      <c r="M96" s="31">
        <v>25.0</v>
      </c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1.71858863E8</v>
      </c>
      <c r="B97" s="31" t="s">
        <v>120</v>
      </c>
      <c r="C97" s="32">
        <v>5.7015225E7</v>
      </c>
      <c r="D97" s="32">
        <v>4.3889116E7</v>
      </c>
      <c r="E97" s="32">
        <v>4374063.0</v>
      </c>
      <c r="F97" s="32">
        <v>804984.0</v>
      </c>
      <c r="G97" s="32">
        <v>1773426.0</v>
      </c>
      <c r="H97" s="32">
        <v>0.0</v>
      </c>
      <c r="I97" s="32">
        <v>6.341600159E9</v>
      </c>
      <c r="J97" s="32">
        <v>5.086462E8</v>
      </c>
      <c r="K97" s="32">
        <v>8083.0</v>
      </c>
      <c r="L97" s="31" t="s">
        <v>147</v>
      </c>
      <c r="M97" s="31">
        <v>25.0</v>
      </c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1.71827401E8</v>
      </c>
      <c r="B98" s="31" t="s">
        <v>123</v>
      </c>
      <c r="C98" s="32">
        <v>5.6864334E7</v>
      </c>
      <c r="D98" s="32">
        <v>1.528153253E9</v>
      </c>
      <c r="E98" s="32">
        <v>7975447.0</v>
      </c>
      <c r="F98" s="32">
        <v>1.10599101E8</v>
      </c>
      <c r="G98" s="32">
        <v>1.7288563E7</v>
      </c>
      <c r="H98" s="32">
        <v>0.0</v>
      </c>
      <c r="I98" s="32">
        <v>3.062126535E9</v>
      </c>
      <c r="J98" s="32">
        <v>7.802247764E9</v>
      </c>
      <c r="K98" s="32">
        <v>31857.0</v>
      </c>
      <c r="L98" s="31" t="s">
        <v>492</v>
      </c>
      <c r="M98" s="31">
        <v>25.0</v>
      </c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1.43457511E8</v>
      </c>
      <c r="B99" s="31" t="s">
        <v>515</v>
      </c>
      <c r="C99" s="32">
        <v>5.6785473E7</v>
      </c>
      <c r="D99" s="32">
        <v>3.50690858E8</v>
      </c>
      <c r="E99" s="32">
        <v>9513016.0</v>
      </c>
      <c r="F99" s="32">
        <v>1.7472878E7</v>
      </c>
      <c r="G99" s="32">
        <v>8476269.0</v>
      </c>
      <c r="H99" s="32">
        <v>0.0</v>
      </c>
      <c r="I99" s="32">
        <v>1.3217336621E10</v>
      </c>
      <c r="J99" s="32">
        <v>9.801560189E9</v>
      </c>
      <c r="K99" s="32">
        <v>40655.0</v>
      </c>
      <c r="L99" s="31" t="s">
        <v>147</v>
      </c>
      <c r="M99" s="31">
        <v>25.0</v>
      </c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1.61646318E8</v>
      </c>
      <c r="B100" s="31" t="s">
        <v>122</v>
      </c>
      <c r="C100" s="32">
        <v>5.6396844E7</v>
      </c>
      <c r="D100" s="32">
        <v>2.11386066E8</v>
      </c>
      <c r="E100" s="32">
        <v>5152875.0</v>
      </c>
      <c r="F100" s="32">
        <v>8211298.0</v>
      </c>
      <c r="G100" s="32">
        <v>6388807.0</v>
      </c>
      <c r="H100" s="32">
        <v>0.0</v>
      </c>
      <c r="I100" s="32">
        <v>1.3215863416E10</v>
      </c>
      <c r="J100" s="32">
        <v>2.30164973E9</v>
      </c>
      <c r="K100" s="32">
        <v>45820.0</v>
      </c>
      <c r="L100" s="31" t="s">
        <v>147</v>
      </c>
      <c r="M100" s="31">
        <v>25.0</v>
      </c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1.44015947E8</v>
      </c>
      <c r="B101" s="31" t="s">
        <v>535</v>
      </c>
      <c r="C101" s="32">
        <v>5.6278533E7</v>
      </c>
      <c r="D101" s="32">
        <v>3.84257948E8</v>
      </c>
      <c r="E101" s="32">
        <v>1.1980118E7</v>
      </c>
      <c r="F101" s="32">
        <v>2.2314298E7</v>
      </c>
      <c r="G101" s="32">
        <v>4889592.0</v>
      </c>
      <c r="H101" s="32">
        <v>0.0</v>
      </c>
      <c r="I101" s="32">
        <v>1.0435449827E10</v>
      </c>
      <c r="J101" s="32">
        <v>7.87757499E8</v>
      </c>
      <c r="K101" s="32">
        <v>13311.0</v>
      </c>
      <c r="L101" s="31" t="s">
        <v>66</v>
      </c>
      <c r="M101" s="31">
        <v>25.0</v>
      </c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1.51360763E8</v>
      </c>
      <c r="B102" s="31" t="s">
        <v>367</v>
      </c>
      <c r="C102" s="32">
        <v>5.6197148E7</v>
      </c>
      <c r="D102" s="32">
        <v>1.03687521E8</v>
      </c>
      <c r="E102" s="32">
        <v>4915047.0</v>
      </c>
      <c r="F102" s="32">
        <v>5540464.0</v>
      </c>
      <c r="G102" s="32">
        <v>2323502.0</v>
      </c>
      <c r="H102" s="32">
        <v>0.0</v>
      </c>
      <c r="I102" s="32">
        <v>2.4968028868E10</v>
      </c>
      <c r="J102" s="32">
        <v>1.0438012042E10</v>
      </c>
      <c r="K102" s="32">
        <v>19161.0</v>
      </c>
      <c r="L102" s="31" t="s">
        <v>147</v>
      </c>
      <c r="M102" s="31">
        <v>25.0</v>
      </c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1.44608345E8</v>
      </c>
      <c r="B103" s="31" t="s">
        <v>130</v>
      </c>
      <c r="C103" s="32">
        <v>5.5268415E7</v>
      </c>
      <c r="D103" s="32">
        <v>7.65689757E8</v>
      </c>
      <c r="E103" s="32">
        <v>8735512.0</v>
      </c>
      <c r="F103" s="32">
        <v>5.4433437E7</v>
      </c>
      <c r="G103" s="32">
        <v>9097261.0</v>
      </c>
      <c r="H103" s="32">
        <v>0.0</v>
      </c>
      <c r="I103" s="32">
        <v>1.1148634329E10</v>
      </c>
      <c r="J103" s="32">
        <v>1.177270686E9</v>
      </c>
      <c r="K103" s="32">
        <v>31440.0</v>
      </c>
      <c r="L103" s="31" t="s">
        <v>66</v>
      </c>
      <c r="M103" s="31">
        <v>25.0</v>
      </c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1.45008495E8</v>
      </c>
      <c r="B104" s="31" t="s">
        <v>448</v>
      </c>
      <c r="C104" s="32">
        <v>5.5101646E7</v>
      </c>
      <c r="D104" s="32">
        <v>4.07463049E8</v>
      </c>
      <c r="E104" s="32">
        <v>1.3016544E7</v>
      </c>
      <c r="F104" s="32">
        <v>2.73478E7</v>
      </c>
      <c r="G104" s="32">
        <v>5891572.0</v>
      </c>
      <c r="H104" s="32">
        <v>0.0</v>
      </c>
      <c r="I104" s="32">
        <v>6.72941989E9</v>
      </c>
      <c r="J104" s="32">
        <v>1.045954784E9</v>
      </c>
      <c r="K104" s="32">
        <v>18958.0</v>
      </c>
      <c r="L104" s="31" t="s">
        <v>147</v>
      </c>
      <c r="M104" s="31">
        <v>25.0</v>
      </c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1.71345916E8</v>
      </c>
      <c r="B105" s="31" t="s">
        <v>447</v>
      </c>
      <c r="C105" s="32">
        <v>5.4642672E7</v>
      </c>
      <c r="D105" s="32">
        <v>2.08421344E8</v>
      </c>
      <c r="E105" s="32">
        <v>4437730.0</v>
      </c>
      <c r="F105" s="32">
        <v>1.1939158E7</v>
      </c>
      <c r="G105" s="32">
        <v>3524540.0</v>
      </c>
      <c r="H105" s="32">
        <v>0.0</v>
      </c>
      <c r="I105" s="32">
        <v>7.173183808E9</v>
      </c>
      <c r="J105" s="32">
        <v>1.768342095E9</v>
      </c>
      <c r="K105" s="32">
        <v>68925.0</v>
      </c>
      <c r="L105" s="31" t="s">
        <v>147</v>
      </c>
      <c r="M105" s="31">
        <v>25.0</v>
      </c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1.69672885E8</v>
      </c>
      <c r="B106" s="31" t="s">
        <v>129</v>
      </c>
      <c r="C106" s="32">
        <v>5.3730941E7</v>
      </c>
      <c r="D106" s="32">
        <v>3.35424198E8</v>
      </c>
      <c r="E106" s="32">
        <v>6988413.0</v>
      </c>
      <c r="F106" s="32">
        <v>1.7563248E7</v>
      </c>
      <c r="G106" s="32">
        <v>7283147.0</v>
      </c>
      <c r="H106" s="32">
        <v>0.0</v>
      </c>
      <c r="I106" s="32">
        <v>6.680962958E9</v>
      </c>
      <c r="J106" s="32">
        <v>3.576814413E9</v>
      </c>
      <c r="K106" s="32">
        <v>32005.0</v>
      </c>
      <c r="L106" s="31" t="s">
        <v>147</v>
      </c>
      <c r="M106" s="31">
        <v>25.0</v>
      </c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1.63138873E8</v>
      </c>
      <c r="B107" s="31" t="s">
        <v>410</v>
      </c>
      <c r="C107" s="32">
        <v>5.3038395E7</v>
      </c>
      <c r="D107" s="32">
        <v>1.12624767E8</v>
      </c>
      <c r="E107" s="32">
        <v>8459581.0</v>
      </c>
      <c r="F107" s="32">
        <v>5453337.0</v>
      </c>
      <c r="G107" s="32">
        <v>2780764.0</v>
      </c>
      <c r="H107" s="32">
        <v>0.0</v>
      </c>
      <c r="I107" s="32">
        <v>4.039907824E9</v>
      </c>
      <c r="J107" s="32">
        <v>3.24242356E8</v>
      </c>
      <c r="K107" s="32">
        <v>17932.0</v>
      </c>
      <c r="L107" s="31" t="s">
        <v>147</v>
      </c>
      <c r="M107" s="31">
        <v>25.0</v>
      </c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1.72031022E8</v>
      </c>
      <c r="B108" s="31" t="s">
        <v>536</v>
      </c>
      <c r="C108" s="32">
        <v>5.2356889E7</v>
      </c>
      <c r="D108" s="32">
        <v>9.2688359E7</v>
      </c>
      <c r="E108" s="32">
        <v>4037673.0</v>
      </c>
      <c r="F108" s="32">
        <v>2908675.0</v>
      </c>
      <c r="G108" s="32">
        <v>2733792.0</v>
      </c>
      <c r="H108" s="32">
        <v>0.0</v>
      </c>
      <c r="I108" s="32">
        <v>1.0953676763E10</v>
      </c>
      <c r="J108" s="32">
        <v>4.065132077E9</v>
      </c>
      <c r="K108" s="32">
        <v>27321.0</v>
      </c>
      <c r="L108" s="31" t="s">
        <v>147</v>
      </c>
      <c r="M108" s="31">
        <v>25.0</v>
      </c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1.69363448E8</v>
      </c>
      <c r="B109" s="31" t="s">
        <v>133</v>
      </c>
      <c r="C109" s="32">
        <v>5.1994652E7</v>
      </c>
      <c r="D109" s="32">
        <v>3.18921577E8</v>
      </c>
      <c r="E109" s="32">
        <v>4552497.0</v>
      </c>
      <c r="F109" s="32">
        <v>1.6726503E7</v>
      </c>
      <c r="G109" s="32">
        <v>7136434.0</v>
      </c>
      <c r="H109" s="32">
        <v>0.0</v>
      </c>
      <c r="I109" s="32">
        <v>7.80784977E9</v>
      </c>
      <c r="J109" s="32">
        <v>6.667116137E9</v>
      </c>
      <c r="K109" s="32">
        <v>37318.0</v>
      </c>
      <c r="L109" s="31" t="s">
        <v>147</v>
      </c>
      <c r="M109" s="31">
        <v>25.0</v>
      </c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1.45033056E8</v>
      </c>
      <c r="B110" s="31" t="s">
        <v>450</v>
      </c>
      <c r="C110" s="32">
        <v>5.1702333E7</v>
      </c>
      <c r="D110" s="32">
        <v>4.30246223E8</v>
      </c>
      <c r="E110" s="32">
        <v>1.1934623E7</v>
      </c>
      <c r="F110" s="32">
        <v>1.6034129E7</v>
      </c>
      <c r="G110" s="32">
        <v>1.3272984E7</v>
      </c>
      <c r="H110" s="32">
        <v>0.0</v>
      </c>
      <c r="I110" s="32">
        <v>1.3490964751E10</v>
      </c>
      <c r="J110" s="32">
        <v>7.19379775E8</v>
      </c>
      <c r="K110" s="32">
        <v>31199.0</v>
      </c>
      <c r="L110" s="31" t="s">
        <v>147</v>
      </c>
      <c r="M110" s="31">
        <v>25.0</v>
      </c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1.4405151E8</v>
      </c>
      <c r="B111" s="31" t="s">
        <v>537</v>
      </c>
      <c r="C111" s="32">
        <v>5.1536368E7</v>
      </c>
      <c r="D111" s="32">
        <v>1.24109289E8</v>
      </c>
      <c r="E111" s="32">
        <v>6751559.0</v>
      </c>
      <c r="F111" s="32">
        <v>5876959.0</v>
      </c>
      <c r="G111" s="32">
        <v>3075105.0</v>
      </c>
      <c r="H111" s="32">
        <v>0.0</v>
      </c>
      <c r="I111" s="32">
        <v>9.437335369E9</v>
      </c>
      <c r="J111" s="32">
        <v>2.062388246E9</v>
      </c>
      <c r="K111" s="32">
        <v>52779.0</v>
      </c>
      <c r="L111" s="31" t="s">
        <v>66</v>
      </c>
      <c r="M111" s="31">
        <v>25.0</v>
      </c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1.4461836E8</v>
      </c>
      <c r="B112" s="31" t="s">
        <v>116</v>
      </c>
      <c r="C112" s="32">
        <v>5.088467E7</v>
      </c>
      <c r="D112" s="32">
        <v>2.57544033E8</v>
      </c>
      <c r="E112" s="32">
        <v>2915124.0</v>
      </c>
      <c r="F112" s="32">
        <v>9355372.0</v>
      </c>
      <c r="G112" s="32">
        <v>8006629.0</v>
      </c>
      <c r="H112" s="32">
        <v>0.0</v>
      </c>
      <c r="I112" s="32">
        <v>8.922249041E9</v>
      </c>
      <c r="J112" s="32">
        <v>5.56487787E8</v>
      </c>
      <c r="K112" s="32">
        <v>41690.0</v>
      </c>
      <c r="L112" s="31" t="s">
        <v>147</v>
      </c>
      <c r="M112" s="31">
        <v>25.0</v>
      </c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1.72015122E8</v>
      </c>
      <c r="B113" s="31" t="s">
        <v>419</v>
      </c>
      <c r="C113" s="32">
        <v>5.0716609E7</v>
      </c>
      <c r="D113" s="32">
        <v>6.7322888E7</v>
      </c>
      <c r="E113" s="32">
        <v>5123715.0</v>
      </c>
      <c r="F113" s="32">
        <v>4074064.0</v>
      </c>
      <c r="G113" s="32">
        <v>1191383.0</v>
      </c>
      <c r="H113" s="32">
        <v>0.0</v>
      </c>
      <c r="I113" s="32">
        <v>6.315986905E9</v>
      </c>
      <c r="J113" s="32">
        <v>2.255803635E9</v>
      </c>
      <c r="K113" s="32">
        <v>14156.0</v>
      </c>
      <c r="L113" s="31" t="s">
        <v>66</v>
      </c>
      <c r="M113" s="31">
        <v>25.0</v>
      </c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4.9509851E7</v>
      </c>
      <c r="B114" s="31" t="s">
        <v>494</v>
      </c>
      <c r="C114" s="32">
        <v>4.9837624E7</v>
      </c>
      <c r="D114" s="32">
        <v>4.07969258E8</v>
      </c>
      <c r="E114" s="32">
        <v>4365803.0</v>
      </c>
      <c r="F114" s="32">
        <v>2.1346983E7</v>
      </c>
      <c r="G114" s="32">
        <v>8916478.0</v>
      </c>
      <c r="H114" s="32">
        <v>0.0</v>
      </c>
      <c r="I114" s="32">
        <v>6.603443577E9</v>
      </c>
      <c r="J114" s="32">
        <v>1.416612953E10</v>
      </c>
      <c r="K114" s="32">
        <v>30770.0</v>
      </c>
      <c r="L114" s="31" t="s">
        <v>492</v>
      </c>
      <c r="M114" s="31">
        <v>25.0</v>
      </c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1.58817223E8</v>
      </c>
      <c r="B115" s="31" t="s">
        <v>538</v>
      </c>
      <c r="C115" s="32">
        <v>4.9806356E7</v>
      </c>
      <c r="D115" s="32">
        <v>2.20098928E8</v>
      </c>
      <c r="E115" s="32">
        <v>7114771.0</v>
      </c>
      <c r="F115" s="32">
        <v>8890056.0</v>
      </c>
      <c r="G115" s="32">
        <v>5978118.0</v>
      </c>
      <c r="H115" s="32">
        <v>0.0</v>
      </c>
      <c r="I115" s="32">
        <v>6.253780467E9</v>
      </c>
      <c r="J115" s="32">
        <v>4.525942922E9</v>
      </c>
      <c r="K115" s="32">
        <v>35567.0</v>
      </c>
      <c r="L115" s="31" t="s">
        <v>147</v>
      </c>
      <c r="M115" s="31">
        <v>25.0</v>
      </c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1.68091444E8</v>
      </c>
      <c r="B116" s="31" t="s">
        <v>121</v>
      </c>
      <c r="C116" s="32">
        <v>4.9398184E7</v>
      </c>
      <c r="D116" s="32">
        <v>1.12164824E8</v>
      </c>
      <c r="E116" s="32">
        <v>7197561.0</v>
      </c>
      <c r="F116" s="32">
        <v>5692863.0</v>
      </c>
      <c r="G116" s="32">
        <v>2698380.0</v>
      </c>
      <c r="H116" s="32">
        <v>0.0</v>
      </c>
      <c r="I116" s="32">
        <v>6.561489468E9</v>
      </c>
      <c r="J116" s="32">
        <v>4.10264414E8</v>
      </c>
      <c r="K116" s="32">
        <v>40214.0</v>
      </c>
      <c r="L116" s="31" t="s">
        <v>147</v>
      </c>
      <c r="M116" s="31">
        <v>25.0</v>
      </c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1.0047682E8</v>
      </c>
      <c r="B117" s="31" t="s">
        <v>370</v>
      </c>
      <c r="C117" s="32">
        <v>4.9330532E7</v>
      </c>
      <c r="D117" s="32">
        <v>9.742934E7</v>
      </c>
      <c r="E117" s="32">
        <v>9510086.0</v>
      </c>
      <c r="F117" s="32">
        <v>3542905.0</v>
      </c>
      <c r="G117" s="32">
        <v>3089529.0</v>
      </c>
      <c r="H117" s="32">
        <v>0.0</v>
      </c>
      <c r="I117" s="32">
        <v>3.4641932044E10</v>
      </c>
      <c r="J117" s="32">
        <v>3.9422550048E10</v>
      </c>
      <c r="K117" s="32">
        <v>20791.0</v>
      </c>
      <c r="L117" s="31" t="s">
        <v>147</v>
      </c>
      <c r="M117" s="31">
        <v>25.0</v>
      </c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1.56007436E8</v>
      </c>
      <c r="B118" s="31" t="s">
        <v>413</v>
      </c>
      <c r="C118" s="32">
        <v>4.9302425E7</v>
      </c>
      <c r="D118" s="32">
        <v>1.48580212E8</v>
      </c>
      <c r="E118" s="32">
        <v>8944321.0</v>
      </c>
      <c r="F118" s="32">
        <v>4935476.0</v>
      </c>
      <c r="G118" s="32">
        <v>4886779.0</v>
      </c>
      <c r="H118" s="32">
        <v>0.0</v>
      </c>
      <c r="I118" s="32">
        <v>1.0735524032E10</v>
      </c>
      <c r="J118" s="32">
        <v>1.348331292E9</v>
      </c>
      <c r="K118" s="32">
        <v>12414.0</v>
      </c>
      <c r="L118" s="31" t="s">
        <v>147</v>
      </c>
      <c r="M118" s="31">
        <v>25.0</v>
      </c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1.66234202E8</v>
      </c>
      <c r="B119" s="31" t="s">
        <v>135</v>
      </c>
      <c r="C119" s="32">
        <v>4.8505899E7</v>
      </c>
      <c r="D119" s="32">
        <v>2.81505217E8</v>
      </c>
      <c r="E119" s="32">
        <v>4381426.0</v>
      </c>
      <c r="F119" s="32">
        <v>1.370718E7</v>
      </c>
      <c r="G119" s="32">
        <v>5993859.0</v>
      </c>
      <c r="H119" s="32">
        <v>0.0</v>
      </c>
      <c r="I119" s="32">
        <v>1.098731695E10</v>
      </c>
      <c r="J119" s="32">
        <v>1.48881707E9</v>
      </c>
      <c r="K119" s="32">
        <v>33246.0</v>
      </c>
      <c r="L119" s="31" t="s">
        <v>147</v>
      </c>
      <c r="M119" s="31">
        <v>25.0</v>
      </c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1.68025153E8</v>
      </c>
      <c r="B120" s="31" t="s">
        <v>146</v>
      </c>
      <c r="C120" s="32">
        <v>4.8471602E7</v>
      </c>
      <c r="D120" s="32">
        <v>2.8188141E7</v>
      </c>
      <c r="E120" s="32">
        <v>1667579.0</v>
      </c>
      <c r="F120" s="32">
        <v>748668.0</v>
      </c>
      <c r="G120" s="32">
        <v>1032023.0</v>
      </c>
      <c r="H120" s="32">
        <v>0.0</v>
      </c>
      <c r="I120" s="32">
        <v>3.905175657E9</v>
      </c>
      <c r="J120" s="32">
        <v>2.779142711E9</v>
      </c>
      <c r="K120" s="32">
        <v>4541.0</v>
      </c>
      <c r="L120" s="31" t="s">
        <v>147</v>
      </c>
      <c r="M120" s="31">
        <v>25.0</v>
      </c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1.44088316E8</v>
      </c>
      <c r="B121" s="31" t="s">
        <v>152</v>
      </c>
      <c r="C121" s="32">
        <v>4.8464584E7</v>
      </c>
      <c r="D121" s="32">
        <v>4.2555014E7</v>
      </c>
      <c r="E121" s="32">
        <v>4390339.0</v>
      </c>
      <c r="F121" s="32">
        <v>939021.0</v>
      </c>
      <c r="G121" s="32">
        <v>1357682.0</v>
      </c>
      <c r="H121" s="32">
        <v>0.0</v>
      </c>
      <c r="I121" s="32">
        <v>1.0877436517E10</v>
      </c>
      <c r="J121" s="32">
        <v>1.45E9</v>
      </c>
      <c r="K121" s="32">
        <v>13289.0</v>
      </c>
      <c r="L121" s="31" t="s">
        <v>153</v>
      </c>
      <c r="M121" s="31">
        <v>25.0</v>
      </c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1.69420296E8</v>
      </c>
      <c r="B122" s="31" t="s">
        <v>136</v>
      </c>
      <c r="C122" s="32">
        <v>4.845527E7</v>
      </c>
      <c r="D122" s="32">
        <v>1.5617538E8</v>
      </c>
      <c r="E122" s="32">
        <v>5880966.0</v>
      </c>
      <c r="F122" s="32">
        <v>4420692.0</v>
      </c>
      <c r="G122" s="32">
        <v>5578564.0</v>
      </c>
      <c r="H122" s="32">
        <v>0.0</v>
      </c>
      <c r="I122" s="32">
        <v>1.2984570207E10</v>
      </c>
      <c r="J122" s="32">
        <v>1.91432131E8</v>
      </c>
      <c r="K122" s="32">
        <v>31644.0</v>
      </c>
      <c r="L122" s="31" t="s">
        <v>147</v>
      </c>
      <c r="M122" s="31">
        <v>25.0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1.59857111E8</v>
      </c>
      <c r="B123" s="31" t="s">
        <v>369</v>
      </c>
      <c r="C123" s="32">
        <v>4.8430885E7</v>
      </c>
      <c r="D123" s="32">
        <v>4.61488335E8</v>
      </c>
      <c r="E123" s="32">
        <v>3125000.0</v>
      </c>
      <c r="F123" s="32">
        <v>3.5649558E7</v>
      </c>
      <c r="G123" s="32">
        <v>4682616.0</v>
      </c>
      <c r="H123" s="32">
        <v>0.0</v>
      </c>
      <c r="I123" s="32">
        <v>8.090480644E9</v>
      </c>
      <c r="J123" s="32">
        <v>3.340520456E9</v>
      </c>
      <c r="K123" s="32">
        <v>37263.0</v>
      </c>
      <c r="L123" s="31" t="s">
        <v>147</v>
      </c>
      <c r="M123" s="31">
        <v>25.0</v>
      </c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1.44049503E8</v>
      </c>
      <c r="B124" s="31" t="s">
        <v>495</v>
      </c>
      <c r="C124" s="32">
        <v>4.7694107E7</v>
      </c>
      <c r="D124" s="32">
        <v>1.51533045E8</v>
      </c>
      <c r="E124" s="32">
        <v>5568342.0</v>
      </c>
      <c r="F124" s="32">
        <v>8778048.0</v>
      </c>
      <c r="G124" s="32">
        <v>2950554.0</v>
      </c>
      <c r="H124" s="32">
        <v>0.0</v>
      </c>
      <c r="I124" s="32">
        <v>9.157310325E9</v>
      </c>
      <c r="J124" s="32">
        <v>1.86E7</v>
      </c>
      <c r="K124" s="32">
        <v>30055.0</v>
      </c>
      <c r="L124" s="31" t="s">
        <v>66</v>
      </c>
      <c r="M124" s="31">
        <v>25.0</v>
      </c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1.70028719E8</v>
      </c>
      <c r="B125" s="31" t="s">
        <v>452</v>
      </c>
      <c r="C125" s="32">
        <v>4.7304085E7</v>
      </c>
      <c r="D125" s="32">
        <v>1.12951945E8</v>
      </c>
      <c r="E125" s="32">
        <v>2509868.0</v>
      </c>
      <c r="F125" s="32">
        <v>4863608.0</v>
      </c>
      <c r="G125" s="32">
        <v>2788554.0</v>
      </c>
      <c r="H125" s="32">
        <v>0.0</v>
      </c>
      <c r="I125" s="32">
        <v>5.73263743E9</v>
      </c>
      <c r="J125" s="32">
        <v>3.939143277E9</v>
      </c>
      <c r="K125" s="32">
        <v>40397.0</v>
      </c>
      <c r="L125" s="31" t="s">
        <v>147</v>
      </c>
      <c r="M125" s="31">
        <v>25.0</v>
      </c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1.44064126E8</v>
      </c>
      <c r="B126" s="31" t="s">
        <v>416</v>
      </c>
      <c r="C126" s="32">
        <v>4.6415911E7</v>
      </c>
      <c r="D126" s="32">
        <v>3.26872017E8</v>
      </c>
      <c r="E126" s="32">
        <v>8224568.0</v>
      </c>
      <c r="F126" s="32">
        <v>1.8169771E7</v>
      </c>
      <c r="G126" s="32">
        <v>5142895.0</v>
      </c>
      <c r="H126" s="32">
        <v>0.0</v>
      </c>
      <c r="I126" s="32">
        <v>9.094564423E9</v>
      </c>
      <c r="J126" s="32">
        <v>4.867183E7</v>
      </c>
      <c r="K126" s="32">
        <v>13851.0</v>
      </c>
      <c r="L126" s="31" t="s">
        <v>66</v>
      </c>
      <c r="M126" s="31">
        <v>25.0</v>
      </c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1.6901814E8</v>
      </c>
      <c r="B127" s="31" t="s">
        <v>137</v>
      </c>
      <c r="C127" s="32">
        <v>4.6413477E7</v>
      </c>
      <c r="D127" s="32">
        <v>1.34982363E8</v>
      </c>
      <c r="E127" s="32">
        <v>3731779.0</v>
      </c>
      <c r="F127" s="32">
        <v>5331491.0</v>
      </c>
      <c r="G127" s="32">
        <v>4037935.0</v>
      </c>
      <c r="H127" s="32">
        <v>0.0</v>
      </c>
      <c r="I127" s="32">
        <v>1.1704710433E10</v>
      </c>
      <c r="J127" s="32">
        <v>3.067148407E9</v>
      </c>
      <c r="K127" s="32">
        <v>31726.0</v>
      </c>
      <c r="L127" s="31" t="s">
        <v>147</v>
      </c>
      <c r="M127" s="31">
        <v>25.0</v>
      </c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1.77187021E8</v>
      </c>
      <c r="B128" s="31" t="s">
        <v>418</v>
      </c>
      <c r="C128" s="32">
        <v>4.600568E7</v>
      </c>
      <c r="D128" s="32">
        <v>9.5562426E7</v>
      </c>
      <c r="E128" s="32">
        <v>6585804.0</v>
      </c>
      <c r="F128" s="32">
        <v>2654389.0</v>
      </c>
      <c r="G128" s="32">
        <v>3429914.0</v>
      </c>
      <c r="H128" s="32">
        <v>0.0</v>
      </c>
      <c r="I128" s="32">
        <v>8.578050646E9</v>
      </c>
      <c r="J128" s="32">
        <v>6.48430819E8</v>
      </c>
      <c r="K128" s="32">
        <v>24238.0</v>
      </c>
      <c r="L128" s="31" t="s">
        <v>147</v>
      </c>
      <c r="M128" s="31">
        <v>25.0</v>
      </c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1.45023737E8</v>
      </c>
      <c r="B129" s="31" t="s">
        <v>161</v>
      </c>
      <c r="C129" s="32">
        <v>4.5675846E7</v>
      </c>
      <c r="D129" s="32">
        <v>1.51987441E8</v>
      </c>
      <c r="E129" s="32">
        <v>2299396.0</v>
      </c>
      <c r="F129" s="32">
        <v>1.0377546E7</v>
      </c>
      <c r="G129" s="32">
        <v>2074755.0</v>
      </c>
      <c r="H129" s="32">
        <v>0.0</v>
      </c>
      <c r="I129" s="32">
        <v>6.979589357E9</v>
      </c>
      <c r="J129" s="32">
        <v>6.96238399E8</v>
      </c>
      <c r="K129" s="32">
        <v>24507.0</v>
      </c>
      <c r="L129" s="31" t="s">
        <v>147</v>
      </c>
      <c r="M129" s="31">
        <v>25.0</v>
      </c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1.76044158E8</v>
      </c>
      <c r="B130" s="31" t="s">
        <v>139</v>
      </c>
      <c r="C130" s="32">
        <v>4.5412641E7</v>
      </c>
      <c r="D130" s="32">
        <v>7.1273563E7</v>
      </c>
      <c r="E130" s="32">
        <v>3361151.0</v>
      </c>
      <c r="F130" s="32">
        <v>2198964.0</v>
      </c>
      <c r="G130" s="32">
        <v>2445105.0</v>
      </c>
      <c r="H130" s="32">
        <v>0.0</v>
      </c>
      <c r="I130" s="32">
        <v>1.63731775E10</v>
      </c>
      <c r="J130" s="32">
        <v>4.204536539E9</v>
      </c>
      <c r="K130" s="32">
        <v>14288.0</v>
      </c>
      <c r="L130" s="31" t="s">
        <v>147</v>
      </c>
      <c r="M130" s="31">
        <v>25.0</v>
      </c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1.72008118E8</v>
      </c>
      <c r="B131" s="31" t="s">
        <v>453</v>
      </c>
      <c r="C131" s="32">
        <v>4.5014509E7</v>
      </c>
      <c r="D131" s="32">
        <v>3.7403711E7</v>
      </c>
      <c r="E131" s="32">
        <v>4591447.0</v>
      </c>
      <c r="F131" s="32">
        <v>1153831.0</v>
      </c>
      <c r="G131" s="32">
        <v>1274367.0</v>
      </c>
      <c r="H131" s="32">
        <v>0.0</v>
      </c>
      <c r="I131" s="32">
        <v>7.885140055E9</v>
      </c>
      <c r="J131" s="32">
        <v>1.70113412E8</v>
      </c>
      <c r="K131" s="32">
        <v>7598.0</v>
      </c>
      <c r="L131" s="31" t="s">
        <v>147</v>
      </c>
      <c r="M131" s="31">
        <v>25.0</v>
      </c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1.44043573E8</v>
      </c>
      <c r="B132" s="31" t="s">
        <v>539</v>
      </c>
      <c r="C132" s="32">
        <v>4.4934999E7</v>
      </c>
      <c r="D132" s="32">
        <v>3.072454E7</v>
      </c>
      <c r="E132" s="32">
        <v>1.31487E7</v>
      </c>
      <c r="F132" s="32">
        <v>655157.0</v>
      </c>
      <c r="G132" s="32">
        <v>1189322.0</v>
      </c>
      <c r="H132" s="32">
        <v>0.0</v>
      </c>
      <c r="I132" s="32">
        <v>3.715711596E9</v>
      </c>
      <c r="J132" s="32">
        <v>1.2E7</v>
      </c>
      <c r="K132" s="32">
        <v>18821.0</v>
      </c>
      <c r="L132" s="31" t="s">
        <v>540</v>
      </c>
      <c r="M132" s="31">
        <v>25.0</v>
      </c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1.69953509E8</v>
      </c>
      <c r="B133" s="31" t="s">
        <v>415</v>
      </c>
      <c r="C133" s="32">
        <v>4.4829642E7</v>
      </c>
      <c r="D133" s="32">
        <v>2.19002745E8</v>
      </c>
      <c r="E133" s="32">
        <v>5501641.0</v>
      </c>
      <c r="F133" s="32">
        <v>6854885.0</v>
      </c>
      <c r="G133" s="32">
        <v>6310771.0</v>
      </c>
      <c r="H133" s="32">
        <v>0.0</v>
      </c>
      <c r="I133" s="32">
        <v>9.139641744E9</v>
      </c>
      <c r="J133" s="32">
        <v>1.984309821E9</v>
      </c>
      <c r="K133" s="32">
        <v>20235.0</v>
      </c>
      <c r="L133" s="31" t="s">
        <v>147</v>
      </c>
      <c r="M133" s="31">
        <v>25.0</v>
      </c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1.71985458E8</v>
      </c>
      <c r="B134" s="31" t="s">
        <v>541</v>
      </c>
      <c r="C134" s="32">
        <v>4.4240286E7</v>
      </c>
      <c r="D134" s="32">
        <v>5.7648893E7</v>
      </c>
      <c r="E134" s="32">
        <v>7895503.0</v>
      </c>
      <c r="F134" s="32">
        <v>2034727.0</v>
      </c>
      <c r="G134" s="32">
        <v>1810488.0</v>
      </c>
      <c r="H134" s="32">
        <v>0.0</v>
      </c>
      <c r="I134" s="32">
        <v>2.553423196E9</v>
      </c>
      <c r="J134" s="32">
        <v>5.0386921E7</v>
      </c>
      <c r="K134" s="32">
        <v>8597.0</v>
      </c>
      <c r="L134" s="31" t="s">
        <v>540</v>
      </c>
      <c r="M134" s="31">
        <v>25.0</v>
      </c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1.44100838E8</v>
      </c>
      <c r="B135" s="31" t="s">
        <v>542</v>
      </c>
      <c r="C135" s="32">
        <v>4.381228E7</v>
      </c>
      <c r="D135" s="32">
        <v>2.0292522E7</v>
      </c>
      <c r="E135" s="32">
        <v>8265731.0</v>
      </c>
      <c r="F135" s="32">
        <v>640246.0</v>
      </c>
      <c r="G135" s="32">
        <v>427308.0</v>
      </c>
      <c r="H135" s="32">
        <v>0.0</v>
      </c>
      <c r="I135" s="32">
        <v>7.506894678E9</v>
      </c>
      <c r="J135" s="32">
        <v>4391597.0</v>
      </c>
      <c r="K135" s="32">
        <v>855.0</v>
      </c>
      <c r="L135" s="31" t="s">
        <v>264</v>
      </c>
      <c r="M135" s="31">
        <v>25.0</v>
      </c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1.4361245E8</v>
      </c>
      <c r="B136" s="31" t="s">
        <v>144</v>
      </c>
      <c r="C136" s="32">
        <v>4.2845006E7</v>
      </c>
      <c r="D136" s="32">
        <v>4.85592936E8</v>
      </c>
      <c r="E136" s="32">
        <v>4373200.0</v>
      </c>
      <c r="F136" s="32">
        <v>2.8397404E7</v>
      </c>
      <c r="G136" s="32">
        <v>9482628.0</v>
      </c>
      <c r="H136" s="32">
        <v>0.0</v>
      </c>
      <c r="I136" s="32">
        <v>9.651145194E9</v>
      </c>
      <c r="J136" s="32">
        <v>7.137666033E9</v>
      </c>
      <c r="K136" s="32">
        <v>31782.0</v>
      </c>
      <c r="L136" s="31" t="s">
        <v>147</v>
      </c>
      <c r="M136" s="31">
        <v>25.0</v>
      </c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1.43551941E8</v>
      </c>
      <c r="B137" s="31" t="s">
        <v>151</v>
      </c>
      <c r="C137" s="32">
        <v>4.2308578E7</v>
      </c>
      <c r="D137" s="32">
        <v>1.45977057E8</v>
      </c>
      <c r="E137" s="32">
        <v>2445001.0</v>
      </c>
      <c r="F137" s="32">
        <v>9930156.0</v>
      </c>
      <c r="G137" s="32">
        <v>2043226.0</v>
      </c>
      <c r="H137" s="32">
        <v>0.0</v>
      </c>
      <c r="I137" s="32">
        <v>7.005754168E9</v>
      </c>
      <c r="J137" s="32">
        <v>3.2640001E7</v>
      </c>
      <c r="K137" s="32">
        <v>26465.0</v>
      </c>
      <c r="L137" s="31" t="s">
        <v>480</v>
      </c>
      <c r="M137" s="31">
        <v>25.0</v>
      </c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8.8110635E7</v>
      </c>
      <c r="B138" s="31" t="s">
        <v>149</v>
      </c>
      <c r="C138" s="32">
        <v>4.1693498E7</v>
      </c>
      <c r="D138" s="32">
        <v>3.6176303E7</v>
      </c>
      <c r="E138" s="32">
        <v>6519506.0</v>
      </c>
      <c r="F138" s="32">
        <v>936109.0</v>
      </c>
      <c r="G138" s="32">
        <v>1302977.0</v>
      </c>
      <c r="H138" s="32">
        <v>0.0</v>
      </c>
      <c r="I138" s="32">
        <v>9.05617162E9</v>
      </c>
      <c r="J138" s="32">
        <v>1.05797584E8</v>
      </c>
      <c r="K138" s="32">
        <v>13071.0</v>
      </c>
      <c r="L138" s="31" t="s">
        <v>126</v>
      </c>
      <c r="M138" s="31">
        <v>25.0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1.71697263E8</v>
      </c>
      <c r="B139" s="31" t="s">
        <v>109</v>
      </c>
      <c r="C139" s="32">
        <v>4.1671559E7</v>
      </c>
      <c r="D139" s="32">
        <v>3.54685334E8</v>
      </c>
      <c r="E139" s="32">
        <v>8179333.0</v>
      </c>
      <c r="F139" s="32">
        <v>1.6481145E7</v>
      </c>
      <c r="G139" s="32">
        <v>9256198.0</v>
      </c>
      <c r="H139" s="32">
        <v>0.0</v>
      </c>
      <c r="I139" s="32">
        <v>5.155723501E9</v>
      </c>
      <c r="J139" s="32">
        <v>5.70143562E8</v>
      </c>
      <c r="K139" s="32">
        <v>39814.0</v>
      </c>
      <c r="L139" s="31" t="s">
        <v>147</v>
      </c>
      <c r="M139" s="31">
        <v>25.0</v>
      </c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1.60258193E8</v>
      </c>
      <c r="B140" s="31" t="s">
        <v>145</v>
      </c>
      <c r="C140" s="32">
        <v>4.1418002E7</v>
      </c>
      <c r="D140" s="32">
        <v>4.3554939E7</v>
      </c>
      <c r="E140" s="32">
        <v>2440420.0</v>
      </c>
      <c r="F140" s="32">
        <v>2666256.0</v>
      </c>
      <c r="G140" s="32">
        <v>710955.0</v>
      </c>
      <c r="H140" s="32">
        <v>0.0</v>
      </c>
      <c r="I140" s="32">
        <v>6.001108305E9</v>
      </c>
      <c r="J140" s="32">
        <v>1.224418482E9</v>
      </c>
      <c r="K140" s="32">
        <v>22671.0</v>
      </c>
      <c r="L140" s="31" t="s">
        <v>147</v>
      </c>
      <c r="M140" s="31">
        <v>25.0</v>
      </c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1.71945722E8</v>
      </c>
      <c r="B141" s="31" t="s">
        <v>371</v>
      </c>
      <c r="C141" s="32">
        <v>4.1387487E7</v>
      </c>
      <c r="D141" s="32">
        <v>5.7660013E7</v>
      </c>
      <c r="E141" s="32">
        <v>4437053.0</v>
      </c>
      <c r="F141" s="32">
        <v>2738400.0</v>
      </c>
      <c r="G141" s="32">
        <v>1503961.0</v>
      </c>
      <c r="H141" s="32">
        <v>0.0</v>
      </c>
      <c r="I141" s="32">
        <v>1.058928749E10</v>
      </c>
      <c r="J141" s="32">
        <v>2.84985022E9</v>
      </c>
      <c r="K141" s="32">
        <v>14513.0</v>
      </c>
      <c r="L141" s="31" t="s">
        <v>147</v>
      </c>
      <c r="M141" s="31">
        <v>25.0</v>
      </c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1.44065871E8</v>
      </c>
      <c r="B142" s="31" t="s">
        <v>543</v>
      </c>
      <c r="C142" s="32">
        <v>4.1317079E7</v>
      </c>
      <c r="D142" s="32">
        <v>2.6555915E7</v>
      </c>
      <c r="E142" s="32">
        <v>6675617.0</v>
      </c>
      <c r="F142" s="32">
        <v>682968.0</v>
      </c>
      <c r="G142" s="32">
        <v>420826.0</v>
      </c>
      <c r="H142" s="32">
        <v>0.0</v>
      </c>
      <c r="I142" s="32">
        <v>7.117900555E9</v>
      </c>
      <c r="J142" s="32">
        <v>3.119396029E9</v>
      </c>
      <c r="K142" s="32">
        <v>4406.0</v>
      </c>
      <c r="L142" s="31" t="s">
        <v>165</v>
      </c>
      <c r="M142" s="31">
        <v>25.0</v>
      </c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1.68206434E8</v>
      </c>
      <c r="B143" s="31" t="s">
        <v>454</v>
      </c>
      <c r="C143" s="32">
        <v>4.1028088E7</v>
      </c>
      <c r="D143" s="32">
        <v>1.06376405E8</v>
      </c>
      <c r="E143" s="32">
        <v>6942759.0</v>
      </c>
      <c r="F143" s="32">
        <v>4458979.0</v>
      </c>
      <c r="G143" s="32">
        <v>2831644.0</v>
      </c>
      <c r="H143" s="32">
        <v>0.0</v>
      </c>
      <c r="I143" s="32">
        <v>5.012966358E9</v>
      </c>
      <c r="J143" s="32">
        <v>2.62430913E8</v>
      </c>
      <c r="K143" s="32">
        <v>5908.0</v>
      </c>
      <c r="L143" s="31" t="s">
        <v>147</v>
      </c>
      <c r="M143" s="31">
        <v>25.0</v>
      </c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1.75650426E8</v>
      </c>
      <c r="B144" s="31" t="s">
        <v>154</v>
      </c>
      <c r="C144" s="32">
        <v>4.0881326E7</v>
      </c>
      <c r="D144" s="32">
        <v>1.93760314E8</v>
      </c>
      <c r="E144" s="32">
        <v>6582237.0</v>
      </c>
      <c r="F144" s="32">
        <v>8111805.0</v>
      </c>
      <c r="G144" s="32">
        <v>4833964.0</v>
      </c>
      <c r="H144" s="32">
        <v>0.0</v>
      </c>
      <c r="I144" s="32">
        <v>6.139760809E9</v>
      </c>
      <c r="J144" s="32">
        <v>3.299085086E9</v>
      </c>
      <c r="K144" s="32">
        <v>19156.0</v>
      </c>
      <c r="L144" s="31" t="s">
        <v>147</v>
      </c>
      <c r="M144" s="31">
        <v>25.0</v>
      </c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1.71922856E8</v>
      </c>
      <c r="B145" s="31" t="s">
        <v>420</v>
      </c>
      <c r="C145" s="32">
        <v>4.0860442E7</v>
      </c>
      <c r="D145" s="32">
        <v>6.8587648E7</v>
      </c>
      <c r="E145" s="32">
        <v>3429082.0</v>
      </c>
      <c r="F145" s="32">
        <v>2665310.0</v>
      </c>
      <c r="G145" s="32">
        <v>1778374.0</v>
      </c>
      <c r="H145" s="32">
        <v>0.0</v>
      </c>
      <c r="I145" s="32">
        <v>5.272688007E9</v>
      </c>
      <c r="J145" s="32">
        <v>5.54807188E8</v>
      </c>
      <c r="K145" s="32">
        <v>17296.0</v>
      </c>
      <c r="L145" s="31" t="s">
        <v>147</v>
      </c>
      <c r="M145" s="31">
        <v>25.0</v>
      </c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1.72029365E8</v>
      </c>
      <c r="B146" s="31" t="s">
        <v>148</v>
      </c>
      <c r="C146" s="32">
        <v>4.0744969E7</v>
      </c>
      <c r="D146" s="32">
        <v>1.22016779E8</v>
      </c>
      <c r="E146" s="32">
        <v>7851491.0</v>
      </c>
      <c r="F146" s="32">
        <v>3625354.0</v>
      </c>
      <c r="G146" s="32">
        <v>4204304.0</v>
      </c>
      <c r="H146" s="32">
        <v>0.0</v>
      </c>
      <c r="I146" s="32">
        <v>5.73140301E9</v>
      </c>
      <c r="J146" s="32">
        <v>1.009311746E9</v>
      </c>
      <c r="K146" s="32">
        <v>16906.0</v>
      </c>
      <c r="L146" s="31" t="s">
        <v>147</v>
      </c>
      <c r="M146" s="31">
        <v>25.0</v>
      </c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1.75551858E8</v>
      </c>
      <c r="B147" s="31" t="s">
        <v>496</v>
      </c>
      <c r="C147" s="32">
        <v>3.9937057E7</v>
      </c>
      <c r="D147" s="32">
        <v>5.478468E7</v>
      </c>
      <c r="E147" s="32">
        <v>6160064.0</v>
      </c>
      <c r="F147" s="32">
        <v>4075896.0</v>
      </c>
      <c r="G147" s="32">
        <v>647897.0</v>
      </c>
      <c r="H147" s="32">
        <v>0.0</v>
      </c>
      <c r="I147" s="32">
        <v>5.827150613E9</v>
      </c>
      <c r="J147" s="32">
        <v>4.83084529E8</v>
      </c>
      <c r="K147" s="32">
        <v>10298.0</v>
      </c>
      <c r="L147" s="31" t="s">
        <v>540</v>
      </c>
      <c r="M147" s="31">
        <v>25.0</v>
      </c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1.45948216E8</v>
      </c>
      <c r="B148" s="31" t="s">
        <v>167</v>
      </c>
      <c r="C148" s="32">
        <v>3.9785939E7</v>
      </c>
      <c r="D148" s="32">
        <v>5.9810921E7</v>
      </c>
      <c r="E148" s="32">
        <v>4207713.0</v>
      </c>
      <c r="F148" s="32">
        <v>1157303.0</v>
      </c>
      <c r="G148" s="32">
        <v>2399627.0</v>
      </c>
      <c r="H148" s="32">
        <v>0.0</v>
      </c>
      <c r="I148" s="32">
        <v>1.030526963E10</v>
      </c>
      <c r="J148" s="32">
        <v>6.848628877E9</v>
      </c>
      <c r="K148" s="32">
        <v>10267.0</v>
      </c>
      <c r="L148" s="31" t="s">
        <v>94</v>
      </c>
      <c r="M148" s="31">
        <v>25.0</v>
      </c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6.2125268E7</v>
      </c>
      <c r="B149" s="31" t="s">
        <v>544</v>
      </c>
      <c r="C149" s="32">
        <v>3.9010304E7</v>
      </c>
      <c r="D149" s="32">
        <v>1.7848178E7</v>
      </c>
      <c r="E149" s="32">
        <v>5897393.0</v>
      </c>
      <c r="F149" s="32">
        <v>703610.0</v>
      </c>
      <c r="G149" s="32">
        <v>410205.0</v>
      </c>
      <c r="H149" s="32">
        <v>0.0</v>
      </c>
      <c r="I149" s="32">
        <v>3.245196807E9</v>
      </c>
      <c r="J149" s="32">
        <v>8.63338217E8</v>
      </c>
      <c r="K149" s="32">
        <v>3967.0</v>
      </c>
      <c r="L149" s="31" t="s">
        <v>153</v>
      </c>
      <c r="M149" s="31">
        <v>25.0</v>
      </c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1.71830779E8</v>
      </c>
      <c r="B150" s="31" t="s">
        <v>372</v>
      </c>
      <c r="C150" s="32">
        <v>3.8483476E7</v>
      </c>
      <c r="D150" s="32">
        <v>1.89741265E8</v>
      </c>
      <c r="E150" s="32">
        <v>6012211.0</v>
      </c>
      <c r="F150" s="32">
        <v>1.0646971E7</v>
      </c>
      <c r="G150" s="32">
        <v>4092152.0</v>
      </c>
      <c r="H150" s="32">
        <v>0.0</v>
      </c>
      <c r="I150" s="32">
        <v>6.333235289E9</v>
      </c>
      <c r="J150" s="32">
        <v>5.581506E8</v>
      </c>
      <c r="K150" s="32">
        <v>44409.0</v>
      </c>
      <c r="L150" s="31" t="s">
        <v>147</v>
      </c>
      <c r="M150" s="31">
        <v>25.0</v>
      </c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6.6847214E7</v>
      </c>
      <c r="B151" s="31" t="s">
        <v>159</v>
      </c>
      <c r="C151" s="32">
        <v>3.7632674E7</v>
      </c>
      <c r="D151" s="32">
        <v>1.23880311E8</v>
      </c>
      <c r="E151" s="32">
        <v>6875099.0</v>
      </c>
      <c r="F151" s="32">
        <v>3989626.0</v>
      </c>
      <c r="G151" s="32">
        <v>4125666.0</v>
      </c>
      <c r="H151" s="32">
        <v>0.0</v>
      </c>
      <c r="I151" s="32">
        <v>1.1914178058E10</v>
      </c>
      <c r="J151" s="32">
        <v>1.4823720332E10</v>
      </c>
      <c r="K151" s="32">
        <v>8100.0</v>
      </c>
      <c r="L151" s="31" t="s">
        <v>34</v>
      </c>
      <c r="M151" s="31">
        <v>25.0</v>
      </c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6.5948574E7</v>
      </c>
      <c r="B152" s="31" t="s">
        <v>157</v>
      </c>
      <c r="C152" s="32">
        <v>3.7158348E7</v>
      </c>
      <c r="D152" s="32">
        <v>1.23143884E8</v>
      </c>
      <c r="E152" s="32">
        <v>9760147.0</v>
      </c>
      <c r="F152" s="32">
        <v>5034286.0</v>
      </c>
      <c r="G152" s="32">
        <v>3499404.0</v>
      </c>
      <c r="H152" s="32">
        <v>0.0</v>
      </c>
      <c r="I152" s="32">
        <v>2.1794374621E10</v>
      </c>
      <c r="J152" s="32">
        <v>2.3958373403E10</v>
      </c>
      <c r="K152" s="32">
        <v>21511.0</v>
      </c>
      <c r="L152" s="31" t="s">
        <v>94</v>
      </c>
      <c r="M152" s="31">
        <v>25.0</v>
      </c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1.43328412E8</v>
      </c>
      <c r="B153" s="31" t="s">
        <v>158</v>
      </c>
      <c r="C153" s="32">
        <v>3.6100022E7</v>
      </c>
      <c r="D153" s="32">
        <v>3.24920088E8</v>
      </c>
      <c r="E153" s="32">
        <v>5751734.0</v>
      </c>
      <c r="F153" s="32">
        <v>2.4253096E7</v>
      </c>
      <c r="G153" s="32">
        <v>3145842.0</v>
      </c>
      <c r="H153" s="32">
        <v>0.0</v>
      </c>
      <c r="I153" s="32">
        <v>1.0062343813E10</v>
      </c>
      <c r="J153" s="32">
        <v>8.501035607E9</v>
      </c>
      <c r="K153" s="32">
        <v>29954.0</v>
      </c>
      <c r="L153" s="31" t="s">
        <v>94</v>
      </c>
      <c r="M153" s="31">
        <v>25.0</v>
      </c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1.44052871E8</v>
      </c>
      <c r="B154" s="31" t="s">
        <v>162</v>
      </c>
      <c r="C154" s="32">
        <v>3.5198182E7</v>
      </c>
      <c r="D154" s="32">
        <v>1.0830023E7</v>
      </c>
      <c r="E154" s="32">
        <v>7086114.0</v>
      </c>
      <c r="F154" s="32">
        <v>392460.0</v>
      </c>
      <c r="G154" s="32">
        <v>216867.0</v>
      </c>
      <c r="H154" s="32">
        <v>0.0</v>
      </c>
      <c r="I154" s="32">
        <v>5.554148467E9</v>
      </c>
      <c r="J154" s="32">
        <v>64161.0</v>
      </c>
      <c r="K154" s="32">
        <v>316.0</v>
      </c>
      <c r="L154" s="31" t="s">
        <v>456</v>
      </c>
      <c r="M154" s="31">
        <v>25.0</v>
      </c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6.4767252E7</v>
      </c>
      <c r="B155" s="31" t="s">
        <v>516</v>
      </c>
      <c r="C155" s="32">
        <v>3.4831963E7</v>
      </c>
      <c r="D155" s="32">
        <v>5.6853969E7</v>
      </c>
      <c r="E155" s="32">
        <v>9823723.0</v>
      </c>
      <c r="F155" s="32">
        <v>1758392.0</v>
      </c>
      <c r="G155" s="32">
        <v>1713702.0</v>
      </c>
      <c r="H155" s="32">
        <v>0.0</v>
      </c>
      <c r="I155" s="32">
        <v>2.7566233664E10</v>
      </c>
      <c r="J155" s="32">
        <v>2.2325264292E10</v>
      </c>
      <c r="K155" s="32">
        <v>14830.0</v>
      </c>
      <c r="L155" s="31" t="s">
        <v>66</v>
      </c>
      <c r="M155" s="31">
        <v>25.0</v>
      </c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1.44059309E8</v>
      </c>
      <c r="B156" s="31" t="s">
        <v>164</v>
      </c>
      <c r="C156" s="32">
        <v>3.2308389E7</v>
      </c>
      <c r="D156" s="32">
        <v>1.7598036E7</v>
      </c>
      <c r="E156" s="32">
        <v>8743288.0</v>
      </c>
      <c r="F156" s="32">
        <v>628313.0</v>
      </c>
      <c r="G156" s="32">
        <v>269406.0</v>
      </c>
      <c r="H156" s="32">
        <v>0.0</v>
      </c>
      <c r="I156" s="32">
        <v>3.952375135E9</v>
      </c>
      <c r="J156" s="32">
        <v>719086.0</v>
      </c>
      <c r="K156" s="32">
        <v>2197.0</v>
      </c>
      <c r="L156" s="31" t="s">
        <v>165</v>
      </c>
      <c r="M156" s="31">
        <v>25.0</v>
      </c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1.39139149E8</v>
      </c>
      <c r="B157" s="31" t="s">
        <v>172</v>
      </c>
      <c r="C157" s="32">
        <v>3.2226385E7</v>
      </c>
      <c r="D157" s="32">
        <v>3.1879431E8</v>
      </c>
      <c r="E157" s="32">
        <v>4827509.0</v>
      </c>
      <c r="F157" s="32">
        <v>2.1995011E7</v>
      </c>
      <c r="G157" s="32">
        <v>4238285.0</v>
      </c>
      <c r="H157" s="32">
        <v>0.0</v>
      </c>
      <c r="I157" s="32">
        <v>7.579831826E9</v>
      </c>
      <c r="J157" s="32">
        <v>5.98299802E8</v>
      </c>
      <c r="K157" s="32">
        <v>23375.0</v>
      </c>
      <c r="L157" s="31" t="s">
        <v>66</v>
      </c>
      <c r="M157" s="31">
        <v>25.0</v>
      </c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1.44083306E8</v>
      </c>
      <c r="B158" s="31" t="s">
        <v>545</v>
      </c>
      <c r="C158" s="32">
        <v>3.158091E7</v>
      </c>
      <c r="D158" s="32">
        <v>1.05406418E8</v>
      </c>
      <c r="E158" s="32">
        <v>4487742.0</v>
      </c>
      <c r="F158" s="32">
        <v>4929833.0</v>
      </c>
      <c r="G158" s="32">
        <v>2563445.0</v>
      </c>
      <c r="H158" s="32">
        <v>0.0</v>
      </c>
      <c r="I158" s="32">
        <v>6.147787188E9</v>
      </c>
      <c r="J158" s="32">
        <v>1.47000054E8</v>
      </c>
      <c r="K158" s="32">
        <v>9688.0</v>
      </c>
      <c r="L158" s="31" t="s">
        <v>165</v>
      </c>
      <c r="M158" s="31">
        <v>25.0</v>
      </c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3">
        <v>1.73621774E8</v>
      </c>
      <c r="B159" s="33" t="s">
        <v>421</v>
      </c>
      <c r="C159" s="34">
        <v>3.1531029E7</v>
      </c>
      <c r="D159" s="34">
        <v>5371343.0</v>
      </c>
      <c r="E159" s="34">
        <v>1065662.0</v>
      </c>
      <c r="F159" s="34">
        <v>215029.0</v>
      </c>
      <c r="G159" s="34">
        <v>107306.0</v>
      </c>
      <c r="H159" s="34">
        <v>0.0</v>
      </c>
      <c r="I159" s="34">
        <v>1.0162081564E10</v>
      </c>
      <c r="J159" s="34">
        <v>2.781921909E9</v>
      </c>
      <c r="K159" s="34">
        <v>4773.0</v>
      </c>
      <c r="L159" s="33" t="s">
        <v>153</v>
      </c>
      <c r="M159" s="33">
        <v>24.0</v>
      </c>
      <c r="N159" s="33"/>
      <c r="O159" s="33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1.81734011E8</v>
      </c>
      <c r="B160" s="31" t="s">
        <v>169</v>
      </c>
      <c r="C160" s="32">
        <v>3.0917143E7</v>
      </c>
      <c r="D160" s="32">
        <v>5.2815309E7</v>
      </c>
      <c r="E160" s="32">
        <v>2591884.0</v>
      </c>
      <c r="F160" s="32">
        <v>1765364.0</v>
      </c>
      <c r="G160" s="32">
        <v>1567208.0</v>
      </c>
      <c r="H160" s="32">
        <v>0.0</v>
      </c>
      <c r="I160" s="32">
        <v>7.720137845E9</v>
      </c>
      <c r="J160" s="32">
        <v>1.39070088E8</v>
      </c>
      <c r="K160" s="32">
        <v>11809.0</v>
      </c>
      <c r="L160" s="31" t="s">
        <v>147</v>
      </c>
      <c r="M160" s="31">
        <v>25.0</v>
      </c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1.44094596E8</v>
      </c>
      <c r="B161" s="31" t="s">
        <v>189</v>
      </c>
      <c r="C161" s="32">
        <v>3.0718488E7</v>
      </c>
      <c r="D161" s="32">
        <v>8.5179416E7</v>
      </c>
      <c r="E161" s="32">
        <v>2706707.0</v>
      </c>
      <c r="F161" s="32">
        <v>5258583.0</v>
      </c>
      <c r="G161" s="32">
        <v>1405383.0</v>
      </c>
      <c r="H161" s="32">
        <v>0.0</v>
      </c>
      <c r="I161" s="32">
        <v>5.357258082E9</v>
      </c>
      <c r="J161" s="32">
        <v>1.2391473E7</v>
      </c>
      <c r="K161" s="32">
        <v>9785.0</v>
      </c>
      <c r="L161" s="31" t="s">
        <v>66</v>
      </c>
      <c r="M161" s="31">
        <v>25.0</v>
      </c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1.44046322E8</v>
      </c>
      <c r="B162" s="31" t="s">
        <v>180</v>
      </c>
      <c r="C162" s="32">
        <v>3.0685993E7</v>
      </c>
      <c r="D162" s="32">
        <v>8195736.0</v>
      </c>
      <c r="E162" s="32">
        <v>3754772.0</v>
      </c>
      <c r="F162" s="32">
        <v>499856.0</v>
      </c>
      <c r="G162" s="32">
        <v>83434.0</v>
      </c>
      <c r="H162" s="32">
        <v>0.0</v>
      </c>
      <c r="I162" s="32">
        <v>4.032960067E9</v>
      </c>
      <c r="J162" s="32">
        <v>0.0</v>
      </c>
      <c r="K162" s="32">
        <v>1806.0</v>
      </c>
      <c r="L162" s="31" t="s">
        <v>373</v>
      </c>
      <c r="M162" s="31">
        <v>25.0</v>
      </c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6.1881204E7</v>
      </c>
      <c r="B163" s="31" t="s">
        <v>178</v>
      </c>
      <c r="C163" s="32">
        <v>3.0483694E7</v>
      </c>
      <c r="D163" s="32">
        <v>6.3055979E7</v>
      </c>
      <c r="E163" s="32">
        <v>1.0290878E7</v>
      </c>
      <c r="F163" s="32">
        <v>1791230.0</v>
      </c>
      <c r="G163" s="32">
        <v>2197294.0</v>
      </c>
      <c r="H163" s="32">
        <v>0.0</v>
      </c>
      <c r="I163" s="32">
        <v>1.6398580275E10</v>
      </c>
      <c r="J163" s="32">
        <v>1.6892843329E10</v>
      </c>
      <c r="K163" s="32">
        <v>11257.0</v>
      </c>
      <c r="L163" s="31" t="s">
        <v>153</v>
      </c>
      <c r="M163" s="31">
        <v>25.0</v>
      </c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1.48890128E8</v>
      </c>
      <c r="B164" s="31" t="s">
        <v>170</v>
      </c>
      <c r="C164" s="32">
        <v>3.0283247E7</v>
      </c>
      <c r="D164" s="32">
        <v>2.6171082E7</v>
      </c>
      <c r="E164" s="32">
        <v>4350443.0</v>
      </c>
      <c r="F164" s="32">
        <v>1744020.0</v>
      </c>
      <c r="G164" s="32">
        <v>329408.0</v>
      </c>
      <c r="H164" s="32">
        <v>0.0</v>
      </c>
      <c r="I164" s="32">
        <v>8.138076826E9</v>
      </c>
      <c r="J164" s="32">
        <v>4.011433363E9</v>
      </c>
      <c r="K164" s="32">
        <v>6484.0</v>
      </c>
      <c r="L164" s="31" t="s">
        <v>66</v>
      </c>
      <c r="M164" s="31">
        <v>25.0</v>
      </c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1.30281353E8</v>
      </c>
      <c r="B165" s="31" t="s">
        <v>546</v>
      </c>
      <c r="C165" s="32">
        <v>2.9946492E7</v>
      </c>
      <c r="D165" s="32">
        <v>1.05802314E8</v>
      </c>
      <c r="E165" s="32">
        <v>7551890.0</v>
      </c>
      <c r="F165" s="32">
        <v>6877969.0</v>
      </c>
      <c r="G165" s="32">
        <v>1163523.0</v>
      </c>
      <c r="H165" s="32">
        <v>0.0</v>
      </c>
      <c r="I165" s="32">
        <v>3.897607447E9</v>
      </c>
      <c r="J165" s="32">
        <v>7.64191108E8</v>
      </c>
      <c r="K165" s="32">
        <v>7202.0</v>
      </c>
      <c r="L165" s="31" t="s">
        <v>547</v>
      </c>
      <c r="M165" s="31">
        <v>25.0</v>
      </c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1.47116341E8</v>
      </c>
      <c r="B166" s="31" t="s">
        <v>374</v>
      </c>
      <c r="C166" s="32">
        <v>2.9777611E7</v>
      </c>
      <c r="D166" s="32">
        <v>1.3529689E7</v>
      </c>
      <c r="E166" s="32">
        <v>526000.0</v>
      </c>
      <c r="F166" s="32">
        <v>807831.0</v>
      </c>
      <c r="G166" s="32">
        <v>271954.0</v>
      </c>
      <c r="H166" s="32">
        <v>0.0</v>
      </c>
      <c r="I166" s="32">
        <v>6.197014241E9</v>
      </c>
      <c r="J166" s="32">
        <v>6.456585973E9</v>
      </c>
      <c r="K166" s="32">
        <v>2880.0</v>
      </c>
      <c r="L166" s="31" t="s">
        <v>165</v>
      </c>
      <c r="M166" s="31">
        <v>25.0</v>
      </c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1.81527216E8</v>
      </c>
      <c r="B167" s="31" t="s">
        <v>166</v>
      </c>
      <c r="C167" s="32">
        <v>2.9645031E7</v>
      </c>
      <c r="D167" s="32">
        <v>8648548.0</v>
      </c>
      <c r="E167" s="32">
        <v>3670118.0</v>
      </c>
      <c r="F167" s="32">
        <v>393329.0</v>
      </c>
      <c r="G167" s="32">
        <v>231771.0</v>
      </c>
      <c r="H167" s="32">
        <v>0.0</v>
      </c>
      <c r="I167" s="32">
        <v>3.562617682E9</v>
      </c>
      <c r="J167" s="32">
        <v>0.0</v>
      </c>
      <c r="K167" s="32">
        <v>5207.0</v>
      </c>
      <c r="L167" s="31" t="s">
        <v>411</v>
      </c>
      <c r="M167" s="31">
        <v>25.0</v>
      </c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1.50027113E8</v>
      </c>
      <c r="B168" s="31" t="s">
        <v>548</v>
      </c>
      <c r="C168" s="32">
        <v>2.9644167E7</v>
      </c>
      <c r="D168" s="32">
        <v>1.9881829E7</v>
      </c>
      <c r="E168" s="32">
        <v>6125725.0</v>
      </c>
      <c r="F168" s="32">
        <v>1335006.0</v>
      </c>
      <c r="G168" s="32">
        <v>232425.0</v>
      </c>
      <c r="H168" s="32">
        <v>0.0</v>
      </c>
      <c r="I168" s="32">
        <v>4.207524715E9</v>
      </c>
      <c r="J168" s="32">
        <v>2.605607125E9</v>
      </c>
      <c r="K168" s="32">
        <v>3892.0</v>
      </c>
      <c r="L168" s="31" t="s">
        <v>126</v>
      </c>
      <c r="M168" s="31">
        <v>25.0</v>
      </c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1.61551529E8</v>
      </c>
      <c r="B169" s="31" t="s">
        <v>549</v>
      </c>
      <c r="C169" s="32">
        <v>2.8872754E7</v>
      </c>
      <c r="D169" s="32">
        <v>1648325.0</v>
      </c>
      <c r="E169" s="32">
        <v>12632.0</v>
      </c>
      <c r="F169" s="32">
        <v>160608.0</v>
      </c>
      <c r="G169" s="32">
        <v>1.0</v>
      </c>
      <c r="H169" s="32">
        <v>0.0</v>
      </c>
      <c r="I169" s="32">
        <v>2.077756465E9</v>
      </c>
      <c r="J169" s="32">
        <v>1.037063989E9</v>
      </c>
      <c r="K169" s="32">
        <v>2676.0</v>
      </c>
      <c r="L169" s="31" t="s">
        <v>66</v>
      </c>
      <c r="M169" s="31">
        <v>25.0</v>
      </c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1.1279231E8</v>
      </c>
      <c r="B170" s="31" t="s">
        <v>197</v>
      </c>
      <c r="C170" s="32">
        <v>2.8794925E7</v>
      </c>
      <c r="D170" s="32">
        <v>5.1841755E7</v>
      </c>
      <c r="E170" s="32">
        <v>4158383.0</v>
      </c>
      <c r="F170" s="32">
        <v>1962237.0</v>
      </c>
      <c r="G170" s="32">
        <v>1451878.0</v>
      </c>
      <c r="H170" s="32">
        <v>0.0</v>
      </c>
      <c r="I170" s="32">
        <v>3.0311784054E10</v>
      </c>
      <c r="J170" s="32">
        <v>2.8905762438E10</v>
      </c>
      <c r="K170" s="32">
        <v>12217.0</v>
      </c>
      <c r="L170" s="31" t="s">
        <v>147</v>
      </c>
      <c r="M170" s="31">
        <v>25.0</v>
      </c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1.72219261E8</v>
      </c>
      <c r="B171" s="31" t="s">
        <v>185</v>
      </c>
      <c r="C171" s="32">
        <v>2.8484216E7</v>
      </c>
      <c r="D171" s="32">
        <v>9036567.0</v>
      </c>
      <c r="E171" s="32">
        <v>4088173.0</v>
      </c>
      <c r="F171" s="32">
        <v>224964.0</v>
      </c>
      <c r="G171" s="32">
        <v>329889.0</v>
      </c>
      <c r="H171" s="32">
        <v>0.0</v>
      </c>
      <c r="I171" s="32">
        <v>4.485779139E9</v>
      </c>
      <c r="J171" s="32">
        <v>2.75E7</v>
      </c>
      <c r="K171" s="32">
        <v>3677.0</v>
      </c>
      <c r="L171" s="31" t="s">
        <v>66</v>
      </c>
      <c r="M171" s="31">
        <v>25.0</v>
      </c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1.42660926E8</v>
      </c>
      <c r="B172" s="31" t="s">
        <v>525</v>
      </c>
      <c r="C172" s="32">
        <v>2.8472E7</v>
      </c>
      <c r="D172" s="32">
        <v>1.04268473E8</v>
      </c>
      <c r="E172" s="32">
        <v>3089336.0</v>
      </c>
      <c r="F172" s="32">
        <v>6779196.0</v>
      </c>
      <c r="G172" s="32">
        <v>1582183.0</v>
      </c>
      <c r="H172" s="32">
        <v>0.0</v>
      </c>
      <c r="I172" s="32">
        <v>4.067088234E9</v>
      </c>
      <c r="J172" s="32">
        <v>9.41870595E8</v>
      </c>
      <c r="K172" s="32">
        <v>24217.0</v>
      </c>
      <c r="L172" s="31" t="s">
        <v>66</v>
      </c>
      <c r="M172" s="31">
        <v>25.0</v>
      </c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7.9647211E7</v>
      </c>
      <c r="B173" s="31" t="s">
        <v>191</v>
      </c>
      <c r="C173" s="32">
        <v>2.8471738E7</v>
      </c>
      <c r="D173" s="32">
        <v>3.0786643E7</v>
      </c>
      <c r="E173" s="32">
        <v>1578445.0</v>
      </c>
      <c r="F173" s="32">
        <v>914241.0</v>
      </c>
      <c r="G173" s="32">
        <v>1080302.0</v>
      </c>
      <c r="H173" s="32">
        <v>0.0</v>
      </c>
      <c r="I173" s="32">
        <v>6.103780667E9</v>
      </c>
      <c r="J173" s="32">
        <v>1.0098320798E10</v>
      </c>
      <c r="K173" s="32">
        <v>3255.0</v>
      </c>
      <c r="L173" s="31" t="s">
        <v>147</v>
      </c>
      <c r="M173" s="31">
        <v>25.0</v>
      </c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1.44104572E8</v>
      </c>
      <c r="B174" s="31" t="s">
        <v>196</v>
      </c>
      <c r="C174" s="32">
        <v>2.8423454E7</v>
      </c>
      <c r="D174" s="32">
        <v>2.531738E7</v>
      </c>
      <c r="E174" s="32">
        <v>2932404.0</v>
      </c>
      <c r="F174" s="32">
        <v>1486644.0</v>
      </c>
      <c r="G174" s="32">
        <v>328033.0</v>
      </c>
      <c r="H174" s="32">
        <v>0.0</v>
      </c>
      <c r="I174" s="32">
        <v>2.914113906E9</v>
      </c>
      <c r="J174" s="32">
        <v>8.33264E7</v>
      </c>
      <c r="K174" s="32">
        <v>5945.0</v>
      </c>
      <c r="L174" s="31" t="s">
        <v>411</v>
      </c>
      <c r="M174" s="31">
        <v>25.0</v>
      </c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1.83952984E8</v>
      </c>
      <c r="B175" s="31" t="s">
        <v>498</v>
      </c>
      <c r="C175" s="32">
        <v>2.8407748E7</v>
      </c>
      <c r="D175" s="32">
        <v>1.1057916E7</v>
      </c>
      <c r="E175" s="32">
        <v>830363.0</v>
      </c>
      <c r="F175" s="32">
        <v>840739.0</v>
      </c>
      <c r="G175" s="32">
        <v>47440.0</v>
      </c>
      <c r="H175" s="32">
        <v>0.0</v>
      </c>
      <c r="I175" s="32">
        <v>3.459949616E9</v>
      </c>
      <c r="J175" s="32">
        <v>5.4133889E8</v>
      </c>
      <c r="K175" s="32">
        <v>5494.0</v>
      </c>
      <c r="L175" s="31" t="s">
        <v>540</v>
      </c>
      <c r="M175" s="31">
        <v>25.0</v>
      </c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1.75314255E8</v>
      </c>
      <c r="B176" s="31" t="s">
        <v>179</v>
      </c>
      <c r="C176" s="32">
        <v>2.8306619E7</v>
      </c>
      <c r="D176" s="32">
        <v>2.2022689E7</v>
      </c>
      <c r="E176" s="32">
        <v>3465707.0</v>
      </c>
      <c r="F176" s="32">
        <v>1320076.0</v>
      </c>
      <c r="G176" s="32">
        <v>412977.0</v>
      </c>
      <c r="H176" s="32">
        <v>0.0</v>
      </c>
      <c r="I176" s="32">
        <v>3.985676361E9</v>
      </c>
      <c r="J176" s="32">
        <v>1.22435684E8</v>
      </c>
      <c r="K176" s="32">
        <v>8876.0</v>
      </c>
      <c r="L176" s="31" t="s">
        <v>94</v>
      </c>
      <c r="M176" s="31">
        <v>25.0</v>
      </c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6.3513788E7</v>
      </c>
      <c r="B177" s="31" t="s">
        <v>190</v>
      </c>
      <c r="C177" s="32">
        <v>2.824057E7</v>
      </c>
      <c r="D177" s="32">
        <v>3.5067748E7</v>
      </c>
      <c r="E177" s="32">
        <v>8961628.0</v>
      </c>
      <c r="F177" s="32">
        <v>1179501.0</v>
      </c>
      <c r="G177" s="32">
        <v>1151796.0</v>
      </c>
      <c r="H177" s="32">
        <v>0.0</v>
      </c>
      <c r="I177" s="32">
        <v>1.6604562134E10</v>
      </c>
      <c r="J177" s="32">
        <v>1.6382927752E10</v>
      </c>
      <c r="K177" s="32">
        <v>8349.0</v>
      </c>
      <c r="L177" s="31" t="s">
        <v>153</v>
      </c>
      <c r="M177" s="31">
        <v>25.0</v>
      </c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3">
        <v>1.70449746E8</v>
      </c>
      <c r="B178" s="33" t="s">
        <v>184</v>
      </c>
      <c r="C178" s="34">
        <v>2.8174782E7</v>
      </c>
      <c r="D178" s="34">
        <v>5291709.0</v>
      </c>
      <c r="E178" s="34">
        <v>102004.0</v>
      </c>
      <c r="F178" s="34">
        <v>362162.0</v>
      </c>
      <c r="G178" s="34">
        <v>82623.0</v>
      </c>
      <c r="H178" s="34">
        <v>0.0</v>
      </c>
      <c r="I178" s="34">
        <v>5.893617392E9</v>
      </c>
      <c r="J178" s="34">
        <v>4.426139492E9</v>
      </c>
      <c r="K178" s="34">
        <v>2715.0</v>
      </c>
      <c r="L178" s="33" t="s">
        <v>153</v>
      </c>
      <c r="M178" s="33">
        <v>23.0</v>
      </c>
      <c r="N178" s="33"/>
      <c r="O178" s="33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1.58296838E8</v>
      </c>
      <c r="B179" s="31" t="s">
        <v>458</v>
      </c>
      <c r="C179" s="32">
        <v>2.7785691E7</v>
      </c>
      <c r="D179" s="32">
        <v>4715810.0</v>
      </c>
      <c r="E179" s="32">
        <v>262324.0</v>
      </c>
      <c r="F179" s="32">
        <v>393091.0</v>
      </c>
      <c r="G179" s="32">
        <v>9004.0</v>
      </c>
      <c r="H179" s="32">
        <v>0.0</v>
      </c>
      <c r="I179" s="32">
        <v>4.269333759E9</v>
      </c>
      <c r="J179" s="32">
        <v>1.087153533E9</v>
      </c>
      <c r="K179" s="32">
        <v>6434.0</v>
      </c>
      <c r="L179" s="31" t="s">
        <v>94</v>
      </c>
      <c r="M179" s="31">
        <v>25.0</v>
      </c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1">
        <v>1.44030384E8</v>
      </c>
      <c r="B180" s="31" t="s">
        <v>517</v>
      </c>
      <c r="C180" s="32">
        <v>2.7655952E7</v>
      </c>
      <c r="D180" s="32">
        <v>6204243.0</v>
      </c>
      <c r="E180" s="32">
        <v>2951386.0</v>
      </c>
      <c r="F180" s="32">
        <v>398700.0</v>
      </c>
      <c r="G180" s="32">
        <v>88251.0</v>
      </c>
      <c r="H180" s="32">
        <v>0.0</v>
      </c>
      <c r="I180" s="32">
        <v>4.090810993E9</v>
      </c>
      <c r="J180" s="32">
        <v>4.3826996E8</v>
      </c>
      <c r="K180" s="32">
        <v>13472.0</v>
      </c>
      <c r="L180" s="31" t="s">
        <v>492</v>
      </c>
      <c r="M180" s="31">
        <v>25.0</v>
      </c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1">
        <v>1.45295709E8</v>
      </c>
      <c r="B181" s="31" t="s">
        <v>423</v>
      </c>
      <c r="C181" s="32">
        <v>2.7620898E7</v>
      </c>
      <c r="D181" s="32">
        <v>3.2561982E7</v>
      </c>
      <c r="E181" s="32">
        <v>2231362.0</v>
      </c>
      <c r="F181" s="32">
        <v>1891027.0</v>
      </c>
      <c r="G181" s="32">
        <v>367161.0</v>
      </c>
      <c r="H181" s="32">
        <v>0.0</v>
      </c>
      <c r="I181" s="32">
        <v>2.75326985E9</v>
      </c>
      <c r="J181" s="32">
        <v>8.1594054E7</v>
      </c>
      <c r="K181" s="32">
        <v>7474.0</v>
      </c>
      <c r="L181" s="31" t="s">
        <v>66</v>
      </c>
      <c r="M181" s="31">
        <v>25.0</v>
      </c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1.1363981E7</v>
      </c>
      <c r="B182" s="31" t="s">
        <v>188</v>
      </c>
      <c r="C182" s="32">
        <v>2.7531203E7</v>
      </c>
      <c r="D182" s="32">
        <v>2.0359575E8</v>
      </c>
      <c r="E182" s="32">
        <v>8274658.0</v>
      </c>
      <c r="F182" s="32">
        <v>7698527.0</v>
      </c>
      <c r="G182" s="32">
        <v>6213364.0</v>
      </c>
      <c r="H182" s="32">
        <v>0.0</v>
      </c>
      <c r="I182" s="32">
        <v>1.0544302111E10</v>
      </c>
      <c r="J182" s="32">
        <v>1.4431638981E10</v>
      </c>
      <c r="K182" s="32">
        <v>11897.0</v>
      </c>
      <c r="L182" s="31" t="s">
        <v>34</v>
      </c>
      <c r="M182" s="31">
        <v>25.0</v>
      </c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7.7474302E7</v>
      </c>
      <c r="B183" s="31" t="s">
        <v>195</v>
      </c>
      <c r="C183" s="32">
        <v>2.7168784E7</v>
      </c>
      <c r="D183" s="32">
        <v>3.8220683E7</v>
      </c>
      <c r="E183" s="32">
        <v>4747649.0</v>
      </c>
      <c r="F183" s="32">
        <v>925311.0</v>
      </c>
      <c r="G183" s="32">
        <v>1410586.0</v>
      </c>
      <c r="H183" s="32">
        <v>0.0</v>
      </c>
      <c r="I183" s="32">
        <v>1.3310625866E10</v>
      </c>
      <c r="J183" s="32">
        <v>1.3841040515E10</v>
      </c>
      <c r="K183" s="32">
        <v>9189.0</v>
      </c>
      <c r="L183" s="31" t="s">
        <v>153</v>
      </c>
      <c r="M183" s="31">
        <v>25.0</v>
      </c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1.42593039E8</v>
      </c>
      <c r="B184" s="31" t="s">
        <v>550</v>
      </c>
      <c r="C184" s="32">
        <v>2.7016989E7</v>
      </c>
      <c r="D184" s="32">
        <v>2.8260838E7</v>
      </c>
      <c r="E184" s="32">
        <v>1378382.0</v>
      </c>
      <c r="F184" s="32">
        <v>2027637.0</v>
      </c>
      <c r="G184" s="32">
        <v>358008.0</v>
      </c>
      <c r="H184" s="32">
        <v>0.0</v>
      </c>
      <c r="I184" s="32">
        <v>2.673582142E9</v>
      </c>
      <c r="J184" s="32">
        <v>2.6954809E7</v>
      </c>
      <c r="K184" s="32">
        <v>21650.0</v>
      </c>
      <c r="L184" s="31" t="s">
        <v>66</v>
      </c>
      <c r="M184" s="31">
        <v>25.0</v>
      </c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1">
        <v>1.38821863E8</v>
      </c>
      <c r="B185" s="31" t="s">
        <v>186</v>
      </c>
      <c r="C185" s="32">
        <v>2.7004291E7</v>
      </c>
      <c r="D185" s="32">
        <v>2.5263796E7</v>
      </c>
      <c r="E185" s="32">
        <v>1656998.0</v>
      </c>
      <c r="F185" s="32">
        <v>2006020.0</v>
      </c>
      <c r="G185" s="32">
        <v>109825.0</v>
      </c>
      <c r="H185" s="32">
        <v>0.0</v>
      </c>
      <c r="I185" s="32">
        <v>4.71778607E9</v>
      </c>
      <c r="J185" s="32">
        <v>6.36064786E8</v>
      </c>
      <c r="K185" s="32">
        <v>8561.0</v>
      </c>
      <c r="L185" s="31" t="s">
        <v>153</v>
      </c>
      <c r="M185" s="31">
        <v>25.0</v>
      </c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1.46036286E8</v>
      </c>
      <c r="B186" s="31" t="s">
        <v>205</v>
      </c>
      <c r="C186" s="32">
        <v>2.6570013E7</v>
      </c>
      <c r="D186" s="32">
        <v>4.1952764E7</v>
      </c>
      <c r="E186" s="32">
        <v>4816318.0</v>
      </c>
      <c r="F186" s="32">
        <v>2761806.0</v>
      </c>
      <c r="G186" s="32">
        <v>521469.0</v>
      </c>
      <c r="H186" s="32">
        <v>0.0</v>
      </c>
      <c r="I186" s="32">
        <v>1.9562140416E10</v>
      </c>
      <c r="J186" s="32">
        <v>1.1736223974E10</v>
      </c>
      <c r="K186" s="32">
        <v>5608.0</v>
      </c>
      <c r="L186" s="31" t="s">
        <v>153</v>
      </c>
      <c r="M186" s="31">
        <v>25.0</v>
      </c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1.48121991E8</v>
      </c>
      <c r="B187" s="31" t="s">
        <v>526</v>
      </c>
      <c r="C187" s="32">
        <v>2.6453015E7</v>
      </c>
      <c r="D187" s="32">
        <v>4.1268222E7</v>
      </c>
      <c r="E187" s="32">
        <v>6096345.0</v>
      </c>
      <c r="F187" s="32">
        <v>2097453.0</v>
      </c>
      <c r="G187" s="32">
        <v>986703.0</v>
      </c>
      <c r="H187" s="32">
        <v>0.0</v>
      </c>
      <c r="I187" s="32">
        <v>3.213236935E9</v>
      </c>
      <c r="J187" s="32">
        <v>9.57106624E8</v>
      </c>
      <c r="K187" s="32">
        <v>9106.0</v>
      </c>
      <c r="L187" s="31" t="s">
        <v>165</v>
      </c>
      <c r="M187" s="31">
        <v>25.0</v>
      </c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1.7395388E8</v>
      </c>
      <c r="B188" s="31" t="s">
        <v>422</v>
      </c>
      <c r="C188" s="32">
        <v>2.6167002E7</v>
      </c>
      <c r="D188" s="32">
        <v>1648460.0</v>
      </c>
      <c r="E188" s="32">
        <v>1653283.0</v>
      </c>
      <c r="F188" s="32">
        <v>106204.0</v>
      </c>
      <c r="G188" s="32">
        <v>28128.0</v>
      </c>
      <c r="H188" s="32">
        <v>0.0</v>
      </c>
      <c r="I188" s="32">
        <v>4.731897337E9</v>
      </c>
      <c r="J188" s="32">
        <v>3.346021861E9</v>
      </c>
      <c r="K188" s="32">
        <v>2391.0</v>
      </c>
      <c r="L188" s="31" t="s">
        <v>153</v>
      </c>
      <c r="M188" s="31">
        <v>25.0</v>
      </c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1">
        <v>7.643357E7</v>
      </c>
      <c r="B189" s="31" t="s">
        <v>551</v>
      </c>
      <c r="C189" s="32">
        <v>2.5563773E7</v>
      </c>
      <c r="D189" s="32">
        <v>1.8017163E7</v>
      </c>
      <c r="E189" s="32">
        <v>2004383.0</v>
      </c>
      <c r="F189" s="32">
        <v>1208586.0</v>
      </c>
      <c r="G189" s="32">
        <v>175510.0</v>
      </c>
      <c r="H189" s="32">
        <v>0.0</v>
      </c>
      <c r="I189" s="32">
        <v>3.687431604E9</v>
      </c>
      <c r="J189" s="32">
        <v>1.073133513E9</v>
      </c>
      <c r="K189" s="32">
        <v>17163.0</v>
      </c>
      <c r="L189" s="31" t="s">
        <v>66</v>
      </c>
      <c r="M189" s="31">
        <v>25.0</v>
      </c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1.57398284E8</v>
      </c>
      <c r="B190" s="31" t="s">
        <v>380</v>
      </c>
      <c r="C190" s="32">
        <v>2.5342469E7</v>
      </c>
      <c r="D190" s="32">
        <v>4812381.0</v>
      </c>
      <c r="E190" s="32">
        <v>1021778.0</v>
      </c>
      <c r="F190" s="32">
        <v>318827.0</v>
      </c>
      <c r="G190" s="32">
        <v>52796.0</v>
      </c>
      <c r="H190" s="32">
        <v>0.0</v>
      </c>
      <c r="I190" s="32">
        <v>1.3050079156E10</v>
      </c>
      <c r="J190" s="32">
        <v>6.116E9</v>
      </c>
      <c r="K190" s="32">
        <v>4214.0</v>
      </c>
      <c r="L190" s="31" t="s">
        <v>94</v>
      </c>
      <c r="M190" s="31">
        <v>25.0</v>
      </c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1">
        <v>1.58265064E8</v>
      </c>
      <c r="B191" s="31" t="s">
        <v>200</v>
      </c>
      <c r="C191" s="32">
        <v>2.5214632E7</v>
      </c>
      <c r="D191" s="32">
        <v>1.1085196E7</v>
      </c>
      <c r="E191" s="32">
        <v>910531.0</v>
      </c>
      <c r="F191" s="32">
        <v>435809.0</v>
      </c>
      <c r="G191" s="32">
        <v>198473.0</v>
      </c>
      <c r="H191" s="32">
        <v>0.0</v>
      </c>
      <c r="I191" s="32">
        <v>3.706137255E9</v>
      </c>
      <c r="J191" s="32">
        <v>2.856723815E9</v>
      </c>
      <c r="K191" s="32">
        <v>8642.0</v>
      </c>
      <c r="L191" s="31" t="s">
        <v>34</v>
      </c>
      <c r="M191" s="31">
        <v>25.0</v>
      </c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6.1106312E7</v>
      </c>
      <c r="B192" s="31" t="s">
        <v>201</v>
      </c>
      <c r="C192" s="32">
        <v>2.5193235E7</v>
      </c>
      <c r="D192" s="32">
        <v>1.32811794E8</v>
      </c>
      <c r="E192" s="32">
        <v>6453062.0</v>
      </c>
      <c r="F192" s="32">
        <v>8246061.0</v>
      </c>
      <c r="G192" s="32">
        <v>1583283.0</v>
      </c>
      <c r="H192" s="32">
        <v>0.0</v>
      </c>
      <c r="I192" s="32">
        <v>1.5273210996E10</v>
      </c>
      <c r="J192" s="32">
        <v>1.6233438464E10</v>
      </c>
      <c r="K192" s="32">
        <v>12371.0</v>
      </c>
      <c r="L192" s="31" t="s">
        <v>147</v>
      </c>
      <c r="M192" s="31">
        <v>25.0</v>
      </c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3">
        <v>7.1189562E7</v>
      </c>
      <c r="B193" s="33" t="s">
        <v>199</v>
      </c>
      <c r="C193" s="34">
        <v>2.511474E7</v>
      </c>
      <c r="D193" s="34">
        <v>2408509.0</v>
      </c>
      <c r="E193" s="34">
        <v>823250.0</v>
      </c>
      <c r="F193" s="34">
        <v>172952.0</v>
      </c>
      <c r="G193" s="34">
        <v>26188.0</v>
      </c>
      <c r="H193" s="34">
        <v>0.0</v>
      </c>
      <c r="I193" s="34">
        <v>1.176654981E10</v>
      </c>
      <c r="J193" s="34">
        <v>1.1772249753E10</v>
      </c>
      <c r="K193" s="34">
        <v>2936.0</v>
      </c>
      <c r="L193" s="33" t="s">
        <v>153</v>
      </c>
      <c r="M193" s="33">
        <v>24.0</v>
      </c>
      <c r="N193" s="33"/>
      <c r="O193" s="33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1">
        <v>1.66394798E8</v>
      </c>
      <c r="B194" s="31" t="s">
        <v>202</v>
      </c>
      <c r="C194" s="32">
        <v>2.498901E7</v>
      </c>
      <c r="D194" s="32">
        <v>4.8334581E7</v>
      </c>
      <c r="E194" s="32">
        <v>2377006.0</v>
      </c>
      <c r="F194" s="32">
        <v>3113738.0</v>
      </c>
      <c r="G194" s="32">
        <v>661991.0</v>
      </c>
      <c r="H194" s="32">
        <v>0.0</v>
      </c>
      <c r="I194" s="32">
        <v>5.715110748E9</v>
      </c>
      <c r="J194" s="32">
        <v>1.4904260866E10</v>
      </c>
      <c r="K194" s="32">
        <v>12227.0</v>
      </c>
      <c r="L194" s="31" t="s">
        <v>147</v>
      </c>
      <c r="M194" s="31">
        <v>25.0</v>
      </c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1">
        <v>1.40545176E8</v>
      </c>
      <c r="B195" s="31" t="s">
        <v>499</v>
      </c>
      <c r="C195" s="32">
        <v>2.4146595E7</v>
      </c>
      <c r="D195" s="32">
        <v>8194145.0</v>
      </c>
      <c r="E195" s="32">
        <v>3680858.0</v>
      </c>
      <c r="F195" s="32">
        <v>621285.0</v>
      </c>
      <c r="G195" s="32">
        <v>92321.0</v>
      </c>
      <c r="H195" s="32">
        <v>0.0</v>
      </c>
      <c r="I195" s="32">
        <v>3.176561172E9</v>
      </c>
      <c r="J195" s="32">
        <v>1870000.0</v>
      </c>
      <c r="K195" s="32">
        <v>3541.0</v>
      </c>
      <c r="L195" s="31" t="s">
        <v>66</v>
      </c>
      <c r="M195" s="31">
        <v>25.0</v>
      </c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7.7531879E7</v>
      </c>
      <c r="B196" s="31" t="s">
        <v>460</v>
      </c>
      <c r="C196" s="32">
        <v>2.351376E7</v>
      </c>
      <c r="D196" s="32">
        <v>4537895.0</v>
      </c>
      <c r="E196" s="32">
        <v>76522.0</v>
      </c>
      <c r="F196" s="32">
        <v>104025.0</v>
      </c>
      <c r="G196" s="32">
        <v>174604.0</v>
      </c>
      <c r="H196" s="32">
        <v>0.0</v>
      </c>
      <c r="I196" s="32">
        <v>8.779270773E9</v>
      </c>
      <c r="J196" s="32">
        <v>1.0691935775E10</v>
      </c>
      <c r="K196" s="32">
        <v>3896.0</v>
      </c>
      <c r="L196" s="31" t="s">
        <v>153</v>
      </c>
      <c r="M196" s="31">
        <v>25.0</v>
      </c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1">
        <v>1.48355572E8</v>
      </c>
      <c r="B197" s="31" t="s">
        <v>209</v>
      </c>
      <c r="C197" s="32">
        <v>2.3315386E7</v>
      </c>
      <c r="D197" s="32">
        <v>8739485.0</v>
      </c>
      <c r="E197" s="32">
        <v>2046882.0</v>
      </c>
      <c r="F197" s="32">
        <v>645107.0</v>
      </c>
      <c r="G197" s="32">
        <v>92543.0</v>
      </c>
      <c r="H197" s="32">
        <v>0.0</v>
      </c>
      <c r="I197" s="32">
        <v>2.32035092E9</v>
      </c>
      <c r="J197" s="32">
        <v>2.23164667E8</v>
      </c>
      <c r="K197" s="32">
        <v>1676.0</v>
      </c>
      <c r="L197" s="31" t="s">
        <v>66</v>
      </c>
      <c r="M197" s="31">
        <v>25.0</v>
      </c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3">
        <v>4.8558795E7</v>
      </c>
      <c r="B198" s="33" t="s">
        <v>208</v>
      </c>
      <c r="C198" s="34">
        <v>2.3080829E7</v>
      </c>
      <c r="D198" s="34">
        <v>1928497.0</v>
      </c>
      <c r="E198" s="34">
        <v>461565.0</v>
      </c>
      <c r="F198" s="34">
        <v>141444.0</v>
      </c>
      <c r="G198" s="34">
        <v>25698.0</v>
      </c>
      <c r="H198" s="34">
        <v>0.0</v>
      </c>
      <c r="I198" s="34">
        <v>1.0839072488E10</v>
      </c>
      <c r="J198" s="34">
        <v>1.2753008827E10</v>
      </c>
      <c r="K198" s="34">
        <v>2536.0</v>
      </c>
      <c r="L198" s="33" t="s">
        <v>153</v>
      </c>
      <c r="M198" s="33">
        <v>24.0</v>
      </c>
      <c r="N198" s="33"/>
      <c r="O198" s="33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6.9795161E7</v>
      </c>
      <c r="B199" s="31" t="s">
        <v>482</v>
      </c>
      <c r="C199" s="32">
        <v>2.3007451E7</v>
      </c>
      <c r="D199" s="32">
        <v>488794.0</v>
      </c>
      <c r="E199" s="32">
        <v>338212.0</v>
      </c>
      <c r="F199" s="32">
        <v>16633.0</v>
      </c>
      <c r="G199" s="32">
        <v>15983.0</v>
      </c>
      <c r="H199" s="32">
        <v>0.0</v>
      </c>
      <c r="I199" s="32">
        <v>5.142886242E9</v>
      </c>
      <c r="J199" s="32">
        <v>2.966813705E9</v>
      </c>
      <c r="K199" s="32">
        <v>2119.0</v>
      </c>
      <c r="L199" s="31" t="s">
        <v>94</v>
      </c>
      <c r="M199" s="31">
        <v>25.0</v>
      </c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1.74530133E8</v>
      </c>
      <c r="B200" s="31" t="s">
        <v>214</v>
      </c>
      <c r="C200" s="32">
        <v>2.2867341E7</v>
      </c>
      <c r="D200" s="32">
        <v>2253561.0</v>
      </c>
      <c r="E200" s="32">
        <v>331940.0</v>
      </c>
      <c r="F200" s="32">
        <v>27691.0</v>
      </c>
      <c r="G200" s="32">
        <v>96770.0</v>
      </c>
      <c r="H200" s="32">
        <v>0.0</v>
      </c>
      <c r="I200" s="32">
        <v>1.4797604709E10</v>
      </c>
      <c r="J200" s="32">
        <v>1.1791635993E10</v>
      </c>
      <c r="K200" s="32">
        <v>3514.0</v>
      </c>
      <c r="L200" s="31" t="s">
        <v>165</v>
      </c>
      <c r="M200" s="31">
        <v>25.0</v>
      </c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5.6270145E7</v>
      </c>
      <c r="B201" s="31" t="s">
        <v>527</v>
      </c>
      <c r="C201" s="32">
        <v>2.282136E7</v>
      </c>
      <c r="D201" s="32">
        <v>1.1728022E7</v>
      </c>
      <c r="E201" s="32">
        <v>2094456.0</v>
      </c>
      <c r="F201" s="32">
        <v>945008.0</v>
      </c>
      <c r="G201" s="32">
        <v>6773.0</v>
      </c>
      <c r="H201" s="32">
        <v>0.0</v>
      </c>
      <c r="I201" s="32">
        <v>5.055881773E9</v>
      </c>
      <c r="J201" s="32">
        <v>4.763445559E9</v>
      </c>
      <c r="K201" s="32">
        <v>12814.0</v>
      </c>
      <c r="L201" s="31" t="s">
        <v>66</v>
      </c>
      <c r="M201" s="31">
        <v>25.0</v>
      </c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1.58392134E8</v>
      </c>
      <c r="B202" s="31" t="s">
        <v>519</v>
      </c>
      <c r="C202" s="32">
        <v>2.240961E7</v>
      </c>
      <c r="D202" s="32">
        <v>3.793234E7</v>
      </c>
      <c r="E202" s="32">
        <v>2858709.0</v>
      </c>
      <c r="F202" s="32">
        <v>2484537.0</v>
      </c>
      <c r="G202" s="32">
        <v>372234.0</v>
      </c>
      <c r="H202" s="32">
        <v>0.0</v>
      </c>
      <c r="I202" s="32">
        <v>3.651735506E9</v>
      </c>
      <c r="J202" s="32">
        <v>2.195290365E9</v>
      </c>
      <c r="K202" s="32">
        <v>13700.0</v>
      </c>
      <c r="L202" s="31" t="s">
        <v>94</v>
      </c>
      <c r="M202" s="31">
        <v>25.0</v>
      </c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1">
        <v>1.71556791E8</v>
      </c>
      <c r="B203" s="31" t="s">
        <v>462</v>
      </c>
      <c r="C203" s="32">
        <v>2.226208E7</v>
      </c>
      <c r="D203" s="32">
        <v>4949159.0</v>
      </c>
      <c r="E203" s="32">
        <v>626101.0</v>
      </c>
      <c r="F203" s="32">
        <v>210000.0</v>
      </c>
      <c r="G203" s="32">
        <v>116244.0</v>
      </c>
      <c r="H203" s="32">
        <v>0.0</v>
      </c>
      <c r="I203" s="32">
        <v>7.739998872E9</v>
      </c>
      <c r="J203" s="32">
        <v>1.4361031366E10</v>
      </c>
      <c r="K203" s="32">
        <v>3530.0</v>
      </c>
      <c r="L203" s="31" t="s">
        <v>552</v>
      </c>
      <c r="M203" s="31">
        <v>25.0</v>
      </c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3">
        <v>1.85391227E8</v>
      </c>
      <c r="B204" s="33" t="s">
        <v>207</v>
      </c>
      <c r="C204" s="34">
        <v>2.2039643E7</v>
      </c>
      <c r="D204" s="34">
        <v>4933077.0</v>
      </c>
      <c r="E204" s="34">
        <v>964026.0</v>
      </c>
      <c r="F204" s="34">
        <v>214.0</v>
      </c>
      <c r="G204" s="34">
        <v>246545.0</v>
      </c>
      <c r="H204" s="34">
        <v>0.0</v>
      </c>
      <c r="I204" s="34">
        <v>7.366384714E9</v>
      </c>
      <c r="J204" s="34">
        <v>4.184421399E9</v>
      </c>
      <c r="K204" s="34">
        <v>2375.0</v>
      </c>
      <c r="L204" s="33" t="s">
        <v>94</v>
      </c>
      <c r="M204" s="33">
        <v>24.0</v>
      </c>
      <c r="N204" s="33"/>
      <c r="O204" s="33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1">
        <v>1.82087307E8</v>
      </c>
      <c r="B205" s="31" t="s">
        <v>553</v>
      </c>
      <c r="C205" s="32">
        <v>2.1811577E7</v>
      </c>
      <c r="D205" s="32">
        <v>7504946.0</v>
      </c>
      <c r="E205" s="32">
        <v>2789848.0</v>
      </c>
      <c r="F205" s="32">
        <v>263800.0</v>
      </c>
      <c r="G205" s="32">
        <v>216226.0</v>
      </c>
      <c r="H205" s="32">
        <v>0.0</v>
      </c>
      <c r="I205" s="32">
        <v>9.96530005E8</v>
      </c>
      <c r="J205" s="32">
        <v>1710.0</v>
      </c>
      <c r="K205" s="32">
        <v>2455.0</v>
      </c>
      <c r="L205" s="31" t="s">
        <v>66</v>
      </c>
      <c r="M205" s="31">
        <v>25.0</v>
      </c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1.24153706E8</v>
      </c>
      <c r="B206" s="31" t="s">
        <v>463</v>
      </c>
      <c r="C206" s="32">
        <v>2.1576774E7</v>
      </c>
      <c r="D206" s="32">
        <v>5867482.0</v>
      </c>
      <c r="E206" s="32">
        <v>1692075.0</v>
      </c>
      <c r="F206" s="32">
        <v>470573.0</v>
      </c>
      <c r="G206" s="32">
        <v>52787.0</v>
      </c>
      <c r="H206" s="32">
        <v>0.0</v>
      </c>
      <c r="I206" s="32">
        <v>5.097908088E9</v>
      </c>
      <c r="J206" s="32">
        <v>5.642037005E9</v>
      </c>
      <c r="K206" s="32">
        <v>10169.0</v>
      </c>
      <c r="L206" s="31" t="s">
        <v>153</v>
      </c>
      <c r="M206" s="31">
        <v>25.0</v>
      </c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3">
        <v>1.44032974E8</v>
      </c>
      <c r="B207" s="33" t="s">
        <v>500</v>
      </c>
      <c r="C207" s="34">
        <v>2.1342113E7</v>
      </c>
      <c r="D207" s="34">
        <v>883270.0</v>
      </c>
      <c r="E207" s="34">
        <v>1317329.0</v>
      </c>
      <c r="F207" s="34">
        <v>5489.0</v>
      </c>
      <c r="G207" s="34">
        <v>39094.0</v>
      </c>
      <c r="H207" s="34">
        <v>0.0</v>
      </c>
      <c r="I207" s="34">
        <v>1.79745064E9</v>
      </c>
      <c r="J207" s="34">
        <v>0.0</v>
      </c>
      <c r="K207" s="34">
        <v>2163.0</v>
      </c>
      <c r="L207" s="33" t="s">
        <v>94</v>
      </c>
      <c r="M207" s="33">
        <v>24.0</v>
      </c>
      <c r="N207" s="33"/>
      <c r="O207" s="33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7521367.0</v>
      </c>
      <c r="B208" s="31" t="s">
        <v>234</v>
      </c>
      <c r="C208" s="32">
        <v>2.1093725E7</v>
      </c>
      <c r="D208" s="32">
        <v>5.1860944E7</v>
      </c>
      <c r="E208" s="32">
        <v>2319918.0</v>
      </c>
      <c r="F208" s="32">
        <v>2148209.0</v>
      </c>
      <c r="G208" s="32">
        <v>1512565.0</v>
      </c>
      <c r="H208" s="32">
        <v>0.0</v>
      </c>
      <c r="I208" s="32">
        <v>7.150059683E9</v>
      </c>
      <c r="J208" s="32">
        <v>6.841159384E9</v>
      </c>
      <c r="K208" s="32">
        <v>3593.0</v>
      </c>
      <c r="L208" s="31" t="s">
        <v>147</v>
      </c>
      <c r="M208" s="31">
        <v>25.0</v>
      </c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1.5809248E8</v>
      </c>
      <c r="B209" s="31" t="s">
        <v>554</v>
      </c>
      <c r="C209" s="32">
        <v>2.0988315E7</v>
      </c>
      <c r="D209" s="32">
        <v>3.9410148E7</v>
      </c>
      <c r="E209" s="32">
        <v>3460836.0</v>
      </c>
      <c r="F209" s="32">
        <v>3380809.0</v>
      </c>
      <c r="G209" s="32">
        <v>222950.0</v>
      </c>
      <c r="H209" s="32">
        <v>0.0</v>
      </c>
      <c r="I209" s="32">
        <v>2.172058151E9</v>
      </c>
      <c r="J209" s="32">
        <v>2.81261089E8</v>
      </c>
      <c r="K209" s="32">
        <v>4458.0</v>
      </c>
      <c r="L209" s="31" t="s">
        <v>153</v>
      </c>
      <c r="M209" s="31">
        <v>25.0</v>
      </c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1.4586076E8</v>
      </c>
      <c r="B210" s="31" t="s">
        <v>223</v>
      </c>
      <c r="C210" s="32">
        <v>2.0262144E7</v>
      </c>
      <c r="D210" s="32">
        <v>2503746.0</v>
      </c>
      <c r="E210" s="32">
        <v>641516.0</v>
      </c>
      <c r="F210" s="32">
        <v>204412.0</v>
      </c>
      <c r="G210" s="32">
        <v>0.0</v>
      </c>
      <c r="H210" s="32">
        <v>0.0</v>
      </c>
      <c r="I210" s="32">
        <v>7.249123043E9</v>
      </c>
      <c r="J210" s="32">
        <v>7.106242499E9</v>
      </c>
      <c r="K210" s="32">
        <v>3159.0</v>
      </c>
      <c r="L210" s="31" t="s">
        <v>153</v>
      </c>
      <c r="M210" s="31">
        <v>25.0</v>
      </c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3">
        <v>1.71989291E8</v>
      </c>
      <c r="B211" s="33" t="s">
        <v>224</v>
      </c>
      <c r="C211" s="34">
        <v>2.0097149E7</v>
      </c>
      <c r="D211" s="34">
        <v>1953757.0</v>
      </c>
      <c r="E211" s="34">
        <v>1329583.0</v>
      </c>
      <c r="F211" s="34">
        <v>2019.0</v>
      </c>
      <c r="G211" s="34">
        <v>94344.0</v>
      </c>
      <c r="H211" s="34">
        <v>0.0</v>
      </c>
      <c r="I211" s="34">
        <v>9.774458094E9</v>
      </c>
      <c r="J211" s="34">
        <v>6.708396395E9</v>
      </c>
      <c r="K211" s="34">
        <v>3417.0</v>
      </c>
      <c r="L211" s="33" t="s">
        <v>153</v>
      </c>
      <c r="M211" s="33">
        <v>24.0</v>
      </c>
      <c r="N211" s="33"/>
      <c r="O211" s="33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1.75706269E8</v>
      </c>
      <c r="B212" s="33" t="s">
        <v>219</v>
      </c>
      <c r="C212" s="34">
        <v>2.0091347E7</v>
      </c>
      <c r="D212" s="34">
        <v>8860602.0</v>
      </c>
      <c r="E212" s="34">
        <v>1519238.0</v>
      </c>
      <c r="F212" s="34">
        <v>813972.0</v>
      </c>
      <c r="G212" s="34">
        <v>23044.0</v>
      </c>
      <c r="H212" s="34">
        <v>0.0</v>
      </c>
      <c r="I212" s="34">
        <v>2.819062251E9</v>
      </c>
      <c r="J212" s="34">
        <v>3.22468511E8</v>
      </c>
      <c r="K212" s="34">
        <v>1070.0</v>
      </c>
      <c r="L212" s="33" t="s">
        <v>220</v>
      </c>
      <c r="M212" s="33">
        <v>24.0</v>
      </c>
      <c r="N212" s="33"/>
      <c r="O212" s="33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3">
        <v>1.73351722E8</v>
      </c>
      <c r="B213" s="33" t="s">
        <v>236</v>
      </c>
      <c r="C213" s="34">
        <v>2.0072362E7</v>
      </c>
      <c r="D213" s="34">
        <v>7033148.0</v>
      </c>
      <c r="E213" s="34">
        <v>471728.0</v>
      </c>
      <c r="F213" s="34">
        <v>336667.0</v>
      </c>
      <c r="G213" s="34">
        <v>180092.0</v>
      </c>
      <c r="H213" s="34">
        <v>0.0</v>
      </c>
      <c r="I213" s="34">
        <v>9.232230974E9</v>
      </c>
      <c r="J213" s="34">
        <v>4.208861579E9</v>
      </c>
      <c r="K213" s="34">
        <v>1777.0</v>
      </c>
      <c r="L213" s="33" t="s">
        <v>153</v>
      </c>
      <c r="M213" s="33">
        <v>24.0</v>
      </c>
      <c r="N213" s="33"/>
      <c r="O213" s="33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3">
        <v>1.59674611E8</v>
      </c>
      <c r="B214" s="33" t="s">
        <v>260</v>
      </c>
      <c r="C214" s="34">
        <v>2.0033826E7</v>
      </c>
      <c r="D214" s="34">
        <v>932235.0</v>
      </c>
      <c r="E214" s="34">
        <v>136798.0</v>
      </c>
      <c r="F214" s="34">
        <v>5166.0</v>
      </c>
      <c r="G214" s="34">
        <v>0.0</v>
      </c>
      <c r="H214" s="34">
        <v>0.0</v>
      </c>
      <c r="I214" s="34">
        <v>2.98545899E9</v>
      </c>
      <c r="J214" s="34">
        <v>8.00719676E8</v>
      </c>
      <c r="K214" s="34">
        <v>2346.0</v>
      </c>
      <c r="L214" s="33" t="s">
        <v>94</v>
      </c>
      <c r="M214" s="33">
        <v>23.0</v>
      </c>
      <c r="N214" s="33"/>
      <c r="O214" s="33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1">
        <v>1.0996021E8</v>
      </c>
      <c r="B215" s="31" t="s">
        <v>227</v>
      </c>
      <c r="C215" s="32">
        <v>1.9934854E7</v>
      </c>
      <c r="D215" s="32">
        <v>3143180.0</v>
      </c>
      <c r="E215" s="32">
        <v>253288.0</v>
      </c>
      <c r="F215" s="32">
        <v>62104.0</v>
      </c>
      <c r="G215" s="32">
        <v>126107.0</v>
      </c>
      <c r="H215" s="32">
        <v>0.0</v>
      </c>
      <c r="I215" s="32">
        <v>2.959685811E9</v>
      </c>
      <c r="J215" s="32">
        <v>6.78856569E8</v>
      </c>
      <c r="K215" s="32">
        <v>1260.0</v>
      </c>
      <c r="L215" s="31" t="s">
        <v>147</v>
      </c>
      <c r="M215" s="31">
        <v>25.0</v>
      </c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1.47792502E8</v>
      </c>
      <c r="B216" s="33" t="s">
        <v>232</v>
      </c>
      <c r="C216" s="34">
        <v>1.9924226E7</v>
      </c>
      <c r="D216" s="34">
        <v>1.5109036E7</v>
      </c>
      <c r="E216" s="34">
        <v>501345.0</v>
      </c>
      <c r="F216" s="34">
        <v>1325650.0</v>
      </c>
      <c r="G216" s="34">
        <v>46085.0</v>
      </c>
      <c r="H216" s="34">
        <v>0.0</v>
      </c>
      <c r="I216" s="34">
        <v>1.8063542507E10</v>
      </c>
      <c r="J216" s="34">
        <v>1.3084532961E10</v>
      </c>
      <c r="K216" s="34">
        <v>6594.0</v>
      </c>
      <c r="L216" s="33" t="s">
        <v>153</v>
      </c>
      <c r="M216" s="33">
        <v>24.0</v>
      </c>
      <c r="N216" s="33"/>
      <c r="O216" s="33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3">
        <v>1.72587132E8</v>
      </c>
      <c r="B217" s="33" t="s">
        <v>212</v>
      </c>
      <c r="C217" s="34">
        <v>1.9845208E7</v>
      </c>
      <c r="D217" s="34">
        <v>4633223.0</v>
      </c>
      <c r="E217" s="34">
        <v>1579652.0</v>
      </c>
      <c r="F217" s="34">
        <v>383297.0</v>
      </c>
      <c r="G217" s="34">
        <v>21612.0</v>
      </c>
      <c r="H217" s="34">
        <v>0.0</v>
      </c>
      <c r="I217" s="34">
        <v>1.215787274E10</v>
      </c>
      <c r="J217" s="34">
        <v>1.1627061896E10</v>
      </c>
      <c r="K217" s="34">
        <v>4008.0</v>
      </c>
      <c r="L217" s="33" t="s">
        <v>94</v>
      </c>
      <c r="M217" s="33">
        <v>23.0</v>
      </c>
      <c r="N217" s="33"/>
      <c r="O217" s="33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1">
        <v>1.44096624E8</v>
      </c>
      <c r="B218" s="31" t="s">
        <v>225</v>
      </c>
      <c r="C218" s="32">
        <v>1.9807737E7</v>
      </c>
      <c r="D218" s="32">
        <v>2.0860906E7</v>
      </c>
      <c r="E218" s="32">
        <v>1133063.0</v>
      </c>
      <c r="F218" s="32">
        <v>1602950.0</v>
      </c>
      <c r="G218" s="32">
        <v>189560.0</v>
      </c>
      <c r="H218" s="32">
        <v>0.0</v>
      </c>
      <c r="I218" s="32">
        <v>2.371662784E9</v>
      </c>
      <c r="J218" s="32">
        <v>3.1594992E8</v>
      </c>
      <c r="K218" s="32">
        <v>4390.0</v>
      </c>
      <c r="L218" s="31" t="s">
        <v>66</v>
      </c>
      <c r="M218" s="31">
        <v>25.0</v>
      </c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3">
        <v>1.63370871E8</v>
      </c>
      <c r="B219" s="33" t="s">
        <v>555</v>
      </c>
      <c r="C219" s="34">
        <v>1.9403091E7</v>
      </c>
      <c r="D219" s="34">
        <v>1.052954E7</v>
      </c>
      <c r="E219" s="34">
        <v>278845.0</v>
      </c>
      <c r="F219" s="34">
        <v>1047221.0</v>
      </c>
      <c r="G219" s="34">
        <v>0.0</v>
      </c>
      <c r="H219" s="34">
        <v>0.0</v>
      </c>
      <c r="I219" s="34">
        <v>6.1344494E9</v>
      </c>
      <c r="J219" s="34">
        <v>1.22210377E9</v>
      </c>
      <c r="K219" s="34">
        <v>3855.0</v>
      </c>
      <c r="L219" s="33" t="s">
        <v>66</v>
      </c>
      <c r="M219" s="33">
        <v>24.0</v>
      </c>
      <c r="N219" s="33"/>
      <c r="O219" s="33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1.07309959E8</v>
      </c>
      <c r="B220" s="31" t="s">
        <v>229</v>
      </c>
      <c r="C220" s="32">
        <v>1.9283854E7</v>
      </c>
      <c r="D220" s="32">
        <v>880638.0</v>
      </c>
      <c r="E220" s="32">
        <v>633209.0</v>
      </c>
      <c r="F220" s="32">
        <v>19253.0</v>
      </c>
      <c r="G220" s="32">
        <v>0.0</v>
      </c>
      <c r="H220" s="32">
        <v>0.0</v>
      </c>
      <c r="I220" s="32">
        <v>4.392777117E9</v>
      </c>
      <c r="J220" s="32">
        <v>1.692E9</v>
      </c>
      <c r="K220" s="32">
        <v>2331.0</v>
      </c>
      <c r="L220" s="31" t="s">
        <v>153</v>
      </c>
      <c r="M220" s="31">
        <v>25.0</v>
      </c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3">
        <v>1.72730913E8</v>
      </c>
      <c r="B221" s="33" t="s">
        <v>221</v>
      </c>
      <c r="C221" s="34">
        <v>1.9216284E7</v>
      </c>
      <c r="D221" s="34">
        <v>-1.0</v>
      </c>
      <c r="E221" s="34">
        <v>0.0</v>
      </c>
      <c r="F221" s="34">
        <v>0.0</v>
      </c>
      <c r="G221" s="34">
        <v>0.0</v>
      </c>
      <c r="H221" s="34">
        <v>0.0</v>
      </c>
      <c r="I221" s="34">
        <v>4.436526242E9</v>
      </c>
      <c r="J221" s="34">
        <v>1.54E7</v>
      </c>
      <c r="K221" s="34">
        <v>1621.0</v>
      </c>
      <c r="L221" s="33" t="s">
        <v>153</v>
      </c>
      <c r="M221" s="33">
        <v>23.0</v>
      </c>
      <c r="N221" s="33"/>
      <c r="O221" s="33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1">
        <v>1.37982827E8</v>
      </c>
      <c r="B222" s="31" t="s">
        <v>230</v>
      </c>
      <c r="C222" s="32">
        <v>1.9126788E7</v>
      </c>
      <c r="D222" s="32">
        <v>1033440.0</v>
      </c>
      <c r="E222" s="32">
        <v>1686588.0</v>
      </c>
      <c r="F222" s="32">
        <v>2888.0</v>
      </c>
      <c r="G222" s="32">
        <v>37966.0</v>
      </c>
      <c r="H222" s="32">
        <v>0.0</v>
      </c>
      <c r="I222" s="32">
        <v>2.0033451003E10</v>
      </c>
      <c r="J222" s="32">
        <v>2.1164177048E10</v>
      </c>
      <c r="K222" s="32">
        <v>4281.0</v>
      </c>
      <c r="L222" s="31" t="s">
        <v>153</v>
      </c>
      <c r="M222" s="31">
        <v>25.0</v>
      </c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9.716129E7</v>
      </c>
      <c r="B223" s="33" t="s">
        <v>216</v>
      </c>
      <c r="C223" s="34">
        <v>1.906125E7</v>
      </c>
      <c r="D223" s="34">
        <v>663448.0</v>
      </c>
      <c r="E223" s="34">
        <v>580431.0</v>
      </c>
      <c r="F223" s="34">
        <v>10201.0</v>
      </c>
      <c r="G223" s="34">
        <v>27973.0</v>
      </c>
      <c r="H223" s="34">
        <v>0.0</v>
      </c>
      <c r="I223" s="34">
        <v>3.227119058E9</v>
      </c>
      <c r="J223" s="34">
        <v>0.0</v>
      </c>
      <c r="K223" s="34">
        <v>488.0</v>
      </c>
      <c r="L223" s="33" t="s">
        <v>147</v>
      </c>
      <c r="M223" s="33">
        <v>24.0</v>
      </c>
      <c r="N223" s="33"/>
      <c r="O223" s="33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3">
        <v>1.72508036E8</v>
      </c>
      <c r="B224" s="33" t="s">
        <v>502</v>
      </c>
      <c r="C224" s="34">
        <v>1.8839514E7</v>
      </c>
      <c r="D224" s="34">
        <v>1682388.0</v>
      </c>
      <c r="E224" s="34">
        <v>140168.0</v>
      </c>
      <c r="F224" s="34">
        <v>3651.0</v>
      </c>
      <c r="G224" s="34">
        <v>82114.0</v>
      </c>
      <c r="H224" s="34">
        <v>0.0</v>
      </c>
      <c r="I224" s="34">
        <v>3.030503335E9</v>
      </c>
      <c r="J224" s="34">
        <v>3.704E8</v>
      </c>
      <c r="K224" s="34">
        <v>1081.0</v>
      </c>
      <c r="L224" s="33" t="s">
        <v>153</v>
      </c>
      <c r="M224" s="33">
        <v>24.0</v>
      </c>
      <c r="N224" s="33"/>
      <c r="O224" s="33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1">
        <v>1.20777788E8</v>
      </c>
      <c r="B225" s="31" t="s">
        <v>243</v>
      </c>
      <c r="C225" s="32">
        <v>1.8575884E7</v>
      </c>
      <c r="D225" s="32">
        <v>4909327.0</v>
      </c>
      <c r="E225" s="32">
        <v>2915331.0</v>
      </c>
      <c r="F225" s="32">
        <v>337930.0</v>
      </c>
      <c r="G225" s="32">
        <v>75001.0</v>
      </c>
      <c r="H225" s="32">
        <v>0.0</v>
      </c>
      <c r="I225" s="32">
        <v>8.543328343E9</v>
      </c>
      <c r="J225" s="32">
        <v>5.753862172E9</v>
      </c>
      <c r="K225" s="32">
        <v>2456.0</v>
      </c>
      <c r="L225" s="31" t="s">
        <v>66</v>
      </c>
      <c r="M225" s="31">
        <v>25.0</v>
      </c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1.26974968E8</v>
      </c>
      <c r="B226" s="33" t="s">
        <v>244</v>
      </c>
      <c r="C226" s="34">
        <v>1.8405106E7</v>
      </c>
      <c r="D226" s="34">
        <v>1232807.0</v>
      </c>
      <c r="E226" s="34">
        <v>877225.0</v>
      </c>
      <c r="F226" s="34">
        <v>56920.0</v>
      </c>
      <c r="G226" s="34">
        <v>25459.0</v>
      </c>
      <c r="H226" s="34">
        <v>0.0</v>
      </c>
      <c r="I226" s="34">
        <v>8.895384831E9</v>
      </c>
      <c r="J226" s="34">
        <v>1.0523962294E10</v>
      </c>
      <c r="K226" s="34">
        <v>2644.0</v>
      </c>
      <c r="L226" s="33" t="s">
        <v>34</v>
      </c>
      <c r="M226" s="33">
        <v>24.0</v>
      </c>
      <c r="N226" s="33"/>
      <c r="O226" s="33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1.90550149E8</v>
      </c>
      <c r="B227" s="31" t="s">
        <v>556</v>
      </c>
      <c r="C227" s="32">
        <v>1.8215958E7</v>
      </c>
      <c r="D227" s="32">
        <v>2.9420114E7</v>
      </c>
      <c r="E227" s="32">
        <v>2620281.0</v>
      </c>
      <c r="F227" s="32">
        <v>1532534.0</v>
      </c>
      <c r="G227" s="32">
        <v>134868.0</v>
      </c>
      <c r="H227" s="32">
        <v>0.0</v>
      </c>
      <c r="I227" s="32">
        <v>1.822043323E9</v>
      </c>
      <c r="J227" s="32">
        <v>1.12543401E8</v>
      </c>
      <c r="K227" s="32">
        <v>6277.0</v>
      </c>
      <c r="L227" s="31" t="s">
        <v>547</v>
      </c>
      <c r="M227" s="31">
        <v>25.0</v>
      </c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3">
        <v>1.44114159E8</v>
      </c>
      <c r="B228" s="33" t="s">
        <v>241</v>
      </c>
      <c r="C228" s="34">
        <v>1.8160092E7</v>
      </c>
      <c r="D228" s="34">
        <v>377570.0</v>
      </c>
      <c r="E228" s="34">
        <v>78932.0</v>
      </c>
      <c r="F228" s="34">
        <v>9565.0</v>
      </c>
      <c r="G228" s="34">
        <v>0.0</v>
      </c>
      <c r="H228" s="34">
        <v>0.0</v>
      </c>
      <c r="I228" s="34">
        <v>1.538049538E9</v>
      </c>
      <c r="J228" s="34">
        <v>1424156.0</v>
      </c>
      <c r="K228" s="34">
        <v>1962.0</v>
      </c>
      <c r="L228" s="33" t="s">
        <v>264</v>
      </c>
      <c r="M228" s="33">
        <v>23.0</v>
      </c>
      <c r="N228" s="33"/>
      <c r="O228" s="33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1.4065212E8</v>
      </c>
      <c r="B229" s="33" t="s">
        <v>238</v>
      </c>
      <c r="C229" s="34">
        <v>1.7965411E7</v>
      </c>
      <c r="D229" s="34">
        <v>4405441.0</v>
      </c>
      <c r="E229" s="34">
        <v>2093014.0</v>
      </c>
      <c r="F229" s="34">
        <v>310893.0</v>
      </c>
      <c r="G229" s="34">
        <v>64515.0</v>
      </c>
      <c r="H229" s="34">
        <v>0.0</v>
      </c>
      <c r="I229" s="34">
        <v>1.4760920117E10</v>
      </c>
      <c r="J229" s="34">
        <v>1.5489595113E10</v>
      </c>
      <c r="K229" s="34">
        <v>5358.0</v>
      </c>
      <c r="L229" s="33" t="s">
        <v>153</v>
      </c>
      <c r="M229" s="33">
        <v>24.0</v>
      </c>
      <c r="N229" s="33"/>
      <c r="O229" s="33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1">
        <v>6.2280166E7</v>
      </c>
      <c r="B230" s="31" t="s">
        <v>520</v>
      </c>
      <c r="C230" s="32">
        <v>1.793565E7</v>
      </c>
      <c r="D230" s="32">
        <v>4247465.0</v>
      </c>
      <c r="E230" s="32">
        <v>340427.0</v>
      </c>
      <c r="F230" s="32">
        <v>156154.0</v>
      </c>
      <c r="G230" s="32">
        <v>0.0</v>
      </c>
      <c r="H230" s="32">
        <v>0.0</v>
      </c>
      <c r="I230" s="32">
        <v>1.684807653E9</v>
      </c>
      <c r="J230" s="32">
        <v>13037.0</v>
      </c>
      <c r="K230" s="32">
        <v>2016.0</v>
      </c>
      <c r="L230" s="31" t="s">
        <v>66</v>
      </c>
      <c r="M230" s="31">
        <v>25.0</v>
      </c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1.79309911E8</v>
      </c>
      <c r="B231" s="33" t="s">
        <v>250</v>
      </c>
      <c r="C231" s="34">
        <v>1.7889075E7</v>
      </c>
      <c r="D231" s="34">
        <v>3539957.0</v>
      </c>
      <c r="E231" s="34">
        <v>1463306.0</v>
      </c>
      <c r="F231" s="34">
        <v>321378.0</v>
      </c>
      <c r="G231" s="34">
        <v>5689.0</v>
      </c>
      <c r="H231" s="34">
        <v>0.0</v>
      </c>
      <c r="I231" s="34">
        <v>4.850741018E9</v>
      </c>
      <c r="J231" s="34">
        <v>2.29849922E9</v>
      </c>
      <c r="K231" s="34">
        <v>1358.0</v>
      </c>
      <c r="L231" s="33" t="s">
        <v>94</v>
      </c>
      <c r="M231" s="33">
        <v>24.0</v>
      </c>
      <c r="N231" s="33"/>
      <c r="O231" s="33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1">
        <v>1.44034439E8</v>
      </c>
      <c r="B232" s="31" t="s">
        <v>235</v>
      </c>
      <c r="C232" s="32">
        <v>1.7805101E7</v>
      </c>
      <c r="D232" s="32">
        <v>3185436.0</v>
      </c>
      <c r="E232" s="32">
        <v>5053227.0</v>
      </c>
      <c r="F232" s="32">
        <v>106493.0</v>
      </c>
      <c r="G232" s="32">
        <v>89020.0</v>
      </c>
      <c r="H232" s="32">
        <v>0.0</v>
      </c>
      <c r="I232" s="32">
        <v>9.311945706E9</v>
      </c>
      <c r="J232" s="32">
        <v>0.0</v>
      </c>
      <c r="K232" s="32">
        <v>7283.0</v>
      </c>
      <c r="L232" s="31" t="s">
        <v>165</v>
      </c>
      <c r="M232" s="31">
        <v>25.0</v>
      </c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1.78556109E8</v>
      </c>
      <c r="B233" s="33" t="s">
        <v>248</v>
      </c>
      <c r="C233" s="34">
        <v>1.7738695E7</v>
      </c>
      <c r="D233" s="34">
        <v>1240300.0</v>
      </c>
      <c r="E233" s="34">
        <v>125805.0</v>
      </c>
      <c r="F233" s="34">
        <v>7308.0</v>
      </c>
      <c r="G233" s="34">
        <v>58361.0</v>
      </c>
      <c r="H233" s="34">
        <v>0.0</v>
      </c>
      <c r="I233" s="34">
        <v>1.2079170446E10</v>
      </c>
      <c r="J233" s="34">
        <v>1.1321629033E10</v>
      </c>
      <c r="K233" s="34">
        <v>3484.0</v>
      </c>
      <c r="L233" s="33" t="s">
        <v>153</v>
      </c>
      <c r="M233" s="33">
        <v>24.0</v>
      </c>
      <c r="N233" s="33"/>
      <c r="O233" s="33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1.44068963E8</v>
      </c>
      <c r="B234" s="31" t="s">
        <v>239</v>
      </c>
      <c r="C234" s="32">
        <v>1.7671374E7</v>
      </c>
      <c r="D234" s="32">
        <v>1242154.0</v>
      </c>
      <c r="E234" s="32">
        <v>1892316.0</v>
      </c>
      <c r="F234" s="32">
        <v>7009.0</v>
      </c>
      <c r="G234" s="32">
        <v>57313.0</v>
      </c>
      <c r="H234" s="32">
        <v>0.0</v>
      </c>
      <c r="I234" s="32">
        <v>1.794338911E9</v>
      </c>
      <c r="J234" s="32">
        <v>200000.0</v>
      </c>
      <c r="K234" s="32">
        <v>323.0</v>
      </c>
      <c r="L234" s="31" t="s">
        <v>240</v>
      </c>
      <c r="M234" s="31">
        <v>25.0</v>
      </c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1">
        <v>9.9317493E7</v>
      </c>
      <c r="B235" s="31" t="s">
        <v>252</v>
      </c>
      <c r="C235" s="32">
        <v>1.7608934E7</v>
      </c>
      <c r="D235" s="32">
        <v>1.1029798E7</v>
      </c>
      <c r="E235" s="32">
        <v>2319052.0</v>
      </c>
      <c r="F235" s="32">
        <v>893317.0</v>
      </c>
      <c r="G235" s="32">
        <v>61864.0</v>
      </c>
      <c r="H235" s="32">
        <v>0.0</v>
      </c>
      <c r="I235" s="32">
        <v>2.981901371E9</v>
      </c>
      <c r="J235" s="32">
        <v>5.3065867E7</v>
      </c>
      <c r="K235" s="32">
        <v>3756.0</v>
      </c>
      <c r="L235" s="31" t="s">
        <v>126</v>
      </c>
      <c r="M235" s="31">
        <v>25.0</v>
      </c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1">
        <v>1.27147255E8</v>
      </c>
      <c r="B236" s="31" t="s">
        <v>249</v>
      </c>
      <c r="C236" s="32">
        <v>1.7603399E7</v>
      </c>
      <c r="D236" s="32">
        <v>1404762.0</v>
      </c>
      <c r="E236" s="32">
        <v>1620937.0</v>
      </c>
      <c r="F236" s="32">
        <v>23523.0</v>
      </c>
      <c r="G236" s="32">
        <v>57743.0</v>
      </c>
      <c r="H236" s="32">
        <v>0.0</v>
      </c>
      <c r="I236" s="32">
        <v>9.837805948E9</v>
      </c>
      <c r="J236" s="32">
        <v>1.4204180855E10</v>
      </c>
      <c r="K236" s="32">
        <v>2933.0</v>
      </c>
      <c r="L236" s="31" t="s">
        <v>34</v>
      </c>
      <c r="M236" s="31">
        <v>25.0</v>
      </c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3">
        <v>4.9505384E7</v>
      </c>
      <c r="B237" s="33" t="s">
        <v>557</v>
      </c>
      <c r="C237" s="34">
        <v>1.6936908E7</v>
      </c>
      <c r="D237" s="34">
        <v>202110.0</v>
      </c>
      <c r="E237" s="34">
        <v>24045.0</v>
      </c>
      <c r="F237" s="34">
        <v>662.0</v>
      </c>
      <c r="G237" s="34">
        <v>0.0</v>
      </c>
      <c r="H237" s="34">
        <v>0.0</v>
      </c>
      <c r="I237" s="34">
        <v>2.204178109E9</v>
      </c>
      <c r="J237" s="34">
        <v>0.0</v>
      </c>
      <c r="K237" s="34">
        <v>1335.0</v>
      </c>
      <c r="L237" s="33" t="s">
        <v>126</v>
      </c>
      <c r="M237" s="33">
        <v>23.0</v>
      </c>
      <c r="N237" s="33"/>
      <c r="O237" s="33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1.54073945E8</v>
      </c>
      <c r="B238" s="31" t="s">
        <v>381</v>
      </c>
      <c r="C238" s="32">
        <v>1.687104E7</v>
      </c>
      <c r="D238" s="32">
        <v>3284697.0</v>
      </c>
      <c r="E238" s="32">
        <v>4029606.0</v>
      </c>
      <c r="F238" s="32">
        <v>299366.0</v>
      </c>
      <c r="G238" s="32">
        <v>14399.0</v>
      </c>
      <c r="H238" s="32">
        <v>0.0</v>
      </c>
      <c r="I238" s="32">
        <v>6.335833885E9</v>
      </c>
      <c r="J238" s="32">
        <v>2.007222579E9</v>
      </c>
      <c r="K238" s="32">
        <v>1533.0</v>
      </c>
      <c r="L238" s="31" t="s">
        <v>153</v>
      </c>
      <c r="M238" s="31">
        <v>25.0</v>
      </c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3">
        <v>1.28213955E8</v>
      </c>
      <c r="B239" s="33" t="s">
        <v>253</v>
      </c>
      <c r="C239" s="34">
        <v>1.6811343E7</v>
      </c>
      <c r="D239" s="34">
        <v>75852.0</v>
      </c>
      <c r="E239" s="34">
        <v>0.0</v>
      </c>
      <c r="F239" s="34">
        <v>1254.0</v>
      </c>
      <c r="G239" s="34">
        <v>0.0</v>
      </c>
      <c r="H239" s="34">
        <v>0.0</v>
      </c>
      <c r="I239" s="34">
        <v>9.814129247E9</v>
      </c>
      <c r="J239" s="34">
        <v>1.1506807503E10</v>
      </c>
      <c r="K239" s="34">
        <v>2474.0</v>
      </c>
      <c r="L239" s="33" t="s">
        <v>34</v>
      </c>
      <c r="M239" s="33">
        <v>24.0</v>
      </c>
      <c r="N239" s="33"/>
      <c r="O239" s="33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1.46678079E8</v>
      </c>
      <c r="B240" s="33" t="s">
        <v>558</v>
      </c>
      <c r="C240" s="34">
        <v>1.6831629E7</v>
      </c>
      <c r="D240" s="34">
        <v>2.3326006E7</v>
      </c>
      <c r="E240" s="34">
        <v>3376263.0</v>
      </c>
      <c r="F240" s="34">
        <v>1215131.0</v>
      </c>
      <c r="G240" s="34">
        <v>32770.0</v>
      </c>
      <c r="H240" s="34">
        <v>0.0</v>
      </c>
      <c r="I240" s="34">
        <v>1.736513204E9</v>
      </c>
      <c r="J240" s="34">
        <v>1.76777944E8</v>
      </c>
      <c r="K240" s="34">
        <v>1855.0</v>
      </c>
      <c r="L240" s="33" t="s">
        <v>153</v>
      </c>
      <c r="M240" s="33">
        <v>24.0</v>
      </c>
      <c r="N240" s="33"/>
      <c r="O240" s="33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1">
        <v>1.17526833E8</v>
      </c>
      <c r="B241" s="31" t="s">
        <v>468</v>
      </c>
      <c r="C241" s="32">
        <v>1.6592625E7</v>
      </c>
      <c r="D241" s="32">
        <v>300458.0</v>
      </c>
      <c r="E241" s="32">
        <v>41827.0</v>
      </c>
      <c r="F241" s="32">
        <v>7992.0</v>
      </c>
      <c r="G241" s="32">
        <v>0.0</v>
      </c>
      <c r="H241" s="32">
        <v>0.0</v>
      </c>
      <c r="I241" s="32">
        <v>1.990327091E9</v>
      </c>
      <c r="J241" s="32">
        <v>4219586.0</v>
      </c>
      <c r="K241" s="32">
        <v>2109.0</v>
      </c>
      <c r="L241" s="31" t="s">
        <v>492</v>
      </c>
      <c r="M241" s="31">
        <v>25.0</v>
      </c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1">
        <v>9.3652844E7</v>
      </c>
      <c r="B242" s="31" t="s">
        <v>467</v>
      </c>
      <c r="C242" s="32">
        <v>1.6540056E7</v>
      </c>
      <c r="D242" s="32">
        <v>155776.0</v>
      </c>
      <c r="E242" s="32">
        <v>1024.0</v>
      </c>
      <c r="F242" s="32">
        <v>3171.0</v>
      </c>
      <c r="G242" s="32">
        <v>4808.0</v>
      </c>
      <c r="H242" s="32">
        <v>0.0</v>
      </c>
      <c r="I242" s="32">
        <v>5.55353826E9</v>
      </c>
      <c r="J242" s="32">
        <v>4.93765001E9</v>
      </c>
      <c r="K242" s="32">
        <v>1960.0</v>
      </c>
      <c r="L242" s="31" t="s">
        <v>153</v>
      </c>
      <c r="M242" s="31">
        <v>25.0</v>
      </c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1">
        <v>6.7692991E7</v>
      </c>
      <c r="B243" s="31" t="s">
        <v>284</v>
      </c>
      <c r="C243" s="32">
        <v>1.6446679E7</v>
      </c>
      <c r="D243" s="32">
        <v>5.4749617E7</v>
      </c>
      <c r="E243" s="32">
        <v>2761342.0</v>
      </c>
      <c r="F243" s="32">
        <v>2627590.0</v>
      </c>
      <c r="G243" s="32">
        <v>1340108.0</v>
      </c>
      <c r="H243" s="32">
        <v>0.0</v>
      </c>
      <c r="I243" s="32">
        <v>6.187921199E9</v>
      </c>
      <c r="J243" s="32">
        <v>5.713427787E9</v>
      </c>
      <c r="K243" s="32">
        <v>5047.0</v>
      </c>
      <c r="L243" s="31" t="s">
        <v>147</v>
      </c>
      <c r="M243" s="31">
        <v>25.0</v>
      </c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1.77786882E8</v>
      </c>
      <c r="B244" s="33" t="s">
        <v>242</v>
      </c>
      <c r="C244" s="34">
        <v>1.6421006E7</v>
      </c>
      <c r="D244" s="34">
        <v>734715.0</v>
      </c>
      <c r="E244" s="34">
        <v>2048.0</v>
      </c>
      <c r="F244" s="34">
        <v>6051.0</v>
      </c>
      <c r="G244" s="34">
        <v>33708.0</v>
      </c>
      <c r="H244" s="34">
        <v>0.0</v>
      </c>
      <c r="I244" s="34">
        <v>1.1024901136E10</v>
      </c>
      <c r="J244" s="34">
        <v>7.062626932E9</v>
      </c>
      <c r="K244" s="34">
        <v>2938.0</v>
      </c>
      <c r="L244" s="33" t="s">
        <v>153</v>
      </c>
      <c r="M244" s="33">
        <v>24.0</v>
      </c>
      <c r="N244" s="33"/>
      <c r="O244" s="33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1">
        <v>6.9470044E7</v>
      </c>
      <c r="B245" s="31" t="s">
        <v>504</v>
      </c>
      <c r="C245" s="32">
        <v>1.6382709E7</v>
      </c>
      <c r="D245" s="32">
        <v>5574354.0</v>
      </c>
      <c r="E245" s="32">
        <v>2720243.0</v>
      </c>
      <c r="F245" s="32">
        <v>219997.0</v>
      </c>
      <c r="G245" s="32">
        <v>82155.0</v>
      </c>
      <c r="H245" s="32">
        <v>0.0</v>
      </c>
      <c r="I245" s="32">
        <v>7.616497832E9</v>
      </c>
      <c r="J245" s="32">
        <v>6.476304962E9</v>
      </c>
      <c r="K245" s="32">
        <v>3395.0</v>
      </c>
      <c r="L245" s="31" t="s">
        <v>153</v>
      </c>
      <c r="M245" s="31">
        <v>25.0</v>
      </c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6.8552994E7</v>
      </c>
      <c r="B246" s="33" t="s">
        <v>246</v>
      </c>
      <c r="C246" s="34">
        <v>1.628021E7</v>
      </c>
      <c r="D246" s="34">
        <v>1055186.0</v>
      </c>
      <c r="E246" s="34">
        <v>689492.0</v>
      </c>
      <c r="F246" s="34">
        <v>11356.0</v>
      </c>
      <c r="G246" s="34">
        <v>11638.0</v>
      </c>
      <c r="H246" s="34">
        <v>0.0</v>
      </c>
      <c r="I246" s="34">
        <v>7.938383884E9</v>
      </c>
      <c r="J246" s="34">
        <v>5.375385608E9</v>
      </c>
      <c r="K246" s="34">
        <v>4713.0</v>
      </c>
      <c r="L246" s="33" t="s">
        <v>153</v>
      </c>
      <c r="M246" s="33">
        <v>23.0</v>
      </c>
      <c r="N246" s="33"/>
      <c r="O246" s="33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1.81616674E8</v>
      </c>
      <c r="B247" s="33" t="s">
        <v>247</v>
      </c>
      <c r="C247" s="34">
        <v>1.6034478E7</v>
      </c>
      <c r="D247" s="34">
        <v>-1.0</v>
      </c>
      <c r="E247" s="34">
        <v>0.0</v>
      </c>
      <c r="F247" s="34">
        <v>0.0</v>
      </c>
      <c r="G247" s="34">
        <v>0.0</v>
      </c>
      <c r="H247" s="34">
        <v>0.0</v>
      </c>
      <c r="I247" s="34">
        <v>3.144450284E9</v>
      </c>
      <c r="J247" s="34">
        <v>1.734E9</v>
      </c>
      <c r="K247" s="34">
        <v>954.0</v>
      </c>
      <c r="L247" s="33" t="s">
        <v>153</v>
      </c>
      <c r="M247" s="33">
        <v>23.0</v>
      </c>
      <c r="N247" s="33"/>
      <c r="O247" s="33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1.90203348E8</v>
      </c>
      <c r="B248" s="33" t="s">
        <v>237</v>
      </c>
      <c r="C248" s="34">
        <v>1.587094E7</v>
      </c>
      <c r="D248" s="34">
        <v>943.0</v>
      </c>
      <c r="E248" s="34">
        <v>0.0</v>
      </c>
      <c r="F248" s="34">
        <v>0.0</v>
      </c>
      <c r="G248" s="34">
        <v>0.0</v>
      </c>
      <c r="H248" s="34">
        <v>0.0</v>
      </c>
      <c r="I248" s="34">
        <v>3.64235549E9</v>
      </c>
      <c r="J248" s="34">
        <v>8.17185964E8</v>
      </c>
      <c r="K248" s="34">
        <v>966.0</v>
      </c>
      <c r="L248" s="33" t="s">
        <v>94</v>
      </c>
      <c r="M248" s="33">
        <v>24.0</v>
      </c>
      <c r="N248" s="33"/>
      <c r="O248" s="33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3">
        <v>1.67715529E8</v>
      </c>
      <c r="B249" s="33" t="s">
        <v>257</v>
      </c>
      <c r="C249" s="34">
        <v>1.5429884E7</v>
      </c>
      <c r="D249" s="34">
        <v>45360.0</v>
      </c>
      <c r="E249" s="34">
        <v>0.0</v>
      </c>
      <c r="F249" s="34">
        <v>1832.0</v>
      </c>
      <c r="G249" s="34">
        <v>1352.0</v>
      </c>
      <c r="H249" s="34">
        <v>0.0</v>
      </c>
      <c r="I249" s="34">
        <v>7.768984361E9</v>
      </c>
      <c r="J249" s="34">
        <v>6.044415749E9</v>
      </c>
      <c r="K249" s="34">
        <v>1630.0</v>
      </c>
      <c r="L249" s="33" t="s">
        <v>153</v>
      </c>
      <c r="M249" s="33">
        <v>24.0</v>
      </c>
      <c r="N249" s="33"/>
      <c r="O249" s="33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1">
        <v>1.75281453E8</v>
      </c>
      <c r="B250" s="31" t="s">
        <v>262</v>
      </c>
      <c r="C250" s="32">
        <v>1.5358682E7</v>
      </c>
      <c r="D250" s="32">
        <v>1.200256E7</v>
      </c>
      <c r="E250" s="32">
        <v>1043466.0</v>
      </c>
      <c r="F250" s="32">
        <v>323471.0</v>
      </c>
      <c r="G250" s="32">
        <v>246075.0</v>
      </c>
      <c r="H250" s="32">
        <v>0.0</v>
      </c>
      <c r="I250" s="32">
        <v>3.909257902E9</v>
      </c>
      <c r="J250" s="32">
        <v>2.785644157E9</v>
      </c>
      <c r="K250" s="32">
        <v>12680.0</v>
      </c>
      <c r="L250" s="31" t="s">
        <v>153</v>
      </c>
      <c r="M250" s="31">
        <v>25.0</v>
      </c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1">
        <v>1.80504744E8</v>
      </c>
      <c r="B251" s="31" t="s">
        <v>384</v>
      </c>
      <c r="C251" s="32">
        <v>1.5331908E7</v>
      </c>
      <c r="D251" s="32">
        <v>63296.0</v>
      </c>
      <c r="E251" s="32">
        <v>183910.0</v>
      </c>
      <c r="F251" s="32">
        <v>3864.0</v>
      </c>
      <c r="G251" s="32">
        <v>951.0</v>
      </c>
      <c r="H251" s="32">
        <v>0.0</v>
      </c>
      <c r="I251" s="32">
        <v>1.931650447E9</v>
      </c>
      <c r="J251" s="32">
        <v>3.2E8</v>
      </c>
      <c r="K251" s="32">
        <v>765.0</v>
      </c>
      <c r="L251" s="31" t="s">
        <v>94</v>
      </c>
      <c r="M251" s="31">
        <v>25.0</v>
      </c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1.44056117E8</v>
      </c>
      <c r="B252" s="33" t="s">
        <v>269</v>
      </c>
      <c r="C252" s="34">
        <v>1.5320899E7</v>
      </c>
      <c r="D252" s="34">
        <v>2461596.0</v>
      </c>
      <c r="E252" s="34">
        <v>343917.0</v>
      </c>
      <c r="F252" s="34">
        <v>134161.0</v>
      </c>
      <c r="G252" s="34">
        <v>0.0</v>
      </c>
      <c r="H252" s="34">
        <v>0.0</v>
      </c>
      <c r="I252" s="34">
        <v>2.432379695E9</v>
      </c>
      <c r="J252" s="34">
        <v>1030848.0</v>
      </c>
      <c r="K252" s="34">
        <v>831.0</v>
      </c>
      <c r="L252" s="33" t="s">
        <v>165</v>
      </c>
      <c r="M252" s="33">
        <v>23.0</v>
      </c>
      <c r="N252" s="33"/>
      <c r="O252" s="33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3">
        <v>1.96555794E8</v>
      </c>
      <c r="B253" s="33" t="s">
        <v>261</v>
      </c>
      <c r="C253" s="34">
        <v>1.5033454E7</v>
      </c>
      <c r="D253" s="34">
        <v>112502.0</v>
      </c>
      <c r="E253" s="34">
        <v>0.0</v>
      </c>
      <c r="F253" s="34">
        <v>401.0</v>
      </c>
      <c r="G253" s="34">
        <v>158.0</v>
      </c>
      <c r="H253" s="34">
        <v>0.0</v>
      </c>
      <c r="I253" s="34">
        <v>3.690609554E9</v>
      </c>
      <c r="J253" s="34">
        <v>1.25674129E9</v>
      </c>
      <c r="K253" s="34">
        <v>2495.0</v>
      </c>
      <c r="L253" s="33" t="s">
        <v>94</v>
      </c>
      <c r="M253" s="33">
        <v>23.0</v>
      </c>
      <c r="N253" s="33"/>
      <c r="O253" s="33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1">
        <v>1.44060116E8</v>
      </c>
      <c r="B254" s="31" t="s">
        <v>559</v>
      </c>
      <c r="C254" s="32">
        <v>1.4961261E7</v>
      </c>
      <c r="D254" s="32">
        <v>1332207.0</v>
      </c>
      <c r="E254" s="32">
        <v>1689240.0</v>
      </c>
      <c r="F254" s="32">
        <v>115100.0</v>
      </c>
      <c r="G254" s="32">
        <v>7005.0</v>
      </c>
      <c r="H254" s="32">
        <v>0.0</v>
      </c>
      <c r="I254" s="32">
        <v>2.9342582E9</v>
      </c>
      <c r="J254" s="32">
        <v>0.0</v>
      </c>
      <c r="K254" s="32">
        <v>1684.0</v>
      </c>
      <c r="L254" s="31" t="s">
        <v>411</v>
      </c>
      <c r="M254" s="31">
        <v>25.0</v>
      </c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1">
        <v>1.05661574E8</v>
      </c>
      <c r="B255" s="31" t="s">
        <v>505</v>
      </c>
      <c r="C255" s="32">
        <v>1.4924427E7</v>
      </c>
      <c r="D255" s="32">
        <v>3.0199245E7</v>
      </c>
      <c r="E255" s="32">
        <v>2028234.0</v>
      </c>
      <c r="F255" s="32">
        <v>2070947.0</v>
      </c>
      <c r="G255" s="32">
        <v>324308.0</v>
      </c>
      <c r="H255" s="32">
        <v>0.0</v>
      </c>
      <c r="I255" s="32">
        <v>8.314282671E9</v>
      </c>
      <c r="J255" s="32">
        <v>8.605176133E9</v>
      </c>
      <c r="K255" s="32">
        <v>4973.0</v>
      </c>
      <c r="L255" s="31" t="s">
        <v>153</v>
      </c>
      <c r="M255" s="31">
        <v>25.0</v>
      </c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1.44098997E8</v>
      </c>
      <c r="B256" s="33" t="s">
        <v>437</v>
      </c>
      <c r="C256" s="34">
        <v>1.4853533E7</v>
      </c>
      <c r="D256" s="34">
        <v>1275771.0</v>
      </c>
      <c r="E256" s="34">
        <v>412768.0</v>
      </c>
      <c r="F256" s="34">
        <v>56723.0</v>
      </c>
      <c r="G256" s="34">
        <v>0.0</v>
      </c>
      <c r="H256" s="34">
        <v>0.0</v>
      </c>
      <c r="I256" s="34">
        <v>1.513290932E9</v>
      </c>
      <c r="J256" s="34">
        <v>3047603.0</v>
      </c>
      <c r="K256" s="34">
        <v>1433.0</v>
      </c>
      <c r="L256" s="33" t="s">
        <v>66</v>
      </c>
      <c r="M256" s="33">
        <v>24.0</v>
      </c>
      <c r="N256" s="33"/>
      <c r="O256" s="33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1">
        <v>3.5412124E7</v>
      </c>
      <c r="B257" s="31" t="s">
        <v>560</v>
      </c>
      <c r="C257" s="32">
        <v>1.4801216E7</v>
      </c>
      <c r="D257" s="32">
        <v>6349209.0</v>
      </c>
      <c r="E257" s="32">
        <v>942704.0</v>
      </c>
      <c r="F257" s="32">
        <v>273045.0</v>
      </c>
      <c r="G257" s="32">
        <v>71045.0</v>
      </c>
      <c r="H257" s="32">
        <v>0.0</v>
      </c>
      <c r="I257" s="32">
        <v>3.79947793E8</v>
      </c>
      <c r="J257" s="32">
        <v>0.0</v>
      </c>
      <c r="K257" s="32">
        <v>1052.0</v>
      </c>
      <c r="L257" s="31" t="s">
        <v>540</v>
      </c>
      <c r="M257" s="31">
        <v>25.0</v>
      </c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1.31105326E8</v>
      </c>
      <c r="B258" s="33" t="s">
        <v>271</v>
      </c>
      <c r="C258" s="34">
        <v>1.4730156E7</v>
      </c>
      <c r="D258" s="34">
        <v>52342.0</v>
      </c>
      <c r="E258" s="34">
        <v>0.0</v>
      </c>
      <c r="F258" s="34">
        <v>3649.0</v>
      </c>
      <c r="G258" s="34">
        <v>0.0</v>
      </c>
      <c r="H258" s="34">
        <v>0.0</v>
      </c>
      <c r="I258" s="34">
        <v>7.710830128E9</v>
      </c>
      <c r="J258" s="34">
        <v>9.045134782E9</v>
      </c>
      <c r="K258" s="34">
        <v>1611.0</v>
      </c>
      <c r="L258" s="33" t="s">
        <v>34</v>
      </c>
      <c r="M258" s="33">
        <v>24.0</v>
      </c>
      <c r="N258" s="33"/>
      <c r="O258" s="33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3">
        <v>1.92309473E8</v>
      </c>
      <c r="B259" s="33" t="s">
        <v>270</v>
      </c>
      <c r="C259" s="34">
        <v>1.4679827E7</v>
      </c>
      <c r="D259" s="34">
        <v>-1.0</v>
      </c>
      <c r="E259" s="34">
        <v>0.0</v>
      </c>
      <c r="F259" s="34">
        <v>0.0</v>
      </c>
      <c r="G259" s="34">
        <v>0.0</v>
      </c>
      <c r="H259" s="34">
        <v>0.0</v>
      </c>
      <c r="I259" s="34">
        <v>5.464993445E9</v>
      </c>
      <c r="J259" s="34">
        <v>9.17520522E8</v>
      </c>
      <c r="K259" s="34">
        <v>1219.0</v>
      </c>
      <c r="L259" s="33" t="s">
        <v>153</v>
      </c>
      <c r="M259" s="33">
        <v>24.0</v>
      </c>
      <c r="N259" s="33"/>
      <c r="O259" s="33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1">
        <v>1.37840286E8</v>
      </c>
      <c r="B260" s="31" t="s">
        <v>561</v>
      </c>
      <c r="C260" s="32">
        <v>1.4673934E7</v>
      </c>
      <c r="D260" s="32">
        <v>1124179.0</v>
      </c>
      <c r="E260" s="32">
        <v>402977.0</v>
      </c>
      <c r="F260" s="32">
        <v>85143.0</v>
      </c>
      <c r="G260" s="32">
        <v>0.0</v>
      </c>
      <c r="H260" s="32">
        <v>0.0</v>
      </c>
      <c r="I260" s="32">
        <v>1.475100502E9</v>
      </c>
      <c r="J260" s="32">
        <v>10000.0</v>
      </c>
      <c r="K260" s="32">
        <v>1231.0</v>
      </c>
      <c r="L260" s="31" t="s">
        <v>66</v>
      </c>
      <c r="M260" s="31">
        <v>25.0</v>
      </c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1">
        <v>6.8699875E7</v>
      </c>
      <c r="B261" s="31" t="s">
        <v>562</v>
      </c>
      <c r="C261" s="32">
        <v>1.4668489E7</v>
      </c>
      <c r="D261" s="32">
        <v>1.2637884E7</v>
      </c>
      <c r="E261" s="32">
        <v>2707710.0</v>
      </c>
      <c r="F261" s="32">
        <v>893837.0</v>
      </c>
      <c r="G261" s="32">
        <v>97232.0</v>
      </c>
      <c r="H261" s="32">
        <v>0.0</v>
      </c>
      <c r="I261" s="32">
        <v>9.544886639E9</v>
      </c>
      <c r="J261" s="32">
        <v>6.330961211E9</v>
      </c>
      <c r="K261" s="32">
        <v>4309.0</v>
      </c>
      <c r="L261" s="31" t="s">
        <v>66</v>
      </c>
      <c r="M261" s="31">
        <v>25.0</v>
      </c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1">
        <v>1.06264973E8</v>
      </c>
      <c r="B262" s="31" t="s">
        <v>506</v>
      </c>
      <c r="C262" s="32">
        <v>1.4664073E7</v>
      </c>
      <c r="D262" s="32">
        <v>8880223.0</v>
      </c>
      <c r="E262" s="32">
        <v>1336041.0</v>
      </c>
      <c r="F262" s="32">
        <v>689374.0</v>
      </c>
      <c r="G262" s="32">
        <v>25642.0</v>
      </c>
      <c r="H262" s="32">
        <v>0.0</v>
      </c>
      <c r="I262" s="32">
        <v>4.872191213E9</v>
      </c>
      <c r="J262" s="32">
        <v>2.637422044E9</v>
      </c>
      <c r="K262" s="32">
        <v>13508.0</v>
      </c>
      <c r="L262" s="31" t="s">
        <v>153</v>
      </c>
      <c r="M262" s="31">
        <v>25.0</v>
      </c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3">
        <v>1.67721298E8</v>
      </c>
      <c r="B263" s="33" t="s">
        <v>266</v>
      </c>
      <c r="C263" s="34">
        <v>1.4657201E7</v>
      </c>
      <c r="D263" s="34">
        <v>8847504.0</v>
      </c>
      <c r="E263" s="34">
        <v>1497386.0</v>
      </c>
      <c r="F263" s="34">
        <v>642441.0</v>
      </c>
      <c r="G263" s="34">
        <v>108602.0</v>
      </c>
      <c r="H263" s="34">
        <v>0.0</v>
      </c>
      <c r="I263" s="34">
        <v>1.2062495159E10</v>
      </c>
      <c r="J263" s="34">
        <v>9.287811063E9</v>
      </c>
      <c r="K263" s="34">
        <v>2149.0</v>
      </c>
      <c r="L263" s="33" t="s">
        <v>94</v>
      </c>
      <c r="M263" s="33">
        <v>24.0</v>
      </c>
      <c r="N263" s="33"/>
      <c r="O263" s="33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1.92376835E8</v>
      </c>
      <c r="B264" s="33" t="s">
        <v>272</v>
      </c>
      <c r="C264" s="34">
        <v>1.4568641E7</v>
      </c>
      <c r="D264" s="34">
        <v>-1.0</v>
      </c>
      <c r="E264" s="34">
        <v>0.0</v>
      </c>
      <c r="F264" s="34">
        <v>0.0</v>
      </c>
      <c r="G264" s="34">
        <v>0.0</v>
      </c>
      <c r="H264" s="34">
        <v>0.0</v>
      </c>
      <c r="I264" s="34">
        <v>5.263745478E9</v>
      </c>
      <c r="J264" s="34">
        <v>1.015792167E9</v>
      </c>
      <c r="K264" s="34">
        <v>1241.0</v>
      </c>
      <c r="L264" s="33" t="s">
        <v>153</v>
      </c>
      <c r="M264" s="33">
        <v>24.0</v>
      </c>
      <c r="N264" s="33"/>
      <c r="O264" s="33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3">
        <v>1.83302822E8</v>
      </c>
      <c r="B265" s="33" t="s">
        <v>280</v>
      </c>
      <c r="C265" s="34">
        <v>1.4516162E7</v>
      </c>
      <c r="D265" s="34">
        <v>877526.0</v>
      </c>
      <c r="E265" s="34">
        <v>1168563.0</v>
      </c>
      <c r="F265" s="34">
        <v>64450.0</v>
      </c>
      <c r="G265" s="34">
        <v>4027.0</v>
      </c>
      <c r="H265" s="34">
        <v>0.0</v>
      </c>
      <c r="I265" s="34">
        <v>3.753281024E9</v>
      </c>
      <c r="J265" s="34">
        <v>2.005910997E9</v>
      </c>
      <c r="K265" s="34">
        <v>1302.0</v>
      </c>
      <c r="L265" s="33" t="s">
        <v>153</v>
      </c>
      <c r="M265" s="33">
        <v>24.0</v>
      </c>
      <c r="N265" s="33"/>
      <c r="O265" s="33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1">
        <v>1.43566984E8</v>
      </c>
      <c r="B266" s="31" t="s">
        <v>563</v>
      </c>
      <c r="C266" s="32">
        <v>1.4342887E7</v>
      </c>
      <c r="D266" s="32">
        <v>1.0921597E7</v>
      </c>
      <c r="E266" s="32">
        <v>1047623.0</v>
      </c>
      <c r="F266" s="32">
        <v>813325.0</v>
      </c>
      <c r="G266" s="32">
        <v>58701.0</v>
      </c>
      <c r="H266" s="32">
        <v>0.0</v>
      </c>
      <c r="I266" s="32">
        <v>2.399848718E9</v>
      </c>
      <c r="J266" s="32">
        <v>1.924649E7</v>
      </c>
      <c r="K266" s="32">
        <v>11474.0</v>
      </c>
      <c r="L266" s="31" t="s">
        <v>411</v>
      </c>
      <c r="M266" s="31">
        <v>25.0</v>
      </c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9.0073079E7</v>
      </c>
      <c r="B267" s="33" t="s">
        <v>275</v>
      </c>
      <c r="C267" s="34">
        <v>1.4235182E7</v>
      </c>
      <c r="D267" s="34">
        <v>442264.0</v>
      </c>
      <c r="E267" s="34">
        <v>12587.0</v>
      </c>
      <c r="F267" s="34">
        <v>8707.0</v>
      </c>
      <c r="G267" s="34">
        <v>0.0</v>
      </c>
      <c r="H267" s="34">
        <v>0.0</v>
      </c>
      <c r="I267" s="34">
        <v>1.2072865238E10</v>
      </c>
      <c r="J267" s="34">
        <v>1.404924399E10</v>
      </c>
      <c r="K267" s="34">
        <v>5189.0</v>
      </c>
      <c r="L267" s="33" t="s">
        <v>34</v>
      </c>
      <c r="M267" s="33">
        <v>22.0</v>
      </c>
      <c r="N267" s="33"/>
      <c r="O267" s="33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1.44078795E8</v>
      </c>
      <c r="B268" s="33" t="s">
        <v>263</v>
      </c>
      <c r="C268" s="34">
        <v>1.4077725E7</v>
      </c>
      <c r="D268" s="34">
        <v>508139.0</v>
      </c>
      <c r="E268" s="34">
        <v>622978.0</v>
      </c>
      <c r="F268" s="34">
        <v>40282.0</v>
      </c>
      <c r="G268" s="34">
        <v>5056.0</v>
      </c>
      <c r="H268" s="34">
        <v>0.0</v>
      </c>
      <c r="I268" s="34">
        <v>9971905.0</v>
      </c>
      <c r="J268" s="34">
        <v>3904993.0</v>
      </c>
      <c r="K268" s="34">
        <v>1673.0</v>
      </c>
      <c r="L268" s="33" t="s">
        <v>264</v>
      </c>
      <c r="M268" s="33">
        <v>22.0</v>
      </c>
      <c r="N268" s="33"/>
      <c r="O268" s="33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8.7312053E7</v>
      </c>
      <c r="B269" s="33" t="s">
        <v>279</v>
      </c>
      <c r="C269" s="34">
        <v>1.399864E7</v>
      </c>
      <c r="D269" s="34">
        <v>1422545.0</v>
      </c>
      <c r="E269" s="34">
        <v>137846.0</v>
      </c>
      <c r="F269" s="34">
        <v>11703.0</v>
      </c>
      <c r="G269" s="34">
        <v>0.0</v>
      </c>
      <c r="H269" s="34">
        <v>0.0</v>
      </c>
      <c r="I269" s="34">
        <v>1.1631979703E10</v>
      </c>
      <c r="J269" s="34">
        <v>1.2302695274E10</v>
      </c>
      <c r="K269" s="34">
        <v>6508.0</v>
      </c>
      <c r="L269" s="33" t="s">
        <v>34</v>
      </c>
      <c r="M269" s="33">
        <v>22.0</v>
      </c>
      <c r="N269" s="33"/>
      <c r="O269" s="33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1.59431767E8</v>
      </c>
      <c r="B270" s="33" t="s">
        <v>258</v>
      </c>
      <c r="C270" s="34">
        <v>1.397049E7</v>
      </c>
      <c r="D270" s="34">
        <v>-1.0</v>
      </c>
      <c r="E270" s="34">
        <v>0.0</v>
      </c>
      <c r="F270" s="34">
        <v>0.0</v>
      </c>
      <c r="G270" s="34">
        <v>0.0</v>
      </c>
      <c r="H270" s="34">
        <v>0.0</v>
      </c>
      <c r="I270" s="34">
        <v>2.290424877E9</v>
      </c>
      <c r="J270" s="34">
        <v>5.23812735E8</v>
      </c>
      <c r="K270" s="34">
        <v>715.0</v>
      </c>
      <c r="L270" s="33" t="s">
        <v>153</v>
      </c>
      <c r="M270" s="33">
        <v>24.0</v>
      </c>
      <c r="N270" s="33"/>
      <c r="O270" s="33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7.9098771E7</v>
      </c>
      <c r="B271" s="33" t="s">
        <v>508</v>
      </c>
      <c r="C271" s="34">
        <v>1.3842746E7</v>
      </c>
      <c r="D271" s="34">
        <v>2548139.0</v>
      </c>
      <c r="E271" s="34">
        <v>606164.0</v>
      </c>
      <c r="F271" s="34">
        <v>166025.0</v>
      </c>
      <c r="G271" s="34">
        <v>44126.0</v>
      </c>
      <c r="H271" s="34">
        <v>0.0</v>
      </c>
      <c r="I271" s="34">
        <v>8.824697745E9</v>
      </c>
      <c r="J271" s="34">
        <v>7.593529434E9</v>
      </c>
      <c r="K271" s="34">
        <v>1722.0</v>
      </c>
      <c r="L271" s="33" t="s">
        <v>94</v>
      </c>
      <c r="M271" s="33">
        <v>23.0</v>
      </c>
      <c r="N271" s="33"/>
      <c r="O271" s="33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1.48245743E8</v>
      </c>
      <c r="B272" s="33" t="s">
        <v>484</v>
      </c>
      <c r="C272" s="34">
        <v>1.3842457E7</v>
      </c>
      <c r="D272" s="34">
        <v>2804575.0</v>
      </c>
      <c r="E272" s="34">
        <v>718507.0</v>
      </c>
      <c r="F272" s="34">
        <v>94334.0</v>
      </c>
      <c r="G272" s="34">
        <v>85451.0</v>
      </c>
      <c r="H272" s="34">
        <v>0.0</v>
      </c>
      <c r="I272" s="34">
        <v>1.156579659E9</v>
      </c>
      <c r="J272" s="34">
        <v>0.0</v>
      </c>
      <c r="K272" s="34">
        <v>435.0</v>
      </c>
      <c r="L272" s="33" t="s">
        <v>94</v>
      </c>
      <c r="M272" s="33">
        <v>24.0</v>
      </c>
      <c r="N272" s="33"/>
      <c r="O272" s="33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1.68857269E8</v>
      </c>
      <c r="B273" s="33" t="s">
        <v>273</v>
      </c>
      <c r="C273" s="34">
        <v>1.3701046E7</v>
      </c>
      <c r="D273" s="34">
        <v>6749231.0</v>
      </c>
      <c r="E273" s="34">
        <v>1357929.0</v>
      </c>
      <c r="F273" s="34">
        <v>609241.0</v>
      </c>
      <c r="G273" s="34">
        <v>29545.0</v>
      </c>
      <c r="H273" s="34">
        <v>0.0</v>
      </c>
      <c r="I273" s="34">
        <v>3.752309102E9</v>
      </c>
      <c r="J273" s="34">
        <v>6.62826713E8</v>
      </c>
      <c r="K273" s="34">
        <v>1559.0</v>
      </c>
      <c r="L273" s="33" t="s">
        <v>153</v>
      </c>
      <c r="M273" s="33">
        <v>24.0</v>
      </c>
      <c r="N273" s="33"/>
      <c r="O273" s="33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279559.0</v>
      </c>
      <c r="B274" s="33" t="s">
        <v>564</v>
      </c>
      <c r="C274" s="34">
        <v>1.3669877E7</v>
      </c>
      <c r="D274" s="34">
        <v>306192.0</v>
      </c>
      <c r="E274" s="34">
        <v>260901.0</v>
      </c>
      <c r="F274" s="34">
        <v>26054.0</v>
      </c>
      <c r="G274" s="34">
        <v>1137.0</v>
      </c>
      <c r="H274" s="34">
        <v>0.0</v>
      </c>
      <c r="I274" s="34">
        <v>1.385761144E9</v>
      </c>
      <c r="J274" s="34">
        <v>0.0</v>
      </c>
      <c r="K274" s="34">
        <v>1041.0</v>
      </c>
      <c r="L274" s="33" t="s">
        <v>411</v>
      </c>
      <c r="M274" s="33">
        <v>22.0</v>
      </c>
      <c r="N274" s="33"/>
      <c r="O274" s="33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3">
        <v>1.4404346E8</v>
      </c>
      <c r="B275" s="33" t="s">
        <v>231</v>
      </c>
      <c r="C275" s="34">
        <v>1.3778085E7</v>
      </c>
      <c r="D275" s="34">
        <v>2437612.0</v>
      </c>
      <c r="E275" s="34">
        <v>211067.0</v>
      </c>
      <c r="F275" s="34">
        <v>6083.0</v>
      </c>
      <c r="G275" s="34">
        <v>0.0</v>
      </c>
      <c r="H275" s="34">
        <v>0.0</v>
      </c>
      <c r="I275" s="34">
        <v>1.578665697E9</v>
      </c>
      <c r="J275" s="34">
        <v>0.0</v>
      </c>
      <c r="K275" s="34">
        <v>1218.0</v>
      </c>
      <c r="L275" s="33" t="s">
        <v>66</v>
      </c>
      <c r="M275" s="33">
        <v>24.0</v>
      </c>
      <c r="N275" s="33"/>
      <c r="O275" s="33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1">
        <v>1.68821399E8</v>
      </c>
      <c r="B276" s="31" t="s">
        <v>385</v>
      </c>
      <c r="C276" s="32">
        <v>1.3605562E7</v>
      </c>
      <c r="D276" s="32">
        <v>3357118.0</v>
      </c>
      <c r="E276" s="32">
        <v>1916784.0</v>
      </c>
      <c r="F276" s="32">
        <v>286104.0</v>
      </c>
      <c r="G276" s="32">
        <v>14726.0</v>
      </c>
      <c r="H276" s="32">
        <v>0.0</v>
      </c>
      <c r="I276" s="32">
        <v>8.031907852E9</v>
      </c>
      <c r="J276" s="32">
        <v>4.619081699E9</v>
      </c>
      <c r="K276" s="32">
        <v>1755.0</v>
      </c>
      <c r="L276" s="31" t="s">
        <v>153</v>
      </c>
      <c r="M276" s="31">
        <v>25.0</v>
      </c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1.76614955E8</v>
      </c>
      <c r="B277" s="33" t="s">
        <v>274</v>
      </c>
      <c r="C277" s="34">
        <v>1.3557784E7</v>
      </c>
      <c r="D277" s="34">
        <v>2911595.0</v>
      </c>
      <c r="E277" s="34">
        <v>178776.0</v>
      </c>
      <c r="F277" s="34">
        <v>246985.0</v>
      </c>
      <c r="G277" s="34">
        <v>1.0</v>
      </c>
      <c r="H277" s="34">
        <v>0.0</v>
      </c>
      <c r="I277" s="34">
        <v>1.0016032124E10</v>
      </c>
      <c r="J277" s="34">
        <v>8.197954168E9</v>
      </c>
      <c r="K277" s="34">
        <v>4918.0</v>
      </c>
      <c r="L277" s="33" t="s">
        <v>147</v>
      </c>
      <c r="M277" s="33">
        <v>24.0</v>
      </c>
      <c r="N277" s="33"/>
      <c r="O277" s="33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3">
        <v>8.9432154E7</v>
      </c>
      <c r="B278" s="33" t="s">
        <v>285</v>
      </c>
      <c r="C278" s="34">
        <v>1.3527968E7</v>
      </c>
      <c r="D278" s="34">
        <v>2306854.0</v>
      </c>
      <c r="E278" s="34">
        <v>552580.0</v>
      </c>
      <c r="F278" s="34">
        <v>192874.0</v>
      </c>
      <c r="G278" s="34">
        <v>0.0</v>
      </c>
      <c r="H278" s="34">
        <v>0.0</v>
      </c>
      <c r="I278" s="34">
        <v>1.2002318952E10</v>
      </c>
      <c r="J278" s="34">
        <v>1.3564085239E10</v>
      </c>
      <c r="K278" s="34">
        <v>4614.0</v>
      </c>
      <c r="L278" s="33" t="s">
        <v>34</v>
      </c>
      <c r="M278" s="33">
        <v>22.0</v>
      </c>
      <c r="N278" s="33"/>
      <c r="O278" s="33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1.5265234E8</v>
      </c>
      <c r="B279" s="33" t="s">
        <v>286</v>
      </c>
      <c r="C279" s="34">
        <v>1.349431E7</v>
      </c>
      <c r="D279" s="34">
        <v>3280939.0</v>
      </c>
      <c r="E279" s="34">
        <v>2379037.0</v>
      </c>
      <c r="F279" s="34">
        <v>179178.0</v>
      </c>
      <c r="G279" s="34">
        <v>53452.0</v>
      </c>
      <c r="H279" s="34">
        <v>0.0</v>
      </c>
      <c r="I279" s="34">
        <v>7.919920766E9</v>
      </c>
      <c r="J279" s="34">
        <v>5.840859107E9</v>
      </c>
      <c r="K279" s="34">
        <v>1588.0</v>
      </c>
      <c r="L279" s="33" t="s">
        <v>34</v>
      </c>
      <c r="M279" s="33">
        <v>24.0</v>
      </c>
      <c r="N279" s="33"/>
      <c r="O279" s="33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1.44068518E8</v>
      </c>
      <c r="B280" s="33" t="s">
        <v>565</v>
      </c>
      <c r="C280" s="34">
        <v>1.3482851E7</v>
      </c>
      <c r="D280" s="34">
        <v>535296.0</v>
      </c>
      <c r="E280" s="34">
        <v>54675.0</v>
      </c>
      <c r="F280" s="34">
        <v>33184.0</v>
      </c>
      <c r="G280" s="34">
        <v>0.0</v>
      </c>
      <c r="H280" s="34">
        <v>0.0</v>
      </c>
      <c r="I280" s="34">
        <v>1.711469793E9</v>
      </c>
      <c r="J280" s="34">
        <v>5499335.0</v>
      </c>
      <c r="K280" s="34">
        <v>2623.0</v>
      </c>
      <c r="L280" s="33" t="s">
        <v>66</v>
      </c>
      <c r="M280" s="33">
        <v>23.0</v>
      </c>
      <c r="N280" s="33"/>
      <c r="O280" s="33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1.90414225E8</v>
      </c>
      <c r="B281" s="33" t="s">
        <v>509</v>
      </c>
      <c r="C281" s="34">
        <v>1.3464282E7</v>
      </c>
      <c r="D281" s="34">
        <v>2246854.0</v>
      </c>
      <c r="E281" s="34">
        <v>0.0</v>
      </c>
      <c r="F281" s="34">
        <v>177233.0</v>
      </c>
      <c r="G281" s="34">
        <v>0.0</v>
      </c>
      <c r="H281" s="34">
        <v>0.0</v>
      </c>
      <c r="I281" s="34">
        <v>1.557682911E9</v>
      </c>
      <c r="J281" s="34">
        <v>0.0</v>
      </c>
      <c r="K281" s="34">
        <v>1101.0</v>
      </c>
      <c r="L281" s="33" t="s">
        <v>153</v>
      </c>
      <c r="M281" s="33">
        <v>24.0</v>
      </c>
      <c r="N281" s="33"/>
      <c r="O281" s="33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8.7754003E7</v>
      </c>
      <c r="B282" s="33" t="s">
        <v>470</v>
      </c>
      <c r="C282" s="34">
        <v>1.3323797E7</v>
      </c>
      <c r="D282" s="34">
        <v>478058.0</v>
      </c>
      <c r="E282" s="34">
        <v>11855.0</v>
      </c>
      <c r="F282" s="34">
        <v>9348.0</v>
      </c>
      <c r="G282" s="34">
        <v>0.0</v>
      </c>
      <c r="H282" s="34">
        <v>0.0</v>
      </c>
      <c r="I282" s="34">
        <v>8.491332483E9</v>
      </c>
      <c r="J282" s="34">
        <v>9.381113498E9</v>
      </c>
      <c r="K282" s="34">
        <v>5132.0</v>
      </c>
      <c r="L282" s="33" t="s">
        <v>34</v>
      </c>
      <c r="M282" s="33">
        <v>22.0</v>
      </c>
      <c r="N282" s="33"/>
      <c r="O282" s="33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1.43566987E8</v>
      </c>
      <c r="B283" s="33" t="s">
        <v>476</v>
      </c>
      <c r="C283" s="34">
        <v>1.3295388E7</v>
      </c>
      <c r="D283" s="34">
        <v>3722974.0</v>
      </c>
      <c r="E283" s="34">
        <v>251193.0</v>
      </c>
      <c r="F283" s="34">
        <v>164406.0</v>
      </c>
      <c r="G283" s="34">
        <v>0.0</v>
      </c>
      <c r="H283" s="34">
        <v>0.0</v>
      </c>
      <c r="I283" s="34">
        <v>6.65822284E8</v>
      </c>
      <c r="J283" s="34">
        <v>1.18868156E8</v>
      </c>
      <c r="K283" s="34">
        <v>10243.0</v>
      </c>
      <c r="L283" s="33" t="s">
        <v>66</v>
      </c>
      <c r="M283" s="33">
        <v>24.0</v>
      </c>
      <c r="N283" s="33"/>
      <c r="O283" s="33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1">
        <v>1.69610538E8</v>
      </c>
      <c r="B284" s="31" t="s">
        <v>432</v>
      </c>
      <c r="C284" s="32">
        <v>1.3257076E7</v>
      </c>
      <c r="D284" s="32">
        <v>492926.0</v>
      </c>
      <c r="E284" s="32">
        <v>1569585.0</v>
      </c>
      <c r="F284" s="32">
        <v>4092.0</v>
      </c>
      <c r="G284" s="32">
        <v>21064.0</v>
      </c>
      <c r="H284" s="32">
        <v>0.0</v>
      </c>
      <c r="I284" s="32">
        <v>8.514892723E9</v>
      </c>
      <c r="J284" s="32">
        <v>4.669995414E9</v>
      </c>
      <c r="K284" s="32">
        <v>1466.0</v>
      </c>
      <c r="L284" s="31" t="s">
        <v>94</v>
      </c>
      <c r="M284" s="31">
        <v>25.0</v>
      </c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1.84287725E8</v>
      </c>
      <c r="B285" s="33" t="s">
        <v>233</v>
      </c>
      <c r="C285" s="34">
        <v>1.3198607E7</v>
      </c>
      <c r="D285" s="34">
        <v>173990.0</v>
      </c>
      <c r="E285" s="34">
        <v>0.0</v>
      </c>
      <c r="F285" s="34">
        <v>6551.0</v>
      </c>
      <c r="G285" s="34">
        <v>5424.0</v>
      </c>
      <c r="H285" s="34">
        <v>0.0</v>
      </c>
      <c r="I285" s="34">
        <v>2.969760693E9</v>
      </c>
      <c r="J285" s="34">
        <v>0.0</v>
      </c>
      <c r="K285" s="34">
        <v>619.0</v>
      </c>
      <c r="L285" s="33" t="s">
        <v>94</v>
      </c>
      <c r="M285" s="33">
        <v>23.0</v>
      </c>
      <c r="N285" s="33"/>
      <c r="O285" s="33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1">
        <v>8.7579313E7</v>
      </c>
      <c r="B286" s="31" t="s">
        <v>510</v>
      </c>
      <c r="C286" s="32">
        <v>1.31872E7</v>
      </c>
      <c r="D286" s="32">
        <v>2825806.0</v>
      </c>
      <c r="E286" s="32">
        <v>1274114.0</v>
      </c>
      <c r="F286" s="32">
        <v>128400.0</v>
      </c>
      <c r="G286" s="32">
        <v>41492.0</v>
      </c>
      <c r="H286" s="32">
        <v>0.0</v>
      </c>
      <c r="I286" s="32">
        <v>8.958618912E9</v>
      </c>
      <c r="J286" s="32">
        <v>6.483333966E9</v>
      </c>
      <c r="K286" s="32">
        <v>2370.0</v>
      </c>
      <c r="L286" s="31" t="s">
        <v>66</v>
      </c>
      <c r="M286" s="31">
        <v>25.0</v>
      </c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1.52653457E8</v>
      </c>
      <c r="B287" s="33" t="s">
        <v>287</v>
      </c>
      <c r="C287" s="34">
        <v>1.3172757E7</v>
      </c>
      <c r="D287" s="34">
        <v>3195669.0</v>
      </c>
      <c r="E287" s="34">
        <v>2692068.0</v>
      </c>
      <c r="F287" s="34">
        <v>144359.0</v>
      </c>
      <c r="G287" s="34">
        <v>72708.0</v>
      </c>
      <c r="H287" s="34">
        <v>0.0</v>
      </c>
      <c r="I287" s="34">
        <v>7.906702788E9</v>
      </c>
      <c r="J287" s="34">
        <v>5.796085395E9</v>
      </c>
      <c r="K287" s="34">
        <v>1513.0</v>
      </c>
      <c r="L287" s="33" t="s">
        <v>34</v>
      </c>
      <c r="M287" s="33">
        <v>24.0</v>
      </c>
      <c r="N287" s="33"/>
      <c r="O287" s="33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3">
        <v>8.7531547E7</v>
      </c>
      <c r="B288" s="33" t="s">
        <v>288</v>
      </c>
      <c r="C288" s="34">
        <v>1.316376E7</v>
      </c>
      <c r="D288" s="34">
        <v>1588813.0</v>
      </c>
      <c r="E288" s="34">
        <v>692135.0</v>
      </c>
      <c r="F288" s="34">
        <v>82124.0</v>
      </c>
      <c r="G288" s="34">
        <v>962.0</v>
      </c>
      <c r="H288" s="34">
        <v>0.0</v>
      </c>
      <c r="I288" s="34">
        <v>1.088797859E10</v>
      </c>
      <c r="J288" s="34">
        <v>1.1769149917E10</v>
      </c>
      <c r="K288" s="34">
        <v>4051.0</v>
      </c>
      <c r="L288" s="33" t="s">
        <v>34</v>
      </c>
      <c r="M288" s="33">
        <v>22.0</v>
      </c>
      <c r="N288" s="33"/>
      <c r="O288" s="33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1">
        <v>1.4358749E8</v>
      </c>
      <c r="B289" s="31" t="s">
        <v>566</v>
      </c>
      <c r="C289" s="32">
        <v>1.3058032E7</v>
      </c>
      <c r="D289" s="32">
        <v>3178878.0</v>
      </c>
      <c r="E289" s="32">
        <v>602678.0</v>
      </c>
      <c r="F289" s="32">
        <v>47265.0</v>
      </c>
      <c r="G289" s="32">
        <v>548.0</v>
      </c>
      <c r="H289" s="32">
        <v>0.0</v>
      </c>
      <c r="I289" s="32">
        <v>9.91737981E8</v>
      </c>
      <c r="J289" s="32">
        <v>5295534.0</v>
      </c>
      <c r="K289" s="32">
        <v>5924.0</v>
      </c>
      <c r="L289" s="31" t="s">
        <v>66</v>
      </c>
      <c r="M289" s="31">
        <v>25.0</v>
      </c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1.88084419E8</v>
      </c>
      <c r="B290" s="33" t="s">
        <v>567</v>
      </c>
      <c r="C290" s="34">
        <v>1.2979565E7</v>
      </c>
      <c r="D290" s="34">
        <v>2566037.0</v>
      </c>
      <c r="E290" s="34">
        <v>399331.0</v>
      </c>
      <c r="F290" s="34">
        <v>169779.0</v>
      </c>
      <c r="G290" s="34">
        <v>4764.0</v>
      </c>
      <c r="H290" s="34">
        <v>0.0</v>
      </c>
      <c r="I290" s="34">
        <v>1.664000731E9</v>
      </c>
      <c r="J290" s="34">
        <v>1.040661447E9</v>
      </c>
      <c r="K290" s="34">
        <v>2310.0</v>
      </c>
      <c r="L290" s="33" t="s">
        <v>153</v>
      </c>
      <c r="M290" s="33">
        <v>24.0</v>
      </c>
      <c r="N290" s="33"/>
      <c r="O290" s="33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1.51248241E8</v>
      </c>
      <c r="B291" s="33" t="s">
        <v>290</v>
      </c>
      <c r="C291" s="34">
        <v>1.2944626E7</v>
      </c>
      <c r="D291" s="34">
        <v>1371541.0</v>
      </c>
      <c r="E291" s="34">
        <v>94486.0</v>
      </c>
      <c r="F291" s="34">
        <v>126790.0</v>
      </c>
      <c r="G291" s="34">
        <v>0.0</v>
      </c>
      <c r="H291" s="34">
        <v>0.0</v>
      </c>
      <c r="I291" s="34">
        <v>2.62353652E9</v>
      </c>
      <c r="J291" s="34">
        <v>7.26817496E8</v>
      </c>
      <c r="K291" s="34">
        <v>5887.0</v>
      </c>
      <c r="L291" s="33" t="s">
        <v>94</v>
      </c>
      <c r="M291" s="33">
        <v>24.0</v>
      </c>
      <c r="N291" s="33"/>
      <c r="O291" s="33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2.4777206E7</v>
      </c>
      <c r="B292" s="33" t="s">
        <v>289</v>
      </c>
      <c r="C292" s="34">
        <v>1.2941474E7</v>
      </c>
      <c r="D292" s="34">
        <v>3178989.0</v>
      </c>
      <c r="E292" s="34">
        <v>1435029.0</v>
      </c>
      <c r="F292" s="34">
        <v>52691.0</v>
      </c>
      <c r="G292" s="34">
        <v>90243.0</v>
      </c>
      <c r="H292" s="34">
        <v>0.0</v>
      </c>
      <c r="I292" s="34">
        <v>3.993020731E9</v>
      </c>
      <c r="J292" s="34">
        <v>5.813477761E9</v>
      </c>
      <c r="K292" s="34">
        <v>2571.0</v>
      </c>
      <c r="L292" s="33" t="s">
        <v>153</v>
      </c>
      <c r="M292" s="33">
        <v>23.0</v>
      </c>
      <c r="N292" s="33"/>
      <c r="O292" s="33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1">
        <v>1.80743895E8</v>
      </c>
      <c r="B293" s="31" t="s">
        <v>435</v>
      </c>
      <c r="C293" s="32">
        <v>1.2822934E7</v>
      </c>
      <c r="D293" s="32">
        <v>1283072.0</v>
      </c>
      <c r="E293" s="32">
        <v>1893314.0</v>
      </c>
      <c r="F293" s="32">
        <v>13098.0</v>
      </c>
      <c r="G293" s="32">
        <v>56755.0</v>
      </c>
      <c r="H293" s="32">
        <v>0.0</v>
      </c>
      <c r="I293" s="32">
        <v>4.089676007E9</v>
      </c>
      <c r="J293" s="32">
        <v>3.349477122E9</v>
      </c>
      <c r="K293" s="32">
        <v>1930.0</v>
      </c>
      <c r="L293" s="31" t="s">
        <v>153</v>
      </c>
      <c r="M293" s="31">
        <v>25.0</v>
      </c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4.7157775E7</v>
      </c>
      <c r="B294" s="33" t="s">
        <v>276</v>
      </c>
      <c r="C294" s="34">
        <v>1.2711705E7</v>
      </c>
      <c r="D294" s="34">
        <v>469490.0</v>
      </c>
      <c r="E294" s="34">
        <v>719004.0</v>
      </c>
      <c r="F294" s="34">
        <v>7698.0</v>
      </c>
      <c r="G294" s="34">
        <v>10645.0</v>
      </c>
      <c r="H294" s="34">
        <v>0.0</v>
      </c>
      <c r="I294" s="34">
        <v>2.1069844435E10</v>
      </c>
      <c r="J294" s="34">
        <v>2.0138690131E10</v>
      </c>
      <c r="K294" s="34">
        <v>2675.0</v>
      </c>
      <c r="L294" s="33" t="s">
        <v>153</v>
      </c>
      <c r="M294" s="33">
        <v>24.0</v>
      </c>
      <c r="N294" s="33"/>
      <c r="O294" s="33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1">
        <v>1.79651678E8</v>
      </c>
      <c r="B295" s="31" t="s">
        <v>283</v>
      </c>
      <c r="C295" s="32">
        <v>1.2685404E7</v>
      </c>
      <c r="D295" s="32">
        <v>7946270.0</v>
      </c>
      <c r="E295" s="32">
        <v>1786794.0</v>
      </c>
      <c r="F295" s="32">
        <v>647464.0</v>
      </c>
      <c r="G295" s="32">
        <v>63088.0</v>
      </c>
      <c r="H295" s="32">
        <v>0.0</v>
      </c>
      <c r="I295" s="32">
        <v>5.128986759E9</v>
      </c>
      <c r="J295" s="32">
        <v>3.167058363E9</v>
      </c>
      <c r="K295" s="32">
        <v>2158.0</v>
      </c>
      <c r="L295" s="31" t="s">
        <v>153</v>
      </c>
      <c r="M295" s="31">
        <v>25.0</v>
      </c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7.7397858E7</v>
      </c>
      <c r="B296" s="33" t="s">
        <v>297</v>
      </c>
      <c r="C296" s="34">
        <v>1.2579096E7</v>
      </c>
      <c r="D296" s="34">
        <v>6039713.0</v>
      </c>
      <c r="E296" s="34">
        <v>1121881.0</v>
      </c>
      <c r="F296" s="34">
        <v>295460.0</v>
      </c>
      <c r="G296" s="34">
        <v>51656.0</v>
      </c>
      <c r="H296" s="34">
        <v>0.0</v>
      </c>
      <c r="I296" s="34">
        <v>7.21492209E8</v>
      </c>
      <c r="J296" s="34">
        <v>0.0</v>
      </c>
      <c r="K296" s="34">
        <v>1095.0</v>
      </c>
      <c r="L296" s="33" t="s">
        <v>66</v>
      </c>
      <c r="M296" s="33">
        <v>23.0</v>
      </c>
      <c r="N296" s="33"/>
      <c r="O296" s="33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1.77225071E8</v>
      </c>
      <c r="B297" s="33" t="s">
        <v>298</v>
      </c>
      <c r="C297" s="34">
        <v>1.2542369E7</v>
      </c>
      <c r="D297" s="34">
        <v>1033872.0</v>
      </c>
      <c r="E297" s="34">
        <v>2192960.0</v>
      </c>
      <c r="F297" s="34">
        <v>58320.0</v>
      </c>
      <c r="G297" s="34">
        <v>9575.0</v>
      </c>
      <c r="H297" s="34">
        <v>0.0</v>
      </c>
      <c r="I297" s="34">
        <v>6.017108752E9</v>
      </c>
      <c r="J297" s="34">
        <v>5.163686099E9</v>
      </c>
      <c r="K297" s="34">
        <v>1441.0</v>
      </c>
      <c r="L297" s="33" t="s">
        <v>165</v>
      </c>
      <c r="M297" s="33">
        <v>24.0</v>
      </c>
      <c r="N297" s="33"/>
      <c r="O297" s="33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1">
        <v>1.00844055E8</v>
      </c>
      <c r="B298" s="31" t="s">
        <v>386</v>
      </c>
      <c r="C298" s="32">
        <v>1.2534372E7</v>
      </c>
      <c r="D298" s="32">
        <v>8818085.0</v>
      </c>
      <c r="E298" s="32">
        <v>1945308.0</v>
      </c>
      <c r="F298" s="32">
        <v>815682.0</v>
      </c>
      <c r="G298" s="32">
        <v>22112.0</v>
      </c>
      <c r="H298" s="32">
        <v>0.0</v>
      </c>
      <c r="I298" s="32">
        <v>3.556555896E9</v>
      </c>
      <c r="J298" s="32">
        <v>1.253977396E9</v>
      </c>
      <c r="K298" s="32">
        <v>7444.0</v>
      </c>
      <c r="L298" s="31" t="s">
        <v>165</v>
      </c>
      <c r="M298" s="31">
        <v>25.0</v>
      </c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1.44003473E8</v>
      </c>
      <c r="B299" s="33" t="s">
        <v>295</v>
      </c>
      <c r="C299" s="34">
        <v>1.2522327E7</v>
      </c>
      <c r="D299" s="34">
        <v>2748308.0</v>
      </c>
      <c r="E299" s="34">
        <v>799051.0</v>
      </c>
      <c r="F299" s="34">
        <v>206424.0</v>
      </c>
      <c r="G299" s="34">
        <v>26473.0</v>
      </c>
      <c r="H299" s="34">
        <v>0.0</v>
      </c>
      <c r="I299" s="34">
        <v>6.458922655E9</v>
      </c>
      <c r="J299" s="34">
        <v>3.39326158E9</v>
      </c>
      <c r="K299" s="34">
        <v>2514.0</v>
      </c>
      <c r="L299" s="33" t="s">
        <v>66</v>
      </c>
      <c r="M299" s="33">
        <v>24.0</v>
      </c>
      <c r="N299" s="33"/>
      <c r="O299" s="33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1">
        <v>6.5702055E7</v>
      </c>
      <c r="B300" s="31" t="s">
        <v>302</v>
      </c>
      <c r="C300" s="32">
        <v>1.2366549E7</v>
      </c>
      <c r="D300" s="32">
        <v>506067.0</v>
      </c>
      <c r="E300" s="32">
        <v>795024.0</v>
      </c>
      <c r="F300" s="32">
        <v>25195.0</v>
      </c>
      <c r="G300" s="32">
        <v>3024.0</v>
      </c>
      <c r="H300" s="32">
        <v>0.0</v>
      </c>
      <c r="I300" s="32">
        <v>9.609936067E9</v>
      </c>
      <c r="J300" s="32">
        <v>1.0218488381E10</v>
      </c>
      <c r="K300" s="32">
        <v>2154.0</v>
      </c>
      <c r="L300" s="31" t="s">
        <v>153</v>
      </c>
      <c r="M300" s="31">
        <v>25.0</v>
      </c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1.78759749E8</v>
      </c>
      <c r="B301" s="33" t="s">
        <v>294</v>
      </c>
      <c r="C301" s="34">
        <v>1.2357059E7</v>
      </c>
      <c r="D301" s="34">
        <v>123088.0</v>
      </c>
      <c r="E301" s="34">
        <v>127880.0</v>
      </c>
      <c r="F301" s="34">
        <v>8565.0</v>
      </c>
      <c r="G301" s="34">
        <v>0.0</v>
      </c>
      <c r="H301" s="34">
        <v>0.0</v>
      </c>
      <c r="I301" s="34">
        <v>6.355226233E9</v>
      </c>
      <c r="J301" s="34">
        <v>3.984947511E9</v>
      </c>
      <c r="K301" s="34">
        <v>1458.0</v>
      </c>
      <c r="L301" s="33" t="s">
        <v>153</v>
      </c>
      <c r="M301" s="33">
        <v>24.0</v>
      </c>
      <c r="N301" s="33"/>
      <c r="O301" s="33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K302" si="1">SUM(C2:C301)</f>
        <v>12638712809</v>
      </c>
      <c r="D302" s="36">
        <f t="shared" si="1"/>
        <v>131591255331</v>
      </c>
      <c r="E302" s="36">
        <f t="shared" si="1"/>
        <v>1663076517</v>
      </c>
      <c r="F302" s="36">
        <f t="shared" si="1"/>
        <v>4826795875</v>
      </c>
      <c r="G302" s="36">
        <f t="shared" si="1"/>
        <v>4027957463</v>
      </c>
      <c r="H302" s="36">
        <f t="shared" si="1"/>
        <v>9716602</v>
      </c>
      <c r="I302" s="36">
        <f t="shared" si="1"/>
        <v>2871749837787</v>
      </c>
      <c r="J302" s="36">
        <f t="shared" si="1"/>
        <v>1653466156426</v>
      </c>
      <c r="K302" s="36">
        <f t="shared" si="1"/>
        <v>8799453</v>
      </c>
      <c r="L302" s="35"/>
      <c r="M302" s="35">
        <f>COUNT(M2:M301)</f>
        <v>300</v>
      </c>
      <c r="N302" s="35"/>
      <c r="O302" s="35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M2:M301, "25")</f>
        <v>11591334793</v>
      </c>
      <c r="D303" s="38">
        <f>SUMIFS(D2:D301, M2:M301, "25")</f>
        <v>131413987289</v>
      </c>
      <c r="E303" s="38">
        <f>SUMIFS(E2:E301, M2:M301, "25")</f>
        <v>1622022209</v>
      </c>
      <c r="F303" s="38">
        <f>SUMIFS(F2:F301, M2:M301, "25")</f>
        <v>4816002168</v>
      </c>
      <c r="G303" s="38">
        <f>SUMIFS(G2:G301, M2:M301, "25")</f>
        <v>4026117248</v>
      </c>
      <c r="H303" s="38">
        <f>SUMIFS(H2:H301, M2:M301, "25")</f>
        <v>9716602</v>
      </c>
      <c r="I303" s="38">
        <f>SUMIFS(I2:I301, M2:M301, "25")</f>
        <v>2465038241788</v>
      </c>
      <c r="J303" s="38">
        <f>SUMIFS(J2:J301, M2:M301, "25")</f>
        <v>1353232001491</v>
      </c>
      <c r="K303" s="38">
        <f>SUMIFS(K2:K301, M2:M301, "25")</f>
        <v>8635333</v>
      </c>
      <c r="L303" s="37" t="s">
        <v>363</v>
      </c>
      <c r="M303" s="37">
        <f>COUNTIF(M2:M301,"25")</f>
        <v>236</v>
      </c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21.86"/>
    <col customWidth="1" min="3" max="10" width="18.43"/>
    <col customWidth="1" min="11" max="11" width="12.14"/>
    <col customWidth="1" min="12" max="12" width="22.57"/>
    <col customWidth="1" min="13" max="13" width="13.14"/>
    <col customWidth="1" min="14" max="14" width="14.71"/>
    <col customWidth="1" min="15" max="15" width="55.14"/>
    <col customWidth="1" min="16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8</v>
      </c>
      <c r="G1" s="29" t="s">
        <v>9</v>
      </c>
      <c r="H1" s="29" t="s">
        <v>10</v>
      </c>
      <c r="I1" s="29" t="s">
        <v>11</v>
      </c>
      <c r="J1" s="29" t="s">
        <v>12</v>
      </c>
      <c r="K1" s="29" t="s">
        <v>13</v>
      </c>
      <c r="L1" s="28" t="s">
        <v>14</v>
      </c>
      <c r="M1" s="28" t="s">
        <v>15</v>
      </c>
      <c r="N1" s="28" t="s">
        <v>59</v>
      </c>
      <c r="O1" s="28" t="s">
        <v>60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568</v>
      </c>
      <c r="C2" s="32">
        <v>1.09896341E8</v>
      </c>
      <c r="D2" s="32">
        <v>2.585656746E9</v>
      </c>
      <c r="E2" s="32">
        <v>1.3257287E7</v>
      </c>
      <c r="F2" s="32">
        <v>5.7394407E7</v>
      </c>
      <c r="G2" s="32">
        <v>1.00105844E8</v>
      </c>
      <c r="H2" s="32">
        <v>0.0</v>
      </c>
      <c r="I2" s="32">
        <v>1.6255164869E10</v>
      </c>
      <c r="J2" s="32">
        <v>1.995967435E9</v>
      </c>
      <c r="K2" s="32">
        <v>72561.0</v>
      </c>
      <c r="L2" s="31" t="s">
        <v>147</v>
      </c>
      <c r="M2" s="31">
        <v>25.0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569</v>
      </c>
      <c r="C3" s="32">
        <v>1.03759509E8</v>
      </c>
      <c r="D3" s="32">
        <v>4.15013494E9</v>
      </c>
      <c r="E3" s="32">
        <v>1.7997065E7</v>
      </c>
      <c r="F3" s="32">
        <v>7.3725746E7</v>
      </c>
      <c r="G3" s="32">
        <v>1.70013746E8</v>
      </c>
      <c r="H3" s="32">
        <v>0.0</v>
      </c>
      <c r="I3" s="32">
        <v>3.8070882498E10</v>
      </c>
      <c r="J3" s="32">
        <v>1.4447507139E10</v>
      </c>
      <c r="K3" s="32">
        <v>135482.0</v>
      </c>
      <c r="L3" s="31" t="s">
        <v>147</v>
      </c>
      <c r="M3" s="31">
        <v>25.0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6.3222201E7</v>
      </c>
      <c r="B4" s="31" t="s">
        <v>64</v>
      </c>
      <c r="C4" s="32">
        <v>9.0039366E7</v>
      </c>
      <c r="D4" s="32">
        <v>1.8917797E9</v>
      </c>
      <c r="E4" s="32">
        <v>1.8313369E7</v>
      </c>
      <c r="F4" s="32">
        <v>7.8651691E7</v>
      </c>
      <c r="G4" s="32">
        <v>5.3777095E7</v>
      </c>
      <c r="H4" s="32">
        <v>0.0</v>
      </c>
      <c r="I4" s="32">
        <v>3.24356534E10</v>
      </c>
      <c r="J4" s="32">
        <v>1.1157447834E10</v>
      </c>
      <c r="K4" s="32">
        <v>79424.0</v>
      </c>
      <c r="L4" s="31" t="s">
        <v>147</v>
      </c>
      <c r="M4" s="31">
        <v>25.0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1.45408006E8</v>
      </c>
      <c r="B5" s="31" t="s">
        <v>36</v>
      </c>
      <c r="C5" s="32">
        <v>9.1982115E7</v>
      </c>
      <c r="D5" s="32">
        <v>1.176392777E9</v>
      </c>
      <c r="E5" s="32">
        <v>1.2516189E7</v>
      </c>
      <c r="F5" s="32">
        <v>3.501225E7</v>
      </c>
      <c r="G5" s="32">
        <v>3.9826516E7</v>
      </c>
      <c r="H5" s="32">
        <v>0.0</v>
      </c>
      <c r="I5" s="32">
        <v>1.2002278375E10</v>
      </c>
      <c r="J5" s="32">
        <v>9.7148239E7</v>
      </c>
      <c r="K5" s="32">
        <v>29405.0</v>
      </c>
      <c r="L5" s="31" t="s">
        <v>34</v>
      </c>
      <c r="M5" s="31">
        <v>25.0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6.7873337E7</v>
      </c>
      <c r="B6" s="31" t="s">
        <v>488</v>
      </c>
      <c r="C6" s="32">
        <v>8.8078951E7</v>
      </c>
      <c r="D6" s="32">
        <v>9.67499555E8</v>
      </c>
      <c r="E6" s="32">
        <v>1.0618651E7</v>
      </c>
      <c r="F6" s="32">
        <v>5.4827218E7</v>
      </c>
      <c r="G6" s="32">
        <v>1.8553343E7</v>
      </c>
      <c r="H6" s="32">
        <v>1441005.0</v>
      </c>
      <c r="I6" s="32">
        <v>1.4048561353E10</v>
      </c>
      <c r="J6" s="32">
        <v>2.8592065312E10</v>
      </c>
      <c r="K6" s="32">
        <v>78942.0</v>
      </c>
      <c r="L6" s="31" t="s">
        <v>147</v>
      </c>
      <c r="M6" s="31">
        <v>25.0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2463403.0</v>
      </c>
      <c r="B7" s="31" t="s">
        <v>570</v>
      </c>
      <c r="C7" s="32">
        <v>8.7923458E7</v>
      </c>
      <c r="D7" s="32">
        <v>7.129601593E9</v>
      </c>
      <c r="E7" s="32">
        <v>3.9802061E7</v>
      </c>
      <c r="F7" s="32">
        <v>1.97943381E8</v>
      </c>
      <c r="G7" s="32">
        <v>2.55563348E8</v>
      </c>
      <c r="H7" s="32">
        <v>0.0</v>
      </c>
      <c r="I7" s="32">
        <v>2.947093872E10</v>
      </c>
      <c r="J7" s="32">
        <v>1.0216888909E10</v>
      </c>
      <c r="K7" s="32">
        <v>262402.0</v>
      </c>
      <c r="L7" s="31" t="s">
        <v>147</v>
      </c>
      <c r="M7" s="31">
        <v>25.0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6.4010776E7</v>
      </c>
      <c r="B8" s="31" t="s">
        <v>478</v>
      </c>
      <c r="C8" s="32">
        <v>8.7539687E7</v>
      </c>
      <c r="D8" s="32">
        <v>2.358208628E9</v>
      </c>
      <c r="E8" s="32">
        <v>1.8762582E7</v>
      </c>
      <c r="F8" s="32">
        <v>8.0510823E7</v>
      </c>
      <c r="G8" s="32">
        <v>7.5349352E7</v>
      </c>
      <c r="H8" s="32">
        <v>0.0</v>
      </c>
      <c r="I8" s="32">
        <v>2.0379616195E10</v>
      </c>
      <c r="J8" s="32">
        <v>2.9894679846E10</v>
      </c>
      <c r="K8" s="32">
        <v>106916.0</v>
      </c>
      <c r="L8" s="31" t="s">
        <v>147</v>
      </c>
      <c r="M8" s="31">
        <v>25.0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1.1409556E7</v>
      </c>
      <c r="B9" s="31" t="s">
        <v>402</v>
      </c>
      <c r="C9" s="32">
        <v>8.6532421E7</v>
      </c>
      <c r="D9" s="32">
        <v>5.66770165E8</v>
      </c>
      <c r="E9" s="32">
        <v>1.4864436E7</v>
      </c>
      <c r="F9" s="32">
        <v>3.0738537E7</v>
      </c>
      <c r="G9" s="32">
        <v>1.2090779E7</v>
      </c>
      <c r="H9" s="32">
        <v>0.0</v>
      </c>
      <c r="I9" s="32">
        <v>1.562346408E10</v>
      </c>
      <c r="J9" s="32">
        <v>5.766935771E9</v>
      </c>
      <c r="K9" s="32">
        <v>86545.0</v>
      </c>
      <c r="L9" s="31" t="s">
        <v>147</v>
      </c>
      <c r="M9" s="31">
        <v>25.0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1.69247313E8</v>
      </c>
      <c r="B10" s="31" t="s">
        <v>571</v>
      </c>
      <c r="C10" s="32">
        <v>8.6042695E7</v>
      </c>
      <c r="D10" s="32">
        <v>3.79071832E8</v>
      </c>
      <c r="E10" s="32">
        <v>7217759.0</v>
      </c>
      <c r="F10" s="32">
        <v>1.601162E7</v>
      </c>
      <c r="G10" s="32">
        <v>1.0071068E7</v>
      </c>
      <c r="H10" s="32">
        <v>0.0</v>
      </c>
      <c r="I10" s="32">
        <v>1.8641987123E10</v>
      </c>
      <c r="J10" s="32">
        <v>1.091235465E9</v>
      </c>
      <c r="K10" s="32">
        <v>102894.0</v>
      </c>
      <c r="L10" s="31" t="s">
        <v>147</v>
      </c>
      <c r="M10" s="31">
        <v>25.0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1.15125159E8</v>
      </c>
      <c r="B11" s="31" t="s">
        <v>400</v>
      </c>
      <c r="C11" s="32">
        <v>8.583953E7</v>
      </c>
      <c r="D11" s="32">
        <v>5.94789591E8</v>
      </c>
      <c r="E11" s="32">
        <v>1.0109587E7</v>
      </c>
      <c r="F11" s="32">
        <v>2.3098886E7</v>
      </c>
      <c r="G11" s="32">
        <v>1.7486076E7</v>
      </c>
      <c r="H11" s="32">
        <v>19919.0</v>
      </c>
      <c r="I11" s="32">
        <v>1.2915178927E10</v>
      </c>
      <c r="J11" s="32">
        <v>2.957793162E9</v>
      </c>
      <c r="K11" s="32">
        <v>50166.0</v>
      </c>
      <c r="L11" s="31" t="s">
        <v>147</v>
      </c>
      <c r="M11" s="31">
        <v>25.0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1.1726598E7</v>
      </c>
      <c r="B12" s="31" t="s">
        <v>572</v>
      </c>
      <c r="C12" s="32">
        <v>8.5009831E7</v>
      </c>
      <c r="D12" s="32">
        <v>7.514837859E9</v>
      </c>
      <c r="E12" s="32">
        <v>2.7941848E7</v>
      </c>
      <c r="F12" s="32">
        <v>2.0778009E8</v>
      </c>
      <c r="G12" s="32">
        <v>2.67744853E8</v>
      </c>
      <c r="H12" s="32">
        <v>3821128.0</v>
      </c>
      <c r="I12" s="32">
        <v>2.3035479262E10</v>
      </c>
      <c r="J12" s="32">
        <v>3.0837472752E10</v>
      </c>
      <c r="K12" s="32">
        <v>165364.0</v>
      </c>
      <c r="L12" s="31" t="s">
        <v>147</v>
      </c>
      <c r="M12" s="31">
        <v>25.0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6.7071592E7</v>
      </c>
      <c r="B13" s="31" t="s">
        <v>573</v>
      </c>
      <c r="C13" s="32">
        <v>8.4781121E7</v>
      </c>
      <c r="D13" s="32">
        <v>9.675711142E9</v>
      </c>
      <c r="E13" s="32">
        <v>2.8919741E7</v>
      </c>
      <c r="F13" s="32">
        <v>3.84113919E8</v>
      </c>
      <c r="G13" s="32">
        <v>2.8480619E8</v>
      </c>
      <c r="H13" s="32">
        <v>1804833.0</v>
      </c>
      <c r="I13" s="32">
        <v>3.6932694803E10</v>
      </c>
      <c r="J13" s="32">
        <v>2.4132015882E10</v>
      </c>
      <c r="K13" s="32">
        <v>225681.0</v>
      </c>
      <c r="L13" s="31" t="s">
        <v>147</v>
      </c>
      <c r="M13" s="31">
        <v>25.0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6.2691192E7</v>
      </c>
      <c r="B14" s="31" t="s">
        <v>43</v>
      </c>
      <c r="C14" s="32">
        <v>8.462465E7</v>
      </c>
      <c r="D14" s="32">
        <v>4.61652502E8</v>
      </c>
      <c r="E14" s="32">
        <v>1.8223195E7</v>
      </c>
      <c r="F14" s="32">
        <v>1.0280481E7</v>
      </c>
      <c r="G14" s="32">
        <v>1.7745909E7</v>
      </c>
      <c r="H14" s="32">
        <v>0.0</v>
      </c>
      <c r="I14" s="32">
        <v>2.06272239E10</v>
      </c>
      <c r="J14" s="32">
        <v>6.518529315E9</v>
      </c>
      <c r="K14" s="32">
        <v>85590.0</v>
      </c>
      <c r="L14" s="31" t="s">
        <v>147</v>
      </c>
      <c r="M14" s="31">
        <v>25.0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1.3871553E8</v>
      </c>
      <c r="B15" s="31" t="s">
        <v>62</v>
      </c>
      <c r="C15" s="32">
        <v>8.4541362E7</v>
      </c>
      <c r="D15" s="32">
        <v>8.27729628E8</v>
      </c>
      <c r="E15" s="32">
        <v>1.5336586E7</v>
      </c>
      <c r="F15" s="32">
        <v>2.4567142E7</v>
      </c>
      <c r="G15" s="32">
        <v>2.8353416E7</v>
      </c>
      <c r="H15" s="32">
        <v>0.0</v>
      </c>
      <c r="I15" s="32">
        <v>1.89426014E10</v>
      </c>
      <c r="J15" s="32">
        <v>4.607127866E9</v>
      </c>
      <c r="K15" s="32">
        <v>118886.0</v>
      </c>
      <c r="L15" s="31" t="s">
        <v>147</v>
      </c>
      <c r="M15" s="31">
        <v>25.0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7.7394861E7</v>
      </c>
      <c r="B16" s="31" t="s">
        <v>50</v>
      </c>
      <c r="C16" s="32">
        <v>8.2828199E7</v>
      </c>
      <c r="D16" s="32">
        <v>2.605801785E9</v>
      </c>
      <c r="E16" s="32">
        <v>1.7174859E7</v>
      </c>
      <c r="F16" s="32">
        <v>9.4697858E7</v>
      </c>
      <c r="G16" s="32">
        <v>8.2797653E7</v>
      </c>
      <c r="H16" s="32">
        <v>0.0</v>
      </c>
      <c r="I16" s="32">
        <v>2.7059107102E10</v>
      </c>
      <c r="J16" s="32">
        <v>6.5782871155E10</v>
      </c>
      <c r="K16" s="32">
        <v>183184.0</v>
      </c>
      <c r="L16" s="31" t="s">
        <v>147</v>
      </c>
      <c r="M16" s="31">
        <v>25.0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4.3136267E7</v>
      </c>
      <c r="B17" s="31" t="s">
        <v>65</v>
      </c>
      <c r="C17" s="32">
        <v>8.2406447E7</v>
      </c>
      <c r="D17" s="32">
        <v>2.428584804E9</v>
      </c>
      <c r="E17" s="32">
        <v>2.296527E7</v>
      </c>
      <c r="F17" s="32">
        <v>7.3533858E7</v>
      </c>
      <c r="G17" s="32">
        <v>8.3657192E7</v>
      </c>
      <c r="H17" s="32">
        <v>0.0</v>
      </c>
      <c r="I17" s="32">
        <v>2.8359812291E10</v>
      </c>
      <c r="J17" s="32">
        <v>3.3209575604E10</v>
      </c>
      <c r="K17" s="32">
        <v>99883.0</v>
      </c>
      <c r="L17" s="31" t="s">
        <v>147</v>
      </c>
      <c r="M17" s="31">
        <v>25.0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7.4556991E7</v>
      </c>
      <c r="B18" s="31" t="s">
        <v>204</v>
      </c>
      <c r="C18" s="32">
        <v>8.2148463E7</v>
      </c>
      <c r="D18" s="32">
        <v>2.297498275E9</v>
      </c>
      <c r="E18" s="32">
        <v>1.3203542E7</v>
      </c>
      <c r="F18" s="32">
        <v>5.1687254E7</v>
      </c>
      <c r="G18" s="32">
        <v>8.8725447E7</v>
      </c>
      <c r="H18" s="32">
        <v>0.0</v>
      </c>
      <c r="I18" s="32">
        <v>1.8066450763E10</v>
      </c>
      <c r="J18" s="32">
        <v>5.737943886E9</v>
      </c>
      <c r="K18" s="32">
        <v>125298.0</v>
      </c>
      <c r="L18" s="31" t="s">
        <v>147</v>
      </c>
      <c r="M18" s="31">
        <v>25.0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1.71879011E8</v>
      </c>
      <c r="B19" s="31" t="s">
        <v>80</v>
      </c>
      <c r="C19" s="32">
        <v>8.2097251E7</v>
      </c>
      <c r="D19" s="32">
        <v>3.12884879E8</v>
      </c>
      <c r="E19" s="32">
        <v>2604417.0</v>
      </c>
      <c r="F19" s="32">
        <v>1.0008206E7</v>
      </c>
      <c r="G19" s="32">
        <v>1.0010502E7</v>
      </c>
      <c r="H19" s="32">
        <v>0.0</v>
      </c>
      <c r="I19" s="32">
        <v>1.3974533486E10</v>
      </c>
      <c r="J19" s="32">
        <v>1.688712272E9</v>
      </c>
      <c r="K19" s="32">
        <v>49092.0</v>
      </c>
      <c r="L19" s="31" t="s">
        <v>147</v>
      </c>
      <c r="M19" s="31">
        <v>25.0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7.1152824E7</v>
      </c>
      <c r="B20" s="31" t="s">
        <v>67</v>
      </c>
      <c r="C20" s="32">
        <v>8.1867176E7</v>
      </c>
      <c r="D20" s="32">
        <v>1.78772348E9</v>
      </c>
      <c r="E20" s="32">
        <v>1.7842389E7</v>
      </c>
      <c r="F20" s="32">
        <v>7.2452166E7</v>
      </c>
      <c r="G20" s="32">
        <v>5.1105175E7</v>
      </c>
      <c r="H20" s="32">
        <v>313500.0</v>
      </c>
      <c r="I20" s="32">
        <v>2.4015229872E10</v>
      </c>
      <c r="J20" s="32">
        <v>1.1097140581E10</v>
      </c>
      <c r="K20" s="32">
        <v>56393.0</v>
      </c>
      <c r="L20" s="31" t="s">
        <v>147</v>
      </c>
      <c r="M20" s="31">
        <v>25.0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9.8107237E7</v>
      </c>
      <c r="B21" s="31" t="s">
        <v>68</v>
      </c>
      <c r="C21" s="32">
        <v>8.1559212E7</v>
      </c>
      <c r="D21" s="32">
        <v>2.374515346E9</v>
      </c>
      <c r="E21" s="32">
        <v>1.7180657E7</v>
      </c>
      <c r="F21" s="32">
        <v>6.3468742E7</v>
      </c>
      <c r="G21" s="32">
        <v>8.6778128E7</v>
      </c>
      <c r="H21" s="32">
        <v>0.0</v>
      </c>
      <c r="I21" s="32">
        <v>3.3914561618E10</v>
      </c>
      <c r="J21" s="32">
        <v>1.1077530962E10</v>
      </c>
      <c r="K21" s="32">
        <v>83410.0</v>
      </c>
      <c r="L21" s="31" t="s">
        <v>147</v>
      </c>
      <c r="M21" s="31">
        <v>25.0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2.989016E7</v>
      </c>
      <c r="B22" s="31" t="s">
        <v>399</v>
      </c>
      <c r="C22" s="32">
        <v>8.0834032E7</v>
      </c>
      <c r="D22" s="32">
        <v>7.99068661E8</v>
      </c>
      <c r="E22" s="32">
        <v>3.0167298E7</v>
      </c>
      <c r="F22" s="32">
        <v>2.9943055E7</v>
      </c>
      <c r="G22" s="32">
        <v>2.3159294E7</v>
      </c>
      <c r="H22" s="32">
        <v>0.0</v>
      </c>
      <c r="I22" s="32">
        <v>1.8965016111E10</v>
      </c>
      <c r="J22" s="32">
        <v>5.308872359E9</v>
      </c>
      <c r="K22" s="32">
        <v>62992.0</v>
      </c>
      <c r="L22" s="31" t="s">
        <v>147</v>
      </c>
      <c r="M22" s="31">
        <v>25.0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7.1613822E7</v>
      </c>
      <c r="B23" s="31" t="s">
        <v>69</v>
      </c>
      <c r="C23" s="32">
        <v>7.9733492E7</v>
      </c>
      <c r="D23" s="32">
        <v>2.053664248E9</v>
      </c>
      <c r="E23" s="32">
        <v>2.8637231E7</v>
      </c>
      <c r="F23" s="32">
        <v>7.3716222E7</v>
      </c>
      <c r="G23" s="32">
        <v>6.4293377E7</v>
      </c>
      <c r="H23" s="32">
        <v>0.0</v>
      </c>
      <c r="I23" s="32">
        <v>2.4227580631E10</v>
      </c>
      <c r="J23" s="32">
        <v>6.537284955E9</v>
      </c>
      <c r="K23" s="32">
        <v>103197.0</v>
      </c>
      <c r="L23" s="31" t="s">
        <v>147</v>
      </c>
      <c r="M23" s="31">
        <v>25.0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1.44060837E8</v>
      </c>
      <c r="B24" s="31" t="s">
        <v>442</v>
      </c>
      <c r="C24" s="32">
        <v>7.7842536E7</v>
      </c>
      <c r="D24" s="32">
        <v>3.75605866E8</v>
      </c>
      <c r="E24" s="32">
        <v>1.330877E7</v>
      </c>
      <c r="F24" s="32">
        <v>1.2522385E7</v>
      </c>
      <c r="G24" s="32">
        <v>1.1084884E7</v>
      </c>
      <c r="H24" s="32">
        <v>0.0</v>
      </c>
      <c r="I24" s="32">
        <v>1.1281180724E10</v>
      </c>
      <c r="J24" s="32">
        <v>1.823799305E9</v>
      </c>
      <c r="K24" s="32">
        <v>52050.0</v>
      </c>
      <c r="L24" s="31" t="s">
        <v>147</v>
      </c>
      <c r="M24" s="31">
        <v>25.0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1.6942777E8</v>
      </c>
      <c r="B25" s="31" t="s">
        <v>574</v>
      </c>
      <c r="C25" s="32">
        <v>7.721077E7</v>
      </c>
      <c r="D25" s="32">
        <v>6.53495411E8</v>
      </c>
      <c r="E25" s="32">
        <v>8264886.0</v>
      </c>
      <c r="F25" s="32">
        <v>2.5150634E7</v>
      </c>
      <c r="G25" s="32">
        <v>1.9753247E7</v>
      </c>
      <c r="H25" s="32">
        <v>0.0</v>
      </c>
      <c r="I25" s="32">
        <v>1.7238689571E10</v>
      </c>
      <c r="J25" s="32">
        <v>6.58497086E8</v>
      </c>
      <c r="K25" s="32">
        <v>104075.0</v>
      </c>
      <c r="L25" s="31" t="s">
        <v>147</v>
      </c>
      <c r="M25" s="31">
        <v>25.0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1.44109282E8</v>
      </c>
      <c r="B26" s="31" t="s">
        <v>364</v>
      </c>
      <c r="C26" s="32">
        <v>7.7236239E7</v>
      </c>
      <c r="D26" s="32">
        <v>8.31480081E8</v>
      </c>
      <c r="E26" s="32">
        <v>7577023.0</v>
      </c>
      <c r="F26" s="32">
        <v>3.5626565E7</v>
      </c>
      <c r="G26" s="32">
        <v>2.1655729E7</v>
      </c>
      <c r="H26" s="32">
        <v>0.0</v>
      </c>
      <c r="I26" s="32">
        <v>1.7520847692E10</v>
      </c>
      <c r="J26" s="32">
        <v>3.328200002E9</v>
      </c>
      <c r="K26" s="32">
        <v>69478.0</v>
      </c>
      <c r="L26" s="31" t="s">
        <v>147</v>
      </c>
      <c r="M26" s="31">
        <v>25.0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1.71983336E8</v>
      </c>
      <c r="B27" s="31" t="s">
        <v>408</v>
      </c>
      <c r="C27" s="32">
        <v>7.6682995E7</v>
      </c>
      <c r="D27" s="32">
        <v>2.87287721E8</v>
      </c>
      <c r="E27" s="32">
        <v>4516256.0</v>
      </c>
      <c r="F27" s="32">
        <v>1.1195085E7</v>
      </c>
      <c r="G27" s="32">
        <v>8293618.0</v>
      </c>
      <c r="H27" s="32">
        <v>0.0</v>
      </c>
      <c r="I27" s="32">
        <v>1.3356071437E10</v>
      </c>
      <c r="J27" s="32">
        <v>4.765278491E9</v>
      </c>
      <c r="K27" s="32">
        <v>99075.0</v>
      </c>
      <c r="L27" s="31" t="s">
        <v>147</v>
      </c>
      <c r="M27" s="31">
        <v>25.0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1.69461237E8</v>
      </c>
      <c r="B28" s="31" t="s">
        <v>575</v>
      </c>
      <c r="C28" s="32">
        <v>7.6264744E7</v>
      </c>
      <c r="D28" s="32">
        <v>3.74745396E8</v>
      </c>
      <c r="E28" s="32">
        <v>3863055.0</v>
      </c>
      <c r="F28" s="32">
        <v>2.3104417E7</v>
      </c>
      <c r="G28" s="32">
        <v>5766392.0</v>
      </c>
      <c r="H28" s="32">
        <v>0.0</v>
      </c>
      <c r="I28" s="32">
        <v>3.049820351E9</v>
      </c>
      <c r="J28" s="32">
        <v>1.9898231616E10</v>
      </c>
      <c r="K28" s="32">
        <v>16715.0</v>
      </c>
      <c r="L28" s="31" t="s">
        <v>147</v>
      </c>
      <c r="M28" s="31">
        <v>25.0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1.56479771E8</v>
      </c>
      <c r="B29" s="31" t="s">
        <v>576</v>
      </c>
      <c r="C29" s="32">
        <v>7.5867129E7</v>
      </c>
      <c r="D29" s="32">
        <v>1.524407559E9</v>
      </c>
      <c r="E29" s="32">
        <v>1.0031459E7</v>
      </c>
      <c r="F29" s="32">
        <v>6.6807843E7</v>
      </c>
      <c r="G29" s="32">
        <v>4.0427508E7</v>
      </c>
      <c r="H29" s="32">
        <v>0.0</v>
      </c>
      <c r="I29" s="32">
        <v>1.6024311317E10</v>
      </c>
      <c r="J29" s="32">
        <v>9.793087032E9</v>
      </c>
      <c r="K29" s="32">
        <v>95035.0</v>
      </c>
      <c r="L29" s="31" t="s">
        <v>147</v>
      </c>
      <c r="M29" s="31">
        <v>25.0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1.71503078E8</v>
      </c>
      <c r="B30" s="31" t="s">
        <v>72</v>
      </c>
      <c r="C30" s="32">
        <v>7.5666887E7</v>
      </c>
      <c r="D30" s="32">
        <v>1.065736312E9</v>
      </c>
      <c r="E30" s="32">
        <v>2570880.0</v>
      </c>
      <c r="F30" s="32">
        <v>2.8465873E7</v>
      </c>
      <c r="G30" s="32">
        <v>3.7103071E7</v>
      </c>
      <c r="H30" s="32">
        <v>0.0</v>
      </c>
      <c r="I30" s="32">
        <v>1.7680521651E10</v>
      </c>
      <c r="J30" s="32">
        <v>4.59334847E9</v>
      </c>
      <c r="K30" s="32">
        <v>56354.0</v>
      </c>
      <c r="L30" s="31" t="s">
        <v>147</v>
      </c>
      <c r="M30" s="31">
        <v>25.0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1.4572491E7</v>
      </c>
      <c r="B31" s="31" t="s">
        <v>529</v>
      </c>
      <c r="C31" s="32">
        <v>7.5236168E7</v>
      </c>
      <c r="D31" s="32">
        <v>7.037053918E9</v>
      </c>
      <c r="E31" s="32">
        <v>6.3318543E7</v>
      </c>
      <c r="F31" s="32">
        <v>2.11036344E8</v>
      </c>
      <c r="G31" s="32">
        <v>2.42567074E8</v>
      </c>
      <c r="H31" s="32">
        <v>0.0</v>
      </c>
      <c r="I31" s="32">
        <v>1.9362562577E10</v>
      </c>
      <c r="J31" s="32">
        <v>4.7553874529E10</v>
      </c>
      <c r="K31" s="32">
        <v>178520.0</v>
      </c>
      <c r="L31" s="31" t="s">
        <v>147</v>
      </c>
      <c r="M31" s="31">
        <v>25.0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1.70866748E8</v>
      </c>
      <c r="B32" s="31" t="s">
        <v>97</v>
      </c>
      <c r="C32" s="32">
        <v>7.4684011E7</v>
      </c>
      <c r="D32" s="32">
        <v>4.8575246E8</v>
      </c>
      <c r="E32" s="32">
        <v>4827198.0</v>
      </c>
      <c r="F32" s="32">
        <v>7843006.0</v>
      </c>
      <c r="G32" s="32">
        <v>2.0292266E7</v>
      </c>
      <c r="H32" s="32">
        <v>0.0</v>
      </c>
      <c r="I32" s="32">
        <v>1.3000726135E10</v>
      </c>
      <c r="J32" s="32">
        <v>2.197099314E9</v>
      </c>
      <c r="K32" s="32">
        <v>31458.0</v>
      </c>
      <c r="L32" s="31" t="s">
        <v>147</v>
      </c>
      <c r="M32" s="31">
        <v>25.0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1.41154852E8</v>
      </c>
      <c r="B33" s="31" t="s">
        <v>76</v>
      </c>
      <c r="C33" s="32">
        <v>7.4639665E7</v>
      </c>
      <c r="D33" s="32">
        <v>2.406316835E9</v>
      </c>
      <c r="E33" s="32">
        <v>1.1042862E7</v>
      </c>
      <c r="F33" s="32">
        <v>1.00497226E8</v>
      </c>
      <c r="G33" s="32">
        <v>6.7801083E7</v>
      </c>
      <c r="H33" s="32">
        <v>0.0</v>
      </c>
      <c r="I33" s="32">
        <v>1.5505077918E10</v>
      </c>
      <c r="J33" s="32">
        <v>6.026357245E9</v>
      </c>
      <c r="K33" s="32">
        <v>64789.0</v>
      </c>
      <c r="L33" s="31" t="s">
        <v>147</v>
      </c>
      <c r="M33" s="31">
        <v>25.0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1.66497805E8</v>
      </c>
      <c r="B34" s="31" t="s">
        <v>523</v>
      </c>
      <c r="C34" s="32">
        <v>7.3757866E7</v>
      </c>
      <c r="D34" s="32">
        <v>5.06346527E8</v>
      </c>
      <c r="E34" s="32">
        <v>4846815.0</v>
      </c>
      <c r="F34" s="32">
        <v>2.5296921E7</v>
      </c>
      <c r="G34" s="32">
        <v>1.2138094E7</v>
      </c>
      <c r="H34" s="32">
        <v>0.0</v>
      </c>
      <c r="I34" s="32">
        <v>1.3677624068E10</v>
      </c>
      <c r="J34" s="32">
        <v>3.06763729E8</v>
      </c>
      <c r="K34" s="32">
        <v>52288.0</v>
      </c>
      <c r="L34" s="31" t="s">
        <v>147</v>
      </c>
      <c r="M34" s="31">
        <v>25.0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1.71701107E8</v>
      </c>
      <c r="B35" s="31" t="s">
        <v>73</v>
      </c>
      <c r="C35" s="32">
        <v>7.3753393E7</v>
      </c>
      <c r="D35" s="32">
        <v>4.65247266E8</v>
      </c>
      <c r="E35" s="32">
        <v>2917536.0</v>
      </c>
      <c r="F35" s="32">
        <v>1.7052398E7</v>
      </c>
      <c r="G35" s="32">
        <v>1.4485178E7</v>
      </c>
      <c r="H35" s="32">
        <v>0.0</v>
      </c>
      <c r="I35" s="32">
        <v>9.583754269E9</v>
      </c>
      <c r="J35" s="32">
        <v>3.034918782E9</v>
      </c>
      <c r="K35" s="32">
        <v>22839.0</v>
      </c>
      <c r="L35" s="31" t="s">
        <v>147</v>
      </c>
      <c r="M35" s="31">
        <v>25.0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1.44049878E8</v>
      </c>
      <c r="B36" s="31" t="s">
        <v>127</v>
      </c>
      <c r="C36" s="32">
        <v>7.3439121E7</v>
      </c>
      <c r="D36" s="32">
        <v>2.83659022E8</v>
      </c>
      <c r="E36" s="32">
        <v>7761852.0</v>
      </c>
      <c r="F36" s="32">
        <v>1.1543855E7</v>
      </c>
      <c r="G36" s="32">
        <v>8205398.0</v>
      </c>
      <c r="H36" s="32">
        <v>0.0</v>
      </c>
      <c r="I36" s="32">
        <v>1.0489034087E10</v>
      </c>
      <c r="J36" s="32">
        <v>6.98904E8</v>
      </c>
      <c r="K36" s="32">
        <v>48694.0</v>
      </c>
      <c r="L36" s="31" t="s">
        <v>147</v>
      </c>
      <c r="M36" s="31">
        <v>25.0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1.72041454E8</v>
      </c>
      <c r="B37" s="31" t="s">
        <v>577</v>
      </c>
      <c r="C37" s="32">
        <v>7.2898116E7</v>
      </c>
      <c r="D37" s="32">
        <v>3.71128935E8</v>
      </c>
      <c r="E37" s="32">
        <v>6303346.0</v>
      </c>
      <c r="F37" s="32">
        <v>1.8324424E7</v>
      </c>
      <c r="G37" s="32">
        <v>8729180.0</v>
      </c>
      <c r="H37" s="32">
        <v>0.0</v>
      </c>
      <c r="I37" s="32">
        <v>1.002087208E10</v>
      </c>
      <c r="J37" s="32">
        <v>8.91440618E8</v>
      </c>
      <c r="K37" s="32">
        <v>43342.0</v>
      </c>
      <c r="L37" s="31" t="s">
        <v>147</v>
      </c>
      <c r="M37" s="31">
        <v>25.0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1.71604682E8</v>
      </c>
      <c r="B38" s="31" t="s">
        <v>578</v>
      </c>
      <c r="C38" s="32">
        <v>7.2474059E7</v>
      </c>
      <c r="D38" s="32">
        <v>1.04169481E9</v>
      </c>
      <c r="E38" s="32">
        <v>5056781.0</v>
      </c>
      <c r="F38" s="32">
        <v>4.0437262E7</v>
      </c>
      <c r="G38" s="32">
        <v>2.9949662E7</v>
      </c>
      <c r="H38" s="32">
        <v>0.0</v>
      </c>
      <c r="I38" s="32">
        <v>8.505967857E9</v>
      </c>
      <c r="J38" s="32">
        <v>1.340720264E9</v>
      </c>
      <c r="K38" s="32">
        <v>58314.0</v>
      </c>
      <c r="L38" s="31" t="s">
        <v>147</v>
      </c>
      <c r="M38" s="31">
        <v>25.0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1.6683283E8</v>
      </c>
      <c r="B39" s="31" t="s">
        <v>579</v>
      </c>
      <c r="C39" s="32">
        <v>7.243028E7</v>
      </c>
      <c r="D39" s="32">
        <v>1.013415893E9</v>
      </c>
      <c r="E39" s="32">
        <v>3790649.0</v>
      </c>
      <c r="F39" s="32">
        <v>4.83294E7</v>
      </c>
      <c r="G39" s="32">
        <v>2.5784209E7</v>
      </c>
      <c r="H39" s="32">
        <v>0.0</v>
      </c>
      <c r="I39" s="32">
        <v>1.52137898E10</v>
      </c>
      <c r="J39" s="32">
        <v>1.337771804E9</v>
      </c>
      <c r="K39" s="32">
        <v>128209.0</v>
      </c>
      <c r="L39" s="31" t="s">
        <v>147</v>
      </c>
      <c r="M39" s="31">
        <v>25.0</v>
      </c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1.40009179E8</v>
      </c>
      <c r="B40" s="31" t="s">
        <v>403</v>
      </c>
      <c r="C40" s="32">
        <v>7.237935E7</v>
      </c>
      <c r="D40" s="32">
        <v>1.039163439E9</v>
      </c>
      <c r="E40" s="32">
        <v>1.0543562E7</v>
      </c>
      <c r="F40" s="32">
        <v>5.8790027E7</v>
      </c>
      <c r="G40" s="32">
        <v>2.1885816E7</v>
      </c>
      <c r="H40" s="32">
        <v>0.0</v>
      </c>
      <c r="I40" s="32">
        <v>1.3817083709E10</v>
      </c>
      <c r="J40" s="32">
        <v>2.574764229E9</v>
      </c>
      <c r="K40" s="32">
        <v>35683.0</v>
      </c>
      <c r="L40" s="31" t="s">
        <v>147</v>
      </c>
      <c r="M40" s="31">
        <v>25.0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1.36378574E8</v>
      </c>
      <c r="B41" s="31" t="s">
        <v>401</v>
      </c>
      <c r="C41" s="32">
        <v>7.1904357E7</v>
      </c>
      <c r="D41" s="32">
        <v>5.98467976E8</v>
      </c>
      <c r="E41" s="32">
        <v>6823289.0</v>
      </c>
      <c r="F41" s="32">
        <v>2.979345E7</v>
      </c>
      <c r="G41" s="32">
        <v>1.4389592E7</v>
      </c>
      <c r="H41" s="32">
        <v>0.0</v>
      </c>
      <c r="I41" s="32">
        <v>1.9170558889E10</v>
      </c>
      <c r="J41" s="32">
        <v>9.741231848E9</v>
      </c>
      <c r="K41" s="32">
        <v>27123.0</v>
      </c>
      <c r="L41" s="31" t="s">
        <v>147</v>
      </c>
      <c r="M41" s="31">
        <v>25.0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7887352.0</v>
      </c>
      <c r="B42" s="31" t="s">
        <v>83</v>
      </c>
      <c r="C42" s="32">
        <v>7.1650726E7</v>
      </c>
      <c r="D42" s="32">
        <v>2.17159438E9</v>
      </c>
      <c r="E42" s="32">
        <v>1.6550764E7</v>
      </c>
      <c r="F42" s="32">
        <v>6.9695329E7</v>
      </c>
      <c r="G42" s="32">
        <v>7.3141987E7</v>
      </c>
      <c r="H42" s="32">
        <v>0.0</v>
      </c>
      <c r="I42" s="32">
        <v>1.6526098767E10</v>
      </c>
      <c r="J42" s="32">
        <v>1.2713533366E10</v>
      </c>
      <c r="K42" s="32">
        <v>45711.0</v>
      </c>
      <c r="L42" s="31" t="s">
        <v>34</v>
      </c>
      <c r="M42" s="31">
        <v>25.0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1.66871338E8</v>
      </c>
      <c r="B43" s="31" t="s">
        <v>78</v>
      </c>
      <c r="C43" s="32">
        <v>7.105759E7</v>
      </c>
      <c r="D43" s="32">
        <v>9.04915019E8</v>
      </c>
      <c r="E43" s="32">
        <v>5666936.0</v>
      </c>
      <c r="F43" s="32">
        <v>5.8330892E7</v>
      </c>
      <c r="G43" s="32">
        <v>1.4082384E7</v>
      </c>
      <c r="H43" s="32">
        <v>0.0</v>
      </c>
      <c r="I43" s="32">
        <v>8.361889201E9</v>
      </c>
      <c r="J43" s="32">
        <v>3.097290499E9</v>
      </c>
      <c r="K43" s="32">
        <v>45155.0</v>
      </c>
      <c r="L43" s="31" t="s">
        <v>147</v>
      </c>
      <c r="M43" s="31">
        <v>25.0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1.71972257E8</v>
      </c>
      <c r="B44" s="31" t="s">
        <v>90</v>
      </c>
      <c r="C44" s="32">
        <v>7.0624353E7</v>
      </c>
      <c r="D44" s="32">
        <v>5.62690007E8</v>
      </c>
      <c r="E44" s="32">
        <v>4545871.0</v>
      </c>
      <c r="F44" s="32">
        <v>2.2605372E7</v>
      </c>
      <c r="G44" s="32">
        <v>1.6060459E7</v>
      </c>
      <c r="H44" s="32">
        <v>0.0</v>
      </c>
      <c r="I44" s="32">
        <v>1.2698874505E10</v>
      </c>
      <c r="J44" s="32">
        <v>2.901253098E9</v>
      </c>
      <c r="K44" s="32">
        <v>16003.0</v>
      </c>
      <c r="L44" s="31" t="s">
        <v>147</v>
      </c>
      <c r="M44" s="31">
        <v>25.0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1.69446634E8</v>
      </c>
      <c r="B45" s="31" t="s">
        <v>405</v>
      </c>
      <c r="C45" s="32">
        <v>7.0601444E7</v>
      </c>
      <c r="D45" s="32">
        <v>2.52154598E8</v>
      </c>
      <c r="E45" s="32">
        <v>8239052.0</v>
      </c>
      <c r="F45" s="32">
        <v>9684648.0</v>
      </c>
      <c r="G45" s="32">
        <v>7668039.0</v>
      </c>
      <c r="H45" s="32">
        <v>0.0</v>
      </c>
      <c r="I45" s="32">
        <v>1.0490327042E10</v>
      </c>
      <c r="J45" s="32">
        <v>2.6468178E8</v>
      </c>
      <c r="K45" s="32">
        <v>49741.0</v>
      </c>
      <c r="L45" s="31" t="s">
        <v>147</v>
      </c>
      <c r="M45" s="31">
        <v>25.0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1.20029911E8</v>
      </c>
      <c r="B46" s="31" t="s">
        <v>79</v>
      </c>
      <c r="C46" s="32">
        <v>7.0416496E7</v>
      </c>
      <c r="D46" s="32">
        <v>8.38856406E8</v>
      </c>
      <c r="E46" s="32">
        <v>1.0191882E7</v>
      </c>
      <c r="F46" s="32">
        <v>4.1877723E7</v>
      </c>
      <c r="G46" s="32">
        <v>1.9392116E7</v>
      </c>
      <c r="H46" s="32">
        <v>135423.0</v>
      </c>
      <c r="I46" s="32">
        <v>1.0072532588E10</v>
      </c>
      <c r="J46" s="32">
        <v>1.6475034312E10</v>
      </c>
      <c r="K46" s="32">
        <v>52453.0</v>
      </c>
      <c r="L46" s="31" t="s">
        <v>147</v>
      </c>
      <c r="M46" s="31">
        <v>25.0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1.71491377E8</v>
      </c>
      <c r="B47" s="31" t="s">
        <v>84</v>
      </c>
      <c r="C47" s="32">
        <v>7.0176779E7</v>
      </c>
      <c r="D47" s="32">
        <v>3.62277925E8</v>
      </c>
      <c r="E47" s="32">
        <v>2994836.0</v>
      </c>
      <c r="F47" s="32">
        <v>9292633.0</v>
      </c>
      <c r="G47" s="32">
        <v>1.3350653E7</v>
      </c>
      <c r="H47" s="32">
        <v>0.0</v>
      </c>
      <c r="I47" s="32">
        <v>1.1744023608E10</v>
      </c>
      <c r="J47" s="32">
        <v>1.009290782E9</v>
      </c>
      <c r="K47" s="32">
        <v>51121.0</v>
      </c>
      <c r="L47" s="31" t="s">
        <v>147</v>
      </c>
      <c r="M47" s="31">
        <v>25.0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1.5633938E8</v>
      </c>
      <c r="B48" s="31" t="s">
        <v>580</v>
      </c>
      <c r="C48" s="32">
        <v>6.9977178E7</v>
      </c>
      <c r="D48" s="32">
        <v>5.26001072E8</v>
      </c>
      <c r="E48" s="32">
        <v>7810040.0</v>
      </c>
      <c r="F48" s="32">
        <v>2.7221149E7</v>
      </c>
      <c r="G48" s="32">
        <v>1.1333011E7</v>
      </c>
      <c r="H48" s="32">
        <v>0.0</v>
      </c>
      <c r="I48" s="32">
        <v>1.4902384194E10</v>
      </c>
      <c r="J48" s="32">
        <v>3.379929486E9</v>
      </c>
      <c r="K48" s="32">
        <v>116786.0</v>
      </c>
      <c r="L48" s="31" t="s">
        <v>147</v>
      </c>
      <c r="M48" s="31">
        <v>25.0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1.72033754E8</v>
      </c>
      <c r="B49" s="31" t="s">
        <v>92</v>
      </c>
      <c r="C49" s="32">
        <v>6.9708547E7</v>
      </c>
      <c r="D49" s="32">
        <v>3.10231381E8</v>
      </c>
      <c r="E49" s="32">
        <v>5612575.0</v>
      </c>
      <c r="F49" s="32">
        <v>1.2498368E7</v>
      </c>
      <c r="G49" s="32">
        <v>8745931.0</v>
      </c>
      <c r="H49" s="32">
        <v>0.0</v>
      </c>
      <c r="I49" s="32">
        <v>1.0190418841E10</v>
      </c>
      <c r="J49" s="32">
        <v>5.54324768E8</v>
      </c>
      <c r="K49" s="32">
        <v>32381.0</v>
      </c>
      <c r="L49" s="31" t="s">
        <v>147</v>
      </c>
      <c r="M49" s="31">
        <v>25.0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1.68923934E8</v>
      </c>
      <c r="B50" s="31" t="s">
        <v>98</v>
      </c>
      <c r="C50" s="32">
        <v>6.9395925E7</v>
      </c>
      <c r="D50" s="32">
        <v>5.56350605E8</v>
      </c>
      <c r="E50" s="32">
        <v>4142651.0</v>
      </c>
      <c r="F50" s="32">
        <v>2.0848575E7</v>
      </c>
      <c r="G50" s="32">
        <v>1.5252481E7</v>
      </c>
      <c r="H50" s="32">
        <v>0.0</v>
      </c>
      <c r="I50" s="32">
        <v>7.083243158E9</v>
      </c>
      <c r="J50" s="32">
        <v>4.28381842E8</v>
      </c>
      <c r="K50" s="32">
        <v>29332.0</v>
      </c>
      <c r="L50" s="31" t="s">
        <v>147</v>
      </c>
      <c r="M50" s="31">
        <v>25.0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1.71982346E8</v>
      </c>
      <c r="B51" s="31" t="s">
        <v>409</v>
      </c>
      <c r="C51" s="32">
        <v>6.9262812E7</v>
      </c>
      <c r="D51" s="32">
        <v>9.4657889E7</v>
      </c>
      <c r="E51" s="32">
        <v>3207492.0</v>
      </c>
      <c r="F51" s="32">
        <v>3740631.0</v>
      </c>
      <c r="G51" s="32">
        <v>2831639.0</v>
      </c>
      <c r="H51" s="32">
        <v>0.0</v>
      </c>
      <c r="I51" s="32">
        <v>6.30987232E9</v>
      </c>
      <c r="J51" s="32">
        <v>6.3818604E7</v>
      </c>
      <c r="K51" s="32">
        <v>21898.0</v>
      </c>
      <c r="L51" s="31" t="s">
        <v>147</v>
      </c>
      <c r="M51" s="31">
        <v>25.0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1.71355737E8</v>
      </c>
      <c r="B52" s="31" t="s">
        <v>581</v>
      </c>
      <c r="C52" s="32">
        <v>6.8672133E7</v>
      </c>
      <c r="D52" s="32">
        <v>3.55644809E8</v>
      </c>
      <c r="E52" s="32">
        <v>3602321.0</v>
      </c>
      <c r="F52" s="32">
        <v>1.5495195E7</v>
      </c>
      <c r="G52" s="32">
        <v>9979354.0</v>
      </c>
      <c r="H52" s="32">
        <v>0.0</v>
      </c>
      <c r="I52" s="32">
        <v>1.293149525E10</v>
      </c>
      <c r="J52" s="32">
        <v>6.864546118E9</v>
      </c>
      <c r="K52" s="32">
        <v>74885.0</v>
      </c>
      <c r="L52" s="31" t="s">
        <v>147</v>
      </c>
      <c r="M52" s="31">
        <v>25.0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1.69326547E8</v>
      </c>
      <c r="B53" s="31" t="s">
        <v>582</v>
      </c>
      <c r="C53" s="32">
        <v>6.7750903E7</v>
      </c>
      <c r="D53" s="32">
        <v>2.895537851E9</v>
      </c>
      <c r="E53" s="32">
        <v>7970493.0</v>
      </c>
      <c r="F53" s="32">
        <v>8.7131062E7</v>
      </c>
      <c r="G53" s="32">
        <v>9.9318104E7</v>
      </c>
      <c r="H53" s="32">
        <v>0.0</v>
      </c>
      <c r="I53" s="32">
        <v>1.0108120446E10</v>
      </c>
      <c r="J53" s="32">
        <v>9.36898285E9</v>
      </c>
      <c r="K53" s="32">
        <v>113651.0</v>
      </c>
      <c r="L53" s="31" t="s">
        <v>147</v>
      </c>
      <c r="M53" s="31">
        <v>25.0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1.66110884E8</v>
      </c>
      <c r="B54" s="31" t="s">
        <v>583</v>
      </c>
      <c r="C54" s="32">
        <v>6.7696347E7</v>
      </c>
      <c r="D54" s="32">
        <v>7.87954583E8</v>
      </c>
      <c r="E54" s="32">
        <v>6225085.0</v>
      </c>
      <c r="F54" s="32">
        <v>3.1210397E7</v>
      </c>
      <c r="G54" s="32">
        <v>2.1625551E7</v>
      </c>
      <c r="H54" s="32">
        <v>0.0</v>
      </c>
      <c r="I54" s="32">
        <v>8.108780636E9</v>
      </c>
      <c r="J54" s="32">
        <v>3.534684682E9</v>
      </c>
      <c r="K54" s="32">
        <v>66276.0</v>
      </c>
      <c r="L54" s="31" t="s">
        <v>147</v>
      </c>
      <c r="M54" s="31">
        <v>25.0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1.77526978E8</v>
      </c>
      <c r="B55" s="31" t="s">
        <v>74</v>
      </c>
      <c r="C55" s="32">
        <v>6.76925E7</v>
      </c>
      <c r="D55" s="32">
        <v>9.2779966E7</v>
      </c>
      <c r="E55" s="32">
        <v>3007809.0</v>
      </c>
      <c r="F55" s="32">
        <v>3458011.0</v>
      </c>
      <c r="G55" s="32">
        <v>2772916.0</v>
      </c>
      <c r="H55" s="32">
        <v>0.0</v>
      </c>
      <c r="I55" s="32">
        <v>8.418621757E9</v>
      </c>
      <c r="J55" s="32">
        <v>7.881382248E9</v>
      </c>
      <c r="K55" s="32">
        <v>22968.0</v>
      </c>
      <c r="L55" s="31" t="s">
        <v>147</v>
      </c>
      <c r="M55" s="31">
        <v>25.0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1.46428825E8</v>
      </c>
      <c r="B56" s="31" t="s">
        <v>584</v>
      </c>
      <c r="C56" s="32">
        <v>6.7165197E7</v>
      </c>
      <c r="D56" s="32">
        <v>1.595034768E9</v>
      </c>
      <c r="E56" s="32">
        <v>9321904.0</v>
      </c>
      <c r="F56" s="32">
        <v>5.5296195E7</v>
      </c>
      <c r="G56" s="32">
        <v>5.1560762E7</v>
      </c>
      <c r="H56" s="32">
        <v>0.0</v>
      </c>
      <c r="I56" s="32">
        <v>2.5170596823E10</v>
      </c>
      <c r="J56" s="32">
        <v>9.041568877E9</v>
      </c>
      <c r="K56" s="32">
        <v>132009.0</v>
      </c>
      <c r="L56" s="31" t="s">
        <v>147</v>
      </c>
      <c r="M56" s="31">
        <v>25.0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1.43528266E8</v>
      </c>
      <c r="B57" s="31" t="s">
        <v>585</v>
      </c>
      <c r="C57" s="32">
        <v>6.6676392E7</v>
      </c>
      <c r="D57" s="32">
        <v>2.82288891E8</v>
      </c>
      <c r="E57" s="32">
        <v>6363206.0</v>
      </c>
      <c r="F57" s="32">
        <v>1.5916863E7</v>
      </c>
      <c r="G57" s="32">
        <v>5812448.0</v>
      </c>
      <c r="H57" s="32">
        <v>0.0</v>
      </c>
      <c r="I57" s="32">
        <v>1.2125930402E10</v>
      </c>
      <c r="J57" s="32">
        <v>8.82515494E8</v>
      </c>
      <c r="K57" s="32">
        <v>76222.0</v>
      </c>
      <c r="L57" s="31" t="s">
        <v>66</v>
      </c>
      <c r="M57" s="31">
        <v>25.0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1.68839111E8</v>
      </c>
      <c r="B58" s="31" t="s">
        <v>101</v>
      </c>
      <c r="C58" s="32">
        <v>6.6472376E7</v>
      </c>
      <c r="D58" s="32">
        <v>3.31437409E8</v>
      </c>
      <c r="E58" s="32">
        <v>3926544.0</v>
      </c>
      <c r="F58" s="32">
        <v>2.1247313E7</v>
      </c>
      <c r="G58" s="32">
        <v>5507855.0</v>
      </c>
      <c r="H58" s="32">
        <v>0.0</v>
      </c>
      <c r="I58" s="32">
        <v>1.3486013955E10</v>
      </c>
      <c r="J58" s="32">
        <v>2.751985477E9</v>
      </c>
      <c r="K58" s="32">
        <v>35954.0</v>
      </c>
      <c r="L58" s="31" t="s">
        <v>147</v>
      </c>
      <c r="M58" s="31">
        <v>25.0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1.55534128E8</v>
      </c>
      <c r="B59" s="31" t="s">
        <v>105</v>
      </c>
      <c r="C59" s="32">
        <v>6.6454649E7</v>
      </c>
      <c r="D59" s="32">
        <v>1.000110292E9</v>
      </c>
      <c r="E59" s="32">
        <v>7861012.0</v>
      </c>
      <c r="F59" s="32">
        <v>3.7121656E7</v>
      </c>
      <c r="G59" s="32">
        <v>3.0753436E7</v>
      </c>
      <c r="H59" s="32">
        <v>0.0</v>
      </c>
      <c r="I59" s="32">
        <v>7.821283281E9</v>
      </c>
      <c r="J59" s="32">
        <v>9.07037441E8</v>
      </c>
      <c r="K59" s="32">
        <v>50218.0</v>
      </c>
      <c r="L59" s="31" t="s">
        <v>147</v>
      </c>
      <c r="M59" s="31">
        <v>25.0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1.72021868E8</v>
      </c>
      <c r="B60" s="31" t="s">
        <v>586</v>
      </c>
      <c r="C60" s="32">
        <v>6.635E7</v>
      </c>
      <c r="D60" s="32">
        <v>6.52781798E8</v>
      </c>
      <c r="E60" s="32">
        <v>3185545.0</v>
      </c>
      <c r="F60" s="32">
        <v>1.3843441E7</v>
      </c>
      <c r="G60" s="32">
        <v>2.5512583E7</v>
      </c>
      <c r="H60" s="32">
        <v>0.0</v>
      </c>
      <c r="I60" s="32">
        <v>9.136541353E9</v>
      </c>
      <c r="J60" s="32">
        <v>1.18770917E9</v>
      </c>
      <c r="K60" s="32">
        <v>66011.0</v>
      </c>
      <c r="L60" s="31" t="s">
        <v>147</v>
      </c>
      <c r="M60" s="31">
        <v>25.0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5.524249E7</v>
      </c>
      <c r="B61" s="31" t="s">
        <v>88</v>
      </c>
      <c r="C61" s="32">
        <v>6.6034124E7</v>
      </c>
      <c r="D61" s="32">
        <v>7.9269562E8</v>
      </c>
      <c r="E61" s="32">
        <v>1.0003145E7</v>
      </c>
      <c r="F61" s="32">
        <v>2.1986973E7</v>
      </c>
      <c r="G61" s="32">
        <v>2.6830528E7</v>
      </c>
      <c r="H61" s="32">
        <v>0.0</v>
      </c>
      <c r="I61" s="32">
        <v>1.25916625E10</v>
      </c>
      <c r="J61" s="32">
        <v>3.11576093E9</v>
      </c>
      <c r="K61" s="32">
        <v>49591.0</v>
      </c>
      <c r="L61" s="31" t="s">
        <v>147</v>
      </c>
      <c r="M61" s="31">
        <v>25.0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1.71806191E8</v>
      </c>
      <c r="B62" s="31" t="s">
        <v>443</v>
      </c>
      <c r="C62" s="32">
        <v>6.4707478E7</v>
      </c>
      <c r="D62" s="32">
        <v>2.01096519E8</v>
      </c>
      <c r="E62" s="32">
        <v>2535139.0</v>
      </c>
      <c r="F62" s="32">
        <v>6778926.0</v>
      </c>
      <c r="G62" s="32">
        <v>6596215.0</v>
      </c>
      <c r="H62" s="32">
        <v>0.0</v>
      </c>
      <c r="I62" s="32">
        <v>9.088102746E9</v>
      </c>
      <c r="J62" s="32">
        <v>1.05560939E8</v>
      </c>
      <c r="K62" s="32">
        <v>17507.0</v>
      </c>
      <c r="L62" s="31" t="s">
        <v>34</v>
      </c>
      <c r="M62" s="31">
        <v>25.0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1.19051033E8</v>
      </c>
      <c r="B63" s="31" t="s">
        <v>533</v>
      </c>
      <c r="C63" s="32">
        <v>6.430634E7</v>
      </c>
      <c r="D63" s="32">
        <v>6.03136147E8</v>
      </c>
      <c r="E63" s="32">
        <v>1.4969585E7</v>
      </c>
      <c r="F63" s="32">
        <v>3.9165818E7</v>
      </c>
      <c r="G63" s="32">
        <v>8857531.0</v>
      </c>
      <c r="H63" s="32">
        <v>87571.0</v>
      </c>
      <c r="I63" s="32">
        <v>1.2615585086E10</v>
      </c>
      <c r="J63" s="32">
        <v>6.536030653E9</v>
      </c>
      <c r="K63" s="32">
        <v>89860.0</v>
      </c>
      <c r="L63" s="31" t="s">
        <v>147</v>
      </c>
      <c r="M63" s="31">
        <v>25.0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1.7160984E8</v>
      </c>
      <c r="B64" s="31" t="s">
        <v>103</v>
      </c>
      <c r="C64" s="32">
        <v>6.4207634E7</v>
      </c>
      <c r="D64" s="32">
        <v>4.66804153E8</v>
      </c>
      <c r="E64" s="32">
        <v>4819502.0</v>
      </c>
      <c r="F64" s="32">
        <v>1.2880378E7</v>
      </c>
      <c r="G64" s="32">
        <v>1.6574298E7</v>
      </c>
      <c r="H64" s="32">
        <v>0.0</v>
      </c>
      <c r="I64" s="32">
        <v>7.019214769E9</v>
      </c>
      <c r="J64" s="32">
        <v>2.07640069E8</v>
      </c>
      <c r="K64" s="32">
        <v>41900.0</v>
      </c>
      <c r="L64" s="31" t="s">
        <v>147</v>
      </c>
      <c r="M64" s="31">
        <v>25.0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1.70972148E8</v>
      </c>
      <c r="B65" s="31" t="s">
        <v>406</v>
      </c>
      <c r="C65" s="32">
        <v>6.3658283E7</v>
      </c>
      <c r="D65" s="32">
        <v>2.01712041E8</v>
      </c>
      <c r="E65" s="32">
        <v>3772341.0</v>
      </c>
      <c r="F65" s="32">
        <v>8724059.0</v>
      </c>
      <c r="G65" s="32">
        <v>5496029.0</v>
      </c>
      <c r="H65" s="32">
        <v>0.0</v>
      </c>
      <c r="I65" s="32">
        <v>1.0520887395E10</v>
      </c>
      <c r="J65" s="32">
        <v>1.353960679E9</v>
      </c>
      <c r="K65" s="32">
        <v>23849.0</v>
      </c>
      <c r="L65" s="31" t="s">
        <v>147</v>
      </c>
      <c r="M65" s="31">
        <v>25.0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1.70728362E8</v>
      </c>
      <c r="B66" s="31" t="s">
        <v>104</v>
      </c>
      <c r="C66" s="32">
        <v>6.3587869E7</v>
      </c>
      <c r="D66" s="32">
        <v>3.98510969E8</v>
      </c>
      <c r="E66" s="32">
        <v>8653663.0</v>
      </c>
      <c r="F66" s="32">
        <v>1.3594988E7</v>
      </c>
      <c r="G66" s="32">
        <v>1.2420504E7</v>
      </c>
      <c r="H66" s="32">
        <v>0.0</v>
      </c>
      <c r="I66" s="32">
        <v>6.181072671E9</v>
      </c>
      <c r="J66" s="32">
        <v>5.589580133E9</v>
      </c>
      <c r="K66" s="32">
        <v>57364.0</v>
      </c>
      <c r="L66" s="31" t="s">
        <v>147</v>
      </c>
      <c r="M66" s="31">
        <v>25.0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1.70708608E8</v>
      </c>
      <c r="B67" s="31" t="s">
        <v>91</v>
      </c>
      <c r="C67" s="32">
        <v>6.3141857E7</v>
      </c>
      <c r="D67" s="32">
        <v>2.49446472E8</v>
      </c>
      <c r="E67" s="32">
        <v>7042300.0</v>
      </c>
      <c r="F67" s="32">
        <v>7914881.0</v>
      </c>
      <c r="G67" s="32">
        <v>7795103.0</v>
      </c>
      <c r="H67" s="32">
        <v>0.0</v>
      </c>
      <c r="I67" s="32">
        <v>9.010820406E9</v>
      </c>
      <c r="J67" s="32">
        <v>1.55724317E9</v>
      </c>
      <c r="K67" s="32">
        <v>22556.0</v>
      </c>
      <c r="L67" s="31" t="s">
        <v>147</v>
      </c>
      <c r="M67" s="31">
        <v>25.0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1.4406546E8</v>
      </c>
      <c r="B68" s="31" t="s">
        <v>412</v>
      </c>
      <c r="C68" s="32">
        <v>6.3043507E7</v>
      </c>
      <c r="D68" s="32">
        <v>1.00580119E8</v>
      </c>
      <c r="E68" s="32">
        <v>5300442.0</v>
      </c>
      <c r="F68" s="32">
        <v>1975815.0</v>
      </c>
      <c r="G68" s="32">
        <v>4017973.0</v>
      </c>
      <c r="H68" s="32">
        <v>0.0</v>
      </c>
      <c r="I68" s="32">
        <v>1.0636417801E10</v>
      </c>
      <c r="J68" s="32">
        <v>4.07472383E8</v>
      </c>
      <c r="K68" s="32">
        <v>47156.0</v>
      </c>
      <c r="L68" s="31" t="s">
        <v>147</v>
      </c>
      <c r="M68" s="31">
        <v>25.0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1.67637163E8</v>
      </c>
      <c r="B69" s="31" t="s">
        <v>446</v>
      </c>
      <c r="C69" s="32">
        <v>6.2911211E7</v>
      </c>
      <c r="D69" s="32">
        <v>4.39072875E8</v>
      </c>
      <c r="E69" s="32">
        <v>8920001.0</v>
      </c>
      <c r="F69" s="32">
        <v>2.5619305E7</v>
      </c>
      <c r="G69" s="32">
        <v>7936066.0</v>
      </c>
      <c r="H69" s="32">
        <v>0.0</v>
      </c>
      <c r="I69" s="32">
        <v>9.28709341E9</v>
      </c>
      <c r="J69" s="32">
        <v>1.4083414141E10</v>
      </c>
      <c r="K69" s="32">
        <v>92494.0</v>
      </c>
      <c r="L69" s="31" t="s">
        <v>147</v>
      </c>
      <c r="M69" s="31">
        <v>25.0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1915332.0</v>
      </c>
      <c r="B70" s="31" t="s">
        <v>110</v>
      </c>
      <c r="C70" s="32">
        <v>6.2487659E7</v>
      </c>
      <c r="D70" s="32">
        <v>3.65401964E8</v>
      </c>
      <c r="E70" s="32">
        <v>9024801.0</v>
      </c>
      <c r="F70" s="32">
        <v>1.5995019E7</v>
      </c>
      <c r="G70" s="32">
        <v>9350166.0</v>
      </c>
      <c r="H70" s="32">
        <v>0.0</v>
      </c>
      <c r="I70" s="32">
        <v>6.990252247E9</v>
      </c>
      <c r="J70" s="32">
        <v>3.997087226E9</v>
      </c>
      <c r="K70" s="32">
        <v>31665.0</v>
      </c>
      <c r="L70" s="31" t="s">
        <v>66</v>
      </c>
      <c r="M70" s="31">
        <v>25.0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1.6757738E8</v>
      </c>
      <c r="B71" s="31" t="s">
        <v>107</v>
      </c>
      <c r="C71" s="32">
        <v>6.2390854E7</v>
      </c>
      <c r="D71" s="32">
        <v>3.89650755E8</v>
      </c>
      <c r="E71" s="32">
        <v>5611995.0</v>
      </c>
      <c r="F71" s="32">
        <v>1.4670939E7</v>
      </c>
      <c r="G71" s="32">
        <v>1.1693648E7</v>
      </c>
      <c r="H71" s="32">
        <v>0.0</v>
      </c>
      <c r="I71" s="32">
        <v>7.606793913E9</v>
      </c>
      <c r="J71" s="32">
        <v>9.70788659E8</v>
      </c>
      <c r="K71" s="32">
        <v>46049.0</v>
      </c>
      <c r="L71" s="31" t="s">
        <v>34</v>
      </c>
      <c r="M71" s="31">
        <v>25.0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1.53857025E8</v>
      </c>
      <c r="B72" s="31" t="s">
        <v>106</v>
      </c>
      <c r="C72" s="32">
        <v>6.2244416E7</v>
      </c>
      <c r="D72" s="32">
        <v>6.48365742E8</v>
      </c>
      <c r="E72" s="32">
        <v>6548154.0</v>
      </c>
      <c r="F72" s="32">
        <v>1.5123863E7</v>
      </c>
      <c r="G72" s="32">
        <v>2.4391291E7</v>
      </c>
      <c r="H72" s="32">
        <v>0.0</v>
      </c>
      <c r="I72" s="32">
        <v>1.4082526464E10</v>
      </c>
      <c r="J72" s="32">
        <v>2.684186976E9</v>
      </c>
      <c r="K72" s="32">
        <v>63987.0</v>
      </c>
      <c r="L72" s="31" t="s">
        <v>147</v>
      </c>
      <c r="M72" s="31">
        <v>25.0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2.1489428E7</v>
      </c>
      <c r="B73" s="31" t="s">
        <v>125</v>
      </c>
      <c r="C73" s="32">
        <v>6.2203865E7</v>
      </c>
      <c r="D73" s="32">
        <v>5.7711578E8</v>
      </c>
      <c r="E73" s="32">
        <v>1.6986041E7</v>
      </c>
      <c r="F73" s="32">
        <v>1.8273499E7</v>
      </c>
      <c r="G73" s="32">
        <v>1.9453509E7</v>
      </c>
      <c r="H73" s="32">
        <v>0.0</v>
      </c>
      <c r="I73" s="32">
        <v>1.6049999344E10</v>
      </c>
      <c r="J73" s="32">
        <v>9.234571546E9</v>
      </c>
      <c r="K73" s="32">
        <v>44875.0</v>
      </c>
      <c r="L73" s="31" t="s">
        <v>66</v>
      </c>
      <c r="M73" s="31">
        <v>25.0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1.71209025E8</v>
      </c>
      <c r="B74" s="31" t="s">
        <v>444</v>
      </c>
      <c r="C74" s="32">
        <v>6.2068943E7</v>
      </c>
      <c r="D74" s="32">
        <v>3.64963138E8</v>
      </c>
      <c r="E74" s="32">
        <v>9187942.0</v>
      </c>
      <c r="F74" s="32">
        <v>1.8168238E7</v>
      </c>
      <c r="G74" s="32">
        <v>7662943.0</v>
      </c>
      <c r="H74" s="32">
        <v>0.0</v>
      </c>
      <c r="I74" s="32">
        <v>1.3224641627E10</v>
      </c>
      <c r="J74" s="32">
        <v>1.374842811E9</v>
      </c>
      <c r="K74" s="32">
        <v>37145.0</v>
      </c>
      <c r="L74" s="31" t="s">
        <v>147</v>
      </c>
      <c r="M74" s="31">
        <v>25.0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1.38752108E8</v>
      </c>
      <c r="B75" s="31" t="s">
        <v>445</v>
      </c>
      <c r="C75" s="32">
        <v>6.1466189E7</v>
      </c>
      <c r="D75" s="32">
        <v>4.35412557E8</v>
      </c>
      <c r="E75" s="32">
        <v>5651167.0</v>
      </c>
      <c r="F75" s="32">
        <v>1.0396596E7</v>
      </c>
      <c r="G75" s="32">
        <v>1.6500168E7</v>
      </c>
      <c r="H75" s="32">
        <v>0.0</v>
      </c>
      <c r="I75" s="32">
        <v>2.4015606855E10</v>
      </c>
      <c r="J75" s="32">
        <v>5.77109633E8</v>
      </c>
      <c r="K75" s="32">
        <v>82471.0</v>
      </c>
      <c r="L75" s="31" t="s">
        <v>147</v>
      </c>
      <c r="M75" s="31">
        <v>25.0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1.39292614E8</v>
      </c>
      <c r="B76" s="31" t="s">
        <v>587</v>
      </c>
      <c r="C76" s="32">
        <v>6.1140417E7</v>
      </c>
      <c r="D76" s="32">
        <v>5.89041222E8</v>
      </c>
      <c r="E76" s="32">
        <v>1.0121607E7</v>
      </c>
      <c r="F76" s="32">
        <v>1.2783634E7</v>
      </c>
      <c r="G76" s="32">
        <v>2.2756501E7</v>
      </c>
      <c r="H76" s="32">
        <v>0.0</v>
      </c>
      <c r="I76" s="32">
        <v>1.0702480358E10</v>
      </c>
      <c r="J76" s="32">
        <v>2.498817481E9</v>
      </c>
      <c r="K76" s="32">
        <v>34544.0</v>
      </c>
      <c r="L76" s="31" t="s">
        <v>34</v>
      </c>
      <c r="M76" s="31">
        <v>25.0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1.71753933E8</v>
      </c>
      <c r="B77" s="31" t="s">
        <v>588</v>
      </c>
      <c r="C77" s="32">
        <v>6.1116344E7</v>
      </c>
      <c r="D77" s="32">
        <v>8.0430586E7</v>
      </c>
      <c r="E77" s="32">
        <v>4532998.0</v>
      </c>
      <c r="F77" s="32">
        <v>2681186.0</v>
      </c>
      <c r="G77" s="32">
        <v>2663295.0</v>
      </c>
      <c r="H77" s="32">
        <v>0.0</v>
      </c>
      <c r="I77" s="32">
        <v>1.1514722478E10</v>
      </c>
      <c r="J77" s="32">
        <v>1.22797E8</v>
      </c>
      <c r="K77" s="32">
        <v>49985.0</v>
      </c>
      <c r="L77" s="31" t="s">
        <v>147</v>
      </c>
      <c r="M77" s="31">
        <v>25.0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1.4504414E8</v>
      </c>
      <c r="B78" s="31" t="s">
        <v>449</v>
      </c>
      <c r="C78" s="32">
        <v>6.1060222E7</v>
      </c>
      <c r="D78" s="32">
        <v>8.9281895E7</v>
      </c>
      <c r="E78" s="32">
        <v>8442987.0</v>
      </c>
      <c r="F78" s="32">
        <v>1801936.0</v>
      </c>
      <c r="G78" s="32">
        <v>3470825.0</v>
      </c>
      <c r="H78" s="32">
        <v>0.0</v>
      </c>
      <c r="I78" s="32">
        <v>7.102490282E9</v>
      </c>
      <c r="J78" s="32">
        <v>3.89909634E8</v>
      </c>
      <c r="K78" s="32">
        <v>12035.0</v>
      </c>
      <c r="L78" s="31" t="s">
        <v>147</v>
      </c>
      <c r="M78" s="31">
        <v>25.0</v>
      </c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1.71910225E8</v>
      </c>
      <c r="B79" s="31" t="s">
        <v>99</v>
      </c>
      <c r="C79" s="32">
        <v>6.045143E7</v>
      </c>
      <c r="D79" s="32">
        <v>1.74431846E8</v>
      </c>
      <c r="E79" s="32">
        <v>5109135.0</v>
      </c>
      <c r="F79" s="32">
        <v>3318500.0</v>
      </c>
      <c r="G79" s="32">
        <v>7028275.0</v>
      </c>
      <c r="H79" s="32">
        <v>0.0</v>
      </c>
      <c r="I79" s="32">
        <v>1.2999844594E10</v>
      </c>
      <c r="J79" s="32">
        <v>1.329250012E9</v>
      </c>
      <c r="K79" s="32">
        <v>31540.0</v>
      </c>
      <c r="L79" s="31" t="s">
        <v>147</v>
      </c>
      <c r="M79" s="31">
        <v>25.0</v>
      </c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1.44684719E8</v>
      </c>
      <c r="B80" s="31" t="s">
        <v>589</v>
      </c>
      <c r="C80" s="32">
        <v>6.0423991E7</v>
      </c>
      <c r="D80" s="32">
        <v>2.36757021E8</v>
      </c>
      <c r="E80" s="32">
        <v>1.2078685E7</v>
      </c>
      <c r="F80" s="32">
        <v>9235390.0</v>
      </c>
      <c r="G80" s="32">
        <v>6983156.0</v>
      </c>
      <c r="H80" s="32">
        <v>0.0</v>
      </c>
      <c r="I80" s="32">
        <v>6.380555986E9</v>
      </c>
      <c r="J80" s="32">
        <v>1.407611379E9</v>
      </c>
      <c r="K80" s="32">
        <v>37567.0</v>
      </c>
      <c r="L80" s="31" t="s">
        <v>147</v>
      </c>
      <c r="M80" s="31">
        <v>25.0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1.71358436E8</v>
      </c>
      <c r="B81" s="31" t="s">
        <v>534</v>
      </c>
      <c r="C81" s="32">
        <v>5.9260786E7</v>
      </c>
      <c r="D81" s="32">
        <v>6.61588823E8</v>
      </c>
      <c r="E81" s="32">
        <v>5833655.0</v>
      </c>
      <c r="F81" s="32">
        <v>2.9999754E7</v>
      </c>
      <c r="G81" s="32">
        <v>1.7160721E7</v>
      </c>
      <c r="H81" s="32">
        <v>0.0</v>
      </c>
      <c r="I81" s="32">
        <v>4.527266443E9</v>
      </c>
      <c r="J81" s="32">
        <v>1.283327612E9</v>
      </c>
      <c r="K81" s="32">
        <v>50778.0</v>
      </c>
      <c r="L81" s="31" t="s">
        <v>66</v>
      </c>
      <c r="M81" s="31">
        <v>25.0</v>
      </c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1.67614515E8</v>
      </c>
      <c r="B82" s="31" t="s">
        <v>365</v>
      </c>
      <c r="C82" s="32">
        <v>5.834164E7</v>
      </c>
      <c r="D82" s="32">
        <v>2.13694348E8</v>
      </c>
      <c r="E82" s="32">
        <v>5989468.0</v>
      </c>
      <c r="F82" s="32">
        <v>1.2471343E7</v>
      </c>
      <c r="G82" s="32">
        <v>4295629.0</v>
      </c>
      <c r="H82" s="32">
        <v>0.0</v>
      </c>
      <c r="I82" s="32">
        <v>1.3070946284E10</v>
      </c>
      <c r="J82" s="32">
        <v>7.99053053E8</v>
      </c>
      <c r="K82" s="32">
        <v>45807.0</v>
      </c>
      <c r="L82" s="31" t="s">
        <v>147</v>
      </c>
      <c r="M82" s="31">
        <v>25.0</v>
      </c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1.15990558E8</v>
      </c>
      <c r="B83" s="31" t="s">
        <v>143</v>
      </c>
      <c r="C83" s="32">
        <v>5.7878231E7</v>
      </c>
      <c r="D83" s="32">
        <v>2.07794485E8</v>
      </c>
      <c r="E83" s="32">
        <v>3077942.0</v>
      </c>
      <c r="F83" s="32">
        <v>1.2394309E7</v>
      </c>
      <c r="G83" s="32">
        <v>3402474.0</v>
      </c>
      <c r="H83" s="32">
        <v>1288645.0</v>
      </c>
      <c r="I83" s="32">
        <v>8.666737392E9</v>
      </c>
      <c r="J83" s="32">
        <v>1.81565802E9</v>
      </c>
      <c r="K83" s="32">
        <v>19391.0</v>
      </c>
      <c r="L83" s="31" t="s">
        <v>66</v>
      </c>
      <c r="M83" s="31">
        <v>25.0</v>
      </c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1.44010731E8</v>
      </c>
      <c r="B84" s="31" t="s">
        <v>407</v>
      </c>
      <c r="C84" s="32">
        <v>5.7697526E7</v>
      </c>
      <c r="D84" s="32">
        <v>1.08379551E8</v>
      </c>
      <c r="E84" s="32">
        <v>8533368.0</v>
      </c>
      <c r="F84" s="32">
        <v>2481423.0</v>
      </c>
      <c r="G84" s="32">
        <v>4083583.0</v>
      </c>
      <c r="H84" s="32">
        <v>0.0</v>
      </c>
      <c r="I84" s="32">
        <v>7.349330878E9</v>
      </c>
      <c r="J84" s="32">
        <v>7.02856257E8</v>
      </c>
      <c r="K84" s="32">
        <v>27784.0</v>
      </c>
      <c r="L84" s="31" t="s">
        <v>34</v>
      </c>
      <c r="M84" s="31">
        <v>25.0</v>
      </c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1.71679053E8</v>
      </c>
      <c r="B85" s="31" t="s">
        <v>111</v>
      </c>
      <c r="C85" s="32">
        <v>5.7550857E7</v>
      </c>
      <c r="D85" s="32">
        <v>1.70482117E8</v>
      </c>
      <c r="E85" s="32">
        <v>3274718.0</v>
      </c>
      <c r="F85" s="32">
        <v>6050739.0</v>
      </c>
      <c r="G85" s="32">
        <v>5348891.0</v>
      </c>
      <c r="H85" s="32">
        <v>0.0</v>
      </c>
      <c r="I85" s="32">
        <v>9.543399304E9</v>
      </c>
      <c r="J85" s="32">
        <v>1.309145371E9</v>
      </c>
      <c r="K85" s="32">
        <v>24674.0</v>
      </c>
      <c r="L85" s="31" t="s">
        <v>147</v>
      </c>
      <c r="M85" s="31">
        <v>25.0</v>
      </c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1.71827401E8</v>
      </c>
      <c r="B86" s="31" t="s">
        <v>123</v>
      </c>
      <c r="C86" s="32">
        <v>5.6776334E7</v>
      </c>
      <c r="D86" s="32">
        <v>1.528153253E9</v>
      </c>
      <c r="E86" s="32">
        <v>7975447.0</v>
      </c>
      <c r="F86" s="32">
        <v>1.10599101E8</v>
      </c>
      <c r="G86" s="32">
        <v>1.7288563E7</v>
      </c>
      <c r="H86" s="32">
        <v>0.0</v>
      </c>
      <c r="I86" s="32">
        <v>3.047274275E9</v>
      </c>
      <c r="J86" s="32">
        <v>7.802247764E9</v>
      </c>
      <c r="K86" s="32">
        <v>31854.0</v>
      </c>
      <c r="L86" s="31" t="s">
        <v>492</v>
      </c>
      <c r="M86" s="31">
        <v>25.0</v>
      </c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1.69446444E8</v>
      </c>
      <c r="B87" s="31" t="s">
        <v>590</v>
      </c>
      <c r="C87" s="32">
        <v>5.6766384E7</v>
      </c>
      <c r="D87" s="32">
        <v>7.44159495E8</v>
      </c>
      <c r="E87" s="32">
        <v>6699557.0</v>
      </c>
      <c r="F87" s="32">
        <v>1.8291647E7</v>
      </c>
      <c r="G87" s="32">
        <v>2.7499329E7</v>
      </c>
      <c r="H87" s="32">
        <v>0.0</v>
      </c>
      <c r="I87" s="32">
        <v>5.985515729E9</v>
      </c>
      <c r="J87" s="32">
        <v>7.852736746E9</v>
      </c>
      <c r="K87" s="32">
        <v>66452.0</v>
      </c>
      <c r="L87" s="31" t="s">
        <v>147</v>
      </c>
      <c r="M87" s="31">
        <v>25.0</v>
      </c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1.51360763E8</v>
      </c>
      <c r="B88" s="31" t="s">
        <v>367</v>
      </c>
      <c r="C88" s="32">
        <v>5.6601277E7</v>
      </c>
      <c r="D88" s="32">
        <v>1.02009741E8</v>
      </c>
      <c r="E88" s="32">
        <v>4912502.0</v>
      </c>
      <c r="F88" s="32">
        <v>5393296.0</v>
      </c>
      <c r="G88" s="32">
        <v>2313197.0</v>
      </c>
      <c r="H88" s="32">
        <v>0.0</v>
      </c>
      <c r="I88" s="32">
        <v>2.4701701449E10</v>
      </c>
      <c r="J88" s="32">
        <v>1.0258012042E10</v>
      </c>
      <c r="K88" s="32">
        <v>18859.0</v>
      </c>
      <c r="L88" s="31" t="s">
        <v>147</v>
      </c>
      <c r="M88" s="31">
        <v>25.0</v>
      </c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1.44015947E8</v>
      </c>
      <c r="B89" s="31" t="s">
        <v>535</v>
      </c>
      <c r="C89" s="32">
        <v>5.6278533E7</v>
      </c>
      <c r="D89" s="32">
        <v>3.84257948E8</v>
      </c>
      <c r="E89" s="32">
        <v>1.1980118E7</v>
      </c>
      <c r="F89" s="32">
        <v>2.2314298E7</v>
      </c>
      <c r="G89" s="32">
        <v>4889592.0</v>
      </c>
      <c r="H89" s="32">
        <v>0.0</v>
      </c>
      <c r="I89" s="32">
        <v>1.0435449827E10</v>
      </c>
      <c r="J89" s="32">
        <v>7.87757499E8</v>
      </c>
      <c r="K89" s="32">
        <v>13311.0</v>
      </c>
      <c r="L89" s="31" t="s">
        <v>66</v>
      </c>
      <c r="M89" s="31">
        <v>25.0</v>
      </c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1.61646318E8</v>
      </c>
      <c r="B90" s="31" t="s">
        <v>591</v>
      </c>
      <c r="C90" s="32">
        <v>5.5595243E7</v>
      </c>
      <c r="D90" s="32">
        <v>2.11386066E8</v>
      </c>
      <c r="E90" s="32">
        <v>5152875.0</v>
      </c>
      <c r="F90" s="32">
        <v>8211298.0</v>
      </c>
      <c r="G90" s="32">
        <v>6388807.0</v>
      </c>
      <c r="H90" s="32">
        <v>0.0</v>
      </c>
      <c r="I90" s="32">
        <v>1.2965754292E10</v>
      </c>
      <c r="J90" s="32">
        <v>2.29864133E9</v>
      </c>
      <c r="K90" s="32">
        <v>45263.0</v>
      </c>
      <c r="L90" s="31" t="s">
        <v>147</v>
      </c>
      <c r="M90" s="31">
        <v>25.0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1.44608345E8</v>
      </c>
      <c r="B91" s="31" t="s">
        <v>130</v>
      </c>
      <c r="C91" s="32">
        <v>5.5268415E7</v>
      </c>
      <c r="D91" s="32">
        <v>7.65689757E8</v>
      </c>
      <c r="E91" s="32">
        <v>8735512.0</v>
      </c>
      <c r="F91" s="32">
        <v>5.4433437E7</v>
      </c>
      <c r="G91" s="32">
        <v>9097261.0</v>
      </c>
      <c r="H91" s="32">
        <v>0.0</v>
      </c>
      <c r="I91" s="32">
        <v>1.1148634329E10</v>
      </c>
      <c r="J91" s="32">
        <v>1.177270686E9</v>
      </c>
      <c r="K91" s="32">
        <v>31440.0</v>
      </c>
      <c r="L91" s="31" t="s">
        <v>66</v>
      </c>
      <c r="M91" s="31">
        <v>25.0</v>
      </c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8.7273159E7</v>
      </c>
      <c r="B92" s="31" t="s">
        <v>592</v>
      </c>
      <c r="C92" s="32">
        <v>5.4782591E7</v>
      </c>
      <c r="D92" s="32">
        <v>1.201338712E9</v>
      </c>
      <c r="E92" s="32">
        <v>1.0758098E7</v>
      </c>
      <c r="F92" s="32">
        <v>4.6394686E7</v>
      </c>
      <c r="G92" s="32">
        <v>3.5910848E7</v>
      </c>
      <c r="H92" s="32">
        <v>0.0</v>
      </c>
      <c r="I92" s="32">
        <v>1.7905943812E10</v>
      </c>
      <c r="J92" s="32">
        <v>1.7886551609E10</v>
      </c>
      <c r="K92" s="32">
        <v>97644.0</v>
      </c>
      <c r="L92" s="31" t="s">
        <v>66</v>
      </c>
      <c r="M92" s="31">
        <v>25.0</v>
      </c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1.45008495E8</v>
      </c>
      <c r="B93" s="31" t="s">
        <v>448</v>
      </c>
      <c r="C93" s="32">
        <v>5.4476749E7</v>
      </c>
      <c r="D93" s="32">
        <v>4.06856209E8</v>
      </c>
      <c r="E93" s="32">
        <v>1.3016544E7</v>
      </c>
      <c r="F93" s="32">
        <v>2.7287984E7</v>
      </c>
      <c r="G93" s="32">
        <v>5891138.0</v>
      </c>
      <c r="H93" s="32">
        <v>0.0</v>
      </c>
      <c r="I93" s="32">
        <v>6.711283092E9</v>
      </c>
      <c r="J93" s="32">
        <v>1.030138069E9</v>
      </c>
      <c r="K93" s="32">
        <v>18602.0</v>
      </c>
      <c r="L93" s="31" t="s">
        <v>147</v>
      </c>
      <c r="M93" s="31">
        <v>25.0</v>
      </c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1.71345916E8</v>
      </c>
      <c r="B94" s="31" t="s">
        <v>447</v>
      </c>
      <c r="C94" s="32">
        <v>5.368363E7</v>
      </c>
      <c r="D94" s="32">
        <v>2.0626682E8</v>
      </c>
      <c r="E94" s="32">
        <v>4437730.0</v>
      </c>
      <c r="F94" s="32">
        <v>1.1838066E7</v>
      </c>
      <c r="G94" s="32">
        <v>3524540.0</v>
      </c>
      <c r="H94" s="32">
        <v>0.0</v>
      </c>
      <c r="I94" s="32">
        <v>7.105875652E9</v>
      </c>
      <c r="J94" s="32">
        <v>1.698342095E9</v>
      </c>
      <c r="K94" s="32">
        <v>68641.0</v>
      </c>
      <c r="L94" s="31" t="s">
        <v>66</v>
      </c>
      <c r="M94" s="31">
        <v>25.0</v>
      </c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1.69672885E8</v>
      </c>
      <c r="B95" s="31" t="s">
        <v>129</v>
      </c>
      <c r="C95" s="32">
        <v>5.2878441E7</v>
      </c>
      <c r="D95" s="32">
        <v>3.35424198E8</v>
      </c>
      <c r="E95" s="32">
        <v>6988413.0</v>
      </c>
      <c r="F95" s="32">
        <v>1.7563248E7</v>
      </c>
      <c r="G95" s="32">
        <v>7283147.0</v>
      </c>
      <c r="H95" s="32">
        <v>0.0</v>
      </c>
      <c r="I95" s="32">
        <v>6.648742205E9</v>
      </c>
      <c r="J95" s="32">
        <v>3.487614406E9</v>
      </c>
      <c r="K95" s="32">
        <v>31903.0</v>
      </c>
      <c r="L95" s="31" t="s">
        <v>147</v>
      </c>
      <c r="M95" s="31">
        <v>25.0</v>
      </c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1.71825014E8</v>
      </c>
      <c r="B96" s="31" t="s">
        <v>593</v>
      </c>
      <c r="C96" s="32">
        <v>5.258445E7</v>
      </c>
      <c r="D96" s="32">
        <v>8.6728857E7</v>
      </c>
      <c r="E96" s="32">
        <v>4098786.0</v>
      </c>
      <c r="F96" s="32">
        <v>4777468.0</v>
      </c>
      <c r="G96" s="32">
        <v>1793127.0</v>
      </c>
      <c r="H96" s="32">
        <v>0.0</v>
      </c>
      <c r="I96" s="32">
        <v>7.674594959E9</v>
      </c>
      <c r="J96" s="32">
        <v>1.13E9</v>
      </c>
      <c r="K96" s="32">
        <v>10224.0</v>
      </c>
      <c r="L96" s="31" t="s">
        <v>66</v>
      </c>
      <c r="M96" s="31">
        <v>25.0</v>
      </c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1.63138873E8</v>
      </c>
      <c r="B97" s="31" t="s">
        <v>410</v>
      </c>
      <c r="C97" s="32">
        <v>5.1619782E7</v>
      </c>
      <c r="D97" s="32">
        <v>1.07164067E8</v>
      </c>
      <c r="E97" s="32">
        <v>8459581.0</v>
      </c>
      <c r="F97" s="32">
        <v>5453337.0</v>
      </c>
      <c r="G97" s="32">
        <v>2525929.0</v>
      </c>
      <c r="H97" s="32">
        <v>0.0</v>
      </c>
      <c r="I97" s="32">
        <v>3.93813258E9</v>
      </c>
      <c r="J97" s="32">
        <v>3.15042356E8</v>
      </c>
      <c r="K97" s="32">
        <v>17689.0</v>
      </c>
      <c r="L97" s="31" t="s">
        <v>147</v>
      </c>
      <c r="M97" s="31">
        <v>25.0</v>
      </c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1.4405151E8</v>
      </c>
      <c r="B98" s="31" t="s">
        <v>537</v>
      </c>
      <c r="C98" s="32">
        <v>5.1536368E7</v>
      </c>
      <c r="D98" s="32">
        <v>1.24109289E8</v>
      </c>
      <c r="E98" s="32">
        <v>6751559.0</v>
      </c>
      <c r="F98" s="32">
        <v>5876959.0</v>
      </c>
      <c r="G98" s="32">
        <v>3075105.0</v>
      </c>
      <c r="H98" s="32">
        <v>0.0</v>
      </c>
      <c r="I98" s="32">
        <v>9.437335369E9</v>
      </c>
      <c r="J98" s="32">
        <v>2.062388246E9</v>
      </c>
      <c r="K98" s="32">
        <v>52779.0</v>
      </c>
      <c r="L98" s="31" t="s">
        <v>34</v>
      </c>
      <c r="M98" s="31">
        <v>25.0</v>
      </c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1.38334962E8</v>
      </c>
      <c r="B99" s="31" t="s">
        <v>594</v>
      </c>
      <c r="C99" s="32">
        <v>5.1458926E7</v>
      </c>
      <c r="D99" s="32">
        <v>4.95741304E8</v>
      </c>
      <c r="E99" s="32">
        <v>2144191.0</v>
      </c>
      <c r="F99" s="32">
        <v>3.4969904E7</v>
      </c>
      <c r="G99" s="32">
        <v>4503175.0</v>
      </c>
      <c r="H99" s="32">
        <v>0.0</v>
      </c>
      <c r="I99" s="32">
        <v>4.93566043E8</v>
      </c>
      <c r="J99" s="32">
        <v>2.527969561E9</v>
      </c>
      <c r="K99" s="32">
        <v>14056.0</v>
      </c>
      <c r="L99" s="31" t="s">
        <v>480</v>
      </c>
      <c r="M99" s="31">
        <v>25.0</v>
      </c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1.45033056E8</v>
      </c>
      <c r="B100" s="31" t="s">
        <v>450</v>
      </c>
      <c r="C100" s="32">
        <v>5.1406679E7</v>
      </c>
      <c r="D100" s="32">
        <v>4.29850283E8</v>
      </c>
      <c r="E100" s="32">
        <v>1.1934623E7</v>
      </c>
      <c r="F100" s="32">
        <v>1.5994535E7</v>
      </c>
      <c r="G100" s="32">
        <v>1.3272984E7</v>
      </c>
      <c r="H100" s="32">
        <v>0.0</v>
      </c>
      <c r="I100" s="32">
        <v>1.3202322789E10</v>
      </c>
      <c r="J100" s="32">
        <v>6.79379776E8</v>
      </c>
      <c r="K100" s="32">
        <v>30726.0</v>
      </c>
      <c r="L100" s="31" t="s">
        <v>147</v>
      </c>
      <c r="M100" s="31">
        <v>25.0</v>
      </c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1.72031022E8</v>
      </c>
      <c r="B101" s="31" t="s">
        <v>536</v>
      </c>
      <c r="C101" s="32">
        <v>5.0882321E7</v>
      </c>
      <c r="D101" s="32">
        <v>9.2688359E7</v>
      </c>
      <c r="E101" s="32">
        <v>4037673.0</v>
      </c>
      <c r="F101" s="32">
        <v>2908675.0</v>
      </c>
      <c r="G101" s="32">
        <v>2733792.0</v>
      </c>
      <c r="H101" s="32">
        <v>0.0</v>
      </c>
      <c r="I101" s="32">
        <v>1.0776455176E10</v>
      </c>
      <c r="J101" s="32">
        <v>1.235132077E9</v>
      </c>
      <c r="K101" s="32">
        <v>27122.0</v>
      </c>
      <c r="L101" s="31" t="s">
        <v>147</v>
      </c>
      <c r="M101" s="31">
        <v>25.0</v>
      </c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1.72015122E8</v>
      </c>
      <c r="B102" s="31" t="s">
        <v>419</v>
      </c>
      <c r="C102" s="32">
        <v>5.0251094E7</v>
      </c>
      <c r="D102" s="32">
        <v>6.6834135E7</v>
      </c>
      <c r="E102" s="32">
        <v>5102085.0</v>
      </c>
      <c r="F102" s="32">
        <v>4059723.0</v>
      </c>
      <c r="G102" s="32">
        <v>1174151.0</v>
      </c>
      <c r="H102" s="32">
        <v>0.0</v>
      </c>
      <c r="I102" s="32">
        <v>6.311994805E9</v>
      </c>
      <c r="J102" s="32">
        <v>2.255803635E9</v>
      </c>
      <c r="K102" s="32">
        <v>14146.0</v>
      </c>
      <c r="L102" s="31" t="s">
        <v>411</v>
      </c>
      <c r="M102" s="31">
        <v>25.0</v>
      </c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4.9509851E7</v>
      </c>
      <c r="B103" s="31" t="s">
        <v>595</v>
      </c>
      <c r="C103" s="32">
        <v>4.9257234E7</v>
      </c>
      <c r="D103" s="32">
        <v>4.07969258E8</v>
      </c>
      <c r="E103" s="32">
        <v>4365803.0</v>
      </c>
      <c r="F103" s="32">
        <v>2.1346983E7</v>
      </c>
      <c r="G103" s="32">
        <v>8916478.0</v>
      </c>
      <c r="H103" s="32">
        <v>0.0</v>
      </c>
      <c r="I103" s="32">
        <v>6.59767094E9</v>
      </c>
      <c r="J103" s="32">
        <v>1.416612953E10</v>
      </c>
      <c r="K103" s="32">
        <v>30768.0</v>
      </c>
      <c r="L103" s="31" t="s">
        <v>492</v>
      </c>
      <c r="M103" s="31">
        <v>25.0</v>
      </c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1.56007436E8</v>
      </c>
      <c r="B104" s="31" t="s">
        <v>413</v>
      </c>
      <c r="C104" s="32">
        <v>4.9132953E7</v>
      </c>
      <c r="D104" s="32">
        <v>1.48464932E8</v>
      </c>
      <c r="E104" s="32">
        <v>8944321.0</v>
      </c>
      <c r="F104" s="32">
        <v>4923948.0</v>
      </c>
      <c r="G104" s="32">
        <v>4886779.0</v>
      </c>
      <c r="H104" s="32">
        <v>0.0</v>
      </c>
      <c r="I104" s="32">
        <v>1.0628008666E10</v>
      </c>
      <c r="J104" s="32">
        <v>1.339131292E9</v>
      </c>
      <c r="K104" s="32">
        <v>12189.0</v>
      </c>
      <c r="L104" s="31" t="s">
        <v>147</v>
      </c>
      <c r="M104" s="31">
        <v>25.0</v>
      </c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1.68091444E8</v>
      </c>
      <c r="B105" s="31" t="s">
        <v>596</v>
      </c>
      <c r="C105" s="32">
        <v>4.8691416E7</v>
      </c>
      <c r="D105" s="32">
        <v>1.12016044E8</v>
      </c>
      <c r="E105" s="32">
        <v>7197561.0</v>
      </c>
      <c r="F105" s="32">
        <v>5692863.0</v>
      </c>
      <c r="G105" s="32">
        <v>2690941.0</v>
      </c>
      <c r="H105" s="32">
        <v>0.0</v>
      </c>
      <c r="I105" s="32">
        <v>6.355479888E9</v>
      </c>
      <c r="J105" s="32">
        <v>3.60144414E8</v>
      </c>
      <c r="K105" s="32">
        <v>39285.0</v>
      </c>
      <c r="L105" s="31" t="s">
        <v>147</v>
      </c>
      <c r="M105" s="31">
        <v>25.0</v>
      </c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1.58817223E8</v>
      </c>
      <c r="B106" s="31" t="s">
        <v>538</v>
      </c>
      <c r="C106" s="32">
        <v>4.8613669E7</v>
      </c>
      <c r="D106" s="32">
        <v>2.19166076E8</v>
      </c>
      <c r="E106" s="32">
        <v>7114771.0</v>
      </c>
      <c r="F106" s="32">
        <v>8811147.0</v>
      </c>
      <c r="G106" s="32">
        <v>5973547.0</v>
      </c>
      <c r="H106" s="32">
        <v>0.0</v>
      </c>
      <c r="I106" s="32">
        <v>6.149412707E9</v>
      </c>
      <c r="J106" s="32">
        <v>4.495334922E9</v>
      </c>
      <c r="K106" s="32">
        <v>35321.0</v>
      </c>
      <c r="L106" s="31" t="s">
        <v>147</v>
      </c>
      <c r="M106" s="31">
        <v>25.0</v>
      </c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1.44088316E8</v>
      </c>
      <c r="B107" s="31" t="s">
        <v>152</v>
      </c>
      <c r="C107" s="32">
        <v>4.8452584E7</v>
      </c>
      <c r="D107" s="32">
        <v>4.2555014E7</v>
      </c>
      <c r="E107" s="32">
        <v>4390339.0</v>
      </c>
      <c r="F107" s="32">
        <v>939021.0</v>
      </c>
      <c r="G107" s="32">
        <v>1357682.0</v>
      </c>
      <c r="H107" s="32">
        <v>0.0</v>
      </c>
      <c r="I107" s="32">
        <v>1.0761689097E10</v>
      </c>
      <c r="J107" s="32">
        <v>1.45E9</v>
      </c>
      <c r="K107" s="32">
        <v>13270.0</v>
      </c>
      <c r="L107" s="31" t="s">
        <v>147</v>
      </c>
      <c r="M107" s="31">
        <v>25.0</v>
      </c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1.59857111E8</v>
      </c>
      <c r="B108" s="31" t="s">
        <v>597</v>
      </c>
      <c r="C108" s="32">
        <v>4.8205189E7</v>
      </c>
      <c r="D108" s="32">
        <v>4.61488335E8</v>
      </c>
      <c r="E108" s="32">
        <v>3125000.0</v>
      </c>
      <c r="F108" s="32">
        <v>3.5649558E7</v>
      </c>
      <c r="G108" s="32">
        <v>4682616.0</v>
      </c>
      <c r="H108" s="32">
        <v>0.0</v>
      </c>
      <c r="I108" s="32">
        <v>8.035467106E9</v>
      </c>
      <c r="J108" s="32">
        <v>3.330520456E9</v>
      </c>
      <c r="K108" s="32">
        <v>37205.0</v>
      </c>
      <c r="L108" s="31" t="s">
        <v>147</v>
      </c>
      <c r="M108" s="31">
        <v>25.0</v>
      </c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1.0047682E8</v>
      </c>
      <c r="B109" s="31" t="s">
        <v>370</v>
      </c>
      <c r="C109" s="32">
        <v>4.8151736E7</v>
      </c>
      <c r="D109" s="32">
        <v>9.668507E7</v>
      </c>
      <c r="E109" s="32">
        <v>9510086.0</v>
      </c>
      <c r="F109" s="32">
        <v>3468478.0</v>
      </c>
      <c r="G109" s="32">
        <v>3089529.0</v>
      </c>
      <c r="H109" s="32">
        <v>0.0</v>
      </c>
      <c r="I109" s="32">
        <v>3.4183720409E10</v>
      </c>
      <c r="J109" s="32">
        <v>3.9422550048E10</v>
      </c>
      <c r="K109" s="32">
        <v>20462.0</v>
      </c>
      <c r="L109" s="31" t="s">
        <v>147</v>
      </c>
      <c r="M109" s="31">
        <v>25.0</v>
      </c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1.66234202E8</v>
      </c>
      <c r="B110" s="31" t="s">
        <v>135</v>
      </c>
      <c r="C110" s="32">
        <v>4.8031822E7</v>
      </c>
      <c r="D110" s="32">
        <v>2.81505217E8</v>
      </c>
      <c r="E110" s="32">
        <v>4381426.0</v>
      </c>
      <c r="F110" s="32">
        <v>1.370718E7</v>
      </c>
      <c r="G110" s="32">
        <v>5993859.0</v>
      </c>
      <c r="H110" s="32">
        <v>0.0</v>
      </c>
      <c r="I110" s="32">
        <v>1.093155145E10</v>
      </c>
      <c r="J110" s="32">
        <v>1.48881707E9</v>
      </c>
      <c r="K110" s="32">
        <v>33204.0</v>
      </c>
      <c r="L110" s="31" t="s">
        <v>147</v>
      </c>
      <c r="M110" s="31">
        <v>25.0</v>
      </c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1.68025153E8</v>
      </c>
      <c r="B111" s="31" t="s">
        <v>146</v>
      </c>
      <c r="C111" s="32">
        <v>4.7809171E7</v>
      </c>
      <c r="D111" s="32">
        <v>2.8188141E7</v>
      </c>
      <c r="E111" s="32">
        <v>1667579.0</v>
      </c>
      <c r="F111" s="32">
        <v>748668.0</v>
      </c>
      <c r="G111" s="32">
        <v>1032023.0</v>
      </c>
      <c r="H111" s="32">
        <v>0.0</v>
      </c>
      <c r="I111" s="32">
        <v>3.879238768E9</v>
      </c>
      <c r="J111" s="32">
        <v>2.679142711E9</v>
      </c>
      <c r="K111" s="32">
        <v>4520.0</v>
      </c>
      <c r="L111" s="31" t="s">
        <v>147</v>
      </c>
      <c r="M111" s="31">
        <v>25.0</v>
      </c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1.44100838E8</v>
      </c>
      <c r="B112" s="31" t="s">
        <v>542</v>
      </c>
      <c r="C112" s="32">
        <v>4.7116306E7</v>
      </c>
      <c r="D112" s="32">
        <v>1.9092022E7</v>
      </c>
      <c r="E112" s="32">
        <v>7812774.0</v>
      </c>
      <c r="F112" s="32">
        <v>640246.0</v>
      </c>
      <c r="G112" s="32">
        <v>367283.0</v>
      </c>
      <c r="H112" s="32">
        <v>0.0</v>
      </c>
      <c r="I112" s="32">
        <v>7.506894678E9</v>
      </c>
      <c r="J112" s="32">
        <v>4391597.0</v>
      </c>
      <c r="K112" s="32">
        <v>855.0</v>
      </c>
      <c r="L112" s="31" t="s">
        <v>264</v>
      </c>
      <c r="M112" s="31">
        <v>25.0</v>
      </c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1.70028719E8</v>
      </c>
      <c r="B113" s="31" t="s">
        <v>452</v>
      </c>
      <c r="C113" s="32">
        <v>4.6957154E7</v>
      </c>
      <c r="D113" s="32">
        <v>1.12951945E8</v>
      </c>
      <c r="E113" s="32">
        <v>2509868.0</v>
      </c>
      <c r="F113" s="32">
        <v>4863608.0</v>
      </c>
      <c r="G113" s="32">
        <v>2788554.0</v>
      </c>
      <c r="H113" s="32">
        <v>0.0</v>
      </c>
      <c r="I113" s="32">
        <v>5.722164437E9</v>
      </c>
      <c r="J113" s="32">
        <v>3.939143277E9</v>
      </c>
      <c r="K113" s="32">
        <v>40293.0</v>
      </c>
      <c r="L113" s="31" t="s">
        <v>147</v>
      </c>
      <c r="M113" s="31">
        <v>25.0</v>
      </c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1.44064126E8</v>
      </c>
      <c r="B114" s="31" t="s">
        <v>416</v>
      </c>
      <c r="C114" s="32">
        <v>4.5965499E7</v>
      </c>
      <c r="D114" s="32">
        <v>3.20509023E8</v>
      </c>
      <c r="E114" s="32">
        <v>8224568.0</v>
      </c>
      <c r="F114" s="32">
        <v>1.8003335E7</v>
      </c>
      <c r="G114" s="32">
        <v>5142895.0</v>
      </c>
      <c r="H114" s="32">
        <v>0.0</v>
      </c>
      <c r="I114" s="32">
        <v>9.026250722E9</v>
      </c>
      <c r="J114" s="32">
        <v>4.867183E7</v>
      </c>
      <c r="K114" s="32">
        <v>13849.0</v>
      </c>
      <c r="L114" s="31" t="s">
        <v>411</v>
      </c>
      <c r="M114" s="31">
        <v>25.0</v>
      </c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1.6901814E8</v>
      </c>
      <c r="B115" s="31" t="s">
        <v>137</v>
      </c>
      <c r="C115" s="32">
        <v>4.5430882E7</v>
      </c>
      <c r="D115" s="32">
        <v>1.34982363E8</v>
      </c>
      <c r="E115" s="32">
        <v>3731779.0</v>
      </c>
      <c r="F115" s="32">
        <v>5331491.0</v>
      </c>
      <c r="G115" s="32">
        <v>4037935.0</v>
      </c>
      <c r="H115" s="32">
        <v>0.0</v>
      </c>
      <c r="I115" s="32">
        <v>1.1471938741E10</v>
      </c>
      <c r="J115" s="32">
        <v>3.028374367E9</v>
      </c>
      <c r="K115" s="32">
        <v>31247.0</v>
      </c>
      <c r="L115" s="31" t="s">
        <v>147</v>
      </c>
      <c r="M115" s="31">
        <v>25.0</v>
      </c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1.75551858E8</v>
      </c>
      <c r="B116" s="31" t="s">
        <v>496</v>
      </c>
      <c r="C116" s="32">
        <v>4.5308427E7</v>
      </c>
      <c r="D116" s="32">
        <v>5.2278763E7</v>
      </c>
      <c r="E116" s="32">
        <v>4992504.0</v>
      </c>
      <c r="F116" s="32">
        <v>4031175.0</v>
      </c>
      <c r="G116" s="32">
        <v>545319.0</v>
      </c>
      <c r="H116" s="32">
        <v>0.0</v>
      </c>
      <c r="I116" s="32">
        <v>5.809805663E9</v>
      </c>
      <c r="J116" s="32">
        <v>4.83084529E8</v>
      </c>
      <c r="K116" s="32">
        <v>10290.0</v>
      </c>
      <c r="L116" s="31" t="s">
        <v>411</v>
      </c>
      <c r="M116" s="31">
        <v>25.0</v>
      </c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1.77187021E8</v>
      </c>
      <c r="B117" s="31" t="s">
        <v>418</v>
      </c>
      <c r="C117" s="32">
        <v>4.508174E7</v>
      </c>
      <c r="D117" s="32">
        <v>9.5562426E7</v>
      </c>
      <c r="E117" s="32">
        <v>6585804.0</v>
      </c>
      <c r="F117" s="32">
        <v>2654389.0</v>
      </c>
      <c r="G117" s="32">
        <v>3429914.0</v>
      </c>
      <c r="H117" s="32">
        <v>0.0</v>
      </c>
      <c r="I117" s="32">
        <v>8.456913576E9</v>
      </c>
      <c r="J117" s="32">
        <v>6.18430819E8</v>
      </c>
      <c r="K117" s="32">
        <v>23976.0</v>
      </c>
      <c r="L117" s="31" t="s">
        <v>147</v>
      </c>
      <c r="M117" s="31">
        <v>25.0</v>
      </c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1.45023737E8</v>
      </c>
      <c r="B118" s="31" t="s">
        <v>598</v>
      </c>
      <c r="C118" s="32">
        <v>4.5016404E7</v>
      </c>
      <c r="D118" s="32">
        <v>1.51987441E8</v>
      </c>
      <c r="E118" s="32">
        <v>2299396.0</v>
      </c>
      <c r="F118" s="32">
        <v>1.0377546E7</v>
      </c>
      <c r="G118" s="32">
        <v>2074755.0</v>
      </c>
      <c r="H118" s="32">
        <v>0.0</v>
      </c>
      <c r="I118" s="32">
        <v>6.924632989E9</v>
      </c>
      <c r="J118" s="32">
        <v>6.69437168E8</v>
      </c>
      <c r="K118" s="32">
        <v>24428.0</v>
      </c>
      <c r="L118" s="31" t="s">
        <v>147</v>
      </c>
      <c r="M118" s="31">
        <v>25.0</v>
      </c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1.44043573E8</v>
      </c>
      <c r="B119" s="31" t="s">
        <v>539</v>
      </c>
      <c r="C119" s="32">
        <v>4.4587195E7</v>
      </c>
      <c r="D119" s="32">
        <v>3.072416E7</v>
      </c>
      <c r="E119" s="32">
        <v>1.31487E7</v>
      </c>
      <c r="F119" s="32">
        <v>655119.0</v>
      </c>
      <c r="G119" s="32">
        <v>1189322.0</v>
      </c>
      <c r="H119" s="32">
        <v>0.0</v>
      </c>
      <c r="I119" s="32">
        <v>3.707796248E9</v>
      </c>
      <c r="J119" s="32">
        <v>1.2E7</v>
      </c>
      <c r="K119" s="32">
        <v>18810.0</v>
      </c>
      <c r="L119" s="31" t="s">
        <v>66</v>
      </c>
      <c r="M119" s="31">
        <v>25.0</v>
      </c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1.72008118E8</v>
      </c>
      <c r="B120" s="31" t="s">
        <v>453</v>
      </c>
      <c r="C120" s="32">
        <v>4.4338079E7</v>
      </c>
      <c r="D120" s="32">
        <v>3.7403711E7</v>
      </c>
      <c r="E120" s="32">
        <v>4591447.0</v>
      </c>
      <c r="F120" s="32">
        <v>1153831.0</v>
      </c>
      <c r="G120" s="32">
        <v>1274367.0</v>
      </c>
      <c r="H120" s="32">
        <v>0.0</v>
      </c>
      <c r="I120" s="32">
        <v>7.742295308E9</v>
      </c>
      <c r="J120" s="32">
        <v>1.40113413E8</v>
      </c>
      <c r="K120" s="32">
        <v>7472.0</v>
      </c>
      <c r="L120" s="31" t="s">
        <v>147</v>
      </c>
      <c r="M120" s="31">
        <v>25.0</v>
      </c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1.76044158E8</v>
      </c>
      <c r="B121" s="31" t="s">
        <v>139</v>
      </c>
      <c r="C121" s="32">
        <v>4.4247499E7</v>
      </c>
      <c r="D121" s="32">
        <v>7.1273563E7</v>
      </c>
      <c r="E121" s="32">
        <v>3361151.0</v>
      </c>
      <c r="F121" s="32">
        <v>2198964.0</v>
      </c>
      <c r="G121" s="32">
        <v>2445105.0</v>
      </c>
      <c r="H121" s="32">
        <v>0.0</v>
      </c>
      <c r="I121" s="32">
        <v>1.5981216974E10</v>
      </c>
      <c r="J121" s="32">
        <v>4.124536539E9</v>
      </c>
      <c r="K121" s="32">
        <v>13769.0</v>
      </c>
      <c r="L121" s="31" t="s">
        <v>147</v>
      </c>
      <c r="M121" s="31">
        <v>25.0</v>
      </c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1.71985458E8</v>
      </c>
      <c r="B122" s="31" t="s">
        <v>541</v>
      </c>
      <c r="C122" s="32">
        <v>4.3906577E7</v>
      </c>
      <c r="D122" s="32">
        <v>5.7648893E7</v>
      </c>
      <c r="E122" s="32">
        <v>7895503.0</v>
      </c>
      <c r="F122" s="32">
        <v>2034727.0</v>
      </c>
      <c r="G122" s="32">
        <v>1810488.0</v>
      </c>
      <c r="H122" s="32">
        <v>0.0</v>
      </c>
      <c r="I122" s="32">
        <v>2.553423196E9</v>
      </c>
      <c r="J122" s="32">
        <v>5.0386921E7</v>
      </c>
      <c r="K122" s="32">
        <v>8595.0</v>
      </c>
      <c r="L122" s="31" t="s">
        <v>66</v>
      </c>
      <c r="M122" s="31">
        <v>25.0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1.69953509E8</v>
      </c>
      <c r="B123" s="31" t="s">
        <v>415</v>
      </c>
      <c r="C123" s="32">
        <v>4.3437039E7</v>
      </c>
      <c r="D123" s="32">
        <v>2.13935921E8</v>
      </c>
      <c r="E123" s="32">
        <v>5475605.0</v>
      </c>
      <c r="F123" s="32">
        <v>6790348.0</v>
      </c>
      <c r="G123" s="32">
        <v>6089703.0</v>
      </c>
      <c r="H123" s="32">
        <v>0.0</v>
      </c>
      <c r="I123" s="32">
        <v>8.759185496E9</v>
      </c>
      <c r="J123" s="32">
        <v>1.574309821E9</v>
      </c>
      <c r="K123" s="32">
        <v>19972.0</v>
      </c>
      <c r="L123" s="31" t="s">
        <v>147</v>
      </c>
      <c r="M123" s="31">
        <v>25.0</v>
      </c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1.43551941E8</v>
      </c>
      <c r="B124" s="31" t="s">
        <v>151</v>
      </c>
      <c r="C124" s="32">
        <v>4.2851713E7</v>
      </c>
      <c r="D124" s="32">
        <v>1.44346068E8</v>
      </c>
      <c r="E124" s="32">
        <v>2159778.0</v>
      </c>
      <c r="F124" s="32">
        <v>9769042.0</v>
      </c>
      <c r="G124" s="32">
        <v>2043226.0</v>
      </c>
      <c r="H124" s="32">
        <v>0.0</v>
      </c>
      <c r="I124" s="32">
        <v>6.951716576E9</v>
      </c>
      <c r="J124" s="32">
        <v>3.2640001E7</v>
      </c>
      <c r="K124" s="32">
        <v>26458.0</v>
      </c>
      <c r="L124" s="31" t="s">
        <v>66</v>
      </c>
      <c r="M124" s="31">
        <v>25.0</v>
      </c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1.4361245E8</v>
      </c>
      <c r="B125" s="31" t="s">
        <v>144</v>
      </c>
      <c r="C125" s="32">
        <v>4.2297054E7</v>
      </c>
      <c r="D125" s="32">
        <v>4.85592936E8</v>
      </c>
      <c r="E125" s="32">
        <v>4373200.0</v>
      </c>
      <c r="F125" s="32">
        <v>2.8397404E7</v>
      </c>
      <c r="G125" s="32">
        <v>9482628.0</v>
      </c>
      <c r="H125" s="32">
        <v>0.0</v>
      </c>
      <c r="I125" s="32">
        <v>9.546426202E9</v>
      </c>
      <c r="J125" s="32">
        <v>7.127586033E9</v>
      </c>
      <c r="K125" s="32">
        <v>31517.0</v>
      </c>
      <c r="L125" s="31" t="s">
        <v>147</v>
      </c>
      <c r="M125" s="31">
        <v>25.0</v>
      </c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1.45948216E8</v>
      </c>
      <c r="B126" s="31" t="s">
        <v>167</v>
      </c>
      <c r="C126" s="32">
        <v>4.1133445E7</v>
      </c>
      <c r="D126" s="32">
        <v>4.7792707E7</v>
      </c>
      <c r="E126" s="32">
        <v>4207713.0</v>
      </c>
      <c r="F126" s="32">
        <v>1157303.0</v>
      </c>
      <c r="G126" s="32">
        <v>1800170.0</v>
      </c>
      <c r="H126" s="32">
        <v>0.0</v>
      </c>
      <c r="I126" s="32">
        <v>1.0039943741E10</v>
      </c>
      <c r="J126" s="32">
        <v>6.848628877E9</v>
      </c>
      <c r="K126" s="32">
        <v>10224.0</v>
      </c>
      <c r="L126" s="31" t="s">
        <v>490</v>
      </c>
      <c r="M126" s="31">
        <v>25.0</v>
      </c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1.71697263E8</v>
      </c>
      <c r="B127" s="31" t="s">
        <v>599</v>
      </c>
      <c r="C127" s="32">
        <v>4.1053183E7</v>
      </c>
      <c r="D127" s="32">
        <v>3.54685334E8</v>
      </c>
      <c r="E127" s="32">
        <v>8179333.0</v>
      </c>
      <c r="F127" s="32">
        <v>1.6481145E7</v>
      </c>
      <c r="G127" s="32">
        <v>9256198.0</v>
      </c>
      <c r="H127" s="32">
        <v>0.0</v>
      </c>
      <c r="I127" s="32">
        <v>5.066242797E9</v>
      </c>
      <c r="J127" s="32">
        <v>5.00143562E8</v>
      </c>
      <c r="K127" s="32">
        <v>39338.0</v>
      </c>
      <c r="L127" s="31" t="s">
        <v>147</v>
      </c>
      <c r="M127" s="31">
        <v>25.0</v>
      </c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1.60258193E8</v>
      </c>
      <c r="B128" s="31" t="s">
        <v>145</v>
      </c>
      <c r="C128" s="32">
        <v>4.1047894E7</v>
      </c>
      <c r="D128" s="32">
        <v>4.2876659E7</v>
      </c>
      <c r="E128" s="32">
        <v>2440420.0</v>
      </c>
      <c r="F128" s="32">
        <v>2666256.0</v>
      </c>
      <c r="G128" s="32">
        <v>677041.0</v>
      </c>
      <c r="H128" s="32">
        <v>0.0</v>
      </c>
      <c r="I128" s="32">
        <v>5.796402199E9</v>
      </c>
      <c r="J128" s="32">
        <v>2.02458482E8</v>
      </c>
      <c r="K128" s="32">
        <v>22553.0</v>
      </c>
      <c r="L128" s="31" t="s">
        <v>66</v>
      </c>
      <c r="M128" s="31">
        <v>25.0</v>
      </c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1.71945722E8</v>
      </c>
      <c r="B129" s="31" t="s">
        <v>371</v>
      </c>
      <c r="C129" s="32">
        <v>4.101192E7</v>
      </c>
      <c r="D129" s="32">
        <v>5.7516463E7</v>
      </c>
      <c r="E129" s="32">
        <v>4437053.0</v>
      </c>
      <c r="F129" s="32">
        <v>2724045.0</v>
      </c>
      <c r="G129" s="32">
        <v>1503961.0</v>
      </c>
      <c r="H129" s="32">
        <v>0.0</v>
      </c>
      <c r="I129" s="32">
        <v>1.0367842047E10</v>
      </c>
      <c r="J129" s="32">
        <v>2.82225022E9</v>
      </c>
      <c r="K129" s="32">
        <v>14138.0</v>
      </c>
      <c r="L129" s="31" t="s">
        <v>147</v>
      </c>
      <c r="M129" s="31">
        <v>25.0</v>
      </c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1.72029365E8</v>
      </c>
      <c r="B130" s="31" t="s">
        <v>600</v>
      </c>
      <c r="C130" s="32">
        <v>4.0758708E7</v>
      </c>
      <c r="D130" s="32">
        <v>1.22016779E8</v>
      </c>
      <c r="E130" s="32">
        <v>7851491.0</v>
      </c>
      <c r="F130" s="32">
        <v>3625354.0</v>
      </c>
      <c r="G130" s="32">
        <v>4204304.0</v>
      </c>
      <c r="H130" s="32">
        <v>0.0</v>
      </c>
      <c r="I130" s="32">
        <v>5.6899155E9</v>
      </c>
      <c r="J130" s="32">
        <v>8.69311746E8</v>
      </c>
      <c r="K130" s="32">
        <v>16779.0</v>
      </c>
      <c r="L130" s="31" t="s">
        <v>147</v>
      </c>
      <c r="M130" s="31">
        <v>25.0</v>
      </c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1.44065871E8</v>
      </c>
      <c r="B131" s="31" t="s">
        <v>543</v>
      </c>
      <c r="C131" s="32">
        <v>4.0478904E7</v>
      </c>
      <c r="D131" s="32">
        <v>2.6555915E7</v>
      </c>
      <c r="E131" s="32">
        <v>6675617.0</v>
      </c>
      <c r="F131" s="32">
        <v>682968.0</v>
      </c>
      <c r="G131" s="32">
        <v>420826.0</v>
      </c>
      <c r="H131" s="32">
        <v>0.0</v>
      </c>
      <c r="I131" s="32">
        <v>7.066779515E9</v>
      </c>
      <c r="J131" s="32">
        <v>3.097346355E9</v>
      </c>
      <c r="K131" s="32">
        <v>4386.0</v>
      </c>
      <c r="L131" s="31" t="s">
        <v>165</v>
      </c>
      <c r="M131" s="31">
        <v>25.0</v>
      </c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1.68206434E8</v>
      </c>
      <c r="B132" s="31" t="s">
        <v>454</v>
      </c>
      <c r="C132" s="32">
        <v>4.0033348E7</v>
      </c>
      <c r="D132" s="32">
        <v>1.06180025E8</v>
      </c>
      <c r="E132" s="32">
        <v>6942759.0</v>
      </c>
      <c r="F132" s="32">
        <v>4439341.0</v>
      </c>
      <c r="G132" s="32">
        <v>2831644.0</v>
      </c>
      <c r="H132" s="32">
        <v>0.0</v>
      </c>
      <c r="I132" s="32">
        <v>4.991023454E9</v>
      </c>
      <c r="J132" s="32">
        <v>2.62430913E8</v>
      </c>
      <c r="K132" s="32">
        <v>5888.0</v>
      </c>
      <c r="L132" s="31" t="s">
        <v>147</v>
      </c>
      <c r="M132" s="31">
        <v>25.0</v>
      </c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1.71922856E8</v>
      </c>
      <c r="B133" s="31" t="s">
        <v>601</v>
      </c>
      <c r="C133" s="32">
        <v>4.0026898E7</v>
      </c>
      <c r="D133" s="32">
        <v>6.8587648E7</v>
      </c>
      <c r="E133" s="32">
        <v>3429082.0</v>
      </c>
      <c r="F133" s="32">
        <v>2665310.0</v>
      </c>
      <c r="G133" s="32">
        <v>1778374.0</v>
      </c>
      <c r="H133" s="32">
        <v>0.0</v>
      </c>
      <c r="I133" s="32">
        <v>5.225503399E9</v>
      </c>
      <c r="J133" s="32">
        <v>5.14807188E8</v>
      </c>
      <c r="K133" s="32">
        <v>17208.0</v>
      </c>
      <c r="L133" s="31" t="s">
        <v>147</v>
      </c>
      <c r="M133" s="31">
        <v>25.0</v>
      </c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1.75650426E8</v>
      </c>
      <c r="B134" s="31" t="s">
        <v>154</v>
      </c>
      <c r="C134" s="32">
        <v>3.8959507E7</v>
      </c>
      <c r="D134" s="32">
        <v>1.93760314E8</v>
      </c>
      <c r="E134" s="32">
        <v>6582237.0</v>
      </c>
      <c r="F134" s="32">
        <v>8111805.0</v>
      </c>
      <c r="G134" s="32">
        <v>4833964.0</v>
      </c>
      <c r="H134" s="32">
        <v>0.0</v>
      </c>
      <c r="I134" s="32">
        <v>6.121518219E9</v>
      </c>
      <c r="J134" s="32">
        <v>3.229085086E9</v>
      </c>
      <c r="K134" s="32">
        <v>19070.0</v>
      </c>
      <c r="L134" s="31" t="s">
        <v>147</v>
      </c>
      <c r="M134" s="31">
        <v>25.0</v>
      </c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6.2125268E7</v>
      </c>
      <c r="B135" s="31" t="s">
        <v>544</v>
      </c>
      <c r="C135" s="32">
        <v>3.8914304E7</v>
      </c>
      <c r="D135" s="32">
        <v>1.7848178E7</v>
      </c>
      <c r="E135" s="32">
        <v>5897393.0</v>
      </c>
      <c r="F135" s="32">
        <v>703610.0</v>
      </c>
      <c r="G135" s="32">
        <v>410205.0</v>
      </c>
      <c r="H135" s="32">
        <v>0.0</v>
      </c>
      <c r="I135" s="32">
        <v>3.245196807E9</v>
      </c>
      <c r="J135" s="32">
        <v>8.63338217E8</v>
      </c>
      <c r="K135" s="32">
        <v>3964.0</v>
      </c>
      <c r="L135" s="31" t="s">
        <v>327</v>
      </c>
      <c r="M135" s="31">
        <v>25.0</v>
      </c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1.72219261E8</v>
      </c>
      <c r="B136" s="31" t="s">
        <v>185</v>
      </c>
      <c r="C136" s="32">
        <v>3.7768936E7</v>
      </c>
      <c r="D136" s="32">
        <v>8271917.0</v>
      </c>
      <c r="E136" s="32">
        <v>1544154.0</v>
      </c>
      <c r="F136" s="32">
        <v>218237.0</v>
      </c>
      <c r="G136" s="32">
        <v>295020.0</v>
      </c>
      <c r="H136" s="32">
        <v>0.0</v>
      </c>
      <c r="I136" s="32">
        <v>4.388321791E9</v>
      </c>
      <c r="J136" s="32">
        <v>2.75E7</v>
      </c>
      <c r="K136" s="32">
        <v>3670.0</v>
      </c>
      <c r="L136" s="31" t="s">
        <v>119</v>
      </c>
      <c r="M136" s="31">
        <v>25.0</v>
      </c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1.71830779E8</v>
      </c>
      <c r="B137" s="31" t="s">
        <v>372</v>
      </c>
      <c r="C137" s="32">
        <v>3.7688676E7</v>
      </c>
      <c r="D137" s="32">
        <v>1.89741265E8</v>
      </c>
      <c r="E137" s="32">
        <v>6012211.0</v>
      </c>
      <c r="F137" s="32">
        <v>1.0646971E7</v>
      </c>
      <c r="G137" s="32">
        <v>4092152.0</v>
      </c>
      <c r="H137" s="32">
        <v>0.0</v>
      </c>
      <c r="I137" s="32">
        <v>6.235492446E9</v>
      </c>
      <c r="J137" s="32">
        <v>5.381506E8</v>
      </c>
      <c r="K137" s="32">
        <v>44345.0</v>
      </c>
      <c r="L137" s="31" t="s">
        <v>147</v>
      </c>
      <c r="M137" s="31">
        <v>25.0</v>
      </c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6.6847214E7</v>
      </c>
      <c r="B138" s="31" t="s">
        <v>159</v>
      </c>
      <c r="C138" s="32">
        <v>3.747495E7</v>
      </c>
      <c r="D138" s="32">
        <v>1.23880311E8</v>
      </c>
      <c r="E138" s="32">
        <v>6875099.0</v>
      </c>
      <c r="F138" s="32">
        <v>3989626.0</v>
      </c>
      <c r="G138" s="32">
        <v>4125666.0</v>
      </c>
      <c r="H138" s="32">
        <v>0.0</v>
      </c>
      <c r="I138" s="32">
        <v>1.1778691798E10</v>
      </c>
      <c r="J138" s="32">
        <v>1.4823720332E10</v>
      </c>
      <c r="K138" s="32">
        <v>8080.0</v>
      </c>
      <c r="L138" s="31" t="s">
        <v>147</v>
      </c>
      <c r="M138" s="31">
        <v>25.0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1.43328412E8</v>
      </c>
      <c r="B139" s="31" t="s">
        <v>158</v>
      </c>
      <c r="C139" s="32">
        <v>3.5745809E7</v>
      </c>
      <c r="D139" s="32">
        <v>3.24920088E8</v>
      </c>
      <c r="E139" s="32">
        <v>5751734.0</v>
      </c>
      <c r="F139" s="32">
        <v>2.4253096E7</v>
      </c>
      <c r="G139" s="32">
        <v>3145842.0</v>
      </c>
      <c r="H139" s="32">
        <v>0.0</v>
      </c>
      <c r="I139" s="32">
        <v>1.0043113063E10</v>
      </c>
      <c r="J139" s="32">
        <v>8.501035607E9</v>
      </c>
      <c r="K139" s="32">
        <v>29943.0</v>
      </c>
      <c r="L139" s="31" t="s">
        <v>490</v>
      </c>
      <c r="M139" s="31">
        <v>25.0</v>
      </c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1.44052871E8</v>
      </c>
      <c r="B140" s="31" t="s">
        <v>162</v>
      </c>
      <c r="C140" s="32">
        <v>3.5432578E7</v>
      </c>
      <c r="D140" s="32">
        <v>1.0083773E7</v>
      </c>
      <c r="E140" s="32">
        <v>6827916.0</v>
      </c>
      <c r="F140" s="32">
        <v>380075.0</v>
      </c>
      <c r="G140" s="32">
        <v>185747.0</v>
      </c>
      <c r="H140" s="32">
        <v>0.0</v>
      </c>
      <c r="I140" s="32">
        <v>5.543123467E9</v>
      </c>
      <c r="J140" s="32">
        <v>64161.0</v>
      </c>
      <c r="K140" s="32">
        <v>316.0</v>
      </c>
      <c r="L140" s="31" t="s">
        <v>602</v>
      </c>
      <c r="M140" s="31">
        <v>25.0</v>
      </c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6.5948574E7</v>
      </c>
      <c r="B141" s="31" t="s">
        <v>157</v>
      </c>
      <c r="C141" s="32">
        <v>3.5169728E7</v>
      </c>
      <c r="D141" s="32">
        <v>1.23099084E8</v>
      </c>
      <c r="E141" s="32">
        <v>9744267.0</v>
      </c>
      <c r="F141" s="32">
        <v>5033718.0</v>
      </c>
      <c r="G141" s="32">
        <v>3497448.0</v>
      </c>
      <c r="H141" s="32">
        <v>0.0</v>
      </c>
      <c r="I141" s="32">
        <v>2.175662342E10</v>
      </c>
      <c r="J141" s="32">
        <v>2.3958373403E10</v>
      </c>
      <c r="K141" s="32">
        <v>21504.0</v>
      </c>
      <c r="L141" s="31" t="s">
        <v>66</v>
      </c>
      <c r="M141" s="31">
        <v>25.0</v>
      </c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6.4767252E7</v>
      </c>
      <c r="B142" s="31" t="s">
        <v>516</v>
      </c>
      <c r="C142" s="32">
        <v>3.4831963E7</v>
      </c>
      <c r="D142" s="32">
        <v>5.6853969E7</v>
      </c>
      <c r="E142" s="32">
        <v>9823723.0</v>
      </c>
      <c r="F142" s="32">
        <v>1758392.0</v>
      </c>
      <c r="G142" s="32">
        <v>1713702.0</v>
      </c>
      <c r="H142" s="32">
        <v>0.0</v>
      </c>
      <c r="I142" s="32">
        <v>2.7566233664E10</v>
      </c>
      <c r="J142" s="32">
        <v>2.2325264292E10</v>
      </c>
      <c r="K142" s="32">
        <v>14830.0</v>
      </c>
      <c r="L142" s="31" t="s">
        <v>66</v>
      </c>
      <c r="M142" s="31">
        <v>25.0</v>
      </c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1.30281353E8</v>
      </c>
      <c r="B143" s="31" t="s">
        <v>546</v>
      </c>
      <c r="C143" s="32">
        <v>3.3603753E7</v>
      </c>
      <c r="D143" s="32">
        <v>1.03037324E8</v>
      </c>
      <c r="E143" s="32">
        <v>6377439.0</v>
      </c>
      <c r="F143" s="32">
        <v>6817090.0</v>
      </c>
      <c r="G143" s="32">
        <v>1055713.0</v>
      </c>
      <c r="H143" s="32">
        <v>0.0</v>
      </c>
      <c r="I143" s="32">
        <v>3.883855965E9</v>
      </c>
      <c r="J143" s="32">
        <v>4.74191108E8</v>
      </c>
      <c r="K143" s="32">
        <v>6934.0</v>
      </c>
      <c r="L143" s="31" t="s">
        <v>147</v>
      </c>
      <c r="M143" s="31">
        <v>25.0</v>
      </c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1.50027113E8</v>
      </c>
      <c r="B144" s="31" t="s">
        <v>548</v>
      </c>
      <c r="C144" s="32">
        <v>3.3584601E7</v>
      </c>
      <c r="D144" s="32">
        <v>1.270664E7</v>
      </c>
      <c r="E144" s="32">
        <v>5229619.0</v>
      </c>
      <c r="F144" s="32">
        <v>919773.0</v>
      </c>
      <c r="G144" s="32">
        <v>170844.0</v>
      </c>
      <c r="H144" s="32">
        <v>0.0</v>
      </c>
      <c r="I144" s="32">
        <v>4.207332108E9</v>
      </c>
      <c r="J144" s="32">
        <v>2.605607125E9</v>
      </c>
      <c r="K144" s="32">
        <v>3887.0</v>
      </c>
      <c r="L144" s="31" t="s">
        <v>66</v>
      </c>
      <c r="M144" s="31">
        <v>25.0</v>
      </c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1.44059309E8</v>
      </c>
      <c r="B145" s="31" t="s">
        <v>164</v>
      </c>
      <c r="C145" s="32">
        <v>3.1378032E7</v>
      </c>
      <c r="D145" s="32">
        <v>1.7598036E7</v>
      </c>
      <c r="E145" s="32">
        <v>8743288.0</v>
      </c>
      <c r="F145" s="32">
        <v>628313.0</v>
      </c>
      <c r="G145" s="32">
        <v>269406.0</v>
      </c>
      <c r="H145" s="32">
        <v>0.0</v>
      </c>
      <c r="I145" s="32">
        <v>3.944447565E9</v>
      </c>
      <c r="J145" s="32">
        <v>719086.0</v>
      </c>
      <c r="K145" s="32">
        <v>2173.0</v>
      </c>
      <c r="L145" s="31" t="s">
        <v>165</v>
      </c>
      <c r="M145" s="31">
        <v>25.0</v>
      </c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1.44083306E8</v>
      </c>
      <c r="B146" s="31" t="s">
        <v>545</v>
      </c>
      <c r="C146" s="32">
        <v>3.1270955E7</v>
      </c>
      <c r="D146" s="32">
        <v>1.05406418E8</v>
      </c>
      <c r="E146" s="32">
        <v>4487742.0</v>
      </c>
      <c r="F146" s="32">
        <v>4929833.0</v>
      </c>
      <c r="G146" s="32">
        <v>2563445.0</v>
      </c>
      <c r="H146" s="32">
        <v>0.0</v>
      </c>
      <c r="I146" s="32">
        <v>5.936607659E9</v>
      </c>
      <c r="J146" s="32">
        <v>1.47000054E8</v>
      </c>
      <c r="K146" s="32">
        <v>9652.0</v>
      </c>
      <c r="L146" s="31" t="s">
        <v>165</v>
      </c>
      <c r="M146" s="31">
        <v>25.0</v>
      </c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3">
        <v>1.73621774E8</v>
      </c>
      <c r="B147" s="33" t="s">
        <v>421</v>
      </c>
      <c r="C147" s="34">
        <v>3.1036404E7</v>
      </c>
      <c r="D147" s="34">
        <v>5371343.0</v>
      </c>
      <c r="E147" s="34">
        <v>1065662.0</v>
      </c>
      <c r="F147" s="34">
        <v>215029.0</v>
      </c>
      <c r="G147" s="34">
        <v>107306.0</v>
      </c>
      <c r="H147" s="34">
        <v>0.0</v>
      </c>
      <c r="I147" s="34">
        <v>9.945615824E9</v>
      </c>
      <c r="J147" s="34">
        <v>2.753021909E9</v>
      </c>
      <c r="K147" s="34">
        <v>4601.0</v>
      </c>
      <c r="L147" s="33" t="s">
        <v>327</v>
      </c>
      <c r="M147" s="33">
        <v>24.0</v>
      </c>
      <c r="N147" s="33"/>
      <c r="O147" s="33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1.81527216E8</v>
      </c>
      <c r="B148" s="31" t="s">
        <v>166</v>
      </c>
      <c r="C148" s="32">
        <v>3.0966239E7</v>
      </c>
      <c r="D148" s="32">
        <v>7933028.0</v>
      </c>
      <c r="E148" s="32">
        <v>3416532.0</v>
      </c>
      <c r="F148" s="32">
        <v>392125.0</v>
      </c>
      <c r="G148" s="32">
        <v>196597.0</v>
      </c>
      <c r="H148" s="32">
        <v>0.0</v>
      </c>
      <c r="I148" s="32">
        <v>3.53829837E9</v>
      </c>
      <c r="J148" s="32">
        <v>0.0</v>
      </c>
      <c r="K148" s="32">
        <v>5186.0</v>
      </c>
      <c r="L148" s="31" t="s">
        <v>411</v>
      </c>
      <c r="M148" s="31">
        <v>25.0</v>
      </c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1.81734011E8</v>
      </c>
      <c r="B149" s="31" t="s">
        <v>169</v>
      </c>
      <c r="C149" s="32">
        <v>3.0757967E7</v>
      </c>
      <c r="D149" s="32">
        <v>5.2815309E7</v>
      </c>
      <c r="E149" s="32">
        <v>2591884.0</v>
      </c>
      <c r="F149" s="32">
        <v>1765364.0</v>
      </c>
      <c r="G149" s="32">
        <v>1567208.0</v>
      </c>
      <c r="H149" s="32">
        <v>0.0</v>
      </c>
      <c r="I149" s="32">
        <v>7.642669471E9</v>
      </c>
      <c r="J149" s="32">
        <v>1.18242089E8</v>
      </c>
      <c r="K149" s="32">
        <v>11755.0</v>
      </c>
      <c r="L149" s="31" t="s">
        <v>147</v>
      </c>
      <c r="M149" s="31">
        <v>25.0</v>
      </c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1.44046322E8</v>
      </c>
      <c r="B150" s="31" t="s">
        <v>180</v>
      </c>
      <c r="C150" s="32">
        <v>3.0685993E7</v>
      </c>
      <c r="D150" s="32">
        <v>8195736.0</v>
      </c>
      <c r="E150" s="32">
        <v>3754772.0</v>
      </c>
      <c r="F150" s="32">
        <v>499856.0</v>
      </c>
      <c r="G150" s="32">
        <v>83434.0</v>
      </c>
      <c r="H150" s="32">
        <v>0.0</v>
      </c>
      <c r="I150" s="32">
        <v>4.026922567E9</v>
      </c>
      <c r="J150" s="32">
        <v>0.0</v>
      </c>
      <c r="K150" s="32">
        <v>1806.0</v>
      </c>
      <c r="L150" s="31" t="s">
        <v>373</v>
      </c>
      <c r="M150" s="31">
        <v>25.0</v>
      </c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1.44094596E8</v>
      </c>
      <c r="B151" s="31" t="s">
        <v>189</v>
      </c>
      <c r="C151" s="32">
        <v>3.0516E7</v>
      </c>
      <c r="D151" s="32">
        <v>8.5179416E7</v>
      </c>
      <c r="E151" s="32">
        <v>2706707.0</v>
      </c>
      <c r="F151" s="32">
        <v>5258583.0</v>
      </c>
      <c r="G151" s="32">
        <v>1405383.0</v>
      </c>
      <c r="H151" s="32">
        <v>0.0</v>
      </c>
      <c r="I151" s="32">
        <v>5.357258082E9</v>
      </c>
      <c r="J151" s="32">
        <v>1.2391473E7</v>
      </c>
      <c r="K151" s="32">
        <v>9785.0</v>
      </c>
      <c r="L151" s="31" t="s">
        <v>66</v>
      </c>
      <c r="M151" s="31">
        <v>25.0</v>
      </c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1.26980864E8</v>
      </c>
      <c r="B152" s="31" t="s">
        <v>603</v>
      </c>
      <c r="C152" s="32">
        <v>3.0316613E7</v>
      </c>
      <c r="D152" s="32">
        <v>1.7973011E7</v>
      </c>
      <c r="E152" s="32">
        <v>5428729.0</v>
      </c>
      <c r="F152" s="32">
        <v>341637.0</v>
      </c>
      <c r="G152" s="32">
        <v>245724.0</v>
      </c>
      <c r="H152" s="32">
        <v>0.0</v>
      </c>
      <c r="I152" s="32">
        <v>1.627859208E9</v>
      </c>
      <c r="J152" s="32">
        <v>9.19840987E8</v>
      </c>
      <c r="K152" s="32">
        <v>2704.0</v>
      </c>
      <c r="L152" s="31" t="s">
        <v>66</v>
      </c>
      <c r="M152" s="31">
        <v>25.0</v>
      </c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7.643357E7</v>
      </c>
      <c r="B153" s="31" t="s">
        <v>551</v>
      </c>
      <c r="C153" s="32">
        <v>2.9152964E7</v>
      </c>
      <c r="D153" s="32">
        <v>1.7011203E7</v>
      </c>
      <c r="E153" s="32">
        <v>1290625.0</v>
      </c>
      <c r="F153" s="32">
        <v>1208586.0</v>
      </c>
      <c r="G153" s="32">
        <v>125212.0</v>
      </c>
      <c r="H153" s="32">
        <v>0.0</v>
      </c>
      <c r="I153" s="32">
        <v>3.687431604E9</v>
      </c>
      <c r="J153" s="32">
        <v>1.073133513E9</v>
      </c>
      <c r="K153" s="32">
        <v>17163.0</v>
      </c>
      <c r="L153" s="31" t="s">
        <v>66</v>
      </c>
      <c r="M153" s="31">
        <v>25.0</v>
      </c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1.47116341E8</v>
      </c>
      <c r="B154" s="31" t="s">
        <v>604</v>
      </c>
      <c r="C154" s="32">
        <v>2.9106846E7</v>
      </c>
      <c r="D154" s="32">
        <v>1.3529689E7</v>
      </c>
      <c r="E154" s="32">
        <v>526000.0</v>
      </c>
      <c r="F154" s="32">
        <v>807831.0</v>
      </c>
      <c r="G154" s="32">
        <v>271954.0</v>
      </c>
      <c r="H154" s="32">
        <v>0.0</v>
      </c>
      <c r="I154" s="32">
        <v>6.166424795E9</v>
      </c>
      <c r="J154" s="32">
        <v>6.456585973E9</v>
      </c>
      <c r="K154" s="32">
        <v>2873.0</v>
      </c>
      <c r="L154" s="31" t="s">
        <v>165</v>
      </c>
      <c r="M154" s="31">
        <v>25.0</v>
      </c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1.61551529E8</v>
      </c>
      <c r="B155" s="31" t="s">
        <v>549</v>
      </c>
      <c r="C155" s="32">
        <v>2.8872754E7</v>
      </c>
      <c r="D155" s="32">
        <v>1648325.0</v>
      </c>
      <c r="E155" s="32">
        <v>12632.0</v>
      </c>
      <c r="F155" s="32">
        <v>160608.0</v>
      </c>
      <c r="G155" s="32">
        <v>1.0</v>
      </c>
      <c r="H155" s="32">
        <v>0.0</v>
      </c>
      <c r="I155" s="32">
        <v>2.077756465E9</v>
      </c>
      <c r="J155" s="32">
        <v>1.037063989E9</v>
      </c>
      <c r="K155" s="32">
        <v>2676.0</v>
      </c>
      <c r="L155" s="31" t="s">
        <v>327</v>
      </c>
      <c r="M155" s="31">
        <v>25.0</v>
      </c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1.1279231E8</v>
      </c>
      <c r="B156" s="31" t="s">
        <v>197</v>
      </c>
      <c r="C156" s="32">
        <v>2.8550325E7</v>
      </c>
      <c r="D156" s="32">
        <v>5.1841755E7</v>
      </c>
      <c r="E156" s="32">
        <v>4158383.0</v>
      </c>
      <c r="F156" s="32">
        <v>1962237.0</v>
      </c>
      <c r="G156" s="32">
        <v>1451878.0</v>
      </c>
      <c r="H156" s="32">
        <v>0.0</v>
      </c>
      <c r="I156" s="32">
        <v>2.9938584014E10</v>
      </c>
      <c r="J156" s="32">
        <v>2.6567873572E10</v>
      </c>
      <c r="K156" s="32">
        <v>12154.0</v>
      </c>
      <c r="L156" s="31" t="s">
        <v>34</v>
      </c>
      <c r="M156" s="31">
        <v>25.0</v>
      </c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1.83952984E8</v>
      </c>
      <c r="B157" s="31" t="s">
        <v>498</v>
      </c>
      <c r="C157" s="32">
        <v>2.8381725E7</v>
      </c>
      <c r="D157" s="32">
        <v>1.0353288E7</v>
      </c>
      <c r="E157" s="32">
        <v>830363.0</v>
      </c>
      <c r="F157" s="32">
        <v>773019.0</v>
      </c>
      <c r="G157" s="32">
        <v>47440.0</v>
      </c>
      <c r="H157" s="32">
        <v>0.0</v>
      </c>
      <c r="I157" s="32">
        <v>3.448977116E9</v>
      </c>
      <c r="J157" s="32">
        <v>5.4133889E8</v>
      </c>
      <c r="K157" s="32">
        <v>5492.0</v>
      </c>
      <c r="L157" s="31" t="s">
        <v>540</v>
      </c>
      <c r="M157" s="31">
        <v>25.0</v>
      </c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1.44104572E8</v>
      </c>
      <c r="B158" s="31" t="s">
        <v>196</v>
      </c>
      <c r="C158" s="32">
        <v>2.8252099E7</v>
      </c>
      <c r="D158" s="32">
        <v>2.531738E7</v>
      </c>
      <c r="E158" s="32">
        <v>2932404.0</v>
      </c>
      <c r="F158" s="32">
        <v>1486644.0</v>
      </c>
      <c r="G158" s="32">
        <v>328033.0</v>
      </c>
      <c r="H158" s="32">
        <v>0.0</v>
      </c>
      <c r="I158" s="32">
        <v>2.914113906E9</v>
      </c>
      <c r="J158" s="32">
        <v>8.33264E7</v>
      </c>
      <c r="K158" s="32">
        <v>5940.0</v>
      </c>
      <c r="L158" s="31" t="s">
        <v>411</v>
      </c>
      <c r="M158" s="31">
        <v>25.0</v>
      </c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3">
        <v>1.70449746E8</v>
      </c>
      <c r="B159" s="33" t="s">
        <v>184</v>
      </c>
      <c r="C159" s="34">
        <v>2.7804106E7</v>
      </c>
      <c r="D159" s="34">
        <v>5291709.0</v>
      </c>
      <c r="E159" s="34">
        <v>102004.0</v>
      </c>
      <c r="F159" s="34">
        <v>362162.0</v>
      </c>
      <c r="G159" s="34">
        <v>82623.0</v>
      </c>
      <c r="H159" s="34">
        <v>0.0</v>
      </c>
      <c r="I159" s="34">
        <v>5.733320921E9</v>
      </c>
      <c r="J159" s="34">
        <v>4.426139492E9</v>
      </c>
      <c r="K159" s="34">
        <v>2685.0</v>
      </c>
      <c r="L159" s="33" t="s">
        <v>327</v>
      </c>
      <c r="M159" s="33">
        <v>23.0</v>
      </c>
      <c r="N159" s="33"/>
      <c r="O159" s="33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1.45295709E8</v>
      </c>
      <c r="B160" s="31" t="s">
        <v>423</v>
      </c>
      <c r="C160" s="32">
        <v>2.7618898E7</v>
      </c>
      <c r="D160" s="32">
        <v>3.2561982E7</v>
      </c>
      <c r="E160" s="32">
        <v>2231362.0</v>
      </c>
      <c r="F160" s="32">
        <v>1891027.0</v>
      </c>
      <c r="G160" s="32">
        <v>367161.0</v>
      </c>
      <c r="H160" s="32">
        <v>0.0</v>
      </c>
      <c r="I160" s="32">
        <v>2.75326985E9</v>
      </c>
      <c r="J160" s="32">
        <v>8.1594054E7</v>
      </c>
      <c r="K160" s="32">
        <v>7474.0</v>
      </c>
      <c r="L160" s="31" t="s">
        <v>66</v>
      </c>
      <c r="M160" s="31">
        <v>25.0</v>
      </c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1.75314255E8</v>
      </c>
      <c r="B161" s="31" t="s">
        <v>179</v>
      </c>
      <c r="C161" s="32">
        <v>2.7530525E7</v>
      </c>
      <c r="D161" s="32">
        <v>2.2022689E7</v>
      </c>
      <c r="E161" s="32">
        <v>3465707.0</v>
      </c>
      <c r="F161" s="32">
        <v>1320076.0</v>
      </c>
      <c r="G161" s="32">
        <v>412977.0</v>
      </c>
      <c r="H161" s="32">
        <v>0.0</v>
      </c>
      <c r="I161" s="32">
        <v>3.952110702E9</v>
      </c>
      <c r="J161" s="32">
        <v>1.22435684E8</v>
      </c>
      <c r="K161" s="32">
        <v>8861.0</v>
      </c>
      <c r="L161" s="31" t="s">
        <v>490</v>
      </c>
      <c r="M161" s="31">
        <v>25.0</v>
      </c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1.71695315E8</v>
      </c>
      <c r="B162" s="31" t="s">
        <v>605</v>
      </c>
      <c r="C162" s="32">
        <v>2.7308869E7</v>
      </c>
      <c r="D162" s="32">
        <v>9.2528675E7</v>
      </c>
      <c r="E162" s="32">
        <v>1937609.0</v>
      </c>
      <c r="F162" s="32">
        <v>6618832.0</v>
      </c>
      <c r="G162" s="32">
        <v>751123.0</v>
      </c>
      <c r="H162" s="32">
        <v>0.0</v>
      </c>
      <c r="I162" s="32">
        <v>4.105979997E9</v>
      </c>
      <c r="J162" s="32">
        <v>1.659255302E9</v>
      </c>
      <c r="K162" s="32">
        <v>9428.0</v>
      </c>
      <c r="L162" s="31" t="s">
        <v>66</v>
      </c>
      <c r="M162" s="31">
        <v>25.0</v>
      </c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1.48121991E8</v>
      </c>
      <c r="B163" s="31" t="s">
        <v>526</v>
      </c>
      <c r="C163" s="32">
        <v>2.6403844E7</v>
      </c>
      <c r="D163" s="32">
        <v>4.0725359E7</v>
      </c>
      <c r="E163" s="32">
        <v>6096345.0</v>
      </c>
      <c r="F163" s="32">
        <v>2047991.0</v>
      </c>
      <c r="G163" s="32">
        <v>986703.0</v>
      </c>
      <c r="H163" s="32">
        <v>0.0</v>
      </c>
      <c r="I163" s="32">
        <v>3.171328718E9</v>
      </c>
      <c r="J163" s="32">
        <v>9.57106624E8</v>
      </c>
      <c r="K163" s="32">
        <v>9088.0</v>
      </c>
      <c r="L163" s="31" t="s">
        <v>165</v>
      </c>
      <c r="M163" s="31">
        <v>25.0</v>
      </c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1.46036286E8</v>
      </c>
      <c r="B164" s="31" t="s">
        <v>205</v>
      </c>
      <c r="C164" s="32">
        <v>2.6397913E7</v>
      </c>
      <c r="D164" s="32">
        <v>4.1952764E7</v>
      </c>
      <c r="E164" s="32">
        <v>4816318.0</v>
      </c>
      <c r="F164" s="32">
        <v>2761806.0</v>
      </c>
      <c r="G164" s="32">
        <v>521469.0</v>
      </c>
      <c r="H164" s="32">
        <v>0.0</v>
      </c>
      <c r="I164" s="32">
        <v>1.9301135682E10</v>
      </c>
      <c r="J164" s="32">
        <v>1.1028223974E10</v>
      </c>
      <c r="K164" s="32">
        <v>5556.0</v>
      </c>
      <c r="L164" s="31" t="s">
        <v>165</v>
      </c>
      <c r="M164" s="31">
        <v>25.0</v>
      </c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1.44103022E8</v>
      </c>
      <c r="B165" s="31" t="s">
        <v>198</v>
      </c>
      <c r="C165" s="32">
        <v>2.6252067E7</v>
      </c>
      <c r="D165" s="32">
        <v>2532035.0</v>
      </c>
      <c r="E165" s="32">
        <v>640494.0</v>
      </c>
      <c r="F165" s="32">
        <v>90202.0</v>
      </c>
      <c r="G165" s="32">
        <v>0.0</v>
      </c>
      <c r="H165" s="32">
        <v>0.0</v>
      </c>
      <c r="I165" s="32">
        <v>1.52701049E9</v>
      </c>
      <c r="J165" s="32">
        <v>3428957.0</v>
      </c>
      <c r="K165" s="32">
        <v>1225.0</v>
      </c>
      <c r="L165" s="31" t="s">
        <v>66</v>
      </c>
      <c r="M165" s="31">
        <v>25.0</v>
      </c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1.7395388E8</v>
      </c>
      <c r="B166" s="31" t="s">
        <v>422</v>
      </c>
      <c r="C166" s="32">
        <v>2.6067065E7</v>
      </c>
      <c r="D166" s="32">
        <v>1648460.0</v>
      </c>
      <c r="E166" s="32">
        <v>1653283.0</v>
      </c>
      <c r="F166" s="32">
        <v>106204.0</v>
      </c>
      <c r="G166" s="32">
        <v>28128.0</v>
      </c>
      <c r="H166" s="32">
        <v>0.0</v>
      </c>
      <c r="I166" s="32">
        <v>4.698460226E9</v>
      </c>
      <c r="J166" s="32">
        <v>3.346021861E9</v>
      </c>
      <c r="K166" s="32">
        <v>2383.0</v>
      </c>
      <c r="L166" s="31" t="s">
        <v>327</v>
      </c>
      <c r="M166" s="31">
        <v>25.0</v>
      </c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1.38821863E8</v>
      </c>
      <c r="B167" s="31" t="s">
        <v>186</v>
      </c>
      <c r="C167" s="32">
        <v>2.6768041E7</v>
      </c>
      <c r="D167" s="32">
        <v>2.5263796E7</v>
      </c>
      <c r="E167" s="32">
        <v>1656998.0</v>
      </c>
      <c r="F167" s="32">
        <v>2006020.0</v>
      </c>
      <c r="G167" s="32">
        <v>109825.0</v>
      </c>
      <c r="H167" s="32">
        <v>0.0</v>
      </c>
      <c r="I167" s="32">
        <v>4.648327454E9</v>
      </c>
      <c r="J167" s="32">
        <v>6.36064786E8</v>
      </c>
      <c r="K167" s="32">
        <v>8544.0</v>
      </c>
      <c r="L167" s="31" t="s">
        <v>66</v>
      </c>
      <c r="M167" s="31">
        <v>25.0</v>
      </c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6.1106312E7</v>
      </c>
      <c r="B168" s="31" t="s">
        <v>201</v>
      </c>
      <c r="C168" s="32">
        <v>2.516611E7</v>
      </c>
      <c r="D168" s="32">
        <v>1.32416434E8</v>
      </c>
      <c r="E168" s="32">
        <v>6453062.0</v>
      </c>
      <c r="F168" s="32">
        <v>8246061.0</v>
      </c>
      <c r="G168" s="32">
        <v>1563515.0</v>
      </c>
      <c r="H168" s="32">
        <v>0.0</v>
      </c>
      <c r="I168" s="32">
        <v>1.5164087746E10</v>
      </c>
      <c r="J168" s="32">
        <v>1.6233438464E10</v>
      </c>
      <c r="K168" s="32">
        <v>12350.0</v>
      </c>
      <c r="L168" s="31" t="s">
        <v>165</v>
      </c>
      <c r="M168" s="31">
        <v>25.0</v>
      </c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1.57398284E8</v>
      </c>
      <c r="B169" s="31" t="s">
        <v>380</v>
      </c>
      <c r="C169" s="32">
        <v>2.5127669E7</v>
      </c>
      <c r="D169" s="32">
        <v>4812381.0</v>
      </c>
      <c r="E169" s="32">
        <v>1021778.0</v>
      </c>
      <c r="F169" s="32">
        <v>318827.0</v>
      </c>
      <c r="G169" s="32">
        <v>52796.0</v>
      </c>
      <c r="H169" s="32">
        <v>0.0</v>
      </c>
      <c r="I169" s="32">
        <v>1.2831090767E10</v>
      </c>
      <c r="J169" s="32">
        <v>6.116E9</v>
      </c>
      <c r="K169" s="32">
        <v>4180.0</v>
      </c>
      <c r="L169" s="31" t="s">
        <v>165</v>
      </c>
      <c r="M169" s="31">
        <v>25.0</v>
      </c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3">
        <v>7.1189562E7</v>
      </c>
      <c r="B170" s="33" t="s">
        <v>199</v>
      </c>
      <c r="C170" s="34">
        <v>2.511424E7</v>
      </c>
      <c r="D170" s="34">
        <v>2408509.0</v>
      </c>
      <c r="E170" s="34">
        <v>823250.0</v>
      </c>
      <c r="F170" s="34">
        <v>172952.0</v>
      </c>
      <c r="G170" s="34">
        <v>26188.0</v>
      </c>
      <c r="H170" s="34">
        <v>0.0</v>
      </c>
      <c r="I170" s="34">
        <v>1.1454793944E10</v>
      </c>
      <c r="J170" s="34">
        <v>1.1772249753E10</v>
      </c>
      <c r="K170" s="34">
        <v>2892.0</v>
      </c>
      <c r="L170" s="33" t="s">
        <v>327</v>
      </c>
      <c r="M170" s="33">
        <v>24.0</v>
      </c>
      <c r="N170" s="33"/>
      <c r="O170" s="33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1.5669236E8</v>
      </c>
      <c r="B171" s="31" t="s">
        <v>606</v>
      </c>
      <c r="C171" s="32">
        <v>2.4697052E7</v>
      </c>
      <c r="D171" s="32">
        <v>292546.0</v>
      </c>
      <c r="E171" s="32">
        <v>0.0</v>
      </c>
      <c r="F171" s="32">
        <v>25389.0</v>
      </c>
      <c r="G171" s="32">
        <v>0.0</v>
      </c>
      <c r="H171" s="32">
        <v>0.0</v>
      </c>
      <c r="I171" s="32">
        <v>4.407958017E9</v>
      </c>
      <c r="J171" s="32">
        <v>3.152482684E9</v>
      </c>
      <c r="K171" s="32">
        <v>1843.0</v>
      </c>
      <c r="L171" s="31" t="s">
        <v>165</v>
      </c>
      <c r="M171" s="31">
        <v>25.0</v>
      </c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7.7531879E7</v>
      </c>
      <c r="B172" s="31" t="s">
        <v>460</v>
      </c>
      <c r="C172" s="32">
        <v>2.347716E7</v>
      </c>
      <c r="D172" s="32">
        <v>4537895.0</v>
      </c>
      <c r="E172" s="32">
        <v>76522.0</v>
      </c>
      <c r="F172" s="32">
        <v>104025.0</v>
      </c>
      <c r="G172" s="32">
        <v>174604.0</v>
      </c>
      <c r="H172" s="32">
        <v>0.0</v>
      </c>
      <c r="I172" s="32">
        <v>8.703533612E9</v>
      </c>
      <c r="J172" s="32">
        <v>1.0691935775E10</v>
      </c>
      <c r="K172" s="32">
        <v>3889.0</v>
      </c>
      <c r="L172" s="31" t="s">
        <v>327</v>
      </c>
      <c r="M172" s="31">
        <v>25.0</v>
      </c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1.48355572E8</v>
      </c>
      <c r="B173" s="31" t="s">
        <v>209</v>
      </c>
      <c r="C173" s="32">
        <v>2.3315386E7</v>
      </c>
      <c r="D173" s="32">
        <v>8739485.0</v>
      </c>
      <c r="E173" s="32">
        <v>2046882.0</v>
      </c>
      <c r="F173" s="32">
        <v>645107.0</v>
      </c>
      <c r="G173" s="32">
        <v>92543.0</v>
      </c>
      <c r="H173" s="32">
        <v>0.0</v>
      </c>
      <c r="I173" s="32">
        <v>2.32035092E9</v>
      </c>
      <c r="J173" s="32">
        <v>2.23164667E8</v>
      </c>
      <c r="K173" s="32">
        <v>1676.0</v>
      </c>
      <c r="L173" s="31" t="s">
        <v>327</v>
      </c>
      <c r="M173" s="31">
        <v>25.0</v>
      </c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3">
        <v>4.8558795E7</v>
      </c>
      <c r="B174" s="33" t="s">
        <v>208</v>
      </c>
      <c r="C174" s="34">
        <v>2.3034409E7</v>
      </c>
      <c r="D174" s="34">
        <v>1928497.0</v>
      </c>
      <c r="E174" s="34">
        <v>461565.0</v>
      </c>
      <c r="F174" s="34">
        <v>141444.0</v>
      </c>
      <c r="G174" s="34">
        <v>25698.0</v>
      </c>
      <c r="H174" s="34">
        <v>0.0</v>
      </c>
      <c r="I174" s="34">
        <v>1.0598134688E10</v>
      </c>
      <c r="J174" s="34">
        <v>1.2753008827E10</v>
      </c>
      <c r="K174" s="34">
        <v>2496.0</v>
      </c>
      <c r="L174" s="33" t="s">
        <v>327</v>
      </c>
      <c r="M174" s="33">
        <v>24.0</v>
      </c>
      <c r="N174" s="33"/>
      <c r="O174" s="33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1.74530133E8</v>
      </c>
      <c r="B175" s="31" t="s">
        <v>214</v>
      </c>
      <c r="C175" s="32">
        <v>2.2858141E7</v>
      </c>
      <c r="D175" s="32">
        <v>2253561.0</v>
      </c>
      <c r="E175" s="32">
        <v>331940.0</v>
      </c>
      <c r="F175" s="32">
        <v>27691.0</v>
      </c>
      <c r="G175" s="32">
        <v>96770.0</v>
      </c>
      <c r="H175" s="32">
        <v>0.0</v>
      </c>
      <c r="I175" s="32">
        <v>1.4459444901E10</v>
      </c>
      <c r="J175" s="32">
        <v>1.1791635993E10</v>
      </c>
      <c r="K175" s="32">
        <v>3482.0</v>
      </c>
      <c r="L175" s="31" t="s">
        <v>165</v>
      </c>
      <c r="M175" s="31">
        <v>25.0</v>
      </c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6.9795161E7</v>
      </c>
      <c r="B176" s="31" t="s">
        <v>482</v>
      </c>
      <c r="C176" s="32">
        <v>2.2829351E7</v>
      </c>
      <c r="D176" s="32">
        <v>488794.0</v>
      </c>
      <c r="E176" s="32">
        <v>338212.0</v>
      </c>
      <c r="F176" s="32">
        <v>16633.0</v>
      </c>
      <c r="G176" s="32">
        <v>15983.0</v>
      </c>
      <c r="H176" s="32">
        <v>0.0</v>
      </c>
      <c r="I176" s="32">
        <v>5.106572935E9</v>
      </c>
      <c r="J176" s="32">
        <v>2.966813705E9</v>
      </c>
      <c r="K176" s="32">
        <v>2109.0</v>
      </c>
      <c r="L176" s="31" t="s">
        <v>66</v>
      </c>
      <c r="M176" s="31">
        <v>25.0</v>
      </c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1.58392134E8</v>
      </c>
      <c r="B177" s="31" t="s">
        <v>519</v>
      </c>
      <c r="C177" s="32">
        <v>2.2588298E7</v>
      </c>
      <c r="D177" s="32">
        <v>3.7734494E7</v>
      </c>
      <c r="E177" s="32">
        <v>2752687.0</v>
      </c>
      <c r="F177" s="32">
        <v>2484524.0</v>
      </c>
      <c r="G177" s="32">
        <v>362349.0</v>
      </c>
      <c r="H177" s="32">
        <v>0.0</v>
      </c>
      <c r="I177" s="32">
        <v>3.58048921E9</v>
      </c>
      <c r="J177" s="32">
        <v>2.195290365E9</v>
      </c>
      <c r="K177" s="32">
        <v>13681.0</v>
      </c>
      <c r="L177" s="31" t="s">
        <v>490</v>
      </c>
      <c r="M177" s="31">
        <v>25.0</v>
      </c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1.71556791E8</v>
      </c>
      <c r="B178" s="31" t="s">
        <v>462</v>
      </c>
      <c r="C178" s="32">
        <v>2.226208E7</v>
      </c>
      <c r="D178" s="32">
        <v>4949159.0</v>
      </c>
      <c r="E178" s="32">
        <v>626101.0</v>
      </c>
      <c r="F178" s="32">
        <v>210000.0</v>
      </c>
      <c r="G178" s="32">
        <v>116244.0</v>
      </c>
      <c r="H178" s="32">
        <v>0.0</v>
      </c>
      <c r="I178" s="32">
        <v>7.599879678E9</v>
      </c>
      <c r="J178" s="32">
        <v>1.3095410321E10</v>
      </c>
      <c r="K178" s="32">
        <v>3515.0</v>
      </c>
      <c r="L178" s="31" t="s">
        <v>327</v>
      </c>
      <c r="M178" s="31">
        <v>25.0</v>
      </c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3">
        <v>1.71989291E8</v>
      </c>
      <c r="B179" s="33" t="s">
        <v>224</v>
      </c>
      <c r="C179" s="34">
        <v>2.2107349E7</v>
      </c>
      <c r="D179" s="34">
        <v>1953757.0</v>
      </c>
      <c r="E179" s="34">
        <v>1329583.0</v>
      </c>
      <c r="F179" s="34">
        <v>2019.0</v>
      </c>
      <c r="G179" s="34">
        <v>94344.0</v>
      </c>
      <c r="H179" s="34">
        <v>0.0</v>
      </c>
      <c r="I179" s="34">
        <v>9.537741072E9</v>
      </c>
      <c r="J179" s="34">
        <v>6.708396395E9</v>
      </c>
      <c r="K179" s="34">
        <v>3367.0</v>
      </c>
      <c r="L179" s="33" t="s">
        <v>327</v>
      </c>
      <c r="M179" s="33">
        <v>24.0</v>
      </c>
      <c r="N179" s="33"/>
      <c r="O179" s="33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1">
        <v>1.82087307E8</v>
      </c>
      <c r="B180" s="31" t="s">
        <v>553</v>
      </c>
      <c r="C180" s="32">
        <v>2.1811577E7</v>
      </c>
      <c r="D180" s="32">
        <v>7504946.0</v>
      </c>
      <c r="E180" s="32">
        <v>2789848.0</v>
      </c>
      <c r="F180" s="32">
        <v>263800.0</v>
      </c>
      <c r="G180" s="32">
        <v>216226.0</v>
      </c>
      <c r="H180" s="32">
        <v>0.0</v>
      </c>
      <c r="I180" s="32">
        <v>9.96530005E8</v>
      </c>
      <c r="J180" s="32">
        <v>1710.0</v>
      </c>
      <c r="K180" s="32">
        <v>2455.0</v>
      </c>
      <c r="L180" s="31" t="s">
        <v>66</v>
      </c>
      <c r="M180" s="31">
        <v>25.0</v>
      </c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33">
        <v>1.85391227E8</v>
      </c>
      <c r="B181" s="33" t="s">
        <v>607</v>
      </c>
      <c r="C181" s="34">
        <v>2.1760943E7</v>
      </c>
      <c r="D181" s="34">
        <v>4933077.0</v>
      </c>
      <c r="E181" s="34">
        <v>964026.0</v>
      </c>
      <c r="F181" s="34">
        <v>214.0</v>
      </c>
      <c r="G181" s="34">
        <v>246545.0</v>
      </c>
      <c r="H181" s="34">
        <v>0.0</v>
      </c>
      <c r="I181" s="34">
        <v>7.063872135E9</v>
      </c>
      <c r="J181" s="34">
        <v>4.184421399E9</v>
      </c>
      <c r="K181" s="34">
        <v>2303.0</v>
      </c>
      <c r="L181" s="33" t="s">
        <v>490</v>
      </c>
      <c r="M181" s="33">
        <v>24.0</v>
      </c>
      <c r="N181" s="33"/>
      <c r="O181" s="33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3">
        <v>1.44032974E8</v>
      </c>
      <c r="B182" s="33" t="s">
        <v>500</v>
      </c>
      <c r="C182" s="34">
        <v>2.103679E7</v>
      </c>
      <c r="D182" s="34">
        <v>883270.0</v>
      </c>
      <c r="E182" s="34">
        <v>1317329.0</v>
      </c>
      <c r="F182" s="34">
        <v>5489.0</v>
      </c>
      <c r="G182" s="34">
        <v>39094.0</v>
      </c>
      <c r="H182" s="34">
        <v>0.0</v>
      </c>
      <c r="I182" s="34">
        <v>1.775405821E9</v>
      </c>
      <c r="J182" s="34">
        <v>0.0</v>
      </c>
      <c r="K182" s="34">
        <v>2155.0</v>
      </c>
      <c r="L182" s="33" t="s">
        <v>490</v>
      </c>
      <c r="M182" s="33">
        <v>24.0</v>
      </c>
      <c r="N182" s="33"/>
      <c r="O182" s="33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1.5809248E8</v>
      </c>
      <c r="B183" s="31" t="s">
        <v>554</v>
      </c>
      <c r="C183" s="32">
        <v>2.103431E7</v>
      </c>
      <c r="D183" s="32">
        <v>3.8979132E7</v>
      </c>
      <c r="E183" s="32">
        <v>3460836.0</v>
      </c>
      <c r="F183" s="32">
        <v>3359048.0</v>
      </c>
      <c r="G183" s="32">
        <v>222950.0</v>
      </c>
      <c r="H183" s="32">
        <v>0.0</v>
      </c>
      <c r="I183" s="32">
        <v>2.123015241E9</v>
      </c>
      <c r="J183" s="32">
        <v>2.81261089E8</v>
      </c>
      <c r="K183" s="32">
        <v>4440.0</v>
      </c>
      <c r="L183" s="31" t="s">
        <v>327</v>
      </c>
      <c r="M183" s="31">
        <v>25.0</v>
      </c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1.4586076E8</v>
      </c>
      <c r="B184" s="31" t="s">
        <v>223</v>
      </c>
      <c r="C184" s="32">
        <v>2.0212252E7</v>
      </c>
      <c r="D184" s="32">
        <v>2503746.0</v>
      </c>
      <c r="E184" s="32">
        <v>641516.0</v>
      </c>
      <c r="F184" s="32">
        <v>204412.0</v>
      </c>
      <c r="G184" s="32">
        <v>0.0</v>
      </c>
      <c r="H184" s="32">
        <v>0.0</v>
      </c>
      <c r="I184" s="32">
        <v>7.236146662E9</v>
      </c>
      <c r="J184" s="32">
        <v>7.106242499E9</v>
      </c>
      <c r="K184" s="32">
        <v>3157.0</v>
      </c>
      <c r="L184" s="31" t="s">
        <v>327</v>
      </c>
      <c r="M184" s="31">
        <v>25.0</v>
      </c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3">
        <v>1.73351722E8</v>
      </c>
      <c r="B185" s="33" t="s">
        <v>236</v>
      </c>
      <c r="C185" s="34">
        <v>1.9970183E7</v>
      </c>
      <c r="D185" s="34">
        <v>6917648.0</v>
      </c>
      <c r="E185" s="34">
        <v>471728.0</v>
      </c>
      <c r="F185" s="34">
        <v>336667.0</v>
      </c>
      <c r="G185" s="34">
        <v>174317.0</v>
      </c>
      <c r="H185" s="34">
        <v>0.0</v>
      </c>
      <c r="I185" s="34">
        <v>8.900342926E9</v>
      </c>
      <c r="J185" s="34">
        <v>4.208861579E9</v>
      </c>
      <c r="K185" s="34">
        <v>1735.0</v>
      </c>
      <c r="L185" s="33" t="s">
        <v>327</v>
      </c>
      <c r="M185" s="33">
        <v>24.0</v>
      </c>
      <c r="N185" s="33"/>
      <c r="O185" s="33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3">
        <v>1.47792502E8</v>
      </c>
      <c r="B186" s="33" t="s">
        <v>232</v>
      </c>
      <c r="C186" s="34">
        <v>1.9924226E7</v>
      </c>
      <c r="D186" s="34">
        <v>1.5109036E7</v>
      </c>
      <c r="E186" s="34">
        <v>501345.0</v>
      </c>
      <c r="F186" s="34">
        <v>1325650.0</v>
      </c>
      <c r="G186" s="34">
        <v>46085.0</v>
      </c>
      <c r="H186" s="34">
        <v>0.0</v>
      </c>
      <c r="I186" s="34">
        <v>1.7707720711E10</v>
      </c>
      <c r="J186" s="34">
        <v>1.3084532961E10</v>
      </c>
      <c r="K186" s="34">
        <v>6520.0</v>
      </c>
      <c r="L186" s="33" t="s">
        <v>327</v>
      </c>
      <c r="M186" s="33">
        <v>24.0</v>
      </c>
      <c r="N186" s="33"/>
      <c r="O186" s="33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1.44096624E8</v>
      </c>
      <c r="B187" s="31" t="s">
        <v>225</v>
      </c>
      <c r="C187" s="32">
        <v>1.9807737E7</v>
      </c>
      <c r="D187" s="32">
        <v>2.0860906E7</v>
      </c>
      <c r="E187" s="32">
        <v>1133063.0</v>
      </c>
      <c r="F187" s="32">
        <v>1602950.0</v>
      </c>
      <c r="G187" s="32">
        <v>189560.0</v>
      </c>
      <c r="H187" s="32">
        <v>0.0</v>
      </c>
      <c r="I187" s="32">
        <v>2.371662784E9</v>
      </c>
      <c r="J187" s="32">
        <v>3.1594992E8</v>
      </c>
      <c r="K187" s="32">
        <v>4390.0</v>
      </c>
      <c r="L187" s="31" t="s">
        <v>66</v>
      </c>
      <c r="M187" s="31">
        <v>25.0</v>
      </c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3">
        <v>1.59674611E8</v>
      </c>
      <c r="B188" s="33" t="s">
        <v>260</v>
      </c>
      <c r="C188" s="34">
        <v>1.9804826E7</v>
      </c>
      <c r="D188" s="34">
        <v>932235.0</v>
      </c>
      <c r="E188" s="34">
        <v>136798.0</v>
      </c>
      <c r="F188" s="34">
        <v>5166.0</v>
      </c>
      <c r="G188" s="34">
        <v>0.0</v>
      </c>
      <c r="H188" s="34">
        <v>0.0</v>
      </c>
      <c r="I188" s="34">
        <v>2.944523615E9</v>
      </c>
      <c r="J188" s="34">
        <v>8.00719676E8</v>
      </c>
      <c r="K188" s="34">
        <v>2328.0</v>
      </c>
      <c r="L188" s="33" t="s">
        <v>490</v>
      </c>
      <c r="M188" s="33">
        <v>23.0</v>
      </c>
      <c r="N188" s="33"/>
      <c r="O188" s="33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3">
        <v>1.75706269E8</v>
      </c>
      <c r="B189" s="33" t="s">
        <v>219</v>
      </c>
      <c r="C189" s="34">
        <v>1.9773366E7</v>
      </c>
      <c r="D189" s="34">
        <v>8860602.0</v>
      </c>
      <c r="E189" s="34">
        <v>1519238.0</v>
      </c>
      <c r="F189" s="34">
        <v>813972.0</v>
      </c>
      <c r="G189" s="34">
        <v>23044.0</v>
      </c>
      <c r="H189" s="34">
        <v>0.0</v>
      </c>
      <c r="I189" s="34">
        <v>2.767384926E9</v>
      </c>
      <c r="J189" s="34">
        <v>3.22468511E8</v>
      </c>
      <c r="K189" s="34">
        <v>1069.0</v>
      </c>
      <c r="L189" s="33" t="s">
        <v>220</v>
      </c>
      <c r="M189" s="33">
        <v>24.0</v>
      </c>
      <c r="N189" s="33"/>
      <c r="O189" s="33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3">
        <v>1.72587132E8</v>
      </c>
      <c r="B190" s="33" t="s">
        <v>212</v>
      </c>
      <c r="C190" s="34">
        <v>1.9727766E7</v>
      </c>
      <c r="D190" s="34">
        <v>4484283.0</v>
      </c>
      <c r="E190" s="34">
        <v>1579652.0</v>
      </c>
      <c r="F190" s="34">
        <v>383297.0</v>
      </c>
      <c r="G190" s="34">
        <v>14165.0</v>
      </c>
      <c r="H190" s="34">
        <v>0.0</v>
      </c>
      <c r="I190" s="34">
        <v>1.1863232775E10</v>
      </c>
      <c r="J190" s="34">
        <v>1.1627061896E10</v>
      </c>
      <c r="K190" s="34">
        <v>3969.0</v>
      </c>
      <c r="L190" s="33" t="s">
        <v>66</v>
      </c>
      <c r="M190" s="33">
        <v>23.0</v>
      </c>
      <c r="N190" s="33"/>
      <c r="O190" s="33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3">
        <v>1.63370871E8</v>
      </c>
      <c r="B191" s="33" t="s">
        <v>555</v>
      </c>
      <c r="C191" s="34">
        <v>1.9403091E7</v>
      </c>
      <c r="D191" s="34">
        <v>1.052954E7</v>
      </c>
      <c r="E191" s="34">
        <v>278845.0</v>
      </c>
      <c r="F191" s="34">
        <v>1047221.0</v>
      </c>
      <c r="G191" s="34">
        <v>0.0</v>
      </c>
      <c r="H191" s="34">
        <v>0.0</v>
      </c>
      <c r="I191" s="34">
        <v>6.1344494E9</v>
      </c>
      <c r="J191" s="34">
        <v>1.22210377E9</v>
      </c>
      <c r="K191" s="34">
        <v>3855.0</v>
      </c>
      <c r="L191" s="33" t="s">
        <v>66</v>
      </c>
      <c r="M191" s="33">
        <v>24.0</v>
      </c>
      <c r="N191" s="33"/>
      <c r="O191" s="33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1.07309959E8</v>
      </c>
      <c r="B192" s="31" t="s">
        <v>229</v>
      </c>
      <c r="C192" s="32">
        <v>1.9240656E7</v>
      </c>
      <c r="D192" s="32">
        <v>880638.0</v>
      </c>
      <c r="E192" s="32">
        <v>633209.0</v>
      </c>
      <c r="F192" s="32">
        <v>19253.0</v>
      </c>
      <c r="G192" s="32">
        <v>0.0</v>
      </c>
      <c r="H192" s="32">
        <v>0.0</v>
      </c>
      <c r="I192" s="32">
        <v>4.380439337E9</v>
      </c>
      <c r="J192" s="32">
        <v>1.692E9</v>
      </c>
      <c r="K192" s="32">
        <v>2328.0</v>
      </c>
      <c r="L192" s="31" t="s">
        <v>327</v>
      </c>
      <c r="M192" s="31">
        <v>25.0</v>
      </c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1.71588291E8</v>
      </c>
      <c r="B193" s="31" t="s">
        <v>608</v>
      </c>
      <c r="C193" s="32">
        <v>1.8915269E7</v>
      </c>
      <c r="D193" s="32">
        <v>7426100.0</v>
      </c>
      <c r="E193" s="32">
        <v>1846121.0</v>
      </c>
      <c r="F193" s="32">
        <v>495824.0</v>
      </c>
      <c r="G193" s="32">
        <v>49228.0</v>
      </c>
      <c r="H193" s="32">
        <v>0.0</v>
      </c>
      <c r="I193" s="32">
        <v>6.03715289E8</v>
      </c>
      <c r="J193" s="32">
        <v>1.06086114E8</v>
      </c>
      <c r="K193" s="32">
        <v>6051.0</v>
      </c>
      <c r="L193" s="31" t="s">
        <v>66</v>
      </c>
      <c r="M193" s="31">
        <v>25.0</v>
      </c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1">
        <v>1.20777788E8</v>
      </c>
      <c r="B194" s="31" t="s">
        <v>243</v>
      </c>
      <c r="C194" s="32">
        <v>1.8575884E7</v>
      </c>
      <c r="D194" s="32">
        <v>4909327.0</v>
      </c>
      <c r="E194" s="32">
        <v>2915331.0</v>
      </c>
      <c r="F194" s="32">
        <v>337930.0</v>
      </c>
      <c r="G194" s="32">
        <v>75001.0</v>
      </c>
      <c r="H194" s="32">
        <v>0.0</v>
      </c>
      <c r="I194" s="32">
        <v>8.543328343E9</v>
      </c>
      <c r="J194" s="32">
        <v>5.753862172E9</v>
      </c>
      <c r="K194" s="32">
        <v>2456.0</v>
      </c>
      <c r="L194" s="31" t="s">
        <v>66</v>
      </c>
      <c r="M194" s="31">
        <v>25.0</v>
      </c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33">
        <v>1.26974968E8</v>
      </c>
      <c r="B195" s="33" t="s">
        <v>244</v>
      </c>
      <c r="C195" s="34">
        <v>1.8405106E7</v>
      </c>
      <c r="D195" s="34">
        <v>1232807.0</v>
      </c>
      <c r="E195" s="34">
        <v>877225.0</v>
      </c>
      <c r="F195" s="34">
        <v>56920.0</v>
      </c>
      <c r="G195" s="34">
        <v>25459.0</v>
      </c>
      <c r="H195" s="34">
        <v>0.0</v>
      </c>
      <c r="I195" s="34">
        <v>8.895384831E9</v>
      </c>
      <c r="J195" s="34">
        <v>1.0155413938E10</v>
      </c>
      <c r="K195" s="34">
        <v>2644.0</v>
      </c>
      <c r="L195" s="33" t="s">
        <v>34</v>
      </c>
      <c r="M195" s="33">
        <v>24.0</v>
      </c>
      <c r="N195" s="33"/>
      <c r="O195" s="33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3">
        <v>1.44114159E8</v>
      </c>
      <c r="B196" s="33" t="s">
        <v>241</v>
      </c>
      <c r="C196" s="34">
        <v>1.8160092E7</v>
      </c>
      <c r="D196" s="34">
        <v>377570.0</v>
      </c>
      <c r="E196" s="34">
        <v>78932.0</v>
      </c>
      <c r="F196" s="34">
        <v>9565.0</v>
      </c>
      <c r="G196" s="34">
        <v>0.0</v>
      </c>
      <c r="H196" s="34">
        <v>0.0</v>
      </c>
      <c r="I196" s="34">
        <v>1.538049538E9</v>
      </c>
      <c r="J196" s="34">
        <v>1424156.0</v>
      </c>
      <c r="K196" s="34">
        <v>1962.0</v>
      </c>
      <c r="L196" s="33" t="s">
        <v>264</v>
      </c>
      <c r="M196" s="33">
        <v>23.0</v>
      </c>
      <c r="N196" s="33"/>
      <c r="O196" s="33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3">
        <v>1.72730913E8</v>
      </c>
      <c r="B197" s="33" t="s">
        <v>221</v>
      </c>
      <c r="C197" s="34">
        <v>1.7941505E7</v>
      </c>
      <c r="D197" s="34">
        <v>0.0</v>
      </c>
      <c r="E197" s="34">
        <v>0.0</v>
      </c>
      <c r="F197" s="34">
        <v>0.0</v>
      </c>
      <c r="G197" s="34">
        <v>0.0</v>
      </c>
      <c r="H197" s="34">
        <v>0.0</v>
      </c>
      <c r="I197" s="34">
        <v>4.206148846E9</v>
      </c>
      <c r="J197" s="34">
        <v>1.54E7</v>
      </c>
      <c r="K197" s="34">
        <v>1544.0</v>
      </c>
      <c r="L197" s="33" t="s">
        <v>327</v>
      </c>
      <c r="M197" s="33">
        <v>23.0</v>
      </c>
      <c r="N197" s="33"/>
      <c r="O197" s="33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3">
        <v>1.4065212E8</v>
      </c>
      <c r="B198" s="33" t="s">
        <v>238</v>
      </c>
      <c r="C198" s="34">
        <v>1.7927011E7</v>
      </c>
      <c r="D198" s="34">
        <v>4405441.0</v>
      </c>
      <c r="E198" s="34">
        <v>2093014.0</v>
      </c>
      <c r="F198" s="34">
        <v>310893.0</v>
      </c>
      <c r="G198" s="34">
        <v>64515.0</v>
      </c>
      <c r="H198" s="34">
        <v>0.0</v>
      </c>
      <c r="I198" s="34">
        <v>1.4690007259E10</v>
      </c>
      <c r="J198" s="34">
        <v>1.5489595113E10</v>
      </c>
      <c r="K198" s="34">
        <v>5339.0</v>
      </c>
      <c r="L198" s="33" t="s">
        <v>327</v>
      </c>
      <c r="M198" s="33">
        <v>24.0</v>
      </c>
      <c r="N198" s="33"/>
      <c r="O198" s="33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3">
        <v>1.78556109E8</v>
      </c>
      <c r="B199" s="33" t="s">
        <v>248</v>
      </c>
      <c r="C199" s="34">
        <v>1.7731095E7</v>
      </c>
      <c r="D199" s="34">
        <v>1240300.0</v>
      </c>
      <c r="E199" s="34">
        <v>125805.0</v>
      </c>
      <c r="F199" s="34">
        <v>7308.0</v>
      </c>
      <c r="G199" s="34">
        <v>58361.0</v>
      </c>
      <c r="H199" s="34">
        <v>0.0</v>
      </c>
      <c r="I199" s="34">
        <v>1.1838126645E10</v>
      </c>
      <c r="J199" s="34">
        <v>1.1321629033E10</v>
      </c>
      <c r="K199" s="34">
        <v>3441.0</v>
      </c>
      <c r="L199" s="33" t="s">
        <v>327</v>
      </c>
      <c r="M199" s="33">
        <v>24.0</v>
      </c>
      <c r="N199" s="33"/>
      <c r="O199" s="33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1.27147255E8</v>
      </c>
      <c r="B200" s="31" t="s">
        <v>249</v>
      </c>
      <c r="C200" s="32">
        <v>1.7603399E7</v>
      </c>
      <c r="D200" s="32">
        <v>1404762.0</v>
      </c>
      <c r="E200" s="32">
        <v>1620937.0</v>
      </c>
      <c r="F200" s="32">
        <v>23523.0</v>
      </c>
      <c r="G200" s="32">
        <v>57743.0</v>
      </c>
      <c r="H200" s="32">
        <v>0.0</v>
      </c>
      <c r="I200" s="32">
        <v>9.837805948E9</v>
      </c>
      <c r="J200" s="32">
        <v>1.3859252222E10</v>
      </c>
      <c r="K200" s="32">
        <v>2933.0</v>
      </c>
      <c r="L200" s="31" t="s">
        <v>34</v>
      </c>
      <c r="M200" s="31">
        <v>25.0</v>
      </c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1.44034439E8</v>
      </c>
      <c r="B201" s="31" t="s">
        <v>235</v>
      </c>
      <c r="C201" s="32">
        <v>1.7476901E7</v>
      </c>
      <c r="D201" s="32">
        <v>3185436.0</v>
      </c>
      <c r="E201" s="32">
        <v>5053227.0</v>
      </c>
      <c r="F201" s="32">
        <v>106493.0</v>
      </c>
      <c r="G201" s="32">
        <v>89020.0</v>
      </c>
      <c r="H201" s="32">
        <v>0.0</v>
      </c>
      <c r="I201" s="32">
        <v>9.162451956E9</v>
      </c>
      <c r="J201" s="32">
        <v>0.0</v>
      </c>
      <c r="K201" s="32">
        <v>7260.0</v>
      </c>
      <c r="L201" s="31" t="s">
        <v>165</v>
      </c>
      <c r="M201" s="31">
        <v>25.0</v>
      </c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3">
        <v>1.79309911E8</v>
      </c>
      <c r="B202" s="33" t="s">
        <v>250</v>
      </c>
      <c r="C202" s="34">
        <v>1.7271273E7</v>
      </c>
      <c r="D202" s="34">
        <v>3539957.0</v>
      </c>
      <c r="E202" s="34">
        <v>1463306.0</v>
      </c>
      <c r="F202" s="34">
        <v>321378.0</v>
      </c>
      <c r="G202" s="34">
        <v>5689.0</v>
      </c>
      <c r="H202" s="34">
        <v>0.0</v>
      </c>
      <c r="I202" s="34">
        <v>4.607853443E9</v>
      </c>
      <c r="J202" s="34">
        <v>2.29849922E9</v>
      </c>
      <c r="K202" s="34">
        <v>1314.0</v>
      </c>
      <c r="L202" s="33" t="s">
        <v>490</v>
      </c>
      <c r="M202" s="33">
        <v>24.0</v>
      </c>
      <c r="N202" s="33"/>
      <c r="O202" s="33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3">
        <v>1.72508036E8</v>
      </c>
      <c r="B203" s="33" t="s">
        <v>502</v>
      </c>
      <c r="C203" s="34">
        <v>1.722584E7</v>
      </c>
      <c r="D203" s="34">
        <v>1487288.0</v>
      </c>
      <c r="E203" s="34">
        <v>140168.0</v>
      </c>
      <c r="F203" s="34">
        <v>3651.0</v>
      </c>
      <c r="G203" s="34">
        <v>72359.0</v>
      </c>
      <c r="H203" s="34">
        <v>0.0</v>
      </c>
      <c r="I203" s="34">
        <v>2.718663724E9</v>
      </c>
      <c r="J203" s="34">
        <v>3.704E8</v>
      </c>
      <c r="K203" s="34">
        <v>1002.0</v>
      </c>
      <c r="L203" s="33" t="s">
        <v>327</v>
      </c>
      <c r="M203" s="33">
        <v>24.0</v>
      </c>
      <c r="N203" s="33"/>
      <c r="O203" s="33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1">
        <v>1.44068963E8</v>
      </c>
      <c r="B204" s="31" t="s">
        <v>239</v>
      </c>
      <c r="C204" s="32">
        <v>1.716218E7</v>
      </c>
      <c r="D204" s="32">
        <v>1242154.0</v>
      </c>
      <c r="E204" s="32">
        <v>1892316.0</v>
      </c>
      <c r="F204" s="32">
        <v>7009.0</v>
      </c>
      <c r="G204" s="32">
        <v>57313.0</v>
      </c>
      <c r="H204" s="32">
        <v>0.0</v>
      </c>
      <c r="I204" s="32">
        <v>1.78157596E9</v>
      </c>
      <c r="J204" s="32">
        <v>200000.0</v>
      </c>
      <c r="K204" s="32">
        <v>322.0</v>
      </c>
      <c r="L204" s="31" t="s">
        <v>240</v>
      </c>
      <c r="M204" s="31">
        <v>25.0</v>
      </c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3">
        <v>1.28213955E8</v>
      </c>
      <c r="B205" s="33" t="s">
        <v>253</v>
      </c>
      <c r="C205" s="34">
        <v>1.6811343E7</v>
      </c>
      <c r="D205" s="34">
        <v>75852.0</v>
      </c>
      <c r="E205" s="34">
        <v>0.0</v>
      </c>
      <c r="F205" s="34">
        <v>1254.0</v>
      </c>
      <c r="G205" s="34">
        <v>0.0</v>
      </c>
      <c r="H205" s="34">
        <v>0.0</v>
      </c>
      <c r="I205" s="34">
        <v>9.814129247E9</v>
      </c>
      <c r="J205" s="34">
        <v>1.1147508502E10</v>
      </c>
      <c r="K205" s="34">
        <v>2474.0</v>
      </c>
      <c r="L205" s="33" t="s">
        <v>34</v>
      </c>
      <c r="M205" s="33">
        <v>24.0</v>
      </c>
      <c r="N205" s="33"/>
      <c r="O205" s="33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9.3652844E7</v>
      </c>
      <c r="B206" s="31" t="s">
        <v>467</v>
      </c>
      <c r="C206" s="32">
        <v>1.6515576E7</v>
      </c>
      <c r="D206" s="32">
        <v>155776.0</v>
      </c>
      <c r="E206" s="32">
        <v>1024.0</v>
      </c>
      <c r="F206" s="32">
        <v>3171.0</v>
      </c>
      <c r="G206" s="32">
        <v>4808.0</v>
      </c>
      <c r="H206" s="32">
        <v>0.0</v>
      </c>
      <c r="I206" s="32">
        <v>5.489450471E9</v>
      </c>
      <c r="J206" s="32">
        <v>4.93765001E9</v>
      </c>
      <c r="K206" s="32">
        <v>1954.0</v>
      </c>
      <c r="L206" s="31" t="s">
        <v>327</v>
      </c>
      <c r="M206" s="31">
        <v>25.0</v>
      </c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3">
        <v>1.77786882E8</v>
      </c>
      <c r="B207" s="33" t="s">
        <v>242</v>
      </c>
      <c r="C207" s="34">
        <v>1.6186556E7</v>
      </c>
      <c r="D207" s="34">
        <v>322815.0</v>
      </c>
      <c r="E207" s="34">
        <v>2048.0</v>
      </c>
      <c r="F207" s="34">
        <v>6051.0</v>
      </c>
      <c r="G207" s="34">
        <v>13113.0</v>
      </c>
      <c r="H207" s="34">
        <v>0.0</v>
      </c>
      <c r="I207" s="34">
        <v>1.0768277039E10</v>
      </c>
      <c r="J207" s="34">
        <v>4.663775764E9</v>
      </c>
      <c r="K207" s="34">
        <v>2883.0</v>
      </c>
      <c r="L207" s="33" t="s">
        <v>327</v>
      </c>
      <c r="M207" s="33">
        <v>24.0</v>
      </c>
      <c r="N207" s="33"/>
      <c r="O207" s="33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3">
        <v>6.8552994E7</v>
      </c>
      <c r="B208" s="33" t="s">
        <v>246</v>
      </c>
      <c r="C208" s="34">
        <v>1.5963324E7</v>
      </c>
      <c r="D208" s="34">
        <v>1055186.0</v>
      </c>
      <c r="E208" s="34">
        <v>689492.0</v>
      </c>
      <c r="F208" s="34">
        <v>11356.0</v>
      </c>
      <c r="G208" s="34">
        <v>11638.0</v>
      </c>
      <c r="H208" s="34">
        <v>0.0</v>
      </c>
      <c r="I208" s="34">
        <v>7.813005166E9</v>
      </c>
      <c r="J208" s="34">
        <v>5.375385608E9</v>
      </c>
      <c r="K208" s="34">
        <v>4693.0</v>
      </c>
      <c r="L208" s="33" t="s">
        <v>327</v>
      </c>
      <c r="M208" s="33">
        <v>23.0</v>
      </c>
      <c r="N208" s="33"/>
      <c r="O208" s="33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3">
        <v>1.46678079E8</v>
      </c>
      <c r="B209" s="33" t="s">
        <v>558</v>
      </c>
      <c r="C209" s="34">
        <v>1.5832479E7</v>
      </c>
      <c r="D209" s="34">
        <v>2.3326006E7</v>
      </c>
      <c r="E209" s="34">
        <v>3376263.0</v>
      </c>
      <c r="F209" s="34">
        <v>1215131.0</v>
      </c>
      <c r="G209" s="34">
        <v>32770.0</v>
      </c>
      <c r="H209" s="34">
        <v>0.0</v>
      </c>
      <c r="I209" s="34">
        <v>1.727063204E9</v>
      </c>
      <c r="J209" s="34">
        <v>1.76777944E8</v>
      </c>
      <c r="K209" s="34">
        <v>1852.0</v>
      </c>
      <c r="L209" s="33" t="s">
        <v>327</v>
      </c>
      <c r="M209" s="33">
        <v>24.0</v>
      </c>
      <c r="N209" s="33"/>
      <c r="O209" s="33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6.9470044E7</v>
      </c>
      <c r="B210" s="31" t="s">
        <v>504</v>
      </c>
      <c r="C210" s="32">
        <v>1.5782329E7</v>
      </c>
      <c r="D210" s="32">
        <v>5574354.0</v>
      </c>
      <c r="E210" s="32">
        <v>2720243.0</v>
      </c>
      <c r="F210" s="32">
        <v>219997.0</v>
      </c>
      <c r="G210" s="32">
        <v>82155.0</v>
      </c>
      <c r="H210" s="32">
        <v>0.0</v>
      </c>
      <c r="I210" s="32">
        <v>7.599946979E9</v>
      </c>
      <c r="J210" s="32">
        <v>6.476304962E9</v>
      </c>
      <c r="K210" s="32">
        <v>3392.0</v>
      </c>
      <c r="L210" s="31" t="s">
        <v>66</v>
      </c>
      <c r="M210" s="31">
        <v>25.0</v>
      </c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3">
        <v>4.9505384E7</v>
      </c>
      <c r="B211" s="33" t="s">
        <v>557</v>
      </c>
      <c r="C211" s="34">
        <v>1.5719206E7</v>
      </c>
      <c r="D211" s="34">
        <v>202110.0</v>
      </c>
      <c r="E211" s="34">
        <v>24045.0</v>
      </c>
      <c r="F211" s="34">
        <v>662.0</v>
      </c>
      <c r="G211" s="34">
        <v>0.0</v>
      </c>
      <c r="H211" s="34">
        <v>0.0</v>
      </c>
      <c r="I211" s="34">
        <v>2.080589078E9</v>
      </c>
      <c r="J211" s="34">
        <v>0.0</v>
      </c>
      <c r="K211" s="34">
        <v>1303.0</v>
      </c>
      <c r="L211" s="33" t="s">
        <v>480</v>
      </c>
      <c r="M211" s="33">
        <v>23.0</v>
      </c>
      <c r="N211" s="33"/>
      <c r="O211" s="33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3">
        <v>1.81616674E8</v>
      </c>
      <c r="B212" s="33" t="s">
        <v>247</v>
      </c>
      <c r="C212" s="34">
        <v>1.5664929E7</v>
      </c>
      <c r="D212" s="34">
        <v>0.0</v>
      </c>
      <c r="E212" s="34">
        <v>0.0</v>
      </c>
      <c r="F212" s="34">
        <v>0.0</v>
      </c>
      <c r="G212" s="34">
        <v>0.0</v>
      </c>
      <c r="H212" s="34">
        <v>0.0</v>
      </c>
      <c r="I212" s="34">
        <v>2.990167704E9</v>
      </c>
      <c r="J212" s="34">
        <v>1.734E9</v>
      </c>
      <c r="K212" s="34">
        <v>919.0</v>
      </c>
      <c r="L212" s="33" t="s">
        <v>327</v>
      </c>
      <c r="M212" s="33">
        <v>23.0</v>
      </c>
      <c r="N212" s="33"/>
      <c r="O212" s="33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1">
        <v>1.43620977E8</v>
      </c>
      <c r="B213" s="31" t="s">
        <v>609</v>
      </c>
      <c r="C213" s="32">
        <v>1.5566517E7</v>
      </c>
      <c r="D213" s="32">
        <v>5.200476E7</v>
      </c>
      <c r="E213" s="32">
        <v>332874.0</v>
      </c>
      <c r="F213" s="32">
        <v>3683186.0</v>
      </c>
      <c r="G213" s="32">
        <v>34407.0</v>
      </c>
      <c r="H213" s="32">
        <v>0.0</v>
      </c>
      <c r="I213" s="32">
        <v>1.713992871E9</v>
      </c>
      <c r="J213" s="32">
        <v>1.0987594E7</v>
      </c>
      <c r="K213" s="32">
        <v>6036.0</v>
      </c>
      <c r="L213" s="31" t="s">
        <v>66</v>
      </c>
      <c r="M213" s="31">
        <v>25.0</v>
      </c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1">
        <v>1.6997923E8</v>
      </c>
      <c r="B214" s="31" t="s">
        <v>610</v>
      </c>
      <c r="C214" s="32">
        <v>1.5524549E7</v>
      </c>
      <c r="D214" s="32">
        <v>977436.0</v>
      </c>
      <c r="E214" s="32">
        <v>341470.0</v>
      </c>
      <c r="F214" s="32">
        <v>82145.0</v>
      </c>
      <c r="G214" s="32">
        <v>0.0</v>
      </c>
      <c r="H214" s="32">
        <v>0.0</v>
      </c>
      <c r="I214" s="32">
        <v>2.432487546E9</v>
      </c>
      <c r="J214" s="32">
        <v>5.9604E7</v>
      </c>
      <c r="K214" s="32">
        <v>547.0</v>
      </c>
      <c r="L214" s="31" t="s">
        <v>66</v>
      </c>
      <c r="M214" s="31">
        <v>25.0</v>
      </c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33">
        <v>1.90203348E8</v>
      </c>
      <c r="B215" s="33" t="s">
        <v>237</v>
      </c>
      <c r="C215" s="34">
        <v>1.5466726E7</v>
      </c>
      <c r="D215" s="34">
        <v>943.0</v>
      </c>
      <c r="E215" s="34">
        <v>0.0</v>
      </c>
      <c r="F215" s="34">
        <v>0.0</v>
      </c>
      <c r="G215" s="34">
        <v>0.0</v>
      </c>
      <c r="H215" s="34">
        <v>0.0</v>
      </c>
      <c r="I215" s="34">
        <v>3.367547333E9</v>
      </c>
      <c r="J215" s="34">
        <v>8.17185964E8</v>
      </c>
      <c r="K215" s="34">
        <v>918.0</v>
      </c>
      <c r="L215" s="33" t="s">
        <v>490</v>
      </c>
      <c r="M215" s="33">
        <v>24.0</v>
      </c>
      <c r="N215" s="33"/>
      <c r="O215" s="33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33">
        <v>1.67715529E8</v>
      </c>
      <c r="B216" s="33" t="s">
        <v>257</v>
      </c>
      <c r="C216" s="34">
        <v>1.5428284E7</v>
      </c>
      <c r="D216" s="34">
        <v>45360.0</v>
      </c>
      <c r="E216" s="34">
        <v>0.0</v>
      </c>
      <c r="F216" s="34">
        <v>1832.0</v>
      </c>
      <c r="G216" s="34">
        <v>1352.0</v>
      </c>
      <c r="H216" s="34">
        <v>0.0</v>
      </c>
      <c r="I216" s="34">
        <v>7.5226688E9</v>
      </c>
      <c r="J216" s="34">
        <v>6.044415749E9</v>
      </c>
      <c r="K216" s="34">
        <v>1596.0</v>
      </c>
      <c r="L216" s="33" t="s">
        <v>327</v>
      </c>
      <c r="M216" s="33">
        <v>24.0</v>
      </c>
      <c r="N216" s="33"/>
      <c r="O216" s="33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31">
        <v>1.75281453E8</v>
      </c>
      <c r="B217" s="31" t="s">
        <v>262</v>
      </c>
      <c r="C217" s="32">
        <v>1.5265682E7</v>
      </c>
      <c r="D217" s="32">
        <v>1.200256E7</v>
      </c>
      <c r="E217" s="32">
        <v>1043466.0</v>
      </c>
      <c r="F217" s="32">
        <v>323471.0</v>
      </c>
      <c r="G217" s="32">
        <v>246075.0</v>
      </c>
      <c r="H217" s="32">
        <v>0.0</v>
      </c>
      <c r="I217" s="32">
        <v>3.850634884E9</v>
      </c>
      <c r="J217" s="32">
        <v>2.785644157E9</v>
      </c>
      <c r="K217" s="32">
        <v>12673.0</v>
      </c>
      <c r="L217" s="31" t="s">
        <v>66</v>
      </c>
      <c r="M217" s="31">
        <v>25.0</v>
      </c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1">
        <v>1.44060116E8</v>
      </c>
      <c r="B218" s="31" t="s">
        <v>559</v>
      </c>
      <c r="C218" s="32">
        <v>1.4961261E7</v>
      </c>
      <c r="D218" s="32">
        <v>1332207.0</v>
      </c>
      <c r="E218" s="32">
        <v>1689240.0</v>
      </c>
      <c r="F218" s="32">
        <v>115100.0</v>
      </c>
      <c r="G218" s="32">
        <v>7005.0</v>
      </c>
      <c r="H218" s="32">
        <v>0.0</v>
      </c>
      <c r="I218" s="32">
        <v>2.9342582E9</v>
      </c>
      <c r="J218" s="32">
        <v>0.0</v>
      </c>
      <c r="K218" s="32">
        <v>1684.0</v>
      </c>
      <c r="L218" s="31" t="s">
        <v>411</v>
      </c>
      <c r="M218" s="31">
        <v>25.0</v>
      </c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31">
        <v>1.37840286E8</v>
      </c>
      <c r="B219" s="31" t="s">
        <v>561</v>
      </c>
      <c r="C219" s="32">
        <v>1.4673934E7</v>
      </c>
      <c r="D219" s="32">
        <v>1124179.0</v>
      </c>
      <c r="E219" s="32">
        <v>402977.0</v>
      </c>
      <c r="F219" s="32">
        <v>85143.0</v>
      </c>
      <c r="G219" s="32">
        <v>0.0</v>
      </c>
      <c r="H219" s="32">
        <v>0.0</v>
      </c>
      <c r="I219" s="32">
        <v>1.475100502E9</v>
      </c>
      <c r="J219" s="32">
        <v>10000.0</v>
      </c>
      <c r="K219" s="32">
        <v>1231.0</v>
      </c>
      <c r="L219" s="31" t="s">
        <v>66</v>
      </c>
      <c r="M219" s="31">
        <v>25.0</v>
      </c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6.8699875E7</v>
      </c>
      <c r="B220" s="31" t="s">
        <v>562</v>
      </c>
      <c r="C220" s="32">
        <v>1.4668489E7</v>
      </c>
      <c r="D220" s="32">
        <v>1.2637884E7</v>
      </c>
      <c r="E220" s="32">
        <v>2707710.0</v>
      </c>
      <c r="F220" s="32">
        <v>893837.0</v>
      </c>
      <c r="G220" s="32">
        <v>97232.0</v>
      </c>
      <c r="H220" s="32">
        <v>0.0</v>
      </c>
      <c r="I220" s="32">
        <v>9.544886639E9</v>
      </c>
      <c r="J220" s="32">
        <v>6.330961211E9</v>
      </c>
      <c r="K220" s="32">
        <v>4309.0</v>
      </c>
      <c r="L220" s="31" t="s">
        <v>66</v>
      </c>
      <c r="M220" s="31">
        <v>25.0</v>
      </c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31">
        <v>1.06264973E8</v>
      </c>
      <c r="B221" s="31" t="s">
        <v>506</v>
      </c>
      <c r="C221" s="32">
        <v>1.4638473E7</v>
      </c>
      <c r="D221" s="32">
        <v>8880223.0</v>
      </c>
      <c r="E221" s="32">
        <v>1336041.0</v>
      </c>
      <c r="F221" s="32">
        <v>689374.0</v>
      </c>
      <c r="G221" s="32">
        <v>25642.0</v>
      </c>
      <c r="H221" s="32">
        <v>0.0</v>
      </c>
      <c r="I221" s="32">
        <v>4.853425133E9</v>
      </c>
      <c r="J221" s="32">
        <v>2.637422044E9</v>
      </c>
      <c r="K221" s="32">
        <v>13505.0</v>
      </c>
      <c r="L221" s="31" t="s">
        <v>327</v>
      </c>
      <c r="M221" s="31">
        <v>25.0</v>
      </c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33">
        <v>1.67721298E8</v>
      </c>
      <c r="B222" s="33" t="s">
        <v>266</v>
      </c>
      <c r="C222" s="34">
        <v>1.4567601E7</v>
      </c>
      <c r="D222" s="34">
        <v>8847504.0</v>
      </c>
      <c r="E222" s="34">
        <v>1497386.0</v>
      </c>
      <c r="F222" s="34">
        <v>642441.0</v>
      </c>
      <c r="G222" s="34">
        <v>108602.0</v>
      </c>
      <c r="H222" s="34">
        <v>0.0</v>
      </c>
      <c r="I222" s="34">
        <v>1.1941159915E10</v>
      </c>
      <c r="J222" s="34">
        <v>9.287811063E9</v>
      </c>
      <c r="K222" s="34">
        <v>2115.0</v>
      </c>
      <c r="L222" s="33" t="s">
        <v>490</v>
      </c>
      <c r="M222" s="33">
        <v>24.0</v>
      </c>
      <c r="N222" s="33"/>
      <c r="O222" s="33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3">
        <v>1.92309473E8</v>
      </c>
      <c r="B223" s="33" t="s">
        <v>270</v>
      </c>
      <c r="C223" s="34">
        <v>1.4555283E7</v>
      </c>
      <c r="D223" s="34">
        <v>0.0</v>
      </c>
      <c r="E223" s="34">
        <v>0.0</v>
      </c>
      <c r="F223" s="34">
        <v>0.0</v>
      </c>
      <c r="G223" s="34">
        <v>0.0</v>
      </c>
      <c r="H223" s="34">
        <v>0.0</v>
      </c>
      <c r="I223" s="34">
        <v>5.176680762E9</v>
      </c>
      <c r="J223" s="34">
        <v>9.17520522E8</v>
      </c>
      <c r="K223" s="34">
        <v>1182.0</v>
      </c>
      <c r="L223" s="33" t="s">
        <v>327</v>
      </c>
      <c r="M223" s="33">
        <v>24.0</v>
      </c>
      <c r="N223" s="33"/>
      <c r="O223" s="33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31">
        <v>9.2754785E7</v>
      </c>
      <c r="B224" s="31" t="s">
        <v>611</v>
      </c>
      <c r="C224" s="32">
        <v>1.4493348E7</v>
      </c>
      <c r="D224" s="32">
        <v>1622655.0</v>
      </c>
      <c r="E224" s="32">
        <v>2457147.0</v>
      </c>
      <c r="F224" s="32">
        <v>55438.0</v>
      </c>
      <c r="G224" s="32">
        <v>51374.0</v>
      </c>
      <c r="H224" s="32">
        <v>0.0</v>
      </c>
      <c r="I224" s="32">
        <v>6.37938901E9</v>
      </c>
      <c r="J224" s="32">
        <v>4.700424564E9</v>
      </c>
      <c r="K224" s="32">
        <v>1489.0</v>
      </c>
      <c r="L224" s="31" t="s">
        <v>66</v>
      </c>
      <c r="M224" s="31">
        <v>25.0</v>
      </c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33">
        <v>1.44098997E8</v>
      </c>
      <c r="B225" s="33" t="s">
        <v>437</v>
      </c>
      <c r="C225" s="34">
        <v>1.4430657E7</v>
      </c>
      <c r="D225" s="34">
        <v>1264491.0</v>
      </c>
      <c r="E225" s="34">
        <v>409258.0</v>
      </c>
      <c r="F225" s="34">
        <v>56607.0</v>
      </c>
      <c r="G225" s="34">
        <v>0.0</v>
      </c>
      <c r="H225" s="34">
        <v>0.0</v>
      </c>
      <c r="I225" s="34">
        <v>1.50478228E9</v>
      </c>
      <c r="J225" s="34">
        <v>3047603.0</v>
      </c>
      <c r="K225" s="34">
        <v>1430.0</v>
      </c>
      <c r="L225" s="33" t="s">
        <v>66</v>
      </c>
      <c r="M225" s="33">
        <v>24.0</v>
      </c>
      <c r="N225" s="33"/>
      <c r="O225" s="33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3">
        <v>1.92376835E8</v>
      </c>
      <c r="B226" s="33" t="s">
        <v>272</v>
      </c>
      <c r="C226" s="34">
        <v>1.4393541E7</v>
      </c>
      <c r="D226" s="34">
        <v>0.0</v>
      </c>
      <c r="E226" s="34">
        <v>0.0</v>
      </c>
      <c r="F226" s="34">
        <v>0.0</v>
      </c>
      <c r="G226" s="34">
        <v>0.0</v>
      </c>
      <c r="H226" s="34">
        <v>0.0</v>
      </c>
      <c r="I226" s="34">
        <v>4.980193934E9</v>
      </c>
      <c r="J226" s="34">
        <v>1.015792167E9</v>
      </c>
      <c r="K226" s="34">
        <v>1200.0</v>
      </c>
      <c r="L226" s="33" t="s">
        <v>327</v>
      </c>
      <c r="M226" s="33">
        <v>24.0</v>
      </c>
      <c r="N226" s="33"/>
      <c r="O226" s="33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1.43566984E8</v>
      </c>
      <c r="B227" s="31" t="s">
        <v>563</v>
      </c>
      <c r="C227" s="32">
        <v>1.4364487E7</v>
      </c>
      <c r="D227" s="32">
        <v>1.0888363E7</v>
      </c>
      <c r="E227" s="32">
        <v>1041023.0</v>
      </c>
      <c r="F227" s="32">
        <v>810010.0</v>
      </c>
      <c r="G227" s="32">
        <v>58701.0</v>
      </c>
      <c r="H227" s="32">
        <v>0.0</v>
      </c>
      <c r="I227" s="32">
        <v>2.399848718E9</v>
      </c>
      <c r="J227" s="32">
        <v>1.924649E7</v>
      </c>
      <c r="K227" s="32">
        <v>11474.0</v>
      </c>
      <c r="L227" s="31" t="s">
        <v>411</v>
      </c>
      <c r="M227" s="31">
        <v>25.0</v>
      </c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3">
        <v>9.0073079E7</v>
      </c>
      <c r="B228" s="33" t="s">
        <v>275</v>
      </c>
      <c r="C228" s="34">
        <v>1.4235182E7</v>
      </c>
      <c r="D228" s="34">
        <v>442264.0</v>
      </c>
      <c r="E228" s="34">
        <v>12587.0</v>
      </c>
      <c r="F228" s="34">
        <v>8707.0</v>
      </c>
      <c r="G228" s="34">
        <v>0.0</v>
      </c>
      <c r="H228" s="34">
        <v>0.0</v>
      </c>
      <c r="I228" s="34">
        <v>1.2072865238E10</v>
      </c>
      <c r="J228" s="34">
        <v>1.404924399E10</v>
      </c>
      <c r="K228" s="34">
        <v>5188.0</v>
      </c>
      <c r="L228" s="33" t="s">
        <v>490</v>
      </c>
      <c r="M228" s="33">
        <v>22.0</v>
      </c>
      <c r="N228" s="33"/>
      <c r="O228" s="33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33">
        <v>8.7312053E7</v>
      </c>
      <c r="B229" s="33" t="s">
        <v>279</v>
      </c>
      <c r="C229" s="34">
        <v>1.399864E7</v>
      </c>
      <c r="D229" s="34">
        <v>1422545.0</v>
      </c>
      <c r="E229" s="34">
        <v>137846.0</v>
      </c>
      <c r="F229" s="34">
        <v>11703.0</v>
      </c>
      <c r="G229" s="34">
        <v>0.0</v>
      </c>
      <c r="H229" s="34">
        <v>0.0</v>
      </c>
      <c r="I229" s="34">
        <v>1.1631979703E10</v>
      </c>
      <c r="J229" s="34">
        <v>1.2302695274E10</v>
      </c>
      <c r="K229" s="34">
        <v>6507.0</v>
      </c>
      <c r="L229" s="33" t="s">
        <v>490</v>
      </c>
      <c r="M229" s="33">
        <v>22.0</v>
      </c>
      <c r="N229" s="33"/>
      <c r="O229" s="33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33">
        <v>1.47838618E8</v>
      </c>
      <c r="B230" s="33" t="s">
        <v>612</v>
      </c>
      <c r="C230" s="34">
        <v>1.3966513E7</v>
      </c>
      <c r="D230" s="34">
        <v>1.5425274E7</v>
      </c>
      <c r="E230" s="34">
        <v>2243120.0</v>
      </c>
      <c r="F230" s="34">
        <v>774951.0</v>
      </c>
      <c r="G230" s="34">
        <v>26514.0</v>
      </c>
      <c r="H230" s="34">
        <v>0.0</v>
      </c>
      <c r="I230" s="34">
        <v>1.326288922E9</v>
      </c>
      <c r="J230" s="34">
        <v>1.31500809E8</v>
      </c>
      <c r="K230" s="34">
        <v>1271.0</v>
      </c>
      <c r="L230" s="33" t="s">
        <v>327</v>
      </c>
      <c r="M230" s="33">
        <v>23.0</v>
      </c>
      <c r="N230" s="33"/>
      <c r="O230" s="33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3">
        <v>1.83302822E8</v>
      </c>
      <c r="B231" s="33" t="s">
        <v>280</v>
      </c>
      <c r="C231" s="34">
        <v>1.3951506E7</v>
      </c>
      <c r="D231" s="34">
        <v>877526.0</v>
      </c>
      <c r="E231" s="34">
        <v>1168563.0</v>
      </c>
      <c r="F231" s="34">
        <v>64450.0</v>
      </c>
      <c r="G231" s="34">
        <v>4027.0</v>
      </c>
      <c r="H231" s="34">
        <v>0.0</v>
      </c>
      <c r="I231" s="34">
        <v>3.538754937E9</v>
      </c>
      <c r="J231" s="34">
        <v>2.005910997E9</v>
      </c>
      <c r="K231" s="34">
        <v>1258.0</v>
      </c>
      <c r="L231" s="33" t="s">
        <v>327</v>
      </c>
      <c r="M231" s="33">
        <v>24.0</v>
      </c>
      <c r="N231" s="33"/>
      <c r="O231" s="33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33">
        <v>1.44078795E8</v>
      </c>
      <c r="B232" s="33" t="s">
        <v>263</v>
      </c>
      <c r="C232" s="34">
        <v>1.3898753E7</v>
      </c>
      <c r="D232" s="34">
        <v>508139.0</v>
      </c>
      <c r="E232" s="34">
        <v>622978.0</v>
      </c>
      <c r="F232" s="34">
        <v>40282.0</v>
      </c>
      <c r="G232" s="34">
        <v>5056.0</v>
      </c>
      <c r="H232" s="34">
        <v>0.0</v>
      </c>
      <c r="I232" s="34">
        <v>9971905.0</v>
      </c>
      <c r="J232" s="34">
        <v>3904993.0</v>
      </c>
      <c r="K232" s="34">
        <v>1672.0</v>
      </c>
      <c r="L232" s="33" t="s">
        <v>264</v>
      </c>
      <c r="M232" s="33">
        <v>22.0</v>
      </c>
      <c r="N232" s="33"/>
      <c r="O232" s="33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3">
        <v>7.9098771E7</v>
      </c>
      <c r="B233" s="33" t="s">
        <v>508</v>
      </c>
      <c r="C233" s="34">
        <v>1.3842746E7</v>
      </c>
      <c r="D233" s="34">
        <v>2548139.0</v>
      </c>
      <c r="E233" s="34">
        <v>606164.0</v>
      </c>
      <c r="F233" s="34">
        <v>166025.0</v>
      </c>
      <c r="G233" s="34">
        <v>44126.0</v>
      </c>
      <c r="H233" s="34">
        <v>0.0</v>
      </c>
      <c r="I233" s="34">
        <v>8.80488388E9</v>
      </c>
      <c r="J233" s="34">
        <v>7.593529434E9</v>
      </c>
      <c r="K233" s="34">
        <v>1718.0</v>
      </c>
      <c r="L233" s="33" t="s">
        <v>66</v>
      </c>
      <c r="M233" s="33">
        <v>23.0</v>
      </c>
      <c r="N233" s="33"/>
      <c r="O233" s="33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3">
        <v>279559.0</v>
      </c>
      <c r="B234" s="33" t="s">
        <v>564</v>
      </c>
      <c r="C234" s="34">
        <v>1.3594081E7</v>
      </c>
      <c r="D234" s="34">
        <v>306192.0</v>
      </c>
      <c r="E234" s="34">
        <v>260901.0</v>
      </c>
      <c r="F234" s="34">
        <v>26054.0</v>
      </c>
      <c r="G234" s="34">
        <v>1137.0</v>
      </c>
      <c r="H234" s="34">
        <v>0.0</v>
      </c>
      <c r="I234" s="34">
        <v>1.385761144E9</v>
      </c>
      <c r="J234" s="34">
        <v>0.0</v>
      </c>
      <c r="K234" s="34">
        <v>1041.0</v>
      </c>
      <c r="L234" s="33" t="s">
        <v>411</v>
      </c>
      <c r="M234" s="33">
        <v>22.0</v>
      </c>
      <c r="N234" s="33"/>
      <c r="O234" s="33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33">
        <v>1.59431767E8</v>
      </c>
      <c r="B235" s="33" t="s">
        <v>258</v>
      </c>
      <c r="C235" s="34">
        <v>1.3555518E7</v>
      </c>
      <c r="D235" s="34">
        <v>0.0</v>
      </c>
      <c r="E235" s="34">
        <v>0.0</v>
      </c>
      <c r="F235" s="34">
        <v>0.0</v>
      </c>
      <c r="G235" s="34">
        <v>0.0</v>
      </c>
      <c r="H235" s="34">
        <v>0.0</v>
      </c>
      <c r="I235" s="34">
        <v>2.048557875E9</v>
      </c>
      <c r="J235" s="34">
        <v>5.23812735E8</v>
      </c>
      <c r="K235" s="34">
        <v>678.0</v>
      </c>
      <c r="L235" s="33" t="s">
        <v>327</v>
      </c>
      <c r="M235" s="33">
        <v>24.0</v>
      </c>
      <c r="N235" s="33"/>
      <c r="O235" s="33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3">
        <v>8.9432154E7</v>
      </c>
      <c r="B236" s="33" t="s">
        <v>285</v>
      </c>
      <c r="C236" s="34">
        <v>1.3527869E7</v>
      </c>
      <c r="D236" s="34">
        <v>2306854.0</v>
      </c>
      <c r="E236" s="34">
        <v>552580.0</v>
      </c>
      <c r="F236" s="34">
        <v>192874.0</v>
      </c>
      <c r="G236" s="34">
        <v>0.0</v>
      </c>
      <c r="H236" s="34">
        <v>0.0</v>
      </c>
      <c r="I236" s="34">
        <v>1.2002318952E10</v>
      </c>
      <c r="J236" s="34">
        <v>1.3564085239E10</v>
      </c>
      <c r="K236" s="34">
        <v>4613.0</v>
      </c>
      <c r="L236" s="33" t="s">
        <v>490</v>
      </c>
      <c r="M236" s="33">
        <v>22.0</v>
      </c>
      <c r="N236" s="33"/>
      <c r="O236" s="33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1">
        <v>3.5412124E7</v>
      </c>
      <c r="B237" s="31" t="s">
        <v>560</v>
      </c>
      <c r="C237" s="32">
        <v>1.3435807E7</v>
      </c>
      <c r="D237" s="32">
        <v>5949699.0</v>
      </c>
      <c r="E237" s="32">
        <v>942704.0</v>
      </c>
      <c r="F237" s="32">
        <v>233094.0</v>
      </c>
      <c r="G237" s="32">
        <v>71045.0</v>
      </c>
      <c r="H237" s="32">
        <v>0.0</v>
      </c>
      <c r="I237" s="32">
        <v>3.60645009E8</v>
      </c>
      <c r="J237" s="32">
        <v>0.0</v>
      </c>
      <c r="K237" s="32">
        <v>1032.0</v>
      </c>
      <c r="L237" s="31" t="s">
        <v>540</v>
      </c>
      <c r="M237" s="31">
        <v>25.0</v>
      </c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3">
        <v>1.76614955E8</v>
      </c>
      <c r="B238" s="33" t="s">
        <v>274</v>
      </c>
      <c r="C238" s="34">
        <v>1.3410284E7</v>
      </c>
      <c r="D238" s="34">
        <v>2911595.0</v>
      </c>
      <c r="E238" s="34">
        <v>178776.0</v>
      </c>
      <c r="F238" s="34">
        <v>246985.0</v>
      </c>
      <c r="G238" s="34">
        <v>1.0</v>
      </c>
      <c r="H238" s="34">
        <v>0.0</v>
      </c>
      <c r="I238" s="34">
        <v>9.813133381E9</v>
      </c>
      <c r="J238" s="34">
        <v>8.197954168E9</v>
      </c>
      <c r="K238" s="34">
        <v>4843.0</v>
      </c>
      <c r="L238" s="33" t="s">
        <v>327</v>
      </c>
      <c r="M238" s="33">
        <v>24.0</v>
      </c>
      <c r="N238" s="33"/>
      <c r="O238" s="33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33">
        <v>1.5265234E8</v>
      </c>
      <c r="B239" s="33" t="s">
        <v>286</v>
      </c>
      <c r="C239" s="34">
        <v>1.3393146E7</v>
      </c>
      <c r="D239" s="34">
        <v>3280939.0</v>
      </c>
      <c r="E239" s="34">
        <v>2379037.0</v>
      </c>
      <c r="F239" s="34">
        <v>179178.0</v>
      </c>
      <c r="G239" s="34">
        <v>53452.0</v>
      </c>
      <c r="H239" s="34">
        <v>0.0</v>
      </c>
      <c r="I239" s="34">
        <v>7.919920766E9</v>
      </c>
      <c r="J239" s="34">
        <v>5.840859107E9</v>
      </c>
      <c r="K239" s="34">
        <v>1587.0</v>
      </c>
      <c r="L239" s="33" t="s">
        <v>490</v>
      </c>
      <c r="M239" s="33">
        <v>24.0</v>
      </c>
      <c r="N239" s="33"/>
      <c r="O239" s="33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33">
        <v>8.7754003E7</v>
      </c>
      <c r="B240" s="33" t="s">
        <v>470</v>
      </c>
      <c r="C240" s="34">
        <v>1.3323797E7</v>
      </c>
      <c r="D240" s="34">
        <v>478058.0</v>
      </c>
      <c r="E240" s="34">
        <v>11855.0</v>
      </c>
      <c r="F240" s="34">
        <v>9348.0</v>
      </c>
      <c r="G240" s="34">
        <v>0.0</v>
      </c>
      <c r="H240" s="34">
        <v>0.0</v>
      </c>
      <c r="I240" s="34">
        <v>8.491332483E9</v>
      </c>
      <c r="J240" s="34">
        <v>9.263364847E9</v>
      </c>
      <c r="K240" s="34">
        <v>5129.0</v>
      </c>
      <c r="L240" s="33" t="s">
        <v>490</v>
      </c>
      <c r="M240" s="33">
        <v>22.0</v>
      </c>
      <c r="N240" s="33"/>
      <c r="O240" s="33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3">
        <v>1.43566987E8</v>
      </c>
      <c r="B241" s="33" t="s">
        <v>476</v>
      </c>
      <c r="C241" s="34">
        <v>1.3268588E7</v>
      </c>
      <c r="D241" s="34">
        <v>3722974.0</v>
      </c>
      <c r="E241" s="34">
        <v>251193.0</v>
      </c>
      <c r="F241" s="34">
        <v>164406.0</v>
      </c>
      <c r="G241" s="34">
        <v>0.0</v>
      </c>
      <c r="H241" s="34">
        <v>0.0</v>
      </c>
      <c r="I241" s="34">
        <v>6.65822284E8</v>
      </c>
      <c r="J241" s="34">
        <v>1.18868156E8</v>
      </c>
      <c r="K241" s="34">
        <v>10243.0</v>
      </c>
      <c r="L241" s="33" t="s">
        <v>66</v>
      </c>
      <c r="M241" s="33">
        <v>24.0</v>
      </c>
      <c r="N241" s="33"/>
      <c r="O241" s="33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31">
        <v>1.69610538E8</v>
      </c>
      <c r="B242" s="31" t="s">
        <v>613</v>
      </c>
      <c r="C242" s="32">
        <v>1.3233976E7</v>
      </c>
      <c r="D242" s="32">
        <v>492926.0</v>
      </c>
      <c r="E242" s="32">
        <v>1569585.0</v>
      </c>
      <c r="F242" s="32">
        <v>4092.0</v>
      </c>
      <c r="G242" s="32">
        <v>21064.0</v>
      </c>
      <c r="H242" s="32">
        <v>0.0</v>
      </c>
      <c r="I242" s="32">
        <v>8.488905223E9</v>
      </c>
      <c r="J242" s="32">
        <v>4.669995414E9</v>
      </c>
      <c r="K242" s="32">
        <v>1463.0</v>
      </c>
      <c r="L242" s="31" t="s">
        <v>490</v>
      </c>
      <c r="M242" s="31">
        <v>25.0</v>
      </c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1">
        <v>1.4358749E8</v>
      </c>
      <c r="B243" s="31" t="s">
        <v>566</v>
      </c>
      <c r="C243" s="32">
        <v>1.3200085E7</v>
      </c>
      <c r="D243" s="32">
        <v>3165658.0</v>
      </c>
      <c r="E243" s="32">
        <v>602678.0</v>
      </c>
      <c r="F243" s="32">
        <v>47039.0</v>
      </c>
      <c r="G243" s="32">
        <v>0.0</v>
      </c>
      <c r="H243" s="32">
        <v>0.0</v>
      </c>
      <c r="I243" s="32">
        <v>9.81941481E8</v>
      </c>
      <c r="J243" s="32">
        <v>5295534.0</v>
      </c>
      <c r="K243" s="32">
        <v>5924.0</v>
      </c>
      <c r="L243" s="31" t="s">
        <v>66</v>
      </c>
      <c r="M243" s="31">
        <v>25.0</v>
      </c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33">
        <v>1.90414225E8</v>
      </c>
      <c r="B244" s="33" t="s">
        <v>509</v>
      </c>
      <c r="C244" s="34">
        <v>1.319568E7</v>
      </c>
      <c r="D244" s="34">
        <v>2246854.0</v>
      </c>
      <c r="E244" s="34">
        <v>0.0</v>
      </c>
      <c r="F244" s="34">
        <v>177233.0</v>
      </c>
      <c r="G244" s="34">
        <v>0.0</v>
      </c>
      <c r="H244" s="34">
        <v>0.0</v>
      </c>
      <c r="I244" s="34">
        <v>1.528416233E9</v>
      </c>
      <c r="J244" s="34">
        <v>0.0</v>
      </c>
      <c r="K244" s="34">
        <v>1082.0</v>
      </c>
      <c r="L244" s="33" t="s">
        <v>327</v>
      </c>
      <c r="M244" s="33">
        <v>24.0</v>
      </c>
      <c r="N244" s="33"/>
      <c r="O244" s="33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3">
        <v>8.7531547E7</v>
      </c>
      <c r="B245" s="33" t="s">
        <v>288</v>
      </c>
      <c r="C245" s="34">
        <v>1.316376E7</v>
      </c>
      <c r="D245" s="34">
        <v>1588813.0</v>
      </c>
      <c r="E245" s="34">
        <v>692135.0</v>
      </c>
      <c r="F245" s="34">
        <v>82124.0</v>
      </c>
      <c r="G245" s="34">
        <v>962.0</v>
      </c>
      <c r="H245" s="34">
        <v>0.0</v>
      </c>
      <c r="I245" s="34">
        <v>1.088797859E10</v>
      </c>
      <c r="J245" s="34">
        <v>1.1769149917E10</v>
      </c>
      <c r="K245" s="34">
        <v>4050.0</v>
      </c>
      <c r="L245" s="33" t="s">
        <v>490</v>
      </c>
      <c r="M245" s="33">
        <v>22.0</v>
      </c>
      <c r="N245" s="33"/>
      <c r="O245" s="33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33">
        <v>1.52653457E8</v>
      </c>
      <c r="B246" s="33" t="s">
        <v>287</v>
      </c>
      <c r="C246" s="34">
        <v>1.3066811E7</v>
      </c>
      <c r="D246" s="34">
        <v>3195669.0</v>
      </c>
      <c r="E246" s="34">
        <v>2692068.0</v>
      </c>
      <c r="F246" s="34">
        <v>144359.0</v>
      </c>
      <c r="G246" s="34">
        <v>72708.0</v>
      </c>
      <c r="H246" s="34">
        <v>0.0</v>
      </c>
      <c r="I246" s="34">
        <v>7.906702788E9</v>
      </c>
      <c r="J246" s="34">
        <v>5.796085395E9</v>
      </c>
      <c r="K246" s="34">
        <v>1512.0</v>
      </c>
      <c r="L246" s="33" t="s">
        <v>490</v>
      </c>
      <c r="M246" s="33">
        <v>24.0</v>
      </c>
      <c r="N246" s="33"/>
      <c r="O246" s="33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3">
        <v>2.4777206E7</v>
      </c>
      <c r="B247" s="33" t="s">
        <v>289</v>
      </c>
      <c r="C247" s="34">
        <v>1.2922274E7</v>
      </c>
      <c r="D247" s="34">
        <v>3178989.0</v>
      </c>
      <c r="E247" s="34">
        <v>1435029.0</v>
      </c>
      <c r="F247" s="34">
        <v>52691.0</v>
      </c>
      <c r="G247" s="34">
        <v>90243.0</v>
      </c>
      <c r="H247" s="34">
        <v>0.0</v>
      </c>
      <c r="I247" s="34">
        <v>3.982578486E9</v>
      </c>
      <c r="J247" s="34">
        <v>5.813477761E9</v>
      </c>
      <c r="K247" s="34">
        <v>2571.0</v>
      </c>
      <c r="L247" s="33" t="s">
        <v>327</v>
      </c>
      <c r="M247" s="33">
        <v>23.0</v>
      </c>
      <c r="N247" s="33"/>
      <c r="O247" s="33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33">
        <v>1.51248241E8</v>
      </c>
      <c r="B248" s="33" t="s">
        <v>290</v>
      </c>
      <c r="C248" s="34">
        <v>1.2912626E7</v>
      </c>
      <c r="D248" s="34">
        <v>1371541.0</v>
      </c>
      <c r="E248" s="34">
        <v>94486.0</v>
      </c>
      <c r="F248" s="34">
        <v>126790.0</v>
      </c>
      <c r="G248" s="34">
        <v>0.0</v>
      </c>
      <c r="H248" s="34">
        <v>0.0</v>
      </c>
      <c r="I248" s="34">
        <v>2.58680194E9</v>
      </c>
      <c r="J248" s="34">
        <v>7.26817496E8</v>
      </c>
      <c r="K248" s="34">
        <v>5880.0</v>
      </c>
      <c r="L248" s="33" t="s">
        <v>490</v>
      </c>
      <c r="M248" s="33">
        <v>24.0</v>
      </c>
      <c r="N248" s="33"/>
      <c r="O248" s="33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31">
        <v>1.80743895E8</v>
      </c>
      <c r="B249" s="31" t="s">
        <v>435</v>
      </c>
      <c r="C249" s="32">
        <v>1.2822934E7</v>
      </c>
      <c r="D249" s="32">
        <v>1283072.0</v>
      </c>
      <c r="E249" s="32">
        <v>1893314.0</v>
      </c>
      <c r="F249" s="32">
        <v>13098.0</v>
      </c>
      <c r="G249" s="32">
        <v>56755.0</v>
      </c>
      <c r="H249" s="32">
        <v>0.0</v>
      </c>
      <c r="I249" s="32">
        <v>3.941027507E9</v>
      </c>
      <c r="J249" s="32">
        <v>3.349477122E9</v>
      </c>
      <c r="K249" s="32">
        <v>1908.0</v>
      </c>
      <c r="L249" s="31" t="s">
        <v>66</v>
      </c>
      <c r="M249" s="31">
        <v>25.0</v>
      </c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33">
        <v>7.7397858E7</v>
      </c>
      <c r="B250" s="33" t="s">
        <v>297</v>
      </c>
      <c r="C250" s="34">
        <v>1.2579096E7</v>
      </c>
      <c r="D250" s="34">
        <v>6039713.0</v>
      </c>
      <c r="E250" s="34">
        <v>1121881.0</v>
      </c>
      <c r="F250" s="34">
        <v>295460.0</v>
      </c>
      <c r="G250" s="34">
        <v>51656.0</v>
      </c>
      <c r="H250" s="34">
        <v>0.0</v>
      </c>
      <c r="I250" s="34">
        <v>7.21492209E8</v>
      </c>
      <c r="J250" s="34">
        <v>0.0</v>
      </c>
      <c r="K250" s="34">
        <v>1095.0</v>
      </c>
      <c r="L250" s="33" t="s">
        <v>147</v>
      </c>
      <c r="M250" s="33">
        <v>23.0</v>
      </c>
      <c r="N250" s="33"/>
      <c r="O250" s="33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33">
        <v>1.77225071E8</v>
      </c>
      <c r="B251" s="33" t="s">
        <v>298</v>
      </c>
      <c r="C251" s="34">
        <v>1.2542369E7</v>
      </c>
      <c r="D251" s="34">
        <v>1033872.0</v>
      </c>
      <c r="E251" s="34">
        <v>2192960.0</v>
      </c>
      <c r="F251" s="34">
        <v>58320.0</v>
      </c>
      <c r="G251" s="34">
        <v>9575.0</v>
      </c>
      <c r="H251" s="34">
        <v>0.0</v>
      </c>
      <c r="I251" s="34">
        <v>5.987330752E9</v>
      </c>
      <c r="J251" s="34">
        <v>5.163686099E9</v>
      </c>
      <c r="K251" s="34">
        <v>1431.0</v>
      </c>
      <c r="L251" s="33" t="s">
        <v>165</v>
      </c>
      <c r="M251" s="33">
        <v>24.0</v>
      </c>
      <c r="N251" s="33"/>
      <c r="O251" s="33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3">
        <v>1.44003473E8</v>
      </c>
      <c r="B252" s="33" t="s">
        <v>295</v>
      </c>
      <c r="C252" s="34">
        <v>1.2522327E7</v>
      </c>
      <c r="D252" s="34">
        <v>2748308.0</v>
      </c>
      <c r="E252" s="34">
        <v>799051.0</v>
      </c>
      <c r="F252" s="34">
        <v>206424.0</v>
      </c>
      <c r="G252" s="34">
        <v>26473.0</v>
      </c>
      <c r="H252" s="34">
        <v>0.0</v>
      </c>
      <c r="I252" s="34">
        <v>6.458922655E9</v>
      </c>
      <c r="J252" s="34">
        <v>3.39326158E9</v>
      </c>
      <c r="K252" s="34">
        <v>2514.0</v>
      </c>
      <c r="L252" s="33" t="s">
        <v>327</v>
      </c>
      <c r="M252" s="33">
        <v>24.0</v>
      </c>
      <c r="N252" s="33"/>
      <c r="O252" s="33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31">
        <v>6.5702055E7</v>
      </c>
      <c r="B253" s="31" t="s">
        <v>302</v>
      </c>
      <c r="C253" s="32">
        <v>1.2366549E7</v>
      </c>
      <c r="D253" s="32">
        <v>506067.0</v>
      </c>
      <c r="E253" s="32">
        <v>795024.0</v>
      </c>
      <c r="F253" s="32">
        <v>25195.0</v>
      </c>
      <c r="G253" s="32">
        <v>3024.0</v>
      </c>
      <c r="H253" s="32">
        <v>0.0</v>
      </c>
      <c r="I253" s="32">
        <v>9.528728048E9</v>
      </c>
      <c r="J253" s="32">
        <v>8.974965616E9</v>
      </c>
      <c r="K253" s="32">
        <v>2143.0</v>
      </c>
      <c r="L253" s="31" t="s">
        <v>327</v>
      </c>
      <c r="M253" s="31">
        <v>25.0</v>
      </c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3">
        <v>8.7273183E7</v>
      </c>
      <c r="B254" s="33" t="s">
        <v>301</v>
      </c>
      <c r="C254" s="34">
        <v>1.2345728E7</v>
      </c>
      <c r="D254" s="34">
        <v>1562113.0</v>
      </c>
      <c r="E254" s="34">
        <v>629419.0</v>
      </c>
      <c r="F254" s="34">
        <v>135458.0</v>
      </c>
      <c r="G254" s="34">
        <v>0.0</v>
      </c>
      <c r="H254" s="34">
        <v>0.0</v>
      </c>
      <c r="I254" s="34">
        <v>1.1450622502E10</v>
      </c>
      <c r="J254" s="34">
        <v>1.2196585503E10</v>
      </c>
      <c r="K254" s="34">
        <v>4487.0</v>
      </c>
      <c r="L254" s="33" t="s">
        <v>490</v>
      </c>
      <c r="M254" s="33">
        <v>22.0</v>
      </c>
      <c r="N254" s="33"/>
      <c r="O254" s="33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31">
        <v>1.79651678E8</v>
      </c>
      <c r="B255" s="31" t="s">
        <v>283</v>
      </c>
      <c r="C255" s="32">
        <v>1.2219638E7</v>
      </c>
      <c r="D255" s="32">
        <v>7458570.0</v>
      </c>
      <c r="E255" s="32">
        <v>1786794.0</v>
      </c>
      <c r="F255" s="32">
        <v>647464.0</v>
      </c>
      <c r="G255" s="32">
        <v>38703.0</v>
      </c>
      <c r="H255" s="32">
        <v>0.0</v>
      </c>
      <c r="I255" s="32">
        <v>5.057235868E9</v>
      </c>
      <c r="J255" s="32">
        <v>3.167058363E9</v>
      </c>
      <c r="K255" s="32">
        <v>2140.0</v>
      </c>
      <c r="L255" s="31" t="s">
        <v>327</v>
      </c>
      <c r="M255" s="31">
        <v>25.0</v>
      </c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3">
        <v>1.78759749E8</v>
      </c>
      <c r="B256" s="33" t="s">
        <v>294</v>
      </c>
      <c r="C256" s="34">
        <v>1.2217859E7</v>
      </c>
      <c r="D256" s="34">
        <v>123088.0</v>
      </c>
      <c r="E256" s="34">
        <v>127880.0</v>
      </c>
      <c r="F256" s="34">
        <v>8565.0</v>
      </c>
      <c r="G256" s="34">
        <v>0.0</v>
      </c>
      <c r="H256" s="34">
        <v>0.0</v>
      </c>
      <c r="I256" s="34">
        <v>6.093773074E9</v>
      </c>
      <c r="J256" s="34">
        <v>3.984947511E9</v>
      </c>
      <c r="K256" s="34">
        <v>1425.0</v>
      </c>
      <c r="L256" s="33" t="s">
        <v>327</v>
      </c>
      <c r="M256" s="33">
        <v>24.0</v>
      </c>
      <c r="N256" s="33"/>
      <c r="O256" s="33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33">
        <v>1.84287725E8</v>
      </c>
      <c r="B257" s="33" t="s">
        <v>233</v>
      </c>
      <c r="C257" s="34">
        <v>1.2112209E7</v>
      </c>
      <c r="D257" s="34">
        <v>65510.0</v>
      </c>
      <c r="E257" s="34">
        <v>0.0</v>
      </c>
      <c r="F257" s="34">
        <v>6551.0</v>
      </c>
      <c r="G257" s="34">
        <v>0.0</v>
      </c>
      <c r="H257" s="34">
        <v>0.0</v>
      </c>
      <c r="I257" s="34">
        <v>2.663901245E9</v>
      </c>
      <c r="J257" s="34">
        <v>0.0</v>
      </c>
      <c r="K257" s="34">
        <v>556.0</v>
      </c>
      <c r="L257" s="33" t="s">
        <v>490</v>
      </c>
      <c r="M257" s="33">
        <v>23.0</v>
      </c>
      <c r="N257" s="33"/>
      <c r="O257" s="33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3">
        <v>1.77721232E8</v>
      </c>
      <c r="B258" s="33" t="s">
        <v>299</v>
      </c>
      <c r="C258" s="34">
        <v>1.2086686E7</v>
      </c>
      <c r="D258" s="34">
        <v>169357.0</v>
      </c>
      <c r="E258" s="34">
        <v>716670.0</v>
      </c>
      <c r="F258" s="34">
        <v>16742.0</v>
      </c>
      <c r="G258" s="34">
        <v>0.0</v>
      </c>
      <c r="H258" s="34">
        <v>0.0</v>
      </c>
      <c r="I258" s="34">
        <v>7.533173666E9</v>
      </c>
      <c r="J258" s="34">
        <v>6.464809026E9</v>
      </c>
      <c r="K258" s="34">
        <v>2623.0</v>
      </c>
      <c r="L258" s="33" t="s">
        <v>327</v>
      </c>
      <c r="M258" s="33">
        <v>23.0</v>
      </c>
      <c r="N258" s="33"/>
      <c r="O258" s="33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3">
        <v>1.77647871E8</v>
      </c>
      <c r="B259" s="33" t="s">
        <v>293</v>
      </c>
      <c r="C259" s="34">
        <v>1.2086092E7</v>
      </c>
      <c r="D259" s="34">
        <v>255311.0</v>
      </c>
      <c r="E259" s="34">
        <v>0.0</v>
      </c>
      <c r="F259" s="34">
        <v>14770.0</v>
      </c>
      <c r="G259" s="34">
        <v>0.0</v>
      </c>
      <c r="H259" s="34">
        <v>0.0</v>
      </c>
      <c r="I259" s="34">
        <v>1.972317494E9</v>
      </c>
      <c r="J259" s="34">
        <v>1.868392265E9</v>
      </c>
      <c r="K259" s="34">
        <v>766.0</v>
      </c>
      <c r="L259" s="33" t="s">
        <v>327</v>
      </c>
      <c r="M259" s="33">
        <v>23.0</v>
      </c>
      <c r="N259" s="33"/>
      <c r="O259" s="33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33">
        <v>1.38285772E8</v>
      </c>
      <c r="B260" s="33" t="s">
        <v>305</v>
      </c>
      <c r="C260" s="34">
        <v>1.1848703E7</v>
      </c>
      <c r="D260" s="34">
        <v>188240.0</v>
      </c>
      <c r="E260" s="34">
        <v>31313.0</v>
      </c>
      <c r="F260" s="34">
        <v>18824.0</v>
      </c>
      <c r="G260" s="34">
        <v>0.0</v>
      </c>
      <c r="H260" s="34">
        <v>0.0</v>
      </c>
      <c r="I260" s="34">
        <v>6.995872579E9</v>
      </c>
      <c r="J260" s="34">
        <v>8.596841008E9</v>
      </c>
      <c r="K260" s="34">
        <v>1414.0</v>
      </c>
      <c r="L260" s="33" t="s">
        <v>34</v>
      </c>
      <c r="M260" s="33">
        <v>24.0</v>
      </c>
      <c r="N260" s="33"/>
      <c r="O260" s="33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31">
        <v>1.52201713E8</v>
      </c>
      <c r="B261" s="31" t="s">
        <v>436</v>
      </c>
      <c r="C261" s="32">
        <v>1.1714949E7</v>
      </c>
      <c r="D261" s="32">
        <v>909034.0</v>
      </c>
      <c r="E261" s="32">
        <v>1197900.0</v>
      </c>
      <c r="F261" s="32">
        <v>79442.0</v>
      </c>
      <c r="G261" s="32">
        <v>4810.0</v>
      </c>
      <c r="H261" s="32">
        <v>0.0</v>
      </c>
      <c r="I261" s="32">
        <v>2.333722118E9</v>
      </c>
      <c r="J261" s="32">
        <v>1.843640216E9</v>
      </c>
      <c r="K261" s="32">
        <v>847.0</v>
      </c>
      <c r="L261" s="31" t="s">
        <v>66</v>
      </c>
      <c r="M261" s="31">
        <v>25.0</v>
      </c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33">
        <v>1.76013217E8</v>
      </c>
      <c r="B262" s="33" t="s">
        <v>614</v>
      </c>
      <c r="C262" s="34">
        <v>1.1713014E7</v>
      </c>
      <c r="D262" s="34">
        <v>6449139.0</v>
      </c>
      <c r="E262" s="34">
        <v>1135481.0</v>
      </c>
      <c r="F262" s="34">
        <v>590902.0</v>
      </c>
      <c r="G262" s="34">
        <v>25447.0</v>
      </c>
      <c r="H262" s="34">
        <v>0.0</v>
      </c>
      <c r="I262" s="34">
        <v>4.026430435E9</v>
      </c>
      <c r="J262" s="34">
        <v>2.708718466E9</v>
      </c>
      <c r="K262" s="34">
        <v>2331.0</v>
      </c>
      <c r="L262" s="33" t="s">
        <v>66</v>
      </c>
      <c r="M262" s="33">
        <v>23.0</v>
      </c>
      <c r="N262" s="33"/>
      <c r="O262" s="33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31">
        <v>9.6284047E7</v>
      </c>
      <c r="B263" s="31" t="s">
        <v>473</v>
      </c>
      <c r="C263" s="32">
        <v>1.1684329E7</v>
      </c>
      <c r="D263" s="32">
        <v>43742.0</v>
      </c>
      <c r="E263" s="32">
        <v>57258.0</v>
      </c>
      <c r="F263" s="32">
        <v>1456.0</v>
      </c>
      <c r="G263" s="32">
        <v>1390.0</v>
      </c>
      <c r="H263" s="32">
        <v>0.0</v>
      </c>
      <c r="I263" s="32">
        <v>1.871225681E9</v>
      </c>
      <c r="J263" s="32">
        <v>1.644448385E9</v>
      </c>
      <c r="K263" s="32">
        <v>930.0</v>
      </c>
      <c r="L263" s="31" t="s">
        <v>327</v>
      </c>
      <c r="M263" s="31">
        <v>25.0</v>
      </c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33">
        <v>6.7568162E7</v>
      </c>
      <c r="B264" s="33" t="s">
        <v>300</v>
      </c>
      <c r="C264" s="34">
        <v>1.1660028E7</v>
      </c>
      <c r="D264" s="34">
        <v>123644.0</v>
      </c>
      <c r="E264" s="34">
        <v>42020.0</v>
      </c>
      <c r="F264" s="34">
        <v>0.0</v>
      </c>
      <c r="G264" s="34">
        <v>1383.0</v>
      </c>
      <c r="H264" s="34">
        <v>0.0</v>
      </c>
      <c r="I264" s="34">
        <v>4.747027375E9</v>
      </c>
      <c r="J264" s="34">
        <v>1.940712211E9</v>
      </c>
      <c r="K264" s="34">
        <v>1382.0</v>
      </c>
      <c r="L264" s="33" t="s">
        <v>327</v>
      </c>
      <c r="M264" s="33">
        <v>24.0</v>
      </c>
      <c r="N264" s="33"/>
      <c r="O264" s="33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31">
        <v>1.4402991E8</v>
      </c>
      <c r="B265" s="31" t="s">
        <v>296</v>
      </c>
      <c r="C265" s="32">
        <v>1.1629033E7</v>
      </c>
      <c r="D265" s="32">
        <v>6837594.0</v>
      </c>
      <c r="E265" s="32">
        <v>1758438.0</v>
      </c>
      <c r="F265" s="32">
        <v>464968.0</v>
      </c>
      <c r="G265" s="32">
        <v>71229.0</v>
      </c>
      <c r="H265" s="32">
        <v>0.0</v>
      </c>
      <c r="I265" s="32">
        <v>6.025174721E9</v>
      </c>
      <c r="J265" s="32">
        <v>4.559048087E9</v>
      </c>
      <c r="K265" s="32">
        <v>3239.0</v>
      </c>
      <c r="L265" s="31" t="s">
        <v>373</v>
      </c>
      <c r="M265" s="31">
        <v>25.0</v>
      </c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33">
        <v>3.1303775E7</v>
      </c>
      <c r="B266" s="33" t="s">
        <v>311</v>
      </c>
      <c r="C266" s="34">
        <v>1.1509698E7</v>
      </c>
      <c r="D266" s="34">
        <v>8213407.0</v>
      </c>
      <c r="E266" s="34">
        <v>1667127.0</v>
      </c>
      <c r="F266" s="34">
        <v>388443.0</v>
      </c>
      <c r="G266" s="34">
        <v>89542.0</v>
      </c>
      <c r="H266" s="34">
        <v>0.0</v>
      </c>
      <c r="I266" s="34">
        <v>4.068163286E9</v>
      </c>
      <c r="J266" s="34">
        <v>5.767133633E9</v>
      </c>
      <c r="K266" s="34">
        <v>1819.0</v>
      </c>
      <c r="L266" s="33" t="s">
        <v>327</v>
      </c>
      <c r="M266" s="33">
        <v>24.0</v>
      </c>
      <c r="N266" s="33"/>
      <c r="O266" s="33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33">
        <v>1.83887182E8</v>
      </c>
      <c r="B267" s="33" t="s">
        <v>313</v>
      </c>
      <c r="C267" s="34">
        <v>1.1267863E7</v>
      </c>
      <c r="D267" s="34">
        <v>2537211.0</v>
      </c>
      <c r="E267" s="34">
        <v>800103.0</v>
      </c>
      <c r="F267" s="34">
        <v>234472.0</v>
      </c>
      <c r="G267" s="34">
        <v>7693.0</v>
      </c>
      <c r="H267" s="34">
        <v>0.0</v>
      </c>
      <c r="I267" s="34">
        <v>2.610292106E9</v>
      </c>
      <c r="J267" s="34">
        <v>9.3810346E8</v>
      </c>
      <c r="K267" s="34">
        <v>1092.0</v>
      </c>
      <c r="L267" s="33" t="s">
        <v>327</v>
      </c>
      <c r="M267" s="33">
        <v>24.0</v>
      </c>
      <c r="N267" s="33"/>
      <c r="O267" s="33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33">
        <v>1.44075646E8</v>
      </c>
      <c r="B268" s="33" t="s">
        <v>615</v>
      </c>
      <c r="C268" s="34">
        <v>1.1241537E7</v>
      </c>
      <c r="D268" s="34">
        <v>7432.0</v>
      </c>
      <c r="E268" s="34">
        <v>0.0</v>
      </c>
      <c r="F268" s="34">
        <v>379.0</v>
      </c>
      <c r="G268" s="34">
        <v>0.0</v>
      </c>
      <c r="H268" s="34">
        <v>0.0</v>
      </c>
      <c r="I268" s="34">
        <v>5.04894814E8</v>
      </c>
      <c r="J268" s="34">
        <v>0.0</v>
      </c>
      <c r="K268" s="34">
        <v>389.0</v>
      </c>
      <c r="L268" s="33" t="s">
        <v>165</v>
      </c>
      <c r="M268" s="33">
        <v>22.0</v>
      </c>
      <c r="N268" s="33"/>
      <c r="O268" s="33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33">
        <v>1.77632834E8</v>
      </c>
      <c r="B269" s="33" t="s">
        <v>268</v>
      </c>
      <c r="C269" s="34">
        <v>1.1129612E7</v>
      </c>
      <c r="D269" s="34">
        <v>1249958.0</v>
      </c>
      <c r="E269" s="34">
        <v>701662.0</v>
      </c>
      <c r="F269" s="34">
        <v>19146.0</v>
      </c>
      <c r="G269" s="34">
        <v>52011.0</v>
      </c>
      <c r="H269" s="34">
        <v>0.0</v>
      </c>
      <c r="I269" s="34">
        <v>1.359953401E9</v>
      </c>
      <c r="J269" s="34">
        <v>2.49001512E8</v>
      </c>
      <c r="K269" s="34">
        <v>982.0</v>
      </c>
      <c r="L269" s="33" t="s">
        <v>490</v>
      </c>
      <c r="M269" s="33">
        <v>23.0</v>
      </c>
      <c r="N269" s="33"/>
      <c r="O269" s="33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33">
        <v>6.9287686E7</v>
      </c>
      <c r="B270" s="33" t="s">
        <v>316</v>
      </c>
      <c r="C270" s="34">
        <v>1.108949E7</v>
      </c>
      <c r="D270" s="34">
        <v>2027902.0</v>
      </c>
      <c r="E270" s="34">
        <v>235658.0</v>
      </c>
      <c r="F270" s="34">
        <v>39331.0</v>
      </c>
      <c r="G270" s="34">
        <v>0.0</v>
      </c>
      <c r="H270" s="34">
        <v>0.0</v>
      </c>
      <c r="I270" s="34">
        <v>5.987613592E9</v>
      </c>
      <c r="J270" s="34">
        <v>5.396044102E9</v>
      </c>
      <c r="K270" s="34">
        <v>3843.0</v>
      </c>
      <c r="L270" s="33" t="s">
        <v>34</v>
      </c>
      <c r="M270" s="33">
        <v>24.0</v>
      </c>
      <c r="N270" s="33"/>
      <c r="O270" s="33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33">
        <v>1.88084419E8</v>
      </c>
      <c r="B271" s="33" t="s">
        <v>616</v>
      </c>
      <c r="C271" s="34">
        <v>1.100254E7</v>
      </c>
      <c r="D271" s="34">
        <v>2566037.0</v>
      </c>
      <c r="E271" s="34">
        <v>399331.0</v>
      </c>
      <c r="F271" s="34">
        <v>169779.0</v>
      </c>
      <c r="G271" s="34">
        <v>4764.0</v>
      </c>
      <c r="H271" s="34">
        <v>0.0</v>
      </c>
      <c r="I271" s="34">
        <v>1.471238141E9</v>
      </c>
      <c r="J271" s="34">
        <v>1.040661447E9</v>
      </c>
      <c r="K271" s="34">
        <v>2195.0</v>
      </c>
      <c r="L271" s="33" t="s">
        <v>327</v>
      </c>
      <c r="M271" s="33">
        <v>24.0</v>
      </c>
      <c r="N271" s="33"/>
      <c r="O271" s="33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3">
        <v>9.9531415E7</v>
      </c>
      <c r="B272" s="33" t="s">
        <v>392</v>
      </c>
      <c r="C272" s="34">
        <v>1.0943105E7</v>
      </c>
      <c r="D272" s="34">
        <v>7180678.0</v>
      </c>
      <c r="E272" s="34">
        <v>1583779.0</v>
      </c>
      <c r="F272" s="34">
        <v>192250.0</v>
      </c>
      <c r="G272" s="34">
        <v>89047.0</v>
      </c>
      <c r="H272" s="34">
        <v>0.0</v>
      </c>
      <c r="I272" s="34">
        <v>9.06363485E8</v>
      </c>
      <c r="J272" s="34">
        <v>1.0635596E7</v>
      </c>
      <c r="K272" s="34">
        <v>2697.0</v>
      </c>
      <c r="L272" s="33" t="s">
        <v>165</v>
      </c>
      <c r="M272" s="33">
        <v>23.0</v>
      </c>
      <c r="N272" s="33"/>
      <c r="O272" s="33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33">
        <v>1.57465282E8</v>
      </c>
      <c r="B273" s="33" t="s">
        <v>474</v>
      </c>
      <c r="C273" s="34">
        <v>1.0942245E7</v>
      </c>
      <c r="D273" s="34">
        <v>1059330.0</v>
      </c>
      <c r="E273" s="34">
        <v>435892.0</v>
      </c>
      <c r="F273" s="34">
        <v>58926.0</v>
      </c>
      <c r="G273" s="34">
        <v>5178.0</v>
      </c>
      <c r="H273" s="34">
        <v>0.0</v>
      </c>
      <c r="I273" s="34">
        <v>7.258029751E9</v>
      </c>
      <c r="J273" s="34">
        <v>2.366887416E9</v>
      </c>
      <c r="K273" s="34">
        <v>1708.0</v>
      </c>
      <c r="L273" s="33" t="s">
        <v>165</v>
      </c>
      <c r="M273" s="33">
        <v>22.0</v>
      </c>
      <c r="N273" s="33"/>
      <c r="O273" s="33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33">
        <v>1.73868631E8</v>
      </c>
      <c r="B274" s="33" t="s">
        <v>291</v>
      </c>
      <c r="C274" s="34">
        <v>1.0931845E7</v>
      </c>
      <c r="D274" s="34">
        <v>37787.0</v>
      </c>
      <c r="E274" s="34">
        <v>0.0</v>
      </c>
      <c r="F274" s="34">
        <v>3755.0</v>
      </c>
      <c r="G274" s="34">
        <v>0.0</v>
      </c>
      <c r="H274" s="34">
        <v>0.0</v>
      </c>
      <c r="I274" s="34">
        <v>5.895331379E9</v>
      </c>
      <c r="J274" s="34">
        <v>8.432056838E9</v>
      </c>
      <c r="K274" s="34">
        <v>2333.0</v>
      </c>
      <c r="L274" s="33" t="s">
        <v>327</v>
      </c>
      <c r="M274" s="33">
        <v>22.0</v>
      </c>
      <c r="N274" s="33"/>
      <c r="O274" s="33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31">
        <v>1.44029881E8</v>
      </c>
      <c r="B275" s="31" t="s">
        <v>617</v>
      </c>
      <c r="C275" s="32">
        <v>1.0928208E7</v>
      </c>
      <c r="D275" s="32">
        <v>695449.0</v>
      </c>
      <c r="E275" s="32">
        <v>767340.0</v>
      </c>
      <c r="F275" s="32">
        <v>2019.0</v>
      </c>
      <c r="G275" s="32">
        <v>19248.0</v>
      </c>
      <c r="H275" s="32">
        <v>0.0</v>
      </c>
      <c r="I275" s="32">
        <v>1.607991564E9</v>
      </c>
      <c r="J275" s="32">
        <v>1.9766667E7</v>
      </c>
      <c r="K275" s="32">
        <v>7981.0</v>
      </c>
      <c r="L275" s="31" t="s">
        <v>66</v>
      </c>
      <c r="M275" s="31">
        <v>25.0</v>
      </c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33">
        <v>1.6604384E8</v>
      </c>
      <c r="B276" s="33" t="s">
        <v>306</v>
      </c>
      <c r="C276" s="34">
        <v>1.0890636E7</v>
      </c>
      <c r="D276" s="34">
        <v>36517.0</v>
      </c>
      <c r="E276" s="34">
        <v>0.0</v>
      </c>
      <c r="F276" s="34">
        <v>3055.0</v>
      </c>
      <c r="G276" s="34">
        <v>0.0</v>
      </c>
      <c r="H276" s="34">
        <v>0.0</v>
      </c>
      <c r="I276" s="34">
        <v>7.851375091E9</v>
      </c>
      <c r="J276" s="34">
        <v>7.782402765E9</v>
      </c>
      <c r="K276" s="34">
        <v>2955.0</v>
      </c>
      <c r="L276" s="33" t="s">
        <v>490</v>
      </c>
      <c r="M276" s="33">
        <v>23.0</v>
      </c>
      <c r="N276" s="33"/>
      <c r="O276" s="33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33">
        <v>1.28382827E8</v>
      </c>
      <c r="B277" s="33" t="s">
        <v>312</v>
      </c>
      <c r="C277" s="34">
        <v>1.087453E7</v>
      </c>
      <c r="D277" s="34">
        <v>5689027.0</v>
      </c>
      <c r="E277" s="34">
        <v>1604666.0</v>
      </c>
      <c r="F277" s="34">
        <v>520858.0</v>
      </c>
      <c r="G277" s="34">
        <v>20165.0</v>
      </c>
      <c r="H277" s="34">
        <v>0.0</v>
      </c>
      <c r="I277" s="34">
        <v>9.605231301E9</v>
      </c>
      <c r="J277" s="34">
        <v>1.0886048121E10</v>
      </c>
      <c r="K277" s="34">
        <v>2097.0</v>
      </c>
      <c r="L277" s="33" t="s">
        <v>34</v>
      </c>
      <c r="M277" s="33">
        <v>24.0</v>
      </c>
      <c r="N277" s="33"/>
      <c r="O277" s="33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33">
        <v>1.85532677E8</v>
      </c>
      <c r="B278" s="33" t="s">
        <v>477</v>
      </c>
      <c r="C278" s="34">
        <v>1.0771739E7</v>
      </c>
      <c r="D278" s="34">
        <v>645314.0</v>
      </c>
      <c r="E278" s="34">
        <v>77403.0</v>
      </c>
      <c r="F278" s="34">
        <v>9225.0</v>
      </c>
      <c r="G278" s="34">
        <v>3801.0</v>
      </c>
      <c r="H278" s="34">
        <v>0.0</v>
      </c>
      <c r="I278" s="34">
        <v>1.808674736E9</v>
      </c>
      <c r="J278" s="34">
        <v>572583.0</v>
      </c>
      <c r="K278" s="34">
        <v>3059.0</v>
      </c>
      <c r="L278" s="33" t="s">
        <v>490</v>
      </c>
      <c r="M278" s="33">
        <v>23.0</v>
      </c>
      <c r="N278" s="33"/>
      <c r="O278" s="33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33">
        <v>1.59650107E8</v>
      </c>
      <c r="B279" s="33" t="s">
        <v>319</v>
      </c>
      <c r="C279" s="34">
        <v>1.0623418E7</v>
      </c>
      <c r="D279" s="34">
        <v>1536602.0</v>
      </c>
      <c r="E279" s="34">
        <v>1041916.0</v>
      </c>
      <c r="F279" s="34">
        <v>41874.0</v>
      </c>
      <c r="G279" s="34">
        <v>55798.0</v>
      </c>
      <c r="H279" s="34">
        <v>0.0</v>
      </c>
      <c r="I279" s="34">
        <v>3.81475314E9</v>
      </c>
      <c r="J279" s="34">
        <v>5.893442584E9</v>
      </c>
      <c r="K279" s="34">
        <v>1032.0</v>
      </c>
      <c r="L279" s="33" t="s">
        <v>327</v>
      </c>
      <c r="M279" s="33">
        <v>22.0</v>
      </c>
      <c r="N279" s="33"/>
      <c r="O279" s="33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33">
        <v>1.44049111E8</v>
      </c>
      <c r="B280" s="33" t="s">
        <v>618</v>
      </c>
      <c r="C280" s="34">
        <v>1.0468839E7</v>
      </c>
      <c r="D280" s="34">
        <v>1201159.0</v>
      </c>
      <c r="E280" s="34">
        <v>27044.0</v>
      </c>
      <c r="F280" s="34">
        <v>69729.0</v>
      </c>
      <c r="G280" s="34">
        <v>0.0</v>
      </c>
      <c r="H280" s="34">
        <v>0.0</v>
      </c>
      <c r="I280" s="34">
        <v>1.064673864E9</v>
      </c>
      <c r="J280" s="34">
        <v>0.0</v>
      </c>
      <c r="K280" s="34">
        <v>2909.0</v>
      </c>
      <c r="L280" s="33" t="s">
        <v>66</v>
      </c>
      <c r="M280" s="33">
        <v>23.0</v>
      </c>
      <c r="N280" s="33"/>
      <c r="O280" s="33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33">
        <v>1.71233186E8</v>
      </c>
      <c r="B281" s="33" t="s">
        <v>329</v>
      </c>
      <c r="C281" s="34">
        <v>1.0239776E7</v>
      </c>
      <c r="D281" s="34">
        <v>971104.0</v>
      </c>
      <c r="E281" s="34">
        <v>4667.0</v>
      </c>
      <c r="F281" s="34">
        <v>90418.0</v>
      </c>
      <c r="G281" s="34">
        <v>2023.0</v>
      </c>
      <c r="H281" s="34">
        <v>0.0</v>
      </c>
      <c r="I281" s="34">
        <v>7.885299775E9</v>
      </c>
      <c r="J281" s="34">
        <v>5.43364768E9</v>
      </c>
      <c r="K281" s="34">
        <v>2017.0</v>
      </c>
      <c r="L281" s="33" t="s">
        <v>327</v>
      </c>
      <c r="M281" s="33">
        <v>23.0</v>
      </c>
      <c r="N281" s="33"/>
      <c r="O281" s="33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3">
        <v>1.66124388E8</v>
      </c>
      <c r="B282" s="33" t="s">
        <v>323</v>
      </c>
      <c r="C282" s="34">
        <v>1.0202199E7</v>
      </c>
      <c r="D282" s="34">
        <v>2094341.0</v>
      </c>
      <c r="E282" s="34">
        <v>910305.0</v>
      </c>
      <c r="F282" s="34">
        <v>187987.0</v>
      </c>
      <c r="G282" s="34">
        <v>8519.0</v>
      </c>
      <c r="H282" s="34">
        <v>0.0</v>
      </c>
      <c r="I282" s="34">
        <v>3.972853744E9</v>
      </c>
      <c r="J282" s="34">
        <v>2.528982397E9</v>
      </c>
      <c r="K282" s="34">
        <v>1537.0</v>
      </c>
      <c r="L282" s="33" t="s">
        <v>490</v>
      </c>
      <c r="M282" s="33">
        <v>23.0</v>
      </c>
      <c r="N282" s="33"/>
      <c r="O282" s="33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3">
        <v>1.16447776E8</v>
      </c>
      <c r="B283" s="33" t="s">
        <v>619</v>
      </c>
      <c r="C283" s="34">
        <v>1.0060664E7</v>
      </c>
      <c r="D283" s="34">
        <v>2486609.0</v>
      </c>
      <c r="E283" s="34">
        <v>450509.0</v>
      </c>
      <c r="F283" s="34">
        <v>32871.0</v>
      </c>
      <c r="G283" s="34">
        <v>23136.0</v>
      </c>
      <c r="H283" s="34">
        <v>0.0</v>
      </c>
      <c r="I283" s="34">
        <v>3.803240842E9</v>
      </c>
      <c r="J283" s="34">
        <v>5.344709311E9</v>
      </c>
      <c r="K283" s="34">
        <v>1588.0</v>
      </c>
      <c r="L283" s="33" t="s">
        <v>490</v>
      </c>
      <c r="M283" s="33">
        <v>22.0</v>
      </c>
      <c r="N283" s="33"/>
      <c r="O283" s="33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3">
        <v>1.32840179E8</v>
      </c>
      <c r="B284" s="33" t="s">
        <v>620</v>
      </c>
      <c r="C284" s="34">
        <v>1.0019549E7</v>
      </c>
      <c r="D284" s="34">
        <v>1456790.0</v>
      </c>
      <c r="E284" s="34">
        <v>517257.0</v>
      </c>
      <c r="F284" s="34">
        <v>132402.0</v>
      </c>
      <c r="G284" s="34">
        <v>4763.0</v>
      </c>
      <c r="H284" s="34">
        <v>0.0</v>
      </c>
      <c r="I284" s="34">
        <v>4.639155473E9</v>
      </c>
      <c r="J284" s="34">
        <v>2.390377547E9</v>
      </c>
      <c r="K284" s="34">
        <v>803.0</v>
      </c>
      <c r="L284" s="33" t="s">
        <v>66</v>
      </c>
      <c r="M284" s="33">
        <v>24.0</v>
      </c>
      <c r="N284" s="33"/>
      <c r="O284" s="33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33">
        <v>1.40486332E8</v>
      </c>
      <c r="B285" s="33" t="s">
        <v>621</v>
      </c>
      <c r="C285" s="34">
        <v>9724864.0</v>
      </c>
      <c r="D285" s="34">
        <v>485160.0</v>
      </c>
      <c r="E285" s="34">
        <v>59125.0</v>
      </c>
      <c r="F285" s="34">
        <v>47001.0</v>
      </c>
      <c r="G285" s="34">
        <v>0.0</v>
      </c>
      <c r="H285" s="34">
        <v>0.0</v>
      </c>
      <c r="I285" s="34">
        <v>1.4550812242E10</v>
      </c>
      <c r="J285" s="34">
        <v>1.2210561933E10</v>
      </c>
      <c r="K285" s="34">
        <v>3627.0</v>
      </c>
      <c r="L285" s="33" t="s">
        <v>327</v>
      </c>
      <c r="M285" s="33">
        <v>23.0</v>
      </c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3">
        <v>1.75372565E8</v>
      </c>
      <c r="B286" s="33" t="s">
        <v>622</v>
      </c>
      <c r="C286" s="34">
        <v>9680866.0</v>
      </c>
      <c r="D286" s="34">
        <v>48602.0</v>
      </c>
      <c r="E286" s="34">
        <v>412106.0</v>
      </c>
      <c r="F286" s="34">
        <v>4274.0</v>
      </c>
      <c r="G286" s="34">
        <v>0.0</v>
      </c>
      <c r="H286" s="34">
        <v>0.0</v>
      </c>
      <c r="I286" s="34">
        <v>1.50818166E9</v>
      </c>
      <c r="J286" s="34">
        <v>3.0E8</v>
      </c>
      <c r="K286" s="34">
        <v>793.0</v>
      </c>
      <c r="L286" s="33" t="s">
        <v>327</v>
      </c>
      <c r="M286" s="33">
        <v>22.0</v>
      </c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33">
        <v>1.73962432E8</v>
      </c>
      <c r="B287" s="33" t="s">
        <v>623</v>
      </c>
      <c r="C287" s="34">
        <v>9643596.0</v>
      </c>
      <c r="D287" s="34">
        <v>47320.0</v>
      </c>
      <c r="E287" s="34">
        <v>53647.0</v>
      </c>
      <c r="F287" s="34">
        <v>1284.0</v>
      </c>
      <c r="G287" s="34">
        <v>1724.0</v>
      </c>
      <c r="H287" s="34">
        <v>0.0</v>
      </c>
      <c r="I287" s="34">
        <v>3.236199476E9</v>
      </c>
      <c r="J287" s="34">
        <v>3.651108255E9</v>
      </c>
      <c r="K287" s="34">
        <v>1197.0</v>
      </c>
      <c r="L287" s="33" t="s">
        <v>165</v>
      </c>
      <c r="M287" s="33">
        <v>22.0</v>
      </c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3">
        <v>1.66124388E8</v>
      </c>
      <c r="B288" s="33" t="s">
        <v>323</v>
      </c>
      <c r="C288" s="34">
        <v>9559968.0</v>
      </c>
      <c r="D288" s="34">
        <v>1970961.0</v>
      </c>
      <c r="E288" s="34">
        <v>910305.0</v>
      </c>
      <c r="F288" s="34">
        <v>175649.0</v>
      </c>
      <c r="G288" s="34">
        <v>8519.0</v>
      </c>
      <c r="H288" s="34">
        <v>0.0</v>
      </c>
      <c r="I288" s="34">
        <v>3.631445732E9</v>
      </c>
      <c r="J288" s="34">
        <v>1.604982397E9</v>
      </c>
      <c r="K288" s="34">
        <v>1479.0</v>
      </c>
      <c r="L288" s="33" t="s">
        <v>490</v>
      </c>
      <c r="M288" s="33">
        <v>23.0</v>
      </c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33">
        <v>1.53216493E8</v>
      </c>
      <c r="B289" s="33" t="s">
        <v>624</v>
      </c>
      <c r="C289" s="34">
        <v>9547249.0</v>
      </c>
      <c r="D289" s="34">
        <v>359223.0</v>
      </c>
      <c r="E289" s="34">
        <v>230543.0</v>
      </c>
      <c r="F289" s="34">
        <v>13233.0</v>
      </c>
      <c r="G289" s="34">
        <v>9701.0</v>
      </c>
      <c r="H289" s="34">
        <v>0.0</v>
      </c>
      <c r="I289" s="34">
        <v>5.97665725E8</v>
      </c>
      <c r="J289" s="34">
        <v>0.0</v>
      </c>
      <c r="K289" s="34">
        <v>280.0</v>
      </c>
      <c r="L289" s="33" t="s">
        <v>490</v>
      </c>
      <c r="M289" s="33">
        <v>23.0</v>
      </c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3">
        <v>1.44178677E8</v>
      </c>
      <c r="B290" s="33" t="s">
        <v>625</v>
      </c>
      <c r="C290" s="34">
        <v>9567887.0</v>
      </c>
      <c r="D290" s="34">
        <v>3987924.0</v>
      </c>
      <c r="E290" s="34">
        <v>395244.0</v>
      </c>
      <c r="F290" s="34">
        <v>43697.0</v>
      </c>
      <c r="G290" s="34">
        <v>0.0</v>
      </c>
      <c r="H290" s="34">
        <v>0.0</v>
      </c>
      <c r="I290" s="34">
        <v>1.088751547E9</v>
      </c>
      <c r="J290" s="34">
        <v>3361269.0</v>
      </c>
      <c r="K290" s="34">
        <v>1800.0</v>
      </c>
      <c r="L290" s="33" t="s">
        <v>66</v>
      </c>
      <c r="M290" s="33">
        <v>23.0</v>
      </c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33">
        <v>2.8719243E7</v>
      </c>
      <c r="B291" s="33" t="s">
        <v>626</v>
      </c>
      <c r="C291" s="34">
        <v>9485164.0</v>
      </c>
      <c r="D291" s="34">
        <v>870633.0</v>
      </c>
      <c r="E291" s="34">
        <v>660426.0</v>
      </c>
      <c r="F291" s="34">
        <v>76176.0</v>
      </c>
      <c r="G291" s="34">
        <v>5051.0</v>
      </c>
      <c r="H291" s="34">
        <v>0.0</v>
      </c>
      <c r="I291" s="34">
        <v>4.40220055E8</v>
      </c>
      <c r="J291" s="34">
        <v>1200001.0</v>
      </c>
      <c r="K291" s="34">
        <v>696.0</v>
      </c>
      <c r="L291" s="33" t="s">
        <v>327</v>
      </c>
      <c r="M291" s="33">
        <v>25.0</v>
      </c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33">
        <v>1.83417414E8</v>
      </c>
      <c r="B292" s="33" t="s">
        <v>627</v>
      </c>
      <c r="C292" s="34">
        <v>9430424.0</v>
      </c>
      <c r="D292" s="34">
        <v>4340690.0</v>
      </c>
      <c r="E292" s="34">
        <v>160452.0</v>
      </c>
      <c r="F292" s="34">
        <v>344314.0</v>
      </c>
      <c r="G292" s="34">
        <v>1451.0</v>
      </c>
      <c r="H292" s="34">
        <v>0.0</v>
      </c>
      <c r="I292" s="34">
        <v>1.978953817E9</v>
      </c>
      <c r="J292" s="34">
        <v>7.1641564E7</v>
      </c>
      <c r="K292" s="34">
        <v>1170.0</v>
      </c>
      <c r="L292" s="33" t="s">
        <v>165</v>
      </c>
      <c r="M292" s="33">
        <v>24.0</v>
      </c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33">
        <v>6.7568162E7</v>
      </c>
      <c r="B293" s="33" t="s">
        <v>300</v>
      </c>
      <c r="C293" s="34">
        <v>9415549.0</v>
      </c>
      <c r="D293" s="34">
        <v>95984.0</v>
      </c>
      <c r="E293" s="34">
        <v>4370.0</v>
      </c>
      <c r="F293" s="34">
        <v>0.0</v>
      </c>
      <c r="G293" s="34">
        <v>0.0</v>
      </c>
      <c r="H293" s="34">
        <v>0.0</v>
      </c>
      <c r="I293" s="34">
        <v>2.849494207E9</v>
      </c>
      <c r="J293" s="34">
        <v>1.940712211E9</v>
      </c>
      <c r="K293" s="34">
        <v>1065.0</v>
      </c>
      <c r="L293" s="33" t="s">
        <v>327</v>
      </c>
      <c r="M293" s="33">
        <v>23.0</v>
      </c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33">
        <v>1.28266737E8</v>
      </c>
      <c r="B294" s="33" t="s">
        <v>628</v>
      </c>
      <c r="C294" s="34">
        <v>9390077.0</v>
      </c>
      <c r="D294" s="34">
        <v>202155.0</v>
      </c>
      <c r="E294" s="34">
        <v>87963.0</v>
      </c>
      <c r="F294" s="34">
        <v>0.0</v>
      </c>
      <c r="G294" s="34">
        <v>0.0</v>
      </c>
      <c r="H294" s="34">
        <v>0.0</v>
      </c>
      <c r="I294" s="34">
        <v>4.84262553E8</v>
      </c>
      <c r="J294" s="34">
        <v>0.0</v>
      </c>
      <c r="K294" s="34">
        <v>599.0</v>
      </c>
      <c r="L294" s="33" t="s">
        <v>66</v>
      </c>
      <c r="M294" s="33">
        <v>24.0</v>
      </c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33">
        <v>6.7568162E7</v>
      </c>
      <c r="B295" s="33" t="s">
        <v>300</v>
      </c>
      <c r="C295" s="34">
        <v>9294775.0</v>
      </c>
      <c r="D295" s="34">
        <v>95984.0</v>
      </c>
      <c r="E295" s="34">
        <v>4370.0</v>
      </c>
      <c r="F295" s="34">
        <v>0.0</v>
      </c>
      <c r="G295" s="34">
        <v>0.0</v>
      </c>
      <c r="H295" s="34">
        <v>0.0</v>
      </c>
      <c r="I295" s="34">
        <v>2.691589832E9</v>
      </c>
      <c r="J295" s="34">
        <v>0.0</v>
      </c>
      <c r="K295" s="34">
        <v>1034.0</v>
      </c>
      <c r="L295" s="33" t="s">
        <v>147</v>
      </c>
      <c r="M295" s="33">
        <v>23.0</v>
      </c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33">
        <v>1.57465282E8</v>
      </c>
      <c r="B296" s="33" t="s">
        <v>474</v>
      </c>
      <c r="C296" s="34">
        <v>9279085.0</v>
      </c>
      <c r="D296" s="34">
        <v>1059330.0</v>
      </c>
      <c r="E296" s="34">
        <v>435892.0</v>
      </c>
      <c r="F296" s="34">
        <v>58926.0</v>
      </c>
      <c r="G296" s="34">
        <v>5178.0</v>
      </c>
      <c r="H296" s="34">
        <v>0.0</v>
      </c>
      <c r="I296" s="34">
        <v>5.655934459E9</v>
      </c>
      <c r="J296" s="34">
        <v>2.366887416E9</v>
      </c>
      <c r="K296" s="34">
        <v>1443.0</v>
      </c>
      <c r="L296" s="33" t="s">
        <v>165</v>
      </c>
      <c r="M296" s="33">
        <v>22.0</v>
      </c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33">
        <v>1.13555236E8</v>
      </c>
      <c r="B297" s="33" t="s">
        <v>629</v>
      </c>
      <c r="C297" s="34">
        <v>9100816.0</v>
      </c>
      <c r="D297" s="34">
        <v>103512.0</v>
      </c>
      <c r="E297" s="34">
        <v>134884.0</v>
      </c>
      <c r="F297" s="34">
        <v>1291.0</v>
      </c>
      <c r="G297" s="34">
        <v>2911.0</v>
      </c>
      <c r="H297" s="34">
        <v>0.0</v>
      </c>
      <c r="I297" s="34">
        <v>2.365064498E9</v>
      </c>
      <c r="J297" s="34">
        <v>9.31741984E8</v>
      </c>
      <c r="K297" s="34">
        <v>2556.0</v>
      </c>
      <c r="L297" s="33" t="s">
        <v>147</v>
      </c>
      <c r="M297" s="33">
        <v>23.0</v>
      </c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3">
        <v>1.46791843E8</v>
      </c>
      <c r="B298" s="33" t="s">
        <v>348</v>
      </c>
      <c r="C298" s="34">
        <v>8976972.0</v>
      </c>
      <c r="D298" s="34">
        <v>125882.0</v>
      </c>
      <c r="E298" s="34">
        <v>16780.0</v>
      </c>
      <c r="F298" s="34">
        <v>3548.0</v>
      </c>
      <c r="G298" s="34">
        <v>66.0</v>
      </c>
      <c r="H298" s="34">
        <v>0.0</v>
      </c>
      <c r="I298" s="34">
        <v>5.717331819E9</v>
      </c>
      <c r="J298" s="34">
        <v>1.933212573E9</v>
      </c>
      <c r="K298" s="34">
        <v>1551.0</v>
      </c>
      <c r="L298" s="33" t="s">
        <v>147</v>
      </c>
      <c r="M298" s="33">
        <v>24.0</v>
      </c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33">
        <v>1.30732227E8</v>
      </c>
      <c r="B299" s="33" t="s">
        <v>344</v>
      </c>
      <c r="C299" s="34">
        <v>8904868.0</v>
      </c>
      <c r="D299" s="34">
        <v>7108.0</v>
      </c>
      <c r="E299" s="34">
        <v>190.0</v>
      </c>
      <c r="F299" s="34">
        <v>0.0</v>
      </c>
      <c r="G299" s="34">
        <v>0.0</v>
      </c>
      <c r="H299" s="34">
        <v>0.0</v>
      </c>
      <c r="I299" s="34">
        <v>2.055777859E9</v>
      </c>
      <c r="J299" s="34">
        <v>1.271658453E9</v>
      </c>
      <c r="K299" s="34">
        <v>453.0</v>
      </c>
      <c r="L299" s="33" t="s">
        <v>147</v>
      </c>
      <c r="M299" s="33">
        <v>24.0</v>
      </c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3">
        <v>1.82303772E8</v>
      </c>
      <c r="B300" s="33" t="s">
        <v>630</v>
      </c>
      <c r="C300" s="34">
        <v>8885131.0</v>
      </c>
      <c r="D300" s="34">
        <v>2479760.0</v>
      </c>
      <c r="E300" s="34">
        <v>50451.0</v>
      </c>
      <c r="F300" s="34">
        <v>207081.0</v>
      </c>
      <c r="G300" s="34">
        <v>0.0</v>
      </c>
      <c r="H300" s="34">
        <v>0.0</v>
      </c>
      <c r="I300" s="34">
        <v>6.26154283E8</v>
      </c>
      <c r="J300" s="34">
        <v>0.0</v>
      </c>
      <c r="K300" s="34">
        <v>964.0</v>
      </c>
      <c r="L300" s="33" t="s">
        <v>631</v>
      </c>
      <c r="M300" s="33">
        <v>23.0</v>
      </c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33">
        <v>1.83817841E8</v>
      </c>
      <c r="B301" s="33" t="s">
        <v>315</v>
      </c>
      <c r="C301" s="34">
        <v>8879420.0</v>
      </c>
      <c r="D301" s="34">
        <v>269000.0</v>
      </c>
      <c r="E301" s="34">
        <v>30850.0</v>
      </c>
      <c r="F301" s="34">
        <v>26900.0</v>
      </c>
      <c r="G301" s="34">
        <v>0.0</v>
      </c>
      <c r="H301" s="34">
        <v>0.0</v>
      </c>
      <c r="I301" s="34">
        <v>6.72210743E8</v>
      </c>
      <c r="J301" s="34">
        <v>0.0</v>
      </c>
      <c r="K301" s="34">
        <v>187.0</v>
      </c>
      <c r="L301" s="33" t="s">
        <v>632</v>
      </c>
      <c r="M301" s="33">
        <v>23.0</v>
      </c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K302" si="1">SUM(C2:C301)</f>
        <v>11432575409</v>
      </c>
      <c r="D302" s="36">
        <f t="shared" si="1"/>
        <v>112977976852</v>
      </c>
      <c r="E302" s="36">
        <f t="shared" si="1"/>
        <v>1433365989</v>
      </c>
      <c r="F302" s="36">
        <f t="shared" si="1"/>
        <v>4161323292</v>
      </c>
      <c r="G302" s="36">
        <f t="shared" si="1"/>
        <v>3444452470</v>
      </c>
      <c r="H302" s="36">
        <f t="shared" si="1"/>
        <v>8912024</v>
      </c>
      <c r="I302" s="36">
        <f t="shared" si="1"/>
        <v>2593178872743</v>
      </c>
      <c r="J302" s="36">
        <f t="shared" si="1"/>
        <v>1423642456608</v>
      </c>
      <c r="K302" s="36">
        <f t="shared" si="1"/>
        <v>7631558</v>
      </c>
      <c r="L302" s="35"/>
      <c r="M302" s="35">
        <f>COUNT(M2:M301)</f>
        <v>300</v>
      </c>
      <c r="N302" s="35"/>
      <c r="O302" s="35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5" t="s">
        <v>362</v>
      </c>
      <c r="C303" s="36">
        <f>SUMIFS(C2:C301, M2:M301, "25")</f>
        <v>10111963142</v>
      </c>
      <c r="D303" s="36">
        <f>SUMIFS(D2:D301, M2:M301, "25")</f>
        <v>112739703256</v>
      </c>
      <c r="E303" s="36">
        <f>SUMIFS(E2:E301, M2:M301, "25")</f>
        <v>1378457538</v>
      </c>
      <c r="F303" s="36">
        <f>SUMIFS(F2:F301, M2:M301, "25")</f>
        <v>4146924687</v>
      </c>
      <c r="G303" s="36">
        <f>SUMIFS(G2:G301, M2:M301, "25")</f>
        <v>3442370453</v>
      </c>
      <c r="H303" s="36">
        <f>SUMIFS(H2:H301, M2:M301, "25")</f>
        <v>8912024</v>
      </c>
      <c r="I303" s="36">
        <f>SUMIFS(I2:I301, M2:M301, "25")</f>
        <v>2079099933371</v>
      </c>
      <c r="J303" s="36">
        <f>SUMIFS(J2:J301, M2:M301, "25")</f>
        <v>1034178099060</v>
      </c>
      <c r="K303" s="36">
        <f>SUMIFS(K2:K301, M2:M301, "25")</f>
        <v>7415652</v>
      </c>
      <c r="L303" s="35" t="s">
        <v>363</v>
      </c>
      <c r="M303" s="35">
        <f>COUNTIF(M2:M301,"25")</f>
        <v>205</v>
      </c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14"/>
    <col customWidth="1" min="2" max="2" width="21.86"/>
    <col customWidth="1" min="3" max="10" width="19.86"/>
    <col customWidth="1" min="11" max="11" width="12.29"/>
    <col customWidth="1" min="12" max="12" width="22.57"/>
    <col customWidth="1" min="13" max="13" width="13.86"/>
    <col customWidth="1" min="14" max="14" width="12.43"/>
    <col customWidth="1" min="15" max="15" width="63.29"/>
    <col customWidth="1" min="16" max="26" width="8.71"/>
  </cols>
  <sheetData>
    <row r="1" ht="21.0" customHeight="1">
      <c r="A1" s="28" t="s">
        <v>32</v>
      </c>
      <c r="B1" s="28" t="s">
        <v>4</v>
      </c>
      <c r="C1" s="29" t="s">
        <v>5</v>
      </c>
      <c r="D1" s="29" t="s">
        <v>6</v>
      </c>
      <c r="E1" s="29" t="s">
        <v>7</v>
      </c>
      <c r="F1" s="29" t="s">
        <v>8</v>
      </c>
      <c r="G1" s="29" t="s">
        <v>9</v>
      </c>
      <c r="H1" s="29" t="s">
        <v>10</v>
      </c>
      <c r="I1" s="29" t="s">
        <v>11</v>
      </c>
      <c r="J1" s="29" t="s">
        <v>12</v>
      </c>
      <c r="K1" s="29" t="s">
        <v>13</v>
      </c>
      <c r="L1" s="28" t="s">
        <v>14</v>
      </c>
      <c r="M1" s="28" t="s">
        <v>15</v>
      </c>
      <c r="N1" s="28" t="s">
        <v>59</v>
      </c>
      <c r="O1" s="28" t="s">
        <v>60</v>
      </c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 ht="21.0" customHeight="1">
      <c r="A2" s="31">
        <v>1.68455139E8</v>
      </c>
      <c r="B2" s="31" t="s">
        <v>568</v>
      </c>
      <c r="C2" s="32">
        <v>1.00995051E8</v>
      </c>
      <c r="D2" s="32">
        <v>2.562101913E9</v>
      </c>
      <c r="E2" s="32">
        <v>1.3183666E7</v>
      </c>
      <c r="F2" s="32">
        <v>5.7379493E7</v>
      </c>
      <c r="G2" s="32">
        <v>9.8935879E7</v>
      </c>
      <c r="H2" s="32">
        <v>0.0</v>
      </c>
      <c r="I2" s="32">
        <v>1.5521276269E10</v>
      </c>
      <c r="J2" s="32">
        <v>1.995967435E9</v>
      </c>
      <c r="K2" s="32">
        <v>71309.0</v>
      </c>
      <c r="L2" s="31" t="s">
        <v>34</v>
      </c>
      <c r="M2" s="31">
        <v>25.0</v>
      </c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1.0" customHeight="1">
      <c r="A3" s="31">
        <v>6.496634E7</v>
      </c>
      <c r="B3" s="31" t="s">
        <v>569</v>
      </c>
      <c r="C3" s="32">
        <v>9.6979357E7</v>
      </c>
      <c r="D3" s="32">
        <v>4.086341917E9</v>
      </c>
      <c r="E3" s="32">
        <v>1.7665503E7</v>
      </c>
      <c r="F3" s="32">
        <v>7.0845306E7</v>
      </c>
      <c r="G3" s="32">
        <v>1.68278263E8</v>
      </c>
      <c r="H3" s="32">
        <v>0.0</v>
      </c>
      <c r="I3" s="32">
        <v>3.747754311E10</v>
      </c>
      <c r="J3" s="32">
        <v>1.4447507139E10</v>
      </c>
      <c r="K3" s="32">
        <v>134839.0</v>
      </c>
      <c r="L3" s="31" t="s">
        <v>34</v>
      </c>
      <c r="M3" s="31">
        <v>25.0</v>
      </c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1.0" customHeight="1">
      <c r="A4" s="31">
        <v>8.693627E7</v>
      </c>
      <c r="B4" s="31" t="s">
        <v>528</v>
      </c>
      <c r="C4" s="32">
        <v>9.558509E7</v>
      </c>
      <c r="D4" s="32">
        <v>1.503034729E9</v>
      </c>
      <c r="E4" s="32">
        <v>2.2074044E7</v>
      </c>
      <c r="F4" s="32">
        <v>5.140165E7</v>
      </c>
      <c r="G4" s="32">
        <v>4.7877493E7</v>
      </c>
      <c r="H4" s="32">
        <v>0.0</v>
      </c>
      <c r="I4" s="32">
        <v>2.2543758499E10</v>
      </c>
      <c r="J4" s="32">
        <v>2.986368915E9</v>
      </c>
      <c r="K4" s="32">
        <v>112042.0</v>
      </c>
      <c r="L4" s="31" t="s">
        <v>34</v>
      </c>
      <c r="M4" s="31">
        <v>25.0</v>
      </c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1.0" customHeight="1">
      <c r="A5" s="31">
        <v>6.2576249E7</v>
      </c>
      <c r="B5" s="31" t="s">
        <v>633</v>
      </c>
      <c r="C5" s="32">
        <v>9.5474436E7</v>
      </c>
      <c r="D5" s="32">
        <v>3.254365858E9</v>
      </c>
      <c r="E5" s="32">
        <v>2.1551444E7</v>
      </c>
      <c r="F5" s="32">
        <v>1.00338637E8</v>
      </c>
      <c r="G5" s="32">
        <v>1.08720404E8</v>
      </c>
      <c r="H5" s="32">
        <v>0.0</v>
      </c>
      <c r="I5" s="32">
        <v>2.6873347904E10</v>
      </c>
      <c r="J5" s="32">
        <v>3.3119364731E10</v>
      </c>
      <c r="K5" s="32">
        <v>153572.0</v>
      </c>
      <c r="L5" s="31" t="s">
        <v>34</v>
      </c>
      <c r="M5" s="31">
        <v>25.0</v>
      </c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21.0" customHeight="1">
      <c r="A6" s="31">
        <v>1.45408006E8</v>
      </c>
      <c r="B6" s="31" t="s">
        <v>36</v>
      </c>
      <c r="C6" s="32">
        <v>9.1982115E7</v>
      </c>
      <c r="D6" s="32">
        <v>1.176392777E9</v>
      </c>
      <c r="E6" s="32">
        <v>1.2516189E7</v>
      </c>
      <c r="F6" s="32">
        <v>3.501225E7</v>
      </c>
      <c r="G6" s="32">
        <v>3.9826516E7</v>
      </c>
      <c r="H6" s="32">
        <v>0.0</v>
      </c>
      <c r="I6" s="32">
        <v>1.2002278375E10</v>
      </c>
      <c r="J6" s="32">
        <v>9.7148239E7</v>
      </c>
      <c r="K6" s="32">
        <v>29405.0</v>
      </c>
      <c r="L6" s="31" t="s">
        <v>34</v>
      </c>
      <c r="M6" s="31">
        <v>25.0</v>
      </c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1.0" customHeight="1">
      <c r="A7" s="31">
        <v>6.7873337E7</v>
      </c>
      <c r="B7" s="31" t="s">
        <v>634</v>
      </c>
      <c r="C7" s="32">
        <v>8.4600251E7</v>
      </c>
      <c r="D7" s="32">
        <v>9.65581135E8</v>
      </c>
      <c r="E7" s="32">
        <v>1.0618651E7</v>
      </c>
      <c r="F7" s="32">
        <v>5.4827218E7</v>
      </c>
      <c r="G7" s="32">
        <v>1.8457422E7</v>
      </c>
      <c r="H7" s="32">
        <v>1441005.0</v>
      </c>
      <c r="I7" s="32">
        <v>1.3894086955E10</v>
      </c>
      <c r="J7" s="32">
        <v>2.8592065312E10</v>
      </c>
      <c r="K7" s="32">
        <v>78882.0</v>
      </c>
      <c r="L7" s="31" t="s">
        <v>147</v>
      </c>
      <c r="M7" s="31">
        <v>25.0</v>
      </c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1.0" customHeight="1">
      <c r="A8" s="31">
        <v>2463403.0</v>
      </c>
      <c r="B8" s="31" t="s">
        <v>570</v>
      </c>
      <c r="C8" s="32">
        <v>8.2897599E7</v>
      </c>
      <c r="D8" s="32">
        <v>7.090167591E9</v>
      </c>
      <c r="E8" s="32">
        <v>3.9609143E7</v>
      </c>
      <c r="F8" s="32">
        <v>1.95336738E8</v>
      </c>
      <c r="G8" s="32">
        <v>2.54910198E8</v>
      </c>
      <c r="H8" s="32">
        <v>0.0</v>
      </c>
      <c r="I8" s="32">
        <v>2.9068656238E10</v>
      </c>
      <c r="J8" s="32">
        <v>1.0216888909E10</v>
      </c>
      <c r="K8" s="32">
        <v>258722.0</v>
      </c>
      <c r="L8" s="31" t="s">
        <v>34</v>
      </c>
      <c r="M8" s="31">
        <v>25.0</v>
      </c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1.0" customHeight="1">
      <c r="A9" s="31">
        <v>1.71934536E8</v>
      </c>
      <c r="B9" s="31" t="s">
        <v>61</v>
      </c>
      <c r="C9" s="32">
        <v>8.1412E7</v>
      </c>
      <c r="D9" s="32">
        <v>6.86911268E8</v>
      </c>
      <c r="E9" s="32">
        <v>2221644.0</v>
      </c>
      <c r="F9" s="32">
        <v>2.4148641E7</v>
      </c>
      <c r="G9" s="32">
        <v>2.0676569E7</v>
      </c>
      <c r="H9" s="32">
        <v>0.0</v>
      </c>
      <c r="I9" s="32">
        <v>1.5180537004E10</v>
      </c>
      <c r="J9" s="32">
        <v>9.58710757E8</v>
      </c>
      <c r="K9" s="32">
        <v>47732.0</v>
      </c>
      <c r="L9" s="31" t="s">
        <v>34</v>
      </c>
      <c r="M9" s="31">
        <v>25.0</v>
      </c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</row>
    <row r="10" ht="21.0" customHeight="1">
      <c r="A10" s="31">
        <v>1.69247313E8</v>
      </c>
      <c r="B10" s="31" t="s">
        <v>571</v>
      </c>
      <c r="C10" s="32">
        <v>8.1387345E7</v>
      </c>
      <c r="D10" s="32">
        <v>3.77014542E8</v>
      </c>
      <c r="E10" s="32">
        <v>7217759.0</v>
      </c>
      <c r="F10" s="32">
        <v>1.5883831E7</v>
      </c>
      <c r="G10" s="32">
        <v>1.0032098E7</v>
      </c>
      <c r="H10" s="32">
        <v>0.0</v>
      </c>
      <c r="I10" s="32">
        <v>1.7999132283E10</v>
      </c>
      <c r="J10" s="32">
        <v>1.091235465E9</v>
      </c>
      <c r="K10" s="32">
        <v>102064.0</v>
      </c>
      <c r="L10" s="31" t="s">
        <v>34</v>
      </c>
      <c r="M10" s="31">
        <v>25.0</v>
      </c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21.0" customHeight="1">
      <c r="A11" s="31">
        <v>1.15125159E8</v>
      </c>
      <c r="B11" s="31" t="s">
        <v>400</v>
      </c>
      <c r="C11" s="32">
        <v>8.1294337E7</v>
      </c>
      <c r="D11" s="32">
        <v>5.94789271E8</v>
      </c>
      <c r="E11" s="32">
        <v>1.0109587E7</v>
      </c>
      <c r="F11" s="32">
        <v>2.3098886E7</v>
      </c>
      <c r="G11" s="32">
        <v>1.748606E7</v>
      </c>
      <c r="H11" s="32">
        <v>19919.0</v>
      </c>
      <c r="I11" s="32">
        <v>1.2773224899E10</v>
      </c>
      <c r="J11" s="32">
        <v>2.957793162E9</v>
      </c>
      <c r="K11" s="32">
        <v>49934.0</v>
      </c>
      <c r="L11" s="31" t="s">
        <v>34</v>
      </c>
      <c r="M11" s="31">
        <v>25.0</v>
      </c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21.0" customHeight="1">
      <c r="A12" s="31">
        <v>6.4010776E7</v>
      </c>
      <c r="B12" s="31" t="s">
        <v>478</v>
      </c>
      <c r="C12" s="32">
        <v>8.0909037E7</v>
      </c>
      <c r="D12" s="32">
        <v>2.358208628E9</v>
      </c>
      <c r="E12" s="32">
        <v>1.8762582E7</v>
      </c>
      <c r="F12" s="32">
        <v>8.0510823E7</v>
      </c>
      <c r="G12" s="32">
        <v>7.5349352E7</v>
      </c>
      <c r="H12" s="32">
        <v>0.0</v>
      </c>
      <c r="I12" s="32">
        <v>2.0273207832E10</v>
      </c>
      <c r="J12" s="32">
        <v>2.9894679846E10</v>
      </c>
      <c r="K12" s="32">
        <v>106660.0</v>
      </c>
      <c r="L12" s="31" t="s">
        <v>34</v>
      </c>
      <c r="M12" s="31">
        <v>25.0</v>
      </c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21.0" customHeight="1">
      <c r="A13" s="31">
        <v>6.3222201E7</v>
      </c>
      <c r="B13" s="31" t="s">
        <v>64</v>
      </c>
      <c r="C13" s="32">
        <v>8.033846E7</v>
      </c>
      <c r="D13" s="32">
        <v>1.8917797E9</v>
      </c>
      <c r="E13" s="32">
        <v>1.8313369E7</v>
      </c>
      <c r="F13" s="32">
        <v>7.8651691E7</v>
      </c>
      <c r="G13" s="32">
        <v>5.3777095E7</v>
      </c>
      <c r="H13" s="32">
        <v>0.0</v>
      </c>
      <c r="I13" s="32">
        <v>3.1972956885E10</v>
      </c>
      <c r="J13" s="32">
        <v>1.1157447834E10</v>
      </c>
      <c r="K13" s="32">
        <v>79271.0</v>
      </c>
      <c r="L13" s="31" t="s">
        <v>34</v>
      </c>
      <c r="M13" s="31">
        <v>25.0</v>
      </c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21.0" customHeight="1">
      <c r="A14" s="31">
        <v>6.2691192E7</v>
      </c>
      <c r="B14" s="31" t="s">
        <v>43</v>
      </c>
      <c r="C14" s="32">
        <v>7.9945637E7</v>
      </c>
      <c r="D14" s="32">
        <v>4.61652502E8</v>
      </c>
      <c r="E14" s="32">
        <v>1.8223195E7</v>
      </c>
      <c r="F14" s="32">
        <v>1.0280481E7</v>
      </c>
      <c r="G14" s="32">
        <v>1.7745909E7</v>
      </c>
      <c r="H14" s="32">
        <v>0.0</v>
      </c>
      <c r="I14" s="32">
        <v>2.0434965284E10</v>
      </c>
      <c r="J14" s="32">
        <v>6.518529315E9</v>
      </c>
      <c r="K14" s="32">
        <v>85426.0</v>
      </c>
      <c r="L14" s="31" t="s">
        <v>34</v>
      </c>
      <c r="M14" s="31">
        <v>25.0</v>
      </c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21.0" customHeight="1">
      <c r="A15" s="31">
        <v>1.46164713E8</v>
      </c>
      <c r="B15" s="31" t="s">
        <v>635</v>
      </c>
      <c r="C15" s="32">
        <v>7.8631041E7</v>
      </c>
      <c r="D15" s="32">
        <v>5.81903494E8</v>
      </c>
      <c r="E15" s="32">
        <v>2792100.0</v>
      </c>
      <c r="F15" s="32">
        <v>1.9490061E7</v>
      </c>
      <c r="G15" s="32">
        <v>1.9268099E7</v>
      </c>
      <c r="H15" s="32">
        <v>0.0</v>
      </c>
      <c r="I15" s="32">
        <v>1.3451018243E10</v>
      </c>
      <c r="J15" s="32">
        <v>7.043667959E9</v>
      </c>
      <c r="K15" s="32">
        <v>26618.0</v>
      </c>
      <c r="L15" s="31" t="s">
        <v>636</v>
      </c>
      <c r="M15" s="31">
        <v>25.0</v>
      </c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1.0" customHeight="1">
      <c r="A16" s="31">
        <v>1.71879011E8</v>
      </c>
      <c r="B16" s="31" t="s">
        <v>80</v>
      </c>
      <c r="C16" s="32">
        <v>7.8327189E7</v>
      </c>
      <c r="D16" s="32">
        <v>3.12884879E8</v>
      </c>
      <c r="E16" s="32">
        <v>2604417.0</v>
      </c>
      <c r="F16" s="32">
        <v>1.0008206E7</v>
      </c>
      <c r="G16" s="32">
        <v>1.0010502E7</v>
      </c>
      <c r="H16" s="32">
        <v>0.0</v>
      </c>
      <c r="I16" s="32">
        <v>1.3602277403E10</v>
      </c>
      <c r="J16" s="32">
        <v>1.688712272E9</v>
      </c>
      <c r="K16" s="32">
        <v>48756.0</v>
      </c>
      <c r="L16" s="31" t="s">
        <v>34</v>
      </c>
      <c r="M16" s="31">
        <v>25.0</v>
      </c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1.0" customHeight="1">
      <c r="A17" s="31">
        <v>6.7071592E7</v>
      </c>
      <c r="B17" s="31" t="s">
        <v>637</v>
      </c>
      <c r="C17" s="32">
        <v>7.8261115E7</v>
      </c>
      <c r="D17" s="32">
        <v>9.651796023E9</v>
      </c>
      <c r="E17" s="32">
        <v>2.8761294E7</v>
      </c>
      <c r="F17" s="32">
        <v>3.8317032E8</v>
      </c>
      <c r="G17" s="32">
        <v>2.84083302E8</v>
      </c>
      <c r="H17" s="32">
        <v>1804833.0</v>
      </c>
      <c r="I17" s="32">
        <v>3.6364980896E10</v>
      </c>
      <c r="J17" s="32">
        <v>2.4132015882E10</v>
      </c>
      <c r="K17" s="32">
        <v>224647.0</v>
      </c>
      <c r="L17" s="31" t="s">
        <v>34</v>
      </c>
      <c r="M17" s="31">
        <v>25.0</v>
      </c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1.0" customHeight="1">
      <c r="A18" s="31">
        <v>4.3136267E7</v>
      </c>
      <c r="B18" s="31" t="s">
        <v>65</v>
      </c>
      <c r="C18" s="32">
        <v>7.7686303E7</v>
      </c>
      <c r="D18" s="32">
        <v>2.428584804E9</v>
      </c>
      <c r="E18" s="32">
        <v>2.296527E7</v>
      </c>
      <c r="F18" s="32">
        <v>7.3533858E7</v>
      </c>
      <c r="G18" s="32">
        <v>8.3657192E7</v>
      </c>
      <c r="H18" s="32">
        <v>0.0</v>
      </c>
      <c r="I18" s="32">
        <v>2.8354024394E10</v>
      </c>
      <c r="J18" s="32">
        <v>3.3209575604E10</v>
      </c>
      <c r="K18" s="32">
        <v>99755.0</v>
      </c>
      <c r="L18" s="31" t="s">
        <v>34</v>
      </c>
      <c r="M18" s="31">
        <v>25.0</v>
      </c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</row>
    <row r="19" ht="21.0" customHeight="1">
      <c r="A19" s="31">
        <v>7.1152824E7</v>
      </c>
      <c r="B19" s="31" t="s">
        <v>67</v>
      </c>
      <c r="C19" s="32">
        <v>7.7045575E7</v>
      </c>
      <c r="D19" s="32">
        <v>1.751903593E9</v>
      </c>
      <c r="E19" s="32">
        <v>1.7826028E7</v>
      </c>
      <c r="F19" s="32">
        <v>7.0484973E7</v>
      </c>
      <c r="G19" s="32">
        <v>5.0298523E7</v>
      </c>
      <c r="H19" s="32">
        <v>313500.0</v>
      </c>
      <c r="I19" s="32">
        <v>2.3784263065E10</v>
      </c>
      <c r="J19" s="32">
        <v>1.1097140581E10</v>
      </c>
      <c r="K19" s="32">
        <v>56061.0</v>
      </c>
      <c r="L19" s="31" t="s">
        <v>34</v>
      </c>
      <c r="M19" s="31">
        <v>25.0</v>
      </c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21.0" customHeight="1">
      <c r="A20" s="31">
        <v>1.1726598E7</v>
      </c>
      <c r="B20" s="31" t="s">
        <v>572</v>
      </c>
      <c r="C20" s="32">
        <v>7.5836098E7</v>
      </c>
      <c r="D20" s="32">
        <v>7.514333659E9</v>
      </c>
      <c r="E20" s="32">
        <v>2.7940488E7</v>
      </c>
      <c r="F20" s="32">
        <v>2.07762246E8</v>
      </c>
      <c r="G20" s="32">
        <v>2.67728565E8</v>
      </c>
      <c r="H20" s="32">
        <v>3821128.0</v>
      </c>
      <c r="I20" s="32">
        <v>2.2699763483E10</v>
      </c>
      <c r="J20" s="32">
        <v>3.0837472747E10</v>
      </c>
      <c r="K20" s="32">
        <v>163323.0</v>
      </c>
      <c r="L20" s="31" t="s">
        <v>34</v>
      </c>
      <c r="M20" s="31">
        <v>25.0</v>
      </c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21.0" customHeight="1">
      <c r="A21" s="31">
        <v>1.3871553E8</v>
      </c>
      <c r="B21" s="31" t="s">
        <v>62</v>
      </c>
      <c r="C21" s="32">
        <v>7.4966383E7</v>
      </c>
      <c r="D21" s="32">
        <v>8.24737101E8</v>
      </c>
      <c r="E21" s="32">
        <v>1.5327033E7</v>
      </c>
      <c r="F21" s="32">
        <v>2.4342078E7</v>
      </c>
      <c r="G21" s="32">
        <v>2.8353416E7</v>
      </c>
      <c r="H21" s="32">
        <v>0.0</v>
      </c>
      <c r="I21" s="32">
        <v>1.8470415944E10</v>
      </c>
      <c r="J21" s="32">
        <v>4.607127866E9</v>
      </c>
      <c r="K21" s="32">
        <v>118446.0</v>
      </c>
      <c r="L21" s="31" t="s">
        <v>34</v>
      </c>
      <c r="M21" s="31">
        <v>25.0</v>
      </c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1.0" customHeight="1">
      <c r="A22" s="31">
        <v>7.7394861E7</v>
      </c>
      <c r="B22" s="31" t="s">
        <v>50</v>
      </c>
      <c r="C22" s="32">
        <v>7.4575579E7</v>
      </c>
      <c r="D22" s="32">
        <v>2.603519577E9</v>
      </c>
      <c r="E22" s="32">
        <v>1.7174859E7</v>
      </c>
      <c r="F22" s="32">
        <v>9.4474031E7</v>
      </c>
      <c r="G22" s="32">
        <v>8.2797644E7</v>
      </c>
      <c r="H22" s="32">
        <v>0.0</v>
      </c>
      <c r="I22" s="32">
        <v>2.6603310817E10</v>
      </c>
      <c r="J22" s="32">
        <v>6.5782871155E10</v>
      </c>
      <c r="K22" s="32">
        <v>182666.0</v>
      </c>
      <c r="L22" s="31" t="s">
        <v>34</v>
      </c>
      <c r="M22" s="31">
        <v>25.0</v>
      </c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1.0" customHeight="1">
      <c r="A23" s="31">
        <v>1.1409556E7</v>
      </c>
      <c r="B23" s="31" t="s">
        <v>402</v>
      </c>
      <c r="C23" s="32">
        <v>7.4229641E7</v>
      </c>
      <c r="D23" s="32">
        <v>5.65380763E8</v>
      </c>
      <c r="E23" s="32">
        <v>1.4858508E7</v>
      </c>
      <c r="F23" s="32">
        <v>3.063545E7</v>
      </c>
      <c r="G23" s="32">
        <v>1.2073384E7</v>
      </c>
      <c r="H23" s="32">
        <v>0.0</v>
      </c>
      <c r="I23" s="32">
        <v>1.5581645564E10</v>
      </c>
      <c r="J23" s="32">
        <v>5.766935771E9</v>
      </c>
      <c r="K23" s="32">
        <v>86511.0</v>
      </c>
      <c r="L23" s="31" t="s">
        <v>34</v>
      </c>
      <c r="M23" s="31">
        <v>25.0</v>
      </c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1.0" customHeight="1">
      <c r="A24" s="31">
        <v>2.989016E7</v>
      </c>
      <c r="B24" s="31" t="s">
        <v>399</v>
      </c>
      <c r="C24" s="32">
        <v>7.4196867E7</v>
      </c>
      <c r="D24" s="32">
        <v>7.91968646E8</v>
      </c>
      <c r="E24" s="32">
        <v>2.9925119E7</v>
      </c>
      <c r="F24" s="32">
        <v>2.9880757E7</v>
      </c>
      <c r="G24" s="32">
        <v>2.3098269E7</v>
      </c>
      <c r="H24" s="32">
        <v>0.0</v>
      </c>
      <c r="I24" s="32">
        <v>1.873128011E10</v>
      </c>
      <c r="J24" s="32">
        <v>5.308872359E9</v>
      </c>
      <c r="K24" s="32">
        <v>62789.0</v>
      </c>
      <c r="L24" s="31" t="s">
        <v>34</v>
      </c>
      <c r="M24" s="31">
        <v>25.0</v>
      </c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</row>
    <row r="25" ht="21.0" customHeight="1">
      <c r="A25" s="31">
        <v>1.44060837E8</v>
      </c>
      <c r="B25" s="31" t="s">
        <v>442</v>
      </c>
      <c r="C25" s="32">
        <v>7.3189872E7</v>
      </c>
      <c r="D25" s="32">
        <v>3.56154483E8</v>
      </c>
      <c r="E25" s="32">
        <v>1.330877E7</v>
      </c>
      <c r="F25" s="32">
        <v>1.2522385E7</v>
      </c>
      <c r="G25" s="32">
        <v>1.0114389E7</v>
      </c>
      <c r="H25" s="32">
        <v>0.0</v>
      </c>
      <c r="I25" s="32">
        <v>1.1011492104E10</v>
      </c>
      <c r="J25" s="32">
        <v>1.823799305E9</v>
      </c>
      <c r="K25" s="32">
        <v>51751.0</v>
      </c>
      <c r="L25" s="31" t="s">
        <v>34</v>
      </c>
      <c r="M25" s="31">
        <v>25.0</v>
      </c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21.0" customHeight="1">
      <c r="A26" s="31">
        <v>1.69446634E8</v>
      </c>
      <c r="B26" s="31" t="s">
        <v>405</v>
      </c>
      <c r="C26" s="32">
        <v>7.3111384E7</v>
      </c>
      <c r="D26" s="32">
        <v>2.51559818E8</v>
      </c>
      <c r="E26" s="32">
        <v>8236914.0</v>
      </c>
      <c r="F26" s="32">
        <v>9625170.0</v>
      </c>
      <c r="G26" s="32">
        <v>7668039.0</v>
      </c>
      <c r="H26" s="32">
        <v>0.0</v>
      </c>
      <c r="I26" s="32">
        <v>9.935330735E9</v>
      </c>
      <c r="J26" s="32">
        <v>2.6468178E8</v>
      </c>
      <c r="K26" s="32">
        <v>47003.0</v>
      </c>
      <c r="L26" s="31" t="s">
        <v>34</v>
      </c>
      <c r="M26" s="31">
        <v>25.0</v>
      </c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21.0" customHeight="1">
      <c r="A27" s="31">
        <v>7.1613822E7</v>
      </c>
      <c r="B27" s="31" t="s">
        <v>69</v>
      </c>
      <c r="C27" s="32">
        <v>7.3086152E7</v>
      </c>
      <c r="D27" s="32">
        <v>2.053243208E9</v>
      </c>
      <c r="E27" s="32">
        <v>2.8637231E7</v>
      </c>
      <c r="F27" s="32">
        <v>7.3716222E7</v>
      </c>
      <c r="G27" s="32">
        <v>6.4272325E7</v>
      </c>
      <c r="H27" s="32">
        <v>0.0</v>
      </c>
      <c r="I27" s="32">
        <v>2.3966553994E10</v>
      </c>
      <c r="J27" s="32">
        <v>6.537284955E9</v>
      </c>
      <c r="K27" s="32">
        <v>102994.0</v>
      </c>
      <c r="L27" s="31" t="s">
        <v>34</v>
      </c>
      <c r="M27" s="31">
        <v>25.0</v>
      </c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21.0" customHeight="1">
      <c r="A28" s="31">
        <v>1.4572491E7</v>
      </c>
      <c r="B28" s="31" t="s">
        <v>529</v>
      </c>
      <c r="C28" s="32">
        <v>7.2901142E7</v>
      </c>
      <c r="D28" s="32">
        <v>7.037053918E9</v>
      </c>
      <c r="E28" s="32">
        <v>6.3318543E7</v>
      </c>
      <c r="F28" s="32">
        <v>2.11036344E8</v>
      </c>
      <c r="G28" s="32">
        <v>2.42567074E8</v>
      </c>
      <c r="H28" s="32">
        <v>0.0</v>
      </c>
      <c r="I28" s="32">
        <v>1.9350925544E10</v>
      </c>
      <c r="J28" s="32">
        <v>4.7553874529E10</v>
      </c>
      <c r="K28" s="32">
        <v>178467.0</v>
      </c>
      <c r="L28" s="31" t="s">
        <v>147</v>
      </c>
      <c r="M28" s="31">
        <v>25.0</v>
      </c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1.0" customHeight="1">
      <c r="A29" s="31">
        <v>1.69461237E8</v>
      </c>
      <c r="B29" s="31" t="s">
        <v>575</v>
      </c>
      <c r="C29" s="32">
        <v>7.2342916E7</v>
      </c>
      <c r="D29" s="32">
        <v>3.63060038E8</v>
      </c>
      <c r="E29" s="32">
        <v>3821659.0</v>
      </c>
      <c r="F29" s="32">
        <v>2.2728127E7</v>
      </c>
      <c r="G29" s="32">
        <v>5371143.0</v>
      </c>
      <c r="H29" s="32">
        <v>0.0</v>
      </c>
      <c r="I29" s="32">
        <v>2.904149588E9</v>
      </c>
      <c r="J29" s="32">
        <v>1.7438231616E10</v>
      </c>
      <c r="K29" s="32">
        <v>15916.0</v>
      </c>
      <c r="L29" s="31" t="s">
        <v>34</v>
      </c>
      <c r="M29" s="31">
        <v>25.0</v>
      </c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1.0" customHeight="1">
      <c r="A30" s="31">
        <v>1.40009179E8</v>
      </c>
      <c r="B30" s="31" t="s">
        <v>403</v>
      </c>
      <c r="C30" s="32">
        <v>7.231595E7</v>
      </c>
      <c r="D30" s="32">
        <v>1.039163439E9</v>
      </c>
      <c r="E30" s="32">
        <v>1.0543562E7</v>
      </c>
      <c r="F30" s="32">
        <v>5.8790027E7</v>
      </c>
      <c r="G30" s="32">
        <v>2.1885816E7</v>
      </c>
      <c r="H30" s="32">
        <v>0.0</v>
      </c>
      <c r="I30" s="32">
        <v>1.3796293709E10</v>
      </c>
      <c r="J30" s="32">
        <v>2.574764229E9</v>
      </c>
      <c r="K30" s="32">
        <v>35680.0</v>
      </c>
      <c r="L30" s="31" t="s">
        <v>147</v>
      </c>
      <c r="M30" s="31">
        <v>25.0</v>
      </c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1.0" customHeight="1">
      <c r="A31" s="31">
        <v>1.71983336E8</v>
      </c>
      <c r="B31" s="31" t="s">
        <v>408</v>
      </c>
      <c r="C31" s="32">
        <v>7.2258035E7</v>
      </c>
      <c r="D31" s="32">
        <v>2.8577852E8</v>
      </c>
      <c r="E31" s="32">
        <v>4509734.0</v>
      </c>
      <c r="F31" s="32">
        <v>1.1082785E7</v>
      </c>
      <c r="G31" s="32">
        <v>8274872.0</v>
      </c>
      <c r="H31" s="32">
        <v>0.0</v>
      </c>
      <c r="I31" s="32">
        <v>1.2868599004E10</v>
      </c>
      <c r="J31" s="32">
        <v>4.765278491E9</v>
      </c>
      <c r="K31" s="32">
        <v>98268.0</v>
      </c>
      <c r="L31" s="31" t="s">
        <v>34</v>
      </c>
      <c r="M31" s="31">
        <v>25.0</v>
      </c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1.0" customHeight="1">
      <c r="A32" s="31">
        <v>1.45056169E8</v>
      </c>
      <c r="B32" s="31" t="s">
        <v>638</v>
      </c>
      <c r="C32" s="32">
        <v>7.2250224E7</v>
      </c>
      <c r="D32" s="32">
        <v>2.29304357E8</v>
      </c>
      <c r="E32" s="32">
        <v>1.2116243E7</v>
      </c>
      <c r="F32" s="32">
        <v>7438886.0</v>
      </c>
      <c r="G32" s="32">
        <v>7586707.0</v>
      </c>
      <c r="H32" s="32">
        <v>0.0</v>
      </c>
      <c r="I32" s="32">
        <v>1.174197573E10</v>
      </c>
      <c r="J32" s="32">
        <v>2.758939365E9</v>
      </c>
      <c r="K32" s="32">
        <v>58418.0</v>
      </c>
      <c r="L32" s="31" t="s">
        <v>34</v>
      </c>
      <c r="M32" s="31">
        <v>25.0</v>
      </c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1.0" customHeight="1">
      <c r="A33" s="31">
        <v>1.71827401E8</v>
      </c>
      <c r="B33" s="31" t="s">
        <v>639</v>
      </c>
      <c r="C33" s="32">
        <v>7.2186143E7</v>
      </c>
      <c r="D33" s="32">
        <v>1.504132716E9</v>
      </c>
      <c r="E33" s="32">
        <v>6075648.0</v>
      </c>
      <c r="F33" s="32">
        <v>1.1013282E8</v>
      </c>
      <c r="G33" s="32">
        <v>1.6321321E7</v>
      </c>
      <c r="H33" s="32">
        <v>0.0</v>
      </c>
      <c r="I33" s="32">
        <v>3.03982637E9</v>
      </c>
      <c r="J33" s="32">
        <v>7.629232922E9</v>
      </c>
      <c r="K33" s="32">
        <v>31841.0</v>
      </c>
      <c r="L33" s="31" t="s">
        <v>492</v>
      </c>
      <c r="M33" s="31">
        <v>25.0</v>
      </c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1.0" customHeight="1">
      <c r="A34" s="31">
        <v>2.9902904E7</v>
      </c>
      <c r="B34" s="31" t="s">
        <v>640</v>
      </c>
      <c r="C34" s="32">
        <v>7.2126137E7</v>
      </c>
      <c r="D34" s="32">
        <v>1.688123013E9</v>
      </c>
      <c r="E34" s="32">
        <v>1.3849945E7</v>
      </c>
      <c r="F34" s="32">
        <v>5.2810998E7</v>
      </c>
      <c r="G34" s="32">
        <v>5.7115375E7</v>
      </c>
      <c r="H34" s="32">
        <v>673388.0</v>
      </c>
      <c r="I34" s="32">
        <v>2.1103215873E10</v>
      </c>
      <c r="J34" s="32">
        <v>2.457777044E9</v>
      </c>
      <c r="K34" s="32">
        <v>59112.0</v>
      </c>
      <c r="L34" s="31" t="s">
        <v>34</v>
      </c>
      <c r="M34" s="31">
        <v>25.0</v>
      </c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1.0" customHeight="1">
      <c r="A35" s="31">
        <v>1.56479771E8</v>
      </c>
      <c r="B35" s="31" t="s">
        <v>576</v>
      </c>
      <c r="C35" s="32">
        <v>7.1143891E7</v>
      </c>
      <c r="D35" s="32">
        <v>1.491833166E9</v>
      </c>
      <c r="E35" s="32">
        <v>9939688.0</v>
      </c>
      <c r="F35" s="32">
        <v>6.4633527E7</v>
      </c>
      <c r="G35" s="32">
        <v>4.0227356E7</v>
      </c>
      <c r="H35" s="32">
        <v>0.0</v>
      </c>
      <c r="I35" s="32">
        <v>1.5625959594E10</v>
      </c>
      <c r="J35" s="32">
        <v>9.763087032E9</v>
      </c>
      <c r="K35" s="32">
        <v>94481.0</v>
      </c>
      <c r="L35" s="31" t="s">
        <v>636</v>
      </c>
      <c r="M35" s="31">
        <v>25.0</v>
      </c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1.0" customHeight="1">
      <c r="A36" s="31">
        <v>1.44109282E8</v>
      </c>
      <c r="B36" s="31" t="s">
        <v>364</v>
      </c>
      <c r="C36" s="32">
        <v>7.1053347E7</v>
      </c>
      <c r="D36" s="32">
        <v>7.91564826E8</v>
      </c>
      <c r="E36" s="32">
        <v>7575520.0</v>
      </c>
      <c r="F36" s="32">
        <v>3.5448742E7</v>
      </c>
      <c r="G36" s="32">
        <v>1.9957847E7</v>
      </c>
      <c r="H36" s="32">
        <v>0.0</v>
      </c>
      <c r="I36" s="32">
        <v>1.7260615511E10</v>
      </c>
      <c r="J36" s="32">
        <v>3.328200002E9</v>
      </c>
      <c r="K36" s="32">
        <v>67995.0</v>
      </c>
      <c r="L36" s="31" t="s">
        <v>34</v>
      </c>
      <c r="M36" s="31">
        <v>25.0</v>
      </c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 ht="21.0" customHeight="1">
      <c r="A37" s="31">
        <v>1.71701107E8</v>
      </c>
      <c r="B37" s="31" t="s">
        <v>73</v>
      </c>
      <c r="C37" s="32">
        <v>7.0748889E7</v>
      </c>
      <c r="D37" s="32">
        <v>4.6434116E8</v>
      </c>
      <c r="E37" s="32">
        <v>2917536.0</v>
      </c>
      <c r="F37" s="32">
        <v>1.7052398E7</v>
      </c>
      <c r="G37" s="32">
        <v>1.4440492E7</v>
      </c>
      <c r="H37" s="32">
        <v>0.0</v>
      </c>
      <c r="I37" s="32">
        <v>8.652908873E9</v>
      </c>
      <c r="J37" s="32">
        <v>3.034918782E9</v>
      </c>
      <c r="K37" s="32">
        <v>21504.0</v>
      </c>
      <c r="L37" s="31" t="s">
        <v>34</v>
      </c>
      <c r="M37" s="31">
        <v>25.0</v>
      </c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  <row r="38" ht="21.0" customHeight="1">
      <c r="A38" s="31">
        <v>1.6942777E8</v>
      </c>
      <c r="B38" s="31" t="s">
        <v>574</v>
      </c>
      <c r="C38" s="32">
        <v>7.0353242E7</v>
      </c>
      <c r="D38" s="32">
        <v>6.34439178E8</v>
      </c>
      <c r="E38" s="32">
        <v>8179319.0</v>
      </c>
      <c r="F38" s="32">
        <v>2.3540922E7</v>
      </c>
      <c r="G38" s="32">
        <v>1.9610698E7</v>
      </c>
      <c r="H38" s="32">
        <v>0.0</v>
      </c>
      <c r="I38" s="32">
        <v>1.6693164781E10</v>
      </c>
      <c r="J38" s="32">
        <v>6.58497086E8</v>
      </c>
      <c r="K38" s="32">
        <v>102686.0</v>
      </c>
      <c r="L38" s="31" t="s">
        <v>34</v>
      </c>
      <c r="M38" s="31">
        <v>25.0</v>
      </c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</row>
    <row r="39" ht="21.0" customHeight="1">
      <c r="A39" s="31">
        <v>1.71798243E8</v>
      </c>
      <c r="B39" s="31" t="s">
        <v>530</v>
      </c>
      <c r="C39" s="32">
        <v>6.9882039E7</v>
      </c>
      <c r="D39" s="32">
        <v>1.77874614E8</v>
      </c>
      <c r="E39" s="32">
        <v>2419523.0</v>
      </c>
      <c r="F39" s="32">
        <v>4745649.0</v>
      </c>
      <c r="G39" s="32">
        <v>6339923.0</v>
      </c>
      <c r="H39" s="32">
        <v>0.0</v>
      </c>
      <c r="I39" s="32">
        <v>6.028669332E9</v>
      </c>
      <c r="J39" s="32">
        <v>8.327837526E9</v>
      </c>
      <c r="K39" s="32">
        <v>24706.0</v>
      </c>
      <c r="L39" s="31" t="s">
        <v>636</v>
      </c>
      <c r="M39" s="31">
        <v>25.0</v>
      </c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</row>
    <row r="40" ht="21.0" customHeight="1">
      <c r="A40" s="31">
        <v>1.41154852E8</v>
      </c>
      <c r="B40" s="31" t="s">
        <v>76</v>
      </c>
      <c r="C40" s="32">
        <v>6.9633374E7</v>
      </c>
      <c r="D40" s="32">
        <v>2.344776322E9</v>
      </c>
      <c r="E40" s="32">
        <v>1.1042862E7</v>
      </c>
      <c r="F40" s="32">
        <v>9.4773235E7</v>
      </c>
      <c r="G40" s="32">
        <v>6.7690706E7</v>
      </c>
      <c r="H40" s="32">
        <v>0.0</v>
      </c>
      <c r="I40" s="32">
        <v>1.4845403059E10</v>
      </c>
      <c r="J40" s="32">
        <v>5.946357245E9</v>
      </c>
      <c r="K40" s="32">
        <v>63414.0</v>
      </c>
      <c r="L40" s="31" t="s">
        <v>641</v>
      </c>
      <c r="M40" s="31">
        <v>25.0</v>
      </c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</row>
    <row r="41" ht="21.0" customHeight="1">
      <c r="A41" s="31">
        <v>1.70866748E8</v>
      </c>
      <c r="B41" s="31" t="s">
        <v>97</v>
      </c>
      <c r="C41" s="32">
        <v>6.922458E7</v>
      </c>
      <c r="D41" s="32">
        <v>4.8575246E8</v>
      </c>
      <c r="E41" s="32">
        <v>4827198.0</v>
      </c>
      <c r="F41" s="32">
        <v>7843006.0</v>
      </c>
      <c r="G41" s="32">
        <v>2.0292266E7</v>
      </c>
      <c r="H41" s="32">
        <v>0.0</v>
      </c>
      <c r="I41" s="32">
        <v>1.2263352494E10</v>
      </c>
      <c r="J41" s="32">
        <v>2.197099314E9</v>
      </c>
      <c r="K41" s="32">
        <v>31007.0</v>
      </c>
      <c r="L41" s="31" t="s">
        <v>34</v>
      </c>
      <c r="M41" s="31">
        <v>25.0</v>
      </c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</row>
    <row r="42" ht="21.0" customHeight="1">
      <c r="A42" s="31">
        <v>1.4499E8</v>
      </c>
      <c r="B42" s="31" t="s">
        <v>642</v>
      </c>
      <c r="C42" s="32">
        <v>6.9094796E7</v>
      </c>
      <c r="D42" s="32">
        <v>7.9877676E7</v>
      </c>
      <c r="E42" s="32">
        <v>6864444.0</v>
      </c>
      <c r="F42" s="32">
        <v>3362148.0</v>
      </c>
      <c r="G42" s="32">
        <v>2281655.0</v>
      </c>
      <c r="H42" s="32">
        <v>0.0</v>
      </c>
      <c r="I42" s="32">
        <v>6.145578103E9</v>
      </c>
      <c r="J42" s="32">
        <v>1.081270465E9</v>
      </c>
      <c r="K42" s="32">
        <v>25457.0</v>
      </c>
      <c r="L42" s="31" t="s">
        <v>34</v>
      </c>
      <c r="M42" s="31">
        <v>25.0</v>
      </c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</row>
    <row r="43" ht="21.0" customHeight="1">
      <c r="A43" s="31">
        <v>1.71503078E8</v>
      </c>
      <c r="B43" s="31" t="s">
        <v>72</v>
      </c>
      <c r="C43" s="32">
        <v>6.8805433E7</v>
      </c>
      <c r="D43" s="32">
        <v>1.065736312E9</v>
      </c>
      <c r="E43" s="32">
        <v>2570880.0</v>
      </c>
      <c r="F43" s="32">
        <v>2.8465873E7</v>
      </c>
      <c r="G43" s="32">
        <v>3.7103071E7</v>
      </c>
      <c r="H43" s="32">
        <v>0.0</v>
      </c>
      <c r="I43" s="32">
        <v>1.6845476484E10</v>
      </c>
      <c r="J43" s="32">
        <v>4.59334847E9</v>
      </c>
      <c r="K43" s="32">
        <v>54635.0</v>
      </c>
      <c r="L43" s="31" t="s">
        <v>34</v>
      </c>
      <c r="M43" s="31">
        <v>25.0</v>
      </c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</row>
    <row r="44" ht="21.0" customHeight="1">
      <c r="A44" s="31">
        <v>7887352.0</v>
      </c>
      <c r="B44" s="31" t="s">
        <v>83</v>
      </c>
      <c r="C44" s="32">
        <v>6.8796676E7</v>
      </c>
      <c r="D44" s="32">
        <v>2.17122072E9</v>
      </c>
      <c r="E44" s="32">
        <v>1.6550764E7</v>
      </c>
      <c r="F44" s="32">
        <v>6.9695329E7</v>
      </c>
      <c r="G44" s="32">
        <v>7.3123304E7</v>
      </c>
      <c r="H44" s="32">
        <v>0.0</v>
      </c>
      <c r="I44" s="32">
        <v>1.651756872E10</v>
      </c>
      <c r="J44" s="32">
        <v>1.2713533366E10</v>
      </c>
      <c r="K44" s="32">
        <v>45648.0</v>
      </c>
      <c r="L44" s="31" t="s">
        <v>34</v>
      </c>
      <c r="M44" s="31">
        <v>25.0</v>
      </c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</row>
    <row r="45" ht="21.0" customHeight="1">
      <c r="A45" s="31">
        <v>1.5633938E8</v>
      </c>
      <c r="B45" s="31" t="s">
        <v>580</v>
      </c>
      <c r="C45" s="32">
        <v>6.7211488E7</v>
      </c>
      <c r="D45" s="32">
        <v>5.08362851E8</v>
      </c>
      <c r="E45" s="32">
        <v>7621238.0</v>
      </c>
      <c r="F45" s="32">
        <v>2.659607E7</v>
      </c>
      <c r="G45" s="32">
        <v>1.076706E7</v>
      </c>
      <c r="H45" s="32">
        <v>0.0</v>
      </c>
      <c r="I45" s="32">
        <v>1.4484462391E10</v>
      </c>
      <c r="J45" s="32">
        <v>3.379929486E9</v>
      </c>
      <c r="K45" s="32">
        <v>113857.0</v>
      </c>
      <c r="L45" s="31" t="s">
        <v>34</v>
      </c>
      <c r="M45" s="31">
        <v>25.0</v>
      </c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</row>
    <row r="46" ht="21.0" customHeight="1">
      <c r="A46" s="31">
        <v>1.71927851E8</v>
      </c>
      <c r="B46" s="31" t="s">
        <v>643</v>
      </c>
      <c r="C46" s="32">
        <v>6.7110196E7</v>
      </c>
      <c r="D46" s="32">
        <v>2.81217383E8</v>
      </c>
      <c r="E46" s="32">
        <v>2632321.0</v>
      </c>
      <c r="F46" s="32">
        <v>5301108.0</v>
      </c>
      <c r="G46" s="32">
        <v>1.1228093E7</v>
      </c>
      <c r="H46" s="32">
        <v>0.0</v>
      </c>
      <c r="I46" s="32">
        <v>8.820772942E9</v>
      </c>
      <c r="J46" s="32">
        <v>8.868E7</v>
      </c>
      <c r="K46" s="32">
        <v>27676.0</v>
      </c>
      <c r="L46" s="31" t="s">
        <v>636</v>
      </c>
      <c r="M46" s="31">
        <v>25.0</v>
      </c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</row>
    <row r="47" ht="21.0" customHeight="1">
      <c r="A47" s="31">
        <v>1.44049878E8</v>
      </c>
      <c r="B47" s="31" t="s">
        <v>127</v>
      </c>
      <c r="C47" s="32">
        <v>6.6939278E7</v>
      </c>
      <c r="D47" s="32">
        <v>2.8365898E8</v>
      </c>
      <c r="E47" s="32">
        <v>7761852.0</v>
      </c>
      <c r="F47" s="32">
        <v>1.1543855E7</v>
      </c>
      <c r="G47" s="32">
        <v>8205398.0</v>
      </c>
      <c r="H47" s="32">
        <v>0.0</v>
      </c>
      <c r="I47" s="32">
        <v>1.0140703284E10</v>
      </c>
      <c r="J47" s="32">
        <v>6.98904E8</v>
      </c>
      <c r="K47" s="32">
        <v>48067.0</v>
      </c>
      <c r="L47" s="31" t="s">
        <v>34</v>
      </c>
      <c r="M47" s="31">
        <v>25.0</v>
      </c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</row>
    <row r="48" ht="21.0" customHeight="1">
      <c r="A48" s="31">
        <v>1.36378574E8</v>
      </c>
      <c r="B48" s="31" t="s">
        <v>401</v>
      </c>
      <c r="C48" s="32">
        <v>6.6912327E7</v>
      </c>
      <c r="D48" s="32">
        <v>5.91925214E8</v>
      </c>
      <c r="E48" s="32">
        <v>6736730.0</v>
      </c>
      <c r="F48" s="32">
        <v>2.9449256E7</v>
      </c>
      <c r="G48" s="32">
        <v>1.4235182E7</v>
      </c>
      <c r="H48" s="32">
        <v>0.0</v>
      </c>
      <c r="I48" s="32">
        <v>1.8949630171E10</v>
      </c>
      <c r="J48" s="32">
        <v>9.741231848E9</v>
      </c>
      <c r="K48" s="32">
        <v>27073.0</v>
      </c>
      <c r="L48" s="31" t="s">
        <v>34</v>
      </c>
      <c r="M48" s="31">
        <v>25.0</v>
      </c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</row>
    <row r="49" ht="21.0" customHeight="1">
      <c r="A49" s="31">
        <v>1.69326547E8</v>
      </c>
      <c r="B49" s="31" t="s">
        <v>582</v>
      </c>
      <c r="C49" s="32">
        <v>6.67876E7</v>
      </c>
      <c r="D49" s="32">
        <v>2.853085061E9</v>
      </c>
      <c r="E49" s="32">
        <v>7820261.0</v>
      </c>
      <c r="F49" s="32">
        <v>8.353407E7</v>
      </c>
      <c r="G49" s="32">
        <v>9.902921E7</v>
      </c>
      <c r="H49" s="32">
        <v>0.0</v>
      </c>
      <c r="I49" s="32">
        <v>9.795835428E9</v>
      </c>
      <c r="J49" s="32">
        <v>9.36898285E9</v>
      </c>
      <c r="K49" s="32">
        <v>112263.0</v>
      </c>
      <c r="L49" s="31" t="s">
        <v>34</v>
      </c>
      <c r="M49" s="31">
        <v>25.0</v>
      </c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</row>
    <row r="50" ht="21.0" customHeight="1">
      <c r="A50" s="31">
        <v>1.66871338E8</v>
      </c>
      <c r="B50" s="31" t="s">
        <v>78</v>
      </c>
      <c r="C50" s="32">
        <v>6.6740725E7</v>
      </c>
      <c r="D50" s="32">
        <v>8.19231594E8</v>
      </c>
      <c r="E50" s="32">
        <v>5649878.0</v>
      </c>
      <c r="F50" s="32">
        <v>5.110328E7</v>
      </c>
      <c r="G50" s="32">
        <v>1.3615828E7</v>
      </c>
      <c r="H50" s="32">
        <v>0.0</v>
      </c>
      <c r="I50" s="32">
        <v>8.127236706E9</v>
      </c>
      <c r="J50" s="32">
        <v>3.097290499E9</v>
      </c>
      <c r="K50" s="32">
        <v>44898.0</v>
      </c>
      <c r="L50" s="31" t="s">
        <v>636</v>
      </c>
      <c r="M50" s="31">
        <v>25.0</v>
      </c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</row>
    <row r="51" ht="21.0" customHeight="1">
      <c r="A51" s="31">
        <v>1.43528266E8</v>
      </c>
      <c r="B51" s="31" t="s">
        <v>585</v>
      </c>
      <c r="C51" s="32">
        <v>6.6676392E7</v>
      </c>
      <c r="D51" s="32">
        <v>2.82288891E8</v>
      </c>
      <c r="E51" s="32">
        <v>6363206.0</v>
      </c>
      <c r="F51" s="32">
        <v>1.5916863E7</v>
      </c>
      <c r="G51" s="32">
        <v>5812448.0</v>
      </c>
      <c r="H51" s="32">
        <v>0.0</v>
      </c>
      <c r="I51" s="32">
        <v>1.2125930402E10</v>
      </c>
      <c r="J51" s="32">
        <v>8.82515494E8</v>
      </c>
      <c r="K51" s="32">
        <v>76222.0</v>
      </c>
      <c r="L51" s="31" t="s">
        <v>66</v>
      </c>
      <c r="M51" s="31">
        <v>25.0</v>
      </c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</row>
    <row r="52" ht="21.0" customHeight="1">
      <c r="A52" s="31">
        <v>1.71799293E8</v>
      </c>
      <c r="B52" s="31" t="s">
        <v>132</v>
      </c>
      <c r="C52" s="32">
        <v>6.6662985E7</v>
      </c>
      <c r="D52" s="32">
        <v>2.47221732E8</v>
      </c>
      <c r="E52" s="32">
        <v>2790306.0</v>
      </c>
      <c r="F52" s="32">
        <v>1.1013872E7</v>
      </c>
      <c r="G52" s="32">
        <v>6606088.0</v>
      </c>
      <c r="H52" s="32">
        <v>0.0</v>
      </c>
      <c r="I52" s="32">
        <v>8.588821132E9</v>
      </c>
      <c r="J52" s="32">
        <v>1.228012902E10</v>
      </c>
      <c r="K52" s="32">
        <v>43699.0</v>
      </c>
      <c r="L52" s="31" t="s">
        <v>66</v>
      </c>
      <c r="M52" s="31">
        <v>25.0</v>
      </c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</row>
    <row r="53" ht="21.0" customHeight="1">
      <c r="A53" s="31">
        <v>1.43088559E8</v>
      </c>
      <c r="B53" s="31" t="s">
        <v>93</v>
      </c>
      <c r="C53" s="32">
        <v>6.6418827E7</v>
      </c>
      <c r="D53" s="32">
        <v>4.59763219E8</v>
      </c>
      <c r="E53" s="32">
        <v>4080094.0</v>
      </c>
      <c r="F53" s="32">
        <v>2.6664259E7</v>
      </c>
      <c r="G53" s="32">
        <v>8798999.0</v>
      </c>
      <c r="H53" s="32">
        <v>0.0</v>
      </c>
      <c r="I53" s="32">
        <v>1.2759878867E10</v>
      </c>
      <c r="J53" s="32">
        <v>2.11081372E9</v>
      </c>
      <c r="K53" s="32">
        <v>36379.0</v>
      </c>
      <c r="L53" s="31" t="s">
        <v>34</v>
      </c>
      <c r="M53" s="31">
        <v>25.0</v>
      </c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</row>
    <row r="54" ht="21.0" customHeight="1">
      <c r="A54" s="31">
        <v>1.20029911E8</v>
      </c>
      <c r="B54" s="31" t="s">
        <v>644</v>
      </c>
      <c r="C54" s="32">
        <v>6.6401766E7</v>
      </c>
      <c r="D54" s="32">
        <v>8.28505158E8</v>
      </c>
      <c r="E54" s="32">
        <v>1.0066519E7</v>
      </c>
      <c r="F54" s="32">
        <v>4.134001E7</v>
      </c>
      <c r="G54" s="32">
        <v>1.9144451E7</v>
      </c>
      <c r="H54" s="32">
        <v>135423.0</v>
      </c>
      <c r="I54" s="32">
        <v>9.860369904E9</v>
      </c>
      <c r="J54" s="32">
        <v>1.6475034312E10</v>
      </c>
      <c r="K54" s="32">
        <v>52218.0</v>
      </c>
      <c r="L54" s="31" t="s">
        <v>34</v>
      </c>
      <c r="M54" s="31">
        <v>25.0</v>
      </c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</row>
    <row r="55" ht="21.0" customHeight="1">
      <c r="A55" s="31">
        <v>1.66110884E8</v>
      </c>
      <c r="B55" s="31" t="s">
        <v>583</v>
      </c>
      <c r="C55" s="32">
        <v>6.6215107E7</v>
      </c>
      <c r="D55" s="32">
        <v>7.87711483E8</v>
      </c>
      <c r="E55" s="32">
        <v>6225085.0</v>
      </c>
      <c r="F55" s="32">
        <v>3.1210397E7</v>
      </c>
      <c r="G55" s="32">
        <v>2.1613396E7</v>
      </c>
      <c r="H55" s="32">
        <v>0.0</v>
      </c>
      <c r="I55" s="32">
        <v>7.89736705E9</v>
      </c>
      <c r="J55" s="32">
        <v>3.534684682E9</v>
      </c>
      <c r="K55" s="32">
        <v>65452.0</v>
      </c>
      <c r="L55" s="31" t="s">
        <v>34</v>
      </c>
      <c r="M55" s="31">
        <v>25.0</v>
      </c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</row>
    <row r="56" ht="21.0" customHeight="1">
      <c r="A56" s="31">
        <v>8.7273159E7</v>
      </c>
      <c r="B56" s="31" t="s">
        <v>645</v>
      </c>
      <c r="C56" s="32">
        <v>6.5840227E7</v>
      </c>
      <c r="D56" s="32">
        <v>1.201338712E9</v>
      </c>
      <c r="E56" s="32">
        <v>1.0758098E7</v>
      </c>
      <c r="F56" s="32">
        <v>4.6394686E7</v>
      </c>
      <c r="G56" s="32">
        <v>3.5910848E7</v>
      </c>
      <c r="H56" s="32">
        <v>0.0</v>
      </c>
      <c r="I56" s="32">
        <v>1.7889643087E10</v>
      </c>
      <c r="J56" s="32">
        <v>1.7886551609E10</v>
      </c>
      <c r="K56" s="32">
        <v>97644.0</v>
      </c>
      <c r="L56" s="31" t="s">
        <v>66</v>
      </c>
      <c r="M56" s="31">
        <v>25.0</v>
      </c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</row>
    <row r="57" ht="21.0" customHeight="1">
      <c r="A57" s="31">
        <v>1.71491377E8</v>
      </c>
      <c r="B57" s="31" t="s">
        <v>84</v>
      </c>
      <c r="C57" s="32">
        <v>6.5799225E7</v>
      </c>
      <c r="D57" s="32">
        <v>3.62268005E8</v>
      </c>
      <c r="E57" s="32">
        <v>2957207.0</v>
      </c>
      <c r="F57" s="32">
        <v>9291641.0</v>
      </c>
      <c r="G57" s="32">
        <v>1.3350653E7</v>
      </c>
      <c r="H57" s="32">
        <v>0.0</v>
      </c>
      <c r="I57" s="32">
        <v>1.1502056733E10</v>
      </c>
      <c r="J57" s="32">
        <v>1.009290782E9</v>
      </c>
      <c r="K57" s="32">
        <v>50567.0</v>
      </c>
      <c r="L57" s="31" t="s">
        <v>34</v>
      </c>
      <c r="M57" s="31">
        <v>25.0</v>
      </c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</row>
    <row r="58" ht="21.0" customHeight="1">
      <c r="A58" s="31">
        <v>1.72041454E8</v>
      </c>
      <c r="B58" s="31" t="s">
        <v>577</v>
      </c>
      <c r="C58" s="32">
        <v>6.5692542E7</v>
      </c>
      <c r="D58" s="32">
        <v>3.63437115E8</v>
      </c>
      <c r="E58" s="32">
        <v>6303346.0</v>
      </c>
      <c r="F58" s="32">
        <v>1.7555242E7</v>
      </c>
      <c r="G58" s="32">
        <v>8729180.0</v>
      </c>
      <c r="H58" s="32">
        <v>0.0</v>
      </c>
      <c r="I58" s="32">
        <v>9.665269876E9</v>
      </c>
      <c r="J58" s="32">
        <v>8.91440618E8</v>
      </c>
      <c r="K58" s="32">
        <v>41391.0</v>
      </c>
      <c r="L58" s="31" t="s">
        <v>34</v>
      </c>
      <c r="M58" s="31">
        <v>25.0</v>
      </c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</row>
    <row r="59" ht="21.0" customHeight="1">
      <c r="A59" s="31">
        <v>1.77526978E8</v>
      </c>
      <c r="B59" s="31" t="s">
        <v>74</v>
      </c>
      <c r="C59" s="32">
        <v>6.5614339E7</v>
      </c>
      <c r="D59" s="32">
        <v>9.2779966E7</v>
      </c>
      <c r="E59" s="32">
        <v>3007809.0</v>
      </c>
      <c r="F59" s="32">
        <v>3458011.0</v>
      </c>
      <c r="G59" s="32">
        <v>2772916.0</v>
      </c>
      <c r="H59" s="32">
        <v>0.0</v>
      </c>
      <c r="I59" s="32">
        <v>7.946967463E9</v>
      </c>
      <c r="J59" s="32">
        <v>7.881382248E9</v>
      </c>
      <c r="K59" s="32">
        <v>22521.0</v>
      </c>
      <c r="L59" s="31" t="s">
        <v>34</v>
      </c>
      <c r="M59" s="31">
        <v>25.0</v>
      </c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</row>
    <row r="60" ht="21.0" customHeight="1">
      <c r="A60" s="31">
        <v>1.6683283E8</v>
      </c>
      <c r="B60" s="31" t="s">
        <v>579</v>
      </c>
      <c r="C60" s="32">
        <v>6.5546757E7</v>
      </c>
      <c r="D60" s="32">
        <v>1.012876973E9</v>
      </c>
      <c r="E60" s="32">
        <v>3790649.0</v>
      </c>
      <c r="F60" s="32">
        <v>4.83294E7</v>
      </c>
      <c r="G60" s="32">
        <v>2.5757263E7</v>
      </c>
      <c r="H60" s="32">
        <v>0.0</v>
      </c>
      <c r="I60" s="32">
        <v>1.4899170295E10</v>
      </c>
      <c r="J60" s="32">
        <v>1.337771804E9</v>
      </c>
      <c r="K60" s="32">
        <v>127237.0</v>
      </c>
      <c r="L60" s="31" t="s">
        <v>34</v>
      </c>
      <c r="M60" s="31">
        <v>25.0</v>
      </c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</row>
    <row r="61" ht="21.0" customHeight="1">
      <c r="A61" s="31">
        <v>1.71604682E8</v>
      </c>
      <c r="B61" s="31" t="s">
        <v>578</v>
      </c>
      <c r="C61" s="32">
        <v>6.5119059E7</v>
      </c>
      <c r="D61" s="32">
        <v>1.024584887E9</v>
      </c>
      <c r="E61" s="32">
        <v>4992377.0</v>
      </c>
      <c r="F61" s="32">
        <v>3.9309277E7</v>
      </c>
      <c r="G61" s="32">
        <v>2.9659022E7</v>
      </c>
      <c r="H61" s="32">
        <v>0.0</v>
      </c>
      <c r="I61" s="32">
        <v>8.104877847E9</v>
      </c>
      <c r="J61" s="32">
        <v>1.300720264E9</v>
      </c>
      <c r="K61" s="32">
        <v>57804.0</v>
      </c>
      <c r="L61" s="31" t="s">
        <v>34</v>
      </c>
      <c r="M61" s="31">
        <v>25.0</v>
      </c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</row>
    <row r="62" ht="21.0" customHeight="1">
      <c r="A62" s="31">
        <v>1.72033754E8</v>
      </c>
      <c r="B62" s="31" t="s">
        <v>92</v>
      </c>
      <c r="C62" s="32">
        <v>6.5110789E7</v>
      </c>
      <c r="D62" s="32">
        <v>3.10231221E8</v>
      </c>
      <c r="E62" s="32">
        <v>5612575.0</v>
      </c>
      <c r="F62" s="32">
        <v>1.2498368E7</v>
      </c>
      <c r="G62" s="32">
        <v>8745923.0</v>
      </c>
      <c r="H62" s="32">
        <v>0.0</v>
      </c>
      <c r="I62" s="32">
        <v>9.806040322E9</v>
      </c>
      <c r="J62" s="32">
        <v>5.54324768E8</v>
      </c>
      <c r="K62" s="32">
        <v>31579.0</v>
      </c>
      <c r="L62" s="31" t="s">
        <v>34</v>
      </c>
      <c r="M62" s="31">
        <v>25.0</v>
      </c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</row>
    <row r="63" ht="21.0" customHeight="1">
      <c r="A63" s="31">
        <v>1.66497805E8</v>
      </c>
      <c r="B63" s="31" t="s">
        <v>523</v>
      </c>
      <c r="C63" s="32">
        <v>6.5042996E7</v>
      </c>
      <c r="D63" s="32">
        <v>5.03144337E8</v>
      </c>
      <c r="E63" s="32">
        <v>4846815.0</v>
      </c>
      <c r="F63" s="32">
        <v>2.4976702E7</v>
      </c>
      <c r="G63" s="32">
        <v>1.2138094E7</v>
      </c>
      <c r="H63" s="32">
        <v>0.0</v>
      </c>
      <c r="I63" s="32">
        <v>1.3118895622E10</v>
      </c>
      <c r="J63" s="32">
        <v>3.06763729E8</v>
      </c>
      <c r="K63" s="32">
        <v>49595.0</v>
      </c>
      <c r="L63" s="31" t="s">
        <v>34</v>
      </c>
      <c r="M63" s="31">
        <v>25.0</v>
      </c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</row>
    <row r="64" ht="21.0" customHeight="1">
      <c r="A64" s="31">
        <v>1.71355737E8</v>
      </c>
      <c r="B64" s="31" t="s">
        <v>581</v>
      </c>
      <c r="C64" s="32">
        <v>6.4413312E7</v>
      </c>
      <c r="D64" s="32">
        <v>3.54182065E8</v>
      </c>
      <c r="E64" s="32">
        <v>3594206.0</v>
      </c>
      <c r="F64" s="32">
        <v>1.5385475E7</v>
      </c>
      <c r="G64" s="32">
        <v>9961634.0</v>
      </c>
      <c r="H64" s="32">
        <v>0.0</v>
      </c>
      <c r="I64" s="32">
        <v>1.2295339441E10</v>
      </c>
      <c r="J64" s="32">
        <v>6.864546118E9</v>
      </c>
      <c r="K64" s="32">
        <v>74385.0</v>
      </c>
      <c r="L64" s="31" t="s">
        <v>34</v>
      </c>
      <c r="M64" s="31">
        <v>25.0</v>
      </c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</row>
    <row r="65" ht="21.0" customHeight="1">
      <c r="A65" s="31">
        <v>1.68839111E8</v>
      </c>
      <c r="B65" s="31" t="s">
        <v>101</v>
      </c>
      <c r="C65" s="32">
        <v>6.4154E7</v>
      </c>
      <c r="D65" s="32">
        <v>3.27072751E8</v>
      </c>
      <c r="E65" s="32">
        <v>3181601.0</v>
      </c>
      <c r="F65" s="32">
        <v>2.0815159E7</v>
      </c>
      <c r="G65" s="32">
        <v>5507851.0</v>
      </c>
      <c r="H65" s="32">
        <v>0.0</v>
      </c>
      <c r="I65" s="32">
        <v>1.3261883006E10</v>
      </c>
      <c r="J65" s="32">
        <v>2.751985477E9</v>
      </c>
      <c r="K65" s="32">
        <v>35799.0</v>
      </c>
      <c r="L65" s="31" t="s">
        <v>34</v>
      </c>
      <c r="M65" s="31">
        <v>25.0</v>
      </c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</row>
    <row r="66" ht="21.0" customHeight="1">
      <c r="A66" s="31">
        <v>1.72021868E8</v>
      </c>
      <c r="B66" s="31" t="s">
        <v>586</v>
      </c>
      <c r="C66" s="32">
        <v>6.3352144E7</v>
      </c>
      <c r="D66" s="32">
        <v>6.44674436E8</v>
      </c>
      <c r="E66" s="32">
        <v>3185545.0</v>
      </c>
      <c r="F66" s="32">
        <v>1.3843441E7</v>
      </c>
      <c r="G66" s="32">
        <v>2.51075E7</v>
      </c>
      <c r="H66" s="32">
        <v>0.0</v>
      </c>
      <c r="I66" s="32">
        <v>8.839996091E9</v>
      </c>
      <c r="J66" s="32">
        <v>1.18770917E9</v>
      </c>
      <c r="K66" s="32">
        <v>63092.0</v>
      </c>
      <c r="L66" s="31" t="s">
        <v>34</v>
      </c>
      <c r="M66" s="31">
        <v>25.0</v>
      </c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</row>
    <row r="67" ht="21.0" customHeight="1">
      <c r="A67" s="31">
        <v>1.68923934E8</v>
      </c>
      <c r="B67" s="31" t="s">
        <v>98</v>
      </c>
      <c r="C67" s="32">
        <v>6.3308338E7</v>
      </c>
      <c r="D67" s="32">
        <v>5.56350605E8</v>
      </c>
      <c r="E67" s="32">
        <v>4142651.0</v>
      </c>
      <c r="F67" s="32">
        <v>2.0848575E7</v>
      </c>
      <c r="G67" s="32">
        <v>1.5252481E7</v>
      </c>
      <c r="H67" s="32">
        <v>0.0</v>
      </c>
      <c r="I67" s="32">
        <v>6.893883514E9</v>
      </c>
      <c r="J67" s="32">
        <v>4.28381842E8</v>
      </c>
      <c r="K67" s="32">
        <v>29061.0</v>
      </c>
      <c r="L67" s="31" t="s">
        <v>34</v>
      </c>
      <c r="M67" s="31">
        <v>25.0</v>
      </c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</row>
    <row r="68" ht="21.0" customHeight="1">
      <c r="A68" s="31">
        <v>1.55415774E8</v>
      </c>
      <c r="B68" s="31" t="s">
        <v>646</v>
      </c>
      <c r="C68" s="32">
        <v>6.3152192E7</v>
      </c>
      <c r="D68" s="32">
        <v>4.34930917E8</v>
      </c>
      <c r="E68" s="32">
        <v>6748743.0</v>
      </c>
      <c r="F68" s="32">
        <v>1.8618124E7</v>
      </c>
      <c r="G68" s="32">
        <v>1.1902173E7</v>
      </c>
      <c r="H68" s="32">
        <v>0.0</v>
      </c>
      <c r="I68" s="32">
        <v>1.047417777E9</v>
      </c>
      <c r="J68" s="32">
        <v>4.743923039E9</v>
      </c>
      <c r="K68" s="32">
        <v>26793.0</v>
      </c>
      <c r="L68" s="31" t="s">
        <v>66</v>
      </c>
      <c r="M68" s="31">
        <v>25.0</v>
      </c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</row>
    <row r="69" ht="21.0" customHeight="1">
      <c r="A69" s="31">
        <v>5.524249E7</v>
      </c>
      <c r="B69" s="31" t="s">
        <v>88</v>
      </c>
      <c r="C69" s="32">
        <v>6.3082214E7</v>
      </c>
      <c r="D69" s="32">
        <v>7.65699557E8</v>
      </c>
      <c r="E69" s="32">
        <v>9969557.0</v>
      </c>
      <c r="F69" s="32">
        <v>2.1716563E7</v>
      </c>
      <c r="G69" s="32">
        <v>2.5785122E7</v>
      </c>
      <c r="H69" s="32">
        <v>0.0</v>
      </c>
      <c r="I69" s="32">
        <v>1.1959151024E10</v>
      </c>
      <c r="J69" s="32">
        <v>3.11576093E9</v>
      </c>
      <c r="K69" s="32">
        <v>48499.0</v>
      </c>
      <c r="L69" s="31" t="s">
        <v>34</v>
      </c>
      <c r="M69" s="31">
        <v>25.0</v>
      </c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</row>
    <row r="70" ht="21.0" customHeight="1">
      <c r="A70" s="31">
        <v>1.71806191E8</v>
      </c>
      <c r="B70" s="31" t="s">
        <v>443</v>
      </c>
      <c r="C70" s="32">
        <v>6.2718538E7</v>
      </c>
      <c r="D70" s="32">
        <v>2.01096519E8</v>
      </c>
      <c r="E70" s="32">
        <v>2535139.0</v>
      </c>
      <c r="F70" s="32">
        <v>6778926.0</v>
      </c>
      <c r="G70" s="32">
        <v>6596215.0</v>
      </c>
      <c r="H70" s="32">
        <v>0.0</v>
      </c>
      <c r="I70" s="32">
        <v>8.961683625E9</v>
      </c>
      <c r="J70" s="32">
        <v>1.05560939E8</v>
      </c>
      <c r="K70" s="32">
        <v>17183.0</v>
      </c>
      <c r="L70" s="31" t="s">
        <v>34</v>
      </c>
      <c r="M70" s="31">
        <v>25.0</v>
      </c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</row>
    <row r="71" ht="21.0" customHeight="1">
      <c r="A71" s="31">
        <v>1.44102873E8</v>
      </c>
      <c r="B71" s="31" t="s">
        <v>647</v>
      </c>
      <c r="C71" s="32">
        <v>6.2588745E7</v>
      </c>
      <c r="D71" s="32">
        <v>5.02782209E8</v>
      </c>
      <c r="E71" s="32">
        <v>8257678.0</v>
      </c>
      <c r="F71" s="32">
        <v>1.3443176E7</v>
      </c>
      <c r="G71" s="32">
        <v>1.8033217E7</v>
      </c>
      <c r="H71" s="32">
        <v>0.0</v>
      </c>
      <c r="I71" s="32">
        <v>1.5931558807E10</v>
      </c>
      <c r="J71" s="32">
        <v>1.051577501E9</v>
      </c>
      <c r="K71" s="32">
        <v>56250.0</v>
      </c>
      <c r="L71" s="31" t="s">
        <v>34</v>
      </c>
      <c r="M71" s="31">
        <v>25.0</v>
      </c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</row>
    <row r="72" ht="21.0" customHeight="1">
      <c r="A72" s="31">
        <v>1.71972257E8</v>
      </c>
      <c r="B72" s="31" t="s">
        <v>90</v>
      </c>
      <c r="C72" s="32">
        <v>6.2288181E7</v>
      </c>
      <c r="D72" s="32">
        <v>4.99793193E8</v>
      </c>
      <c r="E72" s="32">
        <v>4545871.0</v>
      </c>
      <c r="F72" s="32">
        <v>1.7237773E7</v>
      </c>
      <c r="G72" s="32">
        <v>1.5599588E7</v>
      </c>
      <c r="H72" s="32">
        <v>0.0</v>
      </c>
      <c r="I72" s="32">
        <v>1.2279563711E10</v>
      </c>
      <c r="J72" s="32">
        <v>2.901253098E9</v>
      </c>
      <c r="K72" s="32">
        <v>15910.0</v>
      </c>
      <c r="L72" s="31" t="s">
        <v>34</v>
      </c>
      <c r="M72" s="31">
        <v>25.0</v>
      </c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</row>
    <row r="73" ht="21.0" customHeight="1">
      <c r="A73" s="31">
        <v>2.1489428E7</v>
      </c>
      <c r="B73" s="31" t="s">
        <v>125</v>
      </c>
      <c r="C73" s="32">
        <v>6.2203865E7</v>
      </c>
      <c r="D73" s="32">
        <v>5.7711578E8</v>
      </c>
      <c r="E73" s="32">
        <v>1.6986041E7</v>
      </c>
      <c r="F73" s="32">
        <v>1.8273499E7</v>
      </c>
      <c r="G73" s="32">
        <v>1.9453509E7</v>
      </c>
      <c r="H73" s="32">
        <v>0.0</v>
      </c>
      <c r="I73" s="32">
        <v>1.6049999344E10</v>
      </c>
      <c r="J73" s="32">
        <v>9.234571546E9</v>
      </c>
      <c r="K73" s="32">
        <v>44875.0</v>
      </c>
      <c r="L73" s="31" t="s">
        <v>66</v>
      </c>
      <c r="M73" s="31">
        <v>25.0</v>
      </c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</row>
    <row r="74" ht="21.0" customHeight="1">
      <c r="A74" s="31">
        <v>1.46428825E8</v>
      </c>
      <c r="B74" s="31" t="s">
        <v>584</v>
      </c>
      <c r="C74" s="32">
        <v>6.134784E7</v>
      </c>
      <c r="D74" s="32">
        <v>1.595034768E9</v>
      </c>
      <c r="E74" s="32">
        <v>9321904.0</v>
      </c>
      <c r="F74" s="32">
        <v>5.5296195E7</v>
      </c>
      <c r="G74" s="32">
        <v>5.1560762E7</v>
      </c>
      <c r="H74" s="32">
        <v>0.0</v>
      </c>
      <c r="I74" s="32">
        <v>2.4506584066E10</v>
      </c>
      <c r="J74" s="32">
        <v>9.041568877E9</v>
      </c>
      <c r="K74" s="32">
        <v>130941.0</v>
      </c>
      <c r="L74" s="31" t="s">
        <v>34</v>
      </c>
      <c r="M74" s="31">
        <v>25.0</v>
      </c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</row>
    <row r="75" ht="21.0" customHeight="1">
      <c r="A75" s="31">
        <v>1.55534128E8</v>
      </c>
      <c r="B75" s="31" t="s">
        <v>105</v>
      </c>
      <c r="C75" s="32">
        <v>6.1347754E7</v>
      </c>
      <c r="D75" s="32">
        <v>1.000110292E9</v>
      </c>
      <c r="E75" s="32">
        <v>7861012.0</v>
      </c>
      <c r="F75" s="32">
        <v>3.7121656E7</v>
      </c>
      <c r="G75" s="32">
        <v>3.0753436E7</v>
      </c>
      <c r="H75" s="32">
        <v>0.0</v>
      </c>
      <c r="I75" s="32">
        <v>7.609978698E9</v>
      </c>
      <c r="J75" s="32">
        <v>9.07037441E8</v>
      </c>
      <c r="K75" s="32">
        <v>50096.0</v>
      </c>
      <c r="L75" s="31" t="s">
        <v>34</v>
      </c>
      <c r="M75" s="31">
        <v>25.0</v>
      </c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</row>
    <row r="76" ht="21.0" customHeight="1">
      <c r="A76" s="31">
        <v>1.71982346E8</v>
      </c>
      <c r="B76" s="31" t="s">
        <v>409</v>
      </c>
      <c r="C76" s="32">
        <v>6.1306045E7</v>
      </c>
      <c r="D76" s="32">
        <v>9.4657889E7</v>
      </c>
      <c r="E76" s="32">
        <v>3207492.0</v>
      </c>
      <c r="F76" s="32">
        <v>3740631.0</v>
      </c>
      <c r="G76" s="32">
        <v>2831639.0</v>
      </c>
      <c r="H76" s="32">
        <v>0.0</v>
      </c>
      <c r="I76" s="32">
        <v>6.182541809E9</v>
      </c>
      <c r="J76" s="32">
        <v>6.3818604E7</v>
      </c>
      <c r="K76" s="32">
        <v>21645.0</v>
      </c>
      <c r="L76" s="31" t="s">
        <v>34</v>
      </c>
      <c r="M76" s="31">
        <v>25.0</v>
      </c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</row>
    <row r="77" ht="21.0" customHeight="1">
      <c r="A77" s="31">
        <v>1.19051033E8</v>
      </c>
      <c r="B77" s="31" t="s">
        <v>533</v>
      </c>
      <c r="C77" s="32">
        <v>6.112549E7</v>
      </c>
      <c r="D77" s="32">
        <v>6.03136147E8</v>
      </c>
      <c r="E77" s="32">
        <v>1.4969585E7</v>
      </c>
      <c r="F77" s="32">
        <v>3.9165818E7</v>
      </c>
      <c r="G77" s="32">
        <v>8857531.0</v>
      </c>
      <c r="H77" s="32">
        <v>87571.0</v>
      </c>
      <c r="I77" s="32">
        <v>1.2518485491E10</v>
      </c>
      <c r="J77" s="32">
        <v>6.536030653E9</v>
      </c>
      <c r="K77" s="32">
        <v>88995.0</v>
      </c>
      <c r="L77" s="31" t="s">
        <v>34</v>
      </c>
      <c r="M77" s="31">
        <v>25.0</v>
      </c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</row>
    <row r="78" ht="21.0" customHeight="1">
      <c r="A78" s="31">
        <v>1.69494917E8</v>
      </c>
      <c r="B78" s="31" t="s">
        <v>648</v>
      </c>
      <c r="C78" s="32">
        <v>6.0704503E7</v>
      </c>
      <c r="D78" s="32">
        <v>1.3864743E8</v>
      </c>
      <c r="E78" s="32">
        <v>3226778.0</v>
      </c>
      <c r="F78" s="32">
        <v>4288674.0</v>
      </c>
      <c r="G78" s="32">
        <v>4776292.0</v>
      </c>
      <c r="H78" s="32">
        <v>0.0</v>
      </c>
      <c r="I78" s="32">
        <v>7.63494627E9</v>
      </c>
      <c r="J78" s="32">
        <v>7.41380857E8</v>
      </c>
      <c r="K78" s="32">
        <v>18782.0</v>
      </c>
      <c r="L78" s="31" t="s">
        <v>34</v>
      </c>
      <c r="M78" s="31">
        <v>25.0</v>
      </c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</row>
    <row r="79" ht="21.0" customHeight="1">
      <c r="A79" s="31">
        <v>1.7160984E8</v>
      </c>
      <c r="B79" s="31" t="s">
        <v>103</v>
      </c>
      <c r="C79" s="32">
        <v>6.0313215E7</v>
      </c>
      <c r="D79" s="32">
        <v>4.66804153E8</v>
      </c>
      <c r="E79" s="32">
        <v>4819502.0</v>
      </c>
      <c r="F79" s="32">
        <v>1.2880378E7</v>
      </c>
      <c r="G79" s="32">
        <v>1.6574298E7</v>
      </c>
      <c r="H79" s="32">
        <v>0.0</v>
      </c>
      <c r="I79" s="32">
        <v>6.983576845E9</v>
      </c>
      <c r="J79" s="32">
        <v>2.07640069E8</v>
      </c>
      <c r="K79" s="32">
        <v>41316.0</v>
      </c>
      <c r="L79" s="31" t="s">
        <v>34</v>
      </c>
      <c r="M79" s="31">
        <v>25.0</v>
      </c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</row>
    <row r="80" ht="21.0" customHeight="1">
      <c r="A80" s="31">
        <v>1.67637163E8</v>
      </c>
      <c r="B80" s="31" t="s">
        <v>446</v>
      </c>
      <c r="C80" s="32">
        <v>6.0285446E7</v>
      </c>
      <c r="D80" s="32">
        <v>4.21698499E8</v>
      </c>
      <c r="E80" s="32">
        <v>8740647.0</v>
      </c>
      <c r="F80" s="32">
        <v>2.4359406E7</v>
      </c>
      <c r="G80" s="32">
        <v>7699318.0</v>
      </c>
      <c r="H80" s="32">
        <v>0.0</v>
      </c>
      <c r="I80" s="32">
        <v>8.837700831E9</v>
      </c>
      <c r="J80" s="32">
        <v>1.4083414141E10</v>
      </c>
      <c r="K80" s="32">
        <v>90868.0</v>
      </c>
      <c r="L80" s="31" t="s">
        <v>34</v>
      </c>
      <c r="M80" s="31">
        <v>25.0</v>
      </c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</row>
    <row r="81" ht="21.0" customHeight="1">
      <c r="A81" s="31">
        <v>1.6757738E8</v>
      </c>
      <c r="B81" s="31" t="s">
        <v>107</v>
      </c>
      <c r="C81" s="32">
        <v>5.9998604E7</v>
      </c>
      <c r="D81" s="32">
        <v>3.89650755E8</v>
      </c>
      <c r="E81" s="32">
        <v>5611995.0</v>
      </c>
      <c r="F81" s="32">
        <v>1.4670939E7</v>
      </c>
      <c r="G81" s="32">
        <v>1.1693648E7</v>
      </c>
      <c r="H81" s="32">
        <v>0.0</v>
      </c>
      <c r="I81" s="32">
        <v>7.583046588E9</v>
      </c>
      <c r="J81" s="32">
        <v>9.70788659E8</v>
      </c>
      <c r="K81" s="32">
        <v>46003.0</v>
      </c>
      <c r="L81" s="31" t="s">
        <v>34</v>
      </c>
      <c r="M81" s="31">
        <v>25.0</v>
      </c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</row>
    <row r="82" ht="21.0" customHeight="1">
      <c r="A82" s="31">
        <v>1.70972148E8</v>
      </c>
      <c r="B82" s="31" t="s">
        <v>406</v>
      </c>
      <c r="C82" s="32">
        <v>5.8917001E7</v>
      </c>
      <c r="D82" s="32">
        <v>1.96940061E8</v>
      </c>
      <c r="E82" s="32">
        <v>3762807.0</v>
      </c>
      <c r="F82" s="32">
        <v>8676489.0</v>
      </c>
      <c r="G82" s="32">
        <v>5281215.0</v>
      </c>
      <c r="H82" s="32">
        <v>0.0</v>
      </c>
      <c r="I82" s="32">
        <v>1.0028156681E10</v>
      </c>
      <c r="J82" s="32">
        <v>1.323960679E9</v>
      </c>
      <c r="K82" s="32">
        <v>23375.0</v>
      </c>
      <c r="L82" s="31" t="s">
        <v>34</v>
      </c>
      <c r="M82" s="31">
        <v>25.0</v>
      </c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</row>
    <row r="83" ht="21.0" customHeight="1">
      <c r="A83" s="31">
        <v>6.3168658E7</v>
      </c>
      <c r="B83" s="31" t="s">
        <v>649</v>
      </c>
      <c r="C83" s="32">
        <v>5.8850951E7</v>
      </c>
      <c r="D83" s="32">
        <v>4.501052769E9</v>
      </c>
      <c r="E83" s="32">
        <v>2.1532746E7</v>
      </c>
      <c r="F83" s="32">
        <v>2.40232925E8</v>
      </c>
      <c r="G83" s="32">
        <v>1.01268258E8</v>
      </c>
      <c r="H83" s="32">
        <v>624505.0</v>
      </c>
      <c r="I83" s="32">
        <v>3.2751954307E10</v>
      </c>
      <c r="J83" s="32">
        <v>9.652859482E9</v>
      </c>
      <c r="K83" s="32">
        <v>156292.0</v>
      </c>
      <c r="L83" s="31" t="s">
        <v>650</v>
      </c>
      <c r="M83" s="31">
        <v>25.0</v>
      </c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</row>
    <row r="84" ht="21.0" customHeight="1">
      <c r="A84" s="31">
        <v>1.71807229E8</v>
      </c>
      <c r="B84" s="31" t="s">
        <v>651</v>
      </c>
      <c r="C84" s="32">
        <v>5.8515315E7</v>
      </c>
      <c r="D84" s="32">
        <v>9.6483766E7</v>
      </c>
      <c r="E84" s="32">
        <v>3054152.0</v>
      </c>
      <c r="F84" s="32">
        <v>8182464.0</v>
      </c>
      <c r="G84" s="32">
        <v>712491.0</v>
      </c>
      <c r="H84" s="32">
        <v>0.0</v>
      </c>
      <c r="I84" s="32">
        <v>7.528847614E9</v>
      </c>
      <c r="J84" s="32">
        <v>6.466459163E9</v>
      </c>
      <c r="K84" s="32">
        <v>23727.0</v>
      </c>
      <c r="L84" s="31" t="s">
        <v>652</v>
      </c>
      <c r="M84" s="31">
        <v>25.0</v>
      </c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</row>
    <row r="85" ht="21.0" customHeight="1">
      <c r="A85" s="31">
        <v>1.53857025E8</v>
      </c>
      <c r="B85" s="31" t="s">
        <v>106</v>
      </c>
      <c r="C85" s="32">
        <v>5.83586E7</v>
      </c>
      <c r="D85" s="32">
        <v>6.47889522E8</v>
      </c>
      <c r="E85" s="32">
        <v>6548154.0</v>
      </c>
      <c r="F85" s="32">
        <v>1.5123863E7</v>
      </c>
      <c r="G85" s="32">
        <v>2.436748E7</v>
      </c>
      <c r="H85" s="32">
        <v>0.0</v>
      </c>
      <c r="I85" s="32">
        <v>1.3538559892E10</v>
      </c>
      <c r="J85" s="32">
        <v>2.684186976E9</v>
      </c>
      <c r="K85" s="32">
        <v>60628.0</v>
      </c>
      <c r="L85" s="31" t="s">
        <v>34</v>
      </c>
      <c r="M85" s="31">
        <v>25.0</v>
      </c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</row>
    <row r="86" ht="21.0" customHeight="1">
      <c r="A86" s="31">
        <v>1.44684719E8</v>
      </c>
      <c r="B86" s="31" t="s">
        <v>589</v>
      </c>
      <c r="C86" s="32">
        <v>5.7830241E7</v>
      </c>
      <c r="D86" s="32">
        <v>2.3644311E8</v>
      </c>
      <c r="E86" s="32">
        <v>1.2078685E7</v>
      </c>
      <c r="F86" s="32">
        <v>9228269.0</v>
      </c>
      <c r="G86" s="32">
        <v>6983156.0</v>
      </c>
      <c r="H86" s="32">
        <v>0.0</v>
      </c>
      <c r="I86" s="32">
        <v>6.315995546E9</v>
      </c>
      <c r="J86" s="32">
        <v>1.407611379E9</v>
      </c>
      <c r="K86" s="32">
        <v>37350.0</v>
      </c>
      <c r="L86" s="31" t="s">
        <v>34</v>
      </c>
      <c r="M86" s="31">
        <v>25.0</v>
      </c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</row>
    <row r="87" ht="21.0" customHeight="1">
      <c r="A87" s="31">
        <v>1.15990558E8</v>
      </c>
      <c r="B87" s="31" t="s">
        <v>143</v>
      </c>
      <c r="C87" s="32">
        <v>5.7764669E7</v>
      </c>
      <c r="D87" s="32">
        <v>2.07794485E8</v>
      </c>
      <c r="E87" s="32">
        <v>3077942.0</v>
      </c>
      <c r="F87" s="32">
        <v>1.2394309E7</v>
      </c>
      <c r="G87" s="32">
        <v>3402474.0</v>
      </c>
      <c r="H87" s="32">
        <v>1288645.0</v>
      </c>
      <c r="I87" s="32">
        <v>8.651615817E9</v>
      </c>
      <c r="J87" s="32">
        <v>1.81565802E9</v>
      </c>
      <c r="K87" s="32">
        <v>19391.0</v>
      </c>
      <c r="L87" s="31" t="s">
        <v>66</v>
      </c>
      <c r="M87" s="31">
        <v>25.0</v>
      </c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</row>
    <row r="88" ht="21.0" customHeight="1">
      <c r="A88" s="31">
        <v>1.70728362E8</v>
      </c>
      <c r="B88" s="31" t="s">
        <v>104</v>
      </c>
      <c r="C88" s="32">
        <v>5.7746161E7</v>
      </c>
      <c r="D88" s="32">
        <v>3.98510969E8</v>
      </c>
      <c r="E88" s="32">
        <v>8653663.0</v>
      </c>
      <c r="F88" s="32">
        <v>1.3594988E7</v>
      </c>
      <c r="G88" s="32">
        <v>1.2420504E7</v>
      </c>
      <c r="H88" s="32">
        <v>0.0</v>
      </c>
      <c r="I88" s="32">
        <v>5.774561038E9</v>
      </c>
      <c r="J88" s="32">
        <v>5.589580133E9</v>
      </c>
      <c r="K88" s="32">
        <v>56872.0</v>
      </c>
      <c r="L88" s="31" t="s">
        <v>34</v>
      </c>
      <c r="M88" s="31">
        <v>25.0</v>
      </c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</row>
    <row r="89" ht="21.0" customHeight="1">
      <c r="A89" s="31">
        <v>1.70708608E8</v>
      </c>
      <c r="B89" s="31" t="s">
        <v>91</v>
      </c>
      <c r="C89" s="32">
        <v>5.7680491E7</v>
      </c>
      <c r="D89" s="32">
        <v>2.49350072E8</v>
      </c>
      <c r="E89" s="32">
        <v>7042300.0</v>
      </c>
      <c r="F89" s="32">
        <v>7914881.0</v>
      </c>
      <c r="G89" s="32">
        <v>7790283.0</v>
      </c>
      <c r="H89" s="32">
        <v>0.0</v>
      </c>
      <c r="I89" s="32">
        <v>8.513314774E9</v>
      </c>
      <c r="J89" s="32">
        <v>1.55724317E9</v>
      </c>
      <c r="K89" s="32">
        <v>22123.0</v>
      </c>
      <c r="L89" s="31" t="s">
        <v>652</v>
      </c>
      <c r="M89" s="31">
        <v>25.0</v>
      </c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</row>
    <row r="90" ht="21.0" customHeight="1">
      <c r="A90" s="31">
        <v>1.4406546E8</v>
      </c>
      <c r="B90" s="31" t="s">
        <v>412</v>
      </c>
      <c r="C90" s="32">
        <v>5.7654193E7</v>
      </c>
      <c r="D90" s="32">
        <v>1.00580119E8</v>
      </c>
      <c r="E90" s="32">
        <v>5300442.0</v>
      </c>
      <c r="F90" s="32">
        <v>1975815.0</v>
      </c>
      <c r="G90" s="32">
        <v>4017973.0</v>
      </c>
      <c r="H90" s="32">
        <v>0.0</v>
      </c>
      <c r="I90" s="32">
        <v>1.0343440899E10</v>
      </c>
      <c r="J90" s="32">
        <v>3.77472383E8</v>
      </c>
      <c r="K90" s="32">
        <v>46749.0</v>
      </c>
      <c r="L90" s="31" t="s">
        <v>34</v>
      </c>
      <c r="M90" s="31">
        <v>25.0</v>
      </c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</row>
    <row r="91" ht="21.0" customHeight="1">
      <c r="A91" s="31">
        <v>1.38752108E8</v>
      </c>
      <c r="B91" s="31" t="s">
        <v>445</v>
      </c>
      <c r="C91" s="32">
        <v>5.7521684E7</v>
      </c>
      <c r="D91" s="32">
        <v>4.35412557E8</v>
      </c>
      <c r="E91" s="32">
        <v>5651167.0</v>
      </c>
      <c r="F91" s="32">
        <v>1.0396596E7</v>
      </c>
      <c r="G91" s="32">
        <v>1.6500168E7</v>
      </c>
      <c r="H91" s="32">
        <v>0.0</v>
      </c>
      <c r="I91" s="32">
        <v>2.3610759842E10</v>
      </c>
      <c r="J91" s="32">
        <v>5.77109633E8</v>
      </c>
      <c r="K91" s="32">
        <v>82208.0</v>
      </c>
      <c r="L91" s="31" t="s">
        <v>34</v>
      </c>
      <c r="M91" s="31">
        <v>25.0</v>
      </c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</row>
    <row r="92" ht="21.0" customHeight="1">
      <c r="A92" s="31">
        <v>1.71805508E8</v>
      </c>
      <c r="B92" s="31" t="s">
        <v>653</v>
      </c>
      <c r="C92" s="32">
        <v>5.7424878E7</v>
      </c>
      <c r="D92" s="32">
        <v>6.0608146E7</v>
      </c>
      <c r="E92" s="32">
        <v>3453184.0</v>
      </c>
      <c r="F92" s="32">
        <v>4899375.0</v>
      </c>
      <c r="G92" s="32">
        <v>498654.0</v>
      </c>
      <c r="H92" s="32">
        <v>0.0</v>
      </c>
      <c r="I92" s="32">
        <v>6.512385428E9</v>
      </c>
      <c r="J92" s="32">
        <v>1.8177651E9</v>
      </c>
      <c r="K92" s="32">
        <v>17672.0</v>
      </c>
      <c r="L92" s="31" t="s">
        <v>641</v>
      </c>
      <c r="M92" s="31">
        <v>25.0</v>
      </c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</row>
    <row r="93" ht="21.0" customHeight="1">
      <c r="A93" s="31">
        <v>1.44010731E8</v>
      </c>
      <c r="B93" s="31" t="s">
        <v>407</v>
      </c>
      <c r="C93" s="32">
        <v>5.6948299E7</v>
      </c>
      <c r="D93" s="32">
        <v>1.08379551E8</v>
      </c>
      <c r="E93" s="32">
        <v>8533368.0</v>
      </c>
      <c r="F93" s="32">
        <v>2481423.0</v>
      </c>
      <c r="G93" s="32">
        <v>4083583.0</v>
      </c>
      <c r="H93" s="32">
        <v>0.0</v>
      </c>
      <c r="I93" s="32">
        <v>7.273995929E9</v>
      </c>
      <c r="J93" s="32">
        <v>7.02856257E8</v>
      </c>
      <c r="K93" s="32">
        <v>27719.0</v>
      </c>
      <c r="L93" s="31" t="s">
        <v>641</v>
      </c>
      <c r="M93" s="31">
        <v>25.0</v>
      </c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</row>
    <row r="94" ht="21.0" customHeight="1">
      <c r="A94" s="31">
        <v>1.71358436E8</v>
      </c>
      <c r="B94" s="31" t="s">
        <v>534</v>
      </c>
      <c r="C94" s="32">
        <v>5.6797356E7</v>
      </c>
      <c r="D94" s="32">
        <v>6.61588823E8</v>
      </c>
      <c r="E94" s="32">
        <v>5833655.0</v>
      </c>
      <c r="F94" s="32">
        <v>2.9999754E7</v>
      </c>
      <c r="G94" s="32">
        <v>1.7160721E7</v>
      </c>
      <c r="H94" s="32">
        <v>0.0</v>
      </c>
      <c r="I94" s="32">
        <v>4.527266443E9</v>
      </c>
      <c r="J94" s="32">
        <v>1.283327612E9</v>
      </c>
      <c r="K94" s="32">
        <v>50778.0</v>
      </c>
      <c r="L94" s="31" t="s">
        <v>66</v>
      </c>
      <c r="M94" s="31">
        <v>25.0</v>
      </c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</row>
    <row r="95" ht="21.0" customHeight="1">
      <c r="A95" s="31">
        <v>1.71209025E8</v>
      </c>
      <c r="B95" s="31" t="s">
        <v>444</v>
      </c>
      <c r="C95" s="32">
        <v>5.6620072E7</v>
      </c>
      <c r="D95" s="32">
        <v>3.58729208E8</v>
      </c>
      <c r="E95" s="32">
        <v>9187942.0</v>
      </c>
      <c r="F95" s="32">
        <v>1.7592859E7</v>
      </c>
      <c r="G95" s="32">
        <v>7638936.0</v>
      </c>
      <c r="H95" s="32">
        <v>0.0</v>
      </c>
      <c r="I95" s="32">
        <v>1.2787758456E10</v>
      </c>
      <c r="J95" s="32">
        <v>1.374842811E9</v>
      </c>
      <c r="K95" s="32">
        <v>36937.0</v>
      </c>
      <c r="L95" s="31" t="s">
        <v>34</v>
      </c>
      <c r="M95" s="31">
        <v>25.0</v>
      </c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</row>
    <row r="96" ht="21.0" customHeight="1">
      <c r="A96" s="31">
        <v>1.51360763E8</v>
      </c>
      <c r="B96" s="31" t="s">
        <v>367</v>
      </c>
      <c r="C96" s="32">
        <v>5.5618601E7</v>
      </c>
      <c r="D96" s="32">
        <v>1.00930881E8</v>
      </c>
      <c r="E96" s="32">
        <v>4910898.0</v>
      </c>
      <c r="F96" s="32">
        <v>5326856.0</v>
      </c>
      <c r="G96" s="32">
        <v>2292474.0</v>
      </c>
      <c r="H96" s="32">
        <v>0.0</v>
      </c>
      <c r="I96" s="32">
        <v>2.4057150004E10</v>
      </c>
      <c r="J96" s="32">
        <v>1.0048012042E10</v>
      </c>
      <c r="K96" s="32">
        <v>18690.0</v>
      </c>
      <c r="L96" s="31" t="s">
        <v>34</v>
      </c>
      <c r="M96" s="31">
        <v>25.0</v>
      </c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</row>
    <row r="97" ht="21.0" customHeight="1">
      <c r="A97" s="31">
        <v>1.43457511E8</v>
      </c>
      <c r="B97" s="31" t="s">
        <v>515</v>
      </c>
      <c r="C97" s="32">
        <v>5.4855296E7</v>
      </c>
      <c r="D97" s="32">
        <v>3.50550158E8</v>
      </c>
      <c r="E97" s="32">
        <v>9513016.0</v>
      </c>
      <c r="F97" s="32">
        <v>1.7458808E7</v>
      </c>
      <c r="G97" s="32">
        <v>8476269.0</v>
      </c>
      <c r="H97" s="32">
        <v>0.0</v>
      </c>
      <c r="I97" s="32">
        <v>1.3137468763E10</v>
      </c>
      <c r="J97" s="32">
        <v>8.731560189E9</v>
      </c>
      <c r="K97" s="32">
        <v>40535.0</v>
      </c>
      <c r="L97" s="31" t="s">
        <v>34</v>
      </c>
      <c r="M97" s="31">
        <v>25.0</v>
      </c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</row>
    <row r="98" ht="21.0" customHeight="1">
      <c r="A98" s="31">
        <v>1.39292614E8</v>
      </c>
      <c r="B98" s="31" t="s">
        <v>587</v>
      </c>
      <c r="C98" s="32">
        <v>5.4730673E7</v>
      </c>
      <c r="D98" s="32">
        <v>5.79153062E8</v>
      </c>
      <c r="E98" s="32">
        <v>1.0121607E7</v>
      </c>
      <c r="F98" s="32">
        <v>1.2783634E7</v>
      </c>
      <c r="G98" s="32">
        <v>2.2262093E7</v>
      </c>
      <c r="H98" s="32">
        <v>0.0</v>
      </c>
      <c r="I98" s="32">
        <v>1.0444020757E10</v>
      </c>
      <c r="J98" s="32">
        <v>2.498817481E9</v>
      </c>
      <c r="K98" s="32">
        <v>34183.0</v>
      </c>
      <c r="L98" s="31" t="s">
        <v>636</v>
      </c>
      <c r="M98" s="31">
        <v>25.0</v>
      </c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</row>
    <row r="99" ht="21.0" customHeight="1">
      <c r="A99" s="31">
        <v>1.71753933E8</v>
      </c>
      <c r="B99" s="31" t="s">
        <v>588</v>
      </c>
      <c r="C99" s="32">
        <v>5.4714083E7</v>
      </c>
      <c r="D99" s="32">
        <v>8.0430586E7</v>
      </c>
      <c r="E99" s="32">
        <v>4532998.0</v>
      </c>
      <c r="F99" s="32">
        <v>2681186.0</v>
      </c>
      <c r="G99" s="32">
        <v>2663295.0</v>
      </c>
      <c r="H99" s="32">
        <v>0.0</v>
      </c>
      <c r="I99" s="32">
        <v>1.1111864375E10</v>
      </c>
      <c r="J99" s="32">
        <v>1.22797E8</v>
      </c>
      <c r="K99" s="32">
        <v>49357.0</v>
      </c>
      <c r="L99" s="31" t="s">
        <v>34</v>
      </c>
      <c r="M99" s="31">
        <v>25.0</v>
      </c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</row>
    <row r="100" ht="21.0" customHeight="1">
      <c r="A100" s="31">
        <v>1.71679053E8</v>
      </c>
      <c r="B100" s="31" t="s">
        <v>111</v>
      </c>
      <c r="C100" s="32">
        <v>5.4673465E7</v>
      </c>
      <c r="D100" s="32">
        <v>1.70482117E8</v>
      </c>
      <c r="E100" s="32">
        <v>3274718.0</v>
      </c>
      <c r="F100" s="32">
        <v>6050739.0</v>
      </c>
      <c r="G100" s="32">
        <v>5348891.0</v>
      </c>
      <c r="H100" s="32">
        <v>0.0</v>
      </c>
      <c r="I100" s="32">
        <v>9.160315173E9</v>
      </c>
      <c r="J100" s="32">
        <v>1.309145371E9</v>
      </c>
      <c r="K100" s="32">
        <v>24218.0</v>
      </c>
      <c r="L100" s="31" t="s">
        <v>34</v>
      </c>
      <c r="M100" s="31">
        <v>25.0</v>
      </c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</row>
    <row r="101" ht="21.0" customHeight="1">
      <c r="A101" s="31">
        <v>1.18161623E8</v>
      </c>
      <c r="B101" s="31" t="s">
        <v>654</v>
      </c>
      <c r="C101" s="32">
        <v>5.4217084E7</v>
      </c>
      <c r="D101" s="32">
        <v>4.17194864E8</v>
      </c>
      <c r="E101" s="32">
        <v>1.9549794E7</v>
      </c>
      <c r="F101" s="32">
        <v>9740171.0</v>
      </c>
      <c r="G101" s="32">
        <v>1.5870501E7</v>
      </c>
      <c r="H101" s="32">
        <v>0.0</v>
      </c>
      <c r="I101" s="32">
        <v>1.7064185959E10</v>
      </c>
      <c r="J101" s="32">
        <v>3.47648872E8</v>
      </c>
      <c r="K101" s="32">
        <v>41217.0</v>
      </c>
      <c r="L101" s="31" t="s">
        <v>66</v>
      </c>
      <c r="M101" s="31">
        <v>25.0</v>
      </c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</row>
    <row r="102" ht="21.0" customHeight="1">
      <c r="A102" s="31">
        <v>1.4504414E8</v>
      </c>
      <c r="B102" s="31" t="s">
        <v>449</v>
      </c>
      <c r="C102" s="32">
        <v>5.2861074E7</v>
      </c>
      <c r="D102" s="32">
        <v>8.9268221E7</v>
      </c>
      <c r="E102" s="32">
        <v>8442760.0</v>
      </c>
      <c r="F102" s="32">
        <v>1801041.0</v>
      </c>
      <c r="G102" s="32">
        <v>3470589.0</v>
      </c>
      <c r="H102" s="32">
        <v>0.0</v>
      </c>
      <c r="I102" s="32">
        <v>6.980438748E9</v>
      </c>
      <c r="J102" s="32">
        <v>3.89909634E8</v>
      </c>
      <c r="K102" s="32">
        <v>11841.0</v>
      </c>
      <c r="L102" s="31" t="s">
        <v>34</v>
      </c>
      <c r="M102" s="31">
        <v>25.0</v>
      </c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</row>
    <row r="103" ht="21.0" customHeight="1">
      <c r="A103" s="31">
        <v>1.67614515E8</v>
      </c>
      <c r="B103" s="31" t="s">
        <v>365</v>
      </c>
      <c r="C103" s="32">
        <v>5.2825735E7</v>
      </c>
      <c r="D103" s="32">
        <v>2.13079698E8</v>
      </c>
      <c r="E103" s="32">
        <v>5989468.0</v>
      </c>
      <c r="F103" s="32">
        <v>1.2409878E7</v>
      </c>
      <c r="G103" s="32">
        <v>4295629.0</v>
      </c>
      <c r="H103" s="32">
        <v>0.0</v>
      </c>
      <c r="I103" s="32">
        <v>1.2622532249E10</v>
      </c>
      <c r="J103" s="32">
        <v>7.99053053E8</v>
      </c>
      <c r="K103" s="32">
        <v>44481.0</v>
      </c>
      <c r="L103" s="31" t="s">
        <v>34</v>
      </c>
      <c r="M103" s="31">
        <v>25.0</v>
      </c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</row>
    <row r="104" ht="21.0" customHeight="1">
      <c r="A104" s="31">
        <v>1.71976226E8</v>
      </c>
      <c r="B104" s="31" t="s">
        <v>150</v>
      </c>
      <c r="C104" s="32">
        <v>5.2541047E7</v>
      </c>
      <c r="D104" s="32">
        <v>1.64014989E8</v>
      </c>
      <c r="E104" s="32">
        <v>3629566.0</v>
      </c>
      <c r="F104" s="32">
        <v>9270248.0</v>
      </c>
      <c r="G104" s="32">
        <v>2928274.0</v>
      </c>
      <c r="H104" s="32">
        <v>0.0</v>
      </c>
      <c r="I104" s="32">
        <v>7.001860102E9</v>
      </c>
      <c r="J104" s="32">
        <v>2.827541422E9</v>
      </c>
      <c r="K104" s="32">
        <v>16004.0</v>
      </c>
      <c r="L104" s="31" t="s">
        <v>66</v>
      </c>
      <c r="M104" s="31">
        <v>25.0</v>
      </c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</row>
    <row r="105" ht="21.0" customHeight="1">
      <c r="A105" s="31">
        <v>1.45846397E8</v>
      </c>
      <c r="B105" s="31" t="s">
        <v>655</v>
      </c>
      <c r="C105" s="32">
        <v>5.2467959E7</v>
      </c>
      <c r="D105" s="32">
        <v>1.9676974E8</v>
      </c>
      <c r="E105" s="32">
        <v>7587964.0</v>
      </c>
      <c r="F105" s="32">
        <v>7458780.0</v>
      </c>
      <c r="G105" s="32">
        <v>6026542.0</v>
      </c>
      <c r="H105" s="32">
        <v>0.0</v>
      </c>
      <c r="I105" s="32">
        <v>5.780073572E9</v>
      </c>
      <c r="J105" s="32">
        <v>4.891688978E9</v>
      </c>
      <c r="K105" s="32">
        <v>34289.0</v>
      </c>
      <c r="L105" s="31" t="s">
        <v>66</v>
      </c>
      <c r="M105" s="31">
        <v>25.0</v>
      </c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</row>
    <row r="106" ht="21.0" customHeight="1">
      <c r="A106" s="31">
        <v>1.71910225E8</v>
      </c>
      <c r="B106" s="31" t="s">
        <v>99</v>
      </c>
      <c r="C106" s="32">
        <v>5.2458394E7</v>
      </c>
      <c r="D106" s="32">
        <v>1.74431846E8</v>
      </c>
      <c r="E106" s="32">
        <v>5109135.0</v>
      </c>
      <c r="F106" s="32">
        <v>3318500.0</v>
      </c>
      <c r="G106" s="32">
        <v>7028275.0</v>
      </c>
      <c r="H106" s="32">
        <v>0.0</v>
      </c>
      <c r="I106" s="32">
        <v>1.2426555836E10</v>
      </c>
      <c r="J106" s="32">
        <v>1.329250012E9</v>
      </c>
      <c r="K106" s="32">
        <v>29746.0</v>
      </c>
      <c r="L106" s="31" t="s">
        <v>34</v>
      </c>
      <c r="M106" s="31">
        <v>25.0</v>
      </c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</row>
    <row r="107" ht="21.0" customHeight="1">
      <c r="A107" s="31">
        <v>1.69446444E8</v>
      </c>
      <c r="B107" s="31" t="s">
        <v>590</v>
      </c>
      <c r="C107" s="32">
        <v>5.2439416E7</v>
      </c>
      <c r="D107" s="32">
        <v>7.3978493E8</v>
      </c>
      <c r="E107" s="32">
        <v>6621747.0</v>
      </c>
      <c r="F107" s="32">
        <v>1.8059043E7</v>
      </c>
      <c r="G107" s="32">
        <v>2.7397235E7</v>
      </c>
      <c r="H107" s="32">
        <v>0.0</v>
      </c>
      <c r="I107" s="32">
        <v>5.865995622E9</v>
      </c>
      <c r="J107" s="32">
        <v>7.852736746E9</v>
      </c>
      <c r="K107" s="32">
        <v>65216.0</v>
      </c>
      <c r="L107" s="31" t="s">
        <v>34</v>
      </c>
      <c r="M107" s="31">
        <v>25.0</v>
      </c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</row>
    <row r="108" ht="21.0" customHeight="1">
      <c r="A108" s="31">
        <v>4.9509851E7</v>
      </c>
      <c r="B108" s="31" t="s">
        <v>595</v>
      </c>
      <c r="C108" s="32">
        <v>5.2092041E7</v>
      </c>
      <c r="D108" s="32">
        <v>4.06647858E8</v>
      </c>
      <c r="E108" s="32">
        <v>4118964.0</v>
      </c>
      <c r="F108" s="32">
        <v>2.1346983E7</v>
      </c>
      <c r="G108" s="32">
        <v>8850408.0</v>
      </c>
      <c r="H108" s="32">
        <v>0.0</v>
      </c>
      <c r="I108" s="32">
        <v>6.59767094E9</v>
      </c>
      <c r="J108" s="32">
        <v>1.416612953E10</v>
      </c>
      <c r="K108" s="32">
        <v>30762.0</v>
      </c>
      <c r="L108" s="31" t="s">
        <v>66</v>
      </c>
      <c r="M108" s="31">
        <v>25.0</v>
      </c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</row>
    <row r="109" ht="21.0" customHeight="1">
      <c r="A109" s="31">
        <v>1.72078991E8</v>
      </c>
      <c r="B109" s="31" t="s">
        <v>656</v>
      </c>
      <c r="C109" s="32">
        <v>5.1516912E7</v>
      </c>
      <c r="D109" s="32">
        <v>1.08228389E8</v>
      </c>
      <c r="E109" s="32">
        <v>5311823.0</v>
      </c>
      <c r="F109" s="32">
        <v>3671167.0</v>
      </c>
      <c r="G109" s="32">
        <v>3429041.0</v>
      </c>
      <c r="H109" s="32">
        <v>0.0</v>
      </c>
      <c r="I109" s="32">
        <v>6.565198273E9</v>
      </c>
      <c r="J109" s="32">
        <v>8.5730524E8</v>
      </c>
      <c r="K109" s="32">
        <v>26061.0</v>
      </c>
      <c r="L109" s="31" t="s">
        <v>66</v>
      </c>
      <c r="M109" s="31">
        <v>25.0</v>
      </c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</row>
    <row r="110" ht="21.0" customHeight="1">
      <c r="A110" s="31">
        <v>1.44070936E8</v>
      </c>
      <c r="B110" s="31" t="s">
        <v>657</v>
      </c>
      <c r="C110" s="32">
        <v>5.1495819E7</v>
      </c>
      <c r="D110" s="32">
        <v>3.15801015E8</v>
      </c>
      <c r="E110" s="32">
        <v>6116405.0</v>
      </c>
      <c r="F110" s="32">
        <v>1.5005229E7</v>
      </c>
      <c r="G110" s="32">
        <v>7584622.0</v>
      </c>
      <c r="H110" s="32">
        <v>0.0</v>
      </c>
      <c r="I110" s="32">
        <v>1.1540655071E10</v>
      </c>
      <c r="J110" s="32">
        <v>1.68704788E8</v>
      </c>
      <c r="K110" s="32">
        <v>24710.0</v>
      </c>
      <c r="L110" s="31" t="s">
        <v>66</v>
      </c>
      <c r="M110" s="31">
        <v>25.0</v>
      </c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</row>
    <row r="111" ht="21.0" customHeight="1">
      <c r="A111" s="31">
        <v>1.38334962E8</v>
      </c>
      <c r="B111" s="31" t="s">
        <v>594</v>
      </c>
      <c r="C111" s="32">
        <v>5.1458926E7</v>
      </c>
      <c r="D111" s="32">
        <v>4.95741304E8</v>
      </c>
      <c r="E111" s="32">
        <v>2144191.0</v>
      </c>
      <c r="F111" s="32">
        <v>3.4969904E7</v>
      </c>
      <c r="G111" s="32">
        <v>4503175.0</v>
      </c>
      <c r="H111" s="32">
        <v>0.0</v>
      </c>
      <c r="I111" s="32">
        <v>4.93566043E8</v>
      </c>
      <c r="J111" s="32">
        <v>2.527969561E9</v>
      </c>
      <c r="K111" s="32">
        <v>14056.0</v>
      </c>
      <c r="L111" s="31" t="s">
        <v>480</v>
      </c>
      <c r="M111" s="31">
        <v>25.0</v>
      </c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</row>
    <row r="112" ht="21.0" customHeight="1">
      <c r="A112" s="31">
        <v>1.61646318E8</v>
      </c>
      <c r="B112" s="31" t="s">
        <v>591</v>
      </c>
      <c r="C112" s="32">
        <v>5.1213681E7</v>
      </c>
      <c r="D112" s="32">
        <v>2.1005299E8</v>
      </c>
      <c r="E112" s="32">
        <v>5144445.0</v>
      </c>
      <c r="F112" s="32">
        <v>8078449.0</v>
      </c>
      <c r="G112" s="32">
        <v>6388807.0</v>
      </c>
      <c r="H112" s="32">
        <v>0.0</v>
      </c>
      <c r="I112" s="32">
        <v>1.2586786636E10</v>
      </c>
      <c r="J112" s="32">
        <v>2.29864133E9</v>
      </c>
      <c r="K112" s="32">
        <v>44763.0</v>
      </c>
      <c r="L112" s="31" t="s">
        <v>34</v>
      </c>
      <c r="M112" s="31">
        <v>25.0</v>
      </c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</row>
    <row r="113" ht="21.0" customHeight="1">
      <c r="A113" s="31">
        <v>1.4461836E8</v>
      </c>
      <c r="B113" s="31" t="s">
        <v>116</v>
      </c>
      <c r="C113" s="32">
        <v>5.0535646E7</v>
      </c>
      <c r="D113" s="32">
        <v>2.57544033E8</v>
      </c>
      <c r="E113" s="32">
        <v>2915124.0</v>
      </c>
      <c r="F113" s="32">
        <v>9355372.0</v>
      </c>
      <c r="G113" s="32">
        <v>8006629.0</v>
      </c>
      <c r="H113" s="32">
        <v>0.0</v>
      </c>
      <c r="I113" s="32">
        <v>8.866894901E9</v>
      </c>
      <c r="J113" s="32">
        <v>5.36487787E8</v>
      </c>
      <c r="K113" s="32">
        <v>41624.0</v>
      </c>
      <c r="L113" s="31" t="s">
        <v>636</v>
      </c>
      <c r="M113" s="31">
        <v>25.0</v>
      </c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</row>
    <row r="114" ht="21.0" customHeight="1">
      <c r="A114" s="31">
        <v>1915332.0</v>
      </c>
      <c r="B114" s="31" t="s">
        <v>110</v>
      </c>
      <c r="C114" s="32">
        <v>5.0423853E7</v>
      </c>
      <c r="D114" s="32">
        <v>3.64124654E8</v>
      </c>
      <c r="E114" s="32">
        <v>9024801.0</v>
      </c>
      <c r="F114" s="32">
        <v>1.5917018E7</v>
      </c>
      <c r="G114" s="32">
        <v>9325301.0</v>
      </c>
      <c r="H114" s="32">
        <v>0.0</v>
      </c>
      <c r="I114" s="32">
        <v>6.820495265E9</v>
      </c>
      <c r="J114" s="32">
        <v>3.997087226E9</v>
      </c>
      <c r="K114" s="32">
        <v>31035.0</v>
      </c>
      <c r="L114" s="31" t="s">
        <v>652</v>
      </c>
      <c r="M114" s="31">
        <v>25.0</v>
      </c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</row>
    <row r="115" ht="21.0" customHeight="1">
      <c r="A115" s="31">
        <v>1.36662717E8</v>
      </c>
      <c r="B115" s="31" t="s">
        <v>368</v>
      </c>
      <c r="C115" s="32">
        <v>5.0175147E7</v>
      </c>
      <c r="D115" s="32">
        <v>6.42591057E8</v>
      </c>
      <c r="E115" s="32">
        <v>5983193.0</v>
      </c>
      <c r="F115" s="32">
        <v>2.1875352E7</v>
      </c>
      <c r="G115" s="32">
        <v>2.0746119E7</v>
      </c>
      <c r="H115" s="32">
        <v>0.0</v>
      </c>
      <c r="I115" s="32">
        <v>8.674736417E9</v>
      </c>
      <c r="J115" s="32">
        <v>6.253611637E9</v>
      </c>
      <c r="K115" s="32">
        <v>53463.0</v>
      </c>
      <c r="L115" s="31" t="s">
        <v>66</v>
      </c>
      <c r="M115" s="31">
        <v>25.0</v>
      </c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</row>
    <row r="116" ht="21.0" customHeight="1">
      <c r="A116" s="31">
        <v>1.71825014E8</v>
      </c>
      <c r="B116" s="31" t="s">
        <v>593</v>
      </c>
      <c r="C116" s="32">
        <v>4.9653802E7</v>
      </c>
      <c r="D116" s="32">
        <v>8.6728857E7</v>
      </c>
      <c r="E116" s="32">
        <v>4098786.0</v>
      </c>
      <c r="F116" s="32">
        <v>4777468.0</v>
      </c>
      <c r="G116" s="32">
        <v>1793127.0</v>
      </c>
      <c r="H116" s="32">
        <v>0.0</v>
      </c>
      <c r="I116" s="32">
        <v>7.517412846E9</v>
      </c>
      <c r="J116" s="32">
        <v>1.13E9</v>
      </c>
      <c r="K116" s="32">
        <v>10166.0</v>
      </c>
      <c r="L116" s="31" t="s">
        <v>636</v>
      </c>
      <c r="M116" s="31">
        <v>25.0</v>
      </c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</row>
    <row r="117" ht="21.0" customHeight="1">
      <c r="A117" s="31">
        <v>1.69672885E8</v>
      </c>
      <c r="B117" s="31" t="s">
        <v>129</v>
      </c>
      <c r="C117" s="32">
        <v>4.9383719E7</v>
      </c>
      <c r="D117" s="32">
        <v>3.34338958E8</v>
      </c>
      <c r="E117" s="32">
        <v>6988413.0</v>
      </c>
      <c r="F117" s="32">
        <v>1.752214E7</v>
      </c>
      <c r="G117" s="32">
        <v>7258152.0</v>
      </c>
      <c r="H117" s="32">
        <v>0.0</v>
      </c>
      <c r="I117" s="32">
        <v>6.584185104E9</v>
      </c>
      <c r="J117" s="32">
        <v>3.487614406E9</v>
      </c>
      <c r="K117" s="32">
        <v>31789.0</v>
      </c>
      <c r="L117" s="31" t="s">
        <v>34</v>
      </c>
      <c r="M117" s="31">
        <v>25.0</v>
      </c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</row>
    <row r="118" ht="21.0" customHeight="1">
      <c r="A118" s="31">
        <v>1.4405151E8</v>
      </c>
      <c r="B118" s="31" t="s">
        <v>537</v>
      </c>
      <c r="C118" s="32">
        <v>4.9135168E7</v>
      </c>
      <c r="D118" s="32">
        <v>1.24109289E8</v>
      </c>
      <c r="E118" s="32">
        <v>6751559.0</v>
      </c>
      <c r="F118" s="32">
        <v>5876959.0</v>
      </c>
      <c r="G118" s="32">
        <v>3075105.0</v>
      </c>
      <c r="H118" s="32">
        <v>0.0</v>
      </c>
      <c r="I118" s="32">
        <v>9.168761939E9</v>
      </c>
      <c r="J118" s="32">
        <v>2.062388246E9</v>
      </c>
      <c r="K118" s="32">
        <v>52414.0</v>
      </c>
      <c r="L118" s="31" t="s">
        <v>34</v>
      </c>
      <c r="M118" s="31">
        <v>25.0</v>
      </c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</row>
    <row r="119" ht="21.0" customHeight="1">
      <c r="A119" s="31">
        <v>1.45008495E8</v>
      </c>
      <c r="B119" s="31" t="s">
        <v>448</v>
      </c>
      <c r="C119" s="32">
        <v>4.9133366E7</v>
      </c>
      <c r="D119" s="32">
        <v>4.06562269E8</v>
      </c>
      <c r="E119" s="32">
        <v>1.3016544E7</v>
      </c>
      <c r="F119" s="32">
        <v>2.7287984E7</v>
      </c>
      <c r="G119" s="32">
        <v>5876441.0</v>
      </c>
      <c r="H119" s="32">
        <v>0.0</v>
      </c>
      <c r="I119" s="32">
        <v>6.664353232E9</v>
      </c>
      <c r="J119" s="32">
        <v>1.030138069E9</v>
      </c>
      <c r="K119" s="32">
        <v>18453.0</v>
      </c>
      <c r="L119" s="31" t="s">
        <v>34</v>
      </c>
      <c r="M119" s="31">
        <v>25.0</v>
      </c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</row>
    <row r="120" ht="21.0" customHeight="1">
      <c r="A120" s="31">
        <v>1.43476574E8</v>
      </c>
      <c r="B120" s="31" t="s">
        <v>658</v>
      </c>
      <c r="C120" s="32">
        <v>4.8831839E7</v>
      </c>
      <c r="D120" s="32">
        <v>7.0649039E7</v>
      </c>
      <c r="E120" s="32">
        <v>3027599.0</v>
      </c>
      <c r="F120" s="32">
        <v>2537073.0</v>
      </c>
      <c r="G120" s="32">
        <v>2137272.0</v>
      </c>
      <c r="H120" s="32">
        <v>0.0</v>
      </c>
      <c r="I120" s="32">
        <v>6.580821911E9</v>
      </c>
      <c r="J120" s="32">
        <v>8.995557733E9</v>
      </c>
      <c r="K120" s="32">
        <v>20903.0</v>
      </c>
      <c r="L120" s="31" t="s">
        <v>66</v>
      </c>
      <c r="M120" s="31">
        <v>25.0</v>
      </c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</row>
    <row r="121" ht="21.0" customHeight="1">
      <c r="A121" s="31">
        <v>1.72031022E8</v>
      </c>
      <c r="B121" s="31" t="s">
        <v>536</v>
      </c>
      <c r="C121" s="32">
        <v>4.8497715E7</v>
      </c>
      <c r="D121" s="32">
        <v>9.2688359E7</v>
      </c>
      <c r="E121" s="32">
        <v>4037673.0</v>
      </c>
      <c r="F121" s="32">
        <v>2908675.0</v>
      </c>
      <c r="G121" s="32">
        <v>2733792.0</v>
      </c>
      <c r="H121" s="32">
        <v>0.0</v>
      </c>
      <c r="I121" s="32">
        <v>1.0665591275E10</v>
      </c>
      <c r="J121" s="32">
        <v>1.235132077E9</v>
      </c>
      <c r="K121" s="32">
        <v>26694.0</v>
      </c>
      <c r="L121" s="31" t="s">
        <v>34</v>
      </c>
      <c r="M121" s="31">
        <v>25.0</v>
      </c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</row>
    <row r="122" ht="21.0" customHeight="1">
      <c r="A122" s="31">
        <v>1.44088316E8</v>
      </c>
      <c r="B122" s="31" t="s">
        <v>152</v>
      </c>
      <c r="C122" s="32">
        <v>4.8027535E7</v>
      </c>
      <c r="D122" s="32">
        <v>4.2555014E7</v>
      </c>
      <c r="E122" s="32">
        <v>4390339.0</v>
      </c>
      <c r="F122" s="32">
        <v>939021.0</v>
      </c>
      <c r="G122" s="32">
        <v>1357682.0</v>
      </c>
      <c r="H122" s="32">
        <v>0.0</v>
      </c>
      <c r="I122" s="32">
        <v>1.0543938435E10</v>
      </c>
      <c r="J122" s="32">
        <v>9.0E8</v>
      </c>
      <c r="K122" s="32">
        <v>13241.0</v>
      </c>
      <c r="L122" s="31" t="s">
        <v>147</v>
      </c>
      <c r="M122" s="31">
        <v>25.0</v>
      </c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</row>
    <row r="123" ht="21.0" customHeight="1">
      <c r="A123" s="31">
        <v>1.71828804E8</v>
      </c>
      <c r="B123" s="31" t="s">
        <v>659</v>
      </c>
      <c r="C123" s="32">
        <v>4.7576963E7</v>
      </c>
      <c r="D123" s="32">
        <v>2.18053609E8</v>
      </c>
      <c r="E123" s="32">
        <v>3186324.0</v>
      </c>
      <c r="F123" s="32">
        <v>8105130.0</v>
      </c>
      <c r="G123" s="32">
        <v>6408190.0</v>
      </c>
      <c r="H123" s="32">
        <v>0.0</v>
      </c>
      <c r="I123" s="32">
        <v>7.939628781E9</v>
      </c>
      <c r="J123" s="32">
        <v>4.32300315E8</v>
      </c>
      <c r="K123" s="32">
        <v>19575.0</v>
      </c>
      <c r="L123" s="31" t="s">
        <v>66</v>
      </c>
      <c r="M123" s="31">
        <v>25.0</v>
      </c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</row>
    <row r="124" ht="21.0" customHeight="1">
      <c r="A124" s="31">
        <v>1.75551858E8</v>
      </c>
      <c r="B124" s="31" t="s">
        <v>496</v>
      </c>
      <c r="C124" s="32">
        <v>4.7258551E7</v>
      </c>
      <c r="D124" s="32">
        <v>5.0615883E7</v>
      </c>
      <c r="E124" s="32">
        <v>3419733.0</v>
      </c>
      <c r="F124" s="32">
        <v>3984033.0</v>
      </c>
      <c r="G124" s="32">
        <v>485746.0</v>
      </c>
      <c r="H124" s="32">
        <v>0.0</v>
      </c>
      <c r="I124" s="32">
        <v>5.671537187E9</v>
      </c>
      <c r="J124" s="32">
        <v>4.73084529E8</v>
      </c>
      <c r="K124" s="32">
        <v>10233.0</v>
      </c>
      <c r="L124" s="31" t="s">
        <v>641</v>
      </c>
      <c r="M124" s="31">
        <v>25.0</v>
      </c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</row>
    <row r="125" ht="21.0" customHeight="1">
      <c r="A125" s="31">
        <v>1.24796617E8</v>
      </c>
      <c r="B125" s="31" t="s">
        <v>660</v>
      </c>
      <c r="C125" s="32">
        <v>4.7084867E7</v>
      </c>
      <c r="D125" s="32">
        <v>7.5493885E7</v>
      </c>
      <c r="E125" s="32">
        <v>9639950.0</v>
      </c>
      <c r="F125" s="32">
        <v>2285044.0</v>
      </c>
      <c r="G125" s="32">
        <v>2410509.0</v>
      </c>
      <c r="H125" s="32">
        <v>0.0</v>
      </c>
      <c r="I125" s="32">
        <v>1.4715830655E10</v>
      </c>
      <c r="J125" s="32">
        <v>1.786394635E9</v>
      </c>
      <c r="K125" s="32">
        <v>16765.0</v>
      </c>
      <c r="L125" s="31" t="s">
        <v>34</v>
      </c>
      <c r="M125" s="31">
        <v>25.0</v>
      </c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</row>
    <row r="126" ht="21.0" customHeight="1">
      <c r="A126" s="31">
        <v>1.44100838E8</v>
      </c>
      <c r="B126" s="31" t="s">
        <v>542</v>
      </c>
      <c r="C126" s="32">
        <v>4.6984008E7</v>
      </c>
      <c r="D126" s="32">
        <v>1.9092022E7</v>
      </c>
      <c r="E126" s="32">
        <v>7812774.0</v>
      </c>
      <c r="F126" s="32">
        <v>640246.0</v>
      </c>
      <c r="G126" s="32">
        <v>367283.0</v>
      </c>
      <c r="H126" s="32">
        <v>0.0</v>
      </c>
      <c r="I126" s="32">
        <v>7.482828678E9</v>
      </c>
      <c r="J126" s="32">
        <v>4391597.0</v>
      </c>
      <c r="K126" s="32">
        <v>854.0</v>
      </c>
      <c r="L126" s="31" t="s">
        <v>264</v>
      </c>
      <c r="M126" s="31">
        <v>25.0</v>
      </c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</row>
    <row r="127" ht="21.0" customHeight="1">
      <c r="A127" s="31">
        <v>1.66234202E8</v>
      </c>
      <c r="B127" s="31" t="s">
        <v>135</v>
      </c>
      <c r="C127" s="32">
        <v>4.6619605E7</v>
      </c>
      <c r="D127" s="32">
        <v>2.81505217E8</v>
      </c>
      <c r="E127" s="32">
        <v>4381426.0</v>
      </c>
      <c r="F127" s="32">
        <v>1.370718E7</v>
      </c>
      <c r="G127" s="32">
        <v>5993859.0</v>
      </c>
      <c r="H127" s="32">
        <v>0.0</v>
      </c>
      <c r="I127" s="32">
        <v>1.0854485542E10</v>
      </c>
      <c r="J127" s="32">
        <v>1.48881707E9</v>
      </c>
      <c r="K127" s="32">
        <v>33109.0</v>
      </c>
      <c r="L127" s="31" t="s">
        <v>34</v>
      </c>
      <c r="M127" s="31">
        <v>25.0</v>
      </c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</row>
    <row r="128" ht="21.0" customHeight="1">
      <c r="A128" s="31">
        <v>1.71858863E8</v>
      </c>
      <c r="B128" s="31" t="s">
        <v>120</v>
      </c>
      <c r="C128" s="32">
        <v>4.6613535E7</v>
      </c>
      <c r="D128" s="32">
        <v>4.3889116E7</v>
      </c>
      <c r="E128" s="32">
        <v>4374063.0</v>
      </c>
      <c r="F128" s="32">
        <v>804984.0</v>
      </c>
      <c r="G128" s="32">
        <v>1773426.0</v>
      </c>
      <c r="H128" s="32">
        <v>0.0</v>
      </c>
      <c r="I128" s="32">
        <v>6.21152133E9</v>
      </c>
      <c r="J128" s="32">
        <v>4.740462E8</v>
      </c>
      <c r="K128" s="32">
        <v>7801.0</v>
      </c>
      <c r="L128" s="31" t="s">
        <v>34</v>
      </c>
      <c r="M128" s="31">
        <v>25.0</v>
      </c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</row>
    <row r="129" ht="21.0" customHeight="1">
      <c r="A129" s="31">
        <v>1.56007436E8</v>
      </c>
      <c r="B129" s="31" t="s">
        <v>413</v>
      </c>
      <c r="C129" s="32">
        <v>4.6462093E7</v>
      </c>
      <c r="D129" s="32">
        <v>1.48464932E8</v>
      </c>
      <c r="E129" s="32">
        <v>8944321.0</v>
      </c>
      <c r="F129" s="32">
        <v>4923948.0</v>
      </c>
      <c r="G129" s="32">
        <v>4886779.0</v>
      </c>
      <c r="H129" s="32">
        <v>0.0</v>
      </c>
      <c r="I129" s="32">
        <v>1.017522906E10</v>
      </c>
      <c r="J129" s="32">
        <v>1.339131292E9</v>
      </c>
      <c r="K129" s="32">
        <v>11463.0</v>
      </c>
      <c r="L129" s="31" t="s">
        <v>34</v>
      </c>
      <c r="M129" s="31">
        <v>25.0</v>
      </c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</row>
    <row r="130" ht="21.0" customHeight="1">
      <c r="A130" s="31">
        <v>1.69420296E8</v>
      </c>
      <c r="B130" s="31" t="s">
        <v>136</v>
      </c>
      <c r="C130" s="32">
        <v>4.5992459E7</v>
      </c>
      <c r="D130" s="32">
        <v>1.5617538E8</v>
      </c>
      <c r="E130" s="32">
        <v>5880966.0</v>
      </c>
      <c r="F130" s="32">
        <v>4420692.0</v>
      </c>
      <c r="G130" s="32">
        <v>5578564.0</v>
      </c>
      <c r="H130" s="32">
        <v>0.0</v>
      </c>
      <c r="I130" s="32">
        <v>1.2587937825E10</v>
      </c>
      <c r="J130" s="32">
        <v>1.51432131E8</v>
      </c>
      <c r="K130" s="32">
        <v>31300.0</v>
      </c>
      <c r="L130" s="31" t="s">
        <v>34</v>
      </c>
      <c r="M130" s="31">
        <v>25.0</v>
      </c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</row>
    <row r="131" ht="21.0" customHeight="1">
      <c r="A131" s="31">
        <v>1.45033056E8</v>
      </c>
      <c r="B131" s="31" t="s">
        <v>450</v>
      </c>
      <c r="C131" s="32">
        <v>4.5747476E7</v>
      </c>
      <c r="D131" s="32">
        <v>4.25849363E8</v>
      </c>
      <c r="E131" s="32">
        <v>1.1934623E7</v>
      </c>
      <c r="F131" s="32">
        <v>1.5994535E7</v>
      </c>
      <c r="G131" s="32">
        <v>1.3072938E7</v>
      </c>
      <c r="H131" s="32">
        <v>0.0</v>
      </c>
      <c r="I131" s="32">
        <v>1.2756989811E10</v>
      </c>
      <c r="J131" s="32">
        <v>6.79379776E8</v>
      </c>
      <c r="K131" s="32">
        <v>30332.0</v>
      </c>
      <c r="L131" s="31" t="s">
        <v>34</v>
      </c>
      <c r="M131" s="31">
        <v>25.0</v>
      </c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</row>
    <row r="132" ht="21.0" customHeight="1">
      <c r="A132" s="31">
        <v>1.72015122E8</v>
      </c>
      <c r="B132" s="31" t="s">
        <v>419</v>
      </c>
      <c r="C132" s="32">
        <v>4.5637981E7</v>
      </c>
      <c r="D132" s="32">
        <v>6.4427977E7</v>
      </c>
      <c r="E132" s="32">
        <v>4133446.0</v>
      </c>
      <c r="F132" s="32">
        <v>4038854.0</v>
      </c>
      <c r="G132" s="32">
        <v>1067852.0</v>
      </c>
      <c r="H132" s="32">
        <v>0.0</v>
      </c>
      <c r="I132" s="32">
        <v>6.18224051E9</v>
      </c>
      <c r="J132" s="32">
        <v>2.255803635E9</v>
      </c>
      <c r="K132" s="32">
        <v>13929.0</v>
      </c>
      <c r="L132" s="31" t="s">
        <v>641</v>
      </c>
      <c r="M132" s="31">
        <v>25.0</v>
      </c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</row>
    <row r="133" ht="21.0" customHeight="1">
      <c r="A133" s="31">
        <v>1.44064126E8</v>
      </c>
      <c r="B133" s="31" t="s">
        <v>416</v>
      </c>
      <c r="C133" s="32">
        <v>4.5451815E7</v>
      </c>
      <c r="D133" s="32">
        <v>3.06798109E8</v>
      </c>
      <c r="E133" s="32">
        <v>8224371.0</v>
      </c>
      <c r="F133" s="32">
        <v>1.6979703E7</v>
      </c>
      <c r="G133" s="32">
        <v>5142895.0</v>
      </c>
      <c r="H133" s="32">
        <v>0.0</v>
      </c>
      <c r="I133" s="32">
        <v>9.010645267E9</v>
      </c>
      <c r="J133" s="32">
        <v>4.867183E7</v>
      </c>
      <c r="K133" s="32">
        <v>13846.0</v>
      </c>
      <c r="L133" s="31" t="s">
        <v>66</v>
      </c>
      <c r="M133" s="31">
        <v>25.0</v>
      </c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</row>
    <row r="134" ht="21.0" customHeight="1">
      <c r="A134" s="31">
        <v>1.70028719E8</v>
      </c>
      <c r="B134" s="31" t="s">
        <v>452</v>
      </c>
      <c r="C134" s="32">
        <v>4.530209E7</v>
      </c>
      <c r="D134" s="32">
        <v>1.12951945E8</v>
      </c>
      <c r="E134" s="32">
        <v>2509868.0</v>
      </c>
      <c r="F134" s="32">
        <v>4863608.0</v>
      </c>
      <c r="G134" s="32">
        <v>2788554.0</v>
      </c>
      <c r="H134" s="32">
        <v>0.0</v>
      </c>
      <c r="I134" s="32">
        <v>5.669795599E9</v>
      </c>
      <c r="J134" s="32">
        <v>3.939143277E9</v>
      </c>
      <c r="K134" s="32">
        <v>40184.0</v>
      </c>
      <c r="L134" s="31" t="s">
        <v>34</v>
      </c>
      <c r="M134" s="31">
        <v>25.0</v>
      </c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</row>
    <row r="135" ht="21.0" customHeight="1">
      <c r="A135" s="31">
        <v>1.59857111E8</v>
      </c>
      <c r="B135" s="31" t="s">
        <v>597</v>
      </c>
      <c r="C135" s="32">
        <v>4.5033145E7</v>
      </c>
      <c r="D135" s="32">
        <v>4.61488335E8</v>
      </c>
      <c r="E135" s="32">
        <v>3125000.0</v>
      </c>
      <c r="F135" s="32">
        <v>3.5649558E7</v>
      </c>
      <c r="G135" s="32">
        <v>4682616.0</v>
      </c>
      <c r="H135" s="32">
        <v>0.0</v>
      </c>
      <c r="I135" s="32">
        <v>7.842235144E9</v>
      </c>
      <c r="J135" s="32">
        <v>3.330520456E9</v>
      </c>
      <c r="K135" s="32">
        <v>37110.0</v>
      </c>
      <c r="L135" s="31" t="s">
        <v>34</v>
      </c>
      <c r="M135" s="31">
        <v>25.0</v>
      </c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</row>
    <row r="136" ht="21.0" customHeight="1">
      <c r="A136" s="31">
        <v>1.68025153E8</v>
      </c>
      <c r="B136" s="31" t="s">
        <v>146</v>
      </c>
      <c r="C136" s="32">
        <v>4.4594304E7</v>
      </c>
      <c r="D136" s="32">
        <v>2.8188141E7</v>
      </c>
      <c r="E136" s="32">
        <v>1667579.0</v>
      </c>
      <c r="F136" s="32">
        <v>748668.0</v>
      </c>
      <c r="G136" s="32">
        <v>1032023.0</v>
      </c>
      <c r="H136" s="32">
        <v>0.0</v>
      </c>
      <c r="I136" s="32">
        <v>3.766264713E9</v>
      </c>
      <c r="J136" s="32">
        <v>2.679142711E9</v>
      </c>
      <c r="K136" s="32">
        <v>4493.0</v>
      </c>
      <c r="L136" s="31" t="s">
        <v>34</v>
      </c>
      <c r="M136" s="31">
        <v>25.0</v>
      </c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</row>
    <row r="137" ht="21.0" customHeight="1">
      <c r="A137" s="31">
        <v>1.45963961E8</v>
      </c>
      <c r="B137" s="31" t="s">
        <v>661</v>
      </c>
      <c r="C137" s="32">
        <v>4.41597E7</v>
      </c>
      <c r="D137" s="32">
        <v>6.8428901E7</v>
      </c>
      <c r="E137" s="32">
        <v>5378220.0</v>
      </c>
      <c r="F137" s="32">
        <v>2172042.0</v>
      </c>
      <c r="G137" s="32">
        <v>2313327.0</v>
      </c>
      <c r="H137" s="32">
        <v>0.0</v>
      </c>
      <c r="I137" s="32">
        <v>1.0905456975E10</v>
      </c>
      <c r="J137" s="32">
        <v>5.787615116E9</v>
      </c>
      <c r="K137" s="32">
        <v>15012.0</v>
      </c>
      <c r="L137" s="31" t="s">
        <v>66</v>
      </c>
      <c r="M137" s="31">
        <v>25.0</v>
      </c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</row>
    <row r="138" ht="21.0" customHeight="1">
      <c r="A138" s="31">
        <v>1.44043573E8</v>
      </c>
      <c r="B138" s="31" t="s">
        <v>539</v>
      </c>
      <c r="C138" s="32">
        <v>4.3323518E7</v>
      </c>
      <c r="D138" s="32">
        <v>3.072416E7</v>
      </c>
      <c r="E138" s="32">
        <v>1.31487E7</v>
      </c>
      <c r="F138" s="32">
        <v>655119.0</v>
      </c>
      <c r="G138" s="32">
        <v>1189322.0</v>
      </c>
      <c r="H138" s="32">
        <v>0.0</v>
      </c>
      <c r="I138" s="32">
        <v>3.701491056E9</v>
      </c>
      <c r="J138" s="32">
        <v>1.2E7</v>
      </c>
      <c r="K138" s="32">
        <v>18729.0</v>
      </c>
      <c r="L138" s="31" t="s">
        <v>662</v>
      </c>
      <c r="M138" s="31">
        <v>25.0</v>
      </c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</row>
    <row r="139" ht="21.0" customHeight="1">
      <c r="A139" s="31">
        <v>1.45023737E8</v>
      </c>
      <c r="B139" s="31" t="s">
        <v>598</v>
      </c>
      <c r="C139" s="32">
        <v>4.2607756E7</v>
      </c>
      <c r="D139" s="32">
        <v>1.51987441E8</v>
      </c>
      <c r="E139" s="32">
        <v>2299396.0</v>
      </c>
      <c r="F139" s="32">
        <v>1.0377546E7</v>
      </c>
      <c r="G139" s="32">
        <v>2074755.0</v>
      </c>
      <c r="H139" s="32">
        <v>0.0</v>
      </c>
      <c r="I139" s="32">
        <v>6.829369914E9</v>
      </c>
      <c r="J139" s="32">
        <v>6.32631519E8</v>
      </c>
      <c r="K139" s="32">
        <v>24343.0</v>
      </c>
      <c r="L139" s="31" t="s">
        <v>34</v>
      </c>
      <c r="M139" s="31">
        <v>25.0</v>
      </c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</row>
    <row r="140" ht="21.0" customHeight="1">
      <c r="A140" s="31">
        <v>8.8110635E7</v>
      </c>
      <c r="B140" s="31" t="s">
        <v>149</v>
      </c>
      <c r="C140" s="32">
        <v>4.2473114E7</v>
      </c>
      <c r="D140" s="32">
        <v>3.2914363E7</v>
      </c>
      <c r="E140" s="32">
        <v>6350415.0</v>
      </c>
      <c r="F140" s="32">
        <v>669685.0</v>
      </c>
      <c r="G140" s="32">
        <v>1273092.0</v>
      </c>
      <c r="H140" s="32">
        <v>0.0</v>
      </c>
      <c r="I140" s="32">
        <v>8.989962291E9</v>
      </c>
      <c r="J140" s="32">
        <v>1.05797584E8</v>
      </c>
      <c r="K140" s="32">
        <v>13032.0</v>
      </c>
      <c r="L140" s="31" t="s">
        <v>663</v>
      </c>
      <c r="M140" s="31">
        <v>25.0</v>
      </c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</row>
    <row r="141" ht="21.0" customHeight="1">
      <c r="A141" s="31">
        <v>1.67701301E8</v>
      </c>
      <c r="B141" s="31" t="s">
        <v>664</v>
      </c>
      <c r="C141" s="32">
        <v>4.2351315E7</v>
      </c>
      <c r="D141" s="32">
        <v>2.9337915E7</v>
      </c>
      <c r="E141" s="32">
        <v>4290370.0</v>
      </c>
      <c r="F141" s="32">
        <v>949421.0</v>
      </c>
      <c r="G141" s="32">
        <v>852699.0</v>
      </c>
      <c r="H141" s="32">
        <v>0.0</v>
      </c>
      <c r="I141" s="32">
        <v>4.24857623E9</v>
      </c>
      <c r="J141" s="32">
        <v>4.81686888E8</v>
      </c>
      <c r="K141" s="32">
        <v>13225.0</v>
      </c>
      <c r="L141" s="31" t="s">
        <v>165</v>
      </c>
      <c r="M141" s="31">
        <v>25.0</v>
      </c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</row>
    <row r="142" ht="21.0" customHeight="1">
      <c r="A142" s="31">
        <v>1.6901814E8</v>
      </c>
      <c r="B142" s="31" t="s">
        <v>137</v>
      </c>
      <c r="C142" s="32">
        <v>4.2309626E7</v>
      </c>
      <c r="D142" s="32">
        <v>1.28842232E8</v>
      </c>
      <c r="E142" s="32">
        <v>3669963.0</v>
      </c>
      <c r="F142" s="32">
        <v>4982022.0</v>
      </c>
      <c r="G142" s="32">
        <v>3906170.0</v>
      </c>
      <c r="H142" s="32">
        <v>0.0</v>
      </c>
      <c r="I142" s="32">
        <v>1.1106047817E10</v>
      </c>
      <c r="J142" s="32">
        <v>3.028374367E9</v>
      </c>
      <c r="K142" s="32">
        <v>30770.0</v>
      </c>
      <c r="L142" s="31" t="s">
        <v>34</v>
      </c>
      <c r="M142" s="31">
        <v>25.0</v>
      </c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</row>
    <row r="143" ht="21.0" customHeight="1">
      <c r="A143" s="31">
        <v>1.68091444E8</v>
      </c>
      <c r="B143" s="31" t="s">
        <v>596</v>
      </c>
      <c r="C143" s="32">
        <v>4.2101186E7</v>
      </c>
      <c r="D143" s="32">
        <v>1.10543164E8</v>
      </c>
      <c r="E143" s="32">
        <v>7197561.0</v>
      </c>
      <c r="F143" s="32">
        <v>5576253.0</v>
      </c>
      <c r="G143" s="32">
        <v>2675602.0</v>
      </c>
      <c r="H143" s="32">
        <v>0.0</v>
      </c>
      <c r="I143" s="32">
        <v>5.920655188E9</v>
      </c>
      <c r="J143" s="32">
        <v>2.10144414E8</v>
      </c>
      <c r="K143" s="32">
        <v>37586.0</v>
      </c>
      <c r="L143" s="31" t="s">
        <v>34</v>
      </c>
      <c r="M143" s="31">
        <v>25.0</v>
      </c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</row>
    <row r="144" ht="21.0" customHeight="1">
      <c r="A144" s="31">
        <v>1.77187021E8</v>
      </c>
      <c r="B144" s="31" t="s">
        <v>418</v>
      </c>
      <c r="C144" s="32">
        <v>4.1541429E7</v>
      </c>
      <c r="D144" s="32">
        <v>9.5562426E7</v>
      </c>
      <c r="E144" s="32">
        <v>6585804.0</v>
      </c>
      <c r="F144" s="32">
        <v>2654389.0</v>
      </c>
      <c r="G144" s="32">
        <v>3429914.0</v>
      </c>
      <c r="H144" s="32">
        <v>0.0</v>
      </c>
      <c r="I144" s="32">
        <v>8.137331815E9</v>
      </c>
      <c r="J144" s="32">
        <v>6.18430819E8</v>
      </c>
      <c r="K144" s="32">
        <v>23529.0</v>
      </c>
      <c r="L144" s="31" t="s">
        <v>34</v>
      </c>
      <c r="M144" s="31">
        <v>25.0</v>
      </c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</row>
    <row r="145" ht="21.0" customHeight="1">
      <c r="A145" s="31">
        <v>1.63138873E8</v>
      </c>
      <c r="B145" s="31" t="s">
        <v>410</v>
      </c>
      <c r="C145" s="32">
        <v>4.1474549E7</v>
      </c>
      <c r="D145" s="32">
        <v>1.07164067E8</v>
      </c>
      <c r="E145" s="32">
        <v>8459581.0</v>
      </c>
      <c r="F145" s="32">
        <v>5453337.0</v>
      </c>
      <c r="G145" s="32">
        <v>2525929.0</v>
      </c>
      <c r="H145" s="32">
        <v>0.0</v>
      </c>
      <c r="I145" s="32">
        <v>3.769476989E9</v>
      </c>
      <c r="J145" s="32">
        <v>3.15042356E8</v>
      </c>
      <c r="K145" s="32">
        <v>17438.0</v>
      </c>
      <c r="L145" s="31" t="s">
        <v>34</v>
      </c>
      <c r="M145" s="31">
        <v>25.0</v>
      </c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</row>
    <row r="146" ht="21.0" customHeight="1">
      <c r="A146" s="31">
        <v>1.69953509E8</v>
      </c>
      <c r="B146" s="31" t="s">
        <v>415</v>
      </c>
      <c r="C146" s="32">
        <v>4.1420549E7</v>
      </c>
      <c r="D146" s="32">
        <v>2.06909083E8</v>
      </c>
      <c r="E146" s="32">
        <v>5467687.0</v>
      </c>
      <c r="F146" s="32">
        <v>6690287.0</v>
      </c>
      <c r="G146" s="32">
        <v>6068559.0</v>
      </c>
      <c r="H146" s="32">
        <v>0.0</v>
      </c>
      <c r="I146" s="32">
        <v>8.309448839E9</v>
      </c>
      <c r="J146" s="32">
        <v>1.574309821E9</v>
      </c>
      <c r="K146" s="32">
        <v>19679.0</v>
      </c>
      <c r="L146" s="31" t="s">
        <v>34</v>
      </c>
      <c r="M146" s="31">
        <v>25.0</v>
      </c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</row>
    <row r="147" ht="21.0" customHeight="1">
      <c r="A147" s="31">
        <v>1.45948216E8</v>
      </c>
      <c r="B147" s="31" t="s">
        <v>167</v>
      </c>
      <c r="C147" s="32">
        <v>4.0647519E7</v>
      </c>
      <c r="D147" s="32">
        <v>4.7792707E7</v>
      </c>
      <c r="E147" s="32">
        <v>4207713.0</v>
      </c>
      <c r="F147" s="32">
        <v>1157303.0</v>
      </c>
      <c r="G147" s="32">
        <v>1800170.0</v>
      </c>
      <c r="H147" s="32">
        <v>0.0</v>
      </c>
      <c r="I147" s="32">
        <v>9.579541275E9</v>
      </c>
      <c r="J147" s="32">
        <v>4.85392242E9</v>
      </c>
      <c r="K147" s="32">
        <v>10044.0</v>
      </c>
      <c r="L147" s="31" t="s">
        <v>66</v>
      </c>
      <c r="M147" s="31">
        <v>25.0</v>
      </c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</row>
    <row r="148" ht="21.0" customHeight="1">
      <c r="A148" s="31">
        <v>1.76044158E8</v>
      </c>
      <c r="B148" s="31" t="s">
        <v>139</v>
      </c>
      <c r="C148" s="32">
        <v>4.0551908E7</v>
      </c>
      <c r="D148" s="32">
        <v>7.1273563E7</v>
      </c>
      <c r="E148" s="32">
        <v>3361151.0</v>
      </c>
      <c r="F148" s="32">
        <v>2198964.0</v>
      </c>
      <c r="G148" s="32">
        <v>2445105.0</v>
      </c>
      <c r="H148" s="32">
        <v>0.0</v>
      </c>
      <c r="I148" s="32">
        <v>1.5320459699E10</v>
      </c>
      <c r="J148" s="32">
        <v>4.124536539E9</v>
      </c>
      <c r="K148" s="32">
        <v>12916.0</v>
      </c>
      <c r="L148" s="31" t="s">
        <v>34</v>
      </c>
      <c r="M148" s="31">
        <v>25.0</v>
      </c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</row>
    <row r="149" ht="21.0" customHeight="1">
      <c r="A149" s="31">
        <v>1.58817223E8</v>
      </c>
      <c r="B149" s="31" t="s">
        <v>538</v>
      </c>
      <c r="C149" s="32">
        <v>4.0355252E7</v>
      </c>
      <c r="D149" s="32">
        <v>2.19166076E8</v>
      </c>
      <c r="E149" s="32">
        <v>7114771.0</v>
      </c>
      <c r="F149" s="32">
        <v>8811147.0</v>
      </c>
      <c r="G149" s="32">
        <v>5973547.0</v>
      </c>
      <c r="H149" s="32">
        <v>0.0</v>
      </c>
      <c r="I149" s="32">
        <v>6.009288128E9</v>
      </c>
      <c r="J149" s="32">
        <v>4.495334922E9</v>
      </c>
      <c r="K149" s="32">
        <v>35092.0</v>
      </c>
      <c r="L149" s="31" t="s">
        <v>34</v>
      </c>
      <c r="M149" s="31">
        <v>25.0</v>
      </c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</row>
    <row r="150" ht="21.0" customHeight="1">
      <c r="A150" s="31">
        <v>1.49858952E8</v>
      </c>
      <c r="B150" s="31" t="s">
        <v>665</v>
      </c>
      <c r="C150" s="32">
        <v>4.0283251E7</v>
      </c>
      <c r="D150" s="32">
        <v>4.1713825E7</v>
      </c>
      <c r="E150" s="32">
        <v>4930806.0</v>
      </c>
      <c r="F150" s="32">
        <v>1051618.0</v>
      </c>
      <c r="G150" s="32">
        <v>1558618.0</v>
      </c>
      <c r="H150" s="32">
        <v>0.0</v>
      </c>
      <c r="I150" s="32">
        <v>9.867399959E9</v>
      </c>
      <c r="J150" s="32">
        <v>5.153158138E9</v>
      </c>
      <c r="K150" s="32">
        <v>10006.0</v>
      </c>
      <c r="L150" s="31" t="s">
        <v>66</v>
      </c>
      <c r="M150" s="31">
        <v>25.0</v>
      </c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</row>
    <row r="151" ht="21.0" customHeight="1">
      <c r="A151" s="31">
        <v>1.60258193E8</v>
      </c>
      <c r="B151" s="31" t="s">
        <v>145</v>
      </c>
      <c r="C151" s="32">
        <v>4.0090027E7</v>
      </c>
      <c r="D151" s="32">
        <v>3.4933789E7</v>
      </c>
      <c r="E151" s="32">
        <v>2440418.0</v>
      </c>
      <c r="F151" s="32">
        <v>1949661.0</v>
      </c>
      <c r="G151" s="32">
        <v>638195.0</v>
      </c>
      <c r="H151" s="32">
        <v>0.0</v>
      </c>
      <c r="I151" s="32">
        <v>5.707948911E9</v>
      </c>
      <c r="J151" s="32">
        <v>2.02458482E8</v>
      </c>
      <c r="K151" s="32">
        <v>22473.0</v>
      </c>
      <c r="L151" s="31" t="s">
        <v>636</v>
      </c>
      <c r="M151" s="31">
        <v>25.0</v>
      </c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</row>
    <row r="152" ht="21.0" customHeight="1">
      <c r="A152" s="31">
        <v>1.18148996E8</v>
      </c>
      <c r="B152" s="31" t="s">
        <v>666</v>
      </c>
      <c r="C152" s="32">
        <v>3.963818E7</v>
      </c>
      <c r="D152" s="32">
        <v>1.31377761E8</v>
      </c>
      <c r="E152" s="32">
        <v>4159050.0</v>
      </c>
      <c r="F152" s="32">
        <v>8574861.0</v>
      </c>
      <c r="G152" s="32">
        <v>1907623.0</v>
      </c>
      <c r="H152" s="32">
        <v>0.0</v>
      </c>
      <c r="I152" s="32">
        <v>5.729864141E9</v>
      </c>
      <c r="J152" s="32">
        <v>2.3619151E8</v>
      </c>
      <c r="K152" s="32">
        <v>11465.0</v>
      </c>
      <c r="L152" s="31" t="s">
        <v>66</v>
      </c>
      <c r="M152" s="31">
        <v>25.0</v>
      </c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</row>
    <row r="153" ht="21.0" customHeight="1">
      <c r="A153" s="31">
        <v>1.4361245E8</v>
      </c>
      <c r="B153" s="31" t="s">
        <v>144</v>
      </c>
      <c r="C153" s="32">
        <v>3.9424666E7</v>
      </c>
      <c r="D153" s="32">
        <v>4.85592936E8</v>
      </c>
      <c r="E153" s="32">
        <v>4373200.0</v>
      </c>
      <c r="F153" s="32">
        <v>2.8397404E7</v>
      </c>
      <c r="G153" s="32">
        <v>9482628.0</v>
      </c>
      <c r="H153" s="32">
        <v>0.0</v>
      </c>
      <c r="I153" s="32">
        <v>9.22850128E9</v>
      </c>
      <c r="J153" s="32">
        <v>7.127586033E9</v>
      </c>
      <c r="K153" s="32">
        <v>31270.0</v>
      </c>
      <c r="L153" s="31" t="s">
        <v>34</v>
      </c>
      <c r="M153" s="31">
        <v>25.0</v>
      </c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</row>
    <row r="154" ht="21.0" customHeight="1">
      <c r="A154" s="31">
        <v>1.44065871E8</v>
      </c>
      <c r="B154" s="31" t="s">
        <v>543</v>
      </c>
      <c r="C154" s="32">
        <v>3.9339474E7</v>
      </c>
      <c r="D154" s="32">
        <v>2.6555915E7</v>
      </c>
      <c r="E154" s="32">
        <v>6675617.0</v>
      </c>
      <c r="F154" s="32">
        <v>682968.0</v>
      </c>
      <c r="G154" s="32">
        <v>420826.0</v>
      </c>
      <c r="H154" s="32">
        <v>0.0</v>
      </c>
      <c r="I154" s="32">
        <v>7.006294434E9</v>
      </c>
      <c r="J154" s="32">
        <v>2.597877319E9</v>
      </c>
      <c r="K154" s="32">
        <v>4353.0</v>
      </c>
      <c r="L154" s="31" t="s">
        <v>165</v>
      </c>
      <c r="M154" s="31">
        <v>25.0</v>
      </c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</row>
    <row r="155" ht="21.0" customHeight="1">
      <c r="A155" s="31">
        <v>1.72008118E8</v>
      </c>
      <c r="B155" s="31" t="s">
        <v>453</v>
      </c>
      <c r="C155" s="32">
        <v>3.9222109E7</v>
      </c>
      <c r="D155" s="32">
        <v>3.7403711E7</v>
      </c>
      <c r="E155" s="32">
        <v>4591447.0</v>
      </c>
      <c r="F155" s="32">
        <v>1153831.0</v>
      </c>
      <c r="G155" s="32">
        <v>1274367.0</v>
      </c>
      <c r="H155" s="32">
        <v>0.0</v>
      </c>
      <c r="I155" s="32">
        <v>7.428434071E9</v>
      </c>
      <c r="J155" s="32">
        <v>1.40113413E8</v>
      </c>
      <c r="K155" s="32">
        <v>7299.0</v>
      </c>
      <c r="L155" s="31" t="s">
        <v>34</v>
      </c>
      <c r="M155" s="31">
        <v>25.0</v>
      </c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</row>
    <row r="156" ht="21.0" customHeight="1">
      <c r="A156" s="31">
        <v>1.45815623E8</v>
      </c>
      <c r="B156" s="31" t="s">
        <v>667</v>
      </c>
      <c r="C156" s="32">
        <v>3.8945671E7</v>
      </c>
      <c r="D156" s="32">
        <v>7325564.0</v>
      </c>
      <c r="E156" s="32">
        <v>282018.0</v>
      </c>
      <c r="F156" s="32">
        <v>84077.0</v>
      </c>
      <c r="G156" s="32">
        <v>324136.0</v>
      </c>
      <c r="H156" s="32">
        <v>0.0</v>
      </c>
      <c r="I156" s="32">
        <v>5.072865131E9</v>
      </c>
      <c r="J156" s="32">
        <v>2.991485893E9</v>
      </c>
      <c r="K156" s="32">
        <v>4827.0</v>
      </c>
      <c r="L156" s="31" t="s">
        <v>34</v>
      </c>
      <c r="M156" s="31">
        <v>25.0</v>
      </c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</row>
    <row r="157" ht="21.0" customHeight="1">
      <c r="A157" s="31">
        <v>6.5948574E7</v>
      </c>
      <c r="B157" s="31" t="s">
        <v>157</v>
      </c>
      <c r="C157" s="32">
        <v>3.8623469E7</v>
      </c>
      <c r="D157" s="32">
        <v>1.20659684E8</v>
      </c>
      <c r="E157" s="32">
        <v>9260286.0</v>
      </c>
      <c r="F157" s="32">
        <v>4989082.0</v>
      </c>
      <c r="G157" s="32">
        <v>3397796.0</v>
      </c>
      <c r="H157" s="32">
        <v>0.0</v>
      </c>
      <c r="I157" s="32">
        <v>2.1716527345E10</v>
      </c>
      <c r="J157" s="32">
        <v>2.3958373403E10</v>
      </c>
      <c r="K157" s="32">
        <v>21499.0</v>
      </c>
      <c r="L157" s="31" t="s">
        <v>662</v>
      </c>
      <c r="M157" s="31">
        <v>25.0</v>
      </c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</row>
    <row r="158" ht="21.0" customHeight="1">
      <c r="A158" s="31">
        <v>1.71697263E8</v>
      </c>
      <c r="B158" s="31" t="s">
        <v>599</v>
      </c>
      <c r="C158" s="32">
        <v>3.7466067E7</v>
      </c>
      <c r="D158" s="32">
        <v>3.44452274E8</v>
      </c>
      <c r="E158" s="32">
        <v>8179333.0</v>
      </c>
      <c r="F158" s="32">
        <v>1.5709257E7</v>
      </c>
      <c r="G158" s="32">
        <v>9130489.0</v>
      </c>
      <c r="H158" s="32">
        <v>0.0</v>
      </c>
      <c r="I158" s="32">
        <v>4.951056371E9</v>
      </c>
      <c r="J158" s="32">
        <v>5.00143562E8</v>
      </c>
      <c r="K158" s="32">
        <v>38545.0</v>
      </c>
      <c r="L158" s="31" t="s">
        <v>34</v>
      </c>
      <c r="M158" s="31">
        <v>25.0</v>
      </c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</row>
    <row r="159" ht="21.0" customHeight="1">
      <c r="A159" s="31">
        <v>1.71922856E8</v>
      </c>
      <c r="B159" s="31" t="s">
        <v>601</v>
      </c>
      <c r="C159" s="32">
        <v>3.6991123E7</v>
      </c>
      <c r="D159" s="32">
        <v>6.8587648E7</v>
      </c>
      <c r="E159" s="32">
        <v>3429082.0</v>
      </c>
      <c r="F159" s="32">
        <v>2665310.0</v>
      </c>
      <c r="G159" s="32">
        <v>1778374.0</v>
      </c>
      <c r="H159" s="32">
        <v>0.0</v>
      </c>
      <c r="I159" s="32">
        <v>5.10115087E9</v>
      </c>
      <c r="J159" s="32">
        <v>4.66227987E8</v>
      </c>
      <c r="K159" s="32">
        <v>16962.0</v>
      </c>
      <c r="L159" s="31" t="s">
        <v>34</v>
      </c>
      <c r="M159" s="31">
        <v>25.0</v>
      </c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</row>
    <row r="160" ht="21.0" customHeight="1">
      <c r="A160" s="31">
        <v>1.72219261E8</v>
      </c>
      <c r="B160" s="31" t="s">
        <v>185</v>
      </c>
      <c r="C160" s="32">
        <v>3.662766E7</v>
      </c>
      <c r="D160" s="32">
        <v>8271917.0</v>
      </c>
      <c r="E160" s="32">
        <v>1544154.0</v>
      </c>
      <c r="F160" s="32">
        <v>218237.0</v>
      </c>
      <c r="G160" s="32">
        <v>295020.0</v>
      </c>
      <c r="H160" s="32">
        <v>0.0</v>
      </c>
      <c r="I160" s="32">
        <v>4.080244314E9</v>
      </c>
      <c r="J160" s="32">
        <v>2.75E7</v>
      </c>
      <c r="K160" s="32">
        <v>3634.0</v>
      </c>
      <c r="L160" s="31" t="s">
        <v>119</v>
      </c>
      <c r="M160" s="31">
        <v>25.0</v>
      </c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</row>
    <row r="161" ht="21.0" customHeight="1">
      <c r="A161" s="31">
        <v>6.2125268E7</v>
      </c>
      <c r="B161" s="31" t="s">
        <v>544</v>
      </c>
      <c r="C161" s="32">
        <v>3.6359291E7</v>
      </c>
      <c r="D161" s="32">
        <v>1.7848178E7</v>
      </c>
      <c r="E161" s="32">
        <v>5897393.0</v>
      </c>
      <c r="F161" s="32">
        <v>703610.0</v>
      </c>
      <c r="G161" s="32">
        <v>410205.0</v>
      </c>
      <c r="H161" s="32">
        <v>0.0</v>
      </c>
      <c r="I161" s="32">
        <v>3.243234634E9</v>
      </c>
      <c r="J161" s="32">
        <v>8.63338217E8</v>
      </c>
      <c r="K161" s="32">
        <v>3963.0</v>
      </c>
      <c r="L161" s="31" t="s">
        <v>66</v>
      </c>
      <c r="M161" s="31">
        <v>25.0</v>
      </c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</row>
    <row r="162" ht="21.0" customHeight="1">
      <c r="A162" s="31">
        <v>1.48890128E8</v>
      </c>
      <c r="B162" s="31" t="s">
        <v>170</v>
      </c>
      <c r="C162" s="32">
        <v>3.6182638E7</v>
      </c>
      <c r="D162" s="32">
        <v>2.4119532E7</v>
      </c>
      <c r="E162" s="32">
        <v>3321683.0</v>
      </c>
      <c r="F162" s="32">
        <v>1743837.0</v>
      </c>
      <c r="G162" s="32">
        <v>226922.0</v>
      </c>
      <c r="H162" s="32">
        <v>0.0</v>
      </c>
      <c r="I162" s="32">
        <v>8.138076826E9</v>
      </c>
      <c r="J162" s="32">
        <v>4.011433363E9</v>
      </c>
      <c r="K162" s="32">
        <v>6473.0</v>
      </c>
      <c r="L162" s="31" t="s">
        <v>147</v>
      </c>
      <c r="M162" s="31">
        <v>25.0</v>
      </c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</row>
    <row r="163" ht="21.0" customHeight="1">
      <c r="A163" s="31">
        <v>1.72029365E8</v>
      </c>
      <c r="B163" s="31" t="s">
        <v>600</v>
      </c>
      <c r="C163" s="32">
        <v>3.6102662E7</v>
      </c>
      <c r="D163" s="32">
        <v>1.22016779E8</v>
      </c>
      <c r="E163" s="32">
        <v>7851491.0</v>
      </c>
      <c r="F163" s="32">
        <v>3625354.0</v>
      </c>
      <c r="G163" s="32">
        <v>4204304.0</v>
      </c>
      <c r="H163" s="32">
        <v>0.0</v>
      </c>
      <c r="I163" s="32">
        <v>5.508035787E9</v>
      </c>
      <c r="J163" s="32">
        <v>8.69311746E8</v>
      </c>
      <c r="K163" s="32">
        <v>16569.0</v>
      </c>
      <c r="L163" s="31" t="s">
        <v>34</v>
      </c>
      <c r="M163" s="31">
        <v>25.0</v>
      </c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</row>
    <row r="164" ht="21.0" customHeight="1">
      <c r="A164" s="31">
        <v>1.68206434E8</v>
      </c>
      <c r="B164" s="31" t="s">
        <v>454</v>
      </c>
      <c r="C164" s="32">
        <v>3.5934501E7</v>
      </c>
      <c r="D164" s="32">
        <v>1.05950365E8</v>
      </c>
      <c r="E164" s="32">
        <v>6942759.0</v>
      </c>
      <c r="F164" s="32">
        <v>4416375.0</v>
      </c>
      <c r="G164" s="32">
        <v>2831644.0</v>
      </c>
      <c r="H164" s="32">
        <v>0.0</v>
      </c>
      <c r="I164" s="32">
        <v>4.956332318E9</v>
      </c>
      <c r="J164" s="32">
        <v>2.62430913E8</v>
      </c>
      <c r="K164" s="32">
        <v>5869.0</v>
      </c>
      <c r="L164" s="31" t="s">
        <v>34</v>
      </c>
      <c r="M164" s="31">
        <v>25.0</v>
      </c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</row>
    <row r="165" ht="21.0" customHeight="1">
      <c r="A165" s="31">
        <v>1.71985458E8</v>
      </c>
      <c r="B165" s="31" t="s">
        <v>541</v>
      </c>
      <c r="C165" s="32">
        <v>3.5609145E7</v>
      </c>
      <c r="D165" s="32">
        <v>5.5843113E7</v>
      </c>
      <c r="E165" s="32">
        <v>7609339.0</v>
      </c>
      <c r="F165" s="32">
        <v>2022403.0</v>
      </c>
      <c r="G165" s="32">
        <v>1726361.0</v>
      </c>
      <c r="H165" s="32">
        <v>0.0</v>
      </c>
      <c r="I165" s="32">
        <v>2.548219569E9</v>
      </c>
      <c r="J165" s="32">
        <v>5.0386921E7</v>
      </c>
      <c r="K165" s="32">
        <v>8571.0</v>
      </c>
      <c r="L165" s="31" t="s">
        <v>34</v>
      </c>
      <c r="M165" s="31">
        <v>25.0</v>
      </c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</row>
    <row r="166" ht="21.0" customHeight="1">
      <c r="A166" s="31">
        <v>6.6847214E7</v>
      </c>
      <c r="B166" s="31" t="s">
        <v>159</v>
      </c>
      <c r="C166" s="32">
        <v>3.5538379E7</v>
      </c>
      <c r="D166" s="32">
        <v>1.23880311E8</v>
      </c>
      <c r="E166" s="32">
        <v>6875099.0</v>
      </c>
      <c r="F166" s="32">
        <v>3989626.0</v>
      </c>
      <c r="G166" s="32">
        <v>4125666.0</v>
      </c>
      <c r="H166" s="32">
        <v>0.0</v>
      </c>
      <c r="I166" s="32">
        <v>1.1472870927E10</v>
      </c>
      <c r="J166" s="32">
        <v>1.4823720332E10</v>
      </c>
      <c r="K166" s="32">
        <v>8033.0</v>
      </c>
      <c r="L166" s="31" t="s">
        <v>34</v>
      </c>
      <c r="M166" s="31">
        <v>25.0</v>
      </c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</row>
    <row r="167" ht="21.0" customHeight="1">
      <c r="A167" s="31">
        <v>1.71830779E8</v>
      </c>
      <c r="B167" s="31" t="s">
        <v>372</v>
      </c>
      <c r="C167" s="32">
        <v>3.5531301E7</v>
      </c>
      <c r="D167" s="32">
        <v>1.89741265E8</v>
      </c>
      <c r="E167" s="32">
        <v>6012211.0</v>
      </c>
      <c r="F167" s="32">
        <v>1.0646971E7</v>
      </c>
      <c r="G167" s="32">
        <v>4092152.0</v>
      </c>
      <c r="H167" s="32">
        <v>0.0</v>
      </c>
      <c r="I167" s="32">
        <v>6.127792113E9</v>
      </c>
      <c r="J167" s="32">
        <v>5.381506E8</v>
      </c>
      <c r="K167" s="32">
        <v>44256.0</v>
      </c>
      <c r="L167" s="31" t="s">
        <v>34</v>
      </c>
      <c r="M167" s="31">
        <v>25.0</v>
      </c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</row>
    <row r="168" ht="21.0" customHeight="1">
      <c r="A168" s="31">
        <v>1.43328412E8</v>
      </c>
      <c r="B168" s="31" t="s">
        <v>158</v>
      </c>
      <c r="C168" s="32">
        <v>3.5385523E7</v>
      </c>
      <c r="D168" s="32">
        <v>3.24920088E8</v>
      </c>
      <c r="E168" s="32">
        <v>5751734.0</v>
      </c>
      <c r="F168" s="32">
        <v>2.4253096E7</v>
      </c>
      <c r="G168" s="32">
        <v>3145842.0</v>
      </c>
      <c r="H168" s="32">
        <v>0.0</v>
      </c>
      <c r="I168" s="32">
        <v>1.0043113063E10</v>
      </c>
      <c r="J168" s="32">
        <v>8.501035607E9</v>
      </c>
      <c r="K168" s="32">
        <v>29938.0</v>
      </c>
      <c r="L168" s="31" t="s">
        <v>490</v>
      </c>
      <c r="M168" s="31">
        <v>25.0</v>
      </c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</row>
    <row r="169" ht="21.0" customHeight="1">
      <c r="A169" s="31">
        <v>1.71945722E8</v>
      </c>
      <c r="B169" s="31" t="s">
        <v>371</v>
      </c>
      <c r="C169" s="32">
        <v>3.5248046E7</v>
      </c>
      <c r="D169" s="32">
        <v>5.6363233E7</v>
      </c>
      <c r="E169" s="32">
        <v>4437053.0</v>
      </c>
      <c r="F169" s="32">
        <v>2613306.0</v>
      </c>
      <c r="G169" s="32">
        <v>1501669.0</v>
      </c>
      <c r="H169" s="32">
        <v>0.0</v>
      </c>
      <c r="I169" s="32">
        <v>9.943030084E9</v>
      </c>
      <c r="J169" s="32">
        <v>2.82225022E9</v>
      </c>
      <c r="K169" s="32">
        <v>13924.0</v>
      </c>
      <c r="L169" s="31" t="s">
        <v>34</v>
      </c>
      <c r="M169" s="31">
        <v>25.0</v>
      </c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</row>
    <row r="170" ht="21.0" customHeight="1">
      <c r="A170" s="31">
        <v>1.44146696E8</v>
      </c>
      <c r="B170" s="31" t="s">
        <v>668</v>
      </c>
      <c r="C170" s="32">
        <v>3.5083902E7</v>
      </c>
      <c r="D170" s="32">
        <v>7.230732E7</v>
      </c>
      <c r="E170" s="32">
        <v>2866959.0</v>
      </c>
      <c r="F170" s="32">
        <v>4857723.0</v>
      </c>
      <c r="G170" s="32">
        <v>711595.0</v>
      </c>
      <c r="H170" s="32">
        <v>0.0</v>
      </c>
      <c r="I170" s="32">
        <v>3.311269089E9</v>
      </c>
      <c r="J170" s="32">
        <v>6.5357561E7</v>
      </c>
      <c r="K170" s="32">
        <v>21637.0</v>
      </c>
      <c r="L170" s="31" t="s">
        <v>66</v>
      </c>
      <c r="M170" s="31">
        <v>25.0</v>
      </c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</row>
    <row r="171" ht="21.0" customHeight="1">
      <c r="A171" s="31">
        <v>1.44094596E8</v>
      </c>
      <c r="B171" s="31" t="s">
        <v>189</v>
      </c>
      <c r="C171" s="32">
        <v>3.495119E7</v>
      </c>
      <c r="D171" s="32">
        <v>8.2052636E7</v>
      </c>
      <c r="E171" s="32">
        <v>1090613.0</v>
      </c>
      <c r="F171" s="32">
        <v>5091649.0</v>
      </c>
      <c r="G171" s="32">
        <v>1332596.0</v>
      </c>
      <c r="H171" s="32">
        <v>0.0</v>
      </c>
      <c r="I171" s="32">
        <v>5.351225832E9</v>
      </c>
      <c r="J171" s="32">
        <v>1.2391473E7</v>
      </c>
      <c r="K171" s="32">
        <v>9783.0</v>
      </c>
      <c r="L171" s="31" t="s">
        <v>66</v>
      </c>
      <c r="M171" s="31">
        <v>25.0</v>
      </c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</row>
    <row r="172" ht="21.0" customHeight="1">
      <c r="A172" s="31">
        <v>1.44052871E8</v>
      </c>
      <c r="B172" s="31" t="s">
        <v>162</v>
      </c>
      <c r="C172" s="32">
        <v>3.4711879E7</v>
      </c>
      <c r="D172" s="32">
        <v>1.0083773E7</v>
      </c>
      <c r="E172" s="32">
        <v>6827916.0</v>
      </c>
      <c r="F172" s="32">
        <v>380075.0</v>
      </c>
      <c r="G172" s="32">
        <v>185747.0</v>
      </c>
      <c r="H172" s="32">
        <v>0.0</v>
      </c>
      <c r="I172" s="32">
        <v>5.543123467E9</v>
      </c>
      <c r="J172" s="32">
        <v>64161.0</v>
      </c>
      <c r="K172" s="32">
        <v>316.0</v>
      </c>
      <c r="L172" s="31" t="s">
        <v>602</v>
      </c>
      <c r="M172" s="31">
        <v>25.0</v>
      </c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</row>
    <row r="173" ht="21.0" customHeight="1">
      <c r="A173" s="31">
        <v>1.75650426E8</v>
      </c>
      <c r="B173" s="31" t="s">
        <v>154</v>
      </c>
      <c r="C173" s="32">
        <v>3.4547923E7</v>
      </c>
      <c r="D173" s="32">
        <v>1.87103856E8</v>
      </c>
      <c r="E173" s="32">
        <v>6479817.0</v>
      </c>
      <c r="F173" s="32">
        <v>7759420.0</v>
      </c>
      <c r="G173" s="32">
        <v>4677866.0</v>
      </c>
      <c r="H173" s="32">
        <v>0.0</v>
      </c>
      <c r="I173" s="32">
        <v>5.860557791E9</v>
      </c>
      <c r="J173" s="32">
        <v>3.229085086E9</v>
      </c>
      <c r="K173" s="32">
        <v>18884.0</v>
      </c>
      <c r="L173" s="31" t="s">
        <v>34</v>
      </c>
      <c r="M173" s="31">
        <v>25.0</v>
      </c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</row>
    <row r="174" ht="21.0" customHeight="1">
      <c r="A174" s="31">
        <v>1.44104572E8</v>
      </c>
      <c r="B174" s="31" t="s">
        <v>196</v>
      </c>
      <c r="C174" s="32">
        <v>3.288582E7</v>
      </c>
      <c r="D174" s="32">
        <v>2.250594E7</v>
      </c>
      <c r="E174" s="32">
        <v>1451130.0</v>
      </c>
      <c r="F174" s="32">
        <v>1367802.0</v>
      </c>
      <c r="G174" s="32">
        <v>246935.0</v>
      </c>
      <c r="H174" s="32">
        <v>0.0</v>
      </c>
      <c r="I174" s="32">
        <v>2.909886606E9</v>
      </c>
      <c r="J174" s="32">
        <v>3595317.0</v>
      </c>
      <c r="K174" s="32">
        <v>5933.0</v>
      </c>
      <c r="L174" s="31" t="s">
        <v>126</v>
      </c>
      <c r="M174" s="31">
        <v>25.0</v>
      </c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</row>
    <row r="175" ht="21.0" customHeight="1">
      <c r="A175" s="31">
        <v>1.26980864E8</v>
      </c>
      <c r="B175" s="31" t="s">
        <v>603</v>
      </c>
      <c r="C175" s="32">
        <v>3.2506529E7</v>
      </c>
      <c r="D175" s="32">
        <v>1.7819601E7</v>
      </c>
      <c r="E175" s="32">
        <v>5180146.0</v>
      </c>
      <c r="F175" s="32">
        <v>338664.0</v>
      </c>
      <c r="G175" s="32">
        <v>239540.0</v>
      </c>
      <c r="H175" s="32">
        <v>0.0</v>
      </c>
      <c r="I175" s="32">
        <v>1.627859208E9</v>
      </c>
      <c r="J175" s="32">
        <v>9.19840987E8</v>
      </c>
      <c r="K175" s="32">
        <v>2704.0</v>
      </c>
      <c r="L175" s="31" t="s">
        <v>147</v>
      </c>
      <c r="M175" s="31">
        <v>25.0</v>
      </c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</row>
    <row r="176" ht="21.0" customHeight="1">
      <c r="A176" s="31">
        <v>1.50027113E8</v>
      </c>
      <c r="B176" s="31" t="s">
        <v>669</v>
      </c>
      <c r="C176" s="32">
        <v>3.2232792E7</v>
      </c>
      <c r="D176" s="32">
        <v>1.270664E7</v>
      </c>
      <c r="E176" s="32">
        <v>5229619.0</v>
      </c>
      <c r="F176" s="32">
        <v>919773.0</v>
      </c>
      <c r="G176" s="32">
        <v>170844.0</v>
      </c>
      <c r="H176" s="32">
        <v>0.0</v>
      </c>
      <c r="I176" s="32">
        <v>4.204068708E9</v>
      </c>
      <c r="J176" s="32">
        <v>2.605607125E9</v>
      </c>
      <c r="K176" s="32">
        <v>3876.0</v>
      </c>
      <c r="L176" s="31" t="s">
        <v>34</v>
      </c>
      <c r="M176" s="31">
        <v>25.0</v>
      </c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</row>
    <row r="177" ht="21.0" customHeight="1">
      <c r="A177" s="31">
        <v>1.39139149E8</v>
      </c>
      <c r="B177" s="31" t="s">
        <v>172</v>
      </c>
      <c r="C177" s="32">
        <v>3.2211371E7</v>
      </c>
      <c r="D177" s="32">
        <v>3.1879431E8</v>
      </c>
      <c r="E177" s="32">
        <v>4827509.0</v>
      </c>
      <c r="F177" s="32">
        <v>2.1995011E7</v>
      </c>
      <c r="G177" s="32">
        <v>4238285.0</v>
      </c>
      <c r="H177" s="32">
        <v>0.0</v>
      </c>
      <c r="I177" s="32">
        <v>7.579831826E9</v>
      </c>
      <c r="J177" s="32">
        <v>5.98299802E8</v>
      </c>
      <c r="K177" s="32">
        <v>23375.0</v>
      </c>
      <c r="L177" s="31" t="s">
        <v>66</v>
      </c>
      <c r="M177" s="31">
        <v>25.0</v>
      </c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</row>
    <row r="178" ht="21.0" customHeight="1">
      <c r="A178" s="31">
        <v>1.30281353E8</v>
      </c>
      <c r="B178" s="31" t="s">
        <v>670</v>
      </c>
      <c r="C178" s="32">
        <v>3.1975497E7</v>
      </c>
      <c r="D178" s="32">
        <v>1.03037324E8</v>
      </c>
      <c r="E178" s="32">
        <v>6377439.0</v>
      </c>
      <c r="F178" s="32">
        <v>6817090.0</v>
      </c>
      <c r="G178" s="32">
        <v>1055713.0</v>
      </c>
      <c r="H178" s="32">
        <v>0.0</v>
      </c>
      <c r="I178" s="32">
        <v>3.825588843E9</v>
      </c>
      <c r="J178" s="32">
        <v>4.74191108E8</v>
      </c>
      <c r="K178" s="32">
        <v>6753.0</v>
      </c>
      <c r="L178" s="31" t="s">
        <v>34</v>
      </c>
      <c r="M178" s="31">
        <v>25.0</v>
      </c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</row>
    <row r="179" ht="21.0" customHeight="1">
      <c r="A179" s="31">
        <v>1.44059309E8</v>
      </c>
      <c r="B179" s="31" t="s">
        <v>164</v>
      </c>
      <c r="C179" s="32">
        <v>3.1304211E7</v>
      </c>
      <c r="D179" s="32">
        <v>1.6634896E7</v>
      </c>
      <c r="E179" s="32">
        <v>8415939.0</v>
      </c>
      <c r="F179" s="32">
        <v>628313.0</v>
      </c>
      <c r="G179" s="32">
        <v>221249.0</v>
      </c>
      <c r="H179" s="32">
        <v>0.0</v>
      </c>
      <c r="I179" s="32">
        <v>3.913538E9</v>
      </c>
      <c r="J179" s="32">
        <v>719086.0</v>
      </c>
      <c r="K179" s="32">
        <v>2119.0</v>
      </c>
      <c r="L179" s="31" t="s">
        <v>165</v>
      </c>
      <c r="M179" s="31">
        <v>25.0</v>
      </c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</row>
    <row r="180" ht="21.0" customHeight="1">
      <c r="A180" s="31">
        <v>1.44083306E8</v>
      </c>
      <c r="B180" s="31" t="s">
        <v>545</v>
      </c>
      <c r="C180" s="32">
        <v>3.1097597E7</v>
      </c>
      <c r="D180" s="32">
        <v>1.05406418E8</v>
      </c>
      <c r="E180" s="32">
        <v>4487742.0</v>
      </c>
      <c r="F180" s="32">
        <v>4929833.0</v>
      </c>
      <c r="G180" s="32">
        <v>2563445.0</v>
      </c>
      <c r="H180" s="32">
        <v>0.0</v>
      </c>
      <c r="I180" s="32">
        <v>5.819533086E9</v>
      </c>
      <c r="J180" s="32">
        <v>1.47000054E8</v>
      </c>
      <c r="K180" s="32">
        <v>9631.0</v>
      </c>
      <c r="L180" s="31" t="s">
        <v>636</v>
      </c>
      <c r="M180" s="31">
        <v>25.0</v>
      </c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</row>
    <row r="181" ht="21.0" customHeight="1">
      <c r="A181" s="40">
        <v>1.73621774E8</v>
      </c>
      <c r="B181" s="40" t="s">
        <v>421</v>
      </c>
      <c r="C181" s="41">
        <v>3.0791445E7</v>
      </c>
      <c r="D181" s="41">
        <v>5371343.0</v>
      </c>
      <c r="E181" s="41">
        <v>1065662.0</v>
      </c>
      <c r="F181" s="41">
        <v>215029.0</v>
      </c>
      <c r="G181" s="41">
        <v>107306.0</v>
      </c>
      <c r="H181" s="41">
        <v>0.0</v>
      </c>
      <c r="I181" s="41">
        <v>9.567735462E9</v>
      </c>
      <c r="J181" s="41">
        <v>2.753021909E9</v>
      </c>
      <c r="K181" s="41">
        <v>4516.0</v>
      </c>
      <c r="L181" s="40" t="s">
        <v>147</v>
      </c>
      <c r="M181" s="40">
        <v>24.0</v>
      </c>
      <c r="N181" s="40"/>
      <c r="O181" s="40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</row>
    <row r="182" ht="21.0" customHeight="1">
      <c r="A182" s="31">
        <v>1.81527216E8</v>
      </c>
      <c r="B182" s="31" t="s">
        <v>671</v>
      </c>
      <c r="C182" s="32">
        <v>3.0645421E7</v>
      </c>
      <c r="D182" s="32">
        <v>7582408.0</v>
      </c>
      <c r="E182" s="32">
        <v>3217096.0</v>
      </c>
      <c r="F182" s="32">
        <v>390655.0</v>
      </c>
      <c r="G182" s="32">
        <v>179801.0</v>
      </c>
      <c r="H182" s="32">
        <v>0.0</v>
      </c>
      <c r="I182" s="32">
        <v>3.439155267E9</v>
      </c>
      <c r="J182" s="32">
        <v>0.0</v>
      </c>
      <c r="K182" s="32">
        <v>5157.0</v>
      </c>
      <c r="L182" s="31" t="s">
        <v>492</v>
      </c>
      <c r="M182" s="31">
        <v>25.0</v>
      </c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</row>
    <row r="183" ht="21.0" customHeight="1">
      <c r="A183" s="31">
        <v>1.44046322E8</v>
      </c>
      <c r="B183" s="31" t="s">
        <v>180</v>
      </c>
      <c r="C183" s="32">
        <v>3.0263408E7</v>
      </c>
      <c r="D183" s="32">
        <v>8052436.0</v>
      </c>
      <c r="E183" s="32">
        <v>3688645.0</v>
      </c>
      <c r="F183" s="32">
        <v>499856.0</v>
      </c>
      <c r="G183" s="32">
        <v>76269.0</v>
      </c>
      <c r="H183" s="32">
        <v>0.0</v>
      </c>
      <c r="I183" s="32">
        <v>4.026922567E9</v>
      </c>
      <c r="J183" s="32">
        <v>0.0</v>
      </c>
      <c r="K183" s="32">
        <v>1805.0</v>
      </c>
      <c r="L183" s="31" t="s">
        <v>373</v>
      </c>
      <c r="M183" s="31">
        <v>25.0</v>
      </c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</row>
    <row r="184" ht="21.0" customHeight="1">
      <c r="A184" s="31">
        <v>8.6231842E7</v>
      </c>
      <c r="B184" s="31" t="s">
        <v>672</v>
      </c>
      <c r="C184" s="32">
        <v>2.9015119E7</v>
      </c>
      <c r="D184" s="32">
        <v>2.5799144E7</v>
      </c>
      <c r="E184" s="32">
        <v>1883168.0</v>
      </c>
      <c r="F184" s="32">
        <v>1707883.0</v>
      </c>
      <c r="G184" s="32">
        <v>317372.0</v>
      </c>
      <c r="H184" s="32">
        <v>0.0</v>
      </c>
      <c r="I184" s="32">
        <v>1.350700525E9</v>
      </c>
      <c r="J184" s="32">
        <v>2.07069669E8</v>
      </c>
      <c r="K184" s="32">
        <v>6445.0</v>
      </c>
      <c r="L184" s="31" t="s">
        <v>66</v>
      </c>
      <c r="M184" s="31">
        <v>25.0</v>
      </c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</row>
    <row r="185" ht="21.0" customHeight="1">
      <c r="A185" s="31">
        <v>1.47116341E8</v>
      </c>
      <c r="B185" s="31" t="s">
        <v>604</v>
      </c>
      <c r="C185" s="32">
        <v>2.9013446E7</v>
      </c>
      <c r="D185" s="32">
        <v>1.3383829E7</v>
      </c>
      <c r="E185" s="32">
        <v>526000.0</v>
      </c>
      <c r="F185" s="32">
        <v>807831.0</v>
      </c>
      <c r="G185" s="32">
        <v>264661.0</v>
      </c>
      <c r="H185" s="32">
        <v>0.0</v>
      </c>
      <c r="I185" s="32">
        <v>6.108121716E9</v>
      </c>
      <c r="J185" s="32">
        <v>6.456585973E9</v>
      </c>
      <c r="K185" s="32">
        <v>2861.0</v>
      </c>
      <c r="L185" s="31" t="s">
        <v>147</v>
      </c>
      <c r="M185" s="31">
        <v>25.0</v>
      </c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</row>
    <row r="186" ht="21.0" customHeight="1">
      <c r="A186" s="31">
        <v>1.61551529E8</v>
      </c>
      <c r="B186" s="31" t="s">
        <v>549</v>
      </c>
      <c r="C186" s="32">
        <v>2.8679454E7</v>
      </c>
      <c r="D186" s="32">
        <v>1648325.0</v>
      </c>
      <c r="E186" s="32">
        <v>12632.0</v>
      </c>
      <c r="F186" s="32">
        <v>160608.0</v>
      </c>
      <c r="G186" s="32">
        <v>1.0</v>
      </c>
      <c r="H186" s="32">
        <v>0.0</v>
      </c>
      <c r="I186" s="32">
        <v>2.01616251E9</v>
      </c>
      <c r="J186" s="32">
        <v>7.22513537E8</v>
      </c>
      <c r="K186" s="32">
        <v>2655.0</v>
      </c>
      <c r="L186" s="31" t="s">
        <v>147</v>
      </c>
      <c r="M186" s="31">
        <v>25.0</v>
      </c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</row>
    <row r="187" ht="21.0" customHeight="1">
      <c r="A187" s="31">
        <v>1.73454044E8</v>
      </c>
      <c r="B187" s="31" t="s">
        <v>673</v>
      </c>
      <c r="C187" s="32">
        <v>2.8664921E7</v>
      </c>
      <c r="D187" s="32">
        <v>1.05450296E8</v>
      </c>
      <c r="E187" s="32">
        <v>2063482.0</v>
      </c>
      <c r="F187" s="32">
        <v>7483347.0</v>
      </c>
      <c r="G187" s="32">
        <v>701518.0</v>
      </c>
      <c r="H187" s="32">
        <v>0.0</v>
      </c>
      <c r="I187" s="32">
        <v>7.792824561E9</v>
      </c>
      <c r="J187" s="32">
        <v>7.9502816E8</v>
      </c>
      <c r="K187" s="32">
        <v>12203.0</v>
      </c>
      <c r="L187" s="31" t="s">
        <v>66</v>
      </c>
      <c r="M187" s="31">
        <v>25.0</v>
      </c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</row>
    <row r="188" ht="21.0" customHeight="1">
      <c r="A188" s="31">
        <v>1.81734011E8</v>
      </c>
      <c r="B188" s="31" t="s">
        <v>169</v>
      </c>
      <c r="C188" s="32">
        <v>2.7840121E7</v>
      </c>
      <c r="D188" s="32">
        <v>5.2815309E7</v>
      </c>
      <c r="E188" s="32">
        <v>2591884.0</v>
      </c>
      <c r="F188" s="32">
        <v>1765364.0</v>
      </c>
      <c r="G188" s="32">
        <v>1567208.0</v>
      </c>
      <c r="H188" s="32">
        <v>0.0</v>
      </c>
      <c r="I188" s="32">
        <v>7.423156543E9</v>
      </c>
      <c r="J188" s="32">
        <v>1.18242089E8</v>
      </c>
      <c r="K188" s="32">
        <v>11556.0</v>
      </c>
      <c r="L188" s="31" t="s">
        <v>34</v>
      </c>
      <c r="M188" s="31">
        <v>25.0</v>
      </c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</row>
    <row r="189" ht="21.0" customHeight="1">
      <c r="A189" s="31">
        <v>1.71695315E8</v>
      </c>
      <c r="B189" s="31" t="s">
        <v>605</v>
      </c>
      <c r="C189" s="32">
        <v>2.7792576E7</v>
      </c>
      <c r="D189" s="32">
        <v>9.2472195E7</v>
      </c>
      <c r="E189" s="32">
        <v>1937609.0</v>
      </c>
      <c r="F189" s="32">
        <v>6618832.0</v>
      </c>
      <c r="G189" s="32">
        <v>748299.0</v>
      </c>
      <c r="H189" s="32">
        <v>0.0</v>
      </c>
      <c r="I189" s="32">
        <v>4.105979997E9</v>
      </c>
      <c r="J189" s="32">
        <v>1.659255302E9</v>
      </c>
      <c r="K189" s="32">
        <v>9428.0</v>
      </c>
      <c r="L189" s="31" t="s">
        <v>66</v>
      </c>
      <c r="M189" s="31">
        <v>25.0</v>
      </c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</row>
    <row r="190" ht="21.0" customHeight="1">
      <c r="A190" s="31">
        <v>1.83952984E8</v>
      </c>
      <c r="B190" s="31" t="s">
        <v>498</v>
      </c>
      <c r="C190" s="32">
        <v>2.7775211E7</v>
      </c>
      <c r="D190" s="32">
        <v>1.0353288E7</v>
      </c>
      <c r="E190" s="32">
        <v>830363.0</v>
      </c>
      <c r="F190" s="32">
        <v>773019.0</v>
      </c>
      <c r="G190" s="32">
        <v>47440.0</v>
      </c>
      <c r="H190" s="32">
        <v>0.0</v>
      </c>
      <c r="I190" s="32">
        <v>3.319331185E9</v>
      </c>
      <c r="J190" s="32">
        <v>5.4133889E8</v>
      </c>
      <c r="K190" s="32">
        <v>5458.0</v>
      </c>
      <c r="L190" s="31" t="s">
        <v>641</v>
      </c>
      <c r="M190" s="31">
        <v>25.0</v>
      </c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</row>
    <row r="191" ht="21.0" customHeight="1">
      <c r="A191" s="31">
        <v>1.45295709E8</v>
      </c>
      <c r="B191" s="31" t="s">
        <v>423</v>
      </c>
      <c r="C191" s="32">
        <v>2.7603044E7</v>
      </c>
      <c r="D191" s="32">
        <v>3.1094766E7</v>
      </c>
      <c r="E191" s="32">
        <v>2061597.0</v>
      </c>
      <c r="F191" s="32">
        <v>1787687.0</v>
      </c>
      <c r="G191" s="32">
        <v>345523.0</v>
      </c>
      <c r="H191" s="32">
        <v>0.0</v>
      </c>
      <c r="I191" s="32">
        <v>2.75326971E9</v>
      </c>
      <c r="J191" s="32">
        <v>6.1594054E7</v>
      </c>
      <c r="K191" s="32">
        <v>7468.0</v>
      </c>
      <c r="L191" s="31" t="s">
        <v>66</v>
      </c>
      <c r="M191" s="31">
        <v>25.0</v>
      </c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</row>
    <row r="192" ht="21.0" customHeight="1">
      <c r="A192" s="31">
        <v>1.75314255E8</v>
      </c>
      <c r="B192" s="31" t="s">
        <v>179</v>
      </c>
      <c r="C192" s="32">
        <v>2.7530525E7</v>
      </c>
      <c r="D192" s="32">
        <v>2.2022689E7</v>
      </c>
      <c r="E192" s="32">
        <v>3465707.0</v>
      </c>
      <c r="F192" s="32">
        <v>1320076.0</v>
      </c>
      <c r="G192" s="32">
        <v>412977.0</v>
      </c>
      <c r="H192" s="32">
        <v>0.0</v>
      </c>
      <c r="I192" s="32">
        <v>3.952110702E9</v>
      </c>
      <c r="J192" s="32">
        <v>1.22435684E8</v>
      </c>
      <c r="K192" s="32">
        <v>8861.0</v>
      </c>
      <c r="L192" s="31" t="s">
        <v>490</v>
      </c>
      <c r="M192" s="31">
        <v>25.0</v>
      </c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</row>
    <row r="193" ht="21.0" customHeight="1">
      <c r="A193" s="31">
        <v>1.58296838E8</v>
      </c>
      <c r="B193" s="31" t="s">
        <v>458</v>
      </c>
      <c r="C193" s="32">
        <v>2.7521274E7</v>
      </c>
      <c r="D193" s="32">
        <v>4715810.0</v>
      </c>
      <c r="E193" s="32">
        <v>262324.0</v>
      </c>
      <c r="F193" s="32">
        <v>393091.0</v>
      </c>
      <c r="G193" s="32">
        <v>9004.0</v>
      </c>
      <c r="H193" s="32">
        <v>0.0</v>
      </c>
      <c r="I193" s="32">
        <v>4.175811693E9</v>
      </c>
      <c r="J193" s="32">
        <v>1.087153533E9</v>
      </c>
      <c r="K193" s="32">
        <v>6424.0</v>
      </c>
      <c r="L193" s="31" t="s">
        <v>147</v>
      </c>
      <c r="M193" s="31">
        <v>25.0</v>
      </c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</row>
    <row r="194" ht="21.0" customHeight="1">
      <c r="A194" s="31">
        <v>1.44053077E8</v>
      </c>
      <c r="B194" s="31" t="s">
        <v>193</v>
      </c>
      <c r="C194" s="32">
        <v>2.7322827E7</v>
      </c>
      <c r="D194" s="32">
        <v>1.4856343E7</v>
      </c>
      <c r="E194" s="32">
        <v>3605779.0</v>
      </c>
      <c r="F194" s="32">
        <v>425499.0</v>
      </c>
      <c r="G194" s="32">
        <v>216474.0</v>
      </c>
      <c r="H194" s="32">
        <v>0.0</v>
      </c>
      <c r="I194" s="32">
        <v>4.455443588E9</v>
      </c>
      <c r="J194" s="32">
        <v>7.9536043E7</v>
      </c>
      <c r="K194" s="32">
        <v>4280.0</v>
      </c>
      <c r="L194" s="31" t="s">
        <v>66</v>
      </c>
      <c r="M194" s="31">
        <v>25.0</v>
      </c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</row>
    <row r="195" ht="21.0" customHeight="1">
      <c r="A195" s="40">
        <v>1.70449746E8</v>
      </c>
      <c r="B195" s="40" t="s">
        <v>184</v>
      </c>
      <c r="C195" s="41">
        <v>2.7321806E7</v>
      </c>
      <c r="D195" s="41">
        <v>5291709.0</v>
      </c>
      <c r="E195" s="41">
        <v>102004.0</v>
      </c>
      <c r="F195" s="41">
        <v>362162.0</v>
      </c>
      <c r="G195" s="41">
        <v>82623.0</v>
      </c>
      <c r="H195" s="41">
        <v>0.0</v>
      </c>
      <c r="I195" s="41">
        <v>5.50252894E9</v>
      </c>
      <c r="J195" s="41">
        <v>4.426139492E9</v>
      </c>
      <c r="K195" s="41">
        <v>2638.0</v>
      </c>
      <c r="L195" s="40" t="s">
        <v>327</v>
      </c>
      <c r="M195" s="40">
        <v>23.0</v>
      </c>
      <c r="N195" s="40"/>
      <c r="O195" s="40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</row>
    <row r="196" ht="21.0" customHeight="1">
      <c r="A196" s="31">
        <v>1.1279231E8</v>
      </c>
      <c r="B196" s="31" t="s">
        <v>197</v>
      </c>
      <c r="C196" s="32">
        <v>2.698679E7</v>
      </c>
      <c r="D196" s="32">
        <v>5.1841755E7</v>
      </c>
      <c r="E196" s="32">
        <v>4158383.0</v>
      </c>
      <c r="F196" s="32">
        <v>1962237.0</v>
      </c>
      <c r="G196" s="32">
        <v>1451878.0</v>
      </c>
      <c r="H196" s="32">
        <v>0.0</v>
      </c>
      <c r="I196" s="32">
        <v>2.9477006548E10</v>
      </c>
      <c r="J196" s="32">
        <v>2.6567873572E10</v>
      </c>
      <c r="K196" s="32">
        <v>12073.0</v>
      </c>
      <c r="L196" s="31" t="s">
        <v>641</v>
      </c>
      <c r="M196" s="31">
        <v>25.0</v>
      </c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</row>
    <row r="197" ht="21.0" customHeight="1">
      <c r="A197" s="31">
        <v>1.48121991E8</v>
      </c>
      <c r="B197" s="31" t="s">
        <v>526</v>
      </c>
      <c r="C197" s="32">
        <v>2.6405444E7</v>
      </c>
      <c r="D197" s="32">
        <v>4.0725359E7</v>
      </c>
      <c r="E197" s="32">
        <v>6096345.0</v>
      </c>
      <c r="F197" s="32">
        <v>2047991.0</v>
      </c>
      <c r="G197" s="32">
        <v>986703.0</v>
      </c>
      <c r="H197" s="32">
        <v>0.0</v>
      </c>
      <c r="I197" s="32">
        <v>3.16163916E9</v>
      </c>
      <c r="J197" s="32">
        <v>9.57106624E8</v>
      </c>
      <c r="K197" s="32">
        <v>9083.0</v>
      </c>
      <c r="L197" s="31" t="s">
        <v>674</v>
      </c>
      <c r="M197" s="31">
        <v>25.0</v>
      </c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</row>
    <row r="198" ht="21.0" customHeight="1">
      <c r="A198" s="31">
        <v>1.44103022E8</v>
      </c>
      <c r="B198" s="31" t="s">
        <v>198</v>
      </c>
      <c r="C198" s="32">
        <v>2.6252067E7</v>
      </c>
      <c r="D198" s="32">
        <v>2532035.0</v>
      </c>
      <c r="E198" s="32">
        <v>640494.0</v>
      </c>
      <c r="F198" s="32">
        <v>90202.0</v>
      </c>
      <c r="G198" s="32">
        <v>0.0</v>
      </c>
      <c r="H198" s="32">
        <v>0.0</v>
      </c>
      <c r="I198" s="32">
        <v>1.52701049E9</v>
      </c>
      <c r="J198" s="32">
        <v>3428957.0</v>
      </c>
      <c r="K198" s="32">
        <v>1225.0</v>
      </c>
      <c r="L198" s="31" t="s">
        <v>66</v>
      </c>
      <c r="M198" s="31">
        <v>25.0</v>
      </c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</row>
    <row r="199" ht="21.0" customHeight="1">
      <c r="A199" s="31">
        <v>1.46036286E8</v>
      </c>
      <c r="B199" s="31" t="s">
        <v>205</v>
      </c>
      <c r="C199" s="32">
        <v>2.6151413E7</v>
      </c>
      <c r="D199" s="32">
        <v>4.1948726E7</v>
      </c>
      <c r="E199" s="32">
        <v>4816318.0</v>
      </c>
      <c r="F199" s="32">
        <v>2761806.0</v>
      </c>
      <c r="G199" s="32">
        <v>521469.0</v>
      </c>
      <c r="H199" s="32">
        <v>0.0</v>
      </c>
      <c r="I199" s="32">
        <v>1.8899232434E10</v>
      </c>
      <c r="J199" s="32">
        <v>1.1028223974E10</v>
      </c>
      <c r="K199" s="32">
        <v>5507.0</v>
      </c>
      <c r="L199" s="31" t="s">
        <v>165</v>
      </c>
      <c r="M199" s="31">
        <v>25.0</v>
      </c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</row>
    <row r="200" ht="21.0" customHeight="1">
      <c r="A200" s="31">
        <v>1.38821863E8</v>
      </c>
      <c r="B200" s="31" t="s">
        <v>186</v>
      </c>
      <c r="C200" s="32">
        <v>2.5657885E7</v>
      </c>
      <c r="D200" s="32">
        <v>2.5263796E7</v>
      </c>
      <c r="E200" s="32">
        <v>1656998.0</v>
      </c>
      <c r="F200" s="32">
        <v>2006020.0</v>
      </c>
      <c r="G200" s="32">
        <v>109825.0</v>
      </c>
      <c r="H200" s="32">
        <v>0.0</v>
      </c>
      <c r="I200" s="32">
        <v>4.525676596E9</v>
      </c>
      <c r="J200" s="32">
        <v>6.36064786E8</v>
      </c>
      <c r="K200" s="32">
        <v>8529.0</v>
      </c>
      <c r="L200" s="31" t="s">
        <v>147</v>
      </c>
      <c r="M200" s="31">
        <v>25.0</v>
      </c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</row>
    <row r="201" ht="21.0" customHeight="1">
      <c r="A201" s="31">
        <v>6.1106312E7</v>
      </c>
      <c r="B201" s="31" t="s">
        <v>201</v>
      </c>
      <c r="C201" s="32">
        <v>2.4987582E7</v>
      </c>
      <c r="D201" s="32">
        <v>1.32416434E8</v>
      </c>
      <c r="E201" s="32">
        <v>6453062.0</v>
      </c>
      <c r="F201" s="32">
        <v>8246061.0</v>
      </c>
      <c r="G201" s="32">
        <v>1563515.0</v>
      </c>
      <c r="H201" s="32">
        <v>0.0</v>
      </c>
      <c r="I201" s="32">
        <v>1.5003605993E10</v>
      </c>
      <c r="J201" s="32">
        <v>1.6233438464E10</v>
      </c>
      <c r="K201" s="32">
        <v>12338.0</v>
      </c>
      <c r="L201" s="31" t="s">
        <v>165</v>
      </c>
      <c r="M201" s="31">
        <v>25.0</v>
      </c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</row>
    <row r="202" ht="21.0" customHeight="1">
      <c r="A202" s="31">
        <v>1.7395388E8</v>
      </c>
      <c r="B202" s="31" t="s">
        <v>422</v>
      </c>
      <c r="C202" s="32">
        <v>2.4876816E7</v>
      </c>
      <c r="D202" s="32">
        <v>1648460.0</v>
      </c>
      <c r="E202" s="32">
        <v>1653283.0</v>
      </c>
      <c r="F202" s="32">
        <v>106204.0</v>
      </c>
      <c r="G202" s="32">
        <v>28128.0</v>
      </c>
      <c r="H202" s="32">
        <v>0.0</v>
      </c>
      <c r="I202" s="32">
        <v>4.659859601E9</v>
      </c>
      <c r="J202" s="32">
        <v>2.346021861E9</v>
      </c>
      <c r="K202" s="32">
        <v>2376.0</v>
      </c>
      <c r="L202" s="31" t="s">
        <v>147</v>
      </c>
      <c r="M202" s="31">
        <v>25.0</v>
      </c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</row>
    <row r="203" ht="21.0" customHeight="1">
      <c r="A203" s="31">
        <v>1.57398284E8</v>
      </c>
      <c r="B203" s="31" t="s">
        <v>380</v>
      </c>
      <c r="C203" s="32">
        <v>2.4852569E7</v>
      </c>
      <c r="D203" s="32">
        <v>4812381.0</v>
      </c>
      <c r="E203" s="32">
        <v>1021778.0</v>
      </c>
      <c r="F203" s="32">
        <v>318827.0</v>
      </c>
      <c r="G203" s="32">
        <v>52796.0</v>
      </c>
      <c r="H203" s="32">
        <v>0.0</v>
      </c>
      <c r="I203" s="32">
        <v>1.2428665254E10</v>
      </c>
      <c r="J203" s="32">
        <v>6.116E9</v>
      </c>
      <c r="K203" s="32">
        <v>4137.0</v>
      </c>
      <c r="L203" s="31" t="s">
        <v>165</v>
      </c>
      <c r="M203" s="31">
        <v>25.0</v>
      </c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</row>
    <row r="204" ht="21.0" customHeight="1">
      <c r="A204" s="31">
        <v>1.5669236E8</v>
      </c>
      <c r="B204" s="31" t="s">
        <v>606</v>
      </c>
      <c r="C204" s="32">
        <v>2.4697052E7</v>
      </c>
      <c r="D204" s="32">
        <v>292546.0</v>
      </c>
      <c r="E204" s="32">
        <v>0.0</v>
      </c>
      <c r="F204" s="32">
        <v>25389.0</v>
      </c>
      <c r="G204" s="32">
        <v>0.0</v>
      </c>
      <c r="H204" s="32">
        <v>0.0</v>
      </c>
      <c r="I204" s="32">
        <v>4.407958017E9</v>
      </c>
      <c r="J204" s="32">
        <v>3.152482684E9</v>
      </c>
      <c r="K204" s="32">
        <v>1843.0</v>
      </c>
      <c r="L204" s="31" t="s">
        <v>165</v>
      </c>
      <c r="M204" s="31">
        <v>25.0</v>
      </c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</row>
    <row r="205" ht="21.0" customHeight="1">
      <c r="A205" s="31">
        <v>1.43860351E8</v>
      </c>
      <c r="B205" s="31" t="s">
        <v>675</v>
      </c>
      <c r="C205" s="32">
        <v>2.387141E7</v>
      </c>
      <c r="D205" s="32">
        <v>1.64957E7</v>
      </c>
      <c r="E205" s="32">
        <v>1659642.0</v>
      </c>
      <c r="F205" s="32">
        <v>780042.0</v>
      </c>
      <c r="G205" s="32">
        <v>213713.0</v>
      </c>
      <c r="H205" s="32">
        <v>0.0</v>
      </c>
      <c r="I205" s="32">
        <v>2.713402846E9</v>
      </c>
      <c r="J205" s="32">
        <v>9.1935208E7</v>
      </c>
      <c r="K205" s="32">
        <v>9759.0</v>
      </c>
      <c r="L205" s="31" t="s">
        <v>641</v>
      </c>
      <c r="M205" s="31">
        <v>25.0</v>
      </c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</row>
    <row r="206" ht="21.0" customHeight="1">
      <c r="A206" s="31">
        <v>1.40545176E8</v>
      </c>
      <c r="B206" s="31" t="s">
        <v>499</v>
      </c>
      <c r="C206" s="32">
        <v>2.405283E7</v>
      </c>
      <c r="D206" s="32">
        <v>7951245.0</v>
      </c>
      <c r="E206" s="32">
        <v>3436534.0</v>
      </c>
      <c r="F206" s="32">
        <v>621285.0</v>
      </c>
      <c r="G206" s="32">
        <v>80176.0</v>
      </c>
      <c r="H206" s="32">
        <v>0.0</v>
      </c>
      <c r="I206" s="32">
        <v>3.108463162E9</v>
      </c>
      <c r="J206" s="32">
        <v>1870000.0</v>
      </c>
      <c r="K206" s="32">
        <v>3537.0</v>
      </c>
      <c r="L206" s="31" t="s">
        <v>66</v>
      </c>
      <c r="M206" s="31">
        <v>25.0</v>
      </c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</row>
    <row r="207" ht="21.0" customHeight="1">
      <c r="A207" s="31">
        <v>1.29862445E8</v>
      </c>
      <c r="B207" s="31" t="s">
        <v>676</v>
      </c>
      <c r="C207" s="32">
        <v>2.3737307E7</v>
      </c>
      <c r="D207" s="32">
        <v>1.7959917E7</v>
      </c>
      <c r="E207" s="32">
        <v>3068061.0</v>
      </c>
      <c r="F207" s="32">
        <v>833182.0</v>
      </c>
      <c r="G207" s="32">
        <v>414899.0</v>
      </c>
      <c r="H207" s="32">
        <v>0.0</v>
      </c>
      <c r="I207" s="32">
        <v>6.097895017E9</v>
      </c>
      <c r="J207" s="32">
        <v>9.44277327E8</v>
      </c>
      <c r="K207" s="32">
        <v>3188.0</v>
      </c>
      <c r="L207" s="31" t="s">
        <v>641</v>
      </c>
      <c r="M207" s="31">
        <v>25.0</v>
      </c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</row>
    <row r="208" ht="21.0" customHeight="1">
      <c r="A208" s="31">
        <v>1.82087307E8</v>
      </c>
      <c r="B208" s="31" t="s">
        <v>553</v>
      </c>
      <c r="C208" s="32">
        <v>2.3707179E7</v>
      </c>
      <c r="D208" s="32">
        <v>6984524.0</v>
      </c>
      <c r="E208" s="32">
        <v>2450853.0</v>
      </c>
      <c r="F208" s="32">
        <v>263575.0</v>
      </c>
      <c r="G208" s="32">
        <v>190322.0</v>
      </c>
      <c r="H208" s="32">
        <v>0.0</v>
      </c>
      <c r="I208" s="32">
        <v>9.96530005E8</v>
      </c>
      <c r="J208" s="32">
        <v>1710.0</v>
      </c>
      <c r="K208" s="32">
        <v>2455.0</v>
      </c>
      <c r="L208" s="31" t="s">
        <v>492</v>
      </c>
      <c r="M208" s="31">
        <v>25.0</v>
      </c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</row>
    <row r="209" ht="21.0" customHeight="1">
      <c r="A209" s="31">
        <v>1.74530133E8</v>
      </c>
      <c r="B209" s="31" t="s">
        <v>214</v>
      </c>
      <c r="C209" s="32">
        <v>2.2835841E7</v>
      </c>
      <c r="D209" s="32">
        <v>2253561.0</v>
      </c>
      <c r="E209" s="32">
        <v>331940.0</v>
      </c>
      <c r="F209" s="32">
        <v>27691.0</v>
      </c>
      <c r="G209" s="32">
        <v>96770.0</v>
      </c>
      <c r="H209" s="32">
        <v>0.0</v>
      </c>
      <c r="I209" s="32">
        <v>1.3832892281E10</v>
      </c>
      <c r="J209" s="32">
        <v>9.905949977E9</v>
      </c>
      <c r="K209" s="32">
        <v>3412.0</v>
      </c>
      <c r="L209" s="31" t="s">
        <v>165</v>
      </c>
      <c r="M209" s="31">
        <v>25.0</v>
      </c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</row>
    <row r="210" ht="21.0" customHeight="1">
      <c r="A210" s="31">
        <v>1.48355572E8</v>
      </c>
      <c r="B210" s="31" t="s">
        <v>209</v>
      </c>
      <c r="C210" s="32">
        <v>2.2592159E7</v>
      </c>
      <c r="D210" s="32">
        <v>8721825.0</v>
      </c>
      <c r="E210" s="32">
        <v>2046882.0</v>
      </c>
      <c r="F210" s="32">
        <v>645107.0</v>
      </c>
      <c r="G210" s="32">
        <v>91660.0</v>
      </c>
      <c r="H210" s="32">
        <v>0.0</v>
      </c>
      <c r="I210" s="32">
        <v>2.305973624E9</v>
      </c>
      <c r="J210" s="32">
        <v>2.23164667E8</v>
      </c>
      <c r="K210" s="32">
        <v>1675.0</v>
      </c>
      <c r="L210" s="31" t="s">
        <v>636</v>
      </c>
      <c r="M210" s="31">
        <v>25.0</v>
      </c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</row>
    <row r="211" ht="21.0" customHeight="1">
      <c r="A211" s="31">
        <v>6.9795161E7</v>
      </c>
      <c r="B211" s="31" t="s">
        <v>482</v>
      </c>
      <c r="C211" s="32">
        <v>2.2589351E7</v>
      </c>
      <c r="D211" s="32">
        <v>488794.0</v>
      </c>
      <c r="E211" s="32">
        <v>338212.0</v>
      </c>
      <c r="F211" s="32">
        <v>16633.0</v>
      </c>
      <c r="G211" s="32">
        <v>15983.0</v>
      </c>
      <c r="H211" s="32">
        <v>0.0</v>
      </c>
      <c r="I211" s="32">
        <v>5.038094035E9</v>
      </c>
      <c r="J211" s="32">
        <v>2.966813705E9</v>
      </c>
      <c r="K211" s="32">
        <v>2092.0</v>
      </c>
      <c r="L211" s="31" t="s">
        <v>147</v>
      </c>
      <c r="M211" s="31">
        <v>25.0</v>
      </c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</row>
    <row r="212" ht="21.0" customHeight="1">
      <c r="A212" s="31">
        <v>1.44096624E8</v>
      </c>
      <c r="B212" s="31" t="s">
        <v>225</v>
      </c>
      <c r="C212" s="32">
        <v>2.2360612E7</v>
      </c>
      <c r="D212" s="32">
        <v>2.0581446E7</v>
      </c>
      <c r="E212" s="32">
        <v>735950.0</v>
      </c>
      <c r="F212" s="32">
        <v>1602950.0</v>
      </c>
      <c r="G212" s="32">
        <v>175587.0</v>
      </c>
      <c r="H212" s="32">
        <v>0.0</v>
      </c>
      <c r="I212" s="32">
        <v>2.371662784E9</v>
      </c>
      <c r="J212" s="32">
        <v>3.1594992E8</v>
      </c>
      <c r="K212" s="32">
        <v>4390.0</v>
      </c>
      <c r="L212" s="31" t="s">
        <v>66</v>
      </c>
      <c r="M212" s="31">
        <v>25.0</v>
      </c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</row>
    <row r="213" ht="21.0" customHeight="1">
      <c r="A213" s="31">
        <v>1.71556791E8</v>
      </c>
      <c r="B213" s="31" t="s">
        <v>462</v>
      </c>
      <c r="C213" s="32">
        <v>2.217768E7</v>
      </c>
      <c r="D213" s="32">
        <v>4949159.0</v>
      </c>
      <c r="E213" s="32">
        <v>626101.0</v>
      </c>
      <c r="F213" s="32">
        <v>210000.0</v>
      </c>
      <c r="G213" s="32">
        <v>116244.0</v>
      </c>
      <c r="H213" s="32">
        <v>0.0</v>
      </c>
      <c r="I213" s="32">
        <v>7.304914516E9</v>
      </c>
      <c r="J213" s="32">
        <v>1.3095410321E10</v>
      </c>
      <c r="K213" s="32">
        <v>3487.0</v>
      </c>
      <c r="L213" s="31" t="s">
        <v>663</v>
      </c>
      <c r="M213" s="31">
        <v>25.0</v>
      </c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</row>
    <row r="214" ht="21.0" customHeight="1">
      <c r="A214" s="31">
        <v>1.58392134E8</v>
      </c>
      <c r="B214" s="31" t="s">
        <v>677</v>
      </c>
      <c r="C214" s="32">
        <v>2.1815795E7</v>
      </c>
      <c r="D214" s="32">
        <v>3.7506094E7</v>
      </c>
      <c r="E214" s="32">
        <v>2684836.0</v>
      </c>
      <c r="F214" s="32">
        <v>2484524.0</v>
      </c>
      <c r="G214" s="32">
        <v>350929.0</v>
      </c>
      <c r="H214" s="32">
        <v>0.0</v>
      </c>
      <c r="I214" s="32">
        <v>3.432804776E9</v>
      </c>
      <c r="J214" s="32">
        <v>1.413898759E9</v>
      </c>
      <c r="K214" s="32">
        <v>13652.0</v>
      </c>
      <c r="L214" s="31" t="s">
        <v>147</v>
      </c>
      <c r="M214" s="31">
        <v>25.0</v>
      </c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</row>
    <row r="215" ht="21.0" customHeight="1">
      <c r="A215" s="40">
        <v>1.71989291E8</v>
      </c>
      <c r="B215" s="40" t="s">
        <v>224</v>
      </c>
      <c r="C215" s="41">
        <v>2.1708049E7</v>
      </c>
      <c r="D215" s="41">
        <v>1953757.0</v>
      </c>
      <c r="E215" s="41">
        <v>1329583.0</v>
      </c>
      <c r="F215" s="41">
        <v>2019.0</v>
      </c>
      <c r="G215" s="41">
        <v>94344.0</v>
      </c>
      <c r="H215" s="41">
        <v>0.0</v>
      </c>
      <c r="I215" s="41">
        <v>9.158649692E9</v>
      </c>
      <c r="J215" s="41">
        <v>6.708396395E9</v>
      </c>
      <c r="K215" s="41">
        <v>3276.0</v>
      </c>
      <c r="L215" s="40" t="s">
        <v>327</v>
      </c>
      <c r="M215" s="40">
        <v>24.0</v>
      </c>
      <c r="N215" s="40"/>
      <c r="O215" s="40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</row>
    <row r="216" ht="21.0" customHeight="1">
      <c r="A216" s="40">
        <v>1.23153111E8</v>
      </c>
      <c r="B216" s="40" t="s">
        <v>678</v>
      </c>
      <c r="C216" s="41">
        <v>2.1624332E7</v>
      </c>
      <c r="D216" s="41">
        <v>3153499.0</v>
      </c>
      <c r="E216" s="41">
        <v>1658443.0</v>
      </c>
      <c r="F216" s="41">
        <v>242880.0</v>
      </c>
      <c r="G216" s="41">
        <v>22556.0</v>
      </c>
      <c r="H216" s="41">
        <v>0.0</v>
      </c>
      <c r="I216" s="41">
        <v>3.586655412E9</v>
      </c>
      <c r="J216" s="41">
        <v>1642667.0</v>
      </c>
      <c r="K216" s="41">
        <v>3586.0</v>
      </c>
      <c r="L216" s="40" t="s">
        <v>490</v>
      </c>
      <c r="M216" s="40">
        <v>24.0</v>
      </c>
      <c r="N216" s="40"/>
      <c r="O216" s="40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</row>
    <row r="217" ht="21.0" customHeight="1">
      <c r="A217" s="40">
        <v>1.85391227E8</v>
      </c>
      <c r="B217" s="40" t="s">
        <v>607</v>
      </c>
      <c r="C217" s="41">
        <v>2.1365043E7</v>
      </c>
      <c r="D217" s="41">
        <v>4933077.0</v>
      </c>
      <c r="E217" s="41">
        <v>964026.0</v>
      </c>
      <c r="F217" s="41">
        <v>214.0</v>
      </c>
      <c r="G217" s="41">
        <v>246545.0</v>
      </c>
      <c r="H217" s="41">
        <v>0.0</v>
      </c>
      <c r="I217" s="41">
        <v>6.695933735E9</v>
      </c>
      <c r="J217" s="41">
        <v>4.184421399E9</v>
      </c>
      <c r="K217" s="41">
        <v>2241.0</v>
      </c>
      <c r="L217" s="40" t="s">
        <v>490</v>
      </c>
      <c r="M217" s="40">
        <v>24.0</v>
      </c>
      <c r="N217" s="40"/>
      <c r="O217" s="40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</row>
    <row r="218" ht="21.0" customHeight="1">
      <c r="A218" s="31">
        <v>1.44065202E8</v>
      </c>
      <c r="B218" s="31" t="s">
        <v>222</v>
      </c>
      <c r="C218" s="32">
        <v>2.1274859E7</v>
      </c>
      <c r="D218" s="32">
        <v>9404325.0</v>
      </c>
      <c r="E218" s="32">
        <v>3066038.0</v>
      </c>
      <c r="F218" s="32">
        <v>407042.0</v>
      </c>
      <c r="G218" s="32">
        <v>223176.0</v>
      </c>
      <c r="H218" s="32">
        <v>0.0</v>
      </c>
      <c r="I218" s="32">
        <v>1.852624321E9</v>
      </c>
      <c r="J218" s="32">
        <v>1.4406792E7</v>
      </c>
      <c r="K218" s="32">
        <v>3795.0</v>
      </c>
      <c r="L218" s="31" t="s">
        <v>147</v>
      </c>
      <c r="M218" s="31">
        <v>25.0</v>
      </c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</row>
    <row r="219" ht="21.0" customHeight="1">
      <c r="A219" s="40">
        <v>1.44032974E8</v>
      </c>
      <c r="B219" s="40" t="s">
        <v>500</v>
      </c>
      <c r="C219" s="41">
        <v>2.1029467E7</v>
      </c>
      <c r="D219" s="41">
        <v>883270.0</v>
      </c>
      <c r="E219" s="41">
        <v>1317329.0</v>
      </c>
      <c r="F219" s="41">
        <v>5489.0</v>
      </c>
      <c r="G219" s="41">
        <v>39094.0</v>
      </c>
      <c r="H219" s="41">
        <v>0.0</v>
      </c>
      <c r="I219" s="41">
        <v>1.772772806E9</v>
      </c>
      <c r="J219" s="41">
        <v>0.0</v>
      </c>
      <c r="K219" s="41">
        <v>2154.0</v>
      </c>
      <c r="L219" s="40" t="s">
        <v>490</v>
      </c>
      <c r="M219" s="40">
        <v>24.0</v>
      </c>
      <c r="N219" s="40"/>
      <c r="O219" s="40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</row>
    <row r="220" ht="21.0" customHeight="1">
      <c r="A220" s="31">
        <v>1.5809248E8</v>
      </c>
      <c r="B220" s="31" t="s">
        <v>554</v>
      </c>
      <c r="C220" s="32">
        <v>2.1010604E7</v>
      </c>
      <c r="D220" s="32">
        <v>3.8954592E7</v>
      </c>
      <c r="E220" s="32">
        <v>3460836.0</v>
      </c>
      <c r="F220" s="32">
        <v>3359048.0</v>
      </c>
      <c r="G220" s="32">
        <v>221723.0</v>
      </c>
      <c r="H220" s="32">
        <v>0.0</v>
      </c>
      <c r="I220" s="32">
        <v>2.104848909E9</v>
      </c>
      <c r="J220" s="32">
        <v>2.81261089E8</v>
      </c>
      <c r="K220" s="32">
        <v>4434.0</v>
      </c>
      <c r="L220" s="31" t="s">
        <v>674</v>
      </c>
      <c r="M220" s="31">
        <v>25.0</v>
      </c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</row>
    <row r="221" ht="21.0" customHeight="1">
      <c r="A221" s="40">
        <v>1.73351722E8</v>
      </c>
      <c r="B221" s="40" t="s">
        <v>236</v>
      </c>
      <c r="C221" s="41">
        <v>2.0480532E7</v>
      </c>
      <c r="D221" s="41">
        <v>6794668.0</v>
      </c>
      <c r="E221" s="41">
        <v>471728.0</v>
      </c>
      <c r="F221" s="41">
        <v>336667.0</v>
      </c>
      <c r="G221" s="41">
        <v>168168.0</v>
      </c>
      <c r="H221" s="41">
        <v>0.0</v>
      </c>
      <c r="I221" s="41">
        <v>8.472520113E9</v>
      </c>
      <c r="J221" s="41">
        <v>4.208861579E9</v>
      </c>
      <c r="K221" s="41">
        <v>1689.0</v>
      </c>
      <c r="L221" s="40" t="s">
        <v>327</v>
      </c>
      <c r="M221" s="40">
        <v>24.0</v>
      </c>
      <c r="N221" s="40"/>
      <c r="O221" s="40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</row>
    <row r="222" ht="21.0" customHeight="1">
      <c r="A222" s="40">
        <v>1.47792502E8</v>
      </c>
      <c r="B222" s="40" t="s">
        <v>232</v>
      </c>
      <c r="C222" s="41">
        <v>1.9918926E7</v>
      </c>
      <c r="D222" s="41">
        <v>1.5109036E7</v>
      </c>
      <c r="E222" s="41">
        <v>501345.0</v>
      </c>
      <c r="F222" s="41">
        <v>1325650.0</v>
      </c>
      <c r="G222" s="41">
        <v>46085.0</v>
      </c>
      <c r="H222" s="41">
        <v>0.0</v>
      </c>
      <c r="I222" s="41">
        <v>1.7392933271E10</v>
      </c>
      <c r="J222" s="41">
        <v>1.3084532961E10</v>
      </c>
      <c r="K222" s="41">
        <v>6450.0</v>
      </c>
      <c r="L222" s="40" t="s">
        <v>327</v>
      </c>
      <c r="M222" s="40">
        <v>24.0</v>
      </c>
      <c r="N222" s="40"/>
      <c r="O222" s="40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</row>
    <row r="223" ht="21.0" customHeight="1">
      <c r="A223" s="31">
        <v>1.4586076E8</v>
      </c>
      <c r="B223" s="31" t="s">
        <v>223</v>
      </c>
      <c r="C223" s="32">
        <v>1.9834821E7</v>
      </c>
      <c r="D223" s="32">
        <v>2503746.0</v>
      </c>
      <c r="E223" s="32">
        <v>641516.0</v>
      </c>
      <c r="F223" s="32">
        <v>204412.0</v>
      </c>
      <c r="G223" s="32">
        <v>0.0</v>
      </c>
      <c r="H223" s="32">
        <v>0.0</v>
      </c>
      <c r="I223" s="32">
        <v>7.220603939E9</v>
      </c>
      <c r="J223" s="32">
        <v>7.106242499E9</v>
      </c>
      <c r="K223" s="32">
        <v>3155.0</v>
      </c>
      <c r="L223" s="31" t="s">
        <v>66</v>
      </c>
      <c r="M223" s="31">
        <v>25.0</v>
      </c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</row>
    <row r="224" ht="21.0" customHeight="1">
      <c r="A224" s="40">
        <v>1.59674611E8</v>
      </c>
      <c r="B224" s="40" t="s">
        <v>260</v>
      </c>
      <c r="C224" s="41">
        <v>1.9582976E7</v>
      </c>
      <c r="D224" s="41">
        <v>932235.0</v>
      </c>
      <c r="E224" s="41">
        <v>136798.0</v>
      </c>
      <c r="F224" s="41">
        <v>5166.0</v>
      </c>
      <c r="G224" s="41">
        <v>0.0</v>
      </c>
      <c r="H224" s="41">
        <v>0.0</v>
      </c>
      <c r="I224" s="41">
        <v>2.882521115E9</v>
      </c>
      <c r="J224" s="41">
        <v>8.00719676E8</v>
      </c>
      <c r="K224" s="41">
        <v>2309.0</v>
      </c>
      <c r="L224" s="40" t="s">
        <v>490</v>
      </c>
      <c r="M224" s="40">
        <v>23.0</v>
      </c>
      <c r="N224" s="40"/>
      <c r="O224" s="40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</row>
    <row r="225" ht="21.0" customHeight="1">
      <c r="A225" s="40">
        <v>1.75706269E8</v>
      </c>
      <c r="B225" s="40" t="s">
        <v>219</v>
      </c>
      <c r="C225" s="41">
        <v>1.9360172E7</v>
      </c>
      <c r="D225" s="41">
        <v>8860602.0</v>
      </c>
      <c r="E225" s="41">
        <v>1519238.0</v>
      </c>
      <c r="F225" s="41">
        <v>813972.0</v>
      </c>
      <c r="G225" s="41">
        <v>23044.0</v>
      </c>
      <c r="H225" s="41">
        <v>0.0</v>
      </c>
      <c r="I225" s="41">
        <v>2.684936921E9</v>
      </c>
      <c r="J225" s="41">
        <v>3.22468511E8</v>
      </c>
      <c r="K225" s="41">
        <v>1069.0</v>
      </c>
      <c r="L225" s="40" t="s">
        <v>220</v>
      </c>
      <c r="M225" s="40">
        <v>24.0</v>
      </c>
      <c r="N225" s="40"/>
      <c r="O225" s="40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</row>
    <row r="226" ht="21.0" customHeight="1">
      <c r="A226" s="31">
        <v>1.37982827E8</v>
      </c>
      <c r="B226" s="31" t="s">
        <v>230</v>
      </c>
      <c r="C226" s="32">
        <v>1.9088388E7</v>
      </c>
      <c r="D226" s="32">
        <v>1033440.0</v>
      </c>
      <c r="E226" s="32">
        <v>1686588.0</v>
      </c>
      <c r="F226" s="32">
        <v>2888.0</v>
      </c>
      <c r="G226" s="32">
        <v>37966.0</v>
      </c>
      <c r="H226" s="32">
        <v>0.0</v>
      </c>
      <c r="I226" s="32">
        <v>1.9898601638E10</v>
      </c>
      <c r="J226" s="32">
        <v>2.1164177048E10</v>
      </c>
      <c r="K226" s="32">
        <v>4255.0</v>
      </c>
      <c r="L226" s="31" t="s">
        <v>327</v>
      </c>
      <c r="M226" s="31">
        <v>25.0</v>
      </c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</row>
    <row r="227" ht="21.0" customHeight="1">
      <c r="A227" s="31">
        <v>1.71588291E8</v>
      </c>
      <c r="B227" s="31" t="s">
        <v>608</v>
      </c>
      <c r="C227" s="32">
        <v>1.8915269E7</v>
      </c>
      <c r="D227" s="32">
        <v>7426100.0</v>
      </c>
      <c r="E227" s="32">
        <v>1846121.0</v>
      </c>
      <c r="F227" s="32">
        <v>495824.0</v>
      </c>
      <c r="G227" s="32">
        <v>49228.0</v>
      </c>
      <c r="H227" s="32">
        <v>0.0</v>
      </c>
      <c r="I227" s="32">
        <v>6.03715289E8</v>
      </c>
      <c r="J227" s="32">
        <v>1.06086114E8</v>
      </c>
      <c r="K227" s="32">
        <v>6051.0</v>
      </c>
      <c r="L227" s="31" t="s">
        <v>66</v>
      </c>
      <c r="M227" s="31">
        <v>25.0</v>
      </c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</row>
    <row r="228" ht="21.0" customHeight="1">
      <c r="A228" s="31">
        <v>1.07309959E8</v>
      </c>
      <c r="B228" s="31" t="s">
        <v>229</v>
      </c>
      <c r="C228" s="32">
        <v>1.8697275E7</v>
      </c>
      <c r="D228" s="32">
        <v>880638.0</v>
      </c>
      <c r="E228" s="32">
        <v>633209.0</v>
      </c>
      <c r="F228" s="32">
        <v>19253.0</v>
      </c>
      <c r="G228" s="32">
        <v>0.0</v>
      </c>
      <c r="H228" s="32">
        <v>0.0</v>
      </c>
      <c r="I228" s="32">
        <v>4.366018112E9</v>
      </c>
      <c r="J228" s="32">
        <v>1.692E9</v>
      </c>
      <c r="K228" s="32">
        <v>2326.0</v>
      </c>
      <c r="L228" s="31" t="s">
        <v>327</v>
      </c>
      <c r="M228" s="31">
        <v>25.0</v>
      </c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</row>
    <row r="229" ht="21.0" customHeight="1">
      <c r="A229" s="40">
        <v>1.72587132E8</v>
      </c>
      <c r="B229" s="40" t="s">
        <v>212</v>
      </c>
      <c r="C229" s="41">
        <v>1.8452852E7</v>
      </c>
      <c r="D229" s="41">
        <v>4484283.0</v>
      </c>
      <c r="E229" s="41">
        <v>1579652.0</v>
      </c>
      <c r="F229" s="41">
        <v>383297.0</v>
      </c>
      <c r="G229" s="41">
        <v>14165.0</v>
      </c>
      <c r="H229" s="41">
        <v>0.0</v>
      </c>
      <c r="I229" s="41">
        <v>1.152819525E10</v>
      </c>
      <c r="J229" s="41">
        <v>1.0156449396E10</v>
      </c>
      <c r="K229" s="41">
        <v>3930.0</v>
      </c>
      <c r="L229" s="40" t="s">
        <v>147</v>
      </c>
      <c r="M229" s="40">
        <v>23.0</v>
      </c>
      <c r="N229" s="40"/>
      <c r="O229" s="40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</row>
    <row r="230" ht="21.0" customHeight="1">
      <c r="A230" s="40">
        <v>1.26974968E8</v>
      </c>
      <c r="B230" s="40" t="s">
        <v>244</v>
      </c>
      <c r="C230" s="41">
        <v>1.8341276E7</v>
      </c>
      <c r="D230" s="41">
        <v>1232807.0</v>
      </c>
      <c r="E230" s="41">
        <v>877225.0</v>
      </c>
      <c r="F230" s="41">
        <v>56920.0</v>
      </c>
      <c r="G230" s="41">
        <v>25459.0</v>
      </c>
      <c r="H230" s="41">
        <v>0.0</v>
      </c>
      <c r="I230" s="41">
        <v>8.895384831E9</v>
      </c>
      <c r="J230" s="41">
        <v>1.0155413938E10</v>
      </c>
      <c r="K230" s="41">
        <v>2643.0</v>
      </c>
      <c r="L230" s="40" t="s">
        <v>490</v>
      </c>
      <c r="M230" s="40">
        <v>24.0</v>
      </c>
      <c r="N230" s="40"/>
      <c r="O230" s="40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</row>
    <row r="231" ht="21.0" customHeight="1">
      <c r="A231" s="31">
        <v>1.7568772E8</v>
      </c>
      <c r="B231" s="31" t="s">
        <v>679</v>
      </c>
      <c r="C231" s="32">
        <v>1.8018414E7</v>
      </c>
      <c r="D231" s="32">
        <v>2.6338454E7</v>
      </c>
      <c r="E231" s="32">
        <v>414260.0</v>
      </c>
      <c r="F231" s="32">
        <v>2609019.0</v>
      </c>
      <c r="G231" s="32">
        <v>2858.0</v>
      </c>
      <c r="H231" s="32">
        <v>0.0</v>
      </c>
      <c r="I231" s="32">
        <v>4.285654714E9</v>
      </c>
      <c r="J231" s="32">
        <v>1.24762994E8</v>
      </c>
      <c r="K231" s="32">
        <v>1974.0</v>
      </c>
      <c r="L231" s="31" t="s">
        <v>66</v>
      </c>
      <c r="M231" s="31">
        <v>25.0</v>
      </c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</row>
    <row r="232" ht="21.0" customHeight="1">
      <c r="A232" s="40">
        <v>1.78556109E8</v>
      </c>
      <c r="B232" s="40" t="s">
        <v>248</v>
      </c>
      <c r="C232" s="41">
        <v>1.7692695E7</v>
      </c>
      <c r="D232" s="41">
        <v>1240300.0</v>
      </c>
      <c r="E232" s="41">
        <v>125805.0</v>
      </c>
      <c r="F232" s="41">
        <v>7308.0</v>
      </c>
      <c r="G232" s="41">
        <v>58361.0</v>
      </c>
      <c r="H232" s="41">
        <v>0.0</v>
      </c>
      <c r="I232" s="41">
        <v>1.143816743E10</v>
      </c>
      <c r="J232" s="41">
        <v>9.872016646E9</v>
      </c>
      <c r="K232" s="41">
        <v>3358.0</v>
      </c>
      <c r="L232" s="40" t="s">
        <v>327</v>
      </c>
      <c r="M232" s="40">
        <v>24.0</v>
      </c>
      <c r="N232" s="40"/>
      <c r="O232" s="40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</row>
    <row r="233" ht="21.0" customHeight="1">
      <c r="A233" s="31">
        <v>1.05661574E8</v>
      </c>
      <c r="B233" s="31" t="s">
        <v>505</v>
      </c>
      <c r="C233" s="32">
        <v>1.7671879E7</v>
      </c>
      <c r="D233" s="32">
        <v>2.9475965E7</v>
      </c>
      <c r="E233" s="32">
        <v>1309371.0</v>
      </c>
      <c r="F233" s="32">
        <v>2070947.0</v>
      </c>
      <c r="G233" s="32">
        <v>288144.0</v>
      </c>
      <c r="H233" s="32">
        <v>0.0</v>
      </c>
      <c r="I233" s="32">
        <v>8.24245214E9</v>
      </c>
      <c r="J233" s="32">
        <v>8.605176133E9</v>
      </c>
      <c r="K233" s="32">
        <v>4963.0</v>
      </c>
      <c r="L233" s="31" t="s">
        <v>147</v>
      </c>
      <c r="M233" s="31">
        <v>25.0</v>
      </c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</row>
    <row r="234" ht="21.0" customHeight="1">
      <c r="A234" s="31">
        <v>1.27147255E8</v>
      </c>
      <c r="B234" s="31" t="s">
        <v>249</v>
      </c>
      <c r="C234" s="32">
        <v>1.7536605E7</v>
      </c>
      <c r="D234" s="32">
        <v>1404762.0</v>
      </c>
      <c r="E234" s="32">
        <v>1620937.0</v>
      </c>
      <c r="F234" s="32">
        <v>23523.0</v>
      </c>
      <c r="G234" s="32">
        <v>57743.0</v>
      </c>
      <c r="H234" s="32">
        <v>0.0</v>
      </c>
      <c r="I234" s="32">
        <v>9.837805948E9</v>
      </c>
      <c r="J234" s="32">
        <v>1.3859252222E10</v>
      </c>
      <c r="K234" s="32">
        <v>2932.0</v>
      </c>
      <c r="L234" s="31" t="s">
        <v>490</v>
      </c>
      <c r="M234" s="31">
        <v>25.0</v>
      </c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</row>
    <row r="235" ht="21.0" customHeight="1">
      <c r="A235" s="40">
        <v>1.72730913E8</v>
      </c>
      <c r="B235" s="40" t="s">
        <v>221</v>
      </c>
      <c r="C235" s="41">
        <v>1.7475516E7</v>
      </c>
      <c r="D235" s="41">
        <v>0.0</v>
      </c>
      <c r="E235" s="41">
        <v>0.0</v>
      </c>
      <c r="F235" s="41">
        <v>0.0</v>
      </c>
      <c r="G235" s="41">
        <v>0.0</v>
      </c>
      <c r="H235" s="41">
        <v>0.0</v>
      </c>
      <c r="I235" s="41">
        <v>3.877786424E9</v>
      </c>
      <c r="J235" s="41">
        <v>1.54E7</v>
      </c>
      <c r="K235" s="41">
        <v>1461.0</v>
      </c>
      <c r="L235" s="40" t="s">
        <v>327</v>
      </c>
      <c r="M235" s="40">
        <v>23.0</v>
      </c>
      <c r="N235" s="40"/>
      <c r="O235" s="40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</row>
    <row r="236" ht="21.0" customHeight="1">
      <c r="A236" s="31">
        <v>1.16965425E8</v>
      </c>
      <c r="B236" s="31" t="s">
        <v>680</v>
      </c>
      <c r="C236" s="32">
        <v>1.7171726E7</v>
      </c>
      <c r="D236" s="32">
        <v>2301401.0</v>
      </c>
      <c r="E236" s="32">
        <v>1302828.0</v>
      </c>
      <c r="F236" s="32">
        <v>73673.0</v>
      </c>
      <c r="G236" s="32">
        <v>54482.0</v>
      </c>
      <c r="H236" s="32">
        <v>0.0</v>
      </c>
      <c r="I236" s="32">
        <v>2.824848565E9</v>
      </c>
      <c r="J236" s="32">
        <v>1.9604778E7</v>
      </c>
      <c r="K236" s="32">
        <v>3499.0</v>
      </c>
      <c r="L236" s="31" t="s">
        <v>66</v>
      </c>
      <c r="M236" s="31">
        <v>25.0</v>
      </c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</row>
    <row r="237" ht="21.0" customHeight="1">
      <c r="A237" s="31">
        <v>1.44034439E8</v>
      </c>
      <c r="B237" s="31" t="s">
        <v>235</v>
      </c>
      <c r="C237" s="32">
        <v>1.7047801E7</v>
      </c>
      <c r="D237" s="32">
        <v>3177936.0</v>
      </c>
      <c r="E237" s="32">
        <v>5053227.0</v>
      </c>
      <c r="F237" s="32">
        <v>106493.0</v>
      </c>
      <c r="G237" s="32">
        <v>88645.0</v>
      </c>
      <c r="H237" s="32">
        <v>0.0</v>
      </c>
      <c r="I237" s="32">
        <v>8.963345706E9</v>
      </c>
      <c r="J237" s="32">
        <v>0.0</v>
      </c>
      <c r="K237" s="32">
        <v>7228.0</v>
      </c>
      <c r="L237" s="31" t="s">
        <v>165</v>
      </c>
      <c r="M237" s="31">
        <v>25.0</v>
      </c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</row>
    <row r="238" ht="21.0" customHeight="1">
      <c r="A238" s="31">
        <v>1.44068963E8</v>
      </c>
      <c r="B238" s="31" t="s">
        <v>239</v>
      </c>
      <c r="C238" s="32">
        <v>1.6966868E7</v>
      </c>
      <c r="D238" s="32">
        <v>1242154.0</v>
      </c>
      <c r="E238" s="32">
        <v>1892316.0</v>
      </c>
      <c r="F238" s="32">
        <v>7009.0</v>
      </c>
      <c r="G238" s="32">
        <v>57313.0</v>
      </c>
      <c r="H238" s="32">
        <v>0.0</v>
      </c>
      <c r="I238" s="32">
        <v>1.76010346E9</v>
      </c>
      <c r="J238" s="32">
        <v>200000.0</v>
      </c>
      <c r="K238" s="32">
        <v>322.0</v>
      </c>
      <c r="L238" s="31" t="s">
        <v>240</v>
      </c>
      <c r="M238" s="31">
        <v>25.0</v>
      </c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</row>
    <row r="239" ht="21.0" customHeight="1">
      <c r="A239" s="40">
        <v>1.28213955E8</v>
      </c>
      <c r="B239" s="40" t="s">
        <v>253</v>
      </c>
      <c r="C239" s="41">
        <v>1.6811347E7</v>
      </c>
      <c r="D239" s="41">
        <v>75852.0</v>
      </c>
      <c r="E239" s="41">
        <v>0.0</v>
      </c>
      <c r="F239" s="41">
        <v>1254.0</v>
      </c>
      <c r="G239" s="41">
        <v>0.0</v>
      </c>
      <c r="H239" s="41">
        <v>0.0</v>
      </c>
      <c r="I239" s="41">
        <v>9.814129247E9</v>
      </c>
      <c r="J239" s="41">
        <v>1.1147508502E10</v>
      </c>
      <c r="K239" s="41">
        <v>2473.0</v>
      </c>
      <c r="L239" s="40" t="s">
        <v>490</v>
      </c>
      <c r="M239" s="40">
        <v>24.0</v>
      </c>
      <c r="N239" s="40"/>
      <c r="O239" s="40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</row>
    <row r="240" ht="21.0" customHeight="1">
      <c r="A240" s="40">
        <v>1.79309911E8</v>
      </c>
      <c r="B240" s="40" t="s">
        <v>250</v>
      </c>
      <c r="C240" s="41">
        <v>1.6709345E7</v>
      </c>
      <c r="D240" s="41">
        <v>3539957.0</v>
      </c>
      <c r="E240" s="41">
        <v>1463306.0</v>
      </c>
      <c r="F240" s="41">
        <v>321378.0</v>
      </c>
      <c r="G240" s="41">
        <v>5689.0</v>
      </c>
      <c r="H240" s="41">
        <v>0.0</v>
      </c>
      <c r="I240" s="41">
        <v>4.172602194E9</v>
      </c>
      <c r="J240" s="41">
        <v>2.29849922E9</v>
      </c>
      <c r="K240" s="41">
        <v>1264.0</v>
      </c>
      <c r="L240" s="40" t="s">
        <v>490</v>
      </c>
      <c r="M240" s="40">
        <v>24.0</v>
      </c>
      <c r="N240" s="40"/>
      <c r="O240" s="40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</row>
    <row r="241" ht="21.0" customHeight="1">
      <c r="A241" s="31">
        <v>6.9470044E7</v>
      </c>
      <c r="B241" s="31" t="s">
        <v>504</v>
      </c>
      <c r="C241" s="32">
        <v>1.627295E7</v>
      </c>
      <c r="D241" s="32">
        <v>5350334.0</v>
      </c>
      <c r="E241" s="32">
        <v>2720243.0</v>
      </c>
      <c r="F241" s="32">
        <v>219997.0</v>
      </c>
      <c r="G241" s="32">
        <v>70954.0</v>
      </c>
      <c r="H241" s="32">
        <v>0.0</v>
      </c>
      <c r="I241" s="32">
        <v>7.547123015E9</v>
      </c>
      <c r="J241" s="32">
        <v>6.476304962E9</v>
      </c>
      <c r="K241" s="32">
        <v>3387.0</v>
      </c>
      <c r="L241" s="31" t="s">
        <v>147</v>
      </c>
      <c r="M241" s="31">
        <v>25.0</v>
      </c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</row>
    <row r="242" ht="21.0" customHeight="1">
      <c r="A242" s="40">
        <v>1.77786882E8</v>
      </c>
      <c r="B242" s="40" t="s">
        <v>242</v>
      </c>
      <c r="C242" s="41">
        <v>1.5831606E7</v>
      </c>
      <c r="D242" s="41">
        <v>322815.0</v>
      </c>
      <c r="E242" s="41">
        <v>2048.0</v>
      </c>
      <c r="F242" s="41">
        <v>6051.0</v>
      </c>
      <c r="G242" s="41">
        <v>13113.0</v>
      </c>
      <c r="H242" s="41">
        <v>0.0</v>
      </c>
      <c r="I242" s="41">
        <v>1.0408635646E10</v>
      </c>
      <c r="J242" s="41">
        <v>4.663775764E9</v>
      </c>
      <c r="K242" s="41">
        <v>2816.0</v>
      </c>
      <c r="L242" s="40" t="s">
        <v>327</v>
      </c>
      <c r="M242" s="40">
        <v>24.0</v>
      </c>
      <c r="N242" s="40"/>
      <c r="O242" s="40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</row>
    <row r="243" ht="21.0" customHeight="1">
      <c r="A243" s="31">
        <v>1.43566984E8</v>
      </c>
      <c r="B243" s="31" t="s">
        <v>563</v>
      </c>
      <c r="C243" s="32">
        <v>1.5649156E7</v>
      </c>
      <c r="D243" s="32">
        <v>1.0752203E7</v>
      </c>
      <c r="E243" s="32">
        <v>822354.0</v>
      </c>
      <c r="F243" s="32">
        <v>810010.0</v>
      </c>
      <c r="G243" s="32">
        <v>51893.0</v>
      </c>
      <c r="H243" s="32">
        <v>0.0</v>
      </c>
      <c r="I243" s="32">
        <v>2.399848718E9</v>
      </c>
      <c r="J243" s="32">
        <v>1.924649E7</v>
      </c>
      <c r="K243" s="32">
        <v>11471.0</v>
      </c>
      <c r="L243" s="31" t="s">
        <v>411</v>
      </c>
      <c r="M243" s="31">
        <v>25.0</v>
      </c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</row>
    <row r="244" ht="21.0" customHeight="1">
      <c r="A244" s="40">
        <v>1.46678079E8</v>
      </c>
      <c r="B244" s="40" t="s">
        <v>558</v>
      </c>
      <c r="C244" s="41">
        <v>1.5628929E7</v>
      </c>
      <c r="D244" s="41">
        <v>2.3326006E7</v>
      </c>
      <c r="E244" s="41">
        <v>3376263.0</v>
      </c>
      <c r="F244" s="41">
        <v>1215131.0</v>
      </c>
      <c r="G244" s="41">
        <v>32770.0</v>
      </c>
      <c r="H244" s="41">
        <v>0.0</v>
      </c>
      <c r="I244" s="41">
        <v>1.727063204E9</v>
      </c>
      <c r="J244" s="41">
        <v>1.76777944E8</v>
      </c>
      <c r="K244" s="41">
        <v>1847.0</v>
      </c>
      <c r="L244" s="40" t="s">
        <v>147</v>
      </c>
      <c r="M244" s="40">
        <v>24.0</v>
      </c>
      <c r="N244" s="40"/>
      <c r="O244" s="40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</row>
    <row r="245" ht="21.0" customHeight="1">
      <c r="A245" s="31">
        <v>1.43620977E8</v>
      </c>
      <c r="B245" s="31" t="s">
        <v>609</v>
      </c>
      <c r="C245" s="32">
        <v>1.5566517E7</v>
      </c>
      <c r="D245" s="32">
        <v>5.200476E7</v>
      </c>
      <c r="E245" s="32">
        <v>332874.0</v>
      </c>
      <c r="F245" s="32">
        <v>3683186.0</v>
      </c>
      <c r="G245" s="32">
        <v>34407.0</v>
      </c>
      <c r="H245" s="32">
        <v>0.0</v>
      </c>
      <c r="I245" s="32">
        <v>1.713992871E9</v>
      </c>
      <c r="J245" s="32">
        <v>1.0987594E7</v>
      </c>
      <c r="K245" s="32">
        <v>6036.0</v>
      </c>
      <c r="L245" s="31" t="s">
        <v>66</v>
      </c>
      <c r="M245" s="31">
        <v>25.0</v>
      </c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</row>
    <row r="246" ht="21.0" customHeight="1">
      <c r="A246" s="40">
        <v>6.8552994E7</v>
      </c>
      <c r="B246" s="40" t="s">
        <v>246</v>
      </c>
      <c r="C246" s="41">
        <v>1.5545105E7</v>
      </c>
      <c r="D246" s="41">
        <v>1055186.0</v>
      </c>
      <c r="E246" s="41">
        <v>689492.0</v>
      </c>
      <c r="F246" s="41">
        <v>11356.0</v>
      </c>
      <c r="G246" s="41">
        <v>11638.0</v>
      </c>
      <c r="H246" s="41">
        <v>0.0</v>
      </c>
      <c r="I246" s="41">
        <v>7.721377949E9</v>
      </c>
      <c r="J246" s="41">
        <v>5.375385608E9</v>
      </c>
      <c r="K246" s="41">
        <v>4682.0</v>
      </c>
      <c r="L246" s="40" t="s">
        <v>327</v>
      </c>
      <c r="M246" s="40">
        <v>23.0</v>
      </c>
      <c r="N246" s="40"/>
      <c r="O246" s="40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</row>
    <row r="247" ht="21.0" customHeight="1">
      <c r="A247" s="31">
        <v>1.6997923E8</v>
      </c>
      <c r="B247" s="31" t="s">
        <v>610</v>
      </c>
      <c r="C247" s="32">
        <v>1.5524549E7</v>
      </c>
      <c r="D247" s="32">
        <v>977436.0</v>
      </c>
      <c r="E247" s="32">
        <v>341470.0</v>
      </c>
      <c r="F247" s="32">
        <v>82145.0</v>
      </c>
      <c r="G247" s="32">
        <v>0.0</v>
      </c>
      <c r="H247" s="32">
        <v>0.0</v>
      </c>
      <c r="I247" s="32">
        <v>2.432487546E9</v>
      </c>
      <c r="J247" s="32">
        <v>5.9604E7</v>
      </c>
      <c r="K247" s="32">
        <v>547.0</v>
      </c>
      <c r="L247" s="31" t="s">
        <v>66</v>
      </c>
      <c r="M247" s="31">
        <v>25.0</v>
      </c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</row>
    <row r="248" ht="21.0" customHeight="1">
      <c r="A248" s="40">
        <v>1.67715529E8</v>
      </c>
      <c r="B248" s="40" t="s">
        <v>257</v>
      </c>
      <c r="C248" s="41">
        <v>1.530002E7</v>
      </c>
      <c r="D248" s="41">
        <v>45360.0</v>
      </c>
      <c r="E248" s="41">
        <v>0.0</v>
      </c>
      <c r="F248" s="41">
        <v>1832.0</v>
      </c>
      <c r="G248" s="41">
        <v>1352.0</v>
      </c>
      <c r="H248" s="41">
        <v>0.0</v>
      </c>
      <c r="I248" s="41">
        <v>7.163231354E9</v>
      </c>
      <c r="J248" s="41">
        <v>3.479732369E9</v>
      </c>
      <c r="K248" s="41">
        <v>1532.0</v>
      </c>
      <c r="L248" s="40" t="s">
        <v>327</v>
      </c>
      <c r="M248" s="40">
        <v>24.0</v>
      </c>
      <c r="N248" s="40"/>
      <c r="O248" s="40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</row>
    <row r="249" ht="21.0" customHeight="1">
      <c r="A249" s="40">
        <v>1.81616674E8</v>
      </c>
      <c r="B249" s="40" t="s">
        <v>247</v>
      </c>
      <c r="C249" s="41">
        <v>1.520623E7</v>
      </c>
      <c r="D249" s="41">
        <v>0.0</v>
      </c>
      <c r="E249" s="41">
        <v>0.0</v>
      </c>
      <c r="F249" s="41">
        <v>0.0</v>
      </c>
      <c r="G249" s="41">
        <v>0.0</v>
      </c>
      <c r="H249" s="41">
        <v>0.0</v>
      </c>
      <c r="I249" s="41">
        <v>2.770039929E9</v>
      </c>
      <c r="J249" s="41">
        <v>1.734E9</v>
      </c>
      <c r="K249" s="41">
        <v>870.0</v>
      </c>
      <c r="L249" s="40" t="s">
        <v>327</v>
      </c>
      <c r="M249" s="40">
        <v>23.0</v>
      </c>
      <c r="N249" s="40"/>
      <c r="O249" s="40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</row>
    <row r="250" ht="21.0" customHeight="1">
      <c r="A250" s="40">
        <v>1.72508036E8</v>
      </c>
      <c r="B250" s="40" t="s">
        <v>502</v>
      </c>
      <c r="C250" s="41">
        <v>1.5002269E7</v>
      </c>
      <c r="D250" s="41">
        <v>1413508.0</v>
      </c>
      <c r="E250" s="41">
        <v>140168.0</v>
      </c>
      <c r="F250" s="41">
        <v>3651.0</v>
      </c>
      <c r="G250" s="41">
        <v>68670.0</v>
      </c>
      <c r="H250" s="41">
        <v>0.0</v>
      </c>
      <c r="I250" s="41">
        <v>2.339427093E9</v>
      </c>
      <c r="J250" s="41">
        <v>3.704E8</v>
      </c>
      <c r="K250" s="41">
        <v>914.0</v>
      </c>
      <c r="L250" s="40" t="s">
        <v>327</v>
      </c>
      <c r="M250" s="40">
        <v>24.0</v>
      </c>
      <c r="N250" s="40"/>
      <c r="O250" s="40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</row>
    <row r="251" ht="21.0" customHeight="1">
      <c r="A251" s="40">
        <v>1.72654424E8</v>
      </c>
      <c r="B251" s="40" t="s">
        <v>681</v>
      </c>
      <c r="C251" s="41">
        <v>1.4987178E7</v>
      </c>
      <c r="D251" s="41">
        <v>469656.0</v>
      </c>
      <c r="E251" s="41">
        <v>24491.0</v>
      </c>
      <c r="F251" s="41">
        <v>26973.0</v>
      </c>
      <c r="G251" s="41">
        <v>5786.0</v>
      </c>
      <c r="H251" s="41">
        <v>0.0</v>
      </c>
      <c r="I251" s="41">
        <v>4.615003069E9</v>
      </c>
      <c r="J251" s="41">
        <v>2.166630447E9</v>
      </c>
      <c r="K251" s="41">
        <v>1514.0</v>
      </c>
      <c r="L251" s="40" t="s">
        <v>490</v>
      </c>
      <c r="M251" s="40">
        <v>23.0</v>
      </c>
      <c r="N251" s="40"/>
      <c r="O251" s="40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</row>
    <row r="252" ht="21.0" customHeight="1">
      <c r="A252" s="31">
        <v>1.44060116E8</v>
      </c>
      <c r="B252" s="31" t="s">
        <v>559</v>
      </c>
      <c r="C252" s="32">
        <v>1.4961261E7</v>
      </c>
      <c r="D252" s="32">
        <v>1332207.0</v>
      </c>
      <c r="E252" s="32">
        <v>1689240.0</v>
      </c>
      <c r="F252" s="32">
        <v>115100.0</v>
      </c>
      <c r="G252" s="32">
        <v>7005.0</v>
      </c>
      <c r="H252" s="32">
        <v>0.0</v>
      </c>
      <c r="I252" s="32">
        <v>2.9342582E9</v>
      </c>
      <c r="J252" s="32">
        <v>0.0</v>
      </c>
      <c r="K252" s="32">
        <v>1680.0</v>
      </c>
      <c r="L252" s="31" t="s">
        <v>411</v>
      </c>
      <c r="M252" s="31">
        <v>25.0</v>
      </c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</row>
    <row r="253" ht="21.0" customHeight="1">
      <c r="A253" s="40">
        <v>1.90203348E8</v>
      </c>
      <c r="B253" s="40" t="s">
        <v>237</v>
      </c>
      <c r="C253" s="41">
        <v>1.4809308E7</v>
      </c>
      <c r="D253" s="41">
        <v>943.0</v>
      </c>
      <c r="E253" s="41">
        <v>0.0</v>
      </c>
      <c r="F253" s="41">
        <v>0.0</v>
      </c>
      <c r="G253" s="41">
        <v>0.0</v>
      </c>
      <c r="H253" s="41">
        <v>0.0</v>
      </c>
      <c r="I253" s="41">
        <v>3.047247346E9</v>
      </c>
      <c r="J253" s="41">
        <v>8.17185964E8</v>
      </c>
      <c r="K253" s="41">
        <v>862.0</v>
      </c>
      <c r="L253" s="40" t="s">
        <v>147</v>
      </c>
      <c r="M253" s="40">
        <v>24.0</v>
      </c>
      <c r="N253" s="40"/>
      <c r="O253" s="40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</row>
    <row r="254" ht="21.0" customHeight="1">
      <c r="A254" s="31">
        <v>1.75281453E8</v>
      </c>
      <c r="B254" s="31" t="s">
        <v>262</v>
      </c>
      <c r="C254" s="32">
        <v>1.4791138E7</v>
      </c>
      <c r="D254" s="32">
        <v>1.1954831E7</v>
      </c>
      <c r="E254" s="32">
        <v>792966.0</v>
      </c>
      <c r="F254" s="32">
        <v>320703.0</v>
      </c>
      <c r="G254" s="32">
        <v>245105.0</v>
      </c>
      <c r="H254" s="32">
        <v>0.0</v>
      </c>
      <c r="I254" s="32">
        <v>3.795550354E9</v>
      </c>
      <c r="J254" s="32">
        <v>2.785644157E9</v>
      </c>
      <c r="K254" s="32">
        <v>12668.0</v>
      </c>
      <c r="L254" s="31" t="s">
        <v>34</v>
      </c>
      <c r="M254" s="31">
        <v>25.0</v>
      </c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</row>
    <row r="255" ht="21.0" customHeight="1">
      <c r="A255" s="40">
        <v>1.31105326E8</v>
      </c>
      <c r="B255" s="40" t="s">
        <v>271</v>
      </c>
      <c r="C255" s="41">
        <v>1.4642644E7</v>
      </c>
      <c r="D255" s="41">
        <v>52342.0</v>
      </c>
      <c r="E255" s="41">
        <v>0.0</v>
      </c>
      <c r="F255" s="41">
        <v>3649.0</v>
      </c>
      <c r="G255" s="41">
        <v>0.0</v>
      </c>
      <c r="H255" s="41">
        <v>0.0</v>
      </c>
      <c r="I255" s="41">
        <v>7.710830128E9</v>
      </c>
      <c r="J255" s="41">
        <v>8.684689687E9</v>
      </c>
      <c r="K255" s="41">
        <v>1611.0</v>
      </c>
      <c r="L255" s="40" t="s">
        <v>490</v>
      </c>
      <c r="M255" s="40">
        <v>24.0</v>
      </c>
      <c r="N255" s="40"/>
      <c r="O255" s="40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</row>
    <row r="256" ht="21.0" customHeight="1">
      <c r="A256" s="31">
        <v>1.06264973E8</v>
      </c>
      <c r="B256" s="31" t="s">
        <v>506</v>
      </c>
      <c r="C256" s="32">
        <v>1.4484873E7</v>
      </c>
      <c r="D256" s="32">
        <v>8880223.0</v>
      </c>
      <c r="E256" s="32">
        <v>1336041.0</v>
      </c>
      <c r="F256" s="32">
        <v>689374.0</v>
      </c>
      <c r="G256" s="32">
        <v>25642.0</v>
      </c>
      <c r="H256" s="32">
        <v>0.0</v>
      </c>
      <c r="I256" s="32">
        <v>4.809131512E9</v>
      </c>
      <c r="J256" s="32">
        <v>2.637422044E9</v>
      </c>
      <c r="K256" s="32">
        <v>13500.0</v>
      </c>
      <c r="L256" s="31" t="s">
        <v>327</v>
      </c>
      <c r="M256" s="31">
        <v>25.0</v>
      </c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</row>
    <row r="257" ht="21.0" customHeight="1">
      <c r="A257" s="40">
        <v>1.67721298E8</v>
      </c>
      <c r="B257" s="40" t="s">
        <v>266</v>
      </c>
      <c r="C257" s="41">
        <v>1.4384061E7</v>
      </c>
      <c r="D257" s="41">
        <v>8847504.0</v>
      </c>
      <c r="E257" s="41">
        <v>1497386.0</v>
      </c>
      <c r="F257" s="41">
        <v>642441.0</v>
      </c>
      <c r="G257" s="41">
        <v>108602.0</v>
      </c>
      <c r="H257" s="41">
        <v>0.0</v>
      </c>
      <c r="I257" s="41">
        <v>1.1776753015E10</v>
      </c>
      <c r="J257" s="41">
        <v>9.287811063E9</v>
      </c>
      <c r="K257" s="41">
        <v>2079.0</v>
      </c>
      <c r="L257" s="40" t="s">
        <v>490</v>
      </c>
      <c r="M257" s="40">
        <v>24.0</v>
      </c>
      <c r="N257" s="40"/>
      <c r="O257" s="40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</row>
    <row r="258" ht="21.0" customHeight="1">
      <c r="A258" s="31">
        <v>1.43342577E8</v>
      </c>
      <c r="B258" s="31" t="s">
        <v>682</v>
      </c>
      <c r="C258" s="32">
        <v>1.4353931E7</v>
      </c>
      <c r="D258" s="32">
        <v>1476241.0</v>
      </c>
      <c r="E258" s="32">
        <v>14675.0</v>
      </c>
      <c r="F258" s="32">
        <v>51748.0</v>
      </c>
      <c r="G258" s="32">
        <v>1235.0</v>
      </c>
      <c r="H258" s="32">
        <v>0.0</v>
      </c>
      <c r="I258" s="32">
        <v>2.140345187E9</v>
      </c>
      <c r="J258" s="32">
        <v>0.0</v>
      </c>
      <c r="K258" s="32">
        <v>13014.0</v>
      </c>
      <c r="L258" s="31" t="s">
        <v>66</v>
      </c>
      <c r="M258" s="31">
        <v>25.0</v>
      </c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</row>
    <row r="259" ht="21.0" customHeight="1">
      <c r="A259" s="31">
        <v>1.80504744E8</v>
      </c>
      <c r="B259" s="31" t="s">
        <v>384</v>
      </c>
      <c r="C259" s="32">
        <v>1.4274047E7</v>
      </c>
      <c r="D259" s="32">
        <v>63296.0</v>
      </c>
      <c r="E259" s="32">
        <v>183910.0</v>
      </c>
      <c r="F259" s="32">
        <v>3864.0</v>
      </c>
      <c r="G259" s="32">
        <v>951.0</v>
      </c>
      <c r="H259" s="32">
        <v>0.0</v>
      </c>
      <c r="I259" s="32">
        <v>1.886920447E9</v>
      </c>
      <c r="J259" s="32">
        <v>3.2E8</v>
      </c>
      <c r="K259" s="32">
        <v>736.0</v>
      </c>
      <c r="L259" s="31" t="s">
        <v>147</v>
      </c>
      <c r="M259" s="31">
        <v>25.0</v>
      </c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</row>
    <row r="260" ht="21.0" customHeight="1">
      <c r="A260" s="40">
        <v>9.0073079E7</v>
      </c>
      <c r="B260" s="40" t="s">
        <v>275</v>
      </c>
      <c r="C260" s="41">
        <v>1.4235182E7</v>
      </c>
      <c r="D260" s="41">
        <v>442264.0</v>
      </c>
      <c r="E260" s="41">
        <v>12587.0</v>
      </c>
      <c r="F260" s="41">
        <v>8707.0</v>
      </c>
      <c r="G260" s="41">
        <v>0.0</v>
      </c>
      <c r="H260" s="41">
        <v>0.0</v>
      </c>
      <c r="I260" s="41">
        <v>1.2072865238E10</v>
      </c>
      <c r="J260" s="41">
        <v>1.404924399E10</v>
      </c>
      <c r="K260" s="41">
        <v>5188.0</v>
      </c>
      <c r="L260" s="40" t="s">
        <v>490</v>
      </c>
      <c r="M260" s="40">
        <v>22.0</v>
      </c>
      <c r="N260" s="40"/>
      <c r="O260" s="40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</row>
    <row r="261" ht="21.0" customHeight="1">
      <c r="A261" s="40">
        <v>1.92309473E8</v>
      </c>
      <c r="B261" s="40" t="s">
        <v>270</v>
      </c>
      <c r="C261" s="41">
        <v>1.4109159E7</v>
      </c>
      <c r="D261" s="41">
        <v>0.0</v>
      </c>
      <c r="E261" s="41">
        <v>0.0</v>
      </c>
      <c r="F261" s="41">
        <v>0.0</v>
      </c>
      <c r="G261" s="41">
        <v>0.0</v>
      </c>
      <c r="H261" s="41">
        <v>0.0</v>
      </c>
      <c r="I261" s="41">
        <v>4.858190279E9</v>
      </c>
      <c r="J261" s="41">
        <v>9.17520522E8</v>
      </c>
      <c r="K261" s="41">
        <v>1136.0</v>
      </c>
      <c r="L261" s="40" t="s">
        <v>327</v>
      </c>
      <c r="M261" s="40">
        <v>24.0</v>
      </c>
      <c r="N261" s="40"/>
      <c r="O261" s="40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</row>
    <row r="262" ht="21.0" customHeight="1">
      <c r="A262" s="40">
        <v>8.7312053E7</v>
      </c>
      <c r="B262" s="40" t="s">
        <v>279</v>
      </c>
      <c r="C262" s="41">
        <v>1.399864E7</v>
      </c>
      <c r="D262" s="41">
        <v>1422545.0</v>
      </c>
      <c r="E262" s="41">
        <v>137846.0</v>
      </c>
      <c r="F262" s="41">
        <v>11703.0</v>
      </c>
      <c r="G262" s="41">
        <v>0.0</v>
      </c>
      <c r="H262" s="41">
        <v>0.0</v>
      </c>
      <c r="I262" s="41">
        <v>1.1631979703E10</v>
      </c>
      <c r="J262" s="41">
        <v>1.2302695274E10</v>
      </c>
      <c r="K262" s="41">
        <v>6507.0</v>
      </c>
      <c r="L262" s="40" t="s">
        <v>490</v>
      </c>
      <c r="M262" s="40">
        <v>22.0</v>
      </c>
      <c r="N262" s="40"/>
      <c r="O262" s="40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</row>
    <row r="263" ht="21.0" customHeight="1">
      <c r="A263" s="40">
        <v>1.92376835E8</v>
      </c>
      <c r="B263" s="40" t="s">
        <v>272</v>
      </c>
      <c r="C263" s="41">
        <v>1.3902317E7</v>
      </c>
      <c r="D263" s="41">
        <v>0.0</v>
      </c>
      <c r="E263" s="41">
        <v>0.0</v>
      </c>
      <c r="F263" s="41">
        <v>0.0</v>
      </c>
      <c r="G263" s="41">
        <v>0.0</v>
      </c>
      <c r="H263" s="41">
        <v>0.0</v>
      </c>
      <c r="I263" s="41">
        <v>4.672969301E9</v>
      </c>
      <c r="J263" s="41">
        <v>1.015792167E9</v>
      </c>
      <c r="K263" s="41">
        <v>1158.0</v>
      </c>
      <c r="L263" s="40" t="s">
        <v>327</v>
      </c>
      <c r="M263" s="40">
        <v>24.0</v>
      </c>
      <c r="N263" s="40"/>
      <c r="O263" s="40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</row>
    <row r="264" ht="21.0" customHeight="1">
      <c r="A264" s="40">
        <v>7.9098771E7</v>
      </c>
      <c r="B264" s="40" t="s">
        <v>508</v>
      </c>
      <c r="C264" s="41">
        <v>1.3842746E7</v>
      </c>
      <c r="D264" s="41">
        <v>2548139.0</v>
      </c>
      <c r="E264" s="41">
        <v>606164.0</v>
      </c>
      <c r="F264" s="41">
        <v>166025.0</v>
      </c>
      <c r="G264" s="41">
        <v>44126.0</v>
      </c>
      <c r="H264" s="41">
        <v>0.0</v>
      </c>
      <c r="I264" s="41">
        <v>8.759345199E9</v>
      </c>
      <c r="J264" s="41">
        <v>7.593529434E9</v>
      </c>
      <c r="K264" s="41">
        <v>1714.0</v>
      </c>
      <c r="L264" s="40" t="s">
        <v>147</v>
      </c>
      <c r="M264" s="40">
        <v>23.0</v>
      </c>
      <c r="N264" s="40"/>
      <c r="O264" s="40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</row>
    <row r="265" ht="21.0" customHeight="1">
      <c r="A265" s="40">
        <v>1.48245743E8</v>
      </c>
      <c r="B265" s="40" t="s">
        <v>484</v>
      </c>
      <c r="C265" s="41">
        <v>1.3661464E7</v>
      </c>
      <c r="D265" s="41">
        <v>2804575.0</v>
      </c>
      <c r="E265" s="41">
        <v>718507.0</v>
      </c>
      <c r="F265" s="41">
        <v>94334.0</v>
      </c>
      <c r="G265" s="41">
        <v>85451.0</v>
      </c>
      <c r="H265" s="41">
        <v>0.0</v>
      </c>
      <c r="I265" s="41">
        <v>1.150069659E9</v>
      </c>
      <c r="J265" s="41">
        <v>0.0</v>
      </c>
      <c r="K265" s="41">
        <v>435.0</v>
      </c>
      <c r="L265" s="40" t="s">
        <v>147</v>
      </c>
      <c r="M265" s="40">
        <v>24.0</v>
      </c>
      <c r="N265" s="40"/>
      <c r="O265" s="40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</row>
    <row r="266" ht="21.0" customHeight="1">
      <c r="A266" s="40">
        <v>8.9432154E7</v>
      </c>
      <c r="B266" s="40" t="s">
        <v>285</v>
      </c>
      <c r="C266" s="41">
        <v>1.3527869E7</v>
      </c>
      <c r="D266" s="41">
        <v>2306854.0</v>
      </c>
      <c r="E266" s="41">
        <v>552580.0</v>
      </c>
      <c r="F266" s="41">
        <v>192874.0</v>
      </c>
      <c r="G266" s="41">
        <v>0.0</v>
      </c>
      <c r="H266" s="41">
        <v>0.0</v>
      </c>
      <c r="I266" s="41">
        <v>1.2002318952E10</v>
      </c>
      <c r="J266" s="41">
        <v>1.3564085239E10</v>
      </c>
      <c r="K266" s="41">
        <v>4613.0</v>
      </c>
      <c r="L266" s="40" t="s">
        <v>490</v>
      </c>
      <c r="M266" s="40">
        <v>22.0</v>
      </c>
      <c r="N266" s="40"/>
      <c r="O266" s="40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</row>
    <row r="267" ht="21.0" customHeight="1">
      <c r="A267" s="40">
        <v>1.44078795E8</v>
      </c>
      <c r="B267" s="40" t="s">
        <v>263</v>
      </c>
      <c r="C267" s="41">
        <v>1.3414942E7</v>
      </c>
      <c r="D267" s="41">
        <v>508139.0</v>
      </c>
      <c r="E267" s="41">
        <v>622978.0</v>
      </c>
      <c r="F267" s="41">
        <v>40282.0</v>
      </c>
      <c r="G267" s="41">
        <v>5056.0</v>
      </c>
      <c r="H267" s="41">
        <v>0.0</v>
      </c>
      <c r="I267" s="41">
        <v>8575465.0</v>
      </c>
      <c r="J267" s="41">
        <v>3904993.0</v>
      </c>
      <c r="K267" s="41">
        <v>1665.0</v>
      </c>
      <c r="L267" s="40" t="s">
        <v>264</v>
      </c>
      <c r="M267" s="40">
        <v>22.0</v>
      </c>
      <c r="N267" s="40"/>
      <c r="O267" s="40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</row>
    <row r="268" ht="21.0" customHeight="1">
      <c r="A268" s="40">
        <v>1.5265234E8</v>
      </c>
      <c r="B268" s="40" t="s">
        <v>286</v>
      </c>
      <c r="C268" s="41">
        <v>1.3393146E7</v>
      </c>
      <c r="D268" s="41">
        <v>3280939.0</v>
      </c>
      <c r="E268" s="41">
        <v>2379037.0</v>
      </c>
      <c r="F268" s="41">
        <v>179178.0</v>
      </c>
      <c r="G268" s="41">
        <v>53452.0</v>
      </c>
      <c r="H268" s="41">
        <v>0.0</v>
      </c>
      <c r="I268" s="41">
        <v>7.919920766E9</v>
      </c>
      <c r="J268" s="41">
        <v>5.840859107E9</v>
      </c>
      <c r="K268" s="41">
        <v>1587.0</v>
      </c>
      <c r="L268" s="40" t="s">
        <v>490</v>
      </c>
      <c r="M268" s="40">
        <v>24.0</v>
      </c>
      <c r="N268" s="40"/>
      <c r="O268" s="40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</row>
    <row r="269" ht="21.0" customHeight="1">
      <c r="A269" s="40">
        <v>1.72821289E8</v>
      </c>
      <c r="B269" s="40" t="s">
        <v>683</v>
      </c>
      <c r="C269" s="41">
        <v>1.3387783E7</v>
      </c>
      <c r="D269" s="41">
        <v>1293544.0</v>
      </c>
      <c r="E269" s="41">
        <v>586120.0</v>
      </c>
      <c r="F269" s="41">
        <v>53679.0</v>
      </c>
      <c r="G269" s="41">
        <v>15020.0</v>
      </c>
      <c r="H269" s="41">
        <v>0.0</v>
      </c>
      <c r="I269" s="41">
        <v>4.577835787E9</v>
      </c>
      <c r="J269" s="41">
        <v>1.493018905E9</v>
      </c>
      <c r="K269" s="41">
        <v>1390.0</v>
      </c>
      <c r="L269" s="40" t="s">
        <v>490</v>
      </c>
      <c r="M269" s="40">
        <v>23.0</v>
      </c>
      <c r="N269" s="40"/>
      <c r="O269" s="40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</row>
    <row r="270" ht="21.0" customHeight="1">
      <c r="A270" s="40">
        <v>8.7754003E7</v>
      </c>
      <c r="B270" s="40" t="s">
        <v>470</v>
      </c>
      <c r="C270" s="41">
        <v>1.3323797E7</v>
      </c>
      <c r="D270" s="41">
        <v>478058.0</v>
      </c>
      <c r="E270" s="41">
        <v>11855.0</v>
      </c>
      <c r="F270" s="41">
        <v>9348.0</v>
      </c>
      <c r="G270" s="41">
        <v>0.0</v>
      </c>
      <c r="H270" s="41">
        <v>0.0</v>
      </c>
      <c r="I270" s="41">
        <v>8.491332483E9</v>
      </c>
      <c r="J270" s="41">
        <v>9.263364847E9</v>
      </c>
      <c r="K270" s="41">
        <v>5129.0</v>
      </c>
      <c r="L270" s="40" t="s">
        <v>490</v>
      </c>
      <c r="M270" s="40">
        <v>22.0</v>
      </c>
      <c r="N270" s="40"/>
      <c r="O270" s="40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</row>
    <row r="271" ht="21.0" customHeight="1">
      <c r="A271" s="40">
        <v>1.76614955E8</v>
      </c>
      <c r="B271" s="40" t="s">
        <v>274</v>
      </c>
      <c r="C271" s="41">
        <v>1.3238084E7</v>
      </c>
      <c r="D271" s="41">
        <v>2911595.0</v>
      </c>
      <c r="E271" s="41">
        <v>178776.0</v>
      </c>
      <c r="F271" s="41">
        <v>246985.0</v>
      </c>
      <c r="G271" s="41">
        <v>1.0</v>
      </c>
      <c r="H271" s="41">
        <v>0.0</v>
      </c>
      <c r="I271" s="41">
        <v>9.512817953E9</v>
      </c>
      <c r="J271" s="41">
        <v>8.197954168E9</v>
      </c>
      <c r="K271" s="41">
        <v>4787.0</v>
      </c>
      <c r="L271" s="40" t="s">
        <v>327</v>
      </c>
      <c r="M271" s="40">
        <v>24.0</v>
      </c>
      <c r="N271" s="40"/>
      <c r="O271" s="40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</row>
    <row r="272" ht="21.0" customHeight="1">
      <c r="A272" s="31">
        <v>1.69610538E8</v>
      </c>
      <c r="B272" s="31" t="s">
        <v>613</v>
      </c>
      <c r="C272" s="32">
        <v>1.3233976E7</v>
      </c>
      <c r="D272" s="32">
        <v>492926.0</v>
      </c>
      <c r="E272" s="32">
        <v>1569585.0</v>
      </c>
      <c r="F272" s="32">
        <v>4092.0</v>
      </c>
      <c r="G272" s="32">
        <v>21064.0</v>
      </c>
      <c r="H272" s="32">
        <v>0.0</v>
      </c>
      <c r="I272" s="32">
        <v>8.472693223E9</v>
      </c>
      <c r="J272" s="32">
        <v>4.669995414E9</v>
      </c>
      <c r="K272" s="32">
        <v>1462.0</v>
      </c>
      <c r="L272" s="31" t="s">
        <v>490</v>
      </c>
      <c r="M272" s="31">
        <v>25.0</v>
      </c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</row>
    <row r="273" ht="21.0" customHeight="1">
      <c r="A273" s="40">
        <v>8.7531547E7</v>
      </c>
      <c r="B273" s="40" t="s">
        <v>288</v>
      </c>
      <c r="C273" s="41">
        <v>1.316376E7</v>
      </c>
      <c r="D273" s="41">
        <v>1588813.0</v>
      </c>
      <c r="E273" s="41">
        <v>692135.0</v>
      </c>
      <c r="F273" s="41">
        <v>82124.0</v>
      </c>
      <c r="G273" s="41">
        <v>962.0</v>
      </c>
      <c r="H273" s="41">
        <v>0.0</v>
      </c>
      <c r="I273" s="41">
        <v>1.088797859E10</v>
      </c>
      <c r="J273" s="41">
        <v>1.1769149917E10</v>
      </c>
      <c r="K273" s="41">
        <v>4050.0</v>
      </c>
      <c r="L273" s="40" t="s">
        <v>490</v>
      </c>
      <c r="M273" s="40">
        <v>22.0</v>
      </c>
      <c r="N273" s="40"/>
      <c r="O273" s="40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</row>
    <row r="274" ht="21.0" customHeight="1">
      <c r="A274" s="40">
        <v>1.43566987E8</v>
      </c>
      <c r="B274" s="40" t="s">
        <v>476</v>
      </c>
      <c r="C274" s="41">
        <v>1.3145594E7</v>
      </c>
      <c r="D274" s="41">
        <v>3722974.0</v>
      </c>
      <c r="E274" s="41">
        <v>251193.0</v>
      </c>
      <c r="F274" s="41">
        <v>164406.0</v>
      </c>
      <c r="G274" s="41">
        <v>0.0</v>
      </c>
      <c r="H274" s="41">
        <v>0.0</v>
      </c>
      <c r="I274" s="41">
        <v>6.65822284E8</v>
      </c>
      <c r="J274" s="41">
        <v>1.18868156E8</v>
      </c>
      <c r="K274" s="41">
        <v>10243.0</v>
      </c>
      <c r="L274" s="40" t="s">
        <v>66</v>
      </c>
      <c r="M274" s="40">
        <v>24.0</v>
      </c>
      <c r="N274" s="40"/>
      <c r="O274" s="40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</row>
    <row r="275" ht="21.0" customHeight="1">
      <c r="A275" s="40">
        <v>1.52653457E8</v>
      </c>
      <c r="B275" s="40" t="s">
        <v>287</v>
      </c>
      <c r="C275" s="41">
        <v>1.3066811E7</v>
      </c>
      <c r="D275" s="41">
        <v>3195669.0</v>
      </c>
      <c r="E275" s="41">
        <v>2692068.0</v>
      </c>
      <c r="F275" s="41">
        <v>144359.0</v>
      </c>
      <c r="G275" s="41">
        <v>72708.0</v>
      </c>
      <c r="H275" s="41">
        <v>0.0</v>
      </c>
      <c r="I275" s="41">
        <v>7.906702788E9</v>
      </c>
      <c r="J275" s="41">
        <v>5.796085395E9</v>
      </c>
      <c r="K275" s="41">
        <v>1512.0</v>
      </c>
      <c r="L275" s="40" t="s">
        <v>490</v>
      </c>
      <c r="M275" s="40">
        <v>24.0</v>
      </c>
      <c r="N275" s="40"/>
      <c r="O275" s="40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</row>
    <row r="276" ht="21.0" customHeight="1">
      <c r="A276" s="40">
        <v>1.47838618E8</v>
      </c>
      <c r="B276" s="40" t="s">
        <v>684</v>
      </c>
      <c r="C276" s="41">
        <v>1.2991311E7</v>
      </c>
      <c r="D276" s="41">
        <v>1.5425274E7</v>
      </c>
      <c r="E276" s="41">
        <v>2243120.0</v>
      </c>
      <c r="F276" s="41">
        <v>774951.0</v>
      </c>
      <c r="G276" s="41">
        <v>26514.0</v>
      </c>
      <c r="H276" s="41">
        <v>0.0</v>
      </c>
      <c r="I276" s="41">
        <v>1.317311422E9</v>
      </c>
      <c r="J276" s="41">
        <v>1.31500809E8</v>
      </c>
      <c r="K276" s="41">
        <v>1247.0</v>
      </c>
      <c r="L276" s="40" t="s">
        <v>327</v>
      </c>
      <c r="M276" s="40">
        <v>23.0</v>
      </c>
      <c r="N276" s="40"/>
      <c r="O276" s="40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</row>
    <row r="277" ht="21.0" customHeight="1">
      <c r="A277" s="40">
        <v>1.83302822E8</v>
      </c>
      <c r="B277" s="40" t="s">
        <v>280</v>
      </c>
      <c r="C277" s="41">
        <v>1.2965824E7</v>
      </c>
      <c r="D277" s="41">
        <v>877526.0</v>
      </c>
      <c r="E277" s="41">
        <v>1168563.0</v>
      </c>
      <c r="F277" s="41">
        <v>64450.0</v>
      </c>
      <c r="G277" s="41">
        <v>4027.0</v>
      </c>
      <c r="H277" s="41">
        <v>0.0</v>
      </c>
      <c r="I277" s="41">
        <v>3.150720608E9</v>
      </c>
      <c r="J277" s="41">
        <v>2.005910997E9</v>
      </c>
      <c r="K277" s="41">
        <v>1196.0</v>
      </c>
      <c r="L277" s="40" t="s">
        <v>327</v>
      </c>
      <c r="M277" s="40">
        <v>24.0</v>
      </c>
      <c r="N277" s="40"/>
      <c r="O277" s="40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</row>
    <row r="278" ht="21.0" customHeight="1">
      <c r="A278" s="40">
        <v>1.44056117E8</v>
      </c>
      <c r="B278" s="40" t="s">
        <v>269</v>
      </c>
      <c r="C278" s="41">
        <v>1.2923996E7</v>
      </c>
      <c r="D278" s="41">
        <v>2461596.0</v>
      </c>
      <c r="E278" s="41">
        <v>343917.0</v>
      </c>
      <c r="F278" s="41">
        <v>134161.0</v>
      </c>
      <c r="G278" s="41">
        <v>0.0</v>
      </c>
      <c r="H278" s="41">
        <v>0.0</v>
      </c>
      <c r="I278" s="41">
        <v>1.762788364E9</v>
      </c>
      <c r="J278" s="41">
        <v>1030848.0</v>
      </c>
      <c r="K278" s="41">
        <v>743.0</v>
      </c>
      <c r="L278" s="40" t="s">
        <v>165</v>
      </c>
      <c r="M278" s="40">
        <v>23.0</v>
      </c>
      <c r="N278" s="40"/>
      <c r="O278" s="40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</row>
    <row r="279" ht="21.0" customHeight="1">
      <c r="A279" s="40">
        <v>279559.0</v>
      </c>
      <c r="B279" s="40" t="s">
        <v>564</v>
      </c>
      <c r="C279" s="41">
        <v>1.2916594E7</v>
      </c>
      <c r="D279" s="41">
        <v>306192.0</v>
      </c>
      <c r="E279" s="41">
        <v>260901.0</v>
      </c>
      <c r="F279" s="41">
        <v>26054.0</v>
      </c>
      <c r="G279" s="41">
        <v>1137.0</v>
      </c>
      <c r="H279" s="41">
        <v>0.0</v>
      </c>
      <c r="I279" s="41">
        <v>1.336371744E9</v>
      </c>
      <c r="J279" s="41">
        <v>0.0</v>
      </c>
      <c r="K279" s="41">
        <v>1039.0</v>
      </c>
      <c r="L279" s="40" t="s">
        <v>66</v>
      </c>
      <c r="M279" s="40">
        <v>22.0</v>
      </c>
      <c r="N279" s="40"/>
      <c r="O279" s="40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</row>
    <row r="280" ht="21.0" customHeight="1">
      <c r="A280" s="40">
        <v>1.51248241E8</v>
      </c>
      <c r="B280" s="40" t="s">
        <v>290</v>
      </c>
      <c r="C280" s="41">
        <v>1.2804726E7</v>
      </c>
      <c r="D280" s="41">
        <v>1371541.0</v>
      </c>
      <c r="E280" s="41">
        <v>94486.0</v>
      </c>
      <c r="F280" s="41">
        <v>126790.0</v>
      </c>
      <c r="G280" s="41">
        <v>0.0</v>
      </c>
      <c r="H280" s="41">
        <v>0.0</v>
      </c>
      <c r="I280" s="41">
        <v>2.533791831E9</v>
      </c>
      <c r="J280" s="41">
        <v>3.01442419E8</v>
      </c>
      <c r="K280" s="41">
        <v>5873.0</v>
      </c>
      <c r="L280" s="40" t="s">
        <v>327</v>
      </c>
      <c r="M280" s="40">
        <v>24.0</v>
      </c>
      <c r="N280" s="40"/>
      <c r="O280" s="40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</row>
    <row r="281" ht="21.0" customHeight="1">
      <c r="A281" s="40">
        <v>2.4777206E7</v>
      </c>
      <c r="B281" s="40" t="s">
        <v>289</v>
      </c>
      <c r="C281" s="41">
        <v>1.2795074E7</v>
      </c>
      <c r="D281" s="41">
        <v>3178989.0</v>
      </c>
      <c r="E281" s="41">
        <v>1435029.0</v>
      </c>
      <c r="F281" s="41">
        <v>52691.0</v>
      </c>
      <c r="G281" s="41">
        <v>90243.0</v>
      </c>
      <c r="H281" s="41">
        <v>0.0</v>
      </c>
      <c r="I281" s="41">
        <v>3.954025145E9</v>
      </c>
      <c r="J281" s="41">
        <v>5.813477761E9</v>
      </c>
      <c r="K281" s="41">
        <v>2563.0</v>
      </c>
      <c r="L281" s="40" t="s">
        <v>327</v>
      </c>
      <c r="M281" s="40">
        <v>23.0</v>
      </c>
      <c r="N281" s="40"/>
      <c r="O281" s="40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</row>
    <row r="282" ht="21.0" customHeight="1">
      <c r="A282" s="31">
        <v>1.80743895E8</v>
      </c>
      <c r="B282" s="31" t="s">
        <v>435</v>
      </c>
      <c r="C282" s="32">
        <v>1.2760373E7</v>
      </c>
      <c r="D282" s="32">
        <v>1283072.0</v>
      </c>
      <c r="E282" s="32">
        <v>1893314.0</v>
      </c>
      <c r="F282" s="32">
        <v>13098.0</v>
      </c>
      <c r="G282" s="32">
        <v>56755.0</v>
      </c>
      <c r="H282" s="32">
        <v>0.0</v>
      </c>
      <c r="I282" s="32">
        <v>3.893434157E9</v>
      </c>
      <c r="J282" s="32">
        <v>3.349477122E9</v>
      </c>
      <c r="K282" s="32">
        <v>1904.0</v>
      </c>
      <c r="L282" s="31" t="s">
        <v>147</v>
      </c>
      <c r="M282" s="31">
        <v>25.0</v>
      </c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</row>
    <row r="283" ht="21.0" customHeight="1">
      <c r="A283" s="31">
        <v>1.4358749E8</v>
      </c>
      <c r="B283" s="31" t="s">
        <v>566</v>
      </c>
      <c r="C283" s="32">
        <v>1.2720904E7</v>
      </c>
      <c r="D283" s="32">
        <v>3165658.0</v>
      </c>
      <c r="E283" s="32">
        <v>602678.0</v>
      </c>
      <c r="F283" s="32">
        <v>47039.0</v>
      </c>
      <c r="G283" s="32">
        <v>0.0</v>
      </c>
      <c r="H283" s="32">
        <v>0.0</v>
      </c>
      <c r="I283" s="32">
        <v>8.96638393E8</v>
      </c>
      <c r="J283" s="32">
        <v>5295534.0</v>
      </c>
      <c r="K283" s="32">
        <v>5924.0</v>
      </c>
      <c r="L283" s="31" t="s">
        <v>66</v>
      </c>
      <c r="M283" s="31">
        <v>25.0</v>
      </c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</row>
    <row r="284" ht="21.0" customHeight="1">
      <c r="A284" s="31">
        <v>1.79651678E8</v>
      </c>
      <c r="B284" s="31" t="s">
        <v>283</v>
      </c>
      <c r="C284" s="32">
        <v>1.2686777E7</v>
      </c>
      <c r="D284" s="32">
        <v>7322730.0</v>
      </c>
      <c r="E284" s="32">
        <v>1786794.0</v>
      </c>
      <c r="F284" s="32">
        <v>647464.0</v>
      </c>
      <c r="G284" s="32">
        <v>31911.0</v>
      </c>
      <c r="H284" s="32">
        <v>0.0</v>
      </c>
      <c r="I284" s="32">
        <v>4.891183075E9</v>
      </c>
      <c r="J284" s="32">
        <v>2.827058363E9</v>
      </c>
      <c r="K284" s="32">
        <v>2097.0</v>
      </c>
      <c r="L284" s="31" t="s">
        <v>327</v>
      </c>
      <c r="M284" s="31">
        <v>25.0</v>
      </c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</row>
    <row r="285" ht="21.0" customHeight="1">
      <c r="A285" s="40">
        <v>7.7397858E7</v>
      </c>
      <c r="B285" s="40" t="s">
        <v>297</v>
      </c>
      <c r="C285" s="41">
        <v>1.2539464E7</v>
      </c>
      <c r="D285" s="41">
        <v>6039713.0</v>
      </c>
      <c r="E285" s="41">
        <v>1121881.0</v>
      </c>
      <c r="F285" s="41">
        <v>295460.0</v>
      </c>
      <c r="G285" s="41">
        <v>51656.0</v>
      </c>
      <c r="H285" s="41">
        <v>0.0</v>
      </c>
      <c r="I285" s="41">
        <v>7.21492209E8</v>
      </c>
      <c r="J285" s="41">
        <v>0.0</v>
      </c>
      <c r="K285" s="41">
        <v>1090.0</v>
      </c>
      <c r="L285" s="40" t="s">
        <v>147</v>
      </c>
      <c r="M285" s="40">
        <v>23.0</v>
      </c>
      <c r="N285" s="40"/>
      <c r="O285" s="40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</row>
    <row r="286" ht="21.0" customHeight="1">
      <c r="A286" s="31">
        <v>1.00844055E8</v>
      </c>
      <c r="B286" s="31" t="s">
        <v>386</v>
      </c>
      <c r="C286" s="32">
        <v>1.2527972E7</v>
      </c>
      <c r="D286" s="32">
        <v>8818085.0</v>
      </c>
      <c r="E286" s="32">
        <v>1945308.0</v>
      </c>
      <c r="F286" s="32">
        <v>815682.0</v>
      </c>
      <c r="G286" s="32">
        <v>22112.0</v>
      </c>
      <c r="H286" s="32">
        <v>0.0</v>
      </c>
      <c r="I286" s="32">
        <v>3.518398671E9</v>
      </c>
      <c r="J286" s="32">
        <v>1.253977396E9</v>
      </c>
      <c r="K286" s="32">
        <v>7441.0</v>
      </c>
      <c r="L286" s="31" t="s">
        <v>147</v>
      </c>
      <c r="M286" s="31">
        <v>25.0</v>
      </c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</row>
    <row r="287" ht="21.0" customHeight="1">
      <c r="A287" s="40">
        <v>1.44003473E8</v>
      </c>
      <c r="B287" s="40" t="s">
        <v>295</v>
      </c>
      <c r="C287" s="41">
        <v>1.2522327E7</v>
      </c>
      <c r="D287" s="41">
        <v>2748308.0</v>
      </c>
      <c r="E287" s="41">
        <v>799051.0</v>
      </c>
      <c r="F287" s="41">
        <v>206424.0</v>
      </c>
      <c r="G287" s="41">
        <v>26473.0</v>
      </c>
      <c r="H287" s="41">
        <v>0.0</v>
      </c>
      <c r="I287" s="41">
        <v>6.458922655E9</v>
      </c>
      <c r="J287" s="41">
        <v>3.39326158E9</v>
      </c>
      <c r="K287" s="41">
        <v>2514.0</v>
      </c>
      <c r="L287" s="40" t="s">
        <v>327</v>
      </c>
      <c r="M287" s="40">
        <v>24.0</v>
      </c>
      <c r="N287" s="40"/>
      <c r="O287" s="40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</row>
    <row r="288" ht="21.0" customHeight="1">
      <c r="A288" s="31">
        <v>3.5412124E7</v>
      </c>
      <c r="B288" s="31" t="s">
        <v>560</v>
      </c>
      <c r="C288" s="32">
        <v>1.2491718E7</v>
      </c>
      <c r="D288" s="32">
        <v>4740519.0</v>
      </c>
      <c r="E288" s="32">
        <v>936084.0</v>
      </c>
      <c r="F288" s="32">
        <v>206604.0</v>
      </c>
      <c r="G288" s="32">
        <v>23831.0</v>
      </c>
      <c r="H288" s="32">
        <v>0.0</v>
      </c>
      <c r="I288" s="32">
        <v>3.3954257E8</v>
      </c>
      <c r="J288" s="32">
        <v>0.0</v>
      </c>
      <c r="K288" s="32">
        <v>997.0</v>
      </c>
      <c r="L288" s="31" t="s">
        <v>540</v>
      </c>
      <c r="M288" s="31">
        <v>25.0</v>
      </c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</row>
    <row r="289" ht="21.0" customHeight="1">
      <c r="A289" s="40">
        <v>1.77225071E8</v>
      </c>
      <c r="B289" s="40" t="s">
        <v>298</v>
      </c>
      <c r="C289" s="41">
        <v>1.2458949E7</v>
      </c>
      <c r="D289" s="41">
        <v>1033872.0</v>
      </c>
      <c r="E289" s="41">
        <v>2192960.0</v>
      </c>
      <c r="F289" s="41">
        <v>58320.0</v>
      </c>
      <c r="G289" s="41">
        <v>9575.0</v>
      </c>
      <c r="H289" s="41">
        <v>0.0</v>
      </c>
      <c r="I289" s="41">
        <v>5.984649052E9</v>
      </c>
      <c r="J289" s="41">
        <v>5.163686099E9</v>
      </c>
      <c r="K289" s="41">
        <v>1429.0</v>
      </c>
      <c r="L289" s="40" t="s">
        <v>147</v>
      </c>
      <c r="M289" s="40">
        <v>24.0</v>
      </c>
      <c r="N289" s="40"/>
      <c r="O289" s="40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</row>
    <row r="290" ht="21.0" customHeight="1">
      <c r="A290" s="31">
        <v>6.5702055E7</v>
      </c>
      <c r="B290" s="31" t="s">
        <v>302</v>
      </c>
      <c r="C290" s="32">
        <v>1.2366549E7</v>
      </c>
      <c r="D290" s="32">
        <v>506067.0</v>
      </c>
      <c r="E290" s="32">
        <v>795024.0</v>
      </c>
      <c r="F290" s="32">
        <v>25195.0</v>
      </c>
      <c r="G290" s="32">
        <v>3024.0</v>
      </c>
      <c r="H290" s="32">
        <v>0.0</v>
      </c>
      <c r="I290" s="32">
        <v>9.425201675E9</v>
      </c>
      <c r="J290" s="32">
        <v>8.974965616E9</v>
      </c>
      <c r="K290" s="32">
        <v>2129.0</v>
      </c>
      <c r="L290" s="31" t="s">
        <v>327</v>
      </c>
      <c r="M290" s="31">
        <v>25.0</v>
      </c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</row>
    <row r="291" ht="21.0" customHeight="1">
      <c r="A291" s="40">
        <v>8.7273183E7</v>
      </c>
      <c r="B291" s="40" t="s">
        <v>301</v>
      </c>
      <c r="C291" s="41">
        <v>1.2345728E7</v>
      </c>
      <c r="D291" s="41">
        <v>1562113.0</v>
      </c>
      <c r="E291" s="41">
        <v>629419.0</v>
      </c>
      <c r="F291" s="41">
        <v>135458.0</v>
      </c>
      <c r="G291" s="41">
        <v>0.0</v>
      </c>
      <c r="H291" s="41">
        <v>0.0</v>
      </c>
      <c r="I291" s="41">
        <v>1.1450622502E10</v>
      </c>
      <c r="J291" s="41">
        <v>1.2196585503E10</v>
      </c>
      <c r="K291" s="41">
        <v>4486.0</v>
      </c>
      <c r="L291" s="40" t="s">
        <v>490</v>
      </c>
      <c r="M291" s="40">
        <v>22.0</v>
      </c>
      <c r="N291" s="40"/>
      <c r="O291" s="40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</row>
    <row r="292" ht="21.0" customHeight="1">
      <c r="A292" s="40">
        <v>1.90414225E8</v>
      </c>
      <c r="B292" s="40" t="s">
        <v>509</v>
      </c>
      <c r="C292" s="41">
        <v>1.2174334E7</v>
      </c>
      <c r="D292" s="41">
        <v>2246854.0</v>
      </c>
      <c r="E292" s="41">
        <v>0.0</v>
      </c>
      <c r="F292" s="41">
        <v>177233.0</v>
      </c>
      <c r="G292" s="41">
        <v>0.0</v>
      </c>
      <c r="H292" s="41">
        <v>0.0</v>
      </c>
      <c r="I292" s="41">
        <v>1.37103855E9</v>
      </c>
      <c r="J292" s="41">
        <v>0.0</v>
      </c>
      <c r="K292" s="41">
        <v>1028.0</v>
      </c>
      <c r="L292" s="40" t="s">
        <v>327</v>
      </c>
      <c r="M292" s="40">
        <v>24.0</v>
      </c>
      <c r="N292" s="40"/>
      <c r="O292" s="40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</row>
    <row r="293" ht="21.0" customHeight="1">
      <c r="A293" s="40">
        <v>1.77647871E8</v>
      </c>
      <c r="B293" s="40" t="s">
        <v>293</v>
      </c>
      <c r="C293" s="41">
        <v>1.1971367E7</v>
      </c>
      <c r="D293" s="41">
        <v>255311.0</v>
      </c>
      <c r="E293" s="41">
        <v>0.0</v>
      </c>
      <c r="F293" s="41">
        <v>14770.0</v>
      </c>
      <c r="G293" s="41">
        <v>0.0</v>
      </c>
      <c r="H293" s="41">
        <v>0.0</v>
      </c>
      <c r="I293" s="41">
        <v>1.963979444E9</v>
      </c>
      <c r="J293" s="41">
        <v>1.868392265E9</v>
      </c>
      <c r="K293" s="41">
        <v>765.0</v>
      </c>
      <c r="L293" s="40" t="s">
        <v>327</v>
      </c>
      <c r="M293" s="40">
        <v>23.0</v>
      </c>
      <c r="N293" s="40"/>
      <c r="O293" s="40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</row>
    <row r="294" ht="21.0" customHeight="1">
      <c r="A294" s="40">
        <v>1.78759749E8</v>
      </c>
      <c r="B294" s="40" t="s">
        <v>294</v>
      </c>
      <c r="C294" s="41">
        <v>1.1970659E7</v>
      </c>
      <c r="D294" s="41">
        <v>123088.0</v>
      </c>
      <c r="E294" s="41">
        <v>127880.0</v>
      </c>
      <c r="F294" s="41">
        <v>8565.0</v>
      </c>
      <c r="G294" s="41">
        <v>0.0</v>
      </c>
      <c r="H294" s="41">
        <v>0.0</v>
      </c>
      <c r="I294" s="41">
        <v>5.722009015E9</v>
      </c>
      <c r="J294" s="41">
        <v>3.984947511E9</v>
      </c>
      <c r="K294" s="41">
        <v>1381.0</v>
      </c>
      <c r="L294" s="40" t="s">
        <v>327</v>
      </c>
      <c r="M294" s="40">
        <v>24.0</v>
      </c>
      <c r="N294" s="40"/>
      <c r="O294" s="40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</row>
    <row r="295" ht="21.0" customHeight="1">
      <c r="A295" s="40">
        <v>1.38285772E8</v>
      </c>
      <c r="B295" s="40" t="s">
        <v>305</v>
      </c>
      <c r="C295" s="41">
        <v>1.1848707E7</v>
      </c>
      <c r="D295" s="41">
        <v>188240.0</v>
      </c>
      <c r="E295" s="41">
        <v>31313.0</v>
      </c>
      <c r="F295" s="41">
        <v>18824.0</v>
      </c>
      <c r="G295" s="41">
        <v>0.0</v>
      </c>
      <c r="H295" s="41">
        <v>0.0</v>
      </c>
      <c r="I295" s="41">
        <v>6.995872579E9</v>
      </c>
      <c r="J295" s="41">
        <v>8.596841008E9</v>
      </c>
      <c r="K295" s="41">
        <v>1413.0</v>
      </c>
      <c r="L295" s="40" t="s">
        <v>490</v>
      </c>
      <c r="M295" s="40">
        <v>24.0</v>
      </c>
      <c r="N295" s="40"/>
      <c r="O295" s="40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</row>
    <row r="296" ht="21.0" customHeight="1">
      <c r="A296" s="40">
        <v>1.73205316E8</v>
      </c>
      <c r="B296" s="40" t="s">
        <v>685</v>
      </c>
      <c r="C296" s="41">
        <v>1.184156E7</v>
      </c>
      <c r="D296" s="41">
        <v>147770.0</v>
      </c>
      <c r="E296" s="41">
        <v>665929.0</v>
      </c>
      <c r="F296" s="41">
        <v>12144.0</v>
      </c>
      <c r="G296" s="41">
        <v>0.0</v>
      </c>
      <c r="H296" s="41">
        <v>0.0</v>
      </c>
      <c r="I296" s="41">
        <v>2.893267158E9</v>
      </c>
      <c r="J296" s="41">
        <v>9.33789496E8</v>
      </c>
      <c r="K296" s="41">
        <v>1390.0</v>
      </c>
      <c r="L296" s="40" t="s">
        <v>66</v>
      </c>
      <c r="M296" s="40">
        <v>22.0</v>
      </c>
      <c r="N296" s="40"/>
      <c r="O296" s="40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</row>
    <row r="297" ht="21.0" customHeight="1">
      <c r="A297" s="40">
        <v>1.77721232E8</v>
      </c>
      <c r="B297" s="40" t="s">
        <v>299</v>
      </c>
      <c r="C297" s="41">
        <v>1.1838286E7</v>
      </c>
      <c r="D297" s="41">
        <v>169357.0</v>
      </c>
      <c r="E297" s="41">
        <v>716670.0</v>
      </c>
      <c r="F297" s="41">
        <v>16742.0</v>
      </c>
      <c r="G297" s="41">
        <v>0.0</v>
      </c>
      <c r="H297" s="41">
        <v>0.0</v>
      </c>
      <c r="I297" s="41">
        <v>7.251156948E9</v>
      </c>
      <c r="J297" s="41">
        <v>6.464809026E9</v>
      </c>
      <c r="K297" s="41">
        <v>2573.0</v>
      </c>
      <c r="L297" s="40" t="s">
        <v>327</v>
      </c>
      <c r="M297" s="40">
        <v>23.0</v>
      </c>
      <c r="N297" s="40"/>
      <c r="O297" s="40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</row>
    <row r="298" ht="21.0" customHeight="1">
      <c r="A298" s="31">
        <v>1.4402991E8</v>
      </c>
      <c r="B298" s="31" t="s">
        <v>296</v>
      </c>
      <c r="C298" s="32">
        <v>1.170996E7</v>
      </c>
      <c r="D298" s="32">
        <v>6825794.0</v>
      </c>
      <c r="E298" s="32">
        <v>1758438.0</v>
      </c>
      <c r="F298" s="32">
        <v>464968.0</v>
      </c>
      <c r="G298" s="32">
        <v>70639.0</v>
      </c>
      <c r="H298" s="32">
        <v>0.0</v>
      </c>
      <c r="I298" s="32">
        <v>6.023320392E9</v>
      </c>
      <c r="J298" s="32">
        <v>4.559048087E9</v>
      </c>
      <c r="K298" s="32">
        <v>3238.0</v>
      </c>
      <c r="L298" s="31" t="s">
        <v>373</v>
      </c>
      <c r="M298" s="31">
        <v>25.0</v>
      </c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</row>
    <row r="299" ht="21.0" customHeight="1">
      <c r="A299" s="40">
        <v>1.84287725E8</v>
      </c>
      <c r="B299" s="40" t="s">
        <v>233</v>
      </c>
      <c r="C299" s="41">
        <v>1.1608149E7</v>
      </c>
      <c r="D299" s="41">
        <v>65510.0</v>
      </c>
      <c r="E299" s="41">
        <v>0.0</v>
      </c>
      <c r="F299" s="41">
        <v>6551.0</v>
      </c>
      <c r="G299" s="41">
        <v>0.0</v>
      </c>
      <c r="H299" s="41">
        <v>0.0</v>
      </c>
      <c r="I299" s="41">
        <v>2.32806124E9</v>
      </c>
      <c r="J299" s="41">
        <v>0.0</v>
      </c>
      <c r="K299" s="41">
        <v>511.0</v>
      </c>
      <c r="L299" s="40" t="s">
        <v>490</v>
      </c>
      <c r="M299" s="40">
        <v>23.0</v>
      </c>
      <c r="N299" s="40"/>
      <c r="O299" s="40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</row>
    <row r="300" ht="21.0" customHeight="1">
      <c r="A300" s="31">
        <v>1.52201713E8</v>
      </c>
      <c r="B300" s="31" t="s">
        <v>436</v>
      </c>
      <c r="C300" s="32">
        <v>1.1562681E7</v>
      </c>
      <c r="D300" s="32">
        <v>909034.0</v>
      </c>
      <c r="E300" s="32">
        <v>1197900.0</v>
      </c>
      <c r="F300" s="32">
        <v>79442.0</v>
      </c>
      <c r="G300" s="32">
        <v>4810.0</v>
      </c>
      <c r="H300" s="32">
        <v>0.0</v>
      </c>
      <c r="I300" s="32">
        <v>2.286944618E9</v>
      </c>
      <c r="J300" s="32">
        <v>1.843640216E9</v>
      </c>
      <c r="K300" s="32">
        <v>842.0</v>
      </c>
      <c r="L300" s="31" t="s">
        <v>147</v>
      </c>
      <c r="M300" s="31">
        <v>25.0</v>
      </c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</row>
    <row r="301" ht="21.0" customHeight="1">
      <c r="A301" s="40">
        <v>6.7568162E7</v>
      </c>
      <c r="B301" s="40" t="s">
        <v>300</v>
      </c>
      <c r="C301" s="41">
        <v>1.1467336E7</v>
      </c>
      <c r="D301" s="41">
        <v>123644.0</v>
      </c>
      <c r="E301" s="41">
        <v>42020.0</v>
      </c>
      <c r="F301" s="41">
        <v>0.0</v>
      </c>
      <c r="G301" s="41">
        <v>1383.0</v>
      </c>
      <c r="H301" s="41">
        <v>0.0</v>
      </c>
      <c r="I301" s="41">
        <v>4.381918341E9</v>
      </c>
      <c r="J301" s="41">
        <v>1.940712211E9</v>
      </c>
      <c r="K301" s="41">
        <v>1321.0</v>
      </c>
      <c r="L301" s="40" t="s">
        <v>327</v>
      </c>
      <c r="M301" s="40">
        <v>24.0</v>
      </c>
      <c r="N301" s="40"/>
      <c r="O301" s="40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</row>
    <row r="302" ht="21.0" customHeight="1">
      <c r="A302" s="35"/>
      <c r="B302" s="35"/>
      <c r="C302" s="36">
        <f t="shared" ref="C302:K302" si="1">SUM(C2:C301)</f>
        <v>12412777677</v>
      </c>
      <c r="D302" s="36">
        <f t="shared" si="1"/>
        <v>124632121255</v>
      </c>
      <c r="E302" s="36">
        <f t="shared" si="1"/>
        <v>1604923783</v>
      </c>
      <c r="F302" s="36">
        <f t="shared" si="1"/>
        <v>4656461013</v>
      </c>
      <c r="G302" s="36">
        <f t="shared" si="1"/>
        <v>3768103426</v>
      </c>
      <c r="H302" s="36">
        <f t="shared" si="1"/>
        <v>10209917</v>
      </c>
      <c r="I302" s="36">
        <f t="shared" si="1"/>
        <v>2684309870452</v>
      </c>
      <c r="J302" s="36">
        <f t="shared" si="1"/>
        <v>1355897619237</v>
      </c>
      <c r="K302" s="36">
        <f t="shared" si="1"/>
        <v>8556935</v>
      </c>
      <c r="L302" s="35"/>
      <c r="M302" s="35">
        <f>COUNT(M2:M301)</f>
        <v>300</v>
      </c>
      <c r="N302" s="35"/>
      <c r="O302" s="35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</row>
    <row r="303" ht="21.0" customHeight="1">
      <c r="A303" s="31"/>
      <c r="B303" s="37" t="s">
        <v>362</v>
      </c>
      <c r="C303" s="38">
        <f>SUMIFS(C2:C301, M2:M301, "25")</f>
        <v>11507378863</v>
      </c>
      <c r="D303" s="38">
        <f>SUMIFS(D2:D301, M2:M301, "25")</f>
        <v>124467902534</v>
      </c>
      <c r="E303" s="38">
        <f>SUMIFS(E2:E301, M2:M301, "25")</f>
        <v>1564766806</v>
      </c>
      <c r="F303" s="38">
        <f>SUMIFS(F2:F301, M2:M301, "25")</f>
        <v>4646946932</v>
      </c>
      <c r="G303" s="38">
        <f>SUMIFS(G2:G301, M2:M301, "25")</f>
        <v>3766440272</v>
      </c>
      <c r="H303" s="38">
        <f>SUMIFS(H2:H301, M2:M301, "25")</f>
        <v>10209917</v>
      </c>
      <c r="I303" s="38">
        <f>SUMIFS(I2:I301, M2:M301, "25")</f>
        <v>2330890085622</v>
      </c>
      <c r="J303" s="38">
        <f>SUMIFS(J2:J301, M2:M301, "25")</f>
        <v>1094283278453</v>
      </c>
      <c r="K303" s="38">
        <f>SUMIFS(K2:K301, M2:M301, "25")</f>
        <v>8409475</v>
      </c>
      <c r="L303" s="37" t="s">
        <v>363</v>
      </c>
      <c r="M303" s="37">
        <f>COUNTIF(M2:M301,"25")</f>
        <v>241</v>
      </c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</row>
    <row r="304" ht="21.0" customHeight="1">
      <c r="A304" s="31"/>
      <c r="B304" s="31"/>
      <c r="C304" s="32"/>
      <c r="D304" s="32"/>
      <c r="E304" s="32"/>
      <c r="F304" s="32"/>
      <c r="G304" s="32"/>
      <c r="H304" s="32"/>
      <c r="I304" s="32"/>
      <c r="J304" s="32"/>
      <c r="K304" s="32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</row>
    <row r="305" ht="21.0" customHeight="1">
      <c r="A305" s="31"/>
      <c r="B305" s="31"/>
      <c r="C305" s="32"/>
      <c r="D305" s="32"/>
      <c r="E305" s="32"/>
      <c r="F305" s="32"/>
      <c r="G305" s="32"/>
      <c r="H305" s="32"/>
      <c r="I305" s="32"/>
      <c r="J305" s="32"/>
      <c r="K305" s="32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</row>
    <row r="306" ht="21.0" customHeight="1">
      <c r="A306" s="31"/>
      <c r="B306" s="31"/>
      <c r="C306" s="32"/>
      <c r="D306" s="32"/>
      <c r="E306" s="32"/>
      <c r="F306" s="32"/>
      <c r="G306" s="32"/>
      <c r="H306" s="32"/>
      <c r="I306" s="32"/>
      <c r="J306" s="32"/>
      <c r="K306" s="32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</row>
    <row r="307" ht="21.0" customHeight="1">
      <c r="A307" s="31"/>
      <c r="B307" s="31"/>
      <c r="C307" s="32"/>
      <c r="D307" s="32"/>
      <c r="E307" s="32"/>
      <c r="F307" s="32"/>
      <c r="G307" s="32"/>
      <c r="H307" s="32"/>
      <c r="I307" s="32"/>
      <c r="J307" s="32"/>
      <c r="K307" s="32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</row>
    <row r="308" ht="21.0" customHeight="1">
      <c r="A308" s="31"/>
      <c r="B308" s="31"/>
      <c r="C308" s="32"/>
      <c r="D308" s="32"/>
      <c r="E308" s="32"/>
      <c r="F308" s="32"/>
      <c r="G308" s="32"/>
      <c r="H308" s="32"/>
      <c r="I308" s="32"/>
      <c r="J308" s="32"/>
      <c r="K308" s="32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</row>
    <row r="309" ht="21.0" customHeight="1">
      <c r="A309" s="31"/>
      <c r="B309" s="31"/>
      <c r="C309" s="32"/>
      <c r="D309" s="32"/>
      <c r="E309" s="32"/>
      <c r="F309" s="32"/>
      <c r="G309" s="32"/>
      <c r="H309" s="32"/>
      <c r="I309" s="32"/>
      <c r="J309" s="32"/>
      <c r="K309" s="32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</row>
    <row r="310" ht="21.0" customHeight="1">
      <c r="A310" s="31"/>
      <c r="B310" s="31"/>
      <c r="C310" s="32"/>
      <c r="D310" s="32"/>
      <c r="E310" s="32"/>
      <c r="F310" s="32"/>
      <c r="G310" s="32"/>
      <c r="H310" s="32"/>
      <c r="I310" s="32"/>
      <c r="J310" s="32"/>
      <c r="K310" s="32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</row>
    <row r="311" ht="21.0" customHeight="1">
      <c r="A311" s="31"/>
      <c r="B311" s="31"/>
      <c r="C311" s="32"/>
      <c r="D311" s="32"/>
      <c r="E311" s="32"/>
      <c r="F311" s="32"/>
      <c r="G311" s="32"/>
      <c r="H311" s="32"/>
      <c r="I311" s="32"/>
      <c r="J311" s="32"/>
      <c r="K311" s="32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</row>
    <row r="312" ht="21.0" customHeight="1">
      <c r="A312" s="31"/>
      <c r="B312" s="31"/>
      <c r="C312" s="32"/>
      <c r="D312" s="32"/>
      <c r="E312" s="32"/>
      <c r="F312" s="32"/>
      <c r="G312" s="32"/>
      <c r="H312" s="32"/>
      <c r="I312" s="32"/>
      <c r="J312" s="32"/>
      <c r="K312" s="32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</row>
    <row r="313" ht="21.0" customHeight="1">
      <c r="A313" s="31"/>
      <c r="B313" s="31"/>
      <c r="C313" s="32"/>
      <c r="D313" s="32"/>
      <c r="E313" s="32"/>
      <c r="F313" s="32"/>
      <c r="G313" s="32"/>
      <c r="H313" s="32"/>
      <c r="I313" s="32"/>
      <c r="J313" s="32"/>
      <c r="K313" s="32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</row>
    <row r="314" ht="21.0" customHeight="1">
      <c r="A314" s="31"/>
      <c r="B314" s="31"/>
      <c r="C314" s="32"/>
      <c r="D314" s="32"/>
      <c r="E314" s="32"/>
      <c r="F314" s="32"/>
      <c r="G314" s="32"/>
      <c r="H314" s="32"/>
      <c r="I314" s="32"/>
      <c r="J314" s="32"/>
      <c r="K314" s="32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</row>
    <row r="315" ht="21.0" customHeight="1">
      <c r="A315" s="31"/>
      <c r="B315" s="31"/>
      <c r="C315" s="32"/>
      <c r="D315" s="32"/>
      <c r="E315" s="32"/>
      <c r="F315" s="32"/>
      <c r="G315" s="32"/>
      <c r="H315" s="32"/>
      <c r="I315" s="32"/>
      <c r="J315" s="32"/>
      <c r="K315" s="32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</row>
    <row r="316" ht="21.0" customHeight="1">
      <c r="A316" s="31"/>
      <c r="B316" s="31"/>
      <c r="C316" s="32"/>
      <c r="D316" s="32"/>
      <c r="E316" s="32"/>
      <c r="F316" s="32"/>
      <c r="G316" s="32"/>
      <c r="H316" s="32"/>
      <c r="I316" s="32"/>
      <c r="J316" s="32"/>
      <c r="K316" s="32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</row>
    <row r="317" ht="21.0" customHeight="1">
      <c r="A317" s="31"/>
      <c r="B317" s="31"/>
      <c r="C317" s="32"/>
      <c r="D317" s="32"/>
      <c r="E317" s="32"/>
      <c r="F317" s="32"/>
      <c r="G317" s="32"/>
      <c r="H317" s="32"/>
      <c r="I317" s="32"/>
      <c r="J317" s="32"/>
      <c r="K317" s="32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</row>
    <row r="318" ht="21.0" customHeight="1">
      <c r="A318" s="31"/>
      <c r="B318" s="31"/>
      <c r="C318" s="32"/>
      <c r="D318" s="32"/>
      <c r="E318" s="32"/>
      <c r="F318" s="32"/>
      <c r="G318" s="32"/>
      <c r="H318" s="32"/>
      <c r="I318" s="32"/>
      <c r="J318" s="32"/>
      <c r="K318" s="32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</row>
    <row r="319" ht="21.0" customHeight="1">
      <c r="A319" s="31"/>
      <c r="B319" s="31"/>
      <c r="C319" s="32"/>
      <c r="D319" s="32"/>
      <c r="E319" s="32"/>
      <c r="F319" s="32"/>
      <c r="G319" s="32"/>
      <c r="H319" s="32"/>
      <c r="I319" s="32"/>
      <c r="J319" s="32"/>
      <c r="K319" s="32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</row>
    <row r="320" ht="21.0" customHeight="1">
      <c r="A320" s="31"/>
      <c r="B320" s="31"/>
      <c r="C320" s="32"/>
      <c r="D320" s="32"/>
      <c r="E320" s="32"/>
      <c r="F320" s="32"/>
      <c r="G320" s="32"/>
      <c r="H320" s="32"/>
      <c r="I320" s="32"/>
      <c r="J320" s="32"/>
      <c r="K320" s="32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</row>
    <row r="321" ht="21.0" customHeight="1">
      <c r="A321" s="31"/>
      <c r="B321" s="31"/>
      <c r="C321" s="32"/>
      <c r="D321" s="32"/>
      <c r="E321" s="32"/>
      <c r="F321" s="32"/>
      <c r="G321" s="32"/>
      <c r="H321" s="32"/>
      <c r="I321" s="32"/>
      <c r="J321" s="32"/>
      <c r="K321" s="32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</row>
    <row r="322" ht="21.0" customHeight="1">
      <c r="A322" s="31"/>
      <c r="B322" s="31"/>
      <c r="C322" s="32"/>
      <c r="D322" s="32"/>
      <c r="E322" s="32"/>
      <c r="F322" s="32"/>
      <c r="G322" s="32"/>
      <c r="H322" s="32"/>
      <c r="I322" s="32"/>
      <c r="J322" s="32"/>
      <c r="K322" s="32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</row>
    <row r="323" ht="21.0" customHeight="1">
      <c r="A323" s="31"/>
      <c r="B323" s="31"/>
      <c r="C323" s="32"/>
      <c r="D323" s="32"/>
      <c r="E323" s="32"/>
      <c r="F323" s="32"/>
      <c r="G323" s="32"/>
      <c r="H323" s="32"/>
      <c r="I323" s="32"/>
      <c r="J323" s="32"/>
      <c r="K323" s="32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</row>
    <row r="324" ht="21.0" customHeight="1">
      <c r="A324" s="31"/>
      <c r="B324" s="31"/>
      <c r="C324" s="32"/>
      <c r="D324" s="32"/>
      <c r="E324" s="32"/>
      <c r="F324" s="32"/>
      <c r="G324" s="32"/>
      <c r="H324" s="32"/>
      <c r="I324" s="32"/>
      <c r="J324" s="32"/>
      <c r="K324" s="32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</row>
    <row r="325" ht="21.0" customHeight="1">
      <c r="A325" s="31"/>
      <c r="B325" s="31"/>
      <c r="C325" s="32"/>
      <c r="D325" s="32"/>
      <c r="E325" s="32"/>
      <c r="F325" s="32"/>
      <c r="G325" s="32"/>
      <c r="H325" s="32"/>
      <c r="I325" s="32"/>
      <c r="J325" s="32"/>
      <c r="K325" s="32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</row>
    <row r="326" ht="21.0" customHeight="1">
      <c r="A326" s="31"/>
      <c r="B326" s="31"/>
      <c r="C326" s="32"/>
      <c r="D326" s="32"/>
      <c r="E326" s="32"/>
      <c r="F326" s="32"/>
      <c r="G326" s="32"/>
      <c r="H326" s="32"/>
      <c r="I326" s="32"/>
      <c r="J326" s="32"/>
      <c r="K326" s="32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</row>
    <row r="327" ht="21.0" customHeight="1">
      <c r="A327" s="31"/>
      <c r="B327" s="31"/>
      <c r="C327" s="32"/>
      <c r="D327" s="32"/>
      <c r="E327" s="32"/>
      <c r="F327" s="32"/>
      <c r="G327" s="32"/>
      <c r="H327" s="32"/>
      <c r="I327" s="32"/>
      <c r="J327" s="32"/>
      <c r="K327" s="32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</row>
    <row r="328" ht="21.0" customHeight="1">
      <c r="A328" s="31"/>
      <c r="B328" s="31"/>
      <c r="C328" s="32"/>
      <c r="D328" s="32"/>
      <c r="E328" s="32"/>
      <c r="F328" s="32"/>
      <c r="G328" s="32"/>
      <c r="H328" s="32"/>
      <c r="I328" s="32"/>
      <c r="J328" s="32"/>
      <c r="K328" s="32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</row>
    <row r="329" ht="21.0" customHeight="1">
      <c r="A329" s="31"/>
      <c r="B329" s="31"/>
      <c r="C329" s="32"/>
      <c r="D329" s="32"/>
      <c r="E329" s="32"/>
      <c r="F329" s="32"/>
      <c r="G329" s="32"/>
      <c r="H329" s="32"/>
      <c r="I329" s="32"/>
      <c r="J329" s="32"/>
      <c r="K329" s="32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</row>
    <row r="330" ht="21.0" customHeight="1">
      <c r="A330" s="31"/>
      <c r="B330" s="31"/>
      <c r="C330" s="32"/>
      <c r="D330" s="32"/>
      <c r="E330" s="32"/>
      <c r="F330" s="32"/>
      <c r="G330" s="32"/>
      <c r="H330" s="32"/>
      <c r="I330" s="32"/>
      <c r="J330" s="32"/>
      <c r="K330" s="32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</row>
    <row r="331" ht="21.0" customHeight="1">
      <c r="A331" s="31"/>
      <c r="B331" s="31"/>
      <c r="C331" s="32"/>
      <c r="D331" s="32"/>
      <c r="E331" s="32"/>
      <c r="F331" s="32"/>
      <c r="G331" s="32"/>
      <c r="H331" s="32"/>
      <c r="I331" s="32"/>
      <c r="J331" s="32"/>
      <c r="K331" s="32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</row>
    <row r="332" ht="21.0" customHeight="1">
      <c r="A332" s="31"/>
      <c r="B332" s="31"/>
      <c r="C332" s="32"/>
      <c r="D332" s="32"/>
      <c r="E332" s="32"/>
      <c r="F332" s="32"/>
      <c r="G332" s="32"/>
      <c r="H332" s="32"/>
      <c r="I332" s="32"/>
      <c r="J332" s="32"/>
      <c r="K332" s="32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</row>
    <row r="333" ht="21.0" customHeight="1">
      <c r="A333" s="31"/>
      <c r="B333" s="31"/>
      <c r="C333" s="32"/>
      <c r="D333" s="32"/>
      <c r="E333" s="32"/>
      <c r="F333" s="32"/>
      <c r="G333" s="32"/>
      <c r="H333" s="32"/>
      <c r="I333" s="32"/>
      <c r="J333" s="32"/>
      <c r="K333" s="32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</row>
    <row r="334" ht="21.0" customHeight="1">
      <c r="A334" s="31"/>
      <c r="B334" s="31"/>
      <c r="C334" s="32"/>
      <c r="D334" s="32"/>
      <c r="E334" s="32"/>
      <c r="F334" s="32"/>
      <c r="G334" s="32"/>
      <c r="H334" s="32"/>
      <c r="I334" s="32"/>
      <c r="J334" s="32"/>
      <c r="K334" s="32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</row>
    <row r="335" ht="21.0" customHeight="1">
      <c r="A335" s="31"/>
      <c r="B335" s="31"/>
      <c r="C335" s="32"/>
      <c r="D335" s="32"/>
      <c r="E335" s="32"/>
      <c r="F335" s="32"/>
      <c r="G335" s="32"/>
      <c r="H335" s="32"/>
      <c r="I335" s="32"/>
      <c r="J335" s="32"/>
      <c r="K335" s="32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</row>
    <row r="336" ht="21.0" customHeight="1">
      <c r="A336" s="31"/>
      <c r="B336" s="31"/>
      <c r="C336" s="32"/>
      <c r="D336" s="32"/>
      <c r="E336" s="32"/>
      <c r="F336" s="32"/>
      <c r="G336" s="32"/>
      <c r="H336" s="32"/>
      <c r="I336" s="32"/>
      <c r="J336" s="32"/>
      <c r="K336" s="32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</row>
    <row r="337" ht="21.0" customHeight="1">
      <c r="A337" s="31"/>
      <c r="B337" s="31"/>
      <c r="C337" s="32"/>
      <c r="D337" s="32"/>
      <c r="E337" s="32"/>
      <c r="F337" s="32"/>
      <c r="G337" s="32"/>
      <c r="H337" s="32"/>
      <c r="I337" s="32"/>
      <c r="J337" s="32"/>
      <c r="K337" s="32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</row>
    <row r="338" ht="21.0" customHeight="1">
      <c r="A338" s="31"/>
      <c r="B338" s="31"/>
      <c r="C338" s="32"/>
      <c r="D338" s="32"/>
      <c r="E338" s="32"/>
      <c r="F338" s="32"/>
      <c r="G338" s="32"/>
      <c r="H338" s="32"/>
      <c r="I338" s="32"/>
      <c r="J338" s="32"/>
      <c r="K338" s="32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</row>
    <row r="339" ht="21.0" customHeight="1">
      <c r="A339" s="31"/>
      <c r="B339" s="31"/>
      <c r="C339" s="32"/>
      <c r="D339" s="32"/>
      <c r="E339" s="32"/>
      <c r="F339" s="32"/>
      <c r="G339" s="32"/>
      <c r="H339" s="32"/>
      <c r="I339" s="32"/>
      <c r="J339" s="32"/>
      <c r="K339" s="32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</row>
    <row r="340" ht="21.0" customHeight="1">
      <c r="A340" s="31"/>
      <c r="B340" s="31"/>
      <c r="C340" s="32"/>
      <c r="D340" s="32"/>
      <c r="E340" s="32"/>
      <c r="F340" s="32"/>
      <c r="G340" s="32"/>
      <c r="H340" s="32"/>
      <c r="I340" s="32"/>
      <c r="J340" s="32"/>
      <c r="K340" s="32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</row>
    <row r="341" ht="21.0" customHeight="1">
      <c r="A341" s="31"/>
      <c r="B341" s="31"/>
      <c r="C341" s="32"/>
      <c r="D341" s="32"/>
      <c r="E341" s="32"/>
      <c r="F341" s="32"/>
      <c r="G341" s="32"/>
      <c r="H341" s="32"/>
      <c r="I341" s="32"/>
      <c r="J341" s="32"/>
      <c r="K341" s="32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</row>
    <row r="342" ht="21.0" customHeight="1">
      <c r="A342" s="31"/>
      <c r="B342" s="31"/>
      <c r="C342" s="32"/>
      <c r="D342" s="32"/>
      <c r="E342" s="32"/>
      <c r="F342" s="32"/>
      <c r="G342" s="32"/>
      <c r="H342" s="32"/>
      <c r="I342" s="32"/>
      <c r="J342" s="32"/>
      <c r="K342" s="32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</row>
    <row r="343" ht="21.0" customHeight="1">
      <c r="A343" s="31"/>
      <c r="B343" s="31"/>
      <c r="C343" s="32"/>
      <c r="D343" s="32"/>
      <c r="E343" s="32"/>
      <c r="F343" s="32"/>
      <c r="G343" s="32"/>
      <c r="H343" s="32"/>
      <c r="I343" s="32"/>
      <c r="J343" s="32"/>
      <c r="K343" s="32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</row>
    <row r="344" ht="21.0" customHeight="1">
      <c r="A344" s="31"/>
      <c r="B344" s="31"/>
      <c r="C344" s="32"/>
      <c r="D344" s="32"/>
      <c r="E344" s="32"/>
      <c r="F344" s="32"/>
      <c r="G344" s="32"/>
      <c r="H344" s="32"/>
      <c r="I344" s="32"/>
      <c r="J344" s="32"/>
      <c r="K344" s="32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</row>
    <row r="345" ht="21.0" customHeight="1">
      <c r="A345" s="31"/>
      <c r="B345" s="31"/>
      <c r="C345" s="32"/>
      <c r="D345" s="32"/>
      <c r="E345" s="32"/>
      <c r="F345" s="32"/>
      <c r="G345" s="32"/>
      <c r="H345" s="32"/>
      <c r="I345" s="32"/>
      <c r="J345" s="32"/>
      <c r="K345" s="32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</row>
    <row r="346" ht="21.0" customHeight="1">
      <c r="A346" s="31"/>
      <c r="B346" s="31"/>
      <c r="C346" s="32"/>
      <c r="D346" s="32"/>
      <c r="E346" s="32"/>
      <c r="F346" s="32"/>
      <c r="G346" s="32"/>
      <c r="H346" s="32"/>
      <c r="I346" s="32"/>
      <c r="J346" s="32"/>
      <c r="K346" s="32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</row>
    <row r="347" ht="21.0" customHeight="1">
      <c r="A347" s="31"/>
      <c r="B347" s="31"/>
      <c r="C347" s="32"/>
      <c r="D347" s="32"/>
      <c r="E347" s="32"/>
      <c r="F347" s="32"/>
      <c r="G347" s="32"/>
      <c r="H347" s="32"/>
      <c r="I347" s="32"/>
      <c r="J347" s="32"/>
      <c r="K347" s="32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</row>
    <row r="348" ht="21.0" customHeight="1">
      <c r="A348" s="31"/>
      <c r="B348" s="31"/>
      <c r="C348" s="32"/>
      <c r="D348" s="32"/>
      <c r="E348" s="32"/>
      <c r="F348" s="32"/>
      <c r="G348" s="32"/>
      <c r="H348" s="32"/>
      <c r="I348" s="32"/>
      <c r="J348" s="32"/>
      <c r="K348" s="32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</row>
    <row r="349" ht="21.0" customHeight="1">
      <c r="A349" s="31"/>
      <c r="B349" s="31"/>
      <c r="C349" s="32"/>
      <c r="D349" s="32"/>
      <c r="E349" s="32"/>
      <c r="F349" s="32"/>
      <c r="G349" s="32"/>
      <c r="H349" s="32"/>
      <c r="I349" s="32"/>
      <c r="J349" s="32"/>
      <c r="K349" s="32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</row>
    <row r="350" ht="21.0" customHeight="1">
      <c r="A350" s="31"/>
      <c r="B350" s="31"/>
      <c r="C350" s="32"/>
      <c r="D350" s="32"/>
      <c r="E350" s="32"/>
      <c r="F350" s="32"/>
      <c r="G350" s="32"/>
      <c r="H350" s="32"/>
      <c r="I350" s="32"/>
      <c r="J350" s="32"/>
      <c r="K350" s="32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</row>
    <row r="351" ht="21.0" customHeight="1">
      <c r="A351" s="31"/>
      <c r="B351" s="31"/>
      <c r="C351" s="32"/>
      <c r="D351" s="32"/>
      <c r="E351" s="32"/>
      <c r="F351" s="32"/>
      <c r="G351" s="32"/>
      <c r="H351" s="32"/>
      <c r="I351" s="32"/>
      <c r="J351" s="32"/>
      <c r="K351" s="32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</row>
    <row r="352" ht="21.0" customHeight="1">
      <c r="A352" s="31"/>
      <c r="B352" s="31"/>
      <c r="C352" s="32"/>
      <c r="D352" s="32"/>
      <c r="E352" s="32"/>
      <c r="F352" s="32"/>
      <c r="G352" s="32"/>
      <c r="H352" s="32"/>
      <c r="I352" s="32"/>
      <c r="J352" s="32"/>
      <c r="K352" s="32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</row>
    <row r="353" ht="21.0" customHeight="1">
      <c r="A353" s="31"/>
      <c r="B353" s="31"/>
      <c r="C353" s="32"/>
      <c r="D353" s="32"/>
      <c r="E353" s="32"/>
      <c r="F353" s="32"/>
      <c r="G353" s="32"/>
      <c r="H353" s="32"/>
      <c r="I353" s="32"/>
      <c r="J353" s="32"/>
      <c r="K353" s="32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</row>
    <row r="354" ht="21.0" customHeight="1">
      <c r="A354" s="31"/>
      <c r="B354" s="31"/>
      <c r="C354" s="32"/>
      <c r="D354" s="32"/>
      <c r="E354" s="32"/>
      <c r="F354" s="32"/>
      <c r="G354" s="32"/>
      <c r="H354" s="32"/>
      <c r="I354" s="32"/>
      <c r="J354" s="32"/>
      <c r="K354" s="32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</row>
    <row r="355" ht="21.0" customHeight="1">
      <c r="A355" s="31"/>
      <c r="B355" s="31"/>
      <c r="C355" s="32"/>
      <c r="D355" s="32"/>
      <c r="E355" s="32"/>
      <c r="F355" s="32"/>
      <c r="G355" s="32"/>
      <c r="H355" s="32"/>
      <c r="I355" s="32"/>
      <c r="J355" s="32"/>
      <c r="K355" s="32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</row>
    <row r="356" ht="21.0" customHeight="1">
      <c r="A356" s="31"/>
      <c r="B356" s="31"/>
      <c r="C356" s="32"/>
      <c r="D356" s="32"/>
      <c r="E356" s="32"/>
      <c r="F356" s="32"/>
      <c r="G356" s="32"/>
      <c r="H356" s="32"/>
      <c r="I356" s="32"/>
      <c r="J356" s="32"/>
      <c r="K356" s="32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</row>
    <row r="357" ht="21.0" customHeight="1">
      <c r="A357" s="31"/>
      <c r="B357" s="31"/>
      <c r="C357" s="32"/>
      <c r="D357" s="32"/>
      <c r="E357" s="32"/>
      <c r="F357" s="32"/>
      <c r="G357" s="32"/>
      <c r="H357" s="32"/>
      <c r="I357" s="32"/>
      <c r="J357" s="32"/>
      <c r="K357" s="32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</row>
    <row r="358" ht="21.0" customHeight="1">
      <c r="A358" s="31"/>
      <c r="B358" s="31"/>
      <c r="C358" s="32"/>
      <c r="D358" s="32"/>
      <c r="E358" s="32"/>
      <c r="F358" s="32"/>
      <c r="G358" s="32"/>
      <c r="H358" s="32"/>
      <c r="I358" s="32"/>
      <c r="J358" s="32"/>
      <c r="K358" s="32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</row>
    <row r="359" ht="21.0" customHeight="1">
      <c r="A359" s="31"/>
      <c r="B359" s="31"/>
      <c r="C359" s="32"/>
      <c r="D359" s="32"/>
      <c r="E359" s="32"/>
      <c r="F359" s="32"/>
      <c r="G359" s="32"/>
      <c r="H359" s="32"/>
      <c r="I359" s="32"/>
      <c r="J359" s="32"/>
      <c r="K359" s="32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</row>
    <row r="360" ht="21.0" customHeight="1">
      <c r="A360" s="31"/>
      <c r="B360" s="31"/>
      <c r="C360" s="32"/>
      <c r="D360" s="32"/>
      <c r="E360" s="32"/>
      <c r="F360" s="32"/>
      <c r="G360" s="32"/>
      <c r="H360" s="32"/>
      <c r="I360" s="32"/>
      <c r="J360" s="32"/>
      <c r="K360" s="32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</row>
    <row r="361" ht="21.0" customHeight="1">
      <c r="A361" s="31"/>
      <c r="B361" s="31"/>
      <c r="C361" s="32"/>
      <c r="D361" s="32"/>
      <c r="E361" s="32"/>
      <c r="F361" s="32"/>
      <c r="G361" s="32"/>
      <c r="H361" s="32"/>
      <c r="I361" s="32"/>
      <c r="J361" s="32"/>
      <c r="K361" s="32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</row>
    <row r="362" ht="21.0" customHeight="1">
      <c r="A362" s="31"/>
      <c r="B362" s="31"/>
      <c r="C362" s="32"/>
      <c r="D362" s="32"/>
      <c r="E362" s="32"/>
      <c r="F362" s="32"/>
      <c r="G362" s="32"/>
      <c r="H362" s="32"/>
      <c r="I362" s="32"/>
      <c r="J362" s="32"/>
      <c r="K362" s="32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</row>
    <row r="363" ht="21.0" customHeight="1">
      <c r="A363" s="31"/>
      <c r="B363" s="31"/>
      <c r="C363" s="32"/>
      <c r="D363" s="32"/>
      <c r="E363" s="32"/>
      <c r="F363" s="32"/>
      <c r="G363" s="32"/>
      <c r="H363" s="32"/>
      <c r="I363" s="32"/>
      <c r="J363" s="32"/>
      <c r="K363" s="32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</row>
    <row r="364" ht="21.0" customHeight="1">
      <c r="A364" s="31"/>
      <c r="B364" s="31"/>
      <c r="C364" s="32"/>
      <c r="D364" s="32"/>
      <c r="E364" s="32"/>
      <c r="F364" s="32"/>
      <c r="G364" s="32"/>
      <c r="H364" s="32"/>
      <c r="I364" s="32"/>
      <c r="J364" s="32"/>
      <c r="K364" s="32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</row>
    <row r="365" ht="21.0" customHeight="1">
      <c r="A365" s="31"/>
      <c r="B365" s="31"/>
      <c r="C365" s="32"/>
      <c r="D365" s="32"/>
      <c r="E365" s="32"/>
      <c r="F365" s="32"/>
      <c r="G365" s="32"/>
      <c r="H365" s="32"/>
      <c r="I365" s="32"/>
      <c r="J365" s="32"/>
      <c r="K365" s="32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</row>
    <row r="366" ht="21.0" customHeight="1">
      <c r="A366" s="31"/>
      <c r="B366" s="31"/>
      <c r="C366" s="32"/>
      <c r="D366" s="32"/>
      <c r="E366" s="32"/>
      <c r="F366" s="32"/>
      <c r="G366" s="32"/>
      <c r="H366" s="32"/>
      <c r="I366" s="32"/>
      <c r="J366" s="32"/>
      <c r="K366" s="32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</row>
    <row r="367" ht="21.0" customHeight="1">
      <c r="A367" s="31"/>
      <c r="B367" s="31"/>
      <c r="C367" s="32"/>
      <c r="D367" s="32"/>
      <c r="E367" s="32"/>
      <c r="F367" s="32"/>
      <c r="G367" s="32"/>
      <c r="H367" s="32"/>
      <c r="I367" s="32"/>
      <c r="J367" s="32"/>
      <c r="K367" s="32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</row>
    <row r="368" ht="21.0" customHeight="1">
      <c r="A368" s="31"/>
      <c r="B368" s="31"/>
      <c r="C368" s="32"/>
      <c r="D368" s="32"/>
      <c r="E368" s="32"/>
      <c r="F368" s="32"/>
      <c r="G368" s="32"/>
      <c r="H368" s="32"/>
      <c r="I368" s="32"/>
      <c r="J368" s="32"/>
      <c r="K368" s="32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</row>
    <row r="369" ht="21.0" customHeight="1">
      <c r="A369" s="31"/>
      <c r="B369" s="31"/>
      <c r="C369" s="32"/>
      <c r="D369" s="32"/>
      <c r="E369" s="32"/>
      <c r="F369" s="32"/>
      <c r="G369" s="32"/>
      <c r="H369" s="32"/>
      <c r="I369" s="32"/>
      <c r="J369" s="32"/>
      <c r="K369" s="32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</row>
    <row r="370" ht="21.0" customHeight="1">
      <c r="A370" s="31"/>
      <c r="B370" s="31"/>
      <c r="C370" s="32"/>
      <c r="D370" s="32"/>
      <c r="E370" s="32"/>
      <c r="F370" s="32"/>
      <c r="G370" s="32"/>
      <c r="H370" s="32"/>
      <c r="I370" s="32"/>
      <c r="J370" s="32"/>
      <c r="K370" s="32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</row>
    <row r="371" ht="21.0" customHeight="1">
      <c r="A371" s="31"/>
      <c r="B371" s="31"/>
      <c r="C371" s="32"/>
      <c r="D371" s="32"/>
      <c r="E371" s="32"/>
      <c r="F371" s="32"/>
      <c r="G371" s="32"/>
      <c r="H371" s="32"/>
      <c r="I371" s="32"/>
      <c r="J371" s="32"/>
      <c r="K371" s="32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</row>
    <row r="372" ht="21.0" customHeight="1">
      <c r="A372" s="31"/>
      <c r="B372" s="31"/>
      <c r="C372" s="32"/>
      <c r="D372" s="32"/>
      <c r="E372" s="32"/>
      <c r="F372" s="32"/>
      <c r="G372" s="32"/>
      <c r="H372" s="32"/>
      <c r="I372" s="32"/>
      <c r="J372" s="32"/>
      <c r="K372" s="32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</row>
    <row r="373" ht="21.0" customHeight="1">
      <c r="A373" s="31"/>
      <c r="B373" s="31"/>
      <c r="C373" s="32"/>
      <c r="D373" s="32"/>
      <c r="E373" s="32"/>
      <c r="F373" s="32"/>
      <c r="G373" s="32"/>
      <c r="H373" s="32"/>
      <c r="I373" s="32"/>
      <c r="J373" s="32"/>
      <c r="K373" s="32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</row>
    <row r="374" ht="21.0" customHeight="1">
      <c r="A374" s="31"/>
      <c r="B374" s="31"/>
      <c r="C374" s="32"/>
      <c r="D374" s="32"/>
      <c r="E374" s="32"/>
      <c r="F374" s="32"/>
      <c r="G374" s="32"/>
      <c r="H374" s="32"/>
      <c r="I374" s="32"/>
      <c r="J374" s="32"/>
      <c r="K374" s="32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</row>
    <row r="375" ht="21.0" customHeight="1">
      <c r="A375" s="31"/>
      <c r="B375" s="31"/>
      <c r="C375" s="32"/>
      <c r="D375" s="32"/>
      <c r="E375" s="32"/>
      <c r="F375" s="32"/>
      <c r="G375" s="32"/>
      <c r="H375" s="32"/>
      <c r="I375" s="32"/>
      <c r="J375" s="32"/>
      <c r="K375" s="32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</row>
    <row r="376" ht="21.0" customHeight="1">
      <c r="A376" s="31"/>
      <c r="B376" s="31"/>
      <c r="C376" s="32"/>
      <c r="D376" s="32"/>
      <c r="E376" s="32"/>
      <c r="F376" s="32"/>
      <c r="G376" s="32"/>
      <c r="H376" s="32"/>
      <c r="I376" s="32"/>
      <c r="J376" s="32"/>
      <c r="K376" s="32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</row>
    <row r="377" ht="21.0" customHeight="1">
      <c r="A377" s="31"/>
      <c r="B377" s="31"/>
      <c r="C377" s="32"/>
      <c r="D377" s="32"/>
      <c r="E377" s="32"/>
      <c r="F377" s="32"/>
      <c r="G377" s="32"/>
      <c r="H377" s="32"/>
      <c r="I377" s="32"/>
      <c r="J377" s="32"/>
      <c r="K377" s="32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</row>
    <row r="378" ht="21.0" customHeight="1">
      <c r="A378" s="31"/>
      <c r="B378" s="31"/>
      <c r="C378" s="32"/>
      <c r="D378" s="32"/>
      <c r="E378" s="32"/>
      <c r="F378" s="32"/>
      <c r="G378" s="32"/>
      <c r="H378" s="32"/>
      <c r="I378" s="32"/>
      <c r="J378" s="32"/>
      <c r="K378" s="32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</row>
    <row r="379" ht="21.0" customHeight="1">
      <c r="A379" s="31"/>
      <c r="B379" s="31"/>
      <c r="C379" s="32"/>
      <c r="D379" s="32"/>
      <c r="E379" s="32"/>
      <c r="F379" s="32"/>
      <c r="G379" s="32"/>
      <c r="H379" s="32"/>
      <c r="I379" s="32"/>
      <c r="J379" s="32"/>
      <c r="K379" s="32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</row>
    <row r="380" ht="21.0" customHeight="1">
      <c r="A380" s="31"/>
      <c r="B380" s="31"/>
      <c r="C380" s="32"/>
      <c r="D380" s="32"/>
      <c r="E380" s="32"/>
      <c r="F380" s="32"/>
      <c r="G380" s="32"/>
      <c r="H380" s="32"/>
      <c r="I380" s="32"/>
      <c r="J380" s="32"/>
      <c r="K380" s="32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</row>
    <row r="381" ht="21.0" customHeight="1">
      <c r="A381" s="31"/>
      <c r="B381" s="31"/>
      <c r="C381" s="32"/>
      <c r="D381" s="32"/>
      <c r="E381" s="32"/>
      <c r="F381" s="32"/>
      <c r="G381" s="32"/>
      <c r="H381" s="32"/>
      <c r="I381" s="32"/>
      <c r="J381" s="32"/>
      <c r="K381" s="32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</row>
    <row r="382" ht="21.0" customHeight="1">
      <c r="A382" s="31"/>
      <c r="B382" s="31"/>
      <c r="C382" s="32"/>
      <c r="D382" s="32"/>
      <c r="E382" s="32"/>
      <c r="F382" s="32"/>
      <c r="G382" s="32"/>
      <c r="H382" s="32"/>
      <c r="I382" s="32"/>
      <c r="J382" s="32"/>
      <c r="K382" s="32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</row>
    <row r="383" ht="21.0" customHeight="1">
      <c r="A383" s="31"/>
      <c r="B383" s="31"/>
      <c r="C383" s="32"/>
      <c r="D383" s="32"/>
      <c r="E383" s="32"/>
      <c r="F383" s="32"/>
      <c r="G383" s="32"/>
      <c r="H383" s="32"/>
      <c r="I383" s="32"/>
      <c r="J383" s="32"/>
      <c r="K383" s="32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</row>
    <row r="384" ht="21.0" customHeight="1">
      <c r="A384" s="31"/>
      <c r="B384" s="31"/>
      <c r="C384" s="32"/>
      <c r="D384" s="32"/>
      <c r="E384" s="32"/>
      <c r="F384" s="32"/>
      <c r="G384" s="32"/>
      <c r="H384" s="32"/>
      <c r="I384" s="32"/>
      <c r="J384" s="32"/>
      <c r="K384" s="32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</row>
    <row r="385" ht="21.0" customHeight="1">
      <c r="A385" s="31"/>
      <c r="B385" s="31"/>
      <c r="C385" s="32"/>
      <c r="D385" s="32"/>
      <c r="E385" s="32"/>
      <c r="F385" s="32"/>
      <c r="G385" s="32"/>
      <c r="H385" s="32"/>
      <c r="I385" s="32"/>
      <c r="J385" s="32"/>
      <c r="K385" s="32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</row>
    <row r="386" ht="21.0" customHeight="1">
      <c r="A386" s="31"/>
      <c r="B386" s="31"/>
      <c r="C386" s="32"/>
      <c r="D386" s="32"/>
      <c r="E386" s="32"/>
      <c r="F386" s="32"/>
      <c r="G386" s="32"/>
      <c r="H386" s="32"/>
      <c r="I386" s="32"/>
      <c r="J386" s="32"/>
      <c r="K386" s="32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</row>
    <row r="387" ht="21.0" customHeight="1">
      <c r="A387" s="31"/>
      <c r="B387" s="31"/>
      <c r="C387" s="32"/>
      <c r="D387" s="32"/>
      <c r="E387" s="32"/>
      <c r="F387" s="32"/>
      <c r="G387" s="32"/>
      <c r="H387" s="32"/>
      <c r="I387" s="32"/>
      <c r="J387" s="32"/>
      <c r="K387" s="32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</row>
    <row r="388" ht="21.0" customHeight="1">
      <c r="A388" s="31"/>
      <c r="B388" s="31"/>
      <c r="C388" s="32"/>
      <c r="D388" s="32"/>
      <c r="E388" s="32"/>
      <c r="F388" s="32"/>
      <c r="G388" s="32"/>
      <c r="H388" s="32"/>
      <c r="I388" s="32"/>
      <c r="J388" s="32"/>
      <c r="K388" s="32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</row>
    <row r="389" ht="21.0" customHeight="1">
      <c r="A389" s="31"/>
      <c r="B389" s="31"/>
      <c r="C389" s="32"/>
      <c r="D389" s="32"/>
      <c r="E389" s="32"/>
      <c r="F389" s="32"/>
      <c r="G389" s="32"/>
      <c r="H389" s="32"/>
      <c r="I389" s="32"/>
      <c r="J389" s="32"/>
      <c r="K389" s="32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</row>
    <row r="390" ht="21.0" customHeight="1">
      <c r="A390" s="31"/>
      <c r="B390" s="31"/>
      <c r="C390" s="32"/>
      <c r="D390" s="32"/>
      <c r="E390" s="32"/>
      <c r="F390" s="32"/>
      <c r="G390" s="32"/>
      <c r="H390" s="32"/>
      <c r="I390" s="32"/>
      <c r="J390" s="32"/>
      <c r="K390" s="32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</row>
    <row r="391" ht="21.0" customHeight="1">
      <c r="A391" s="31"/>
      <c r="B391" s="31"/>
      <c r="C391" s="32"/>
      <c r="D391" s="32"/>
      <c r="E391" s="32"/>
      <c r="F391" s="32"/>
      <c r="G391" s="32"/>
      <c r="H391" s="32"/>
      <c r="I391" s="32"/>
      <c r="J391" s="32"/>
      <c r="K391" s="32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</row>
    <row r="392" ht="21.0" customHeight="1">
      <c r="A392" s="31"/>
      <c r="B392" s="31"/>
      <c r="C392" s="32"/>
      <c r="D392" s="32"/>
      <c r="E392" s="32"/>
      <c r="F392" s="32"/>
      <c r="G392" s="32"/>
      <c r="H392" s="32"/>
      <c r="I392" s="32"/>
      <c r="J392" s="32"/>
      <c r="K392" s="32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</row>
    <row r="393" ht="21.0" customHeight="1">
      <c r="A393" s="31"/>
      <c r="B393" s="31"/>
      <c r="C393" s="32"/>
      <c r="D393" s="32"/>
      <c r="E393" s="32"/>
      <c r="F393" s="32"/>
      <c r="G393" s="32"/>
      <c r="H393" s="32"/>
      <c r="I393" s="32"/>
      <c r="J393" s="32"/>
      <c r="K393" s="32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</row>
    <row r="394" ht="21.0" customHeight="1">
      <c r="A394" s="31"/>
      <c r="B394" s="31"/>
      <c r="C394" s="32"/>
      <c r="D394" s="32"/>
      <c r="E394" s="32"/>
      <c r="F394" s="32"/>
      <c r="G394" s="32"/>
      <c r="H394" s="32"/>
      <c r="I394" s="32"/>
      <c r="J394" s="32"/>
      <c r="K394" s="32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</row>
    <row r="395" ht="21.0" customHeight="1">
      <c r="A395" s="31"/>
      <c r="B395" s="31"/>
      <c r="C395" s="32"/>
      <c r="D395" s="32"/>
      <c r="E395" s="32"/>
      <c r="F395" s="32"/>
      <c r="G395" s="32"/>
      <c r="H395" s="32"/>
      <c r="I395" s="32"/>
      <c r="J395" s="32"/>
      <c r="K395" s="32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</row>
    <row r="396" ht="21.0" customHeight="1">
      <c r="A396" s="31"/>
      <c r="B396" s="31"/>
      <c r="C396" s="32"/>
      <c r="D396" s="32"/>
      <c r="E396" s="32"/>
      <c r="F396" s="32"/>
      <c r="G396" s="32"/>
      <c r="H396" s="32"/>
      <c r="I396" s="32"/>
      <c r="J396" s="32"/>
      <c r="K396" s="32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</row>
    <row r="397" ht="21.0" customHeight="1">
      <c r="A397" s="31"/>
      <c r="B397" s="31"/>
      <c r="C397" s="32"/>
      <c r="D397" s="32"/>
      <c r="E397" s="32"/>
      <c r="F397" s="32"/>
      <c r="G397" s="32"/>
      <c r="H397" s="32"/>
      <c r="I397" s="32"/>
      <c r="J397" s="32"/>
      <c r="K397" s="32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</row>
    <row r="398" ht="21.0" customHeight="1">
      <c r="A398" s="31"/>
      <c r="B398" s="31"/>
      <c r="C398" s="32"/>
      <c r="D398" s="32"/>
      <c r="E398" s="32"/>
      <c r="F398" s="32"/>
      <c r="G398" s="32"/>
      <c r="H398" s="32"/>
      <c r="I398" s="32"/>
      <c r="J398" s="32"/>
      <c r="K398" s="32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</row>
    <row r="399" ht="21.0" customHeight="1">
      <c r="A399" s="31"/>
      <c r="B399" s="31"/>
      <c r="C399" s="32"/>
      <c r="D399" s="32"/>
      <c r="E399" s="32"/>
      <c r="F399" s="32"/>
      <c r="G399" s="32"/>
      <c r="H399" s="32"/>
      <c r="I399" s="32"/>
      <c r="J399" s="32"/>
      <c r="K399" s="32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</row>
    <row r="400" ht="21.0" customHeight="1">
      <c r="A400" s="31"/>
      <c r="B400" s="31"/>
      <c r="C400" s="32"/>
      <c r="D400" s="32"/>
      <c r="E400" s="32"/>
      <c r="F400" s="32"/>
      <c r="G400" s="32"/>
      <c r="H400" s="32"/>
      <c r="I400" s="32"/>
      <c r="J400" s="32"/>
      <c r="K400" s="32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</row>
    <row r="401" ht="21.0" customHeight="1">
      <c r="A401" s="31"/>
      <c r="B401" s="31"/>
      <c r="C401" s="32"/>
      <c r="D401" s="32"/>
      <c r="E401" s="32"/>
      <c r="F401" s="32"/>
      <c r="G401" s="32"/>
      <c r="H401" s="32"/>
      <c r="I401" s="32"/>
      <c r="J401" s="32"/>
      <c r="K401" s="32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</row>
    <row r="402" ht="21.0" customHeight="1">
      <c r="A402" s="31"/>
      <c r="B402" s="31"/>
      <c r="C402" s="32"/>
      <c r="D402" s="32"/>
      <c r="E402" s="32"/>
      <c r="F402" s="32"/>
      <c r="G402" s="32"/>
      <c r="H402" s="32"/>
      <c r="I402" s="32"/>
      <c r="J402" s="32"/>
      <c r="K402" s="32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</row>
    <row r="403" ht="21.0" customHeight="1">
      <c r="A403" s="31"/>
      <c r="B403" s="31"/>
      <c r="C403" s="32"/>
      <c r="D403" s="32"/>
      <c r="E403" s="32"/>
      <c r="F403" s="32"/>
      <c r="G403" s="32"/>
      <c r="H403" s="32"/>
      <c r="I403" s="32"/>
      <c r="J403" s="32"/>
      <c r="K403" s="32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</row>
    <row r="404" ht="21.0" customHeight="1">
      <c r="A404" s="31"/>
      <c r="B404" s="31"/>
      <c r="C404" s="32"/>
      <c r="D404" s="32"/>
      <c r="E404" s="32"/>
      <c r="F404" s="32"/>
      <c r="G404" s="32"/>
      <c r="H404" s="32"/>
      <c r="I404" s="32"/>
      <c r="J404" s="32"/>
      <c r="K404" s="32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</row>
    <row r="405" ht="21.0" customHeight="1">
      <c r="A405" s="31"/>
      <c r="B405" s="31"/>
      <c r="C405" s="32"/>
      <c r="D405" s="32"/>
      <c r="E405" s="32"/>
      <c r="F405" s="32"/>
      <c r="G405" s="32"/>
      <c r="H405" s="32"/>
      <c r="I405" s="32"/>
      <c r="J405" s="32"/>
      <c r="K405" s="32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</row>
    <row r="406" ht="21.0" customHeight="1">
      <c r="A406" s="31"/>
      <c r="B406" s="31"/>
      <c r="C406" s="32"/>
      <c r="D406" s="32"/>
      <c r="E406" s="32"/>
      <c r="F406" s="32"/>
      <c r="G406" s="32"/>
      <c r="H406" s="32"/>
      <c r="I406" s="32"/>
      <c r="J406" s="32"/>
      <c r="K406" s="32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</row>
    <row r="407" ht="21.0" customHeight="1">
      <c r="A407" s="31"/>
      <c r="B407" s="31"/>
      <c r="C407" s="32"/>
      <c r="D407" s="32"/>
      <c r="E407" s="32"/>
      <c r="F407" s="32"/>
      <c r="G407" s="32"/>
      <c r="H407" s="32"/>
      <c r="I407" s="32"/>
      <c r="J407" s="32"/>
      <c r="K407" s="32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</row>
    <row r="408" ht="21.0" customHeight="1">
      <c r="A408" s="31"/>
      <c r="B408" s="31"/>
      <c r="C408" s="32"/>
      <c r="D408" s="32"/>
      <c r="E408" s="32"/>
      <c r="F408" s="32"/>
      <c r="G408" s="32"/>
      <c r="H408" s="32"/>
      <c r="I408" s="32"/>
      <c r="J408" s="32"/>
      <c r="K408" s="32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</row>
    <row r="409" ht="21.0" customHeight="1">
      <c r="A409" s="31"/>
      <c r="B409" s="31"/>
      <c r="C409" s="32"/>
      <c r="D409" s="32"/>
      <c r="E409" s="32"/>
      <c r="F409" s="32"/>
      <c r="G409" s="32"/>
      <c r="H409" s="32"/>
      <c r="I409" s="32"/>
      <c r="J409" s="32"/>
      <c r="K409" s="32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</row>
    <row r="410" ht="21.0" customHeight="1">
      <c r="A410" s="31"/>
      <c r="B410" s="31"/>
      <c r="C410" s="32"/>
      <c r="D410" s="32"/>
      <c r="E410" s="32"/>
      <c r="F410" s="32"/>
      <c r="G410" s="32"/>
      <c r="H410" s="32"/>
      <c r="I410" s="32"/>
      <c r="J410" s="32"/>
      <c r="K410" s="32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</row>
    <row r="411" ht="21.0" customHeight="1">
      <c r="A411" s="31"/>
      <c r="B411" s="31"/>
      <c r="C411" s="32"/>
      <c r="D411" s="32"/>
      <c r="E411" s="32"/>
      <c r="F411" s="32"/>
      <c r="G411" s="32"/>
      <c r="H411" s="32"/>
      <c r="I411" s="32"/>
      <c r="J411" s="32"/>
      <c r="K411" s="32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</row>
    <row r="412" ht="21.0" customHeight="1">
      <c r="A412" s="31"/>
      <c r="B412" s="31"/>
      <c r="C412" s="32"/>
      <c r="D412" s="32"/>
      <c r="E412" s="32"/>
      <c r="F412" s="32"/>
      <c r="G412" s="32"/>
      <c r="H412" s="32"/>
      <c r="I412" s="32"/>
      <c r="J412" s="32"/>
      <c r="K412" s="32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</row>
    <row r="413" ht="21.0" customHeight="1">
      <c r="A413" s="31"/>
      <c r="B413" s="31"/>
      <c r="C413" s="32"/>
      <c r="D413" s="32"/>
      <c r="E413" s="32"/>
      <c r="F413" s="32"/>
      <c r="G413" s="32"/>
      <c r="H413" s="32"/>
      <c r="I413" s="32"/>
      <c r="J413" s="32"/>
      <c r="K413" s="32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</row>
    <row r="414" ht="21.0" customHeight="1">
      <c r="A414" s="31"/>
      <c r="B414" s="31"/>
      <c r="C414" s="32"/>
      <c r="D414" s="32"/>
      <c r="E414" s="32"/>
      <c r="F414" s="32"/>
      <c r="G414" s="32"/>
      <c r="H414" s="32"/>
      <c r="I414" s="32"/>
      <c r="J414" s="32"/>
      <c r="K414" s="32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</row>
    <row r="415" ht="21.0" customHeight="1">
      <c r="A415" s="31"/>
      <c r="B415" s="31"/>
      <c r="C415" s="32"/>
      <c r="D415" s="32"/>
      <c r="E415" s="32"/>
      <c r="F415" s="32"/>
      <c r="G415" s="32"/>
      <c r="H415" s="32"/>
      <c r="I415" s="32"/>
      <c r="J415" s="32"/>
      <c r="K415" s="32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</row>
    <row r="416" ht="21.0" customHeight="1">
      <c r="A416" s="31"/>
      <c r="B416" s="31"/>
      <c r="C416" s="32"/>
      <c r="D416" s="32"/>
      <c r="E416" s="32"/>
      <c r="F416" s="32"/>
      <c r="G416" s="32"/>
      <c r="H416" s="32"/>
      <c r="I416" s="32"/>
      <c r="J416" s="32"/>
      <c r="K416" s="32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</row>
    <row r="417" ht="21.0" customHeight="1">
      <c r="A417" s="31"/>
      <c r="B417" s="31"/>
      <c r="C417" s="32"/>
      <c r="D417" s="32"/>
      <c r="E417" s="32"/>
      <c r="F417" s="32"/>
      <c r="G417" s="32"/>
      <c r="H417" s="32"/>
      <c r="I417" s="32"/>
      <c r="J417" s="32"/>
      <c r="K417" s="32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</row>
    <row r="418" ht="21.0" customHeight="1">
      <c r="A418" s="31"/>
      <c r="B418" s="31"/>
      <c r="C418" s="32"/>
      <c r="D418" s="32"/>
      <c r="E418" s="32"/>
      <c r="F418" s="32"/>
      <c r="G418" s="32"/>
      <c r="H418" s="32"/>
      <c r="I418" s="32"/>
      <c r="J418" s="32"/>
      <c r="K418" s="32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</row>
    <row r="419" ht="21.0" customHeight="1">
      <c r="A419" s="31"/>
      <c r="B419" s="31"/>
      <c r="C419" s="32"/>
      <c r="D419" s="32"/>
      <c r="E419" s="32"/>
      <c r="F419" s="32"/>
      <c r="G419" s="32"/>
      <c r="H419" s="32"/>
      <c r="I419" s="32"/>
      <c r="J419" s="32"/>
      <c r="K419" s="32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</row>
    <row r="420" ht="21.0" customHeight="1">
      <c r="A420" s="31"/>
      <c r="B420" s="31"/>
      <c r="C420" s="32"/>
      <c r="D420" s="32"/>
      <c r="E420" s="32"/>
      <c r="F420" s="32"/>
      <c r="G420" s="32"/>
      <c r="H420" s="32"/>
      <c r="I420" s="32"/>
      <c r="J420" s="32"/>
      <c r="K420" s="32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</row>
    <row r="421" ht="21.0" customHeight="1">
      <c r="A421" s="31"/>
      <c r="B421" s="31"/>
      <c r="C421" s="32"/>
      <c r="D421" s="32"/>
      <c r="E421" s="32"/>
      <c r="F421" s="32"/>
      <c r="G421" s="32"/>
      <c r="H421" s="32"/>
      <c r="I421" s="32"/>
      <c r="J421" s="32"/>
      <c r="K421" s="32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</row>
    <row r="422" ht="21.0" customHeight="1">
      <c r="A422" s="31"/>
      <c r="B422" s="31"/>
      <c r="C422" s="32"/>
      <c r="D422" s="32"/>
      <c r="E422" s="32"/>
      <c r="F422" s="32"/>
      <c r="G422" s="32"/>
      <c r="H422" s="32"/>
      <c r="I422" s="32"/>
      <c r="J422" s="32"/>
      <c r="K422" s="32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</row>
    <row r="423" ht="21.0" customHeight="1">
      <c r="A423" s="31"/>
      <c r="B423" s="31"/>
      <c r="C423" s="32"/>
      <c r="D423" s="32"/>
      <c r="E423" s="32"/>
      <c r="F423" s="32"/>
      <c r="G423" s="32"/>
      <c r="H423" s="32"/>
      <c r="I423" s="32"/>
      <c r="J423" s="32"/>
      <c r="K423" s="32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</row>
    <row r="424" ht="21.0" customHeight="1">
      <c r="A424" s="31"/>
      <c r="B424" s="31"/>
      <c r="C424" s="32"/>
      <c r="D424" s="32"/>
      <c r="E424" s="32"/>
      <c r="F424" s="32"/>
      <c r="G424" s="32"/>
      <c r="H424" s="32"/>
      <c r="I424" s="32"/>
      <c r="J424" s="32"/>
      <c r="K424" s="32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</row>
    <row r="425" ht="21.0" customHeight="1">
      <c r="A425" s="31"/>
      <c r="B425" s="31"/>
      <c r="C425" s="32"/>
      <c r="D425" s="32"/>
      <c r="E425" s="32"/>
      <c r="F425" s="32"/>
      <c r="G425" s="32"/>
      <c r="H425" s="32"/>
      <c r="I425" s="32"/>
      <c r="J425" s="32"/>
      <c r="K425" s="32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</row>
    <row r="426" ht="21.0" customHeight="1">
      <c r="A426" s="31"/>
      <c r="B426" s="31"/>
      <c r="C426" s="32"/>
      <c r="D426" s="32"/>
      <c r="E426" s="32"/>
      <c r="F426" s="32"/>
      <c r="G426" s="32"/>
      <c r="H426" s="32"/>
      <c r="I426" s="32"/>
      <c r="J426" s="32"/>
      <c r="K426" s="32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</row>
    <row r="427" ht="21.0" customHeight="1">
      <c r="A427" s="31"/>
      <c r="B427" s="31"/>
      <c r="C427" s="32"/>
      <c r="D427" s="32"/>
      <c r="E427" s="32"/>
      <c r="F427" s="32"/>
      <c r="G427" s="32"/>
      <c r="H427" s="32"/>
      <c r="I427" s="32"/>
      <c r="J427" s="32"/>
      <c r="K427" s="32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</row>
    <row r="428" ht="21.0" customHeight="1">
      <c r="A428" s="31"/>
      <c r="B428" s="31"/>
      <c r="C428" s="32"/>
      <c r="D428" s="32"/>
      <c r="E428" s="32"/>
      <c r="F428" s="32"/>
      <c r="G428" s="32"/>
      <c r="H428" s="32"/>
      <c r="I428" s="32"/>
      <c r="J428" s="32"/>
      <c r="K428" s="32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</row>
    <row r="429" ht="21.0" customHeight="1">
      <c r="A429" s="31"/>
      <c r="B429" s="31"/>
      <c r="C429" s="32"/>
      <c r="D429" s="32"/>
      <c r="E429" s="32"/>
      <c r="F429" s="32"/>
      <c r="G429" s="32"/>
      <c r="H429" s="32"/>
      <c r="I429" s="32"/>
      <c r="J429" s="32"/>
      <c r="K429" s="32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</row>
    <row r="430" ht="21.0" customHeight="1">
      <c r="A430" s="31"/>
      <c r="B430" s="31"/>
      <c r="C430" s="32"/>
      <c r="D430" s="32"/>
      <c r="E430" s="32"/>
      <c r="F430" s="32"/>
      <c r="G430" s="32"/>
      <c r="H430" s="32"/>
      <c r="I430" s="32"/>
      <c r="J430" s="32"/>
      <c r="K430" s="32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</row>
    <row r="431" ht="21.0" customHeight="1">
      <c r="A431" s="31"/>
      <c r="B431" s="31"/>
      <c r="C431" s="32"/>
      <c r="D431" s="32"/>
      <c r="E431" s="32"/>
      <c r="F431" s="32"/>
      <c r="G431" s="32"/>
      <c r="H431" s="32"/>
      <c r="I431" s="32"/>
      <c r="J431" s="32"/>
      <c r="K431" s="32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</row>
    <row r="432" ht="21.0" customHeight="1">
      <c r="A432" s="31"/>
      <c r="B432" s="31"/>
      <c r="C432" s="32"/>
      <c r="D432" s="32"/>
      <c r="E432" s="32"/>
      <c r="F432" s="32"/>
      <c r="G432" s="32"/>
      <c r="H432" s="32"/>
      <c r="I432" s="32"/>
      <c r="J432" s="32"/>
      <c r="K432" s="32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</row>
    <row r="433" ht="21.0" customHeight="1">
      <c r="A433" s="31"/>
      <c r="B433" s="31"/>
      <c r="C433" s="32"/>
      <c r="D433" s="32"/>
      <c r="E433" s="32"/>
      <c r="F433" s="32"/>
      <c r="G433" s="32"/>
      <c r="H433" s="32"/>
      <c r="I433" s="32"/>
      <c r="J433" s="32"/>
      <c r="K433" s="32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</row>
    <row r="434" ht="21.0" customHeight="1">
      <c r="A434" s="31"/>
      <c r="B434" s="31"/>
      <c r="C434" s="32"/>
      <c r="D434" s="32"/>
      <c r="E434" s="32"/>
      <c r="F434" s="32"/>
      <c r="G434" s="32"/>
      <c r="H434" s="32"/>
      <c r="I434" s="32"/>
      <c r="J434" s="32"/>
      <c r="K434" s="32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</row>
    <row r="435" ht="21.0" customHeight="1">
      <c r="A435" s="31"/>
      <c r="B435" s="31"/>
      <c r="C435" s="32"/>
      <c r="D435" s="32"/>
      <c r="E435" s="32"/>
      <c r="F435" s="32"/>
      <c r="G435" s="32"/>
      <c r="H435" s="32"/>
      <c r="I435" s="32"/>
      <c r="J435" s="32"/>
      <c r="K435" s="32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</row>
    <row r="436" ht="21.0" customHeight="1">
      <c r="A436" s="31"/>
      <c r="B436" s="31"/>
      <c r="C436" s="32"/>
      <c r="D436" s="32"/>
      <c r="E436" s="32"/>
      <c r="F436" s="32"/>
      <c r="G436" s="32"/>
      <c r="H436" s="32"/>
      <c r="I436" s="32"/>
      <c r="J436" s="32"/>
      <c r="K436" s="32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</row>
    <row r="437" ht="21.0" customHeight="1">
      <c r="A437" s="31"/>
      <c r="B437" s="31"/>
      <c r="C437" s="32"/>
      <c r="D437" s="32"/>
      <c r="E437" s="32"/>
      <c r="F437" s="32"/>
      <c r="G437" s="32"/>
      <c r="H437" s="32"/>
      <c r="I437" s="32"/>
      <c r="J437" s="32"/>
      <c r="K437" s="32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</row>
    <row r="438" ht="21.0" customHeight="1">
      <c r="A438" s="31"/>
      <c r="B438" s="31"/>
      <c r="C438" s="32"/>
      <c r="D438" s="32"/>
      <c r="E438" s="32"/>
      <c r="F438" s="32"/>
      <c r="G438" s="32"/>
      <c r="H438" s="32"/>
      <c r="I438" s="32"/>
      <c r="J438" s="32"/>
      <c r="K438" s="32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</row>
    <row r="439" ht="21.0" customHeight="1">
      <c r="A439" s="31"/>
      <c r="B439" s="31"/>
      <c r="C439" s="32"/>
      <c r="D439" s="32"/>
      <c r="E439" s="32"/>
      <c r="F439" s="32"/>
      <c r="G439" s="32"/>
      <c r="H439" s="32"/>
      <c r="I439" s="32"/>
      <c r="J439" s="32"/>
      <c r="K439" s="32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</row>
    <row r="440" ht="21.0" customHeight="1">
      <c r="A440" s="31"/>
      <c r="B440" s="31"/>
      <c r="C440" s="32"/>
      <c r="D440" s="32"/>
      <c r="E440" s="32"/>
      <c r="F440" s="32"/>
      <c r="G440" s="32"/>
      <c r="H440" s="32"/>
      <c r="I440" s="32"/>
      <c r="J440" s="32"/>
      <c r="K440" s="32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</row>
    <row r="441" ht="21.0" customHeight="1">
      <c r="A441" s="31"/>
      <c r="B441" s="31"/>
      <c r="C441" s="32"/>
      <c r="D441" s="32"/>
      <c r="E441" s="32"/>
      <c r="F441" s="32"/>
      <c r="G441" s="32"/>
      <c r="H441" s="32"/>
      <c r="I441" s="32"/>
      <c r="J441" s="32"/>
      <c r="K441" s="32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</row>
    <row r="442" ht="21.0" customHeight="1">
      <c r="A442" s="31"/>
      <c r="B442" s="31"/>
      <c r="C442" s="32"/>
      <c r="D442" s="32"/>
      <c r="E442" s="32"/>
      <c r="F442" s="32"/>
      <c r="G442" s="32"/>
      <c r="H442" s="32"/>
      <c r="I442" s="32"/>
      <c r="J442" s="32"/>
      <c r="K442" s="32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</row>
    <row r="443" ht="21.0" customHeight="1">
      <c r="A443" s="31"/>
      <c r="B443" s="31"/>
      <c r="C443" s="32"/>
      <c r="D443" s="32"/>
      <c r="E443" s="32"/>
      <c r="F443" s="32"/>
      <c r="G443" s="32"/>
      <c r="H443" s="32"/>
      <c r="I443" s="32"/>
      <c r="J443" s="32"/>
      <c r="K443" s="32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</row>
    <row r="444" ht="21.0" customHeight="1">
      <c r="A444" s="31"/>
      <c r="B444" s="31"/>
      <c r="C444" s="32"/>
      <c r="D444" s="32"/>
      <c r="E444" s="32"/>
      <c r="F444" s="32"/>
      <c r="G444" s="32"/>
      <c r="H444" s="32"/>
      <c r="I444" s="32"/>
      <c r="J444" s="32"/>
      <c r="K444" s="32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</row>
    <row r="445" ht="21.0" customHeight="1">
      <c r="A445" s="31"/>
      <c r="B445" s="31"/>
      <c r="C445" s="32"/>
      <c r="D445" s="32"/>
      <c r="E445" s="32"/>
      <c r="F445" s="32"/>
      <c r="G445" s="32"/>
      <c r="H445" s="32"/>
      <c r="I445" s="32"/>
      <c r="J445" s="32"/>
      <c r="K445" s="32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</row>
    <row r="446" ht="21.0" customHeight="1">
      <c r="A446" s="31"/>
      <c r="B446" s="31"/>
      <c r="C446" s="32"/>
      <c r="D446" s="32"/>
      <c r="E446" s="32"/>
      <c r="F446" s="32"/>
      <c r="G446" s="32"/>
      <c r="H446" s="32"/>
      <c r="I446" s="32"/>
      <c r="J446" s="32"/>
      <c r="K446" s="32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</row>
    <row r="447" ht="21.0" customHeight="1">
      <c r="A447" s="31"/>
      <c r="B447" s="31"/>
      <c r="C447" s="32"/>
      <c r="D447" s="32"/>
      <c r="E447" s="32"/>
      <c r="F447" s="32"/>
      <c r="G447" s="32"/>
      <c r="H447" s="32"/>
      <c r="I447" s="32"/>
      <c r="J447" s="32"/>
      <c r="K447" s="32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</row>
    <row r="448" ht="21.0" customHeight="1">
      <c r="A448" s="31"/>
      <c r="B448" s="31"/>
      <c r="C448" s="32"/>
      <c r="D448" s="32"/>
      <c r="E448" s="32"/>
      <c r="F448" s="32"/>
      <c r="G448" s="32"/>
      <c r="H448" s="32"/>
      <c r="I448" s="32"/>
      <c r="J448" s="32"/>
      <c r="K448" s="32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</row>
    <row r="449" ht="21.0" customHeight="1">
      <c r="A449" s="31"/>
      <c r="B449" s="31"/>
      <c r="C449" s="32"/>
      <c r="D449" s="32"/>
      <c r="E449" s="32"/>
      <c r="F449" s="32"/>
      <c r="G449" s="32"/>
      <c r="H449" s="32"/>
      <c r="I449" s="32"/>
      <c r="J449" s="32"/>
      <c r="K449" s="32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</row>
    <row r="450" ht="21.0" customHeight="1">
      <c r="A450" s="31"/>
      <c r="B450" s="31"/>
      <c r="C450" s="32"/>
      <c r="D450" s="32"/>
      <c r="E450" s="32"/>
      <c r="F450" s="32"/>
      <c r="G450" s="32"/>
      <c r="H450" s="32"/>
      <c r="I450" s="32"/>
      <c r="J450" s="32"/>
      <c r="K450" s="32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</row>
    <row r="451" ht="21.0" customHeight="1">
      <c r="A451" s="31"/>
      <c r="B451" s="31"/>
      <c r="C451" s="32"/>
      <c r="D451" s="32"/>
      <c r="E451" s="32"/>
      <c r="F451" s="32"/>
      <c r="G451" s="32"/>
      <c r="H451" s="32"/>
      <c r="I451" s="32"/>
      <c r="J451" s="32"/>
      <c r="K451" s="32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</row>
    <row r="452" ht="21.0" customHeight="1">
      <c r="A452" s="31"/>
      <c r="B452" s="31"/>
      <c r="C452" s="32"/>
      <c r="D452" s="32"/>
      <c r="E452" s="32"/>
      <c r="F452" s="32"/>
      <c r="G452" s="32"/>
      <c r="H452" s="32"/>
      <c r="I452" s="32"/>
      <c r="J452" s="32"/>
      <c r="K452" s="32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</row>
    <row r="453" ht="21.0" customHeight="1">
      <c r="A453" s="31"/>
      <c r="B453" s="31"/>
      <c r="C453" s="32"/>
      <c r="D453" s="32"/>
      <c r="E453" s="32"/>
      <c r="F453" s="32"/>
      <c r="G453" s="32"/>
      <c r="H453" s="32"/>
      <c r="I453" s="32"/>
      <c r="J453" s="32"/>
      <c r="K453" s="32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</row>
    <row r="454" ht="21.0" customHeight="1">
      <c r="A454" s="31"/>
      <c r="B454" s="31"/>
      <c r="C454" s="32"/>
      <c r="D454" s="32"/>
      <c r="E454" s="32"/>
      <c r="F454" s="32"/>
      <c r="G454" s="32"/>
      <c r="H454" s="32"/>
      <c r="I454" s="32"/>
      <c r="J454" s="32"/>
      <c r="K454" s="32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</row>
    <row r="455" ht="21.0" customHeight="1">
      <c r="A455" s="31"/>
      <c r="B455" s="31"/>
      <c r="C455" s="32"/>
      <c r="D455" s="32"/>
      <c r="E455" s="32"/>
      <c r="F455" s="32"/>
      <c r="G455" s="32"/>
      <c r="H455" s="32"/>
      <c r="I455" s="32"/>
      <c r="J455" s="32"/>
      <c r="K455" s="32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</row>
    <row r="456" ht="21.0" customHeight="1">
      <c r="A456" s="31"/>
      <c r="B456" s="31"/>
      <c r="C456" s="32"/>
      <c r="D456" s="32"/>
      <c r="E456" s="32"/>
      <c r="F456" s="32"/>
      <c r="G456" s="32"/>
      <c r="H456" s="32"/>
      <c r="I456" s="32"/>
      <c r="J456" s="32"/>
      <c r="K456" s="32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</row>
    <row r="457" ht="21.0" customHeight="1">
      <c r="A457" s="31"/>
      <c r="B457" s="31"/>
      <c r="C457" s="32"/>
      <c r="D457" s="32"/>
      <c r="E457" s="32"/>
      <c r="F457" s="32"/>
      <c r="G457" s="32"/>
      <c r="H457" s="32"/>
      <c r="I457" s="32"/>
      <c r="J457" s="32"/>
      <c r="K457" s="32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</row>
    <row r="458" ht="21.0" customHeight="1">
      <c r="A458" s="31"/>
      <c r="B458" s="31"/>
      <c r="C458" s="32"/>
      <c r="D458" s="32"/>
      <c r="E458" s="32"/>
      <c r="F458" s="32"/>
      <c r="G458" s="32"/>
      <c r="H458" s="32"/>
      <c r="I458" s="32"/>
      <c r="J458" s="32"/>
      <c r="K458" s="32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</row>
    <row r="459" ht="21.0" customHeight="1">
      <c r="A459" s="31"/>
      <c r="B459" s="31"/>
      <c r="C459" s="32"/>
      <c r="D459" s="32"/>
      <c r="E459" s="32"/>
      <c r="F459" s="32"/>
      <c r="G459" s="32"/>
      <c r="H459" s="32"/>
      <c r="I459" s="32"/>
      <c r="J459" s="32"/>
      <c r="K459" s="32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</row>
    <row r="460" ht="21.0" customHeight="1">
      <c r="A460" s="31"/>
      <c r="B460" s="31"/>
      <c r="C460" s="32"/>
      <c r="D460" s="32"/>
      <c r="E460" s="32"/>
      <c r="F460" s="32"/>
      <c r="G460" s="32"/>
      <c r="H460" s="32"/>
      <c r="I460" s="32"/>
      <c r="J460" s="32"/>
      <c r="K460" s="32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</row>
    <row r="461" ht="21.0" customHeight="1">
      <c r="A461" s="31"/>
      <c r="B461" s="31"/>
      <c r="C461" s="32"/>
      <c r="D461" s="32"/>
      <c r="E461" s="32"/>
      <c r="F461" s="32"/>
      <c r="G461" s="32"/>
      <c r="H461" s="32"/>
      <c r="I461" s="32"/>
      <c r="J461" s="32"/>
      <c r="K461" s="32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</row>
    <row r="462" ht="21.0" customHeight="1">
      <c r="A462" s="31"/>
      <c r="B462" s="31"/>
      <c r="C462" s="32"/>
      <c r="D462" s="32"/>
      <c r="E462" s="32"/>
      <c r="F462" s="32"/>
      <c r="G462" s="32"/>
      <c r="H462" s="32"/>
      <c r="I462" s="32"/>
      <c r="J462" s="32"/>
      <c r="K462" s="32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</row>
    <row r="463" ht="21.0" customHeight="1">
      <c r="A463" s="31"/>
      <c r="B463" s="31"/>
      <c r="C463" s="32"/>
      <c r="D463" s="32"/>
      <c r="E463" s="32"/>
      <c r="F463" s="32"/>
      <c r="G463" s="32"/>
      <c r="H463" s="32"/>
      <c r="I463" s="32"/>
      <c r="J463" s="32"/>
      <c r="K463" s="32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</row>
    <row r="464" ht="21.0" customHeight="1">
      <c r="A464" s="31"/>
      <c r="B464" s="31"/>
      <c r="C464" s="32"/>
      <c r="D464" s="32"/>
      <c r="E464" s="32"/>
      <c r="F464" s="32"/>
      <c r="G464" s="32"/>
      <c r="H464" s="32"/>
      <c r="I464" s="32"/>
      <c r="J464" s="32"/>
      <c r="K464" s="32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</row>
    <row r="465" ht="21.0" customHeight="1">
      <c r="A465" s="31"/>
      <c r="B465" s="31"/>
      <c r="C465" s="32"/>
      <c r="D465" s="32"/>
      <c r="E465" s="32"/>
      <c r="F465" s="32"/>
      <c r="G465" s="32"/>
      <c r="H465" s="32"/>
      <c r="I465" s="32"/>
      <c r="J465" s="32"/>
      <c r="K465" s="32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</row>
    <row r="466" ht="21.0" customHeight="1">
      <c r="A466" s="31"/>
      <c r="B466" s="31"/>
      <c r="C466" s="32"/>
      <c r="D466" s="32"/>
      <c r="E466" s="32"/>
      <c r="F466" s="32"/>
      <c r="G466" s="32"/>
      <c r="H466" s="32"/>
      <c r="I466" s="32"/>
      <c r="J466" s="32"/>
      <c r="K466" s="32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</row>
    <row r="467" ht="21.0" customHeight="1">
      <c r="A467" s="31"/>
      <c r="B467" s="31"/>
      <c r="C467" s="32"/>
      <c r="D467" s="32"/>
      <c r="E467" s="32"/>
      <c r="F467" s="32"/>
      <c r="G467" s="32"/>
      <c r="H467" s="32"/>
      <c r="I467" s="32"/>
      <c r="J467" s="32"/>
      <c r="K467" s="32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</row>
    <row r="468" ht="21.0" customHeight="1">
      <c r="A468" s="31"/>
      <c r="B468" s="31"/>
      <c r="C468" s="32"/>
      <c r="D468" s="32"/>
      <c r="E468" s="32"/>
      <c r="F468" s="32"/>
      <c r="G468" s="32"/>
      <c r="H468" s="32"/>
      <c r="I468" s="32"/>
      <c r="J468" s="32"/>
      <c r="K468" s="32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</row>
    <row r="469" ht="21.0" customHeight="1">
      <c r="A469" s="31"/>
      <c r="B469" s="31"/>
      <c r="C469" s="32"/>
      <c r="D469" s="32"/>
      <c r="E469" s="32"/>
      <c r="F469" s="32"/>
      <c r="G469" s="32"/>
      <c r="H469" s="32"/>
      <c r="I469" s="32"/>
      <c r="J469" s="32"/>
      <c r="K469" s="32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</row>
    <row r="470" ht="21.0" customHeight="1">
      <c r="A470" s="31"/>
      <c r="B470" s="31"/>
      <c r="C470" s="32"/>
      <c r="D470" s="32"/>
      <c r="E470" s="32"/>
      <c r="F470" s="32"/>
      <c r="G470" s="32"/>
      <c r="H470" s="32"/>
      <c r="I470" s="32"/>
      <c r="J470" s="32"/>
      <c r="K470" s="32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</row>
    <row r="471" ht="21.0" customHeight="1">
      <c r="A471" s="31"/>
      <c r="B471" s="31"/>
      <c r="C471" s="32"/>
      <c r="D471" s="32"/>
      <c r="E471" s="32"/>
      <c r="F471" s="32"/>
      <c r="G471" s="32"/>
      <c r="H471" s="32"/>
      <c r="I471" s="32"/>
      <c r="J471" s="32"/>
      <c r="K471" s="32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</row>
    <row r="472" ht="21.0" customHeight="1">
      <c r="A472" s="31"/>
      <c r="B472" s="31"/>
      <c r="C472" s="32"/>
      <c r="D472" s="32"/>
      <c r="E472" s="32"/>
      <c r="F472" s="32"/>
      <c r="G472" s="32"/>
      <c r="H472" s="32"/>
      <c r="I472" s="32"/>
      <c r="J472" s="32"/>
      <c r="K472" s="32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</row>
    <row r="473" ht="21.0" customHeight="1">
      <c r="A473" s="31"/>
      <c r="B473" s="31"/>
      <c r="C473" s="32"/>
      <c r="D473" s="32"/>
      <c r="E473" s="32"/>
      <c r="F473" s="32"/>
      <c r="G473" s="32"/>
      <c r="H473" s="32"/>
      <c r="I473" s="32"/>
      <c r="J473" s="32"/>
      <c r="K473" s="32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</row>
    <row r="474" ht="21.0" customHeight="1">
      <c r="A474" s="31"/>
      <c r="B474" s="31"/>
      <c r="C474" s="32"/>
      <c r="D474" s="32"/>
      <c r="E474" s="32"/>
      <c r="F474" s="32"/>
      <c r="G474" s="32"/>
      <c r="H474" s="32"/>
      <c r="I474" s="32"/>
      <c r="J474" s="32"/>
      <c r="K474" s="32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</row>
    <row r="475" ht="21.0" customHeight="1">
      <c r="A475" s="31"/>
      <c r="B475" s="31"/>
      <c r="C475" s="32"/>
      <c r="D475" s="32"/>
      <c r="E475" s="32"/>
      <c r="F475" s="32"/>
      <c r="G475" s="32"/>
      <c r="H475" s="32"/>
      <c r="I475" s="32"/>
      <c r="J475" s="32"/>
      <c r="K475" s="32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</row>
    <row r="476" ht="21.0" customHeight="1">
      <c r="A476" s="31"/>
      <c r="B476" s="31"/>
      <c r="C476" s="32"/>
      <c r="D476" s="32"/>
      <c r="E476" s="32"/>
      <c r="F476" s="32"/>
      <c r="G476" s="32"/>
      <c r="H476" s="32"/>
      <c r="I476" s="32"/>
      <c r="J476" s="32"/>
      <c r="K476" s="32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</row>
    <row r="477" ht="21.0" customHeight="1">
      <c r="A477" s="31"/>
      <c r="B477" s="31"/>
      <c r="C477" s="32"/>
      <c r="D477" s="32"/>
      <c r="E477" s="32"/>
      <c r="F477" s="32"/>
      <c r="G477" s="32"/>
      <c r="H477" s="32"/>
      <c r="I477" s="32"/>
      <c r="J477" s="32"/>
      <c r="K477" s="32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</row>
    <row r="478" ht="21.0" customHeight="1">
      <c r="A478" s="31"/>
      <c r="B478" s="31"/>
      <c r="C478" s="32"/>
      <c r="D478" s="32"/>
      <c r="E478" s="32"/>
      <c r="F478" s="32"/>
      <c r="G478" s="32"/>
      <c r="H478" s="32"/>
      <c r="I478" s="32"/>
      <c r="J478" s="32"/>
      <c r="K478" s="32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</row>
    <row r="479" ht="21.0" customHeight="1">
      <c r="A479" s="31"/>
      <c r="B479" s="31"/>
      <c r="C479" s="32"/>
      <c r="D479" s="32"/>
      <c r="E479" s="32"/>
      <c r="F479" s="32"/>
      <c r="G479" s="32"/>
      <c r="H479" s="32"/>
      <c r="I479" s="32"/>
      <c r="J479" s="32"/>
      <c r="K479" s="32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</row>
    <row r="480" ht="21.0" customHeight="1">
      <c r="A480" s="31"/>
      <c r="B480" s="31"/>
      <c r="C480" s="32"/>
      <c r="D480" s="32"/>
      <c r="E480" s="32"/>
      <c r="F480" s="32"/>
      <c r="G480" s="32"/>
      <c r="H480" s="32"/>
      <c r="I480" s="32"/>
      <c r="J480" s="32"/>
      <c r="K480" s="32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</row>
    <row r="481" ht="21.0" customHeight="1">
      <c r="A481" s="31"/>
      <c r="B481" s="31"/>
      <c r="C481" s="32"/>
      <c r="D481" s="32"/>
      <c r="E481" s="32"/>
      <c r="F481" s="32"/>
      <c r="G481" s="32"/>
      <c r="H481" s="32"/>
      <c r="I481" s="32"/>
      <c r="J481" s="32"/>
      <c r="K481" s="32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</row>
    <row r="482" ht="21.0" customHeight="1">
      <c r="A482" s="31"/>
      <c r="B482" s="31"/>
      <c r="C482" s="32"/>
      <c r="D482" s="32"/>
      <c r="E482" s="32"/>
      <c r="F482" s="32"/>
      <c r="G482" s="32"/>
      <c r="H482" s="32"/>
      <c r="I482" s="32"/>
      <c r="J482" s="32"/>
      <c r="K482" s="32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</row>
    <row r="483" ht="21.0" customHeight="1">
      <c r="A483" s="31"/>
      <c r="B483" s="31"/>
      <c r="C483" s="32"/>
      <c r="D483" s="32"/>
      <c r="E483" s="32"/>
      <c r="F483" s="32"/>
      <c r="G483" s="32"/>
      <c r="H483" s="32"/>
      <c r="I483" s="32"/>
      <c r="J483" s="32"/>
      <c r="K483" s="32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</row>
    <row r="484" ht="21.0" customHeight="1">
      <c r="A484" s="31"/>
      <c r="B484" s="31"/>
      <c r="C484" s="32"/>
      <c r="D484" s="32"/>
      <c r="E484" s="32"/>
      <c r="F484" s="32"/>
      <c r="G484" s="32"/>
      <c r="H484" s="32"/>
      <c r="I484" s="32"/>
      <c r="J484" s="32"/>
      <c r="K484" s="32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</row>
    <row r="485" ht="21.0" customHeight="1">
      <c r="A485" s="31"/>
      <c r="B485" s="31"/>
      <c r="C485" s="32"/>
      <c r="D485" s="32"/>
      <c r="E485" s="32"/>
      <c r="F485" s="32"/>
      <c r="G485" s="32"/>
      <c r="H485" s="32"/>
      <c r="I485" s="32"/>
      <c r="J485" s="32"/>
      <c r="K485" s="32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</row>
    <row r="486" ht="21.0" customHeight="1">
      <c r="A486" s="31"/>
      <c r="B486" s="31"/>
      <c r="C486" s="32"/>
      <c r="D486" s="32"/>
      <c r="E486" s="32"/>
      <c r="F486" s="32"/>
      <c r="G486" s="32"/>
      <c r="H486" s="32"/>
      <c r="I486" s="32"/>
      <c r="J486" s="32"/>
      <c r="K486" s="32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</row>
    <row r="487" ht="21.0" customHeight="1">
      <c r="A487" s="31"/>
      <c r="B487" s="31"/>
      <c r="C487" s="32"/>
      <c r="D487" s="32"/>
      <c r="E487" s="32"/>
      <c r="F487" s="32"/>
      <c r="G487" s="32"/>
      <c r="H487" s="32"/>
      <c r="I487" s="32"/>
      <c r="J487" s="32"/>
      <c r="K487" s="32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</row>
    <row r="488" ht="21.0" customHeight="1">
      <c r="A488" s="31"/>
      <c r="B488" s="31"/>
      <c r="C488" s="32"/>
      <c r="D488" s="32"/>
      <c r="E488" s="32"/>
      <c r="F488" s="32"/>
      <c r="G488" s="32"/>
      <c r="H488" s="32"/>
      <c r="I488" s="32"/>
      <c r="J488" s="32"/>
      <c r="K488" s="32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</row>
    <row r="489" ht="21.0" customHeight="1">
      <c r="A489" s="31"/>
      <c r="B489" s="31"/>
      <c r="C489" s="32"/>
      <c r="D489" s="32"/>
      <c r="E489" s="32"/>
      <c r="F489" s="32"/>
      <c r="G489" s="32"/>
      <c r="H489" s="32"/>
      <c r="I489" s="32"/>
      <c r="J489" s="32"/>
      <c r="K489" s="32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</row>
    <row r="490" ht="21.0" customHeight="1">
      <c r="A490" s="31"/>
      <c r="B490" s="31"/>
      <c r="C490" s="32"/>
      <c r="D490" s="32"/>
      <c r="E490" s="32"/>
      <c r="F490" s="32"/>
      <c r="G490" s="32"/>
      <c r="H490" s="32"/>
      <c r="I490" s="32"/>
      <c r="J490" s="32"/>
      <c r="K490" s="32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</row>
    <row r="491" ht="21.0" customHeight="1">
      <c r="A491" s="31"/>
      <c r="B491" s="31"/>
      <c r="C491" s="32"/>
      <c r="D491" s="32"/>
      <c r="E491" s="32"/>
      <c r="F491" s="32"/>
      <c r="G491" s="32"/>
      <c r="H491" s="32"/>
      <c r="I491" s="32"/>
      <c r="J491" s="32"/>
      <c r="K491" s="32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</row>
    <row r="492" ht="21.0" customHeight="1">
      <c r="A492" s="31"/>
      <c r="B492" s="31"/>
      <c r="C492" s="32"/>
      <c r="D492" s="32"/>
      <c r="E492" s="32"/>
      <c r="F492" s="32"/>
      <c r="G492" s="32"/>
      <c r="H492" s="32"/>
      <c r="I492" s="32"/>
      <c r="J492" s="32"/>
      <c r="K492" s="32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</row>
    <row r="493" ht="21.0" customHeight="1">
      <c r="A493" s="31"/>
      <c r="B493" s="31"/>
      <c r="C493" s="32"/>
      <c r="D493" s="32"/>
      <c r="E493" s="32"/>
      <c r="F493" s="32"/>
      <c r="G493" s="32"/>
      <c r="H493" s="32"/>
      <c r="I493" s="32"/>
      <c r="J493" s="32"/>
      <c r="K493" s="32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</row>
    <row r="494" ht="21.0" customHeight="1">
      <c r="A494" s="31"/>
      <c r="B494" s="31"/>
      <c r="C494" s="32"/>
      <c r="D494" s="32"/>
      <c r="E494" s="32"/>
      <c r="F494" s="32"/>
      <c r="G494" s="32"/>
      <c r="H494" s="32"/>
      <c r="I494" s="32"/>
      <c r="J494" s="32"/>
      <c r="K494" s="32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</row>
    <row r="495" ht="21.0" customHeight="1">
      <c r="A495" s="31"/>
      <c r="B495" s="31"/>
      <c r="C495" s="32"/>
      <c r="D495" s="32"/>
      <c r="E495" s="32"/>
      <c r="F495" s="32"/>
      <c r="G495" s="32"/>
      <c r="H495" s="32"/>
      <c r="I495" s="32"/>
      <c r="J495" s="32"/>
      <c r="K495" s="32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</row>
    <row r="496" ht="21.0" customHeight="1">
      <c r="A496" s="31"/>
      <c r="B496" s="31"/>
      <c r="C496" s="32"/>
      <c r="D496" s="32"/>
      <c r="E496" s="32"/>
      <c r="F496" s="32"/>
      <c r="G496" s="32"/>
      <c r="H496" s="32"/>
      <c r="I496" s="32"/>
      <c r="J496" s="32"/>
      <c r="K496" s="32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</row>
    <row r="497" ht="21.0" customHeight="1">
      <c r="A497" s="31"/>
      <c r="B497" s="31"/>
      <c r="C497" s="32"/>
      <c r="D497" s="32"/>
      <c r="E497" s="32"/>
      <c r="F497" s="32"/>
      <c r="G497" s="32"/>
      <c r="H497" s="32"/>
      <c r="I497" s="32"/>
      <c r="J497" s="32"/>
      <c r="K497" s="32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</row>
    <row r="498" ht="21.0" customHeight="1">
      <c r="A498" s="31"/>
      <c r="B498" s="31"/>
      <c r="C498" s="32"/>
      <c r="D498" s="32"/>
      <c r="E498" s="32"/>
      <c r="F498" s="32"/>
      <c r="G498" s="32"/>
      <c r="H498" s="32"/>
      <c r="I498" s="32"/>
      <c r="J498" s="32"/>
      <c r="K498" s="32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</row>
    <row r="499" ht="21.0" customHeight="1">
      <c r="A499" s="31"/>
      <c r="B499" s="31"/>
      <c r="C499" s="32"/>
      <c r="D499" s="32"/>
      <c r="E499" s="32"/>
      <c r="F499" s="32"/>
      <c r="G499" s="32"/>
      <c r="H499" s="32"/>
      <c r="I499" s="32"/>
      <c r="J499" s="32"/>
      <c r="K499" s="32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</row>
    <row r="500" ht="21.0" customHeight="1">
      <c r="A500" s="31"/>
      <c r="B500" s="31"/>
      <c r="C500" s="32"/>
      <c r="D500" s="32"/>
      <c r="E500" s="32"/>
      <c r="F500" s="32"/>
      <c r="G500" s="32"/>
      <c r="H500" s="32"/>
      <c r="I500" s="32"/>
      <c r="J500" s="32"/>
      <c r="K500" s="32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</row>
    <row r="501" ht="21.0" customHeight="1">
      <c r="A501" s="31"/>
      <c r="B501" s="31"/>
      <c r="C501" s="32"/>
      <c r="D501" s="32"/>
      <c r="E501" s="32"/>
      <c r="F501" s="32"/>
      <c r="G501" s="32"/>
      <c r="H501" s="32"/>
      <c r="I501" s="32"/>
      <c r="J501" s="32"/>
      <c r="K501" s="32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</row>
    <row r="502" ht="21.0" customHeight="1">
      <c r="A502" s="31"/>
      <c r="B502" s="31"/>
      <c r="C502" s="32"/>
      <c r="D502" s="32"/>
      <c r="E502" s="32"/>
      <c r="F502" s="32"/>
      <c r="G502" s="32"/>
      <c r="H502" s="32"/>
      <c r="I502" s="32"/>
      <c r="J502" s="32"/>
      <c r="K502" s="32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</row>
    <row r="503" ht="21.0" customHeight="1">
      <c r="A503" s="31"/>
      <c r="B503" s="31"/>
      <c r="C503" s="32"/>
      <c r="D503" s="32"/>
      <c r="E503" s="32"/>
      <c r="F503" s="32"/>
      <c r="G503" s="32"/>
      <c r="H503" s="32"/>
      <c r="I503" s="32"/>
      <c r="J503" s="32"/>
      <c r="K503" s="32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</row>
    <row r="504" ht="21.0" customHeight="1">
      <c r="A504" s="31"/>
      <c r="B504" s="31"/>
      <c r="C504" s="32"/>
      <c r="D504" s="32"/>
      <c r="E504" s="32"/>
      <c r="F504" s="32"/>
      <c r="G504" s="32"/>
      <c r="H504" s="32"/>
      <c r="I504" s="32"/>
      <c r="J504" s="32"/>
      <c r="K504" s="32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</row>
    <row r="505" ht="21.0" customHeight="1">
      <c r="A505" s="31"/>
      <c r="B505" s="31"/>
      <c r="C505" s="32"/>
      <c r="D505" s="32"/>
      <c r="E505" s="32"/>
      <c r="F505" s="32"/>
      <c r="G505" s="32"/>
      <c r="H505" s="32"/>
      <c r="I505" s="32"/>
      <c r="J505" s="32"/>
      <c r="K505" s="32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</row>
    <row r="506" ht="21.0" customHeight="1">
      <c r="A506" s="31"/>
      <c r="B506" s="31"/>
      <c r="C506" s="32"/>
      <c r="D506" s="32"/>
      <c r="E506" s="32"/>
      <c r="F506" s="32"/>
      <c r="G506" s="32"/>
      <c r="H506" s="32"/>
      <c r="I506" s="32"/>
      <c r="J506" s="32"/>
      <c r="K506" s="32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</row>
    <row r="507" ht="21.0" customHeight="1">
      <c r="A507" s="31"/>
      <c r="B507" s="31"/>
      <c r="C507" s="32"/>
      <c r="D507" s="32"/>
      <c r="E507" s="32"/>
      <c r="F507" s="32"/>
      <c r="G507" s="32"/>
      <c r="H507" s="32"/>
      <c r="I507" s="32"/>
      <c r="J507" s="32"/>
      <c r="K507" s="32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</row>
    <row r="508" ht="21.0" customHeight="1">
      <c r="A508" s="31"/>
      <c r="B508" s="31"/>
      <c r="C508" s="32"/>
      <c r="D508" s="32"/>
      <c r="E508" s="32"/>
      <c r="F508" s="32"/>
      <c r="G508" s="32"/>
      <c r="H508" s="32"/>
      <c r="I508" s="32"/>
      <c r="J508" s="32"/>
      <c r="K508" s="32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</row>
    <row r="509" ht="21.0" customHeight="1">
      <c r="A509" s="31"/>
      <c r="B509" s="31"/>
      <c r="C509" s="32"/>
      <c r="D509" s="32"/>
      <c r="E509" s="32"/>
      <c r="F509" s="32"/>
      <c r="G509" s="32"/>
      <c r="H509" s="32"/>
      <c r="I509" s="32"/>
      <c r="J509" s="32"/>
      <c r="K509" s="32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</row>
    <row r="510" ht="21.0" customHeight="1">
      <c r="A510" s="31"/>
      <c r="B510" s="31"/>
      <c r="C510" s="32"/>
      <c r="D510" s="32"/>
      <c r="E510" s="32"/>
      <c r="F510" s="32"/>
      <c r="G510" s="32"/>
      <c r="H510" s="32"/>
      <c r="I510" s="32"/>
      <c r="J510" s="32"/>
      <c r="K510" s="32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</row>
    <row r="511" ht="21.0" customHeight="1">
      <c r="A511" s="31"/>
      <c r="B511" s="31"/>
      <c r="C511" s="32"/>
      <c r="D511" s="32"/>
      <c r="E511" s="32"/>
      <c r="F511" s="32"/>
      <c r="G511" s="32"/>
      <c r="H511" s="32"/>
      <c r="I511" s="32"/>
      <c r="J511" s="32"/>
      <c r="K511" s="32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</row>
    <row r="512" ht="21.0" customHeight="1">
      <c r="A512" s="31"/>
      <c r="B512" s="31"/>
      <c r="C512" s="32"/>
      <c r="D512" s="32"/>
      <c r="E512" s="32"/>
      <c r="F512" s="32"/>
      <c r="G512" s="32"/>
      <c r="H512" s="32"/>
      <c r="I512" s="32"/>
      <c r="J512" s="32"/>
      <c r="K512" s="32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</row>
    <row r="513" ht="21.0" customHeight="1">
      <c r="A513" s="31"/>
      <c r="B513" s="31"/>
      <c r="C513" s="32"/>
      <c r="D513" s="32"/>
      <c r="E513" s="32"/>
      <c r="F513" s="32"/>
      <c r="G513" s="32"/>
      <c r="H513" s="32"/>
      <c r="I513" s="32"/>
      <c r="J513" s="32"/>
      <c r="K513" s="32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</row>
    <row r="514" ht="21.0" customHeight="1">
      <c r="A514" s="31"/>
      <c r="B514" s="31"/>
      <c r="C514" s="32"/>
      <c r="D514" s="32"/>
      <c r="E514" s="32"/>
      <c r="F514" s="32"/>
      <c r="G514" s="32"/>
      <c r="H514" s="32"/>
      <c r="I514" s="32"/>
      <c r="J514" s="32"/>
      <c r="K514" s="32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</row>
    <row r="515" ht="21.0" customHeight="1">
      <c r="A515" s="31"/>
      <c r="B515" s="31"/>
      <c r="C515" s="32"/>
      <c r="D515" s="32"/>
      <c r="E515" s="32"/>
      <c r="F515" s="32"/>
      <c r="G515" s="32"/>
      <c r="H515" s="32"/>
      <c r="I515" s="32"/>
      <c r="J515" s="32"/>
      <c r="K515" s="32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</row>
    <row r="516" ht="21.0" customHeight="1">
      <c r="A516" s="31"/>
      <c r="B516" s="31"/>
      <c r="C516" s="32"/>
      <c r="D516" s="32"/>
      <c r="E516" s="32"/>
      <c r="F516" s="32"/>
      <c r="G516" s="32"/>
      <c r="H516" s="32"/>
      <c r="I516" s="32"/>
      <c r="J516" s="32"/>
      <c r="K516" s="32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</row>
    <row r="517" ht="21.0" customHeight="1">
      <c r="A517" s="31"/>
      <c r="B517" s="31"/>
      <c r="C517" s="32"/>
      <c r="D517" s="32"/>
      <c r="E517" s="32"/>
      <c r="F517" s="32"/>
      <c r="G517" s="32"/>
      <c r="H517" s="32"/>
      <c r="I517" s="32"/>
      <c r="J517" s="32"/>
      <c r="K517" s="32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</row>
    <row r="518" ht="21.0" customHeight="1">
      <c r="A518" s="31"/>
      <c r="B518" s="31"/>
      <c r="C518" s="32"/>
      <c r="D518" s="32"/>
      <c r="E518" s="32"/>
      <c r="F518" s="32"/>
      <c r="G518" s="32"/>
      <c r="H518" s="32"/>
      <c r="I518" s="32"/>
      <c r="J518" s="32"/>
      <c r="K518" s="32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</row>
    <row r="519" ht="21.0" customHeight="1">
      <c r="A519" s="31"/>
      <c r="B519" s="31"/>
      <c r="C519" s="32"/>
      <c r="D519" s="32"/>
      <c r="E519" s="32"/>
      <c r="F519" s="32"/>
      <c r="G519" s="32"/>
      <c r="H519" s="32"/>
      <c r="I519" s="32"/>
      <c r="J519" s="32"/>
      <c r="K519" s="32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</row>
    <row r="520" ht="21.0" customHeight="1">
      <c r="A520" s="31"/>
      <c r="B520" s="31"/>
      <c r="C520" s="32"/>
      <c r="D520" s="32"/>
      <c r="E520" s="32"/>
      <c r="F520" s="32"/>
      <c r="G520" s="32"/>
      <c r="H520" s="32"/>
      <c r="I520" s="32"/>
      <c r="J520" s="32"/>
      <c r="K520" s="32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</row>
    <row r="521" ht="21.0" customHeight="1">
      <c r="A521" s="31"/>
      <c r="B521" s="31"/>
      <c r="C521" s="32"/>
      <c r="D521" s="32"/>
      <c r="E521" s="32"/>
      <c r="F521" s="32"/>
      <c r="G521" s="32"/>
      <c r="H521" s="32"/>
      <c r="I521" s="32"/>
      <c r="J521" s="32"/>
      <c r="K521" s="32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</row>
    <row r="522" ht="21.0" customHeight="1">
      <c r="A522" s="31"/>
      <c r="B522" s="31"/>
      <c r="C522" s="32"/>
      <c r="D522" s="32"/>
      <c r="E522" s="32"/>
      <c r="F522" s="32"/>
      <c r="G522" s="32"/>
      <c r="H522" s="32"/>
      <c r="I522" s="32"/>
      <c r="J522" s="32"/>
      <c r="K522" s="32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</row>
    <row r="523" ht="21.0" customHeight="1">
      <c r="A523" s="31"/>
      <c r="B523" s="31"/>
      <c r="C523" s="32"/>
      <c r="D523" s="32"/>
      <c r="E523" s="32"/>
      <c r="F523" s="32"/>
      <c r="G523" s="32"/>
      <c r="H523" s="32"/>
      <c r="I523" s="32"/>
      <c r="J523" s="32"/>
      <c r="K523" s="32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</row>
    <row r="524" ht="21.0" customHeight="1">
      <c r="A524" s="31"/>
      <c r="B524" s="31"/>
      <c r="C524" s="32"/>
      <c r="D524" s="32"/>
      <c r="E524" s="32"/>
      <c r="F524" s="32"/>
      <c r="G524" s="32"/>
      <c r="H524" s="32"/>
      <c r="I524" s="32"/>
      <c r="J524" s="32"/>
      <c r="K524" s="32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</row>
    <row r="525" ht="21.0" customHeight="1">
      <c r="A525" s="31"/>
      <c r="B525" s="31"/>
      <c r="C525" s="32"/>
      <c r="D525" s="32"/>
      <c r="E525" s="32"/>
      <c r="F525" s="32"/>
      <c r="G525" s="32"/>
      <c r="H525" s="32"/>
      <c r="I525" s="32"/>
      <c r="J525" s="32"/>
      <c r="K525" s="32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</row>
    <row r="526" ht="21.0" customHeight="1">
      <c r="A526" s="31"/>
      <c r="B526" s="31"/>
      <c r="C526" s="32"/>
      <c r="D526" s="32"/>
      <c r="E526" s="32"/>
      <c r="F526" s="32"/>
      <c r="G526" s="32"/>
      <c r="H526" s="32"/>
      <c r="I526" s="32"/>
      <c r="J526" s="32"/>
      <c r="K526" s="32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</row>
    <row r="527" ht="21.0" customHeight="1">
      <c r="A527" s="31"/>
      <c r="B527" s="31"/>
      <c r="C527" s="32"/>
      <c r="D527" s="32"/>
      <c r="E527" s="32"/>
      <c r="F527" s="32"/>
      <c r="G527" s="32"/>
      <c r="H527" s="32"/>
      <c r="I527" s="32"/>
      <c r="J527" s="32"/>
      <c r="K527" s="32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</row>
    <row r="528" ht="21.0" customHeight="1">
      <c r="A528" s="31"/>
      <c r="B528" s="31"/>
      <c r="C528" s="32"/>
      <c r="D528" s="32"/>
      <c r="E528" s="32"/>
      <c r="F528" s="32"/>
      <c r="G528" s="32"/>
      <c r="H528" s="32"/>
      <c r="I528" s="32"/>
      <c r="J528" s="32"/>
      <c r="K528" s="32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</row>
    <row r="529" ht="21.0" customHeight="1">
      <c r="A529" s="31"/>
      <c r="B529" s="31"/>
      <c r="C529" s="32"/>
      <c r="D529" s="32"/>
      <c r="E529" s="32"/>
      <c r="F529" s="32"/>
      <c r="G529" s="32"/>
      <c r="H529" s="32"/>
      <c r="I529" s="32"/>
      <c r="J529" s="32"/>
      <c r="K529" s="32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</row>
    <row r="530" ht="21.0" customHeight="1">
      <c r="A530" s="31"/>
      <c r="B530" s="31"/>
      <c r="C530" s="32"/>
      <c r="D530" s="32"/>
      <c r="E530" s="32"/>
      <c r="F530" s="32"/>
      <c r="G530" s="32"/>
      <c r="H530" s="32"/>
      <c r="I530" s="32"/>
      <c r="J530" s="32"/>
      <c r="K530" s="32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</row>
    <row r="531" ht="21.0" customHeight="1">
      <c r="A531" s="31"/>
      <c r="B531" s="31"/>
      <c r="C531" s="32"/>
      <c r="D531" s="32"/>
      <c r="E531" s="32"/>
      <c r="F531" s="32"/>
      <c r="G531" s="32"/>
      <c r="H531" s="32"/>
      <c r="I531" s="32"/>
      <c r="J531" s="32"/>
      <c r="K531" s="32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</row>
    <row r="532" ht="21.0" customHeight="1">
      <c r="A532" s="31"/>
      <c r="B532" s="31"/>
      <c r="C532" s="32"/>
      <c r="D532" s="32"/>
      <c r="E532" s="32"/>
      <c r="F532" s="32"/>
      <c r="G532" s="32"/>
      <c r="H532" s="32"/>
      <c r="I532" s="32"/>
      <c r="J532" s="32"/>
      <c r="K532" s="32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</row>
    <row r="533" ht="21.0" customHeight="1">
      <c r="A533" s="31"/>
      <c r="B533" s="31"/>
      <c r="C533" s="32"/>
      <c r="D533" s="32"/>
      <c r="E533" s="32"/>
      <c r="F533" s="32"/>
      <c r="G533" s="32"/>
      <c r="H533" s="32"/>
      <c r="I533" s="32"/>
      <c r="J533" s="32"/>
      <c r="K533" s="32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</row>
    <row r="534" ht="21.0" customHeight="1">
      <c r="A534" s="31"/>
      <c r="B534" s="31"/>
      <c r="C534" s="32"/>
      <c r="D534" s="32"/>
      <c r="E534" s="32"/>
      <c r="F534" s="32"/>
      <c r="G534" s="32"/>
      <c r="H534" s="32"/>
      <c r="I534" s="32"/>
      <c r="J534" s="32"/>
      <c r="K534" s="32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</row>
    <row r="535" ht="21.0" customHeight="1">
      <c r="A535" s="31"/>
      <c r="B535" s="31"/>
      <c r="C535" s="32"/>
      <c r="D535" s="32"/>
      <c r="E535" s="32"/>
      <c r="F535" s="32"/>
      <c r="G535" s="32"/>
      <c r="H535" s="32"/>
      <c r="I535" s="32"/>
      <c r="J535" s="32"/>
      <c r="K535" s="32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</row>
    <row r="536" ht="21.0" customHeight="1">
      <c r="A536" s="31"/>
      <c r="B536" s="31"/>
      <c r="C536" s="32"/>
      <c r="D536" s="32"/>
      <c r="E536" s="32"/>
      <c r="F536" s="32"/>
      <c r="G536" s="32"/>
      <c r="H536" s="32"/>
      <c r="I536" s="32"/>
      <c r="J536" s="32"/>
      <c r="K536" s="32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</row>
    <row r="537" ht="21.0" customHeight="1">
      <c r="A537" s="31"/>
      <c r="B537" s="31"/>
      <c r="C537" s="32"/>
      <c r="D537" s="32"/>
      <c r="E537" s="32"/>
      <c r="F537" s="32"/>
      <c r="G537" s="32"/>
      <c r="H537" s="32"/>
      <c r="I537" s="32"/>
      <c r="J537" s="32"/>
      <c r="K537" s="32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</row>
    <row r="538" ht="21.0" customHeight="1">
      <c r="A538" s="31"/>
      <c r="B538" s="31"/>
      <c r="C538" s="32"/>
      <c r="D538" s="32"/>
      <c r="E538" s="32"/>
      <c r="F538" s="32"/>
      <c r="G538" s="32"/>
      <c r="H538" s="32"/>
      <c r="I538" s="32"/>
      <c r="J538" s="32"/>
      <c r="K538" s="32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</row>
    <row r="539" ht="21.0" customHeight="1">
      <c r="A539" s="31"/>
      <c r="B539" s="31"/>
      <c r="C539" s="32"/>
      <c r="D539" s="32"/>
      <c r="E539" s="32"/>
      <c r="F539" s="32"/>
      <c r="G539" s="32"/>
      <c r="H539" s="32"/>
      <c r="I539" s="32"/>
      <c r="J539" s="32"/>
      <c r="K539" s="32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</row>
    <row r="540" ht="21.0" customHeight="1">
      <c r="A540" s="31"/>
      <c r="B540" s="31"/>
      <c r="C540" s="32"/>
      <c r="D540" s="32"/>
      <c r="E540" s="32"/>
      <c r="F540" s="32"/>
      <c r="G540" s="32"/>
      <c r="H540" s="32"/>
      <c r="I540" s="32"/>
      <c r="J540" s="32"/>
      <c r="K540" s="32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</row>
    <row r="541" ht="21.0" customHeight="1">
      <c r="A541" s="31"/>
      <c r="B541" s="31"/>
      <c r="C541" s="32"/>
      <c r="D541" s="32"/>
      <c r="E541" s="32"/>
      <c r="F541" s="32"/>
      <c r="G541" s="32"/>
      <c r="H541" s="32"/>
      <c r="I541" s="32"/>
      <c r="J541" s="32"/>
      <c r="K541" s="32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</row>
    <row r="542" ht="21.0" customHeight="1">
      <c r="A542" s="31"/>
      <c r="B542" s="31"/>
      <c r="C542" s="32"/>
      <c r="D542" s="32"/>
      <c r="E542" s="32"/>
      <c r="F542" s="32"/>
      <c r="G542" s="32"/>
      <c r="H542" s="32"/>
      <c r="I542" s="32"/>
      <c r="J542" s="32"/>
      <c r="K542" s="32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</row>
    <row r="543" ht="21.0" customHeight="1">
      <c r="A543" s="31"/>
      <c r="B543" s="31"/>
      <c r="C543" s="32"/>
      <c r="D543" s="32"/>
      <c r="E543" s="32"/>
      <c r="F543" s="32"/>
      <c r="G543" s="32"/>
      <c r="H543" s="32"/>
      <c r="I543" s="32"/>
      <c r="J543" s="32"/>
      <c r="K543" s="32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</row>
    <row r="544" ht="21.0" customHeight="1">
      <c r="A544" s="31"/>
      <c r="B544" s="31"/>
      <c r="C544" s="32"/>
      <c r="D544" s="32"/>
      <c r="E544" s="32"/>
      <c r="F544" s="32"/>
      <c r="G544" s="32"/>
      <c r="H544" s="32"/>
      <c r="I544" s="32"/>
      <c r="J544" s="32"/>
      <c r="K544" s="32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</row>
    <row r="545" ht="21.0" customHeight="1">
      <c r="A545" s="31"/>
      <c r="B545" s="31"/>
      <c r="C545" s="32"/>
      <c r="D545" s="32"/>
      <c r="E545" s="32"/>
      <c r="F545" s="32"/>
      <c r="G545" s="32"/>
      <c r="H545" s="32"/>
      <c r="I545" s="32"/>
      <c r="J545" s="32"/>
      <c r="K545" s="32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</row>
    <row r="546" ht="21.0" customHeight="1">
      <c r="A546" s="31"/>
      <c r="B546" s="31"/>
      <c r="C546" s="32"/>
      <c r="D546" s="32"/>
      <c r="E546" s="32"/>
      <c r="F546" s="32"/>
      <c r="G546" s="32"/>
      <c r="H546" s="32"/>
      <c r="I546" s="32"/>
      <c r="J546" s="32"/>
      <c r="K546" s="32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</row>
    <row r="547" ht="21.0" customHeight="1">
      <c r="A547" s="31"/>
      <c r="B547" s="31"/>
      <c r="C547" s="32"/>
      <c r="D547" s="32"/>
      <c r="E547" s="32"/>
      <c r="F547" s="32"/>
      <c r="G547" s="32"/>
      <c r="H547" s="32"/>
      <c r="I547" s="32"/>
      <c r="J547" s="32"/>
      <c r="K547" s="32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</row>
    <row r="548" ht="21.0" customHeight="1">
      <c r="A548" s="31"/>
      <c r="B548" s="31"/>
      <c r="C548" s="32"/>
      <c r="D548" s="32"/>
      <c r="E548" s="32"/>
      <c r="F548" s="32"/>
      <c r="G548" s="32"/>
      <c r="H548" s="32"/>
      <c r="I548" s="32"/>
      <c r="J548" s="32"/>
      <c r="K548" s="32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</row>
    <row r="549" ht="21.0" customHeight="1">
      <c r="A549" s="31"/>
      <c r="B549" s="31"/>
      <c r="C549" s="32"/>
      <c r="D549" s="32"/>
      <c r="E549" s="32"/>
      <c r="F549" s="32"/>
      <c r="G549" s="32"/>
      <c r="H549" s="32"/>
      <c r="I549" s="32"/>
      <c r="J549" s="32"/>
      <c r="K549" s="32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</row>
    <row r="550" ht="21.0" customHeight="1">
      <c r="A550" s="31"/>
      <c r="B550" s="31"/>
      <c r="C550" s="32"/>
      <c r="D550" s="32"/>
      <c r="E550" s="32"/>
      <c r="F550" s="32"/>
      <c r="G550" s="32"/>
      <c r="H550" s="32"/>
      <c r="I550" s="32"/>
      <c r="J550" s="32"/>
      <c r="K550" s="32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</row>
    <row r="551" ht="21.0" customHeight="1">
      <c r="A551" s="31"/>
      <c r="B551" s="31"/>
      <c r="C551" s="32"/>
      <c r="D551" s="32"/>
      <c r="E551" s="32"/>
      <c r="F551" s="32"/>
      <c r="G551" s="32"/>
      <c r="H551" s="32"/>
      <c r="I551" s="32"/>
      <c r="J551" s="32"/>
      <c r="K551" s="32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</row>
    <row r="552" ht="21.0" customHeight="1">
      <c r="A552" s="31"/>
      <c r="B552" s="31"/>
      <c r="C552" s="32"/>
      <c r="D552" s="32"/>
      <c r="E552" s="32"/>
      <c r="F552" s="32"/>
      <c r="G552" s="32"/>
      <c r="H552" s="32"/>
      <c r="I552" s="32"/>
      <c r="J552" s="32"/>
      <c r="K552" s="32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</row>
    <row r="553" ht="21.0" customHeight="1">
      <c r="A553" s="31"/>
      <c r="B553" s="31"/>
      <c r="C553" s="32"/>
      <c r="D553" s="32"/>
      <c r="E553" s="32"/>
      <c r="F553" s="32"/>
      <c r="G553" s="32"/>
      <c r="H553" s="32"/>
      <c r="I553" s="32"/>
      <c r="J553" s="32"/>
      <c r="K553" s="32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</row>
    <row r="554" ht="21.0" customHeight="1">
      <c r="A554" s="31"/>
      <c r="B554" s="31"/>
      <c r="C554" s="32"/>
      <c r="D554" s="32"/>
      <c r="E554" s="32"/>
      <c r="F554" s="32"/>
      <c r="G554" s="32"/>
      <c r="H554" s="32"/>
      <c r="I554" s="32"/>
      <c r="J554" s="32"/>
      <c r="K554" s="32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</row>
    <row r="555" ht="21.0" customHeight="1">
      <c r="A555" s="31"/>
      <c r="B555" s="31"/>
      <c r="C555" s="32"/>
      <c r="D555" s="32"/>
      <c r="E555" s="32"/>
      <c r="F555" s="32"/>
      <c r="G555" s="32"/>
      <c r="H555" s="32"/>
      <c r="I555" s="32"/>
      <c r="J555" s="32"/>
      <c r="K555" s="32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</row>
    <row r="556" ht="21.0" customHeight="1">
      <c r="A556" s="31"/>
      <c r="B556" s="31"/>
      <c r="C556" s="32"/>
      <c r="D556" s="32"/>
      <c r="E556" s="32"/>
      <c r="F556" s="32"/>
      <c r="G556" s="32"/>
      <c r="H556" s="32"/>
      <c r="I556" s="32"/>
      <c r="J556" s="32"/>
      <c r="K556" s="32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</row>
    <row r="557" ht="21.0" customHeight="1">
      <c r="A557" s="31"/>
      <c r="B557" s="31"/>
      <c r="C557" s="32"/>
      <c r="D557" s="32"/>
      <c r="E557" s="32"/>
      <c r="F557" s="32"/>
      <c r="G557" s="32"/>
      <c r="H557" s="32"/>
      <c r="I557" s="32"/>
      <c r="J557" s="32"/>
      <c r="K557" s="32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</row>
    <row r="558" ht="21.0" customHeight="1">
      <c r="A558" s="31"/>
      <c r="B558" s="31"/>
      <c r="C558" s="32"/>
      <c r="D558" s="32"/>
      <c r="E558" s="32"/>
      <c r="F558" s="32"/>
      <c r="G558" s="32"/>
      <c r="H558" s="32"/>
      <c r="I558" s="32"/>
      <c r="J558" s="32"/>
      <c r="K558" s="32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</row>
    <row r="559" ht="21.0" customHeight="1">
      <c r="A559" s="31"/>
      <c r="B559" s="31"/>
      <c r="C559" s="32"/>
      <c r="D559" s="32"/>
      <c r="E559" s="32"/>
      <c r="F559" s="32"/>
      <c r="G559" s="32"/>
      <c r="H559" s="32"/>
      <c r="I559" s="32"/>
      <c r="J559" s="32"/>
      <c r="K559" s="32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</row>
    <row r="560" ht="21.0" customHeight="1">
      <c r="A560" s="31"/>
      <c r="B560" s="31"/>
      <c r="C560" s="32"/>
      <c r="D560" s="32"/>
      <c r="E560" s="32"/>
      <c r="F560" s="32"/>
      <c r="G560" s="32"/>
      <c r="H560" s="32"/>
      <c r="I560" s="32"/>
      <c r="J560" s="32"/>
      <c r="K560" s="32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</row>
    <row r="561" ht="21.0" customHeight="1">
      <c r="A561" s="31"/>
      <c r="B561" s="31"/>
      <c r="C561" s="32"/>
      <c r="D561" s="32"/>
      <c r="E561" s="32"/>
      <c r="F561" s="32"/>
      <c r="G561" s="32"/>
      <c r="H561" s="32"/>
      <c r="I561" s="32"/>
      <c r="J561" s="32"/>
      <c r="K561" s="32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</row>
    <row r="562" ht="21.0" customHeight="1">
      <c r="A562" s="31"/>
      <c r="B562" s="31"/>
      <c r="C562" s="32"/>
      <c r="D562" s="32"/>
      <c r="E562" s="32"/>
      <c r="F562" s="32"/>
      <c r="G562" s="32"/>
      <c r="H562" s="32"/>
      <c r="I562" s="32"/>
      <c r="J562" s="32"/>
      <c r="K562" s="32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</row>
    <row r="563" ht="21.0" customHeight="1">
      <c r="A563" s="31"/>
      <c r="B563" s="31"/>
      <c r="C563" s="32"/>
      <c r="D563" s="32"/>
      <c r="E563" s="32"/>
      <c r="F563" s="32"/>
      <c r="G563" s="32"/>
      <c r="H563" s="32"/>
      <c r="I563" s="32"/>
      <c r="J563" s="32"/>
      <c r="K563" s="32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</row>
    <row r="564" ht="21.0" customHeight="1">
      <c r="A564" s="31"/>
      <c r="B564" s="31"/>
      <c r="C564" s="32"/>
      <c r="D564" s="32"/>
      <c r="E564" s="32"/>
      <c r="F564" s="32"/>
      <c r="G564" s="32"/>
      <c r="H564" s="32"/>
      <c r="I564" s="32"/>
      <c r="J564" s="32"/>
      <c r="K564" s="32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</row>
    <row r="565" ht="21.0" customHeight="1">
      <c r="A565" s="31"/>
      <c r="B565" s="31"/>
      <c r="C565" s="32"/>
      <c r="D565" s="32"/>
      <c r="E565" s="32"/>
      <c r="F565" s="32"/>
      <c r="G565" s="32"/>
      <c r="H565" s="32"/>
      <c r="I565" s="32"/>
      <c r="J565" s="32"/>
      <c r="K565" s="32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</row>
    <row r="566" ht="21.0" customHeight="1">
      <c r="A566" s="31"/>
      <c r="B566" s="31"/>
      <c r="C566" s="32"/>
      <c r="D566" s="32"/>
      <c r="E566" s="32"/>
      <c r="F566" s="32"/>
      <c r="G566" s="32"/>
      <c r="H566" s="32"/>
      <c r="I566" s="32"/>
      <c r="J566" s="32"/>
      <c r="K566" s="32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</row>
    <row r="567" ht="21.0" customHeight="1">
      <c r="A567" s="31"/>
      <c r="B567" s="31"/>
      <c r="C567" s="32"/>
      <c r="D567" s="32"/>
      <c r="E567" s="32"/>
      <c r="F567" s="32"/>
      <c r="G567" s="32"/>
      <c r="H567" s="32"/>
      <c r="I567" s="32"/>
      <c r="J567" s="32"/>
      <c r="K567" s="32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</row>
    <row r="568" ht="21.0" customHeight="1">
      <c r="A568" s="31"/>
      <c r="B568" s="31"/>
      <c r="C568" s="32"/>
      <c r="D568" s="32"/>
      <c r="E568" s="32"/>
      <c r="F568" s="32"/>
      <c r="G568" s="32"/>
      <c r="H568" s="32"/>
      <c r="I568" s="32"/>
      <c r="J568" s="32"/>
      <c r="K568" s="32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</row>
    <row r="569" ht="21.0" customHeight="1">
      <c r="A569" s="31"/>
      <c r="B569" s="31"/>
      <c r="C569" s="32"/>
      <c r="D569" s="32"/>
      <c r="E569" s="32"/>
      <c r="F569" s="32"/>
      <c r="G569" s="32"/>
      <c r="H569" s="32"/>
      <c r="I569" s="32"/>
      <c r="J569" s="32"/>
      <c r="K569" s="32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</row>
    <row r="570" ht="21.0" customHeight="1">
      <c r="A570" s="31"/>
      <c r="B570" s="31"/>
      <c r="C570" s="32"/>
      <c r="D570" s="32"/>
      <c r="E570" s="32"/>
      <c r="F570" s="32"/>
      <c r="G570" s="32"/>
      <c r="H570" s="32"/>
      <c r="I570" s="32"/>
      <c r="J570" s="32"/>
      <c r="K570" s="32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</row>
    <row r="571" ht="21.0" customHeight="1">
      <c r="A571" s="31"/>
      <c r="B571" s="31"/>
      <c r="C571" s="32"/>
      <c r="D571" s="32"/>
      <c r="E571" s="32"/>
      <c r="F571" s="32"/>
      <c r="G571" s="32"/>
      <c r="H571" s="32"/>
      <c r="I571" s="32"/>
      <c r="J571" s="32"/>
      <c r="K571" s="32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</row>
    <row r="572" ht="21.0" customHeight="1">
      <c r="A572" s="31"/>
      <c r="B572" s="31"/>
      <c r="C572" s="32"/>
      <c r="D572" s="32"/>
      <c r="E572" s="32"/>
      <c r="F572" s="32"/>
      <c r="G572" s="32"/>
      <c r="H572" s="32"/>
      <c r="I572" s="32"/>
      <c r="J572" s="32"/>
      <c r="K572" s="32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</row>
    <row r="573" ht="21.0" customHeight="1">
      <c r="A573" s="31"/>
      <c r="B573" s="31"/>
      <c r="C573" s="32"/>
      <c r="D573" s="32"/>
      <c r="E573" s="32"/>
      <c r="F573" s="32"/>
      <c r="G573" s="32"/>
      <c r="H573" s="32"/>
      <c r="I573" s="32"/>
      <c r="J573" s="32"/>
      <c r="K573" s="32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</row>
    <row r="574" ht="21.0" customHeight="1">
      <c r="A574" s="31"/>
      <c r="B574" s="31"/>
      <c r="C574" s="32"/>
      <c r="D574" s="32"/>
      <c r="E574" s="32"/>
      <c r="F574" s="32"/>
      <c r="G574" s="32"/>
      <c r="H574" s="32"/>
      <c r="I574" s="32"/>
      <c r="J574" s="32"/>
      <c r="K574" s="32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</row>
    <row r="575" ht="21.0" customHeight="1">
      <c r="A575" s="31"/>
      <c r="B575" s="31"/>
      <c r="C575" s="32"/>
      <c r="D575" s="32"/>
      <c r="E575" s="32"/>
      <c r="F575" s="32"/>
      <c r="G575" s="32"/>
      <c r="H575" s="32"/>
      <c r="I575" s="32"/>
      <c r="J575" s="32"/>
      <c r="K575" s="32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</row>
    <row r="576" ht="21.0" customHeight="1">
      <c r="A576" s="31"/>
      <c r="B576" s="31"/>
      <c r="C576" s="32"/>
      <c r="D576" s="32"/>
      <c r="E576" s="32"/>
      <c r="F576" s="32"/>
      <c r="G576" s="32"/>
      <c r="H576" s="32"/>
      <c r="I576" s="32"/>
      <c r="J576" s="32"/>
      <c r="K576" s="32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</row>
    <row r="577" ht="21.0" customHeight="1">
      <c r="A577" s="31"/>
      <c r="B577" s="31"/>
      <c r="C577" s="32"/>
      <c r="D577" s="32"/>
      <c r="E577" s="32"/>
      <c r="F577" s="32"/>
      <c r="G577" s="32"/>
      <c r="H577" s="32"/>
      <c r="I577" s="32"/>
      <c r="J577" s="32"/>
      <c r="K577" s="32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</row>
    <row r="578" ht="21.0" customHeight="1">
      <c r="A578" s="31"/>
      <c r="B578" s="31"/>
      <c r="C578" s="32"/>
      <c r="D578" s="32"/>
      <c r="E578" s="32"/>
      <c r="F578" s="32"/>
      <c r="G578" s="32"/>
      <c r="H578" s="32"/>
      <c r="I578" s="32"/>
      <c r="J578" s="32"/>
      <c r="K578" s="32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</row>
    <row r="579" ht="21.0" customHeight="1">
      <c r="A579" s="31"/>
      <c r="B579" s="31"/>
      <c r="C579" s="32"/>
      <c r="D579" s="32"/>
      <c r="E579" s="32"/>
      <c r="F579" s="32"/>
      <c r="G579" s="32"/>
      <c r="H579" s="32"/>
      <c r="I579" s="32"/>
      <c r="J579" s="32"/>
      <c r="K579" s="32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</row>
    <row r="580" ht="21.0" customHeight="1">
      <c r="A580" s="31"/>
      <c r="B580" s="31"/>
      <c r="C580" s="32"/>
      <c r="D580" s="32"/>
      <c r="E580" s="32"/>
      <c r="F580" s="32"/>
      <c r="G580" s="32"/>
      <c r="H580" s="32"/>
      <c r="I580" s="32"/>
      <c r="J580" s="32"/>
      <c r="K580" s="32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</row>
    <row r="581" ht="21.0" customHeight="1">
      <c r="A581" s="31"/>
      <c r="B581" s="31"/>
      <c r="C581" s="32"/>
      <c r="D581" s="32"/>
      <c r="E581" s="32"/>
      <c r="F581" s="32"/>
      <c r="G581" s="32"/>
      <c r="H581" s="32"/>
      <c r="I581" s="32"/>
      <c r="J581" s="32"/>
      <c r="K581" s="32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</row>
    <row r="582" ht="21.0" customHeight="1">
      <c r="A582" s="31"/>
      <c r="B582" s="31"/>
      <c r="C582" s="32"/>
      <c r="D582" s="32"/>
      <c r="E582" s="32"/>
      <c r="F582" s="32"/>
      <c r="G582" s="32"/>
      <c r="H582" s="32"/>
      <c r="I582" s="32"/>
      <c r="J582" s="32"/>
      <c r="K582" s="32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</row>
    <row r="583" ht="21.0" customHeight="1">
      <c r="A583" s="31"/>
      <c r="B583" s="31"/>
      <c r="C583" s="32"/>
      <c r="D583" s="32"/>
      <c r="E583" s="32"/>
      <c r="F583" s="32"/>
      <c r="G583" s="32"/>
      <c r="H583" s="32"/>
      <c r="I583" s="32"/>
      <c r="J583" s="32"/>
      <c r="K583" s="32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</row>
    <row r="584" ht="21.0" customHeight="1">
      <c r="A584" s="31"/>
      <c r="B584" s="31"/>
      <c r="C584" s="32"/>
      <c r="D584" s="32"/>
      <c r="E584" s="32"/>
      <c r="F584" s="32"/>
      <c r="G584" s="32"/>
      <c r="H584" s="32"/>
      <c r="I584" s="32"/>
      <c r="J584" s="32"/>
      <c r="K584" s="32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</row>
    <row r="585" ht="21.0" customHeight="1">
      <c r="A585" s="31"/>
      <c r="B585" s="31"/>
      <c r="C585" s="32"/>
      <c r="D585" s="32"/>
      <c r="E585" s="32"/>
      <c r="F585" s="32"/>
      <c r="G585" s="32"/>
      <c r="H585" s="32"/>
      <c r="I585" s="32"/>
      <c r="J585" s="32"/>
      <c r="K585" s="32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</row>
    <row r="586" ht="21.0" customHeight="1">
      <c r="A586" s="31"/>
      <c r="B586" s="31"/>
      <c r="C586" s="32"/>
      <c r="D586" s="32"/>
      <c r="E586" s="32"/>
      <c r="F586" s="32"/>
      <c r="G586" s="32"/>
      <c r="H586" s="32"/>
      <c r="I586" s="32"/>
      <c r="J586" s="32"/>
      <c r="K586" s="32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</row>
    <row r="587" ht="21.0" customHeight="1">
      <c r="A587" s="31"/>
      <c r="B587" s="31"/>
      <c r="C587" s="32"/>
      <c r="D587" s="32"/>
      <c r="E587" s="32"/>
      <c r="F587" s="32"/>
      <c r="G587" s="32"/>
      <c r="H587" s="32"/>
      <c r="I587" s="32"/>
      <c r="J587" s="32"/>
      <c r="K587" s="32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</row>
    <row r="588" ht="21.0" customHeight="1">
      <c r="A588" s="31"/>
      <c r="B588" s="31"/>
      <c r="C588" s="32"/>
      <c r="D588" s="32"/>
      <c r="E588" s="32"/>
      <c r="F588" s="32"/>
      <c r="G588" s="32"/>
      <c r="H588" s="32"/>
      <c r="I588" s="32"/>
      <c r="J588" s="32"/>
      <c r="K588" s="32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</row>
    <row r="589" ht="21.0" customHeight="1">
      <c r="A589" s="31"/>
      <c r="B589" s="31"/>
      <c r="C589" s="32"/>
      <c r="D589" s="32"/>
      <c r="E589" s="32"/>
      <c r="F589" s="32"/>
      <c r="G589" s="32"/>
      <c r="H589" s="32"/>
      <c r="I589" s="32"/>
      <c r="J589" s="32"/>
      <c r="K589" s="32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</row>
    <row r="590" ht="21.0" customHeight="1">
      <c r="A590" s="31"/>
      <c r="B590" s="31"/>
      <c r="C590" s="32"/>
      <c r="D590" s="32"/>
      <c r="E590" s="32"/>
      <c r="F590" s="32"/>
      <c r="G590" s="32"/>
      <c r="H590" s="32"/>
      <c r="I590" s="32"/>
      <c r="J590" s="32"/>
      <c r="K590" s="32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</row>
    <row r="591" ht="21.0" customHeight="1">
      <c r="A591" s="31"/>
      <c r="B591" s="31"/>
      <c r="C591" s="32"/>
      <c r="D591" s="32"/>
      <c r="E591" s="32"/>
      <c r="F591" s="32"/>
      <c r="G591" s="32"/>
      <c r="H591" s="32"/>
      <c r="I591" s="32"/>
      <c r="J591" s="32"/>
      <c r="K591" s="32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</row>
    <row r="592" ht="21.0" customHeight="1">
      <c r="A592" s="31"/>
      <c r="B592" s="31"/>
      <c r="C592" s="32"/>
      <c r="D592" s="32"/>
      <c r="E592" s="32"/>
      <c r="F592" s="32"/>
      <c r="G592" s="32"/>
      <c r="H592" s="32"/>
      <c r="I592" s="32"/>
      <c r="J592" s="32"/>
      <c r="K592" s="32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</row>
    <row r="593" ht="21.0" customHeight="1">
      <c r="A593" s="31"/>
      <c r="B593" s="31"/>
      <c r="C593" s="32"/>
      <c r="D593" s="32"/>
      <c r="E593" s="32"/>
      <c r="F593" s="32"/>
      <c r="G593" s="32"/>
      <c r="H593" s="32"/>
      <c r="I593" s="32"/>
      <c r="J593" s="32"/>
      <c r="K593" s="32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</row>
    <row r="594" ht="21.0" customHeight="1">
      <c r="A594" s="31"/>
      <c r="B594" s="31"/>
      <c r="C594" s="32"/>
      <c r="D594" s="32"/>
      <c r="E594" s="32"/>
      <c r="F594" s="32"/>
      <c r="G594" s="32"/>
      <c r="H594" s="32"/>
      <c r="I594" s="32"/>
      <c r="J594" s="32"/>
      <c r="K594" s="32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</row>
    <row r="595" ht="21.0" customHeight="1">
      <c r="A595" s="31"/>
      <c r="B595" s="31"/>
      <c r="C595" s="32"/>
      <c r="D595" s="32"/>
      <c r="E595" s="32"/>
      <c r="F595" s="32"/>
      <c r="G595" s="32"/>
      <c r="H595" s="32"/>
      <c r="I595" s="32"/>
      <c r="J595" s="32"/>
      <c r="K595" s="32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</row>
    <row r="596" ht="21.0" customHeight="1">
      <c r="A596" s="31"/>
      <c r="B596" s="31"/>
      <c r="C596" s="32"/>
      <c r="D596" s="32"/>
      <c r="E596" s="32"/>
      <c r="F596" s="32"/>
      <c r="G596" s="32"/>
      <c r="H596" s="32"/>
      <c r="I596" s="32"/>
      <c r="J596" s="32"/>
      <c r="K596" s="32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</row>
    <row r="597" ht="21.0" customHeight="1">
      <c r="A597" s="31"/>
      <c r="B597" s="31"/>
      <c r="C597" s="32"/>
      <c r="D597" s="32"/>
      <c r="E597" s="32"/>
      <c r="F597" s="32"/>
      <c r="G597" s="32"/>
      <c r="H597" s="32"/>
      <c r="I597" s="32"/>
      <c r="J597" s="32"/>
      <c r="K597" s="32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</row>
    <row r="598" ht="21.0" customHeight="1">
      <c r="A598" s="31"/>
      <c r="B598" s="31"/>
      <c r="C598" s="32"/>
      <c r="D598" s="32"/>
      <c r="E598" s="32"/>
      <c r="F598" s="32"/>
      <c r="G598" s="32"/>
      <c r="H598" s="32"/>
      <c r="I598" s="32"/>
      <c r="J598" s="32"/>
      <c r="K598" s="32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</row>
    <row r="599" ht="21.0" customHeight="1">
      <c r="A599" s="31"/>
      <c r="B599" s="31"/>
      <c r="C599" s="32"/>
      <c r="D599" s="32"/>
      <c r="E599" s="32"/>
      <c r="F599" s="32"/>
      <c r="G599" s="32"/>
      <c r="H599" s="32"/>
      <c r="I599" s="32"/>
      <c r="J599" s="32"/>
      <c r="K599" s="32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</row>
    <row r="600" ht="21.0" customHeight="1">
      <c r="A600" s="31"/>
      <c r="B600" s="31"/>
      <c r="C600" s="32"/>
      <c r="D600" s="32"/>
      <c r="E600" s="32"/>
      <c r="F600" s="32"/>
      <c r="G600" s="32"/>
      <c r="H600" s="32"/>
      <c r="I600" s="32"/>
      <c r="J600" s="32"/>
      <c r="K600" s="32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</row>
    <row r="601" ht="21.0" customHeight="1">
      <c r="A601" s="31"/>
      <c r="B601" s="31"/>
      <c r="C601" s="32"/>
      <c r="D601" s="32"/>
      <c r="E601" s="32"/>
      <c r="F601" s="32"/>
      <c r="G601" s="32"/>
      <c r="H601" s="32"/>
      <c r="I601" s="32"/>
      <c r="J601" s="32"/>
      <c r="K601" s="32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</row>
    <row r="602" ht="21.0" customHeight="1">
      <c r="A602" s="31"/>
      <c r="B602" s="31"/>
      <c r="C602" s="32"/>
      <c r="D602" s="32"/>
      <c r="E602" s="32"/>
      <c r="F602" s="32"/>
      <c r="G602" s="32"/>
      <c r="H602" s="32"/>
      <c r="I602" s="32"/>
      <c r="J602" s="32"/>
      <c r="K602" s="32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</row>
    <row r="603" ht="21.0" customHeight="1">
      <c r="A603" s="31"/>
      <c r="B603" s="31"/>
      <c r="C603" s="32"/>
      <c r="D603" s="32"/>
      <c r="E603" s="32"/>
      <c r="F603" s="32"/>
      <c r="G603" s="32"/>
      <c r="H603" s="32"/>
      <c r="I603" s="32"/>
      <c r="J603" s="32"/>
      <c r="K603" s="32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</row>
    <row r="604" ht="21.0" customHeight="1">
      <c r="A604" s="31"/>
      <c r="B604" s="31"/>
      <c r="C604" s="32"/>
      <c r="D604" s="32"/>
      <c r="E604" s="32"/>
      <c r="F604" s="32"/>
      <c r="G604" s="32"/>
      <c r="H604" s="32"/>
      <c r="I604" s="32"/>
      <c r="J604" s="32"/>
      <c r="K604" s="32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</row>
    <row r="605" ht="21.0" customHeight="1">
      <c r="A605" s="31"/>
      <c r="B605" s="31"/>
      <c r="C605" s="32"/>
      <c r="D605" s="32"/>
      <c r="E605" s="32"/>
      <c r="F605" s="32"/>
      <c r="G605" s="32"/>
      <c r="H605" s="32"/>
      <c r="I605" s="32"/>
      <c r="J605" s="32"/>
      <c r="K605" s="32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</row>
    <row r="606" ht="21.0" customHeight="1">
      <c r="A606" s="31"/>
      <c r="B606" s="31"/>
      <c r="C606" s="32"/>
      <c r="D606" s="32"/>
      <c r="E606" s="32"/>
      <c r="F606" s="32"/>
      <c r="G606" s="32"/>
      <c r="H606" s="32"/>
      <c r="I606" s="32"/>
      <c r="J606" s="32"/>
      <c r="K606" s="32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</row>
    <row r="607" ht="21.0" customHeight="1">
      <c r="A607" s="31"/>
      <c r="B607" s="31"/>
      <c r="C607" s="32"/>
      <c r="D607" s="32"/>
      <c r="E607" s="32"/>
      <c r="F607" s="32"/>
      <c r="G607" s="32"/>
      <c r="H607" s="32"/>
      <c r="I607" s="32"/>
      <c r="J607" s="32"/>
      <c r="K607" s="32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</row>
    <row r="608" ht="21.0" customHeight="1">
      <c r="A608" s="31"/>
      <c r="B608" s="31"/>
      <c r="C608" s="32"/>
      <c r="D608" s="32"/>
      <c r="E608" s="32"/>
      <c r="F608" s="32"/>
      <c r="G608" s="32"/>
      <c r="H608" s="32"/>
      <c r="I608" s="32"/>
      <c r="J608" s="32"/>
      <c r="K608" s="32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</row>
    <row r="609" ht="21.0" customHeight="1">
      <c r="A609" s="31"/>
      <c r="B609" s="31"/>
      <c r="C609" s="32"/>
      <c r="D609" s="32"/>
      <c r="E609" s="32"/>
      <c r="F609" s="32"/>
      <c r="G609" s="32"/>
      <c r="H609" s="32"/>
      <c r="I609" s="32"/>
      <c r="J609" s="32"/>
      <c r="K609" s="32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</row>
    <row r="610" ht="21.0" customHeight="1">
      <c r="A610" s="31"/>
      <c r="B610" s="31"/>
      <c r="C610" s="32"/>
      <c r="D610" s="32"/>
      <c r="E610" s="32"/>
      <c r="F610" s="32"/>
      <c r="G610" s="32"/>
      <c r="H610" s="32"/>
      <c r="I610" s="32"/>
      <c r="J610" s="32"/>
      <c r="K610" s="32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</row>
    <row r="611" ht="21.0" customHeight="1">
      <c r="A611" s="31"/>
      <c r="B611" s="31"/>
      <c r="C611" s="32"/>
      <c r="D611" s="32"/>
      <c r="E611" s="32"/>
      <c r="F611" s="32"/>
      <c r="G611" s="32"/>
      <c r="H611" s="32"/>
      <c r="I611" s="32"/>
      <c r="J611" s="32"/>
      <c r="K611" s="32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</row>
    <row r="612" ht="21.0" customHeight="1">
      <c r="A612" s="31"/>
      <c r="B612" s="31"/>
      <c r="C612" s="32"/>
      <c r="D612" s="32"/>
      <c r="E612" s="32"/>
      <c r="F612" s="32"/>
      <c r="G612" s="32"/>
      <c r="H612" s="32"/>
      <c r="I612" s="32"/>
      <c r="J612" s="32"/>
      <c r="K612" s="32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</row>
    <row r="613" ht="21.0" customHeight="1">
      <c r="A613" s="31"/>
      <c r="B613" s="31"/>
      <c r="C613" s="32"/>
      <c r="D613" s="32"/>
      <c r="E613" s="32"/>
      <c r="F613" s="32"/>
      <c r="G613" s="32"/>
      <c r="H613" s="32"/>
      <c r="I613" s="32"/>
      <c r="J613" s="32"/>
      <c r="K613" s="32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</row>
    <row r="614" ht="21.0" customHeight="1">
      <c r="A614" s="31"/>
      <c r="B614" s="31"/>
      <c r="C614" s="32"/>
      <c r="D614" s="32"/>
      <c r="E614" s="32"/>
      <c r="F614" s="32"/>
      <c r="G614" s="32"/>
      <c r="H614" s="32"/>
      <c r="I614" s="32"/>
      <c r="J614" s="32"/>
      <c r="K614" s="32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</row>
    <row r="615" ht="21.0" customHeight="1">
      <c r="A615" s="31"/>
      <c r="B615" s="31"/>
      <c r="C615" s="32"/>
      <c r="D615" s="32"/>
      <c r="E615" s="32"/>
      <c r="F615" s="32"/>
      <c r="G615" s="32"/>
      <c r="H615" s="32"/>
      <c r="I615" s="32"/>
      <c r="J615" s="32"/>
      <c r="K615" s="32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</row>
    <row r="616" ht="21.0" customHeight="1">
      <c r="A616" s="31"/>
      <c r="B616" s="31"/>
      <c r="C616" s="32"/>
      <c r="D616" s="32"/>
      <c r="E616" s="32"/>
      <c r="F616" s="32"/>
      <c r="G616" s="32"/>
      <c r="H616" s="32"/>
      <c r="I616" s="32"/>
      <c r="J616" s="32"/>
      <c r="K616" s="32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</row>
    <row r="617" ht="21.0" customHeight="1">
      <c r="A617" s="31"/>
      <c r="B617" s="31"/>
      <c r="C617" s="32"/>
      <c r="D617" s="32"/>
      <c r="E617" s="32"/>
      <c r="F617" s="32"/>
      <c r="G617" s="32"/>
      <c r="H617" s="32"/>
      <c r="I617" s="32"/>
      <c r="J617" s="32"/>
      <c r="K617" s="32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</row>
    <row r="618" ht="21.0" customHeight="1">
      <c r="A618" s="31"/>
      <c r="B618" s="31"/>
      <c r="C618" s="32"/>
      <c r="D618" s="32"/>
      <c r="E618" s="32"/>
      <c r="F618" s="32"/>
      <c r="G618" s="32"/>
      <c r="H618" s="32"/>
      <c r="I618" s="32"/>
      <c r="J618" s="32"/>
      <c r="K618" s="32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</row>
    <row r="619" ht="21.0" customHeight="1">
      <c r="A619" s="31"/>
      <c r="B619" s="31"/>
      <c r="C619" s="32"/>
      <c r="D619" s="32"/>
      <c r="E619" s="32"/>
      <c r="F619" s="32"/>
      <c r="G619" s="32"/>
      <c r="H619" s="32"/>
      <c r="I619" s="32"/>
      <c r="J619" s="32"/>
      <c r="K619" s="32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</row>
    <row r="620" ht="21.0" customHeight="1">
      <c r="A620" s="31"/>
      <c r="B620" s="31"/>
      <c r="C620" s="32"/>
      <c r="D620" s="32"/>
      <c r="E620" s="32"/>
      <c r="F620" s="32"/>
      <c r="G620" s="32"/>
      <c r="H620" s="32"/>
      <c r="I620" s="32"/>
      <c r="J620" s="32"/>
      <c r="K620" s="32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</row>
    <row r="621" ht="21.0" customHeight="1">
      <c r="A621" s="31"/>
      <c r="B621" s="31"/>
      <c r="C621" s="32"/>
      <c r="D621" s="32"/>
      <c r="E621" s="32"/>
      <c r="F621" s="32"/>
      <c r="G621" s="32"/>
      <c r="H621" s="32"/>
      <c r="I621" s="32"/>
      <c r="J621" s="32"/>
      <c r="K621" s="32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</row>
    <row r="622" ht="21.0" customHeight="1">
      <c r="A622" s="31"/>
      <c r="B622" s="31"/>
      <c r="C622" s="32"/>
      <c r="D622" s="32"/>
      <c r="E622" s="32"/>
      <c r="F622" s="32"/>
      <c r="G622" s="32"/>
      <c r="H622" s="32"/>
      <c r="I622" s="32"/>
      <c r="J622" s="32"/>
      <c r="K622" s="32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</row>
    <row r="623" ht="21.0" customHeight="1">
      <c r="A623" s="31"/>
      <c r="B623" s="31"/>
      <c r="C623" s="32"/>
      <c r="D623" s="32"/>
      <c r="E623" s="32"/>
      <c r="F623" s="32"/>
      <c r="G623" s="32"/>
      <c r="H623" s="32"/>
      <c r="I623" s="32"/>
      <c r="J623" s="32"/>
      <c r="K623" s="32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</row>
    <row r="624" ht="21.0" customHeight="1">
      <c r="A624" s="31"/>
      <c r="B624" s="31"/>
      <c r="C624" s="32"/>
      <c r="D624" s="32"/>
      <c r="E624" s="32"/>
      <c r="F624" s="32"/>
      <c r="G624" s="32"/>
      <c r="H624" s="32"/>
      <c r="I624" s="32"/>
      <c r="J624" s="32"/>
      <c r="K624" s="32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</row>
    <row r="625" ht="21.0" customHeight="1">
      <c r="A625" s="31"/>
      <c r="B625" s="31"/>
      <c r="C625" s="32"/>
      <c r="D625" s="32"/>
      <c r="E625" s="32"/>
      <c r="F625" s="32"/>
      <c r="G625" s="32"/>
      <c r="H625" s="32"/>
      <c r="I625" s="32"/>
      <c r="J625" s="32"/>
      <c r="K625" s="32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</row>
    <row r="626" ht="21.0" customHeight="1">
      <c r="A626" s="31"/>
      <c r="B626" s="31"/>
      <c r="C626" s="32"/>
      <c r="D626" s="32"/>
      <c r="E626" s="32"/>
      <c r="F626" s="32"/>
      <c r="G626" s="32"/>
      <c r="H626" s="32"/>
      <c r="I626" s="32"/>
      <c r="J626" s="32"/>
      <c r="K626" s="32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</row>
    <row r="627" ht="21.0" customHeight="1">
      <c r="A627" s="31"/>
      <c r="B627" s="31"/>
      <c r="C627" s="32"/>
      <c r="D627" s="32"/>
      <c r="E627" s="32"/>
      <c r="F627" s="32"/>
      <c r="G627" s="32"/>
      <c r="H627" s="32"/>
      <c r="I627" s="32"/>
      <c r="J627" s="32"/>
      <c r="K627" s="32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</row>
    <row r="628" ht="21.0" customHeight="1">
      <c r="A628" s="31"/>
      <c r="B628" s="31"/>
      <c r="C628" s="32"/>
      <c r="D628" s="32"/>
      <c r="E628" s="32"/>
      <c r="F628" s="32"/>
      <c r="G628" s="32"/>
      <c r="H628" s="32"/>
      <c r="I628" s="32"/>
      <c r="J628" s="32"/>
      <c r="K628" s="32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</row>
    <row r="629" ht="21.0" customHeight="1">
      <c r="A629" s="31"/>
      <c r="B629" s="31"/>
      <c r="C629" s="32"/>
      <c r="D629" s="32"/>
      <c r="E629" s="32"/>
      <c r="F629" s="32"/>
      <c r="G629" s="32"/>
      <c r="H629" s="32"/>
      <c r="I629" s="32"/>
      <c r="J629" s="32"/>
      <c r="K629" s="32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</row>
    <row r="630" ht="21.0" customHeight="1">
      <c r="A630" s="31"/>
      <c r="B630" s="31"/>
      <c r="C630" s="32"/>
      <c r="D630" s="32"/>
      <c r="E630" s="32"/>
      <c r="F630" s="32"/>
      <c r="G630" s="32"/>
      <c r="H630" s="32"/>
      <c r="I630" s="32"/>
      <c r="J630" s="32"/>
      <c r="K630" s="32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</row>
    <row r="631" ht="21.0" customHeight="1">
      <c r="A631" s="31"/>
      <c r="B631" s="31"/>
      <c r="C631" s="32"/>
      <c r="D631" s="32"/>
      <c r="E631" s="32"/>
      <c r="F631" s="32"/>
      <c r="G631" s="32"/>
      <c r="H631" s="32"/>
      <c r="I631" s="32"/>
      <c r="J631" s="32"/>
      <c r="K631" s="32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</row>
    <row r="632" ht="21.0" customHeight="1">
      <c r="A632" s="31"/>
      <c r="B632" s="31"/>
      <c r="C632" s="32"/>
      <c r="D632" s="32"/>
      <c r="E632" s="32"/>
      <c r="F632" s="32"/>
      <c r="G632" s="32"/>
      <c r="H632" s="32"/>
      <c r="I632" s="32"/>
      <c r="J632" s="32"/>
      <c r="K632" s="32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</row>
    <row r="633" ht="21.0" customHeight="1">
      <c r="A633" s="31"/>
      <c r="B633" s="31"/>
      <c r="C633" s="32"/>
      <c r="D633" s="32"/>
      <c r="E633" s="32"/>
      <c r="F633" s="32"/>
      <c r="G633" s="32"/>
      <c r="H633" s="32"/>
      <c r="I633" s="32"/>
      <c r="J633" s="32"/>
      <c r="K633" s="32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</row>
    <row r="634" ht="21.0" customHeight="1">
      <c r="A634" s="31"/>
      <c r="B634" s="31"/>
      <c r="C634" s="32"/>
      <c r="D634" s="32"/>
      <c r="E634" s="32"/>
      <c r="F634" s="32"/>
      <c r="G634" s="32"/>
      <c r="H634" s="32"/>
      <c r="I634" s="32"/>
      <c r="J634" s="32"/>
      <c r="K634" s="32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</row>
    <row r="635" ht="21.0" customHeight="1">
      <c r="A635" s="31"/>
      <c r="B635" s="31"/>
      <c r="C635" s="32"/>
      <c r="D635" s="32"/>
      <c r="E635" s="32"/>
      <c r="F635" s="32"/>
      <c r="G635" s="32"/>
      <c r="H635" s="32"/>
      <c r="I635" s="32"/>
      <c r="J635" s="32"/>
      <c r="K635" s="32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</row>
    <row r="636" ht="21.0" customHeight="1">
      <c r="A636" s="31"/>
      <c r="B636" s="31"/>
      <c r="C636" s="32"/>
      <c r="D636" s="32"/>
      <c r="E636" s="32"/>
      <c r="F636" s="32"/>
      <c r="G636" s="32"/>
      <c r="H636" s="32"/>
      <c r="I636" s="32"/>
      <c r="J636" s="32"/>
      <c r="K636" s="32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</row>
    <row r="637" ht="21.0" customHeight="1">
      <c r="A637" s="31"/>
      <c r="B637" s="31"/>
      <c r="C637" s="32"/>
      <c r="D637" s="32"/>
      <c r="E637" s="32"/>
      <c r="F637" s="32"/>
      <c r="G637" s="32"/>
      <c r="H637" s="32"/>
      <c r="I637" s="32"/>
      <c r="J637" s="32"/>
      <c r="K637" s="32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</row>
    <row r="638" ht="21.0" customHeight="1">
      <c r="A638" s="31"/>
      <c r="B638" s="31"/>
      <c r="C638" s="32"/>
      <c r="D638" s="32"/>
      <c r="E638" s="32"/>
      <c r="F638" s="32"/>
      <c r="G638" s="32"/>
      <c r="H638" s="32"/>
      <c r="I638" s="32"/>
      <c r="J638" s="32"/>
      <c r="K638" s="32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</row>
    <row r="639" ht="21.0" customHeight="1">
      <c r="A639" s="31"/>
      <c r="B639" s="31"/>
      <c r="C639" s="32"/>
      <c r="D639" s="32"/>
      <c r="E639" s="32"/>
      <c r="F639" s="32"/>
      <c r="G639" s="32"/>
      <c r="H639" s="32"/>
      <c r="I639" s="32"/>
      <c r="J639" s="32"/>
      <c r="K639" s="32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</row>
    <row r="640" ht="21.0" customHeight="1">
      <c r="A640" s="31"/>
      <c r="B640" s="31"/>
      <c r="C640" s="32"/>
      <c r="D640" s="32"/>
      <c r="E640" s="32"/>
      <c r="F640" s="32"/>
      <c r="G640" s="32"/>
      <c r="H640" s="32"/>
      <c r="I640" s="32"/>
      <c r="J640" s="32"/>
      <c r="K640" s="32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</row>
    <row r="641" ht="21.0" customHeight="1">
      <c r="A641" s="31"/>
      <c r="B641" s="31"/>
      <c r="C641" s="32"/>
      <c r="D641" s="32"/>
      <c r="E641" s="32"/>
      <c r="F641" s="32"/>
      <c r="G641" s="32"/>
      <c r="H641" s="32"/>
      <c r="I641" s="32"/>
      <c r="J641" s="32"/>
      <c r="K641" s="32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</row>
    <row r="642" ht="21.0" customHeight="1">
      <c r="A642" s="31"/>
      <c r="B642" s="31"/>
      <c r="C642" s="32"/>
      <c r="D642" s="32"/>
      <c r="E642" s="32"/>
      <c r="F642" s="32"/>
      <c r="G642" s="32"/>
      <c r="H642" s="32"/>
      <c r="I642" s="32"/>
      <c r="J642" s="32"/>
      <c r="K642" s="32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</row>
    <row r="643" ht="21.0" customHeight="1">
      <c r="A643" s="31"/>
      <c r="B643" s="31"/>
      <c r="C643" s="32"/>
      <c r="D643" s="32"/>
      <c r="E643" s="32"/>
      <c r="F643" s="32"/>
      <c r="G643" s="32"/>
      <c r="H643" s="32"/>
      <c r="I643" s="32"/>
      <c r="J643" s="32"/>
      <c r="K643" s="32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</row>
    <row r="644" ht="21.0" customHeight="1">
      <c r="A644" s="31"/>
      <c r="B644" s="31"/>
      <c r="C644" s="32"/>
      <c r="D644" s="32"/>
      <c r="E644" s="32"/>
      <c r="F644" s="32"/>
      <c r="G644" s="32"/>
      <c r="H644" s="32"/>
      <c r="I644" s="32"/>
      <c r="J644" s="32"/>
      <c r="K644" s="32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</row>
    <row r="645" ht="21.0" customHeight="1">
      <c r="A645" s="31"/>
      <c r="B645" s="31"/>
      <c r="C645" s="32"/>
      <c r="D645" s="32"/>
      <c r="E645" s="32"/>
      <c r="F645" s="32"/>
      <c r="G645" s="32"/>
      <c r="H645" s="32"/>
      <c r="I645" s="32"/>
      <c r="J645" s="32"/>
      <c r="K645" s="32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</row>
    <row r="646" ht="21.0" customHeight="1">
      <c r="A646" s="31"/>
      <c r="B646" s="31"/>
      <c r="C646" s="32"/>
      <c r="D646" s="32"/>
      <c r="E646" s="32"/>
      <c r="F646" s="32"/>
      <c r="G646" s="32"/>
      <c r="H646" s="32"/>
      <c r="I646" s="32"/>
      <c r="J646" s="32"/>
      <c r="K646" s="32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</row>
    <row r="647" ht="21.0" customHeight="1">
      <c r="A647" s="31"/>
      <c r="B647" s="31"/>
      <c r="C647" s="32"/>
      <c r="D647" s="32"/>
      <c r="E647" s="32"/>
      <c r="F647" s="32"/>
      <c r="G647" s="32"/>
      <c r="H647" s="32"/>
      <c r="I647" s="32"/>
      <c r="J647" s="32"/>
      <c r="K647" s="32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</row>
    <row r="648" ht="21.0" customHeight="1">
      <c r="A648" s="31"/>
      <c r="B648" s="31"/>
      <c r="C648" s="32"/>
      <c r="D648" s="32"/>
      <c r="E648" s="32"/>
      <c r="F648" s="32"/>
      <c r="G648" s="32"/>
      <c r="H648" s="32"/>
      <c r="I648" s="32"/>
      <c r="J648" s="32"/>
      <c r="K648" s="32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</row>
    <row r="649" ht="21.0" customHeight="1">
      <c r="A649" s="31"/>
      <c r="B649" s="31"/>
      <c r="C649" s="32"/>
      <c r="D649" s="32"/>
      <c r="E649" s="32"/>
      <c r="F649" s="32"/>
      <c r="G649" s="32"/>
      <c r="H649" s="32"/>
      <c r="I649" s="32"/>
      <c r="J649" s="32"/>
      <c r="K649" s="32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</row>
    <row r="650" ht="21.0" customHeight="1">
      <c r="A650" s="31"/>
      <c r="B650" s="31"/>
      <c r="C650" s="32"/>
      <c r="D650" s="32"/>
      <c r="E650" s="32"/>
      <c r="F650" s="32"/>
      <c r="G650" s="32"/>
      <c r="H650" s="32"/>
      <c r="I650" s="32"/>
      <c r="J650" s="32"/>
      <c r="K650" s="32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</row>
    <row r="651" ht="21.0" customHeight="1">
      <c r="A651" s="31"/>
      <c r="B651" s="31"/>
      <c r="C651" s="32"/>
      <c r="D651" s="32"/>
      <c r="E651" s="32"/>
      <c r="F651" s="32"/>
      <c r="G651" s="32"/>
      <c r="H651" s="32"/>
      <c r="I651" s="32"/>
      <c r="J651" s="32"/>
      <c r="K651" s="32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</row>
    <row r="652" ht="21.0" customHeight="1">
      <c r="A652" s="31"/>
      <c r="B652" s="31"/>
      <c r="C652" s="32"/>
      <c r="D652" s="32"/>
      <c r="E652" s="32"/>
      <c r="F652" s="32"/>
      <c r="G652" s="32"/>
      <c r="H652" s="32"/>
      <c r="I652" s="32"/>
      <c r="J652" s="32"/>
      <c r="K652" s="32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</row>
    <row r="653" ht="21.0" customHeight="1">
      <c r="A653" s="31"/>
      <c r="B653" s="31"/>
      <c r="C653" s="32"/>
      <c r="D653" s="32"/>
      <c r="E653" s="32"/>
      <c r="F653" s="32"/>
      <c r="G653" s="32"/>
      <c r="H653" s="32"/>
      <c r="I653" s="32"/>
      <c r="J653" s="32"/>
      <c r="K653" s="32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</row>
    <row r="654" ht="21.0" customHeight="1">
      <c r="A654" s="31"/>
      <c r="B654" s="31"/>
      <c r="C654" s="32"/>
      <c r="D654" s="32"/>
      <c r="E654" s="32"/>
      <c r="F654" s="32"/>
      <c r="G654" s="32"/>
      <c r="H654" s="32"/>
      <c r="I654" s="32"/>
      <c r="J654" s="32"/>
      <c r="K654" s="32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</row>
    <row r="655" ht="21.0" customHeight="1">
      <c r="A655" s="31"/>
      <c r="B655" s="31"/>
      <c r="C655" s="32"/>
      <c r="D655" s="32"/>
      <c r="E655" s="32"/>
      <c r="F655" s="32"/>
      <c r="G655" s="32"/>
      <c r="H655" s="32"/>
      <c r="I655" s="32"/>
      <c r="J655" s="32"/>
      <c r="K655" s="32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</row>
    <row r="656" ht="21.0" customHeight="1">
      <c r="A656" s="31"/>
      <c r="B656" s="31"/>
      <c r="C656" s="32"/>
      <c r="D656" s="32"/>
      <c r="E656" s="32"/>
      <c r="F656" s="32"/>
      <c r="G656" s="32"/>
      <c r="H656" s="32"/>
      <c r="I656" s="32"/>
      <c r="J656" s="32"/>
      <c r="K656" s="32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</row>
    <row r="657" ht="21.0" customHeight="1">
      <c r="A657" s="31"/>
      <c r="B657" s="31"/>
      <c r="C657" s="32"/>
      <c r="D657" s="32"/>
      <c r="E657" s="32"/>
      <c r="F657" s="32"/>
      <c r="G657" s="32"/>
      <c r="H657" s="32"/>
      <c r="I657" s="32"/>
      <c r="J657" s="32"/>
      <c r="K657" s="32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</row>
    <row r="658" ht="21.0" customHeight="1">
      <c r="A658" s="31"/>
      <c r="B658" s="31"/>
      <c r="C658" s="32"/>
      <c r="D658" s="32"/>
      <c r="E658" s="32"/>
      <c r="F658" s="32"/>
      <c r="G658" s="32"/>
      <c r="H658" s="32"/>
      <c r="I658" s="32"/>
      <c r="J658" s="32"/>
      <c r="K658" s="32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</row>
    <row r="659" ht="21.0" customHeight="1">
      <c r="A659" s="31"/>
      <c r="B659" s="31"/>
      <c r="C659" s="32"/>
      <c r="D659" s="32"/>
      <c r="E659" s="32"/>
      <c r="F659" s="32"/>
      <c r="G659" s="32"/>
      <c r="H659" s="32"/>
      <c r="I659" s="32"/>
      <c r="J659" s="32"/>
      <c r="K659" s="32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</row>
    <row r="660" ht="21.0" customHeight="1">
      <c r="A660" s="31"/>
      <c r="B660" s="31"/>
      <c r="C660" s="32"/>
      <c r="D660" s="32"/>
      <c r="E660" s="32"/>
      <c r="F660" s="32"/>
      <c r="G660" s="32"/>
      <c r="H660" s="32"/>
      <c r="I660" s="32"/>
      <c r="J660" s="32"/>
      <c r="K660" s="32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</row>
    <row r="661" ht="21.0" customHeight="1">
      <c r="A661" s="31"/>
      <c r="B661" s="31"/>
      <c r="C661" s="32"/>
      <c r="D661" s="32"/>
      <c r="E661" s="32"/>
      <c r="F661" s="32"/>
      <c r="G661" s="32"/>
      <c r="H661" s="32"/>
      <c r="I661" s="32"/>
      <c r="J661" s="32"/>
      <c r="K661" s="32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</row>
    <row r="662" ht="21.0" customHeight="1">
      <c r="A662" s="31"/>
      <c r="B662" s="31"/>
      <c r="C662" s="32"/>
      <c r="D662" s="32"/>
      <c r="E662" s="32"/>
      <c r="F662" s="32"/>
      <c r="G662" s="32"/>
      <c r="H662" s="32"/>
      <c r="I662" s="32"/>
      <c r="J662" s="32"/>
      <c r="K662" s="32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</row>
    <row r="663" ht="21.0" customHeight="1">
      <c r="A663" s="31"/>
      <c r="B663" s="31"/>
      <c r="C663" s="32"/>
      <c r="D663" s="32"/>
      <c r="E663" s="32"/>
      <c r="F663" s="32"/>
      <c r="G663" s="32"/>
      <c r="H663" s="32"/>
      <c r="I663" s="32"/>
      <c r="J663" s="32"/>
      <c r="K663" s="32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</row>
    <row r="664" ht="21.0" customHeight="1">
      <c r="A664" s="31"/>
      <c r="B664" s="31"/>
      <c r="C664" s="32"/>
      <c r="D664" s="32"/>
      <c r="E664" s="32"/>
      <c r="F664" s="32"/>
      <c r="G664" s="32"/>
      <c r="H664" s="32"/>
      <c r="I664" s="32"/>
      <c r="J664" s="32"/>
      <c r="K664" s="32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</row>
    <row r="665" ht="21.0" customHeight="1">
      <c r="A665" s="31"/>
      <c r="B665" s="31"/>
      <c r="C665" s="32"/>
      <c r="D665" s="32"/>
      <c r="E665" s="32"/>
      <c r="F665" s="32"/>
      <c r="G665" s="32"/>
      <c r="H665" s="32"/>
      <c r="I665" s="32"/>
      <c r="J665" s="32"/>
      <c r="K665" s="32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</row>
    <row r="666" ht="21.0" customHeight="1">
      <c r="A666" s="31"/>
      <c r="B666" s="31"/>
      <c r="C666" s="32"/>
      <c r="D666" s="32"/>
      <c r="E666" s="32"/>
      <c r="F666" s="32"/>
      <c r="G666" s="32"/>
      <c r="H666" s="32"/>
      <c r="I666" s="32"/>
      <c r="J666" s="32"/>
      <c r="K666" s="32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</row>
    <row r="667" ht="21.0" customHeight="1">
      <c r="A667" s="31"/>
      <c r="B667" s="31"/>
      <c r="C667" s="32"/>
      <c r="D667" s="32"/>
      <c r="E667" s="32"/>
      <c r="F667" s="32"/>
      <c r="G667" s="32"/>
      <c r="H667" s="32"/>
      <c r="I667" s="32"/>
      <c r="J667" s="32"/>
      <c r="K667" s="32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</row>
    <row r="668" ht="21.0" customHeight="1">
      <c r="A668" s="31"/>
      <c r="B668" s="31"/>
      <c r="C668" s="32"/>
      <c r="D668" s="32"/>
      <c r="E668" s="32"/>
      <c r="F668" s="32"/>
      <c r="G668" s="32"/>
      <c r="H668" s="32"/>
      <c r="I668" s="32"/>
      <c r="J668" s="32"/>
      <c r="K668" s="32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</row>
    <row r="669" ht="21.0" customHeight="1">
      <c r="A669" s="31"/>
      <c r="B669" s="31"/>
      <c r="C669" s="32"/>
      <c r="D669" s="32"/>
      <c r="E669" s="32"/>
      <c r="F669" s="32"/>
      <c r="G669" s="32"/>
      <c r="H669" s="32"/>
      <c r="I669" s="32"/>
      <c r="J669" s="32"/>
      <c r="K669" s="32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</row>
    <row r="670" ht="21.0" customHeight="1">
      <c r="A670" s="31"/>
      <c r="B670" s="31"/>
      <c r="C670" s="32"/>
      <c r="D670" s="32"/>
      <c r="E670" s="32"/>
      <c r="F670" s="32"/>
      <c r="G670" s="32"/>
      <c r="H670" s="32"/>
      <c r="I670" s="32"/>
      <c r="J670" s="32"/>
      <c r="K670" s="32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</row>
    <row r="671" ht="21.0" customHeight="1">
      <c r="A671" s="31"/>
      <c r="B671" s="31"/>
      <c r="C671" s="32"/>
      <c r="D671" s="32"/>
      <c r="E671" s="32"/>
      <c r="F671" s="32"/>
      <c r="G671" s="32"/>
      <c r="H671" s="32"/>
      <c r="I671" s="32"/>
      <c r="J671" s="32"/>
      <c r="K671" s="32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</row>
    <row r="672" ht="21.0" customHeight="1">
      <c r="A672" s="31"/>
      <c r="B672" s="31"/>
      <c r="C672" s="32"/>
      <c r="D672" s="32"/>
      <c r="E672" s="32"/>
      <c r="F672" s="32"/>
      <c r="G672" s="32"/>
      <c r="H672" s="32"/>
      <c r="I672" s="32"/>
      <c r="J672" s="32"/>
      <c r="K672" s="32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</row>
    <row r="673" ht="21.0" customHeight="1">
      <c r="A673" s="31"/>
      <c r="B673" s="31"/>
      <c r="C673" s="32"/>
      <c r="D673" s="32"/>
      <c r="E673" s="32"/>
      <c r="F673" s="32"/>
      <c r="G673" s="32"/>
      <c r="H673" s="32"/>
      <c r="I673" s="32"/>
      <c r="J673" s="32"/>
      <c r="K673" s="32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</row>
    <row r="674" ht="21.0" customHeight="1">
      <c r="A674" s="31"/>
      <c r="B674" s="31"/>
      <c r="C674" s="32"/>
      <c r="D674" s="32"/>
      <c r="E674" s="32"/>
      <c r="F674" s="32"/>
      <c r="G674" s="32"/>
      <c r="H674" s="32"/>
      <c r="I674" s="32"/>
      <c r="J674" s="32"/>
      <c r="K674" s="32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</row>
    <row r="675" ht="21.0" customHeight="1">
      <c r="A675" s="31"/>
      <c r="B675" s="31"/>
      <c r="C675" s="32"/>
      <c r="D675" s="32"/>
      <c r="E675" s="32"/>
      <c r="F675" s="32"/>
      <c r="G675" s="32"/>
      <c r="H675" s="32"/>
      <c r="I675" s="32"/>
      <c r="J675" s="32"/>
      <c r="K675" s="32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</row>
    <row r="676" ht="21.0" customHeight="1">
      <c r="A676" s="31"/>
      <c r="B676" s="31"/>
      <c r="C676" s="32"/>
      <c r="D676" s="32"/>
      <c r="E676" s="32"/>
      <c r="F676" s="32"/>
      <c r="G676" s="32"/>
      <c r="H676" s="32"/>
      <c r="I676" s="32"/>
      <c r="J676" s="32"/>
      <c r="K676" s="32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</row>
    <row r="677" ht="21.0" customHeight="1">
      <c r="A677" s="31"/>
      <c r="B677" s="31"/>
      <c r="C677" s="32"/>
      <c r="D677" s="32"/>
      <c r="E677" s="32"/>
      <c r="F677" s="32"/>
      <c r="G677" s="32"/>
      <c r="H677" s="32"/>
      <c r="I677" s="32"/>
      <c r="J677" s="32"/>
      <c r="K677" s="32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</row>
    <row r="678" ht="21.0" customHeight="1">
      <c r="A678" s="31"/>
      <c r="B678" s="31"/>
      <c r="C678" s="32"/>
      <c r="D678" s="32"/>
      <c r="E678" s="32"/>
      <c r="F678" s="32"/>
      <c r="G678" s="32"/>
      <c r="H678" s="32"/>
      <c r="I678" s="32"/>
      <c r="J678" s="32"/>
      <c r="K678" s="32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</row>
    <row r="679" ht="21.0" customHeight="1">
      <c r="A679" s="31"/>
      <c r="B679" s="31"/>
      <c r="C679" s="32"/>
      <c r="D679" s="32"/>
      <c r="E679" s="32"/>
      <c r="F679" s="32"/>
      <c r="G679" s="32"/>
      <c r="H679" s="32"/>
      <c r="I679" s="32"/>
      <c r="J679" s="32"/>
      <c r="K679" s="32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</row>
    <row r="680" ht="21.0" customHeight="1">
      <c r="A680" s="31"/>
      <c r="B680" s="31"/>
      <c r="C680" s="32"/>
      <c r="D680" s="32"/>
      <c r="E680" s="32"/>
      <c r="F680" s="32"/>
      <c r="G680" s="32"/>
      <c r="H680" s="32"/>
      <c r="I680" s="32"/>
      <c r="J680" s="32"/>
      <c r="K680" s="32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</row>
    <row r="681" ht="21.0" customHeight="1">
      <c r="A681" s="31"/>
      <c r="B681" s="31"/>
      <c r="C681" s="32"/>
      <c r="D681" s="32"/>
      <c r="E681" s="32"/>
      <c r="F681" s="32"/>
      <c r="G681" s="32"/>
      <c r="H681" s="32"/>
      <c r="I681" s="32"/>
      <c r="J681" s="32"/>
      <c r="K681" s="32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</row>
    <row r="682" ht="21.0" customHeight="1">
      <c r="A682" s="31"/>
      <c r="B682" s="31"/>
      <c r="C682" s="32"/>
      <c r="D682" s="32"/>
      <c r="E682" s="32"/>
      <c r="F682" s="32"/>
      <c r="G682" s="32"/>
      <c r="H682" s="32"/>
      <c r="I682" s="32"/>
      <c r="J682" s="32"/>
      <c r="K682" s="32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</row>
    <row r="683" ht="21.0" customHeight="1">
      <c r="A683" s="31"/>
      <c r="B683" s="31"/>
      <c r="C683" s="32"/>
      <c r="D683" s="32"/>
      <c r="E683" s="32"/>
      <c r="F683" s="32"/>
      <c r="G683" s="32"/>
      <c r="H683" s="32"/>
      <c r="I683" s="32"/>
      <c r="J683" s="32"/>
      <c r="K683" s="32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</row>
    <row r="684" ht="21.0" customHeight="1">
      <c r="A684" s="31"/>
      <c r="B684" s="31"/>
      <c r="C684" s="32"/>
      <c r="D684" s="32"/>
      <c r="E684" s="32"/>
      <c r="F684" s="32"/>
      <c r="G684" s="32"/>
      <c r="H684" s="32"/>
      <c r="I684" s="32"/>
      <c r="J684" s="32"/>
      <c r="K684" s="32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</row>
    <row r="685" ht="21.0" customHeight="1">
      <c r="A685" s="31"/>
      <c r="B685" s="31"/>
      <c r="C685" s="32"/>
      <c r="D685" s="32"/>
      <c r="E685" s="32"/>
      <c r="F685" s="32"/>
      <c r="G685" s="32"/>
      <c r="H685" s="32"/>
      <c r="I685" s="32"/>
      <c r="J685" s="32"/>
      <c r="K685" s="32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</row>
    <row r="686" ht="21.0" customHeight="1">
      <c r="A686" s="31"/>
      <c r="B686" s="31"/>
      <c r="C686" s="32"/>
      <c r="D686" s="32"/>
      <c r="E686" s="32"/>
      <c r="F686" s="32"/>
      <c r="G686" s="32"/>
      <c r="H686" s="32"/>
      <c r="I686" s="32"/>
      <c r="J686" s="32"/>
      <c r="K686" s="32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</row>
    <row r="687" ht="21.0" customHeight="1">
      <c r="A687" s="31"/>
      <c r="B687" s="31"/>
      <c r="C687" s="32"/>
      <c r="D687" s="32"/>
      <c r="E687" s="32"/>
      <c r="F687" s="32"/>
      <c r="G687" s="32"/>
      <c r="H687" s="32"/>
      <c r="I687" s="32"/>
      <c r="J687" s="32"/>
      <c r="K687" s="32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</row>
    <row r="688" ht="21.0" customHeight="1">
      <c r="A688" s="31"/>
      <c r="B688" s="31"/>
      <c r="C688" s="32"/>
      <c r="D688" s="32"/>
      <c r="E688" s="32"/>
      <c r="F688" s="32"/>
      <c r="G688" s="32"/>
      <c r="H688" s="32"/>
      <c r="I688" s="32"/>
      <c r="J688" s="32"/>
      <c r="K688" s="32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</row>
    <row r="689" ht="21.0" customHeight="1">
      <c r="A689" s="31"/>
      <c r="B689" s="31"/>
      <c r="C689" s="32"/>
      <c r="D689" s="32"/>
      <c r="E689" s="32"/>
      <c r="F689" s="32"/>
      <c r="G689" s="32"/>
      <c r="H689" s="32"/>
      <c r="I689" s="32"/>
      <c r="J689" s="32"/>
      <c r="K689" s="32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</row>
    <row r="690" ht="21.0" customHeight="1">
      <c r="A690" s="31"/>
      <c r="B690" s="31"/>
      <c r="C690" s="32"/>
      <c r="D690" s="32"/>
      <c r="E690" s="32"/>
      <c r="F690" s="32"/>
      <c r="G690" s="32"/>
      <c r="H690" s="32"/>
      <c r="I690" s="32"/>
      <c r="J690" s="32"/>
      <c r="K690" s="32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</row>
    <row r="691" ht="21.0" customHeight="1">
      <c r="A691" s="31"/>
      <c r="B691" s="31"/>
      <c r="C691" s="32"/>
      <c r="D691" s="32"/>
      <c r="E691" s="32"/>
      <c r="F691" s="32"/>
      <c r="G691" s="32"/>
      <c r="H691" s="32"/>
      <c r="I691" s="32"/>
      <c r="J691" s="32"/>
      <c r="K691" s="32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</row>
    <row r="692" ht="21.0" customHeight="1">
      <c r="A692" s="31"/>
      <c r="B692" s="31"/>
      <c r="C692" s="32"/>
      <c r="D692" s="32"/>
      <c r="E692" s="32"/>
      <c r="F692" s="32"/>
      <c r="G692" s="32"/>
      <c r="H692" s="32"/>
      <c r="I692" s="32"/>
      <c r="J692" s="32"/>
      <c r="K692" s="32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</row>
    <row r="693" ht="21.0" customHeight="1">
      <c r="A693" s="31"/>
      <c r="B693" s="31"/>
      <c r="C693" s="32"/>
      <c r="D693" s="32"/>
      <c r="E693" s="32"/>
      <c r="F693" s="32"/>
      <c r="G693" s="32"/>
      <c r="H693" s="32"/>
      <c r="I693" s="32"/>
      <c r="J693" s="32"/>
      <c r="K693" s="32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</row>
    <row r="694" ht="21.0" customHeight="1">
      <c r="A694" s="31"/>
      <c r="B694" s="31"/>
      <c r="C694" s="32"/>
      <c r="D694" s="32"/>
      <c r="E694" s="32"/>
      <c r="F694" s="32"/>
      <c r="G694" s="32"/>
      <c r="H694" s="32"/>
      <c r="I694" s="32"/>
      <c r="J694" s="32"/>
      <c r="K694" s="32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</row>
    <row r="695" ht="21.0" customHeight="1">
      <c r="A695" s="31"/>
      <c r="B695" s="31"/>
      <c r="C695" s="32"/>
      <c r="D695" s="32"/>
      <c r="E695" s="32"/>
      <c r="F695" s="32"/>
      <c r="G695" s="32"/>
      <c r="H695" s="32"/>
      <c r="I695" s="32"/>
      <c r="J695" s="32"/>
      <c r="K695" s="32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</row>
    <row r="696" ht="21.0" customHeight="1">
      <c r="A696" s="31"/>
      <c r="B696" s="31"/>
      <c r="C696" s="32"/>
      <c r="D696" s="32"/>
      <c r="E696" s="32"/>
      <c r="F696" s="32"/>
      <c r="G696" s="32"/>
      <c r="H696" s="32"/>
      <c r="I696" s="32"/>
      <c r="J696" s="32"/>
      <c r="K696" s="32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</row>
    <row r="697" ht="21.0" customHeight="1">
      <c r="A697" s="31"/>
      <c r="B697" s="31"/>
      <c r="C697" s="32"/>
      <c r="D697" s="32"/>
      <c r="E697" s="32"/>
      <c r="F697" s="32"/>
      <c r="G697" s="32"/>
      <c r="H697" s="32"/>
      <c r="I697" s="32"/>
      <c r="J697" s="32"/>
      <c r="K697" s="32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</row>
    <row r="698" ht="21.0" customHeight="1">
      <c r="A698" s="31"/>
      <c r="B698" s="31"/>
      <c r="C698" s="32"/>
      <c r="D698" s="32"/>
      <c r="E698" s="32"/>
      <c r="F698" s="32"/>
      <c r="G698" s="32"/>
      <c r="H698" s="32"/>
      <c r="I698" s="32"/>
      <c r="J698" s="32"/>
      <c r="K698" s="32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</row>
    <row r="699" ht="21.0" customHeight="1">
      <c r="A699" s="31"/>
      <c r="B699" s="31"/>
      <c r="C699" s="32"/>
      <c r="D699" s="32"/>
      <c r="E699" s="32"/>
      <c r="F699" s="32"/>
      <c r="G699" s="32"/>
      <c r="H699" s="32"/>
      <c r="I699" s="32"/>
      <c r="J699" s="32"/>
      <c r="K699" s="32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</row>
    <row r="700" ht="21.0" customHeight="1">
      <c r="A700" s="31"/>
      <c r="B700" s="31"/>
      <c r="C700" s="32"/>
      <c r="D700" s="32"/>
      <c r="E700" s="32"/>
      <c r="F700" s="32"/>
      <c r="G700" s="32"/>
      <c r="H700" s="32"/>
      <c r="I700" s="32"/>
      <c r="J700" s="32"/>
      <c r="K700" s="32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</row>
    <row r="701" ht="21.0" customHeight="1">
      <c r="A701" s="31"/>
      <c r="B701" s="31"/>
      <c r="C701" s="32"/>
      <c r="D701" s="32"/>
      <c r="E701" s="32"/>
      <c r="F701" s="32"/>
      <c r="G701" s="32"/>
      <c r="H701" s="32"/>
      <c r="I701" s="32"/>
      <c r="J701" s="32"/>
      <c r="K701" s="32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</row>
    <row r="702" ht="21.0" customHeight="1">
      <c r="A702" s="31"/>
      <c r="B702" s="31"/>
      <c r="C702" s="32"/>
      <c r="D702" s="32"/>
      <c r="E702" s="32"/>
      <c r="F702" s="32"/>
      <c r="G702" s="32"/>
      <c r="H702" s="32"/>
      <c r="I702" s="32"/>
      <c r="J702" s="32"/>
      <c r="K702" s="32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</row>
    <row r="703" ht="21.0" customHeight="1">
      <c r="A703" s="31"/>
      <c r="B703" s="31"/>
      <c r="C703" s="32"/>
      <c r="D703" s="32"/>
      <c r="E703" s="32"/>
      <c r="F703" s="32"/>
      <c r="G703" s="32"/>
      <c r="H703" s="32"/>
      <c r="I703" s="32"/>
      <c r="J703" s="32"/>
      <c r="K703" s="32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</row>
    <row r="704" ht="21.0" customHeight="1">
      <c r="A704" s="31"/>
      <c r="B704" s="31"/>
      <c r="C704" s="32"/>
      <c r="D704" s="32"/>
      <c r="E704" s="32"/>
      <c r="F704" s="32"/>
      <c r="G704" s="32"/>
      <c r="H704" s="32"/>
      <c r="I704" s="32"/>
      <c r="J704" s="32"/>
      <c r="K704" s="32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</row>
    <row r="705" ht="21.0" customHeight="1">
      <c r="A705" s="31"/>
      <c r="B705" s="31"/>
      <c r="C705" s="32"/>
      <c r="D705" s="32"/>
      <c r="E705" s="32"/>
      <c r="F705" s="32"/>
      <c r="G705" s="32"/>
      <c r="H705" s="32"/>
      <c r="I705" s="32"/>
      <c r="J705" s="32"/>
      <c r="K705" s="32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</row>
    <row r="706" ht="21.0" customHeight="1">
      <c r="A706" s="31"/>
      <c r="B706" s="31"/>
      <c r="C706" s="32"/>
      <c r="D706" s="32"/>
      <c r="E706" s="32"/>
      <c r="F706" s="32"/>
      <c r="G706" s="32"/>
      <c r="H706" s="32"/>
      <c r="I706" s="32"/>
      <c r="J706" s="32"/>
      <c r="K706" s="32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</row>
    <row r="707" ht="21.0" customHeight="1">
      <c r="A707" s="31"/>
      <c r="B707" s="31"/>
      <c r="C707" s="32"/>
      <c r="D707" s="32"/>
      <c r="E707" s="32"/>
      <c r="F707" s="32"/>
      <c r="G707" s="32"/>
      <c r="H707" s="32"/>
      <c r="I707" s="32"/>
      <c r="J707" s="32"/>
      <c r="K707" s="32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</row>
    <row r="708" ht="21.0" customHeight="1">
      <c r="A708" s="31"/>
      <c r="B708" s="31"/>
      <c r="C708" s="32"/>
      <c r="D708" s="32"/>
      <c r="E708" s="32"/>
      <c r="F708" s="32"/>
      <c r="G708" s="32"/>
      <c r="H708" s="32"/>
      <c r="I708" s="32"/>
      <c r="J708" s="32"/>
      <c r="K708" s="32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</row>
    <row r="709" ht="21.0" customHeight="1">
      <c r="A709" s="31"/>
      <c r="B709" s="31"/>
      <c r="C709" s="32"/>
      <c r="D709" s="32"/>
      <c r="E709" s="32"/>
      <c r="F709" s="32"/>
      <c r="G709" s="32"/>
      <c r="H709" s="32"/>
      <c r="I709" s="32"/>
      <c r="J709" s="32"/>
      <c r="K709" s="32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</row>
    <row r="710" ht="21.0" customHeight="1">
      <c r="A710" s="31"/>
      <c r="B710" s="31"/>
      <c r="C710" s="32"/>
      <c r="D710" s="32"/>
      <c r="E710" s="32"/>
      <c r="F710" s="32"/>
      <c r="G710" s="32"/>
      <c r="H710" s="32"/>
      <c r="I710" s="32"/>
      <c r="J710" s="32"/>
      <c r="K710" s="32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</row>
    <row r="711" ht="21.0" customHeight="1">
      <c r="A711" s="31"/>
      <c r="B711" s="31"/>
      <c r="C711" s="32"/>
      <c r="D711" s="32"/>
      <c r="E711" s="32"/>
      <c r="F711" s="32"/>
      <c r="G711" s="32"/>
      <c r="H711" s="32"/>
      <c r="I711" s="32"/>
      <c r="J711" s="32"/>
      <c r="K711" s="32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</row>
    <row r="712" ht="21.0" customHeight="1">
      <c r="A712" s="31"/>
      <c r="B712" s="31"/>
      <c r="C712" s="32"/>
      <c r="D712" s="32"/>
      <c r="E712" s="32"/>
      <c r="F712" s="32"/>
      <c r="G712" s="32"/>
      <c r="H712" s="32"/>
      <c r="I712" s="32"/>
      <c r="J712" s="32"/>
      <c r="K712" s="32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</row>
    <row r="713" ht="21.0" customHeight="1">
      <c r="A713" s="31"/>
      <c r="B713" s="31"/>
      <c r="C713" s="32"/>
      <c r="D713" s="32"/>
      <c r="E713" s="32"/>
      <c r="F713" s="32"/>
      <c r="G713" s="32"/>
      <c r="H713" s="32"/>
      <c r="I713" s="32"/>
      <c r="J713" s="32"/>
      <c r="K713" s="32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</row>
    <row r="714" ht="21.0" customHeight="1">
      <c r="A714" s="31"/>
      <c r="B714" s="31"/>
      <c r="C714" s="32"/>
      <c r="D714" s="32"/>
      <c r="E714" s="32"/>
      <c r="F714" s="32"/>
      <c r="G714" s="32"/>
      <c r="H714" s="32"/>
      <c r="I714" s="32"/>
      <c r="J714" s="32"/>
      <c r="K714" s="32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</row>
    <row r="715" ht="21.0" customHeight="1">
      <c r="A715" s="31"/>
      <c r="B715" s="31"/>
      <c r="C715" s="32"/>
      <c r="D715" s="32"/>
      <c r="E715" s="32"/>
      <c r="F715" s="32"/>
      <c r="G715" s="32"/>
      <c r="H715" s="32"/>
      <c r="I715" s="32"/>
      <c r="J715" s="32"/>
      <c r="K715" s="32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</row>
    <row r="716" ht="21.0" customHeight="1">
      <c r="A716" s="31"/>
      <c r="B716" s="31"/>
      <c r="C716" s="32"/>
      <c r="D716" s="32"/>
      <c r="E716" s="32"/>
      <c r="F716" s="32"/>
      <c r="G716" s="32"/>
      <c r="H716" s="32"/>
      <c r="I716" s="32"/>
      <c r="J716" s="32"/>
      <c r="K716" s="32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</row>
    <row r="717" ht="21.0" customHeight="1">
      <c r="A717" s="31"/>
      <c r="B717" s="31"/>
      <c r="C717" s="32"/>
      <c r="D717" s="32"/>
      <c r="E717" s="32"/>
      <c r="F717" s="32"/>
      <c r="G717" s="32"/>
      <c r="H717" s="32"/>
      <c r="I717" s="32"/>
      <c r="J717" s="32"/>
      <c r="K717" s="32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</row>
    <row r="718" ht="21.0" customHeight="1">
      <c r="A718" s="31"/>
      <c r="B718" s="31"/>
      <c r="C718" s="32"/>
      <c r="D718" s="32"/>
      <c r="E718" s="32"/>
      <c r="F718" s="32"/>
      <c r="G718" s="32"/>
      <c r="H718" s="32"/>
      <c r="I718" s="32"/>
      <c r="J718" s="32"/>
      <c r="K718" s="32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</row>
    <row r="719" ht="21.0" customHeight="1">
      <c r="A719" s="31"/>
      <c r="B719" s="31"/>
      <c r="C719" s="32"/>
      <c r="D719" s="32"/>
      <c r="E719" s="32"/>
      <c r="F719" s="32"/>
      <c r="G719" s="32"/>
      <c r="H719" s="32"/>
      <c r="I719" s="32"/>
      <c r="J719" s="32"/>
      <c r="K719" s="32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</row>
    <row r="720" ht="21.0" customHeight="1">
      <c r="A720" s="31"/>
      <c r="B720" s="31"/>
      <c r="C720" s="32"/>
      <c r="D720" s="32"/>
      <c r="E720" s="32"/>
      <c r="F720" s="32"/>
      <c r="G720" s="32"/>
      <c r="H720" s="32"/>
      <c r="I720" s="32"/>
      <c r="J720" s="32"/>
      <c r="K720" s="32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</row>
    <row r="721" ht="21.0" customHeight="1">
      <c r="A721" s="31"/>
      <c r="B721" s="31"/>
      <c r="C721" s="32"/>
      <c r="D721" s="32"/>
      <c r="E721" s="32"/>
      <c r="F721" s="32"/>
      <c r="G721" s="32"/>
      <c r="H721" s="32"/>
      <c r="I721" s="32"/>
      <c r="J721" s="32"/>
      <c r="K721" s="32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</row>
    <row r="722" ht="21.0" customHeight="1">
      <c r="A722" s="31"/>
      <c r="B722" s="31"/>
      <c r="C722" s="32"/>
      <c r="D722" s="32"/>
      <c r="E722" s="32"/>
      <c r="F722" s="32"/>
      <c r="G722" s="32"/>
      <c r="H722" s="32"/>
      <c r="I722" s="32"/>
      <c r="J722" s="32"/>
      <c r="K722" s="32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</row>
    <row r="723" ht="21.0" customHeight="1">
      <c r="A723" s="31"/>
      <c r="B723" s="31"/>
      <c r="C723" s="32"/>
      <c r="D723" s="32"/>
      <c r="E723" s="32"/>
      <c r="F723" s="32"/>
      <c r="G723" s="32"/>
      <c r="H723" s="32"/>
      <c r="I723" s="32"/>
      <c r="J723" s="32"/>
      <c r="K723" s="32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</row>
    <row r="724" ht="21.0" customHeight="1">
      <c r="A724" s="31"/>
      <c r="B724" s="31"/>
      <c r="C724" s="32"/>
      <c r="D724" s="32"/>
      <c r="E724" s="32"/>
      <c r="F724" s="32"/>
      <c r="G724" s="32"/>
      <c r="H724" s="32"/>
      <c r="I724" s="32"/>
      <c r="J724" s="32"/>
      <c r="K724" s="32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</row>
    <row r="725" ht="21.0" customHeight="1">
      <c r="A725" s="31"/>
      <c r="B725" s="31"/>
      <c r="C725" s="32"/>
      <c r="D725" s="32"/>
      <c r="E725" s="32"/>
      <c r="F725" s="32"/>
      <c r="G725" s="32"/>
      <c r="H725" s="32"/>
      <c r="I725" s="32"/>
      <c r="J725" s="32"/>
      <c r="K725" s="32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</row>
    <row r="726" ht="21.0" customHeight="1">
      <c r="A726" s="31"/>
      <c r="B726" s="31"/>
      <c r="C726" s="32"/>
      <c r="D726" s="32"/>
      <c r="E726" s="32"/>
      <c r="F726" s="32"/>
      <c r="G726" s="32"/>
      <c r="H726" s="32"/>
      <c r="I726" s="32"/>
      <c r="J726" s="32"/>
      <c r="K726" s="32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</row>
    <row r="727" ht="21.0" customHeight="1">
      <c r="A727" s="31"/>
      <c r="B727" s="31"/>
      <c r="C727" s="32"/>
      <c r="D727" s="32"/>
      <c r="E727" s="32"/>
      <c r="F727" s="32"/>
      <c r="G727" s="32"/>
      <c r="H727" s="32"/>
      <c r="I727" s="32"/>
      <c r="J727" s="32"/>
      <c r="K727" s="32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</row>
    <row r="728" ht="21.0" customHeight="1">
      <c r="A728" s="31"/>
      <c r="B728" s="31"/>
      <c r="C728" s="32"/>
      <c r="D728" s="32"/>
      <c r="E728" s="32"/>
      <c r="F728" s="32"/>
      <c r="G728" s="32"/>
      <c r="H728" s="32"/>
      <c r="I728" s="32"/>
      <c r="J728" s="32"/>
      <c r="K728" s="32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</row>
    <row r="729" ht="21.0" customHeight="1">
      <c r="A729" s="31"/>
      <c r="B729" s="31"/>
      <c r="C729" s="32"/>
      <c r="D729" s="32"/>
      <c r="E729" s="32"/>
      <c r="F729" s="32"/>
      <c r="G729" s="32"/>
      <c r="H729" s="32"/>
      <c r="I729" s="32"/>
      <c r="J729" s="32"/>
      <c r="K729" s="32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</row>
    <row r="730" ht="21.0" customHeight="1">
      <c r="A730" s="31"/>
      <c r="B730" s="31"/>
      <c r="C730" s="32"/>
      <c r="D730" s="32"/>
      <c r="E730" s="32"/>
      <c r="F730" s="32"/>
      <c r="G730" s="32"/>
      <c r="H730" s="32"/>
      <c r="I730" s="32"/>
      <c r="J730" s="32"/>
      <c r="K730" s="32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</row>
    <row r="731" ht="21.0" customHeight="1">
      <c r="A731" s="31"/>
      <c r="B731" s="31"/>
      <c r="C731" s="32"/>
      <c r="D731" s="32"/>
      <c r="E731" s="32"/>
      <c r="F731" s="32"/>
      <c r="G731" s="32"/>
      <c r="H731" s="32"/>
      <c r="I731" s="32"/>
      <c r="J731" s="32"/>
      <c r="K731" s="32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</row>
    <row r="732" ht="21.0" customHeight="1">
      <c r="A732" s="31"/>
      <c r="B732" s="31"/>
      <c r="C732" s="32"/>
      <c r="D732" s="32"/>
      <c r="E732" s="32"/>
      <c r="F732" s="32"/>
      <c r="G732" s="32"/>
      <c r="H732" s="32"/>
      <c r="I732" s="32"/>
      <c r="J732" s="32"/>
      <c r="K732" s="32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</row>
    <row r="733" ht="21.0" customHeight="1">
      <c r="A733" s="31"/>
      <c r="B733" s="31"/>
      <c r="C733" s="32"/>
      <c r="D733" s="32"/>
      <c r="E733" s="32"/>
      <c r="F733" s="32"/>
      <c r="G733" s="32"/>
      <c r="H733" s="32"/>
      <c r="I733" s="32"/>
      <c r="J733" s="32"/>
      <c r="K733" s="32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</row>
    <row r="734" ht="21.0" customHeight="1">
      <c r="A734" s="31"/>
      <c r="B734" s="31"/>
      <c r="C734" s="32"/>
      <c r="D734" s="32"/>
      <c r="E734" s="32"/>
      <c r="F734" s="32"/>
      <c r="G734" s="32"/>
      <c r="H734" s="32"/>
      <c r="I734" s="32"/>
      <c r="J734" s="32"/>
      <c r="K734" s="32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</row>
    <row r="735" ht="21.0" customHeight="1">
      <c r="A735" s="31"/>
      <c r="B735" s="31"/>
      <c r="C735" s="32"/>
      <c r="D735" s="32"/>
      <c r="E735" s="32"/>
      <c r="F735" s="32"/>
      <c r="G735" s="32"/>
      <c r="H735" s="32"/>
      <c r="I735" s="32"/>
      <c r="J735" s="32"/>
      <c r="K735" s="32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</row>
    <row r="736" ht="21.0" customHeight="1">
      <c r="A736" s="31"/>
      <c r="B736" s="31"/>
      <c r="C736" s="32"/>
      <c r="D736" s="32"/>
      <c r="E736" s="32"/>
      <c r="F736" s="32"/>
      <c r="G736" s="32"/>
      <c r="H736" s="32"/>
      <c r="I736" s="32"/>
      <c r="J736" s="32"/>
      <c r="K736" s="32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</row>
    <row r="737" ht="21.0" customHeight="1">
      <c r="A737" s="31"/>
      <c r="B737" s="31"/>
      <c r="C737" s="32"/>
      <c r="D737" s="32"/>
      <c r="E737" s="32"/>
      <c r="F737" s="32"/>
      <c r="G737" s="32"/>
      <c r="H737" s="32"/>
      <c r="I737" s="32"/>
      <c r="J737" s="32"/>
      <c r="K737" s="32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</row>
    <row r="738" ht="21.0" customHeight="1">
      <c r="A738" s="31"/>
      <c r="B738" s="31"/>
      <c r="C738" s="32"/>
      <c r="D738" s="32"/>
      <c r="E738" s="32"/>
      <c r="F738" s="32"/>
      <c r="G738" s="32"/>
      <c r="H738" s="32"/>
      <c r="I738" s="32"/>
      <c r="J738" s="32"/>
      <c r="K738" s="32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</row>
    <row r="739" ht="21.0" customHeight="1">
      <c r="A739" s="31"/>
      <c r="B739" s="31"/>
      <c r="C739" s="32"/>
      <c r="D739" s="32"/>
      <c r="E739" s="32"/>
      <c r="F739" s="32"/>
      <c r="G739" s="32"/>
      <c r="H739" s="32"/>
      <c r="I739" s="32"/>
      <c r="J739" s="32"/>
      <c r="K739" s="32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</row>
    <row r="740" ht="21.0" customHeight="1">
      <c r="A740" s="31"/>
      <c r="B740" s="31"/>
      <c r="C740" s="32"/>
      <c r="D740" s="32"/>
      <c r="E740" s="32"/>
      <c r="F740" s="32"/>
      <c r="G740" s="32"/>
      <c r="H740" s="32"/>
      <c r="I740" s="32"/>
      <c r="J740" s="32"/>
      <c r="K740" s="32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</row>
    <row r="741" ht="21.0" customHeight="1">
      <c r="A741" s="31"/>
      <c r="B741" s="31"/>
      <c r="C741" s="32"/>
      <c r="D741" s="32"/>
      <c r="E741" s="32"/>
      <c r="F741" s="32"/>
      <c r="G741" s="32"/>
      <c r="H741" s="32"/>
      <c r="I741" s="32"/>
      <c r="J741" s="32"/>
      <c r="K741" s="32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</row>
    <row r="742" ht="21.0" customHeight="1">
      <c r="A742" s="31"/>
      <c r="B742" s="31"/>
      <c r="C742" s="32"/>
      <c r="D742" s="32"/>
      <c r="E742" s="32"/>
      <c r="F742" s="32"/>
      <c r="G742" s="32"/>
      <c r="H742" s="32"/>
      <c r="I742" s="32"/>
      <c r="J742" s="32"/>
      <c r="K742" s="32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</row>
    <row r="743" ht="21.0" customHeight="1">
      <c r="A743" s="31"/>
      <c r="B743" s="31"/>
      <c r="C743" s="32"/>
      <c r="D743" s="32"/>
      <c r="E743" s="32"/>
      <c r="F743" s="32"/>
      <c r="G743" s="32"/>
      <c r="H743" s="32"/>
      <c r="I743" s="32"/>
      <c r="J743" s="32"/>
      <c r="K743" s="32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</row>
    <row r="744" ht="21.0" customHeight="1">
      <c r="A744" s="31"/>
      <c r="B744" s="31"/>
      <c r="C744" s="32"/>
      <c r="D744" s="32"/>
      <c r="E744" s="32"/>
      <c r="F744" s="32"/>
      <c r="G744" s="32"/>
      <c r="H744" s="32"/>
      <c r="I744" s="32"/>
      <c r="J744" s="32"/>
      <c r="K744" s="32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</row>
    <row r="745" ht="21.0" customHeight="1">
      <c r="A745" s="31"/>
      <c r="B745" s="31"/>
      <c r="C745" s="32"/>
      <c r="D745" s="32"/>
      <c r="E745" s="32"/>
      <c r="F745" s="32"/>
      <c r="G745" s="32"/>
      <c r="H745" s="32"/>
      <c r="I745" s="32"/>
      <c r="J745" s="32"/>
      <c r="K745" s="32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</row>
    <row r="746" ht="21.0" customHeight="1">
      <c r="A746" s="31"/>
      <c r="B746" s="31"/>
      <c r="C746" s="32"/>
      <c r="D746" s="32"/>
      <c r="E746" s="32"/>
      <c r="F746" s="32"/>
      <c r="G746" s="32"/>
      <c r="H746" s="32"/>
      <c r="I746" s="32"/>
      <c r="J746" s="32"/>
      <c r="K746" s="32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</row>
    <row r="747" ht="21.0" customHeight="1">
      <c r="A747" s="31"/>
      <c r="B747" s="31"/>
      <c r="C747" s="32"/>
      <c r="D747" s="32"/>
      <c r="E747" s="32"/>
      <c r="F747" s="32"/>
      <c r="G747" s="32"/>
      <c r="H747" s="32"/>
      <c r="I747" s="32"/>
      <c r="J747" s="32"/>
      <c r="K747" s="32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</row>
    <row r="748" ht="21.0" customHeight="1">
      <c r="A748" s="31"/>
      <c r="B748" s="31"/>
      <c r="C748" s="32"/>
      <c r="D748" s="32"/>
      <c r="E748" s="32"/>
      <c r="F748" s="32"/>
      <c r="G748" s="32"/>
      <c r="H748" s="32"/>
      <c r="I748" s="32"/>
      <c r="J748" s="32"/>
      <c r="K748" s="32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</row>
    <row r="749" ht="21.0" customHeight="1">
      <c r="A749" s="31"/>
      <c r="B749" s="31"/>
      <c r="C749" s="32"/>
      <c r="D749" s="32"/>
      <c r="E749" s="32"/>
      <c r="F749" s="32"/>
      <c r="G749" s="32"/>
      <c r="H749" s="32"/>
      <c r="I749" s="32"/>
      <c r="J749" s="32"/>
      <c r="K749" s="32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</row>
    <row r="750" ht="21.0" customHeight="1">
      <c r="A750" s="31"/>
      <c r="B750" s="31"/>
      <c r="C750" s="32"/>
      <c r="D750" s="32"/>
      <c r="E750" s="32"/>
      <c r="F750" s="32"/>
      <c r="G750" s="32"/>
      <c r="H750" s="32"/>
      <c r="I750" s="32"/>
      <c r="J750" s="32"/>
      <c r="K750" s="32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</row>
    <row r="751" ht="21.0" customHeight="1">
      <c r="A751" s="31"/>
      <c r="B751" s="31"/>
      <c r="C751" s="32"/>
      <c r="D751" s="32"/>
      <c r="E751" s="32"/>
      <c r="F751" s="32"/>
      <c r="G751" s="32"/>
      <c r="H751" s="32"/>
      <c r="I751" s="32"/>
      <c r="J751" s="32"/>
      <c r="K751" s="32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</row>
    <row r="752" ht="21.0" customHeight="1">
      <c r="A752" s="31"/>
      <c r="B752" s="31"/>
      <c r="C752" s="32"/>
      <c r="D752" s="32"/>
      <c r="E752" s="32"/>
      <c r="F752" s="32"/>
      <c r="G752" s="32"/>
      <c r="H752" s="32"/>
      <c r="I752" s="32"/>
      <c r="J752" s="32"/>
      <c r="K752" s="32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</row>
    <row r="753" ht="21.0" customHeight="1">
      <c r="A753" s="31"/>
      <c r="B753" s="31"/>
      <c r="C753" s="32"/>
      <c r="D753" s="32"/>
      <c r="E753" s="32"/>
      <c r="F753" s="32"/>
      <c r="G753" s="32"/>
      <c r="H753" s="32"/>
      <c r="I753" s="32"/>
      <c r="J753" s="32"/>
      <c r="K753" s="32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</row>
    <row r="754" ht="21.0" customHeight="1">
      <c r="A754" s="31"/>
      <c r="B754" s="31"/>
      <c r="C754" s="32"/>
      <c r="D754" s="32"/>
      <c r="E754" s="32"/>
      <c r="F754" s="32"/>
      <c r="G754" s="32"/>
      <c r="H754" s="32"/>
      <c r="I754" s="32"/>
      <c r="J754" s="32"/>
      <c r="K754" s="32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</row>
    <row r="755" ht="21.0" customHeight="1">
      <c r="A755" s="31"/>
      <c r="B755" s="31"/>
      <c r="C755" s="32"/>
      <c r="D755" s="32"/>
      <c r="E755" s="32"/>
      <c r="F755" s="32"/>
      <c r="G755" s="32"/>
      <c r="H755" s="32"/>
      <c r="I755" s="32"/>
      <c r="J755" s="32"/>
      <c r="K755" s="32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</row>
    <row r="756" ht="21.0" customHeight="1">
      <c r="A756" s="31"/>
      <c r="B756" s="31"/>
      <c r="C756" s="32"/>
      <c r="D756" s="32"/>
      <c r="E756" s="32"/>
      <c r="F756" s="32"/>
      <c r="G756" s="32"/>
      <c r="H756" s="32"/>
      <c r="I756" s="32"/>
      <c r="J756" s="32"/>
      <c r="K756" s="32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</row>
    <row r="757" ht="21.0" customHeight="1">
      <c r="A757" s="31"/>
      <c r="B757" s="31"/>
      <c r="C757" s="32"/>
      <c r="D757" s="32"/>
      <c r="E757" s="32"/>
      <c r="F757" s="32"/>
      <c r="G757" s="32"/>
      <c r="H757" s="32"/>
      <c r="I757" s="32"/>
      <c r="J757" s="32"/>
      <c r="K757" s="32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</row>
    <row r="758" ht="21.0" customHeight="1">
      <c r="A758" s="31"/>
      <c r="B758" s="31"/>
      <c r="C758" s="32"/>
      <c r="D758" s="32"/>
      <c r="E758" s="32"/>
      <c r="F758" s="32"/>
      <c r="G758" s="32"/>
      <c r="H758" s="32"/>
      <c r="I758" s="32"/>
      <c r="J758" s="32"/>
      <c r="K758" s="32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</row>
    <row r="759" ht="21.0" customHeight="1">
      <c r="A759" s="31"/>
      <c r="B759" s="31"/>
      <c r="C759" s="32"/>
      <c r="D759" s="32"/>
      <c r="E759" s="32"/>
      <c r="F759" s="32"/>
      <c r="G759" s="32"/>
      <c r="H759" s="32"/>
      <c r="I759" s="32"/>
      <c r="J759" s="32"/>
      <c r="K759" s="32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</row>
    <row r="760" ht="21.0" customHeight="1">
      <c r="A760" s="31"/>
      <c r="B760" s="31"/>
      <c r="C760" s="32"/>
      <c r="D760" s="32"/>
      <c r="E760" s="32"/>
      <c r="F760" s="32"/>
      <c r="G760" s="32"/>
      <c r="H760" s="32"/>
      <c r="I760" s="32"/>
      <c r="J760" s="32"/>
      <c r="K760" s="32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</row>
    <row r="761" ht="21.0" customHeight="1">
      <c r="A761" s="31"/>
      <c r="B761" s="31"/>
      <c r="C761" s="32"/>
      <c r="D761" s="32"/>
      <c r="E761" s="32"/>
      <c r="F761" s="32"/>
      <c r="G761" s="32"/>
      <c r="H761" s="32"/>
      <c r="I761" s="32"/>
      <c r="J761" s="32"/>
      <c r="K761" s="32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</row>
    <row r="762" ht="21.0" customHeight="1">
      <c r="A762" s="31"/>
      <c r="B762" s="31"/>
      <c r="C762" s="32"/>
      <c r="D762" s="32"/>
      <c r="E762" s="32"/>
      <c r="F762" s="32"/>
      <c r="G762" s="32"/>
      <c r="H762" s="32"/>
      <c r="I762" s="32"/>
      <c r="J762" s="32"/>
      <c r="K762" s="32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</row>
    <row r="763" ht="21.0" customHeight="1">
      <c r="A763" s="31"/>
      <c r="B763" s="31"/>
      <c r="C763" s="32"/>
      <c r="D763" s="32"/>
      <c r="E763" s="32"/>
      <c r="F763" s="32"/>
      <c r="G763" s="32"/>
      <c r="H763" s="32"/>
      <c r="I763" s="32"/>
      <c r="J763" s="32"/>
      <c r="K763" s="32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</row>
    <row r="764" ht="21.0" customHeight="1">
      <c r="A764" s="31"/>
      <c r="B764" s="31"/>
      <c r="C764" s="32"/>
      <c r="D764" s="32"/>
      <c r="E764" s="32"/>
      <c r="F764" s="32"/>
      <c r="G764" s="32"/>
      <c r="H764" s="32"/>
      <c r="I764" s="32"/>
      <c r="J764" s="32"/>
      <c r="K764" s="32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</row>
    <row r="765" ht="21.0" customHeight="1">
      <c r="A765" s="31"/>
      <c r="B765" s="31"/>
      <c r="C765" s="32"/>
      <c r="D765" s="32"/>
      <c r="E765" s="32"/>
      <c r="F765" s="32"/>
      <c r="G765" s="32"/>
      <c r="H765" s="32"/>
      <c r="I765" s="32"/>
      <c r="J765" s="32"/>
      <c r="K765" s="32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</row>
    <row r="766" ht="21.0" customHeight="1">
      <c r="A766" s="31"/>
      <c r="B766" s="31"/>
      <c r="C766" s="32"/>
      <c r="D766" s="32"/>
      <c r="E766" s="32"/>
      <c r="F766" s="32"/>
      <c r="G766" s="32"/>
      <c r="H766" s="32"/>
      <c r="I766" s="32"/>
      <c r="J766" s="32"/>
      <c r="K766" s="32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</row>
    <row r="767" ht="21.0" customHeight="1">
      <c r="A767" s="31"/>
      <c r="B767" s="31"/>
      <c r="C767" s="32"/>
      <c r="D767" s="32"/>
      <c r="E767" s="32"/>
      <c r="F767" s="32"/>
      <c r="G767" s="32"/>
      <c r="H767" s="32"/>
      <c r="I767" s="32"/>
      <c r="J767" s="32"/>
      <c r="K767" s="32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</row>
    <row r="768" ht="21.0" customHeight="1">
      <c r="A768" s="31"/>
      <c r="B768" s="31"/>
      <c r="C768" s="32"/>
      <c r="D768" s="32"/>
      <c r="E768" s="32"/>
      <c r="F768" s="32"/>
      <c r="G768" s="32"/>
      <c r="H768" s="32"/>
      <c r="I768" s="32"/>
      <c r="J768" s="32"/>
      <c r="K768" s="32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</row>
    <row r="769" ht="21.0" customHeight="1">
      <c r="A769" s="31"/>
      <c r="B769" s="31"/>
      <c r="C769" s="32"/>
      <c r="D769" s="32"/>
      <c r="E769" s="32"/>
      <c r="F769" s="32"/>
      <c r="G769" s="32"/>
      <c r="H769" s="32"/>
      <c r="I769" s="32"/>
      <c r="J769" s="32"/>
      <c r="K769" s="32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</row>
    <row r="770" ht="21.0" customHeight="1">
      <c r="A770" s="31"/>
      <c r="B770" s="31"/>
      <c r="C770" s="32"/>
      <c r="D770" s="32"/>
      <c r="E770" s="32"/>
      <c r="F770" s="32"/>
      <c r="G770" s="32"/>
      <c r="H770" s="32"/>
      <c r="I770" s="32"/>
      <c r="J770" s="32"/>
      <c r="K770" s="32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</row>
    <row r="771" ht="21.0" customHeight="1">
      <c r="A771" s="31"/>
      <c r="B771" s="31"/>
      <c r="C771" s="32"/>
      <c r="D771" s="32"/>
      <c r="E771" s="32"/>
      <c r="F771" s="32"/>
      <c r="G771" s="32"/>
      <c r="H771" s="32"/>
      <c r="I771" s="32"/>
      <c r="J771" s="32"/>
      <c r="K771" s="32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</row>
    <row r="772" ht="21.0" customHeight="1">
      <c r="A772" s="31"/>
      <c r="B772" s="31"/>
      <c r="C772" s="32"/>
      <c r="D772" s="32"/>
      <c r="E772" s="32"/>
      <c r="F772" s="32"/>
      <c r="G772" s="32"/>
      <c r="H772" s="32"/>
      <c r="I772" s="32"/>
      <c r="J772" s="32"/>
      <c r="K772" s="32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</row>
    <row r="773" ht="21.0" customHeight="1">
      <c r="A773" s="31"/>
      <c r="B773" s="31"/>
      <c r="C773" s="32"/>
      <c r="D773" s="32"/>
      <c r="E773" s="32"/>
      <c r="F773" s="32"/>
      <c r="G773" s="32"/>
      <c r="H773" s="32"/>
      <c r="I773" s="32"/>
      <c r="J773" s="32"/>
      <c r="K773" s="32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</row>
    <row r="774" ht="21.0" customHeight="1">
      <c r="A774" s="31"/>
      <c r="B774" s="31"/>
      <c r="C774" s="32"/>
      <c r="D774" s="32"/>
      <c r="E774" s="32"/>
      <c r="F774" s="32"/>
      <c r="G774" s="32"/>
      <c r="H774" s="32"/>
      <c r="I774" s="32"/>
      <c r="J774" s="32"/>
      <c r="K774" s="32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</row>
    <row r="775" ht="21.0" customHeight="1">
      <c r="A775" s="31"/>
      <c r="B775" s="31"/>
      <c r="C775" s="32"/>
      <c r="D775" s="32"/>
      <c r="E775" s="32"/>
      <c r="F775" s="32"/>
      <c r="G775" s="32"/>
      <c r="H775" s="32"/>
      <c r="I775" s="32"/>
      <c r="J775" s="32"/>
      <c r="K775" s="32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</row>
    <row r="776" ht="21.0" customHeight="1">
      <c r="A776" s="31"/>
      <c r="B776" s="31"/>
      <c r="C776" s="32"/>
      <c r="D776" s="32"/>
      <c r="E776" s="32"/>
      <c r="F776" s="32"/>
      <c r="G776" s="32"/>
      <c r="H776" s="32"/>
      <c r="I776" s="32"/>
      <c r="J776" s="32"/>
      <c r="K776" s="32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</row>
    <row r="777" ht="21.0" customHeight="1">
      <c r="A777" s="31"/>
      <c r="B777" s="31"/>
      <c r="C777" s="32"/>
      <c r="D777" s="32"/>
      <c r="E777" s="32"/>
      <c r="F777" s="32"/>
      <c r="G777" s="32"/>
      <c r="H777" s="32"/>
      <c r="I777" s="32"/>
      <c r="J777" s="32"/>
      <c r="K777" s="32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</row>
    <row r="778" ht="21.0" customHeight="1">
      <c r="A778" s="31"/>
      <c r="B778" s="31"/>
      <c r="C778" s="32"/>
      <c r="D778" s="32"/>
      <c r="E778" s="32"/>
      <c r="F778" s="32"/>
      <c r="G778" s="32"/>
      <c r="H778" s="32"/>
      <c r="I778" s="32"/>
      <c r="J778" s="32"/>
      <c r="K778" s="32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</row>
    <row r="779" ht="21.0" customHeight="1">
      <c r="A779" s="31"/>
      <c r="B779" s="31"/>
      <c r="C779" s="32"/>
      <c r="D779" s="32"/>
      <c r="E779" s="32"/>
      <c r="F779" s="32"/>
      <c r="G779" s="32"/>
      <c r="H779" s="32"/>
      <c r="I779" s="32"/>
      <c r="J779" s="32"/>
      <c r="K779" s="32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</row>
    <row r="780" ht="21.0" customHeight="1">
      <c r="A780" s="31"/>
      <c r="B780" s="31"/>
      <c r="C780" s="32"/>
      <c r="D780" s="32"/>
      <c r="E780" s="32"/>
      <c r="F780" s="32"/>
      <c r="G780" s="32"/>
      <c r="H780" s="32"/>
      <c r="I780" s="32"/>
      <c r="J780" s="32"/>
      <c r="K780" s="32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</row>
    <row r="781" ht="21.0" customHeight="1">
      <c r="A781" s="31"/>
      <c r="B781" s="31"/>
      <c r="C781" s="32"/>
      <c r="D781" s="32"/>
      <c r="E781" s="32"/>
      <c r="F781" s="32"/>
      <c r="G781" s="32"/>
      <c r="H781" s="32"/>
      <c r="I781" s="32"/>
      <c r="J781" s="32"/>
      <c r="K781" s="32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</row>
    <row r="782" ht="21.0" customHeight="1">
      <c r="A782" s="31"/>
      <c r="B782" s="31"/>
      <c r="C782" s="32"/>
      <c r="D782" s="32"/>
      <c r="E782" s="32"/>
      <c r="F782" s="32"/>
      <c r="G782" s="32"/>
      <c r="H782" s="32"/>
      <c r="I782" s="32"/>
      <c r="J782" s="32"/>
      <c r="K782" s="32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</row>
    <row r="783" ht="21.0" customHeight="1">
      <c r="A783" s="31"/>
      <c r="B783" s="31"/>
      <c r="C783" s="32"/>
      <c r="D783" s="32"/>
      <c r="E783" s="32"/>
      <c r="F783" s="32"/>
      <c r="G783" s="32"/>
      <c r="H783" s="32"/>
      <c r="I783" s="32"/>
      <c r="J783" s="32"/>
      <c r="K783" s="32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</row>
    <row r="784" ht="21.0" customHeight="1">
      <c r="A784" s="31"/>
      <c r="B784" s="31"/>
      <c r="C784" s="32"/>
      <c r="D784" s="32"/>
      <c r="E784" s="32"/>
      <c r="F784" s="32"/>
      <c r="G784" s="32"/>
      <c r="H784" s="32"/>
      <c r="I784" s="32"/>
      <c r="J784" s="32"/>
      <c r="K784" s="32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</row>
    <row r="785" ht="21.0" customHeight="1">
      <c r="A785" s="31"/>
      <c r="B785" s="31"/>
      <c r="C785" s="32"/>
      <c r="D785" s="32"/>
      <c r="E785" s="32"/>
      <c r="F785" s="32"/>
      <c r="G785" s="32"/>
      <c r="H785" s="32"/>
      <c r="I785" s="32"/>
      <c r="J785" s="32"/>
      <c r="K785" s="32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</row>
    <row r="786" ht="21.0" customHeight="1">
      <c r="A786" s="31"/>
      <c r="B786" s="31"/>
      <c r="C786" s="32"/>
      <c r="D786" s="32"/>
      <c r="E786" s="32"/>
      <c r="F786" s="32"/>
      <c r="G786" s="32"/>
      <c r="H786" s="32"/>
      <c r="I786" s="32"/>
      <c r="J786" s="32"/>
      <c r="K786" s="32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</row>
    <row r="787" ht="21.0" customHeight="1">
      <c r="A787" s="31"/>
      <c r="B787" s="31"/>
      <c r="C787" s="32"/>
      <c r="D787" s="32"/>
      <c r="E787" s="32"/>
      <c r="F787" s="32"/>
      <c r="G787" s="32"/>
      <c r="H787" s="32"/>
      <c r="I787" s="32"/>
      <c r="J787" s="32"/>
      <c r="K787" s="32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</row>
    <row r="788" ht="21.0" customHeight="1">
      <c r="A788" s="31"/>
      <c r="B788" s="31"/>
      <c r="C788" s="32"/>
      <c r="D788" s="32"/>
      <c r="E788" s="32"/>
      <c r="F788" s="32"/>
      <c r="G788" s="32"/>
      <c r="H788" s="32"/>
      <c r="I788" s="32"/>
      <c r="J788" s="32"/>
      <c r="K788" s="32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</row>
    <row r="789" ht="21.0" customHeight="1">
      <c r="A789" s="31"/>
      <c r="B789" s="31"/>
      <c r="C789" s="32"/>
      <c r="D789" s="32"/>
      <c r="E789" s="32"/>
      <c r="F789" s="32"/>
      <c r="G789" s="32"/>
      <c r="H789" s="32"/>
      <c r="I789" s="32"/>
      <c r="J789" s="32"/>
      <c r="K789" s="32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</row>
    <row r="790" ht="21.0" customHeight="1">
      <c r="A790" s="31"/>
      <c r="B790" s="31"/>
      <c r="C790" s="32"/>
      <c r="D790" s="32"/>
      <c r="E790" s="32"/>
      <c r="F790" s="32"/>
      <c r="G790" s="32"/>
      <c r="H790" s="32"/>
      <c r="I790" s="32"/>
      <c r="J790" s="32"/>
      <c r="K790" s="32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</row>
    <row r="791" ht="21.0" customHeight="1">
      <c r="A791" s="31"/>
      <c r="B791" s="31"/>
      <c r="C791" s="32"/>
      <c r="D791" s="32"/>
      <c r="E791" s="32"/>
      <c r="F791" s="32"/>
      <c r="G791" s="32"/>
      <c r="H791" s="32"/>
      <c r="I791" s="32"/>
      <c r="J791" s="32"/>
      <c r="K791" s="32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</row>
    <row r="792" ht="21.0" customHeight="1">
      <c r="A792" s="31"/>
      <c r="B792" s="31"/>
      <c r="C792" s="32"/>
      <c r="D792" s="32"/>
      <c r="E792" s="32"/>
      <c r="F792" s="32"/>
      <c r="G792" s="32"/>
      <c r="H792" s="32"/>
      <c r="I792" s="32"/>
      <c r="J792" s="32"/>
      <c r="K792" s="32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</row>
    <row r="793" ht="21.0" customHeight="1">
      <c r="A793" s="31"/>
      <c r="B793" s="31"/>
      <c r="C793" s="32"/>
      <c r="D793" s="32"/>
      <c r="E793" s="32"/>
      <c r="F793" s="32"/>
      <c r="G793" s="32"/>
      <c r="H793" s="32"/>
      <c r="I793" s="32"/>
      <c r="J793" s="32"/>
      <c r="K793" s="32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</row>
    <row r="794" ht="21.0" customHeight="1">
      <c r="A794" s="31"/>
      <c r="B794" s="31"/>
      <c r="C794" s="32"/>
      <c r="D794" s="32"/>
      <c r="E794" s="32"/>
      <c r="F794" s="32"/>
      <c r="G794" s="32"/>
      <c r="H794" s="32"/>
      <c r="I794" s="32"/>
      <c r="J794" s="32"/>
      <c r="K794" s="32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</row>
    <row r="795" ht="21.0" customHeight="1">
      <c r="A795" s="31"/>
      <c r="B795" s="31"/>
      <c r="C795" s="32"/>
      <c r="D795" s="32"/>
      <c r="E795" s="32"/>
      <c r="F795" s="32"/>
      <c r="G795" s="32"/>
      <c r="H795" s="32"/>
      <c r="I795" s="32"/>
      <c r="J795" s="32"/>
      <c r="K795" s="32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</row>
    <row r="796" ht="21.0" customHeight="1">
      <c r="A796" s="31"/>
      <c r="B796" s="31"/>
      <c r="C796" s="32"/>
      <c r="D796" s="32"/>
      <c r="E796" s="32"/>
      <c r="F796" s="32"/>
      <c r="G796" s="32"/>
      <c r="H796" s="32"/>
      <c r="I796" s="32"/>
      <c r="J796" s="32"/>
      <c r="K796" s="32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</row>
    <row r="797" ht="21.0" customHeight="1">
      <c r="A797" s="31"/>
      <c r="B797" s="31"/>
      <c r="C797" s="32"/>
      <c r="D797" s="32"/>
      <c r="E797" s="32"/>
      <c r="F797" s="32"/>
      <c r="G797" s="32"/>
      <c r="H797" s="32"/>
      <c r="I797" s="32"/>
      <c r="J797" s="32"/>
      <c r="K797" s="32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</row>
    <row r="798" ht="21.0" customHeight="1">
      <c r="A798" s="31"/>
      <c r="B798" s="31"/>
      <c r="C798" s="32"/>
      <c r="D798" s="32"/>
      <c r="E798" s="32"/>
      <c r="F798" s="32"/>
      <c r="G798" s="32"/>
      <c r="H798" s="32"/>
      <c r="I798" s="32"/>
      <c r="J798" s="32"/>
      <c r="K798" s="32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</row>
    <row r="799" ht="21.0" customHeight="1">
      <c r="A799" s="31"/>
      <c r="B799" s="31"/>
      <c r="C799" s="32"/>
      <c r="D799" s="32"/>
      <c r="E799" s="32"/>
      <c r="F799" s="32"/>
      <c r="G799" s="32"/>
      <c r="H799" s="32"/>
      <c r="I799" s="32"/>
      <c r="J799" s="32"/>
      <c r="K799" s="32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</row>
    <row r="800" ht="21.0" customHeight="1">
      <c r="A800" s="31"/>
      <c r="B800" s="31"/>
      <c r="C800" s="32"/>
      <c r="D800" s="32"/>
      <c r="E800" s="32"/>
      <c r="F800" s="32"/>
      <c r="G800" s="32"/>
      <c r="H800" s="32"/>
      <c r="I800" s="32"/>
      <c r="J800" s="32"/>
      <c r="K800" s="32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</row>
    <row r="801" ht="21.0" customHeight="1">
      <c r="A801" s="31"/>
      <c r="B801" s="31"/>
      <c r="C801" s="32"/>
      <c r="D801" s="32"/>
      <c r="E801" s="32"/>
      <c r="F801" s="32"/>
      <c r="G801" s="32"/>
      <c r="H801" s="32"/>
      <c r="I801" s="32"/>
      <c r="J801" s="32"/>
      <c r="K801" s="32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</row>
    <row r="802" ht="21.0" customHeight="1">
      <c r="A802" s="31"/>
      <c r="B802" s="31"/>
      <c r="C802" s="32"/>
      <c r="D802" s="32"/>
      <c r="E802" s="32"/>
      <c r="F802" s="32"/>
      <c r="G802" s="32"/>
      <c r="H802" s="32"/>
      <c r="I802" s="32"/>
      <c r="J802" s="32"/>
      <c r="K802" s="32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</row>
    <row r="803" ht="21.0" customHeight="1">
      <c r="A803" s="31"/>
      <c r="B803" s="31"/>
      <c r="C803" s="32"/>
      <c r="D803" s="32"/>
      <c r="E803" s="32"/>
      <c r="F803" s="32"/>
      <c r="G803" s="32"/>
      <c r="H803" s="32"/>
      <c r="I803" s="32"/>
      <c r="J803" s="32"/>
      <c r="K803" s="32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</row>
    <row r="804" ht="21.0" customHeight="1">
      <c r="A804" s="31"/>
      <c r="B804" s="31"/>
      <c r="C804" s="32"/>
      <c r="D804" s="32"/>
      <c r="E804" s="32"/>
      <c r="F804" s="32"/>
      <c r="G804" s="32"/>
      <c r="H804" s="32"/>
      <c r="I804" s="32"/>
      <c r="J804" s="32"/>
      <c r="K804" s="32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</row>
    <row r="805" ht="21.0" customHeight="1">
      <c r="A805" s="31"/>
      <c r="B805" s="31"/>
      <c r="C805" s="32"/>
      <c r="D805" s="32"/>
      <c r="E805" s="32"/>
      <c r="F805" s="32"/>
      <c r="G805" s="32"/>
      <c r="H805" s="32"/>
      <c r="I805" s="32"/>
      <c r="J805" s="32"/>
      <c r="K805" s="32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</row>
    <row r="806" ht="21.0" customHeight="1">
      <c r="A806" s="31"/>
      <c r="B806" s="31"/>
      <c r="C806" s="32"/>
      <c r="D806" s="32"/>
      <c r="E806" s="32"/>
      <c r="F806" s="32"/>
      <c r="G806" s="32"/>
      <c r="H806" s="32"/>
      <c r="I806" s="32"/>
      <c r="J806" s="32"/>
      <c r="K806" s="32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</row>
    <row r="807" ht="21.0" customHeight="1">
      <c r="A807" s="31"/>
      <c r="B807" s="31"/>
      <c r="C807" s="32"/>
      <c r="D807" s="32"/>
      <c r="E807" s="32"/>
      <c r="F807" s="32"/>
      <c r="G807" s="32"/>
      <c r="H807" s="32"/>
      <c r="I807" s="32"/>
      <c r="J807" s="32"/>
      <c r="K807" s="32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</row>
    <row r="808" ht="21.0" customHeight="1">
      <c r="A808" s="31"/>
      <c r="B808" s="31"/>
      <c r="C808" s="32"/>
      <c r="D808" s="32"/>
      <c r="E808" s="32"/>
      <c r="F808" s="32"/>
      <c r="G808" s="32"/>
      <c r="H808" s="32"/>
      <c r="I808" s="32"/>
      <c r="J808" s="32"/>
      <c r="K808" s="32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</row>
    <row r="809" ht="21.0" customHeight="1">
      <c r="A809" s="31"/>
      <c r="B809" s="31"/>
      <c r="C809" s="32"/>
      <c r="D809" s="32"/>
      <c r="E809" s="32"/>
      <c r="F809" s="32"/>
      <c r="G809" s="32"/>
      <c r="H809" s="32"/>
      <c r="I809" s="32"/>
      <c r="J809" s="32"/>
      <c r="K809" s="32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</row>
    <row r="810" ht="21.0" customHeight="1">
      <c r="A810" s="31"/>
      <c r="B810" s="31"/>
      <c r="C810" s="32"/>
      <c r="D810" s="32"/>
      <c r="E810" s="32"/>
      <c r="F810" s="32"/>
      <c r="G810" s="32"/>
      <c r="H810" s="32"/>
      <c r="I810" s="32"/>
      <c r="J810" s="32"/>
      <c r="K810" s="32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</row>
    <row r="811" ht="21.0" customHeight="1">
      <c r="A811" s="31"/>
      <c r="B811" s="31"/>
      <c r="C811" s="32"/>
      <c r="D811" s="32"/>
      <c r="E811" s="32"/>
      <c r="F811" s="32"/>
      <c r="G811" s="32"/>
      <c r="H811" s="32"/>
      <c r="I811" s="32"/>
      <c r="J811" s="32"/>
      <c r="K811" s="32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</row>
    <row r="812" ht="21.0" customHeight="1">
      <c r="A812" s="31"/>
      <c r="B812" s="31"/>
      <c r="C812" s="32"/>
      <c r="D812" s="32"/>
      <c r="E812" s="32"/>
      <c r="F812" s="32"/>
      <c r="G812" s="32"/>
      <c r="H812" s="32"/>
      <c r="I812" s="32"/>
      <c r="J812" s="32"/>
      <c r="K812" s="32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</row>
    <row r="813" ht="21.0" customHeight="1">
      <c r="A813" s="31"/>
      <c r="B813" s="31"/>
      <c r="C813" s="32"/>
      <c r="D813" s="32"/>
      <c r="E813" s="32"/>
      <c r="F813" s="32"/>
      <c r="G813" s="32"/>
      <c r="H813" s="32"/>
      <c r="I813" s="32"/>
      <c r="J813" s="32"/>
      <c r="K813" s="32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</row>
    <row r="814" ht="21.0" customHeight="1">
      <c r="A814" s="31"/>
      <c r="B814" s="31"/>
      <c r="C814" s="32"/>
      <c r="D814" s="32"/>
      <c r="E814" s="32"/>
      <c r="F814" s="32"/>
      <c r="G814" s="32"/>
      <c r="H814" s="32"/>
      <c r="I814" s="32"/>
      <c r="J814" s="32"/>
      <c r="K814" s="32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</row>
    <row r="815" ht="21.0" customHeight="1">
      <c r="A815" s="31"/>
      <c r="B815" s="31"/>
      <c r="C815" s="32"/>
      <c r="D815" s="32"/>
      <c r="E815" s="32"/>
      <c r="F815" s="32"/>
      <c r="G815" s="32"/>
      <c r="H815" s="32"/>
      <c r="I815" s="32"/>
      <c r="J815" s="32"/>
      <c r="K815" s="32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</row>
    <row r="816" ht="21.0" customHeight="1">
      <c r="A816" s="31"/>
      <c r="B816" s="31"/>
      <c r="C816" s="32"/>
      <c r="D816" s="32"/>
      <c r="E816" s="32"/>
      <c r="F816" s="32"/>
      <c r="G816" s="32"/>
      <c r="H816" s="32"/>
      <c r="I816" s="32"/>
      <c r="J816" s="32"/>
      <c r="K816" s="32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</row>
    <row r="817" ht="21.0" customHeight="1">
      <c r="A817" s="31"/>
      <c r="B817" s="31"/>
      <c r="C817" s="32"/>
      <c r="D817" s="32"/>
      <c r="E817" s="32"/>
      <c r="F817" s="32"/>
      <c r="G817" s="32"/>
      <c r="H817" s="32"/>
      <c r="I817" s="32"/>
      <c r="J817" s="32"/>
      <c r="K817" s="32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</row>
    <row r="818" ht="21.0" customHeight="1">
      <c r="A818" s="31"/>
      <c r="B818" s="31"/>
      <c r="C818" s="32"/>
      <c r="D818" s="32"/>
      <c r="E818" s="32"/>
      <c r="F818" s="32"/>
      <c r="G818" s="32"/>
      <c r="H818" s="32"/>
      <c r="I818" s="32"/>
      <c r="J818" s="32"/>
      <c r="K818" s="32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</row>
    <row r="819" ht="21.0" customHeight="1">
      <c r="A819" s="31"/>
      <c r="B819" s="31"/>
      <c r="C819" s="32"/>
      <c r="D819" s="32"/>
      <c r="E819" s="32"/>
      <c r="F819" s="32"/>
      <c r="G819" s="32"/>
      <c r="H819" s="32"/>
      <c r="I819" s="32"/>
      <c r="J819" s="32"/>
      <c r="K819" s="32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</row>
    <row r="820" ht="21.0" customHeight="1">
      <c r="A820" s="31"/>
      <c r="B820" s="31"/>
      <c r="C820" s="32"/>
      <c r="D820" s="32"/>
      <c r="E820" s="32"/>
      <c r="F820" s="32"/>
      <c r="G820" s="32"/>
      <c r="H820" s="32"/>
      <c r="I820" s="32"/>
      <c r="J820" s="32"/>
      <c r="K820" s="32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</row>
    <row r="821" ht="21.0" customHeight="1">
      <c r="A821" s="31"/>
      <c r="B821" s="31"/>
      <c r="C821" s="32"/>
      <c r="D821" s="32"/>
      <c r="E821" s="32"/>
      <c r="F821" s="32"/>
      <c r="G821" s="32"/>
      <c r="H821" s="32"/>
      <c r="I821" s="32"/>
      <c r="J821" s="32"/>
      <c r="K821" s="32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</row>
    <row r="822" ht="21.0" customHeight="1">
      <c r="A822" s="31"/>
      <c r="B822" s="31"/>
      <c r="C822" s="32"/>
      <c r="D822" s="32"/>
      <c r="E822" s="32"/>
      <c r="F822" s="32"/>
      <c r="G822" s="32"/>
      <c r="H822" s="32"/>
      <c r="I822" s="32"/>
      <c r="J822" s="32"/>
      <c r="K822" s="32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</row>
    <row r="823" ht="21.0" customHeight="1">
      <c r="A823" s="31"/>
      <c r="B823" s="31"/>
      <c r="C823" s="32"/>
      <c r="D823" s="32"/>
      <c r="E823" s="32"/>
      <c r="F823" s="32"/>
      <c r="G823" s="32"/>
      <c r="H823" s="32"/>
      <c r="I823" s="32"/>
      <c r="J823" s="32"/>
      <c r="K823" s="32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</row>
    <row r="824" ht="21.0" customHeight="1">
      <c r="A824" s="31"/>
      <c r="B824" s="31"/>
      <c r="C824" s="32"/>
      <c r="D824" s="32"/>
      <c r="E824" s="32"/>
      <c r="F824" s="32"/>
      <c r="G824" s="32"/>
      <c r="H824" s="32"/>
      <c r="I824" s="32"/>
      <c r="J824" s="32"/>
      <c r="K824" s="32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</row>
    <row r="825" ht="21.0" customHeight="1">
      <c r="A825" s="31"/>
      <c r="B825" s="31"/>
      <c r="C825" s="32"/>
      <c r="D825" s="32"/>
      <c r="E825" s="32"/>
      <c r="F825" s="32"/>
      <c r="G825" s="32"/>
      <c r="H825" s="32"/>
      <c r="I825" s="32"/>
      <c r="J825" s="32"/>
      <c r="K825" s="32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</row>
    <row r="826" ht="21.0" customHeight="1">
      <c r="A826" s="31"/>
      <c r="B826" s="31"/>
      <c r="C826" s="32"/>
      <c r="D826" s="32"/>
      <c r="E826" s="32"/>
      <c r="F826" s="32"/>
      <c r="G826" s="32"/>
      <c r="H826" s="32"/>
      <c r="I826" s="32"/>
      <c r="J826" s="32"/>
      <c r="K826" s="32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</row>
    <row r="827" ht="21.0" customHeight="1">
      <c r="A827" s="31"/>
      <c r="B827" s="31"/>
      <c r="C827" s="32"/>
      <c r="D827" s="32"/>
      <c r="E827" s="32"/>
      <c r="F827" s="32"/>
      <c r="G827" s="32"/>
      <c r="H827" s="32"/>
      <c r="I827" s="32"/>
      <c r="J827" s="32"/>
      <c r="K827" s="32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</row>
    <row r="828" ht="21.0" customHeight="1">
      <c r="A828" s="31"/>
      <c r="B828" s="31"/>
      <c r="C828" s="32"/>
      <c r="D828" s="32"/>
      <c r="E828" s="32"/>
      <c r="F828" s="32"/>
      <c r="G828" s="32"/>
      <c r="H828" s="32"/>
      <c r="I828" s="32"/>
      <c r="J828" s="32"/>
      <c r="K828" s="32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</row>
    <row r="829" ht="21.0" customHeight="1">
      <c r="A829" s="31"/>
      <c r="B829" s="31"/>
      <c r="C829" s="32"/>
      <c r="D829" s="32"/>
      <c r="E829" s="32"/>
      <c r="F829" s="32"/>
      <c r="G829" s="32"/>
      <c r="H829" s="32"/>
      <c r="I829" s="32"/>
      <c r="J829" s="32"/>
      <c r="K829" s="32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</row>
    <row r="830" ht="21.0" customHeight="1">
      <c r="A830" s="31"/>
      <c r="B830" s="31"/>
      <c r="C830" s="32"/>
      <c r="D830" s="32"/>
      <c r="E830" s="32"/>
      <c r="F830" s="32"/>
      <c r="G830" s="32"/>
      <c r="H830" s="32"/>
      <c r="I830" s="32"/>
      <c r="J830" s="32"/>
      <c r="K830" s="32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</row>
    <row r="831" ht="21.0" customHeight="1">
      <c r="A831" s="31"/>
      <c r="B831" s="31"/>
      <c r="C831" s="32"/>
      <c r="D831" s="32"/>
      <c r="E831" s="32"/>
      <c r="F831" s="32"/>
      <c r="G831" s="32"/>
      <c r="H831" s="32"/>
      <c r="I831" s="32"/>
      <c r="J831" s="32"/>
      <c r="K831" s="32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</row>
    <row r="832" ht="21.0" customHeight="1">
      <c r="A832" s="31"/>
      <c r="B832" s="31"/>
      <c r="C832" s="32"/>
      <c r="D832" s="32"/>
      <c r="E832" s="32"/>
      <c r="F832" s="32"/>
      <c r="G832" s="32"/>
      <c r="H832" s="32"/>
      <c r="I832" s="32"/>
      <c r="J832" s="32"/>
      <c r="K832" s="32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</row>
    <row r="833" ht="21.0" customHeight="1">
      <c r="A833" s="31"/>
      <c r="B833" s="31"/>
      <c r="C833" s="32"/>
      <c r="D833" s="32"/>
      <c r="E833" s="32"/>
      <c r="F833" s="32"/>
      <c r="G833" s="32"/>
      <c r="H833" s="32"/>
      <c r="I833" s="32"/>
      <c r="J833" s="32"/>
      <c r="K833" s="32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</row>
    <row r="834" ht="21.0" customHeight="1">
      <c r="A834" s="31"/>
      <c r="B834" s="31"/>
      <c r="C834" s="32"/>
      <c r="D834" s="32"/>
      <c r="E834" s="32"/>
      <c r="F834" s="32"/>
      <c r="G834" s="32"/>
      <c r="H834" s="32"/>
      <c r="I834" s="32"/>
      <c r="J834" s="32"/>
      <c r="K834" s="32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</row>
    <row r="835" ht="21.0" customHeight="1">
      <c r="A835" s="31"/>
      <c r="B835" s="31"/>
      <c r="C835" s="32"/>
      <c r="D835" s="32"/>
      <c r="E835" s="32"/>
      <c r="F835" s="32"/>
      <c r="G835" s="32"/>
      <c r="H835" s="32"/>
      <c r="I835" s="32"/>
      <c r="J835" s="32"/>
      <c r="K835" s="32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</row>
    <row r="836" ht="21.0" customHeight="1">
      <c r="A836" s="31"/>
      <c r="B836" s="31"/>
      <c r="C836" s="32"/>
      <c r="D836" s="32"/>
      <c r="E836" s="32"/>
      <c r="F836" s="32"/>
      <c r="G836" s="32"/>
      <c r="H836" s="32"/>
      <c r="I836" s="32"/>
      <c r="J836" s="32"/>
      <c r="K836" s="32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</row>
    <row r="837" ht="21.0" customHeight="1">
      <c r="A837" s="31"/>
      <c r="B837" s="31"/>
      <c r="C837" s="32"/>
      <c r="D837" s="32"/>
      <c r="E837" s="32"/>
      <c r="F837" s="32"/>
      <c r="G837" s="32"/>
      <c r="H837" s="32"/>
      <c r="I837" s="32"/>
      <c r="J837" s="32"/>
      <c r="K837" s="32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</row>
    <row r="838" ht="21.0" customHeight="1">
      <c r="A838" s="31"/>
      <c r="B838" s="31"/>
      <c r="C838" s="32"/>
      <c r="D838" s="32"/>
      <c r="E838" s="32"/>
      <c r="F838" s="32"/>
      <c r="G838" s="32"/>
      <c r="H838" s="32"/>
      <c r="I838" s="32"/>
      <c r="J838" s="32"/>
      <c r="K838" s="32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</row>
    <row r="839" ht="21.0" customHeight="1">
      <c r="A839" s="31"/>
      <c r="B839" s="31"/>
      <c r="C839" s="32"/>
      <c r="D839" s="32"/>
      <c r="E839" s="32"/>
      <c r="F839" s="32"/>
      <c r="G839" s="32"/>
      <c r="H839" s="32"/>
      <c r="I839" s="32"/>
      <c r="J839" s="32"/>
      <c r="K839" s="32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</row>
    <row r="840" ht="21.0" customHeight="1">
      <c r="A840" s="31"/>
      <c r="B840" s="31"/>
      <c r="C840" s="32"/>
      <c r="D840" s="32"/>
      <c r="E840" s="32"/>
      <c r="F840" s="32"/>
      <c r="G840" s="32"/>
      <c r="H840" s="32"/>
      <c r="I840" s="32"/>
      <c r="J840" s="32"/>
      <c r="K840" s="32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</row>
    <row r="841" ht="21.0" customHeight="1">
      <c r="A841" s="31"/>
      <c r="B841" s="31"/>
      <c r="C841" s="32"/>
      <c r="D841" s="32"/>
      <c r="E841" s="32"/>
      <c r="F841" s="32"/>
      <c r="G841" s="32"/>
      <c r="H841" s="32"/>
      <c r="I841" s="32"/>
      <c r="J841" s="32"/>
      <c r="K841" s="32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</row>
    <row r="842" ht="21.0" customHeight="1">
      <c r="A842" s="31"/>
      <c r="B842" s="31"/>
      <c r="C842" s="32"/>
      <c r="D842" s="32"/>
      <c r="E842" s="32"/>
      <c r="F842" s="32"/>
      <c r="G842" s="32"/>
      <c r="H842" s="32"/>
      <c r="I842" s="32"/>
      <c r="J842" s="32"/>
      <c r="K842" s="32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</row>
    <row r="843" ht="21.0" customHeight="1">
      <c r="A843" s="31"/>
      <c r="B843" s="31"/>
      <c r="C843" s="32"/>
      <c r="D843" s="32"/>
      <c r="E843" s="32"/>
      <c r="F843" s="32"/>
      <c r="G843" s="32"/>
      <c r="H843" s="32"/>
      <c r="I843" s="32"/>
      <c r="J843" s="32"/>
      <c r="K843" s="32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</row>
    <row r="844" ht="21.0" customHeight="1">
      <c r="A844" s="31"/>
      <c r="B844" s="31"/>
      <c r="C844" s="32"/>
      <c r="D844" s="32"/>
      <c r="E844" s="32"/>
      <c r="F844" s="32"/>
      <c r="G844" s="32"/>
      <c r="H844" s="32"/>
      <c r="I844" s="32"/>
      <c r="J844" s="32"/>
      <c r="K844" s="32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</row>
    <row r="845" ht="21.0" customHeight="1">
      <c r="A845" s="31"/>
      <c r="B845" s="31"/>
      <c r="C845" s="32"/>
      <c r="D845" s="32"/>
      <c r="E845" s="32"/>
      <c r="F845" s="32"/>
      <c r="G845" s="32"/>
      <c r="H845" s="32"/>
      <c r="I845" s="32"/>
      <c r="J845" s="32"/>
      <c r="K845" s="32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</row>
    <row r="846" ht="21.0" customHeight="1">
      <c r="A846" s="31"/>
      <c r="B846" s="31"/>
      <c r="C846" s="32"/>
      <c r="D846" s="32"/>
      <c r="E846" s="32"/>
      <c r="F846" s="32"/>
      <c r="G846" s="32"/>
      <c r="H846" s="32"/>
      <c r="I846" s="32"/>
      <c r="J846" s="32"/>
      <c r="K846" s="32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</row>
    <row r="847" ht="21.0" customHeight="1">
      <c r="A847" s="31"/>
      <c r="B847" s="31"/>
      <c r="C847" s="32"/>
      <c r="D847" s="32"/>
      <c r="E847" s="32"/>
      <c r="F847" s="32"/>
      <c r="G847" s="32"/>
      <c r="H847" s="32"/>
      <c r="I847" s="32"/>
      <c r="J847" s="32"/>
      <c r="K847" s="32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</row>
    <row r="848" ht="21.0" customHeight="1">
      <c r="A848" s="31"/>
      <c r="B848" s="31"/>
      <c r="C848" s="32"/>
      <c r="D848" s="32"/>
      <c r="E848" s="32"/>
      <c r="F848" s="32"/>
      <c r="G848" s="32"/>
      <c r="H848" s="32"/>
      <c r="I848" s="32"/>
      <c r="J848" s="32"/>
      <c r="K848" s="32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</row>
    <row r="849" ht="21.0" customHeight="1">
      <c r="A849" s="31"/>
      <c r="B849" s="31"/>
      <c r="C849" s="32"/>
      <c r="D849" s="32"/>
      <c r="E849" s="32"/>
      <c r="F849" s="32"/>
      <c r="G849" s="32"/>
      <c r="H849" s="32"/>
      <c r="I849" s="32"/>
      <c r="J849" s="32"/>
      <c r="K849" s="32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</row>
    <row r="850" ht="21.0" customHeight="1">
      <c r="A850" s="31"/>
      <c r="B850" s="31"/>
      <c r="C850" s="32"/>
      <c r="D850" s="32"/>
      <c r="E850" s="32"/>
      <c r="F850" s="32"/>
      <c r="G850" s="32"/>
      <c r="H850" s="32"/>
      <c r="I850" s="32"/>
      <c r="J850" s="32"/>
      <c r="K850" s="32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</row>
    <row r="851" ht="21.0" customHeight="1">
      <c r="A851" s="31"/>
      <c r="B851" s="31"/>
      <c r="C851" s="32"/>
      <c r="D851" s="32"/>
      <c r="E851" s="32"/>
      <c r="F851" s="32"/>
      <c r="G851" s="32"/>
      <c r="H851" s="32"/>
      <c r="I851" s="32"/>
      <c r="J851" s="32"/>
      <c r="K851" s="32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</row>
    <row r="852" ht="21.0" customHeight="1">
      <c r="A852" s="31"/>
      <c r="B852" s="31"/>
      <c r="C852" s="32"/>
      <c r="D852" s="32"/>
      <c r="E852" s="32"/>
      <c r="F852" s="32"/>
      <c r="G852" s="32"/>
      <c r="H852" s="32"/>
      <c r="I852" s="32"/>
      <c r="J852" s="32"/>
      <c r="K852" s="32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</row>
    <row r="853" ht="21.0" customHeight="1">
      <c r="A853" s="31"/>
      <c r="B853" s="31"/>
      <c r="C853" s="32"/>
      <c r="D853" s="32"/>
      <c r="E853" s="32"/>
      <c r="F853" s="32"/>
      <c r="G853" s="32"/>
      <c r="H853" s="32"/>
      <c r="I853" s="32"/>
      <c r="J853" s="32"/>
      <c r="K853" s="32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</row>
    <row r="854" ht="21.0" customHeight="1">
      <c r="A854" s="31"/>
      <c r="B854" s="31"/>
      <c r="C854" s="32"/>
      <c r="D854" s="32"/>
      <c r="E854" s="32"/>
      <c r="F854" s="32"/>
      <c r="G854" s="32"/>
      <c r="H854" s="32"/>
      <c r="I854" s="32"/>
      <c r="J854" s="32"/>
      <c r="K854" s="32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</row>
    <row r="855" ht="21.0" customHeight="1">
      <c r="A855" s="31"/>
      <c r="B855" s="31"/>
      <c r="C855" s="32"/>
      <c r="D855" s="32"/>
      <c r="E855" s="32"/>
      <c r="F855" s="32"/>
      <c r="G855" s="32"/>
      <c r="H855" s="32"/>
      <c r="I855" s="32"/>
      <c r="J855" s="32"/>
      <c r="K855" s="32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</row>
    <row r="856" ht="21.0" customHeight="1">
      <c r="A856" s="31"/>
      <c r="B856" s="31"/>
      <c r="C856" s="32"/>
      <c r="D856" s="32"/>
      <c r="E856" s="32"/>
      <c r="F856" s="32"/>
      <c r="G856" s="32"/>
      <c r="H856" s="32"/>
      <c r="I856" s="32"/>
      <c r="J856" s="32"/>
      <c r="K856" s="32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</row>
    <row r="857" ht="21.0" customHeight="1">
      <c r="A857" s="31"/>
      <c r="B857" s="31"/>
      <c r="C857" s="32"/>
      <c r="D857" s="32"/>
      <c r="E857" s="32"/>
      <c r="F857" s="32"/>
      <c r="G857" s="32"/>
      <c r="H857" s="32"/>
      <c r="I857" s="32"/>
      <c r="J857" s="32"/>
      <c r="K857" s="32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</row>
    <row r="858" ht="21.0" customHeight="1">
      <c r="A858" s="31"/>
      <c r="B858" s="31"/>
      <c r="C858" s="32"/>
      <c r="D858" s="32"/>
      <c r="E858" s="32"/>
      <c r="F858" s="32"/>
      <c r="G858" s="32"/>
      <c r="H858" s="32"/>
      <c r="I858" s="32"/>
      <c r="J858" s="32"/>
      <c r="K858" s="32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</row>
    <row r="859" ht="21.0" customHeight="1">
      <c r="A859" s="31"/>
      <c r="B859" s="31"/>
      <c r="C859" s="32"/>
      <c r="D859" s="32"/>
      <c r="E859" s="32"/>
      <c r="F859" s="32"/>
      <c r="G859" s="32"/>
      <c r="H859" s="32"/>
      <c r="I859" s="32"/>
      <c r="J859" s="32"/>
      <c r="K859" s="32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</row>
    <row r="860" ht="21.0" customHeight="1">
      <c r="A860" s="31"/>
      <c r="B860" s="31"/>
      <c r="C860" s="32"/>
      <c r="D860" s="32"/>
      <c r="E860" s="32"/>
      <c r="F860" s="32"/>
      <c r="G860" s="32"/>
      <c r="H860" s="32"/>
      <c r="I860" s="32"/>
      <c r="J860" s="32"/>
      <c r="K860" s="32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</row>
    <row r="861" ht="21.0" customHeight="1">
      <c r="A861" s="31"/>
      <c r="B861" s="31"/>
      <c r="C861" s="32"/>
      <c r="D861" s="32"/>
      <c r="E861" s="32"/>
      <c r="F861" s="32"/>
      <c r="G861" s="32"/>
      <c r="H861" s="32"/>
      <c r="I861" s="32"/>
      <c r="J861" s="32"/>
      <c r="K861" s="32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</row>
    <row r="862" ht="21.0" customHeight="1">
      <c r="A862" s="31"/>
      <c r="B862" s="31"/>
      <c r="C862" s="32"/>
      <c r="D862" s="32"/>
      <c r="E862" s="32"/>
      <c r="F862" s="32"/>
      <c r="G862" s="32"/>
      <c r="H862" s="32"/>
      <c r="I862" s="32"/>
      <c r="J862" s="32"/>
      <c r="K862" s="32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</row>
    <row r="863" ht="21.0" customHeight="1">
      <c r="A863" s="31"/>
      <c r="B863" s="31"/>
      <c r="C863" s="32"/>
      <c r="D863" s="32"/>
      <c r="E863" s="32"/>
      <c r="F863" s="32"/>
      <c r="G863" s="32"/>
      <c r="H863" s="32"/>
      <c r="I863" s="32"/>
      <c r="J863" s="32"/>
      <c r="K863" s="32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</row>
    <row r="864" ht="21.0" customHeight="1">
      <c r="A864" s="31"/>
      <c r="B864" s="31"/>
      <c r="C864" s="32"/>
      <c r="D864" s="32"/>
      <c r="E864" s="32"/>
      <c r="F864" s="32"/>
      <c r="G864" s="32"/>
      <c r="H864" s="32"/>
      <c r="I864" s="32"/>
      <c r="J864" s="32"/>
      <c r="K864" s="32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</row>
    <row r="865" ht="21.0" customHeight="1">
      <c r="A865" s="31"/>
      <c r="B865" s="31"/>
      <c r="C865" s="32"/>
      <c r="D865" s="32"/>
      <c r="E865" s="32"/>
      <c r="F865" s="32"/>
      <c r="G865" s="32"/>
      <c r="H865" s="32"/>
      <c r="I865" s="32"/>
      <c r="J865" s="32"/>
      <c r="K865" s="32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</row>
    <row r="866" ht="21.0" customHeight="1">
      <c r="A866" s="31"/>
      <c r="B866" s="31"/>
      <c r="C866" s="32"/>
      <c r="D866" s="32"/>
      <c r="E866" s="32"/>
      <c r="F866" s="32"/>
      <c r="G866" s="32"/>
      <c r="H866" s="32"/>
      <c r="I866" s="32"/>
      <c r="J866" s="32"/>
      <c r="K866" s="32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</row>
    <row r="867" ht="21.0" customHeight="1">
      <c r="A867" s="31"/>
      <c r="B867" s="31"/>
      <c r="C867" s="32"/>
      <c r="D867" s="32"/>
      <c r="E867" s="32"/>
      <c r="F867" s="32"/>
      <c r="G867" s="32"/>
      <c r="H867" s="32"/>
      <c r="I867" s="32"/>
      <c r="J867" s="32"/>
      <c r="K867" s="32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</row>
    <row r="868" ht="21.0" customHeight="1">
      <c r="A868" s="31"/>
      <c r="B868" s="31"/>
      <c r="C868" s="32"/>
      <c r="D868" s="32"/>
      <c r="E868" s="32"/>
      <c r="F868" s="32"/>
      <c r="G868" s="32"/>
      <c r="H868" s="32"/>
      <c r="I868" s="32"/>
      <c r="J868" s="32"/>
      <c r="K868" s="32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</row>
    <row r="869" ht="21.0" customHeight="1">
      <c r="A869" s="31"/>
      <c r="B869" s="31"/>
      <c r="C869" s="32"/>
      <c r="D869" s="32"/>
      <c r="E869" s="32"/>
      <c r="F869" s="32"/>
      <c r="G869" s="32"/>
      <c r="H869" s="32"/>
      <c r="I869" s="32"/>
      <c r="J869" s="32"/>
      <c r="K869" s="32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</row>
    <row r="870" ht="21.0" customHeight="1">
      <c r="A870" s="31"/>
      <c r="B870" s="31"/>
      <c r="C870" s="32"/>
      <c r="D870" s="32"/>
      <c r="E870" s="32"/>
      <c r="F870" s="32"/>
      <c r="G870" s="32"/>
      <c r="H870" s="32"/>
      <c r="I870" s="32"/>
      <c r="J870" s="32"/>
      <c r="K870" s="32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</row>
    <row r="871" ht="21.0" customHeight="1">
      <c r="A871" s="31"/>
      <c r="B871" s="31"/>
      <c r="C871" s="32"/>
      <c r="D871" s="32"/>
      <c r="E871" s="32"/>
      <c r="F871" s="32"/>
      <c r="G871" s="32"/>
      <c r="H871" s="32"/>
      <c r="I871" s="32"/>
      <c r="J871" s="32"/>
      <c r="K871" s="32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</row>
    <row r="872" ht="21.0" customHeight="1">
      <c r="A872" s="31"/>
      <c r="B872" s="31"/>
      <c r="C872" s="32"/>
      <c r="D872" s="32"/>
      <c r="E872" s="32"/>
      <c r="F872" s="32"/>
      <c r="G872" s="32"/>
      <c r="H872" s="32"/>
      <c r="I872" s="32"/>
      <c r="J872" s="32"/>
      <c r="K872" s="32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</row>
    <row r="873" ht="21.0" customHeight="1">
      <c r="A873" s="31"/>
      <c r="B873" s="31"/>
      <c r="C873" s="32"/>
      <c r="D873" s="32"/>
      <c r="E873" s="32"/>
      <c r="F873" s="32"/>
      <c r="G873" s="32"/>
      <c r="H873" s="32"/>
      <c r="I873" s="32"/>
      <c r="J873" s="32"/>
      <c r="K873" s="32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</row>
    <row r="874" ht="21.0" customHeight="1">
      <c r="A874" s="31"/>
      <c r="B874" s="31"/>
      <c r="C874" s="32"/>
      <c r="D874" s="32"/>
      <c r="E874" s="32"/>
      <c r="F874" s="32"/>
      <c r="G874" s="32"/>
      <c r="H874" s="32"/>
      <c r="I874" s="32"/>
      <c r="J874" s="32"/>
      <c r="K874" s="32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</row>
    <row r="875" ht="21.0" customHeight="1">
      <c r="A875" s="31"/>
      <c r="B875" s="31"/>
      <c r="C875" s="32"/>
      <c r="D875" s="32"/>
      <c r="E875" s="32"/>
      <c r="F875" s="32"/>
      <c r="G875" s="32"/>
      <c r="H875" s="32"/>
      <c r="I875" s="32"/>
      <c r="J875" s="32"/>
      <c r="K875" s="32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</row>
    <row r="876" ht="21.0" customHeight="1">
      <c r="A876" s="31"/>
      <c r="B876" s="31"/>
      <c r="C876" s="32"/>
      <c r="D876" s="32"/>
      <c r="E876" s="32"/>
      <c r="F876" s="32"/>
      <c r="G876" s="32"/>
      <c r="H876" s="32"/>
      <c r="I876" s="32"/>
      <c r="J876" s="32"/>
      <c r="K876" s="32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</row>
    <row r="877" ht="21.0" customHeight="1">
      <c r="A877" s="31"/>
      <c r="B877" s="31"/>
      <c r="C877" s="32"/>
      <c r="D877" s="32"/>
      <c r="E877" s="32"/>
      <c r="F877" s="32"/>
      <c r="G877" s="32"/>
      <c r="H877" s="32"/>
      <c r="I877" s="32"/>
      <c r="J877" s="32"/>
      <c r="K877" s="32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</row>
    <row r="878" ht="21.0" customHeight="1">
      <c r="A878" s="31"/>
      <c r="B878" s="31"/>
      <c r="C878" s="32"/>
      <c r="D878" s="32"/>
      <c r="E878" s="32"/>
      <c r="F878" s="32"/>
      <c r="G878" s="32"/>
      <c r="H878" s="32"/>
      <c r="I878" s="32"/>
      <c r="J878" s="32"/>
      <c r="K878" s="32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</row>
    <row r="879" ht="21.0" customHeight="1">
      <c r="A879" s="31"/>
      <c r="B879" s="31"/>
      <c r="C879" s="32"/>
      <c r="D879" s="32"/>
      <c r="E879" s="32"/>
      <c r="F879" s="32"/>
      <c r="G879" s="32"/>
      <c r="H879" s="32"/>
      <c r="I879" s="32"/>
      <c r="J879" s="32"/>
      <c r="K879" s="32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</row>
    <row r="880" ht="21.0" customHeight="1">
      <c r="A880" s="31"/>
      <c r="B880" s="31"/>
      <c r="C880" s="32"/>
      <c r="D880" s="32"/>
      <c r="E880" s="32"/>
      <c r="F880" s="32"/>
      <c r="G880" s="32"/>
      <c r="H880" s="32"/>
      <c r="I880" s="32"/>
      <c r="J880" s="32"/>
      <c r="K880" s="32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</row>
    <row r="881" ht="21.0" customHeight="1">
      <c r="A881" s="31"/>
      <c r="B881" s="31"/>
      <c r="C881" s="32"/>
      <c r="D881" s="32"/>
      <c r="E881" s="32"/>
      <c r="F881" s="32"/>
      <c r="G881" s="32"/>
      <c r="H881" s="32"/>
      <c r="I881" s="32"/>
      <c r="J881" s="32"/>
      <c r="K881" s="32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</row>
    <row r="882" ht="21.0" customHeight="1">
      <c r="A882" s="31"/>
      <c r="B882" s="31"/>
      <c r="C882" s="32"/>
      <c r="D882" s="32"/>
      <c r="E882" s="32"/>
      <c r="F882" s="32"/>
      <c r="G882" s="32"/>
      <c r="H882" s="32"/>
      <c r="I882" s="32"/>
      <c r="J882" s="32"/>
      <c r="K882" s="32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</row>
    <row r="883" ht="21.0" customHeight="1">
      <c r="A883" s="31"/>
      <c r="B883" s="31"/>
      <c r="C883" s="32"/>
      <c r="D883" s="32"/>
      <c r="E883" s="32"/>
      <c r="F883" s="32"/>
      <c r="G883" s="32"/>
      <c r="H883" s="32"/>
      <c r="I883" s="32"/>
      <c r="J883" s="32"/>
      <c r="K883" s="32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</row>
    <row r="884" ht="21.0" customHeight="1">
      <c r="A884" s="31"/>
      <c r="B884" s="31"/>
      <c r="C884" s="32"/>
      <c r="D884" s="32"/>
      <c r="E884" s="32"/>
      <c r="F884" s="32"/>
      <c r="G884" s="32"/>
      <c r="H884" s="32"/>
      <c r="I884" s="32"/>
      <c r="J884" s="32"/>
      <c r="K884" s="32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</row>
    <row r="885" ht="21.0" customHeight="1">
      <c r="A885" s="31"/>
      <c r="B885" s="31"/>
      <c r="C885" s="32"/>
      <c r="D885" s="32"/>
      <c r="E885" s="32"/>
      <c r="F885" s="32"/>
      <c r="G885" s="32"/>
      <c r="H885" s="32"/>
      <c r="I885" s="32"/>
      <c r="J885" s="32"/>
      <c r="K885" s="32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</row>
    <row r="886" ht="21.0" customHeight="1">
      <c r="A886" s="31"/>
      <c r="B886" s="31"/>
      <c r="C886" s="32"/>
      <c r="D886" s="32"/>
      <c r="E886" s="32"/>
      <c r="F886" s="32"/>
      <c r="G886" s="32"/>
      <c r="H886" s="32"/>
      <c r="I886" s="32"/>
      <c r="J886" s="32"/>
      <c r="K886" s="32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</row>
    <row r="887" ht="21.0" customHeight="1">
      <c r="A887" s="31"/>
      <c r="B887" s="31"/>
      <c r="C887" s="32"/>
      <c r="D887" s="32"/>
      <c r="E887" s="32"/>
      <c r="F887" s="32"/>
      <c r="G887" s="32"/>
      <c r="H887" s="32"/>
      <c r="I887" s="32"/>
      <c r="J887" s="32"/>
      <c r="K887" s="32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</row>
    <row r="888" ht="21.0" customHeight="1">
      <c r="A888" s="31"/>
      <c r="B888" s="31"/>
      <c r="C888" s="32"/>
      <c r="D888" s="32"/>
      <c r="E888" s="32"/>
      <c r="F888" s="32"/>
      <c r="G888" s="32"/>
      <c r="H888" s="32"/>
      <c r="I888" s="32"/>
      <c r="J888" s="32"/>
      <c r="K888" s="32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</row>
    <row r="889" ht="21.0" customHeight="1">
      <c r="A889" s="31"/>
      <c r="B889" s="31"/>
      <c r="C889" s="32"/>
      <c r="D889" s="32"/>
      <c r="E889" s="32"/>
      <c r="F889" s="32"/>
      <c r="G889" s="32"/>
      <c r="H889" s="32"/>
      <c r="I889" s="32"/>
      <c r="J889" s="32"/>
      <c r="K889" s="32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</row>
    <row r="890" ht="21.0" customHeight="1">
      <c r="A890" s="31"/>
      <c r="B890" s="31"/>
      <c r="C890" s="32"/>
      <c r="D890" s="32"/>
      <c r="E890" s="32"/>
      <c r="F890" s="32"/>
      <c r="G890" s="32"/>
      <c r="H890" s="32"/>
      <c r="I890" s="32"/>
      <c r="J890" s="32"/>
      <c r="K890" s="32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</row>
    <row r="891" ht="21.0" customHeight="1">
      <c r="A891" s="31"/>
      <c r="B891" s="31"/>
      <c r="C891" s="32"/>
      <c r="D891" s="32"/>
      <c r="E891" s="32"/>
      <c r="F891" s="32"/>
      <c r="G891" s="32"/>
      <c r="H891" s="32"/>
      <c r="I891" s="32"/>
      <c r="J891" s="32"/>
      <c r="K891" s="32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</row>
    <row r="892" ht="21.0" customHeight="1">
      <c r="A892" s="31"/>
      <c r="B892" s="31"/>
      <c r="C892" s="32"/>
      <c r="D892" s="32"/>
      <c r="E892" s="32"/>
      <c r="F892" s="32"/>
      <c r="G892" s="32"/>
      <c r="H892" s="32"/>
      <c r="I892" s="32"/>
      <c r="J892" s="32"/>
      <c r="K892" s="32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</row>
    <row r="893" ht="21.0" customHeight="1">
      <c r="A893" s="31"/>
      <c r="B893" s="31"/>
      <c r="C893" s="32"/>
      <c r="D893" s="32"/>
      <c r="E893" s="32"/>
      <c r="F893" s="32"/>
      <c r="G893" s="32"/>
      <c r="H893" s="32"/>
      <c r="I893" s="32"/>
      <c r="J893" s="32"/>
      <c r="K893" s="32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</row>
    <row r="894" ht="21.0" customHeight="1">
      <c r="A894" s="31"/>
      <c r="B894" s="31"/>
      <c r="C894" s="32"/>
      <c r="D894" s="32"/>
      <c r="E894" s="32"/>
      <c r="F894" s="32"/>
      <c r="G894" s="32"/>
      <c r="H894" s="32"/>
      <c r="I894" s="32"/>
      <c r="J894" s="32"/>
      <c r="K894" s="32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</row>
    <row r="895" ht="21.0" customHeight="1">
      <c r="A895" s="31"/>
      <c r="B895" s="31"/>
      <c r="C895" s="32"/>
      <c r="D895" s="32"/>
      <c r="E895" s="32"/>
      <c r="F895" s="32"/>
      <c r="G895" s="32"/>
      <c r="H895" s="32"/>
      <c r="I895" s="32"/>
      <c r="J895" s="32"/>
      <c r="K895" s="32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</row>
    <row r="896" ht="21.0" customHeight="1">
      <c r="A896" s="31"/>
      <c r="B896" s="31"/>
      <c r="C896" s="32"/>
      <c r="D896" s="32"/>
      <c r="E896" s="32"/>
      <c r="F896" s="32"/>
      <c r="G896" s="32"/>
      <c r="H896" s="32"/>
      <c r="I896" s="32"/>
      <c r="J896" s="32"/>
      <c r="K896" s="32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</row>
    <row r="897" ht="21.0" customHeight="1">
      <c r="A897" s="31"/>
      <c r="B897" s="31"/>
      <c r="C897" s="32"/>
      <c r="D897" s="32"/>
      <c r="E897" s="32"/>
      <c r="F897" s="32"/>
      <c r="G897" s="32"/>
      <c r="H897" s="32"/>
      <c r="I897" s="32"/>
      <c r="J897" s="32"/>
      <c r="K897" s="32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</row>
    <row r="898" ht="21.0" customHeight="1">
      <c r="A898" s="31"/>
      <c r="B898" s="31"/>
      <c r="C898" s="32"/>
      <c r="D898" s="32"/>
      <c r="E898" s="32"/>
      <c r="F898" s="32"/>
      <c r="G898" s="32"/>
      <c r="H898" s="32"/>
      <c r="I898" s="32"/>
      <c r="J898" s="32"/>
      <c r="K898" s="32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</row>
    <row r="899" ht="21.0" customHeight="1">
      <c r="A899" s="31"/>
      <c r="B899" s="31"/>
      <c r="C899" s="32"/>
      <c r="D899" s="32"/>
      <c r="E899" s="32"/>
      <c r="F899" s="32"/>
      <c r="G899" s="32"/>
      <c r="H899" s="32"/>
      <c r="I899" s="32"/>
      <c r="J899" s="32"/>
      <c r="K899" s="32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</row>
    <row r="900" ht="21.0" customHeight="1">
      <c r="A900" s="31"/>
      <c r="B900" s="31"/>
      <c r="C900" s="32"/>
      <c r="D900" s="32"/>
      <c r="E900" s="32"/>
      <c r="F900" s="32"/>
      <c r="G900" s="32"/>
      <c r="H900" s="32"/>
      <c r="I900" s="32"/>
      <c r="J900" s="32"/>
      <c r="K900" s="32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</row>
    <row r="901" ht="21.0" customHeight="1">
      <c r="A901" s="31"/>
      <c r="B901" s="31"/>
      <c r="C901" s="32"/>
      <c r="D901" s="32"/>
      <c r="E901" s="32"/>
      <c r="F901" s="32"/>
      <c r="G901" s="32"/>
      <c r="H901" s="32"/>
      <c r="I901" s="32"/>
      <c r="J901" s="32"/>
      <c r="K901" s="32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</row>
    <row r="902" ht="21.0" customHeight="1">
      <c r="A902" s="31"/>
      <c r="B902" s="31"/>
      <c r="C902" s="32"/>
      <c r="D902" s="32"/>
      <c r="E902" s="32"/>
      <c r="F902" s="32"/>
      <c r="G902" s="32"/>
      <c r="H902" s="32"/>
      <c r="I902" s="32"/>
      <c r="J902" s="32"/>
      <c r="K902" s="32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</row>
    <row r="903" ht="21.0" customHeight="1">
      <c r="A903" s="31"/>
      <c r="B903" s="31"/>
      <c r="C903" s="32"/>
      <c r="D903" s="32"/>
      <c r="E903" s="32"/>
      <c r="F903" s="32"/>
      <c r="G903" s="32"/>
      <c r="H903" s="32"/>
      <c r="I903" s="32"/>
      <c r="J903" s="32"/>
      <c r="K903" s="32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</row>
    <row r="904" ht="21.0" customHeight="1">
      <c r="A904" s="31"/>
      <c r="B904" s="31"/>
      <c r="C904" s="32"/>
      <c r="D904" s="32"/>
      <c r="E904" s="32"/>
      <c r="F904" s="32"/>
      <c r="G904" s="32"/>
      <c r="H904" s="32"/>
      <c r="I904" s="32"/>
      <c r="J904" s="32"/>
      <c r="K904" s="32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</row>
    <row r="905" ht="21.0" customHeight="1">
      <c r="A905" s="31"/>
      <c r="B905" s="31"/>
      <c r="C905" s="32"/>
      <c r="D905" s="32"/>
      <c r="E905" s="32"/>
      <c r="F905" s="32"/>
      <c r="G905" s="32"/>
      <c r="H905" s="32"/>
      <c r="I905" s="32"/>
      <c r="J905" s="32"/>
      <c r="K905" s="32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</row>
    <row r="906" ht="21.0" customHeight="1">
      <c r="A906" s="31"/>
      <c r="B906" s="31"/>
      <c r="C906" s="32"/>
      <c r="D906" s="32"/>
      <c r="E906" s="32"/>
      <c r="F906" s="32"/>
      <c r="G906" s="32"/>
      <c r="H906" s="32"/>
      <c r="I906" s="32"/>
      <c r="J906" s="32"/>
      <c r="K906" s="32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</row>
    <row r="907" ht="21.0" customHeight="1">
      <c r="A907" s="31"/>
      <c r="B907" s="31"/>
      <c r="C907" s="32"/>
      <c r="D907" s="32"/>
      <c r="E907" s="32"/>
      <c r="F907" s="32"/>
      <c r="G907" s="32"/>
      <c r="H907" s="32"/>
      <c r="I907" s="32"/>
      <c r="J907" s="32"/>
      <c r="K907" s="32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</row>
    <row r="908" ht="21.0" customHeight="1">
      <c r="A908" s="31"/>
      <c r="B908" s="31"/>
      <c r="C908" s="32"/>
      <c r="D908" s="32"/>
      <c r="E908" s="32"/>
      <c r="F908" s="32"/>
      <c r="G908" s="32"/>
      <c r="H908" s="32"/>
      <c r="I908" s="32"/>
      <c r="J908" s="32"/>
      <c r="K908" s="32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</row>
    <row r="909" ht="21.0" customHeight="1">
      <c r="A909" s="31"/>
      <c r="B909" s="31"/>
      <c r="C909" s="32"/>
      <c r="D909" s="32"/>
      <c r="E909" s="32"/>
      <c r="F909" s="32"/>
      <c r="G909" s="32"/>
      <c r="H909" s="32"/>
      <c r="I909" s="32"/>
      <c r="J909" s="32"/>
      <c r="K909" s="32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</row>
    <row r="910" ht="21.0" customHeight="1">
      <c r="A910" s="31"/>
      <c r="B910" s="31"/>
      <c r="C910" s="32"/>
      <c r="D910" s="32"/>
      <c r="E910" s="32"/>
      <c r="F910" s="32"/>
      <c r="G910" s="32"/>
      <c r="H910" s="32"/>
      <c r="I910" s="32"/>
      <c r="J910" s="32"/>
      <c r="K910" s="32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</row>
    <row r="911" ht="21.0" customHeight="1">
      <c r="A911" s="31"/>
      <c r="B911" s="31"/>
      <c r="C911" s="32"/>
      <c r="D911" s="32"/>
      <c r="E911" s="32"/>
      <c r="F911" s="32"/>
      <c r="G911" s="32"/>
      <c r="H911" s="32"/>
      <c r="I911" s="32"/>
      <c r="J911" s="32"/>
      <c r="K911" s="32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</row>
    <row r="912" ht="21.0" customHeight="1">
      <c r="A912" s="31"/>
      <c r="B912" s="31"/>
      <c r="C912" s="32"/>
      <c r="D912" s="32"/>
      <c r="E912" s="32"/>
      <c r="F912" s="32"/>
      <c r="G912" s="32"/>
      <c r="H912" s="32"/>
      <c r="I912" s="32"/>
      <c r="J912" s="32"/>
      <c r="K912" s="32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</row>
    <row r="913" ht="21.0" customHeight="1">
      <c r="A913" s="31"/>
      <c r="B913" s="31"/>
      <c r="C913" s="32"/>
      <c r="D913" s="32"/>
      <c r="E913" s="32"/>
      <c r="F913" s="32"/>
      <c r="G913" s="32"/>
      <c r="H913" s="32"/>
      <c r="I913" s="32"/>
      <c r="J913" s="32"/>
      <c r="K913" s="32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</row>
    <row r="914" ht="21.0" customHeight="1">
      <c r="A914" s="31"/>
      <c r="B914" s="31"/>
      <c r="C914" s="32"/>
      <c r="D914" s="32"/>
      <c r="E914" s="32"/>
      <c r="F914" s="32"/>
      <c r="G914" s="32"/>
      <c r="H914" s="32"/>
      <c r="I914" s="32"/>
      <c r="J914" s="32"/>
      <c r="K914" s="32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</row>
    <row r="915" ht="21.0" customHeight="1">
      <c r="A915" s="31"/>
      <c r="B915" s="31"/>
      <c r="C915" s="32"/>
      <c r="D915" s="32"/>
      <c r="E915" s="32"/>
      <c r="F915" s="32"/>
      <c r="G915" s="32"/>
      <c r="H915" s="32"/>
      <c r="I915" s="32"/>
      <c r="J915" s="32"/>
      <c r="K915" s="32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</row>
    <row r="916" ht="21.0" customHeight="1">
      <c r="A916" s="31"/>
      <c r="B916" s="31"/>
      <c r="C916" s="32"/>
      <c r="D916" s="32"/>
      <c r="E916" s="32"/>
      <c r="F916" s="32"/>
      <c r="G916" s="32"/>
      <c r="H916" s="32"/>
      <c r="I916" s="32"/>
      <c r="J916" s="32"/>
      <c r="K916" s="32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</row>
    <row r="917" ht="21.0" customHeight="1">
      <c r="A917" s="31"/>
      <c r="B917" s="31"/>
      <c r="C917" s="32"/>
      <c r="D917" s="32"/>
      <c r="E917" s="32"/>
      <c r="F917" s="32"/>
      <c r="G917" s="32"/>
      <c r="H917" s="32"/>
      <c r="I917" s="32"/>
      <c r="J917" s="32"/>
      <c r="K917" s="32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</row>
    <row r="918" ht="21.0" customHeight="1">
      <c r="A918" s="31"/>
      <c r="B918" s="31"/>
      <c r="C918" s="32"/>
      <c r="D918" s="32"/>
      <c r="E918" s="32"/>
      <c r="F918" s="32"/>
      <c r="G918" s="32"/>
      <c r="H918" s="32"/>
      <c r="I918" s="32"/>
      <c r="J918" s="32"/>
      <c r="K918" s="32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</row>
    <row r="919" ht="21.0" customHeight="1">
      <c r="A919" s="31"/>
      <c r="B919" s="31"/>
      <c r="C919" s="32"/>
      <c r="D919" s="32"/>
      <c r="E919" s="32"/>
      <c r="F919" s="32"/>
      <c r="G919" s="32"/>
      <c r="H919" s="32"/>
      <c r="I919" s="32"/>
      <c r="J919" s="32"/>
      <c r="K919" s="32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</row>
    <row r="920" ht="21.0" customHeight="1">
      <c r="A920" s="31"/>
      <c r="B920" s="31"/>
      <c r="C920" s="32"/>
      <c r="D920" s="32"/>
      <c r="E920" s="32"/>
      <c r="F920" s="32"/>
      <c r="G920" s="32"/>
      <c r="H920" s="32"/>
      <c r="I920" s="32"/>
      <c r="J920" s="32"/>
      <c r="K920" s="32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</row>
    <row r="921" ht="21.0" customHeight="1">
      <c r="A921" s="31"/>
      <c r="B921" s="31"/>
      <c r="C921" s="32"/>
      <c r="D921" s="32"/>
      <c r="E921" s="32"/>
      <c r="F921" s="32"/>
      <c r="G921" s="32"/>
      <c r="H921" s="32"/>
      <c r="I921" s="32"/>
      <c r="J921" s="32"/>
      <c r="K921" s="32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</row>
    <row r="922" ht="21.0" customHeight="1">
      <c r="A922" s="31"/>
      <c r="B922" s="31"/>
      <c r="C922" s="32"/>
      <c r="D922" s="32"/>
      <c r="E922" s="32"/>
      <c r="F922" s="32"/>
      <c r="G922" s="32"/>
      <c r="H922" s="32"/>
      <c r="I922" s="32"/>
      <c r="J922" s="32"/>
      <c r="K922" s="32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</row>
    <row r="923" ht="21.0" customHeight="1">
      <c r="A923" s="31"/>
      <c r="B923" s="31"/>
      <c r="C923" s="32"/>
      <c r="D923" s="32"/>
      <c r="E923" s="32"/>
      <c r="F923" s="32"/>
      <c r="G923" s="32"/>
      <c r="H923" s="32"/>
      <c r="I923" s="32"/>
      <c r="J923" s="32"/>
      <c r="K923" s="32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</row>
    <row r="924" ht="21.0" customHeight="1">
      <c r="A924" s="31"/>
      <c r="B924" s="31"/>
      <c r="C924" s="32"/>
      <c r="D924" s="32"/>
      <c r="E924" s="32"/>
      <c r="F924" s="32"/>
      <c r="G924" s="32"/>
      <c r="H924" s="32"/>
      <c r="I924" s="32"/>
      <c r="J924" s="32"/>
      <c r="K924" s="32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</row>
    <row r="925" ht="21.0" customHeight="1">
      <c r="A925" s="31"/>
      <c r="B925" s="31"/>
      <c r="C925" s="32"/>
      <c r="D925" s="32"/>
      <c r="E925" s="32"/>
      <c r="F925" s="32"/>
      <c r="G925" s="32"/>
      <c r="H925" s="32"/>
      <c r="I925" s="32"/>
      <c r="J925" s="32"/>
      <c r="K925" s="32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</row>
    <row r="926" ht="21.0" customHeight="1">
      <c r="A926" s="31"/>
      <c r="B926" s="31"/>
      <c r="C926" s="32"/>
      <c r="D926" s="32"/>
      <c r="E926" s="32"/>
      <c r="F926" s="32"/>
      <c r="G926" s="32"/>
      <c r="H926" s="32"/>
      <c r="I926" s="32"/>
      <c r="J926" s="32"/>
      <c r="K926" s="32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</row>
    <row r="927" ht="21.0" customHeight="1">
      <c r="A927" s="31"/>
      <c r="B927" s="31"/>
      <c r="C927" s="32"/>
      <c r="D927" s="32"/>
      <c r="E927" s="32"/>
      <c r="F927" s="32"/>
      <c r="G927" s="32"/>
      <c r="H927" s="32"/>
      <c r="I927" s="32"/>
      <c r="J927" s="32"/>
      <c r="K927" s="32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</row>
    <row r="928" ht="21.0" customHeight="1">
      <c r="A928" s="31"/>
      <c r="B928" s="31"/>
      <c r="C928" s="32"/>
      <c r="D928" s="32"/>
      <c r="E928" s="32"/>
      <c r="F928" s="32"/>
      <c r="G928" s="32"/>
      <c r="H928" s="32"/>
      <c r="I928" s="32"/>
      <c r="J928" s="32"/>
      <c r="K928" s="32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</row>
    <row r="929" ht="21.0" customHeight="1">
      <c r="A929" s="31"/>
      <c r="B929" s="31"/>
      <c r="C929" s="32"/>
      <c r="D929" s="32"/>
      <c r="E929" s="32"/>
      <c r="F929" s="32"/>
      <c r="G929" s="32"/>
      <c r="H929" s="32"/>
      <c r="I929" s="32"/>
      <c r="J929" s="32"/>
      <c r="K929" s="32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</row>
    <row r="930" ht="21.0" customHeight="1">
      <c r="A930" s="31"/>
      <c r="B930" s="31"/>
      <c r="C930" s="32"/>
      <c r="D930" s="32"/>
      <c r="E930" s="32"/>
      <c r="F930" s="32"/>
      <c r="G930" s="32"/>
      <c r="H930" s="32"/>
      <c r="I930" s="32"/>
      <c r="J930" s="32"/>
      <c r="K930" s="32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</row>
    <row r="931" ht="21.0" customHeight="1">
      <c r="A931" s="31"/>
      <c r="B931" s="31"/>
      <c r="C931" s="32"/>
      <c r="D931" s="32"/>
      <c r="E931" s="32"/>
      <c r="F931" s="32"/>
      <c r="G931" s="32"/>
      <c r="H931" s="32"/>
      <c r="I931" s="32"/>
      <c r="J931" s="32"/>
      <c r="K931" s="32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</row>
    <row r="932" ht="21.0" customHeight="1">
      <c r="A932" s="31"/>
      <c r="B932" s="31"/>
      <c r="C932" s="32"/>
      <c r="D932" s="32"/>
      <c r="E932" s="32"/>
      <c r="F932" s="32"/>
      <c r="G932" s="32"/>
      <c r="H932" s="32"/>
      <c r="I932" s="32"/>
      <c r="J932" s="32"/>
      <c r="K932" s="32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</row>
    <row r="933" ht="21.0" customHeight="1">
      <c r="A933" s="31"/>
      <c r="B933" s="31"/>
      <c r="C933" s="32"/>
      <c r="D933" s="32"/>
      <c r="E933" s="32"/>
      <c r="F933" s="32"/>
      <c r="G933" s="32"/>
      <c r="H933" s="32"/>
      <c r="I933" s="32"/>
      <c r="J933" s="32"/>
      <c r="K933" s="32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</row>
    <row r="934" ht="21.0" customHeight="1">
      <c r="A934" s="31"/>
      <c r="B934" s="31"/>
      <c r="C934" s="32"/>
      <c r="D934" s="32"/>
      <c r="E934" s="32"/>
      <c r="F934" s="32"/>
      <c r="G934" s="32"/>
      <c r="H934" s="32"/>
      <c r="I934" s="32"/>
      <c r="J934" s="32"/>
      <c r="K934" s="32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</row>
    <row r="935" ht="21.0" customHeight="1">
      <c r="A935" s="31"/>
      <c r="B935" s="31"/>
      <c r="C935" s="32"/>
      <c r="D935" s="32"/>
      <c r="E935" s="32"/>
      <c r="F935" s="32"/>
      <c r="G935" s="32"/>
      <c r="H935" s="32"/>
      <c r="I935" s="32"/>
      <c r="J935" s="32"/>
      <c r="K935" s="32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</row>
    <row r="936" ht="21.0" customHeight="1">
      <c r="A936" s="31"/>
      <c r="B936" s="31"/>
      <c r="C936" s="32"/>
      <c r="D936" s="32"/>
      <c r="E936" s="32"/>
      <c r="F936" s="32"/>
      <c r="G936" s="32"/>
      <c r="H936" s="32"/>
      <c r="I936" s="32"/>
      <c r="J936" s="32"/>
      <c r="K936" s="32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</row>
    <row r="937" ht="21.0" customHeight="1">
      <c r="A937" s="31"/>
      <c r="B937" s="31"/>
      <c r="C937" s="32"/>
      <c r="D937" s="32"/>
      <c r="E937" s="32"/>
      <c r="F937" s="32"/>
      <c r="G937" s="32"/>
      <c r="H937" s="32"/>
      <c r="I937" s="32"/>
      <c r="J937" s="32"/>
      <c r="K937" s="32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</row>
    <row r="938" ht="21.0" customHeight="1">
      <c r="A938" s="31"/>
      <c r="B938" s="31"/>
      <c r="C938" s="32"/>
      <c r="D938" s="32"/>
      <c r="E938" s="32"/>
      <c r="F938" s="32"/>
      <c r="G938" s="32"/>
      <c r="H938" s="32"/>
      <c r="I938" s="32"/>
      <c r="J938" s="32"/>
      <c r="K938" s="32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</row>
    <row r="939" ht="21.0" customHeight="1">
      <c r="A939" s="31"/>
      <c r="B939" s="31"/>
      <c r="C939" s="32"/>
      <c r="D939" s="32"/>
      <c r="E939" s="32"/>
      <c r="F939" s="32"/>
      <c r="G939" s="32"/>
      <c r="H939" s="32"/>
      <c r="I939" s="32"/>
      <c r="J939" s="32"/>
      <c r="K939" s="32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</row>
    <row r="940" ht="21.0" customHeight="1">
      <c r="A940" s="31"/>
      <c r="B940" s="31"/>
      <c r="C940" s="32"/>
      <c r="D940" s="32"/>
      <c r="E940" s="32"/>
      <c r="F940" s="32"/>
      <c r="G940" s="32"/>
      <c r="H940" s="32"/>
      <c r="I940" s="32"/>
      <c r="J940" s="32"/>
      <c r="K940" s="32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</row>
    <row r="941" ht="21.0" customHeight="1">
      <c r="A941" s="31"/>
      <c r="B941" s="31"/>
      <c r="C941" s="32"/>
      <c r="D941" s="32"/>
      <c r="E941" s="32"/>
      <c r="F941" s="32"/>
      <c r="G941" s="32"/>
      <c r="H941" s="32"/>
      <c r="I941" s="32"/>
      <c r="J941" s="32"/>
      <c r="K941" s="32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</row>
    <row r="942" ht="21.0" customHeight="1">
      <c r="A942" s="31"/>
      <c r="B942" s="31"/>
      <c r="C942" s="32"/>
      <c r="D942" s="32"/>
      <c r="E942" s="32"/>
      <c r="F942" s="32"/>
      <c r="G942" s="32"/>
      <c r="H942" s="32"/>
      <c r="I942" s="32"/>
      <c r="J942" s="32"/>
      <c r="K942" s="32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</row>
    <row r="943" ht="21.0" customHeight="1">
      <c r="A943" s="31"/>
      <c r="B943" s="31"/>
      <c r="C943" s="32"/>
      <c r="D943" s="32"/>
      <c r="E943" s="32"/>
      <c r="F943" s="32"/>
      <c r="G943" s="32"/>
      <c r="H943" s="32"/>
      <c r="I943" s="32"/>
      <c r="J943" s="32"/>
      <c r="K943" s="32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</row>
    <row r="944" ht="21.0" customHeight="1">
      <c r="A944" s="31"/>
      <c r="B944" s="31"/>
      <c r="C944" s="32"/>
      <c r="D944" s="32"/>
      <c r="E944" s="32"/>
      <c r="F944" s="32"/>
      <c r="G944" s="32"/>
      <c r="H944" s="32"/>
      <c r="I944" s="32"/>
      <c r="J944" s="32"/>
      <c r="K944" s="32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</row>
    <row r="945" ht="21.0" customHeight="1">
      <c r="A945" s="31"/>
      <c r="B945" s="31"/>
      <c r="C945" s="32"/>
      <c r="D945" s="32"/>
      <c r="E945" s="32"/>
      <c r="F945" s="32"/>
      <c r="G945" s="32"/>
      <c r="H945" s="32"/>
      <c r="I945" s="32"/>
      <c r="J945" s="32"/>
      <c r="K945" s="32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</row>
    <row r="946" ht="21.0" customHeight="1">
      <c r="A946" s="31"/>
      <c r="B946" s="31"/>
      <c r="C946" s="32"/>
      <c r="D946" s="32"/>
      <c r="E946" s="32"/>
      <c r="F946" s="32"/>
      <c r="G946" s="32"/>
      <c r="H946" s="32"/>
      <c r="I946" s="32"/>
      <c r="J946" s="32"/>
      <c r="K946" s="32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</row>
    <row r="947" ht="21.0" customHeight="1">
      <c r="A947" s="31"/>
      <c r="B947" s="31"/>
      <c r="C947" s="32"/>
      <c r="D947" s="32"/>
      <c r="E947" s="32"/>
      <c r="F947" s="32"/>
      <c r="G947" s="32"/>
      <c r="H947" s="32"/>
      <c r="I947" s="32"/>
      <c r="J947" s="32"/>
      <c r="K947" s="32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</row>
    <row r="948" ht="21.0" customHeight="1">
      <c r="A948" s="31"/>
      <c r="B948" s="31"/>
      <c r="C948" s="32"/>
      <c r="D948" s="32"/>
      <c r="E948" s="32"/>
      <c r="F948" s="32"/>
      <c r="G948" s="32"/>
      <c r="H948" s="32"/>
      <c r="I948" s="32"/>
      <c r="J948" s="32"/>
      <c r="K948" s="32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</row>
    <row r="949" ht="21.0" customHeight="1">
      <c r="A949" s="31"/>
      <c r="B949" s="31"/>
      <c r="C949" s="32"/>
      <c r="D949" s="32"/>
      <c r="E949" s="32"/>
      <c r="F949" s="32"/>
      <c r="G949" s="32"/>
      <c r="H949" s="32"/>
      <c r="I949" s="32"/>
      <c r="J949" s="32"/>
      <c r="K949" s="32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</row>
    <row r="950" ht="21.0" customHeight="1">
      <c r="A950" s="31"/>
      <c r="B950" s="31"/>
      <c r="C950" s="32"/>
      <c r="D950" s="32"/>
      <c r="E950" s="32"/>
      <c r="F950" s="32"/>
      <c r="G950" s="32"/>
      <c r="H950" s="32"/>
      <c r="I950" s="32"/>
      <c r="J950" s="32"/>
      <c r="K950" s="32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</row>
    <row r="951" ht="21.0" customHeight="1">
      <c r="A951" s="31"/>
      <c r="B951" s="31"/>
      <c r="C951" s="32"/>
      <c r="D951" s="32"/>
      <c r="E951" s="32"/>
      <c r="F951" s="32"/>
      <c r="G951" s="32"/>
      <c r="H951" s="32"/>
      <c r="I951" s="32"/>
      <c r="J951" s="32"/>
      <c r="K951" s="32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</row>
    <row r="952" ht="21.0" customHeight="1">
      <c r="A952" s="31"/>
      <c r="B952" s="31"/>
      <c r="C952" s="32"/>
      <c r="D952" s="32"/>
      <c r="E952" s="32"/>
      <c r="F952" s="32"/>
      <c r="G952" s="32"/>
      <c r="H952" s="32"/>
      <c r="I952" s="32"/>
      <c r="J952" s="32"/>
      <c r="K952" s="32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</row>
    <row r="953" ht="21.0" customHeight="1">
      <c r="A953" s="31"/>
      <c r="B953" s="31"/>
      <c r="C953" s="32"/>
      <c r="D953" s="32"/>
      <c r="E953" s="32"/>
      <c r="F953" s="32"/>
      <c r="G953" s="32"/>
      <c r="H953" s="32"/>
      <c r="I953" s="32"/>
      <c r="J953" s="32"/>
      <c r="K953" s="32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</row>
    <row r="954" ht="21.0" customHeight="1">
      <c r="A954" s="31"/>
      <c r="B954" s="31"/>
      <c r="C954" s="32"/>
      <c r="D954" s="32"/>
      <c r="E954" s="32"/>
      <c r="F954" s="32"/>
      <c r="G954" s="32"/>
      <c r="H954" s="32"/>
      <c r="I954" s="32"/>
      <c r="J954" s="32"/>
      <c r="K954" s="32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</row>
    <row r="955" ht="21.0" customHeight="1">
      <c r="A955" s="31"/>
      <c r="B955" s="31"/>
      <c r="C955" s="32"/>
      <c r="D955" s="32"/>
      <c r="E955" s="32"/>
      <c r="F955" s="32"/>
      <c r="G955" s="32"/>
      <c r="H955" s="32"/>
      <c r="I955" s="32"/>
      <c r="J955" s="32"/>
      <c r="K955" s="32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</row>
    <row r="956" ht="21.0" customHeight="1">
      <c r="A956" s="31"/>
      <c r="B956" s="31"/>
      <c r="C956" s="32"/>
      <c r="D956" s="32"/>
      <c r="E956" s="32"/>
      <c r="F956" s="32"/>
      <c r="G956" s="32"/>
      <c r="H956" s="32"/>
      <c r="I956" s="32"/>
      <c r="J956" s="32"/>
      <c r="K956" s="32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</row>
    <row r="957" ht="21.0" customHeight="1">
      <c r="A957" s="31"/>
      <c r="B957" s="31"/>
      <c r="C957" s="32"/>
      <c r="D957" s="32"/>
      <c r="E957" s="32"/>
      <c r="F957" s="32"/>
      <c r="G957" s="32"/>
      <c r="H957" s="32"/>
      <c r="I957" s="32"/>
      <c r="J957" s="32"/>
      <c r="K957" s="32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</row>
    <row r="958" ht="21.0" customHeight="1">
      <c r="A958" s="31"/>
      <c r="B958" s="31"/>
      <c r="C958" s="32"/>
      <c r="D958" s="32"/>
      <c r="E958" s="32"/>
      <c r="F958" s="32"/>
      <c r="G958" s="32"/>
      <c r="H958" s="32"/>
      <c r="I958" s="32"/>
      <c r="J958" s="32"/>
      <c r="K958" s="32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</row>
    <row r="959" ht="21.0" customHeight="1">
      <c r="A959" s="31"/>
      <c r="B959" s="31"/>
      <c r="C959" s="32"/>
      <c r="D959" s="32"/>
      <c r="E959" s="32"/>
      <c r="F959" s="32"/>
      <c r="G959" s="32"/>
      <c r="H959" s="32"/>
      <c r="I959" s="32"/>
      <c r="J959" s="32"/>
      <c r="K959" s="32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</row>
    <row r="960" ht="21.0" customHeight="1">
      <c r="A960" s="31"/>
      <c r="B960" s="31"/>
      <c r="C960" s="32"/>
      <c r="D960" s="32"/>
      <c r="E960" s="32"/>
      <c r="F960" s="32"/>
      <c r="G960" s="32"/>
      <c r="H960" s="32"/>
      <c r="I960" s="32"/>
      <c r="J960" s="32"/>
      <c r="K960" s="32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</row>
    <row r="961" ht="21.0" customHeight="1">
      <c r="A961" s="31"/>
      <c r="B961" s="31"/>
      <c r="C961" s="32"/>
      <c r="D961" s="32"/>
      <c r="E961" s="32"/>
      <c r="F961" s="32"/>
      <c r="G961" s="32"/>
      <c r="H961" s="32"/>
      <c r="I961" s="32"/>
      <c r="J961" s="32"/>
      <c r="K961" s="32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</row>
    <row r="962" ht="21.0" customHeight="1">
      <c r="A962" s="31"/>
      <c r="B962" s="31"/>
      <c r="C962" s="32"/>
      <c r="D962" s="32"/>
      <c r="E962" s="32"/>
      <c r="F962" s="32"/>
      <c r="G962" s="32"/>
      <c r="H962" s="32"/>
      <c r="I962" s="32"/>
      <c r="J962" s="32"/>
      <c r="K962" s="32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</row>
    <row r="963" ht="21.0" customHeight="1">
      <c r="A963" s="31"/>
      <c r="B963" s="31"/>
      <c r="C963" s="32"/>
      <c r="D963" s="32"/>
      <c r="E963" s="32"/>
      <c r="F963" s="32"/>
      <c r="G963" s="32"/>
      <c r="H963" s="32"/>
      <c r="I963" s="32"/>
      <c r="J963" s="32"/>
      <c r="K963" s="32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</row>
    <row r="964" ht="21.0" customHeight="1">
      <c r="A964" s="31"/>
      <c r="B964" s="31"/>
      <c r="C964" s="32"/>
      <c r="D964" s="32"/>
      <c r="E964" s="32"/>
      <c r="F964" s="32"/>
      <c r="G964" s="32"/>
      <c r="H964" s="32"/>
      <c r="I964" s="32"/>
      <c r="J964" s="32"/>
      <c r="K964" s="32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</row>
    <row r="965" ht="21.0" customHeight="1">
      <c r="A965" s="31"/>
      <c r="B965" s="31"/>
      <c r="C965" s="32"/>
      <c r="D965" s="32"/>
      <c r="E965" s="32"/>
      <c r="F965" s="32"/>
      <c r="G965" s="32"/>
      <c r="H965" s="32"/>
      <c r="I965" s="32"/>
      <c r="J965" s="32"/>
      <c r="K965" s="32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</row>
    <row r="966" ht="21.0" customHeight="1">
      <c r="A966" s="31"/>
      <c r="B966" s="31"/>
      <c r="C966" s="32"/>
      <c r="D966" s="32"/>
      <c r="E966" s="32"/>
      <c r="F966" s="32"/>
      <c r="G966" s="32"/>
      <c r="H966" s="32"/>
      <c r="I966" s="32"/>
      <c r="J966" s="32"/>
      <c r="K966" s="32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</row>
    <row r="967" ht="21.0" customHeight="1">
      <c r="A967" s="31"/>
      <c r="B967" s="31"/>
      <c r="C967" s="32"/>
      <c r="D967" s="32"/>
      <c r="E967" s="32"/>
      <c r="F967" s="32"/>
      <c r="G967" s="32"/>
      <c r="H967" s="32"/>
      <c r="I967" s="32"/>
      <c r="J967" s="32"/>
      <c r="K967" s="32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</row>
    <row r="968" ht="21.0" customHeight="1">
      <c r="A968" s="31"/>
      <c r="B968" s="31"/>
      <c r="C968" s="32"/>
      <c r="D968" s="32"/>
      <c r="E968" s="32"/>
      <c r="F968" s="32"/>
      <c r="G968" s="32"/>
      <c r="H968" s="32"/>
      <c r="I968" s="32"/>
      <c r="J968" s="32"/>
      <c r="K968" s="32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</row>
    <row r="969" ht="21.0" customHeight="1">
      <c r="A969" s="31"/>
      <c r="B969" s="31"/>
      <c r="C969" s="32"/>
      <c r="D969" s="32"/>
      <c r="E969" s="32"/>
      <c r="F969" s="32"/>
      <c r="G969" s="32"/>
      <c r="H969" s="32"/>
      <c r="I969" s="32"/>
      <c r="J969" s="32"/>
      <c r="K969" s="32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</row>
    <row r="970" ht="21.0" customHeight="1">
      <c r="A970" s="31"/>
      <c r="B970" s="31"/>
      <c r="C970" s="32"/>
      <c r="D970" s="32"/>
      <c r="E970" s="32"/>
      <c r="F970" s="32"/>
      <c r="G970" s="32"/>
      <c r="H970" s="32"/>
      <c r="I970" s="32"/>
      <c r="J970" s="32"/>
      <c r="K970" s="32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</row>
    <row r="971" ht="21.0" customHeight="1">
      <c r="A971" s="31"/>
      <c r="B971" s="31"/>
      <c r="C971" s="32"/>
      <c r="D971" s="32"/>
      <c r="E971" s="32"/>
      <c r="F971" s="32"/>
      <c r="G971" s="32"/>
      <c r="H971" s="32"/>
      <c r="I971" s="32"/>
      <c r="J971" s="32"/>
      <c r="K971" s="32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</row>
    <row r="972" ht="21.0" customHeight="1">
      <c r="A972" s="31"/>
      <c r="B972" s="31"/>
      <c r="C972" s="32"/>
      <c r="D972" s="32"/>
      <c r="E972" s="32"/>
      <c r="F972" s="32"/>
      <c r="G972" s="32"/>
      <c r="H972" s="32"/>
      <c r="I972" s="32"/>
      <c r="J972" s="32"/>
      <c r="K972" s="32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</row>
    <row r="973" ht="21.0" customHeight="1">
      <c r="A973" s="31"/>
      <c r="B973" s="31"/>
      <c r="C973" s="32"/>
      <c r="D973" s="32"/>
      <c r="E973" s="32"/>
      <c r="F973" s="32"/>
      <c r="G973" s="32"/>
      <c r="H973" s="32"/>
      <c r="I973" s="32"/>
      <c r="J973" s="32"/>
      <c r="K973" s="32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</row>
    <row r="974" ht="21.0" customHeight="1">
      <c r="A974" s="31"/>
      <c r="B974" s="31"/>
      <c r="C974" s="32"/>
      <c r="D974" s="32"/>
      <c r="E974" s="32"/>
      <c r="F974" s="32"/>
      <c r="G974" s="32"/>
      <c r="H974" s="32"/>
      <c r="I974" s="32"/>
      <c r="J974" s="32"/>
      <c r="K974" s="32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</row>
    <row r="975" ht="21.0" customHeight="1">
      <c r="A975" s="31"/>
      <c r="B975" s="31"/>
      <c r="C975" s="32"/>
      <c r="D975" s="32"/>
      <c r="E975" s="32"/>
      <c r="F975" s="32"/>
      <c r="G975" s="32"/>
      <c r="H975" s="32"/>
      <c r="I975" s="32"/>
      <c r="J975" s="32"/>
      <c r="K975" s="32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</row>
    <row r="976" ht="21.0" customHeight="1">
      <c r="A976" s="31"/>
      <c r="B976" s="31"/>
      <c r="C976" s="32"/>
      <c r="D976" s="32"/>
      <c r="E976" s="32"/>
      <c r="F976" s="32"/>
      <c r="G976" s="32"/>
      <c r="H976" s="32"/>
      <c r="I976" s="32"/>
      <c r="J976" s="32"/>
      <c r="K976" s="32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</row>
    <row r="977" ht="21.0" customHeight="1">
      <c r="A977" s="31"/>
      <c r="B977" s="31"/>
      <c r="C977" s="32"/>
      <c r="D977" s="32"/>
      <c r="E977" s="32"/>
      <c r="F977" s="32"/>
      <c r="G977" s="32"/>
      <c r="H977" s="32"/>
      <c r="I977" s="32"/>
      <c r="J977" s="32"/>
      <c r="K977" s="32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</row>
    <row r="978" ht="21.0" customHeight="1">
      <c r="A978" s="31"/>
      <c r="B978" s="31"/>
      <c r="C978" s="32"/>
      <c r="D978" s="32"/>
      <c r="E978" s="32"/>
      <c r="F978" s="32"/>
      <c r="G978" s="32"/>
      <c r="H978" s="32"/>
      <c r="I978" s="32"/>
      <c r="J978" s="32"/>
      <c r="K978" s="32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</row>
    <row r="979" ht="21.0" customHeight="1">
      <c r="A979" s="31"/>
      <c r="B979" s="31"/>
      <c r="C979" s="32"/>
      <c r="D979" s="32"/>
      <c r="E979" s="32"/>
      <c r="F979" s="32"/>
      <c r="G979" s="32"/>
      <c r="H979" s="32"/>
      <c r="I979" s="32"/>
      <c r="J979" s="32"/>
      <c r="K979" s="32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</row>
    <row r="980" ht="21.0" customHeight="1">
      <c r="A980" s="31"/>
      <c r="B980" s="31"/>
      <c r="C980" s="32"/>
      <c r="D980" s="32"/>
      <c r="E980" s="32"/>
      <c r="F980" s="32"/>
      <c r="G980" s="32"/>
      <c r="H980" s="32"/>
      <c r="I980" s="32"/>
      <c r="J980" s="32"/>
      <c r="K980" s="32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</row>
    <row r="981" ht="21.0" customHeight="1">
      <c r="A981" s="31"/>
      <c r="B981" s="31"/>
      <c r="C981" s="32"/>
      <c r="D981" s="32"/>
      <c r="E981" s="32"/>
      <c r="F981" s="32"/>
      <c r="G981" s="32"/>
      <c r="H981" s="32"/>
      <c r="I981" s="32"/>
      <c r="J981" s="32"/>
      <c r="K981" s="32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</row>
    <row r="982" ht="21.0" customHeight="1">
      <c r="A982" s="31"/>
      <c r="B982" s="31"/>
      <c r="C982" s="32"/>
      <c r="D982" s="32"/>
      <c r="E982" s="32"/>
      <c r="F982" s="32"/>
      <c r="G982" s="32"/>
      <c r="H982" s="32"/>
      <c r="I982" s="32"/>
      <c r="J982" s="32"/>
      <c r="K982" s="32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</row>
    <row r="983" ht="21.0" customHeight="1">
      <c r="A983" s="31"/>
      <c r="B983" s="31"/>
      <c r="C983" s="32"/>
      <c r="D983" s="32"/>
      <c r="E983" s="32"/>
      <c r="F983" s="32"/>
      <c r="G983" s="32"/>
      <c r="H983" s="32"/>
      <c r="I983" s="32"/>
      <c r="J983" s="32"/>
      <c r="K983" s="32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</row>
    <row r="984" ht="21.0" customHeight="1">
      <c r="A984" s="31"/>
      <c r="B984" s="31"/>
      <c r="C984" s="32"/>
      <c r="D984" s="32"/>
      <c r="E984" s="32"/>
      <c r="F984" s="32"/>
      <c r="G984" s="32"/>
      <c r="H984" s="32"/>
      <c r="I984" s="32"/>
      <c r="J984" s="32"/>
      <c r="K984" s="32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</row>
    <row r="985" ht="21.0" customHeight="1">
      <c r="A985" s="31"/>
      <c r="B985" s="31"/>
      <c r="C985" s="32"/>
      <c r="D985" s="32"/>
      <c r="E985" s="32"/>
      <c r="F985" s="32"/>
      <c r="G985" s="32"/>
      <c r="H985" s="32"/>
      <c r="I985" s="32"/>
      <c r="J985" s="32"/>
      <c r="K985" s="32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</row>
    <row r="986" ht="21.0" customHeight="1">
      <c r="A986" s="31"/>
      <c r="B986" s="31"/>
      <c r="C986" s="32"/>
      <c r="D986" s="32"/>
      <c r="E986" s="32"/>
      <c r="F986" s="32"/>
      <c r="G986" s="32"/>
      <c r="H986" s="32"/>
      <c r="I986" s="32"/>
      <c r="J986" s="32"/>
      <c r="K986" s="32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</row>
    <row r="987" ht="21.0" customHeight="1">
      <c r="A987" s="31"/>
      <c r="B987" s="31"/>
      <c r="C987" s="32"/>
      <c r="D987" s="32"/>
      <c r="E987" s="32"/>
      <c r="F987" s="32"/>
      <c r="G987" s="32"/>
      <c r="H987" s="32"/>
      <c r="I987" s="32"/>
      <c r="J987" s="32"/>
      <c r="K987" s="32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</row>
    <row r="988" ht="21.0" customHeight="1">
      <c r="A988" s="31"/>
      <c r="B988" s="31"/>
      <c r="C988" s="32"/>
      <c r="D988" s="32"/>
      <c r="E988" s="32"/>
      <c r="F988" s="32"/>
      <c r="G988" s="32"/>
      <c r="H988" s="32"/>
      <c r="I988" s="32"/>
      <c r="J988" s="32"/>
      <c r="K988" s="32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</row>
    <row r="989" ht="21.0" customHeight="1">
      <c r="A989" s="31"/>
      <c r="B989" s="31"/>
      <c r="C989" s="32"/>
      <c r="D989" s="32"/>
      <c r="E989" s="32"/>
      <c r="F989" s="32"/>
      <c r="G989" s="32"/>
      <c r="H989" s="32"/>
      <c r="I989" s="32"/>
      <c r="J989" s="32"/>
      <c r="K989" s="32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</row>
    <row r="990" ht="21.0" customHeight="1">
      <c r="A990" s="31"/>
      <c r="B990" s="31"/>
      <c r="C990" s="32"/>
      <c r="D990" s="32"/>
      <c r="E990" s="32"/>
      <c r="F990" s="32"/>
      <c r="G990" s="32"/>
      <c r="H990" s="32"/>
      <c r="I990" s="32"/>
      <c r="J990" s="32"/>
      <c r="K990" s="32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</row>
    <row r="991" ht="21.0" customHeight="1">
      <c r="A991" s="31"/>
      <c r="B991" s="31"/>
      <c r="C991" s="32"/>
      <c r="D991" s="32"/>
      <c r="E991" s="32"/>
      <c r="F991" s="32"/>
      <c r="G991" s="32"/>
      <c r="H991" s="32"/>
      <c r="I991" s="32"/>
      <c r="J991" s="32"/>
      <c r="K991" s="32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</row>
    <row r="992" ht="21.0" customHeight="1">
      <c r="A992" s="31"/>
      <c r="B992" s="31"/>
      <c r="C992" s="32"/>
      <c r="D992" s="32"/>
      <c r="E992" s="32"/>
      <c r="F992" s="32"/>
      <c r="G992" s="32"/>
      <c r="H992" s="32"/>
      <c r="I992" s="32"/>
      <c r="J992" s="32"/>
      <c r="K992" s="32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</row>
    <row r="993" ht="21.0" customHeight="1">
      <c r="A993" s="31"/>
      <c r="B993" s="31"/>
      <c r="C993" s="32"/>
      <c r="D993" s="32"/>
      <c r="E993" s="32"/>
      <c r="F993" s="32"/>
      <c r="G993" s="32"/>
      <c r="H993" s="32"/>
      <c r="I993" s="32"/>
      <c r="J993" s="32"/>
      <c r="K993" s="32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</row>
    <row r="994" ht="21.0" customHeight="1">
      <c r="A994" s="31"/>
      <c r="B994" s="31"/>
      <c r="C994" s="32"/>
      <c r="D994" s="32"/>
      <c r="E994" s="32"/>
      <c r="F994" s="32"/>
      <c r="G994" s="32"/>
      <c r="H994" s="32"/>
      <c r="I994" s="32"/>
      <c r="J994" s="32"/>
      <c r="K994" s="32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</row>
    <row r="995" ht="21.0" customHeight="1">
      <c r="A995" s="31"/>
      <c r="B995" s="31"/>
      <c r="C995" s="32"/>
      <c r="D995" s="32"/>
      <c r="E995" s="32"/>
      <c r="F995" s="32"/>
      <c r="G995" s="32"/>
      <c r="H995" s="32"/>
      <c r="I995" s="32"/>
      <c r="J995" s="32"/>
      <c r="K995" s="32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</row>
    <row r="996" ht="21.0" customHeight="1">
      <c r="A996" s="31"/>
      <c r="B996" s="31"/>
      <c r="C996" s="32"/>
      <c r="D996" s="32"/>
      <c r="E996" s="32"/>
      <c r="F996" s="32"/>
      <c r="G996" s="32"/>
      <c r="H996" s="32"/>
      <c r="I996" s="32"/>
      <c r="J996" s="32"/>
      <c r="K996" s="32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</row>
    <row r="997" ht="21.0" customHeight="1">
      <c r="A997" s="31"/>
      <c r="B997" s="31"/>
      <c r="C997" s="32"/>
      <c r="D997" s="32"/>
      <c r="E997" s="32"/>
      <c r="F997" s="32"/>
      <c r="G997" s="32"/>
      <c r="H997" s="32"/>
      <c r="I997" s="32"/>
      <c r="J997" s="32"/>
      <c r="K997" s="32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</row>
    <row r="998" ht="21.0" customHeight="1">
      <c r="A998" s="31"/>
      <c r="B998" s="31"/>
      <c r="C998" s="32"/>
      <c r="D998" s="32"/>
      <c r="E998" s="32"/>
      <c r="F998" s="32"/>
      <c r="G998" s="32"/>
      <c r="H998" s="32"/>
      <c r="I998" s="32"/>
      <c r="J998" s="32"/>
      <c r="K998" s="32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</row>
    <row r="999" ht="21.0" customHeight="1">
      <c r="A999" s="31"/>
      <c r="B999" s="31"/>
      <c r="C999" s="32"/>
      <c r="D999" s="32"/>
      <c r="E999" s="32"/>
      <c r="F999" s="32"/>
      <c r="G999" s="32"/>
      <c r="H999" s="32"/>
      <c r="I999" s="32"/>
      <c r="J999" s="32"/>
      <c r="K999" s="32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</row>
    <row r="1000" ht="21.0" customHeight="1">
      <c r="A1000" s="31"/>
      <c r="B1000" s="31"/>
      <c r="C1000" s="32"/>
      <c r="D1000" s="32"/>
      <c r="E1000" s="32"/>
      <c r="F1000" s="32"/>
      <c r="G1000" s="32"/>
      <c r="H1000" s="32"/>
      <c r="I1000" s="32"/>
      <c r="J1000" s="32"/>
      <c r="K1000" s="32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</row>
  </sheetData>
  <printOptions/>
  <pageMargins bottom="0.75" footer="0.0" header="0.0" left="0.7" right="0.7" top="0.75"/>
  <pageSetup orientation="landscape"/>
  <drawing r:id="rId1"/>
</worksheet>
</file>