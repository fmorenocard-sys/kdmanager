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oC_Data" sheetId="2" r:id="rId6"/>
    <sheet state="visible" name="Performance Analysis" sheetId="3" r:id="rId7"/>
    <sheet state="visible" name="Filler Accounts" sheetId="4" r:id="rId8"/>
    <sheet state="visible" name="KL Review" sheetId="5" r:id="rId9"/>
    <sheet state="visible" name="Pass 4 Report" sheetId="6" r:id="rId10"/>
    <sheet state="visible" name="BS_Report" sheetId="7" r:id="rId11"/>
    <sheet state="visible" name="VP" sheetId="8" r:id="rId12"/>
    <sheet state="visible" name="Sheet1" sheetId="9" r:id="rId13"/>
    <sheet state="visible" name="Sheet4" sheetId="10" r:id="rId14"/>
    <sheet state="hidden" name="BASE SCAN" sheetId="11" r:id="rId15"/>
  </sheets>
  <definedNames>
    <definedName hidden="1" localSheetId="2" name="_xlnm._FilterDatabase">'Performance Analysis'!$A$3:$S$50</definedName>
    <definedName hidden="1" localSheetId="3" name="_xlnm._FilterDatabase">'Filler Accounts'!$A$2:$U$25</definedName>
    <definedName hidden="1" localSheetId="4" name="_xlnm._FilterDatabase">'KL Review'!$A$3:$AA$50</definedName>
    <definedName hidden="1" localSheetId="5" name="_xlnm._FilterDatabase">'Pass 4 Report'!$A$3:$U$50</definedName>
    <definedName hidden="1" localSheetId="6" name="_xlnm._FilterDatabase">BS_Report!$A$3:$M$50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PUT HERE YOUR ID!
123456</t>
      </text>
    </comment>
  </commentList>
</comments>
</file>

<file path=xl/sharedStrings.xml><?xml version="1.0" encoding="utf-8"?>
<sst xmlns="http://schemas.openxmlformats.org/spreadsheetml/2006/main" count="2519" uniqueCount="1193">
  <si>
    <t>Paste here your ID (A2 EDIT)</t>
  </si>
  <si>
    <t>Ranking</t>
  </si>
  <si>
    <t>DKP STATUS</t>
  </si>
  <si>
    <t>Scan name</t>
  </si>
  <si>
    <t>Scan date</t>
  </si>
  <si>
    <t>Power</t>
  </si>
  <si>
    <t>Kill Points</t>
  </si>
  <si>
    <t xml:space="preserve">Deads </t>
  </si>
  <si>
    <t xml:space="preserve">T4 Kills </t>
  </si>
  <si>
    <t>T5 Kills</t>
  </si>
  <si>
    <t xml:space="preserve">T4 Deads </t>
  </si>
  <si>
    <t xml:space="preserve">T5 Deads </t>
  </si>
  <si>
    <t>Acclaim</t>
  </si>
  <si>
    <t>BASE SCAN</t>
  </si>
  <si>
    <t>Player Name</t>
  </si>
  <si>
    <t>Lvl 4 Pass Scan</t>
  </si>
  <si>
    <t>KP Minimal Requirement</t>
  </si>
  <si>
    <t>Altar 1 Scan</t>
  </si>
  <si>
    <t>No Fight</t>
  </si>
  <si>
    <t>Dead Minimal Requirement</t>
  </si>
  <si>
    <t>Mid Review</t>
  </si>
  <si>
    <t>Tier 4 Kills</t>
  </si>
  <si>
    <t>X</t>
  </si>
  <si>
    <t>P7 &amp; Kings Land Scan</t>
  </si>
  <si>
    <t>Tier 5 Kills</t>
  </si>
  <si>
    <t>Tier 4 Deads</t>
  </si>
  <si>
    <t>Tier 5 Deads</t>
  </si>
  <si>
    <t>KP Gained</t>
  </si>
  <si>
    <t>TOTAL DKP</t>
  </si>
  <si>
    <t>DKP SUMMARY</t>
  </si>
  <si>
    <t>How to use?
1. Copy your profile ID
2. Paste it in A2 Slot
3. Click Enter</t>
  </si>
  <si>
    <t>KINGDOM STATISTICS</t>
  </si>
  <si>
    <t>DKP STATUS HISTORY</t>
  </si>
  <si>
    <t>Deads</t>
  </si>
  <si>
    <t>T4 Kills</t>
  </si>
  <si>
    <t>T4 Deads</t>
  </si>
  <si>
    <t>T5 Deads</t>
  </si>
  <si>
    <t>Excellent</t>
  </si>
  <si>
    <t>&gt;25%</t>
  </si>
  <si>
    <t>(~˘▾˘)~</t>
  </si>
  <si>
    <t>BS (TOP300)</t>
  </si>
  <si>
    <t>Normal</t>
  </si>
  <si>
    <t>15-25%</t>
  </si>
  <si>
    <t>¯\_(ツ)_/¯</t>
  </si>
  <si>
    <t>Lvl 4 Pass(TOP300)</t>
  </si>
  <si>
    <t>Deadweight</t>
  </si>
  <si>
    <t>&lt;15%</t>
  </si>
  <si>
    <t>(ʘᗩʘ')</t>
  </si>
  <si>
    <t>Altar P1(TOP300)</t>
  </si>
  <si>
    <t>no fight</t>
  </si>
  <si>
    <t>Mid Review(TOP300)</t>
  </si>
  <si>
    <t>SCORE BOARD</t>
  </si>
  <si>
    <t>Kings Land(TOP300)</t>
  </si>
  <si>
    <t>ᵁᴺMyth</t>
  </si>
  <si>
    <t>Top Goal</t>
  </si>
  <si>
    <t>Lord Guineapig</t>
  </si>
  <si>
    <t>Top Total KP</t>
  </si>
  <si>
    <t>Top Dead</t>
  </si>
  <si>
    <t>Top KP Gained</t>
  </si>
  <si>
    <t>Top KVK Kill Points</t>
  </si>
  <si>
    <t>Top Acclaim</t>
  </si>
  <si>
    <t>Date</t>
  </si>
  <si>
    <t>Kingdom Power</t>
  </si>
  <si>
    <t>Score Data</t>
  </si>
  <si>
    <t>Name</t>
  </si>
  <si>
    <t>Initial Power</t>
  </si>
  <si>
    <t>Final Power</t>
  </si>
  <si>
    <t>Initial KP</t>
  </si>
  <si>
    <t>Final KP</t>
  </si>
  <si>
    <t>Total Dead</t>
  </si>
  <si>
    <t>Total Power Diff</t>
  </si>
  <si>
    <t>Total KP Gained</t>
  </si>
  <si>
    <t>KP Ratio Power</t>
  </si>
  <si>
    <t>Dead Ratio</t>
  </si>
  <si>
    <t>Goal Ratio</t>
  </si>
  <si>
    <t>Rate</t>
  </si>
  <si>
    <t>TBA</t>
  </si>
  <si>
    <t>Player Data</t>
  </si>
  <si>
    <t>Base Scan (11 June 2026)</t>
  </si>
  <si>
    <t>Pass 4 (13-16 June 2026)</t>
  </si>
  <si>
    <t>Pass 7 + KL  (17/6 - 7/7)</t>
  </si>
  <si>
    <t>Governor ID</t>
  </si>
  <si>
    <t>KP</t>
  </si>
  <si>
    <t>T1 Kills</t>
  </si>
  <si>
    <t>Dead</t>
  </si>
  <si>
    <t>RSS Assist</t>
  </si>
  <si>
    <t>Scan Power</t>
  </si>
  <si>
    <t>Scan KP</t>
  </si>
  <si>
    <t>ᵁᴺPisontije</t>
  </si>
  <si>
    <t>ᵁᴺLiwen 龍</t>
  </si>
  <si>
    <t>ᵁᴺHeliosツ</t>
  </si>
  <si>
    <t>ᵁᴺ乄Bツ</t>
  </si>
  <si>
    <t>ᵁᴺAyaz</t>
  </si>
  <si>
    <t>ᵁᴺLazy Catツ</t>
  </si>
  <si>
    <t>Keshiba ツ</t>
  </si>
  <si>
    <t>ᵁᴺBig Kayシ</t>
  </si>
  <si>
    <t>ᵁᴺ Saxon</t>
  </si>
  <si>
    <t>Ngacai</t>
  </si>
  <si>
    <t>ᵁᴺ・ Maka</t>
  </si>
  <si>
    <t>Vill Báalam</t>
  </si>
  <si>
    <t>ᵁᴺ Nizam</t>
  </si>
  <si>
    <t>メCalメ</t>
  </si>
  <si>
    <t>亗 Intersect</t>
  </si>
  <si>
    <t>Ħeřr Şimôñ</t>
  </si>
  <si>
    <t>ᵁᴺSeckin34</t>
  </si>
  <si>
    <t>ᵁᴺDaddy</t>
  </si>
  <si>
    <t>Urkel94</t>
  </si>
  <si>
    <t>OkBanSeChet</t>
  </si>
  <si>
    <t>ᵁᴺNarcissus</t>
  </si>
  <si>
    <t>ᵁᴺesor</t>
  </si>
  <si>
    <t>ᵁᴺSexyRickツ</t>
  </si>
  <si>
    <t>ᵁᴺSeeker</t>
  </si>
  <si>
    <t>R7R7</t>
  </si>
  <si>
    <t>ᵀᵒSirix8472</t>
  </si>
  <si>
    <t>KaizerX</t>
  </si>
  <si>
    <t>Steelite</t>
  </si>
  <si>
    <t>ᵁᴺDompfX</t>
  </si>
  <si>
    <t>乂 マoddi 乂</t>
  </si>
  <si>
    <t>Tzilacatzin</t>
  </si>
  <si>
    <t>Igor97</t>
  </si>
  <si>
    <t>ᵁᴺGreb</t>
  </si>
  <si>
    <t>ᵁᴺJoolsツ</t>
  </si>
  <si>
    <t>ᵛᶰシSunシ</t>
  </si>
  <si>
    <t>ᵁᴺFiLLer97</t>
  </si>
  <si>
    <t>ᵁᴺOhanaツ</t>
  </si>
  <si>
    <t>亗 DONJAN 亗</t>
  </si>
  <si>
    <t>ᵁᴺCesar82</t>
  </si>
  <si>
    <t>H ム I D E R</t>
  </si>
  <si>
    <t>ᵁᴺ乄1YED</t>
  </si>
  <si>
    <t>メSuper Manメ</t>
  </si>
  <si>
    <t>ᵁᴺCTAMツ</t>
  </si>
  <si>
    <t>NT ĐVL1</t>
  </si>
  <si>
    <t>CABJLorena</t>
  </si>
  <si>
    <t xml:space="preserve">Performance Analysis Report </t>
  </si>
  <si>
    <t>Final Data</t>
  </si>
  <si>
    <t>Player Progress</t>
  </si>
  <si>
    <t>Score</t>
  </si>
  <si>
    <t>Player Result</t>
  </si>
  <si>
    <t>Total Kills</t>
  </si>
  <si>
    <t>Total Acclaim</t>
  </si>
  <si>
    <t>% Min KP</t>
  </si>
  <si>
    <t>% Min Dead</t>
  </si>
  <si>
    <t>% Power Loss</t>
  </si>
  <si>
    <t>% Goal</t>
  </si>
  <si>
    <t>Good</t>
  </si>
  <si>
    <t>Need Improvement</t>
  </si>
  <si>
    <t>Dead Weight</t>
  </si>
  <si>
    <t>Scoring System</t>
  </si>
  <si>
    <t>Scaled Value = 1 + ( (Original Value - MIN Value) / (Max Value - Min Value) ) * 9</t>
  </si>
  <si>
    <t xml:space="preserve">where rescalin 1 to 10 Dw to Excellent </t>
  </si>
  <si>
    <t>Scaling equal 110% for Max Value to normalize scoring for all players</t>
  </si>
  <si>
    <t>Total Power</t>
  </si>
  <si>
    <t>Troops</t>
  </si>
  <si>
    <t>Requirement</t>
  </si>
  <si>
    <t>Result</t>
  </si>
  <si>
    <t>ID</t>
  </si>
  <si>
    <t>Pass 4 Power</t>
  </si>
  <si>
    <t>Pass 7 Power</t>
  </si>
  <si>
    <t>T3</t>
  </si>
  <si>
    <t>T4</t>
  </si>
  <si>
    <t>T5</t>
  </si>
  <si>
    <t>Total Troops</t>
  </si>
  <si>
    <t>Min Req Troops Dead</t>
  </si>
  <si>
    <t>T4 Dead</t>
  </si>
  <si>
    <t>T5 Dead</t>
  </si>
  <si>
    <t>Pass 4 Dead</t>
  </si>
  <si>
    <t>KL Dead</t>
  </si>
  <si>
    <t>%min Dead</t>
  </si>
  <si>
    <t>%Goal</t>
  </si>
  <si>
    <t>亗 Int Bully</t>
  </si>
  <si>
    <t>ᵁᴺJools Jnr</t>
  </si>
  <si>
    <t>Sir Guineapig</t>
  </si>
  <si>
    <t>Ugur Filler</t>
  </si>
  <si>
    <t>zeroed</t>
  </si>
  <si>
    <t>LilPisontije</t>
  </si>
  <si>
    <t>ᶜᴸCesar82</t>
  </si>
  <si>
    <t>ᵁᴺᴋᴀʏシ</t>
  </si>
  <si>
    <t>ᵁᴺSexyMaka</t>
  </si>
  <si>
    <t>BabyPisontije</t>
  </si>
  <si>
    <t>WTF Liwen</t>
  </si>
  <si>
    <t>ᵁᴺAurionツ</t>
  </si>
  <si>
    <t>Daddy Fill Me</t>
  </si>
  <si>
    <t>ᵁᴺ乄Bツツ</t>
  </si>
  <si>
    <t>Solinar ツ</t>
  </si>
  <si>
    <t>Sweet Kit Cat</t>
  </si>
  <si>
    <t>OMG Liwen</t>
  </si>
  <si>
    <t>ᵂᴾHelios</t>
  </si>
  <si>
    <t>HeliøsG2</t>
  </si>
  <si>
    <t>Nizam Fill1</t>
  </si>
  <si>
    <t>ᵁᴺOhanaツツ</t>
  </si>
  <si>
    <t>ツ ʂìʍøñ</t>
  </si>
  <si>
    <t>Daddy Jrr</t>
  </si>
  <si>
    <t>BabySexyRick</t>
  </si>
  <si>
    <t>Pass 7 and Kings Land Report (17/6 - 7/7 2026)</t>
  </si>
  <si>
    <t>Basic Data</t>
  </si>
  <si>
    <t>Requirements</t>
  </si>
  <si>
    <t>Player Goal</t>
  </si>
  <si>
    <t>Results</t>
  </si>
  <si>
    <t>Rank</t>
  </si>
  <si>
    <t>KL KP Gained</t>
  </si>
  <si>
    <t>KL T4 Kills</t>
  </si>
  <si>
    <t>KL T5 Kills</t>
  </si>
  <si>
    <t>KL Acclaim</t>
  </si>
  <si>
    <t>Minimum KP</t>
  </si>
  <si>
    <t>Minimum Dead</t>
  </si>
  <si>
    <t>KP Goal</t>
  </si>
  <si>
    <t>T1 Trade?</t>
  </si>
  <si>
    <t>Total T4 Kills</t>
  </si>
  <si>
    <t>Total T5 Kills</t>
  </si>
  <si>
    <t xml:space="preserve">Total T4 Dead </t>
  </si>
  <si>
    <t xml:space="preserve">Total T5 Dead </t>
  </si>
  <si>
    <t>Goal</t>
  </si>
  <si>
    <t>Pass 4 Report (13-16 June 2026)</t>
  </si>
  <si>
    <t>Highest Acclaim</t>
  </si>
  <si>
    <t>Total T4 Dead</t>
  </si>
  <si>
    <t>Total T5 Dead</t>
  </si>
  <si>
    <t>Basescan Report (11/6/2026)</t>
  </si>
  <si>
    <t>Vacation Permit</t>
  </si>
  <si>
    <t>RaDeK</t>
  </si>
  <si>
    <t>OPPA KIM J0NGUN</t>
  </si>
  <si>
    <t>RaDeK 2</t>
  </si>
  <si>
    <t>Killpoints</t>
  </si>
  <si>
    <t>Ranged</t>
  </si>
  <si>
    <t>Rss Gathered</t>
  </si>
  <si>
    <t>Rss Assistance</t>
  </si>
  <si>
    <t>Helps</t>
  </si>
  <si>
    <t>Alliance</t>
  </si>
  <si>
    <t>City Hall</t>
  </si>
  <si>
    <t>Location</t>
  </si>
  <si>
    <t>Notes</t>
  </si>
  <si>
    <t>[U97]Unitas</t>
  </si>
  <si>
    <t>ᴱˣᵒWuKong</t>
  </si>
  <si>
    <t>ᴱˣᵒPAPRI</t>
  </si>
  <si>
    <t>-</t>
  </si>
  <si>
    <t>ᵛᶰシSun シlqT</t>
  </si>
  <si>
    <t>レ タｳアン アイン</t>
  </si>
  <si>
    <t>シ Antonito シ</t>
  </si>
  <si>
    <t>[C97]Centuria</t>
  </si>
  <si>
    <t>KiLLer CLOWN</t>
  </si>
  <si>
    <t>[Z97]Zetwickepstein</t>
  </si>
  <si>
    <t>[3754]ESCORPIO</t>
  </si>
  <si>
    <t>Penny2287</t>
  </si>
  <si>
    <t>SashaPalych</t>
  </si>
  <si>
    <t>ᵁᴺMakMilos</t>
  </si>
  <si>
    <t>[76 PA]Phonix Asche</t>
  </si>
  <si>
    <t>VandraG</t>
  </si>
  <si>
    <t>[KWO7ILNT_Chién</t>
  </si>
  <si>
    <t>orbi22</t>
  </si>
  <si>
    <t>Akron乄</t>
  </si>
  <si>
    <t>[L97]Luminata</t>
  </si>
  <si>
    <t>P4cifist</t>
  </si>
  <si>
    <t>ᵁᴺMakarena</t>
  </si>
  <si>
    <t>SakuraMomo</t>
  </si>
  <si>
    <t>KREML</t>
  </si>
  <si>
    <t>Kings  Landing</t>
  </si>
  <si>
    <t>Radek 4</t>
  </si>
  <si>
    <t>[Lw23]Legendary Warriors!</t>
  </si>
  <si>
    <t>justzeromeisuck</t>
  </si>
  <si>
    <t>中FK中</t>
  </si>
  <si>
    <t>富江</t>
  </si>
  <si>
    <t>Vip3rs</t>
  </si>
  <si>
    <t>乄Eşkiya46乄</t>
  </si>
  <si>
    <t>乄Muhtarツ</t>
  </si>
  <si>
    <t>[LFdF]Farmers of fearless</t>
  </si>
  <si>
    <t>ᴸᶠWibuNolep</t>
  </si>
  <si>
    <t>[WVKW]VIKING</t>
  </si>
  <si>
    <t>SP L3</t>
  </si>
  <si>
    <t>[097]0Obscura</t>
  </si>
  <si>
    <t>MoNsTa</t>
  </si>
  <si>
    <t>Jar JarBinks</t>
  </si>
  <si>
    <t>NopeNope</t>
  </si>
  <si>
    <t>[A9T7]Allegia</t>
  </si>
  <si>
    <t>izmitli</t>
  </si>
  <si>
    <t>DianerysTarg</t>
  </si>
  <si>
    <t>乄Bツ4</t>
  </si>
  <si>
    <t>Правитель143862597</t>
  </si>
  <si>
    <t>Valhallas Gate</t>
  </si>
  <si>
    <t>[GYDT]Titans of Conquer</t>
  </si>
  <si>
    <t>ﾒUğurﾒfarm1</t>
  </si>
  <si>
    <t>WarLockF3</t>
  </si>
  <si>
    <t>ﾒUğurﾒfarm</t>
  </si>
  <si>
    <t>prince slavik</t>
  </si>
  <si>
    <t>Intersect F</t>
  </si>
  <si>
    <t>Steelite farm</t>
  </si>
  <si>
    <t>ﾒUğurﾒfarm2</t>
  </si>
  <si>
    <t>Odysseus32</t>
  </si>
  <si>
    <t>ᴸˢ Sunshine</t>
  </si>
  <si>
    <t>Dj0dj</t>
  </si>
  <si>
    <t>Yurich666</t>
  </si>
  <si>
    <t>[Huii]Lithnity</t>
  </si>
  <si>
    <t>Jools F1</t>
  </si>
  <si>
    <t>Steels farm</t>
  </si>
  <si>
    <t>ᴋAYtastrophe</t>
  </si>
  <si>
    <t>Правитель144019569</t>
  </si>
  <si>
    <t>ᴸˢ Moonlight</t>
  </si>
  <si>
    <t>ᴸᶠ Ğoku</t>
  </si>
  <si>
    <t>乄Bツ1</t>
  </si>
  <si>
    <t>乄Narcissus</t>
  </si>
  <si>
    <t>KIM BANK</t>
  </si>
  <si>
    <t>CalFam1</t>
  </si>
  <si>
    <t>Osut Urashiki</t>
  </si>
  <si>
    <t>AFKay</t>
  </si>
  <si>
    <t>DONJAN Farm</t>
  </si>
  <si>
    <t>Uğur farm</t>
  </si>
  <si>
    <t>ᵁᴺMakita</t>
  </si>
  <si>
    <t>DONJAN Farm2</t>
  </si>
  <si>
    <t>esor2 farm</t>
  </si>
  <si>
    <t>Writer11</t>
  </si>
  <si>
    <t>[LF=1]cGH13</t>
  </si>
  <si>
    <t>BabySexyRick1</t>
  </si>
  <si>
    <t>Mini Intersect</t>
  </si>
  <si>
    <t>Daddy Jr</t>
  </si>
  <si>
    <t>K0la</t>
  </si>
  <si>
    <t>GTI 2997 17</t>
  </si>
  <si>
    <t>乄Eşkiy46乄</t>
  </si>
  <si>
    <t>Taty  233</t>
  </si>
  <si>
    <t>CalFam2</t>
  </si>
  <si>
    <t>ᴸˢ Starlight</t>
  </si>
  <si>
    <t>VilTepeyóllotl</t>
  </si>
  <si>
    <t>[BR23]Black Rock</t>
  </si>
  <si>
    <t>велл</t>
  </si>
  <si>
    <t>[B-ki]Bel king</t>
  </si>
  <si>
    <t>GTI 2997 20</t>
  </si>
  <si>
    <t>EosFarm</t>
  </si>
  <si>
    <t>乄Narcissus 2</t>
  </si>
  <si>
    <t>Baby Guineapig</t>
  </si>
  <si>
    <t>CalFamIV</t>
  </si>
  <si>
    <t>Liwen Builder2</t>
  </si>
  <si>
    <t>NT ĐVLfam1</t>
  </si>
  <si>
    <t>ᴋᴀʏKayBoom</t>
  </si>
  <si>
    <t>vasylevs</t>
  </si>
  <si>
    <t>GTI 2997 18</t>
  </si>
  <si>
    <t>Ngacai Farm 4</t>
  </si>
  <si>
    <t>Seckin34farm</t>
  </si>
  <si>
    <t>Ngacai Farm 3</t>
  </si>
  <si>
    <t>Vill Huracán</t>
  </si>
  <si>
    <t>Kaiser FII</t>
  </si>
  <si>
    <t>[097]Obscura</t>
  </si>
  <si>
    <t>GTI 2997 43</t>
  </si>
  <si>
    <t>Ugur farmi</t>
  </si>
  <si>
    <t>Liwen F16</t>
  </si>
  <si>
    <t>GTI 2997 49</t>
  </si>
  <si>
    <t>ᴸˢ Mistral</t>
  </si>
  <si>
    <t>HeliøsG1</t>
  </si>
  <si>
    <t>godgel fArm</t>
  </si>
  <si>
    <t>Makazpuszczy</t>
  </si>
  <si>
    <t>Maka oui oui</t>
  </si>
  <si>
    <t>GTI 2997 42</t>
  </si>
  <si>
    <t>GTI 2997 36</t>
  </si>
  <si>
    <t>GTI 2997 37</t>
  </si>
  <si>
    <t>GTI 2997 41</t>
  </si>
  <si>
    <t>Girl Zolo</t>
  </si>
  <si>
    <t>Màka</t>
  </si>
  <si>
    <t>Liwen F1</t>
  </si>
  <si>
    <t>WhereIsKay</t>
  </si>
  <si>
    <t>HereIsKay</t>
  </si>
  <si>
    <t>Urkel94Farm</t>
  </si>
  <si>
    <t>lord 4 u</t>
  </si>
  <si>
    <t>GTI 2997 48</t>
  </si>
  <si>
    <t>MyythFarm</t>
  </si>
  <si>
    <t>乄Bツ2</t>
  </si>
  <si>
    <t>Máka</t>
  </si>
  <si>
    <t>Tristan26</t>
  </si>
  <si>
    <t>GTI 2997 21</t>
  </si>
  <si>
    <t>GTI 2997 45</t>
  </si>
  <si>
    <t>Måka</t>
  </si>
  <si>
    <t>Maka baby</t>
  </si>
  <si>
    <t>乄Narcissus 3</t>
  </si>
  <si>
    <t>Mąkita</t>
  </si>
  <si>
    <t>Liwen Builder1</t>
  </si>
  <si>
    <t>GTI 2997 22</t>
  </si>
  <si>
    <t>Vednetta96</t>
  </si>
  <si>
    <t>[Owl_]Blood of Sparta</t>
  </si>
  <si>
    <t>Kaiser FIII</t>
  </si>
  <si>
    <t>GTI 2997 13</t>
  </si>
  <si>
    <t>Mäka</t>
  </si>
  <si>
    <t>GrebF3</t>
  </si>
  <si>
    <t>H ム l D E R</t>
  </si>
  <si>
    <t>Māka</t>
  </si>
  <si>
    <t>GTI 2997 44</t>
  </si>
  <si>
    <t>Mâka</t>
  </si>
  <si>
    <t>AurionW1</t>
  </si>
  <si>
    <t>Seckin34farm2</t>
  </si>
  <si>
    <t>Mini Sun f3</t>
  </si>
  <si>
    <t>GTI 2997 12</t>
  </si>
  <si>
    <t>KayOS</t>
  </si>
  <si>
    <t>[V97]Virtia</t>
  </si>
  <si>
    <t>CalFam3</t>
  </si>
  <si>
    <t>vasilisdim</t>
  </si>
  <si>
    <t>Jools F2</t>
  </si>
  <si>
    <t>BabySexyRick4</t>
  </si>
  <si>
    <t>GTI 2997 15</t>
  </si>
  <si>
    <t>Governador133538918</t>
  </si>
  <si>
    <t>SirixFarm</t>
  </si>
  <si>
    <t>Wukong farm 1</t>
  </si>
  <si>
    <t>GTI 2997 38</t>
  </si>
  <si>
    <t>Guineapig Farm1</t>
  </si>
  <si>
    <t>Guineapig Farm2</t>
  </si>
  <si>
    <t>Lim Bé Bỏng</t>
  </si>
  <si>
    <t>BabySexyRick7</t>
  </si>
  <si>
    <t>GTI 2997 24</t>
  </si>
  <si>
    <t>BabySexyRick8</t>
  </si>
  <si>
    <t>Wukong farm 2</t>
  </si>
  <si>
    <t>Seckin34farm3</t>
  </si>
  <si>
    <t>ᴸᶠmusíre</t>
  </si>
  <si>
    <t>GTI 2997 11</t>
  </si>
  <si>
    <t>Daddy Jr2</t>
  </si>
  <si>
    <t>BabySexyRick3</t>
  </si>
  <si>
    <t>665HOOLIG</t>
  </si>
  <si>
    <t>661HOOLIG</t>
  </si>
  <si>
    <t>GTI 2997 05</t>
  </si>
  <si>
    <t>RaDeK fama 4</t>
  </si>
  <si>
    <t>352FCM</t>
  </si>
  <si>
    <t>BabySexyRick5</t>
  </si>
  <si>
    <t>MicroPisontije</t>
  </si>
  <si>
    <t>GTI 2997 07</t>
  </si>
  <si>
    <t>GTI 2997 03</t>
  </si>
  <si>
    <t>GTI 2997 04</t>
  </si>
  <si>
    <t>乄Bツ3</t>
  </si>
  <si>
    <t>BabySexyRick2</t>
  </si>
  <si>
    <t>Governor56368551</t>
  </si>
  <si>
    <t>執政官145076382</t>
  </si>
  <si>
    <t>Liwen F3</t>
  </si>
  <si>
    <t>Liwen F4</t>
  </si>
  <si>
    <t>GTI 2997 08</t>
  </si>
  <si>
    <t>Liwen F2</t>
  </si>
  <si>
    <t>GTI 2997 06</t>
  </si>
  <si>
    <t>GTI 2997 01</t>
  </si>
  <si>
    <t>AurionF1</t>
  </si>
  <si>
    <t>GTI 2997 02</t>
  </si>
  <si>
    <t>GTI 2997 23</t>
  </si>
  <si>
    <t>mini sun go</t>
  </si>
  <si>
    <t>GTI 2997 29</t>
  </si>
  <si>
    <t>GTI 2997 28</t>
  </si>
  <si>
    <t>Maka Fą</t>
  </si>
  <si>
    <t>Liwen F5</t>
  </si>
  <si>
    <t>GTI 2997 26</t>
  </si>
  <si>
    <t>Kaiser XXV</t>
  </si>
  <si>
    <t>GTI 2997 14</t>
  </si>
  <si>
    <t>Liwen F6</t>
  </si>
  <si>
    <t>GTI 2997 27</t>
  </si>
  <si>
    <t>Daddy F65</t>
  </si>
  <si>
    <t>GTI 2997 031</t>
  </si>
  <si>
    <t>Yang Manjun</t>
  </si>
  <si>
    <t>[Mirz]Ramazonov</t>
  </si>
  <si>
    <t>mini sun ngo</t>
  </si>
  <si>
    <t>GTI 2997 25</t>
  </si>
  <si>
    <t>GTI 2997 34</t>
  </si>
  <si>
    <t>Liwen F7</t>
  </si>
  <si>
    <t>Liwen F8</t>
  </si>
  <si>
    <t>Liwen F9</t>
  </si>
  <si>
    <t>GTI 2997 30</t>
  </si>
  <si>
    <t>Little Roddi</t>
  </si>
  <si>
    <t>Liwen F10</t>
  </si>
  <si>
    <t>Thống đốc148045560</t>
  </si>
  <si>
    <t>GTI 2997 09</t>
  </si>
  <si>
    <t>RossX</t>
  </si>
  <si>
    <t>Sleepycat farm</t>
  </si>
  <si>
    <t>MythFarm2</t>
  </si>
  <si>
    <t>GTI 2997 32</t>
  </si>
  <si>
    <t>GTI 2997 33</t>
  </si>
  <si>
    <t>Wukong farm 3</t>
  </si>
  <si>
    <t>GTI 2997 10</t>
  </si>
  <si>
    <t>Governor124754233</t>
  </si>
  <si>
    <t>ou ツ</t>
  </si>
  <si>
    <t>Kaiser XII</t>
  </si>
  <si>
    <t>乄Narcissus 4</t>
  </si>
  <si>
    <t>Mini Roddi</t>
  </si>
  <si>
    <t>GTI 3705 01</t>
  </si>
  <si>
    <t>GrebF4</t>
  </si>
  <si>
    <t>GTI 3705 02</t>
  </si>
  <si>
    <t>MyythFarm3</t>
  </si>
  <si>
    <t>GTI 2997 46</t>
  </si>
  <si>
    <t>Micro Roddi</t>
  </si>
  <si>
    <t>gti 3705 05</t>
  </si>
  <si>
    <t>GTI 2997 16</t>
  </si>
  <si>
    <t>メSuper Man Fメ</t>
  </si>
  <si>
    <t>888</t>
  </si>
  <si>
    <t>[iei8]jshw8uw82uwiisus</t>
  </si>
  <si>
    <t>MiniPisontije</t>
  </si>
  <si>
    <t>Daddy F67</t>
  </si>
  <si>
    <t>Okbansechet 2</t>
  </si>
  <si>
    <t>Mrs Kurwa Nynka</t>
  </si>
  <si>
    <t>[F97s]INTR GUILD</t>
  </si>
  <si>
    <t>Maka rena</t>
  </si>
  <si>
    <t>Only CH Level 25</t>
  </si>
  <si>
    <t>Total CH Level 25</t>
  </si>
  <si>
    <t>Zombies</t>
  </si>
  <si>
    <t>Character ID</t>
  </si>
  <si>
    <t>Username</t>
  </si>
  <si>
    <t>Highest Power</t>
  </si>
  <si>
    <t>T5 Deaths</t>
  </si>
  <si>
    <t>T4 Deaths</t>
  </si>
  <si>
    <t>Total Kill Points</t>
  </si>
  <si>
    <t>Resources Gathered</t>
  </si>
  <si>
    <t>Liwen F11</t>
  </si>
  <si>
    <t>Okbansechet 1</t>
  </si>
  <si>
    <t>GTI 3705 06</t>
  </si>
  <si>
    <t>AurionS1</t>
  </si>
  <si>
    <t>Wukong farm 4</t>
  </si>
  <si>
    <t>Nano Roddi</t>
  </si>
  <si>
    <t>Greb Farm2</t>
  </si>
  <si>
    <t>乄Narcissus 5</t>
  </si>
  <si>
    <t>GTI 2997 35</t>
  </si>
  <si>
    <t>Правитель144091906</t>
  </si>
  <si>
    <t>Quanto Roddi</t>
  </si>
  <si>
    <t>Pero Roddi</t>
  </si>
  <si>
    <t>Atto Roddi</t>
  </si>
  <si>
    <t>Seekerfarm</t>
  </si>
  <si>
    <t>lilQuanto Roddi</t>
  </si>
  <si>
    <t>R7r7</t>
  </si>
  <si>
    <t>Super Meo F3</t>
  </si>
  <si>
    <t>Daddy F4</t>
  </si>
  <si>
    <t>Bboiii</t>
  </si>
  <si>
    <t>WhyKay</t>
  </si>
  <si>
    <t>HeliosG4</t>
  </si>
  <si>
    <t>dyannerys 2</t>
  </si>
  <si>
    <t>H 么 I D E R</t>
  </si>
  <si>
    <t>Marie 23</t>
  </si>
  <si>
    <t>Daddy oh oui</t>
  </si>
  <si>
    <t>乄Muhtarツ 05</t>
  </si>
  <si>
    <t>HappyKay</t>
  </si>
  <si>
    <t>Daddy F87</t>
  </si>
  <si>
    <t>Kay ᴬᴵ</t>
  </si>
  <si>
    <t>น้ำพุ</t>
  </si>
  <si>
    <t>dilan123darp</t>
  </si>
  <si>
    <t>Governor143739483</t>
  </si>
  <si>
    <t>Daddy F69</t>
  </si>
  <si>
    <t>Governor144096892</t>
  </si>
  <si>
    <t>Greb F1</t>
  </si>
  <si>
    <t>Daddy F97</t>
  </si>
  <si>
    <t>Urkel94f1</t>
  </si>
  <si>
    <t>Governor60858422</t>
  </si>
  <si>
    <t>Governador144114367</t>
  </si>
  <si>
    <t>Governador144078727</t>
  </si>
  <si>
    <t>지도자143999942</t>
  </si>
  <si>
    <t>Vali22161084</t>
  </si>
  <si>
    <t>الحاكم143940084</t>
  </si>
  <si>
    <t>mini sun f4</t>
  </si>
  <si>
    <t>Daruma 2F</t>
  </si>
  <si>
    <t>Neyl2</t>
  </si>
  <si>
    <t>HeliosF69</t>
  </si>
  <si>
    <t>Gobernador144068816</t>
  </si>
  <si>
    <t>CapZoro Mini</t>
  </si>
  <si>
    <t>Governor109187588</t>
  </si>
  <si>
    <t>Gobernador144046309</t>
  </si>
  <si>
    <t>AleksaFarm94</t>
  </si>
  <si>
    <t>Governor144046611</t>
  </si>
  <si>
    <t>voidwolflf60</t>
  </si>
  <si>
    <t>Governor144047315</t>
  </si>
  <si>
    <t>Governor144078045</t>
  </si>
  <si>
    <t>Governor144063364</t>
  </si>
  <si>
    <t>小号mdd557</t>
  </si>
  <si>
    <t>Governor144046214</t>
  </si>
  <si>
    <t>Governor144052959</t>
  </si>
  <si>
    <t>الحاكم144020409</t>
  </si>
  <si>
    <t>Gobernador144041149</t>
  </si>
  <si>
    <t>Vali144053453</t>
  </si>
  <si>
    <t>Governor225602780</t>
  </si>
  <si>
    <t>Governor221326134</t>
  </si>
  <si>
    <t>Governor203299880</t>
  </si>
  <si>
    <t>Governor223638783</t>
  </si>
  <si>
    <t>Governor205258200</t>
  </si>
  <si>
    <t>Governor223682698</t>
  </si>
  <si>
    <t>Governor199926925</t>
  </si>
  <si>
    <t>Governor221761605</t>
  </si>
  <si>
    <t>Governor221305118</t>
  </si>
  <si>
    <t>Governor221322627</t>
  </si>
  <si>
    <t>Governor144068781</t>
  </si>
  <si>
    <t>Governor221407025</t>
  </si>
  <si>
    <t>Governor223646876</t>
  </si>
  <si>
    <t>Governor220046696</t>
  </si>
  <si>
    <t>Governor205345431</t>
  </si>
  <si>
    <t>Governor225577824</t>
  </si>
  <si>
    <t>Governor205746521</t>
  </si>
  <si>
    <t>Governor223898643</t>
  </si>
  <si>
    <t>Gouverneur144050955</t>
  </si>
  <si>
    <t>Governor223908345</t>
  </si>
  <si>
    <t>Governor224750794</t>
  </si>
  <si>
    <t>Governor224730459</t>
  </si>
  <si>
    <t>Governor225593741</t>
  </si>
  <si>
    <t>Governor224305057</t>
  </si>
  <si>
    <t>Правитель144060722</t>
  </si>
  <si>
    <t>Governor144078603</t>
  </si>
  <si>
    <t>Правитель144056901</t>
  </si>
  <si>
    <t>执政官164261828</t>
  </si>
  <si>
    <t>Governor144056398</t>
  </si>
  <si>
    <t>Governor Name</t>
  </si>
  <si>
    <t>Deaths</t>
  </si>
  <si>
    <t>T1</t>
  </si>
  <si>
    <t>T2</t>
  </si>
  <si>
    <t>Kills</t>
  </si>
  <si>
    <t>RSS Assistance</t>
  </si>
  <si>
    <t>Just Shturm</t>
  </si>
  <si>
    <t>ṦO</t>
  </si>
  <si>
    <t>亗 Hà 亗</t>
  </si>
  <si>
    <t>Tina Arev</t>
  </si>
  <si>
    <t>Piplup乄</t>
  </si>
  <si>
    <t>秦 Seadrop</t>
  </si>
  <si>
    <t>秦 Uncle P</t>
  </si>
  <si>
    <t>Angel ᴷᴼᴿ</t>
  </si>
  <si>
    <t>ᴿᴳ〤Sh4dy</t>
  </si>
  <si>
    <t>ᴿﾒ Dąrth</t>
  </si>
  <si>
    <t>KillForThrill</t>
  </si>
  <si>
    <t>Human ᴷᴼᴿ</t>
  </si>
  <si>
    <t>ᴿᴰhedgehog</t>
  </si>
  <si>
    <t>lord craxus</t>
  </si>
  <si>
    <t>Eversonex</t>
  </si>
  <si>
    <t>Legendhedgehog</t>
  </si>
  <si>
    <t>SHELBYBOY</t>
  </si>
  <si>
    <t>ᵐʳFlash</t>
  </si>
  <si>
    <t>ᴬᵛᴳ丶Yui</t>
  </si>
  <si>
    <t>Mike Wazovski</t>
  </si>
  <si>
    <t>pék min</t>
  </si>
  <si>
    <t>Amoh</t>
  </si>
  <si>
    <t>Projetap</t>
  </si>
  <si>
    <t>qnmd</t>
  </si>
  <si>
    <t>RubbyDaChubby88</t>
  </si>
  <si>
    <t>bozkurt2906</t>
  </si>
  <si>
    <t>RoKBịp</t>
  </si>
  <si>
    <t>ᴺᴷ 廴ëo</t>
  </si>
  <si>
    <t>AktanKG</t>
  </si>
  <si>
    <t>Rhyu</t>
  </si>
  <si>
    <t>Ecksdee</t>
  </si>
  <si>
    <t>愛ṤḀḾ愛</t>
  </si>
  <si>
    <t>Rioter</t>
  </si>
  <si>
    <t>Bandzi</t>
  </si>
  <si>
    <t>Ussopᴾᴴ</t>
  </si>
  <si>
    <t>亗Balak乄</t>
  </si>
  <si>
    <t>ᴿᴳElektek</t>
  </si>
  <si>
    <t>ᴿᴳメADLERツ</t>
  </si>
  <si>
    <t>LENHADOR</t>
  </si>
  <si>
    <t>B A D Z</t>
  </si>
  <si>
    <t>ᴿᴳ Santi</t>
  </si>
  <si>
    <t>PandaGazi</t>
  </si>
  <si>
    <t>ZgoD</t>
  </si>
  <si>
    <t>angheldyablo</t>
  </si>
  <si>
    <t>Devil ᴷᴼᴿ</t>
  </si>
  <si>
    <t>wiSki</t>
  </si>
  <si>
    <t>cirth</t>
  </si>
  <si>
    <t>亗BOB〤</t>
  </si>
  <si>
    <t>ᴿᴳM A R I O</t>
  </si>
  <si>
    <t>秦 Baba</t>
  </si>
  <si>
    <t>ᴿᴳ Slop</t>
  </si>
  <si>
    <t>Schweppes 1783</t>
  </si>
  <si>
    <t>Naruto A</t>
  </si>
  <si>
    <t>Jorace</t>
  </si>
  <si>
    <t>ˢᵂJisoo</t>
  </si>
  <si>
    <t>ʀɢ SUHAIL9</t>
  </si>
  <si>
    <t>ᴿᴳQuincy</t>
  </si>
  <si>
    <t>MaxCouP</t>
  </si>
  <si>
    <t>ˢᵂAnthonyCS</t>
  </si>
  <si>
    <t>ʳᶜ King YSG</t>
  </si>
  <si>
    <t>DanielDole</t>
  </si>
  <si>
    <t>ᴿᶠAksu</t>
  </si>
  <si>
    <t>Aboodselawi</t>
  </si>
  <si>
    <t>ᴿᵒ Auburn</t>
  </si>
  <si>
    <t>hüseyin05</t>
  </si>
  <si>
    <t>xviIux</t>
  </si>
  <si>
    <t>ᴿᶠLeclerc</t>
  </si>
  <si>
    <t>cuton18t</t>
  </si>
  <si>
    <t>ᴿᶠ Hamilton</t>
  </si>
  <si>
    <t>JeeCy</t>
  </si>
  <si>
    <t>SirAmber</t>
  </si>
  <si>
    <t>Tinkeboss</t>
  </si>
  <si>
    <t>ELie</t>
  </si>
  <si>
    <t>TinaArev</t>
  </si>
  <si>
    <t>ᴿᵒTepMum</t>
  </si>
  <si>
    <t>亗 Beidou 亗</t>
  </si>
  <si>
    <t>ʳᶜKyy For U</t>
  </si>
  <si>
    <t>ᴿᴳKingDombo</t>
  </si>
  <si>
    <t>亗・千xlipeひ</t>
  </si>
  <si>
    <t>AngelShuttle2</t>
  </si>
  <si>
    <t>ㄴ albara ㄱ</t>
  </si>
  <si>
    <t>ʳᶜ Ghostler</t>
  </si>
  <si>
    <t>L e X</t>
  </si>
  <si>
    <t>ᴿᴸLyfecombe</t>
  </si>
  <si>
    <t>亗 Yanis亗</t>
  </si>
  <si>
    <t>ᴿᴸ Vet1337</t>
  </si>
  <si>
    <t>秦Doanh Chính</t>
  </si>
  <si>
    <t>sitting bad76</t>
  </si>
  <si>
    <t>ᴿᴱMickèy</t>
  </si>
  <si>
    <t>ᴿᴳJay</t>
  </si>
  <si>
    <t>ᴿᴳLiebe</t>
  </si>
  <si>
    <t>ʳᶜgrey</t>
  </si>
  <si>
    <t>ᴿᶠ Honor</t>
  </si>
  <si>
    <t>ˢᵂGUTS</t>
  </si>
  <si>
    <t>a 명 현</t>
  </si>
  <si>
    <t>ʳᶜ Lang lago</t>
  </si>
  <si>
    <t>kemo94</t>
  </si>
  <si>
    <t>ʳᶜ KATY katy</t>
  </si>
  <si>
    <t>Lastgoodbye</t>
  </si>
  <si>
    <t>ˢᵂAugustus</t>
  </si>
  <si>
    <t>ᴿᴳScorpio</t>
  </si>
  <si>
    <t>PAPA MHK ᴵᴰ</t>
  </si>
  <si>
    <t>Trumpメ</t>
  </si>
  <si>
    <t>ᴿᵒWwunsz</t>
  </si>
  <si>
    <t>秦 KatebarrrMI</t>
  </si>
  <si>
    <t>ᴿᴳ〤Bl4ckY</t>
  </si>
  <si>
    <t>JedimasterHR</t>
  </si>
  <si>
    <t>ᴿᴸ yeikocr7</t>
  </si>
  <si>
    <t>Matis93</t>
  </si>
  <si>
    <t>秦NapoLe0n</t>
  </si>
  <si>
    <t>ᴿᵒCanggu</t>
  </si>
  <si>
    <t>Rambito31</t>
  </si>
  <si>
    <t>ʳᶜEasyMolll</t>
  </si>
  <si>
    <t>HaiKoNguoiYeu</t>
  </si>
  <si>
    <t>ᴿᴳTHEDOG</t>
  </si>
  <si>
    <t>FuryK1</t>
  </si>
  <si>
    <t>KingHilmaNxt</t>
  </si>
  <si>
    <t>ᴿʸ Nami</t>
  </si>
  <si>
    <t>BintangKeciil</t>
  </si>
  <si>
    <t>ParamPam1</t>
  </si>
  <si>
    <t>VARTOLU 66</t>
  </si>
  <si>
    <t>〤Hantu〤</t>
  </si>
  <si>
    <t>ʳᶜ A Tủn</t>
  </si>
  <si>
    <t>Coi190</t>
  </si>
  <si>
    <t>Thaer alghuzo</t>
  </si>
  <si>
    <t>sürekliishal</t>
  </si>
  <si>
    <t>ᴿᴳ V A N G</t>
  </si>
  <si>
    <t>ᴿᶠ Vettel</t>
  </si>
  <si>
    <t>JanDos</t>
  </si>
  <si>
    <t>C4P0</t>
  </si>
  <si>
    <t>ツFarmerPanda</t>
  </si>
  <si>
    <t>ᴵᴰ Fearless</t>
  </si>
  <si>
    <t>siluman janda</t>
  </si>
  <si>
    <t>KEIRA73</t>
  </si>
  <si>
    <t>〤 DON 〤</t>
  </si>
  <si>
    <t>AngelGM180</t>
  </si>
  <si>
    <t>Trung0x</t>
  </si>
  <si>
    <t>Selçuk35</t>
  </si>
  <si>
    <t>KurdisH</t>
  </si>
  <si>
    <t>xxFlyTurcoxx</t>
  </si>
  <si>
    <t>우쭈쭈</t>
  </si>
  <si>
    <t>gocer12</t>
  </si>
  <si>
    <t>Young Dragon</t>
  </si>
  <si>
    <t>THANHHA</t>
  </si>
  <si>
    <t>Royal Phoenix</t>
  </si>
  <si>
    <t>ʳᶜSatoru么</t>
  </si>
  <si>
    <t>秦 Katebarr</t>
  </si>
  <si>
    <t>WHiTe</t>
  </si>
  <si>
    <t>Shuriken V2</t>
  </si>
  <si>
    <t>ᴿᴳSebadoh</t>
  </si>
  <si>
    <t>Pilot77</t>
  </si>
  <si>
    <t>Mortecouilles</t>
  </si>
  <si>
    <t>gtx81</t>
  </si>
  <si>
    <t>Phở BòoOoo</t>
  </si>
  <si>
    <t>ᴿᴳDárk Cat</t>
  </si>
  <si>
    <t>ˢᵂAugustusJr</t>
  </si>
  <si>
    <t>G0ad</t>
  </si>
  <si>
    <t>victorslightly</t>
  </si>
  <si>
    <t>Tony noob</t>
  </si>
  <si>
    <t>ᴿᴸIVAR彡</t>
  </si>
  <si>
    <t>ᴿᴳDuelist</t>
  </si>
  <si>
    <t>ᴿᴳBé dâu</t>
  </si>
  <si>
    <t>Reiyo マツモト</t>
  </si>
  <si>
    <t>雷zenitsu</t>
  </si>
  <si>
    <t>霸天犬</t>
  </si>
  <si>
    <t>Driftwood</t>
  </si>
  <si>
    <t>ᵛᴹGb06</t>
  </si>
  <si>
    <t>Govad</t>
  </si>
  <si>
    <t>MAGIK</t>
  </si>
  <si>
    <t>HAIKONGUOIYEU</t>
  </si>
  <si>
    <t>ishakbeni</t>
  </si>
  <si>
    <t>RedScorpion42</t>
  </si>
  <si>
    <t>ʳᶜdoramini69</t>
  </si>
  <si>
    <t>ˢᵂAsmodeus</t>
  </si>
  <si>
    <t>Santai woles</t>
  </si>
  <si>
    <t>K a R a</t>
  </si>
  <si>
    <t>ᶞᶞZenPhinx</t>
  </si>
  <si>
    <t>rimurut16</t>
  </si>
  <si>
    <t>Piplup F2</t>
  </si>
  <si>
    <t>ᴿᴸRedDragoN</t>
  </si>
  <si>
    <t>Dũng 88 CR7</t>
  </si>
  <si>
    <t>silence moon</t>
  </si>
  <si>
    <t>Salegosse</t>
  </si>
  <si>
    <t>Thu Suong</t>
  </si>
  <si>
    <t>Grìmm</t>
  </si>
  <si>
    <t>WärZ</t>
  </si>
  <si>
    <t>zaiper44</t>
  </si>
  <si>
    <t>Greundzo01</t>
  </si>
  <si>
    <t>bob10092612</t>
  </si>
  <si>
    <t>Jonsby</t>
  </si>
  <si>
    <t>Kevin Daubuoyne</t>
  </si>
  <si>
    <t>Piplup F1</t>
  </si>
  <si>
    <t>秦 Katebarr II</t>
  </si>
  <si>
    <t>ОООгруд</t>
  </si>
  <si>
    <t>Burlingue</t>
  </si>
  <si>
    <t>EC CRACK593</t>
  </si>
  <si>
    <t>ᴿᴳarianna</t>
  </si>
  <si>
    <t>ᴿᴸ Danny</t>
  </si>
  <si>
    <t>MoMo2024</t>
  </si>
  <si>
    <t>ᴿᴸPandabier</t>
  </si>
  <si>
    <t>ˢᵂRainsen</t>
  </si>
  <si>
    <t>ᴿᴱ BOGATYR</t>
  </si>
  <si>
    <t>Jocke72</t>
  </si>
  <si>
    <t>ᴿᴳSHANZ</t>
  </si>
  <si>
    <t>Crellen</t>
  </si>
  <si>
    <t>Kinhg off</t>
  </si>
  <si>
    <t>ˢᵂMojokerto</t>
  </si>
  <si>
    <t>LaBestiaYelColo</t>
  </si>
  <si>
    <t>ᴿᴸMichaloEz</t>
  </si>
  <si>
    <t>Rollupkiller</t>
  </si>
  <si>
    <t>PEPERmint</t>
  </si>
  <si>
    <t>Legion Anck</t>
  </si>
  <si>
    <t>ᴿᴸWikaUwU</t>
  </si>
  <si>
    <t>Spartacus 71</t>
  </si>
  <si>
    <t>ᴵᴰ Jugil</t>
  </si>
  <si>
    <t>ᴿᴸSiarczan</t>
  </si>
  <si>
    <t>Diego il magno</t>
  </si>
  <si>
    <t>ᴿᴳHAWK TUAH</t>
  </si>
  <si>
    <t>Vivid Inc</t>
  </si>
  <si>
    <t>Kaido1902</t>
  </si>
  <si>
    <t>shtih81</t>
  </si>
  <si>
    <t>Pandasss</t>
  </si>
  <si>
    <t>Aphentis</t>
  </si>
  <si>
    <t>Mr Talha</t>
  </si>
  <si>
    <t>ˢᵂEkanda4eva</t>
  </si>
  <si>
    <t>NagatomoKARA</t>
  </si>
  <si>
    <t>LeeMangLeeBo</t>
  </si>
  <si>
    <t>ᴴᵖ lubo</t>
  </si>
  <si>
    <t>Peter Z</t>
  </si>
  <si>
    <t>YaroslavKBot</t>
  </si>
  <si>
    <t>ᴿᴳNorrlow</t>
  </si>
  <si>
    <t>Cola cha chacha</t>
  </si>
  <si>
    <t>DIEGOGH</t>
  </si>
  <si>
    <t>VDZDarkness</t>
  </si>
  <si>
    <t>ᴿᴸ Imperia</t>
  </si>
  <si>
    <t>Dĩn HL</t>
  </si>
  <si>
    <t>guillereyes</t>
  </si>
  <si>
    <t>ˢᵂtembok</t>
  </si>
  <si>
    <t>Lenny LandRover</t>
  </si>
  <si>
    <t>ᴿᴸKingLK07</t>
  </si>
  <si>
    <t>SnorlaX</t>
  </si>
  <si>
    <t>Sarcity</t>
  </si>
  <si>
    <t>KOMAFELÇ</t>
  </si>
  <si>
    <t>haze00</t>
  </si>
  <si>
    <t>NP x Adønis</t>
  </si>
  <si>
    <t>MadianSalahadin</t>
  </si>
  <si>
    <t>V・Minh</t>
  </si>
  <si>
    <t>ᴿᴸ Willem5T</t>
  </si>
  <si>
    <t>Fearless731991</t>
  </si>
  <si>
    <t>Zombi01</t>
  </si>
  <si>
    <t>Darth jr 2</t>
  </si>
  <si>
    <t>ᴿᴳBread3259</t>
  </si>
  <si>
    <t>chimotz</t>
  </si>
  <si>
    <t>BLEEDING KNIFE</t>
  </si>
  <si>
    <t>MyJIbTuK CCCP</t>
  </si>
  <si>
    <t>ᴿᴳ Saxi 彡</t>
  </si>
  <si>
    <t>TheCollective</t>
  </si>
  <si>
    <t>Alexandros B</t>
  </si>
  <si>
    <t>War of Peace</t>
  </si>
  <si>
    <t>StillTobsen</t>
  </si>
  <si>
    <t>Zombro12</t>
  </si>
  <si>
    <t>ilhan92</t>
  </si>
  <si>
    <t>Katana W</t>
  </si>
  <si>
    <t>BOB LEE FARM</t>
  </si>
  <si>
    <t>Ciaranacus</t>
  </si>
  <si>
    <t>ˢᵂMsJisoo</t>
  </si>
  <si>
    <t>Snowpeps</t>
  </si>
  <si>
    <t>Oğuz86</t>
  </si>
  <si>
    <t>Chester       J</t>
  </si>
  <si>
    <t>Hell mr joker</t>
  </si>
  <si>
    <t>WILLYJ</t>
  </si>
  <si>
    <t>ᴿᴳyüxexes</t>
  </si>
  <si>
    <t>ˢᵂstinky01</t>
  </si>
  <si>
    <t>Ali2131</t>
  </si>
  <si>
    <t>DenesLeonardo</t>
  </si>
  <si>
    <t>BomBM</t>
  </si>
  <si>
    <t>Fossoyeur</t>
  </si>
  <si>
    <t>ˢᵂSurja</t>
  </si>
  <si>
    <t>OrionFangorn</t>
  </si>
  <si>
    <t>ʳᶜ Bố Ken</t>
  </si>
  <si>
    <t>JanDos04</t>
  </si>
  <si>
    <t>ZORROO</t>
  </si>
  <si>
    <t>cocacolinha</t>
  </si>
  <si>
    <t>Zero2hero</t>
  </si>
  <si>
    <t>alexito2ab</t>
  </si>
  <si>
    <t>tcATATÜRK</t>
  </si>
  <si>
    <t>Ãñdrës</t>
  </si>
  <si>
    <t>Coooller</t>
  </si>
  <si>
    <t>achai14</t>
  </si>
  <si>
    <t>ᵂᴳScorpioN</t>
  </si>
  <si>
    <t>kalash00</t>
  </si>
  <si>
    <t>Zeiah</t>
  </si>
  <si>
    <t>彡Bl4cky</t>
  </si>
  <si>
    <t>juliogam</t>
  </si>
  <si>
    <t>KHALED 999</t>
  </si>
  <si>
    <t>Helloworld17727</t>
  </si>
  <si>
    <t>taikhoandaxoa</t>
  </si>
  <si>
    <t>ᴿᴳXzeno7</t>
  </si>
  <si>
    <t>Red Prime</t>
  </si>
  <si>
    <t>Dajtieuthu13</t>
  </si>
  <si>
    <t>embouk</t>
  </si>
  <si>
    <t>Rcmvp</t>
  </si>
  <si>
    <t>ᴿᴸ LOKYCR7</t>
  </si>
  <si>
    <t>MiniCS Carrissa</t>
  </si>
  <si>
    <t>Ekaterina 19</t>
  </si>
  <si>
    <t>ParamPam1farm</t>
  </si>
  <si>
    <t>Acerit0</t>
  </si>
  <si>
    <t>BELYI OLEG</t>
  </si>
  <si>
    <t>bareviseb</t>
  </si>
  <si>
    <t>Juuuuullliiiaaa</t>
  </si>
  <si>
    <t>XxxDAINAMOTSxxX</t>
  </si>
  <si>
    <t>ᴿᴸ BreeeZ</t>
  </si>
  <si>
    <t>Felp Lannister</t>
  </si>
  <si>
    <t>https://neony24.com/kontakt/</t>
  </si>
  <si>
    <t>Cris199</t>
  </si>
  <si>
    <t>Arsenai 2023</t>
  </si>
  <si>
    <t>Diana Dz</t>
  </si>
  <si>
    <t>Peacedun</t>
  </si>
  <si>
    <t>G Magic</t>
  </si>
  <si>
    <t>Rozerin21</t>
  </si>
  <si>
    <t>tyo46s</t>
  </si>
  <si>
    <t>Reider1 LTU</t>
  </si>
  <si>
    <t>Coldplum</t>
  </si>
  <si>
    <t>f4nt4</t>
  </si>
  <si>
    <t>SavagePappyII</t>
  </si>
  <si>
    <t>uracan blindado</t>
  </si>
  <si>
    <t>Mikemps</t>
  </si>
  <si>
    <t>creep15</t>
  </si>
  <si>
    <t>Santana10</t>
  </si>
  <si>
    <t>Mikey1112233</t>
  </si>
  <si>
    <t>anantara</t>
  </si>
  <si>
    <t>ᴿᴳKING ZIXU</t>
  </si>
  <si>
    <t>ThànhLVuitton</t>
  </si>
  <si>
    <t>edriun</t>
  </si>
  <si>
    <t>Isabella1803</t>
  </si>
  <si>
    <t>RGQuincyFarm</t>
  </si>
  <si>
    <t>Zeus 77777</t>
  </si>
  <si>
    <t>Prinzessin xd</t>
  </si>
  <si>
    <t>Rihannas4head</t>
  </si>
  <si>
    <t>Emirhan1238</t>
  </si>
  <si>
    <t>ᴾᴷ Mahsut</t>
  </si>
  <si>
    <t>ᴿᵒSH4RKK</t>
  </si>
  <si>
    <t>SAVAŞÇI29</t>
  </si>
  <si>
    <t>azUrite</t>
  </si>
  <si>
    <t>TinkerPott</t>
  </si>
  <si>
    <t>ᴿᵒcanggu 2</t>
  </si>
  <si>
    <t>yuni원</t>
  </si>
  <si>
    <t>Ragnarokll</t>
  </si>
  <si>
    <t>Marshall Mirey</t>
  </si>
  <si>
    <t>Lord Gooch</t>
  </si>
  <si>
    <t>Lord Crixus</t>
  </si>
  <si>
    <t>ᴿᵒskippyDmg</t>
  </si>
  <si>
    <t>Trumpメ Supply</t>
  </si>
  <si>
    <t>BIG EL CHAPO</t>
  </si>
  <si>
    <t>mist0</t>
  </si>
  <si>
    <t>亗 Jandro 亗</t>
  </si>
  <si>
    <t>Junethug</t>
  </si>
  <si>
    <t>Sageyo</t>
  </si>
  <si>
    <t>ʳᶜ Quá Nhi</t>
  </si>
  <si>
    <t>Aboodalselawi2</t>
  </si>
  <si>
    <t>Бужяй</t>
  </si>
  <si>
    <t>kachanchik72</t>
  </si>
  <si>
    <t>Lawi73</t>
  </si>
  <si>
    <t>DesGom</t>
  </si>
  <si>
    <t>JItaliano</t>
  </si>
  <si>
    <t>FATIH I 亗</t>
  </si>
  <si>
    <t>ESPARTANO123</t>
  </si>
  <si>
    <t>Horzus</t>
  </si>
  <si>
    <t>YrKoh</t>
  </si>
  <si>
    <t>안개Z</t>
  </si>
  <si>
    <t>Thefeircesbro14</t>
  </si>
  <si>
    <t>eXileJohnsen</t>
  </si>
  <si>
    <t>TLP Comengam</t>
  </si>
  <si>
    <t>King Enix</t>
  </si>
  <si>
    <t>Theo The 3rd</t>
  </si>
  <si>
    <t>Fatxvilux</t>
  </si>
  <si>
    <t>TimeToSayBye</t>
  </si>
  <si>
    <t>TR XxBaşgaN xX</t>
  </si>
  <si>
    <t>AngelShuttle</t>
  </si>
  <si>
    <t>ARTPROOO</t>
  </si>
  <si>
    <t>FcukYouAll</t>
  </si>
  <si>
    <t>ᴿʸ DON</t>
  </si>
  <si>
    <t>Ladermax</t>
  </si>
  <si>
    <t>mic1810</t>
  </si>
  <si>
    <t>Tini Darth</t>
  </si>
  <si>
    <t>yass queen</t>
  </si>
  <si>
    <t>vitek161191</t>
  </si>
  <si>
    <t>monopoly city01</t>
  </si>
  <si>
    <t>KrystalJung</t>
  </si>
  <si>
    <t>Dinh370</t>
  </si>
  <si>
    <t>CZ chan</t>
  </si>
  <si>
    <t>ªºLvinyx</t>
  </si>
  <si>
    <t>Player159RUS</t>
  </si>
  <si>
    <t>ᴿᴹ쎈Mrwaza</t>
  </si>
  <si>
    <t>ndhh</t>
  </si>
  <si>
    <t>RealShuriken</t>
  </si>
  <si>
    <t>Bob Esponja9</t>
  </si>
  <si>
    <t>EbbeOstedt</t>
  </si>
  <si>
    <t>England British</t>
  </si>
  <si>
    <t>marion35</t>
  </si>
  <si>
    <t>Tinkeboss Jr</t>
  </si>
  <si>
    <t>N515F</t>
  </si>
  <si>
    <t>Gwen24</t>
  </si>
  <si>
    <t>NANITA08</t>
  </si>
  <si>
    <t>abdo  12</t>
  </si>
  <si>
    <t>ʳᶜ Long Nhi</t>
  </si>
  <si>
    <t>Hà 2</t>
  </si>
  <si>
    <t>ᴿᴳXReaper</t>
  </si>
  <si>
    <t>Legio I Claudia</t>
  </si>
  <si>
    <t>ᵀᶜAK1NC1LAR</t>
  </si>
  <si>
    <t>秦 Xiang Yu</t>
  </si>
  <si>
    <t>亗 Hà2 亗</t>
  </si>
  <si>
    <t>ᴿᴳMiquella</t>
  </si>
  <si>
    <t>LINO6555276</t>
  </si>
  <si>
    <t>Zilong Lance</t>
  </si>
  <si>
    <t>Chuongda2958</t>
  </si>
  <si>
    <t>imanno16</t>
  </si>
  <si>
    <t>f GB ñ</t>
  </si>
  <si>
    <t>gouverneurKim</t>
  </si>
  <si>
    <t>dok38</t>
  </si>
  <si>
    <t>That guy pal 12</t>
  </si>
  <si>
    <t>Arturpad</t>
  </si>
  <si>
    <t>Glouon</t>
  </si>
  <si>
    <t>Whitbeard</t>
  </si>
  <si>
    <t>El Paso Robles</t>
  </si>
  <si>
    <t>Chevid0s</t>
  </si>
  <si>
    <t>сузик000</t>
  </si>
  <si>
    <t>ufufyx</t>
  </si>
  <si>
    <t>Mannion97</t>
  </si>
  <si>
    <t>Digd45</t>
  </si>
  <si>
    <t>Big Baby Davis</t>
  </si>
  <si>
    <t>47T1</t>
  </si>
  <si>
    <t>Lee Seen</t>
  </si>
  <si>
    <t>Sir Arny</t>
  </si>
  <si>
    <t>single origin</t>
  </si>
  <si>
    <t>Tòan Thắng</t>
  </si>
  <si>
    <t>Youcef bzdinga</t>
  </si>
  <si>
    <t>champion people</t>
  </si>
  <si>
    <t>Wizdaddy</t>
  </si>
  <si>
    <t>Neilosaurus</t>
  </si>
  <si>
    <t>Alcapone10</t>
  </si>
  <si>
    <t>PAKETA Watel</t>
  </si>
  <si>
    <t>MR CLEAN69</t>
  </si>
  <si>
    <t>G9 pukhtoon</t>
  </si>
  <si>
    <t>BigRich F1</t>
  </si>
  <si>
    <t>Biluch</t>
  </si>
  <si>
    <t>Mecit51</t>
  </si>
  <si>
    <t>xSharkyx</t>
  </si>
  <si>
    <t>Wolf Vior88</t>
  </si>
  <si>
    <t>Fearless7319</t>
  </si>
  <si>
    <t>CHINAZES</t>
  </si>
  <si>
    <t>Rampo Kanaeru</t>
  </si>
  <si>
    <t>BiIuch</t>
  </si>
  <si>
    <t>Jtbloodline</t>
  </si>
  <si>
    <t>acma01</t>
  </si>
  <si>
    <t>JACK HANMA ª</t>
  </si>
  <si>
    <t>niee hoaafgg</t>
  </si>
  <si>
    <t>xviluxFarmMad</t>
  </si>
  <si>
    <t>ArTuRoOo</t>
  </si>
  <si>
    <t>Südafrika</t>
  </si>
  <si>
    <t>ĜÏŤĽÉŔ</t>
  </si>
  <si>
    <t>REGU8ER</t>
  </si>
  <si>
    <t>ᴿᴸ CR7 Goal</t>
  </si>
  <si>
    <t>VANG farm</t>
  </si>
  <si>
    <t>ᴳʷINAJABRAN</t>
  </si>
  <si>
    <t>MGMartin</t>
  </si>
  <si>
    <t>Freds city</t>
  </si>
  <si>
    <t>a little</t>
  </si>
  <si>
    <t>Kevmangames</t>
  </si>
  <si>
    <t>ᴿᴸTheRaven</t>
  </si>
  <si>
    <t>ᴿᴱshadow</t>
  </si>
  <si>
    <t>Ingstructable</t>
  </si>
  <si>
    <t>Al Hussein</t>
  </si>
  <si>
    <t>Ahmed Elfalah</t>
  </si>
  <si>
    <t>Beidou F1</t>
  </si>
  <si>
    <t>ʳᶜ Mornach</t>
  </si>
  <si>
    <t>Shuriken V1</t>
  </si>
  <si>
    <t>mongolkrieger</t>
  </si>
  <si>
    <t>Albhaud 1</t>
  </si>
  <si>
    <t>GyengJa</t>
  </si>
  <si>
    <t>Last Outlander</t>
  </si>
  <si>
    <t>Chris1011</t>
  </si>
  <si>
    <t>Paul3334</t>
  </si>
  <si>
    <t>TaniaRaquel</t>
  </si>
  <si>
    <t>M A NI A CH KA</t>
  </si>
  <si>
    <t>Augustus F1</t>
  </si>
  <si>
    <t>Crucifier</t>
  </si>
  <si>
    <t>GrifitH</t>
  </si>
  <si>
    <t>MiniCS Hasyim</t>
  </si>
  <si>
    <t>ᶞᶞPain</t>
  </si>
  <si>
    <t>Vet1337Farm</t>
  </si>
  <si>
    <t>ᴵᴰsandal</t>
  </si>
  <si>
    <t>Famos22</t>
  </si>
  <si>
    <t>Seriush</t>
  </si>
  <si>
    <t>HảiPT</t>
  </si>
  <si>
    <t>xviluxSt</t>
  </si>
  <si>
    <t>ᴿᴳ Perseas</t>
  </si>
  <si>
    <t>جووبا</t>
  </si>
  <si>
    <t>CopperismySon</t>
  </si>
  <si>
    <t>Kristi csw 2</t>
  </si>
  <si>
    <t>MILAGROS19</t>
  </si>
  <si>
    <t>뺑구10</t>
  </si>
  <si>
    <t>THE PHOENiiiX</t>
  </si>
  <si>
    <t>FarmCMJay</t>
  </si>
  <si>
    <t>MiniCS Fahid</t>
  </si>
  <si>
    <t>A tun fa</t>
  </si>
  <si>
    <t>Alejandro 87060</t>
  </si>
  <si>
    <t>ʳᶜzᵉᴿo</t>
  </si>
  <si>
    <t>Danirompe</t>
  </si>
  <si>
    <t>uaui</t>
  </si>
  <si>
    <t>m789</t>
  </si>
  <si>
    <t>交渉人</t>
  </si>
  <si>
    <t>KnightOwl007</t>
  </si>
  <si>
    <t>tomy 88</t>
  </si>
  <si>
    <t>Svarogich IV</t>
  </si>
  <si>
    <t>MaeglinTelemnar</t>
  </si>
  <si>
    <t>Vik ThooR</t>
  </si>
  <si>
    <t>vkmtz2</t>
  </si>
  <si>
    <t>PykSrenk1</t>
  </si>
  <si>
    <t>LaZaRine</t>
  </si>
  <si>
    <t>Бужяй jr</t>
  </si>
  <si>
    <t>Emplush Jr</t>
  </si>
  <si>
    <t>ᴿᴸKurdisHh</t>
  </si>
  <si>
    <t>Free 100M rss</t>
  </si>
  <si>
    <t>Sharkyx</t>
  </si>
  <si>
    <t>Bruunnaaaa</t>
  </si>
  <si>
    <t>рович</t>
  </si>
  <si>
    <t>abo zobr</t>
  </si>
  <si>
    <t>Mementö Morí</t>
  </si>
  <si>
    <t>ᴿᴳDyrachyo</t>
  </si>
  <si>
    <t>ЕгеРь</t>
  </si>
  <si>
    <t>el DORADO</t>
  </si>
  <si>
    <t>Seby77</t>
  </si>
  <si>
    <t>Urgebeam</t>
  </si>
  <si>
    <t>Yumurtalıpide</t>
  </si>
  <si>
    <t>Mini AnthonyCS</t>
  </si>
  <si>
    <t>Farm For Later</t>
  </si>
  <si>
    <t>x CHILLY x</t>
  </si>
  <si>
    <t>Peaceďun</t>
  </si>
  <si>
    <t>JoseGM180</t>
  </si>
  <si>
    <t>ᴿᴳPGHH</t>
  </si>
  <si>
    <t>Mr Botol</t>
  </si>
  <si>
    <t>亗Noblesse</t>
  </si>
  <si>
    <t>West ninjax</t>
  </si>
  <si>
    <t>Wenderson42</t>
  </si>
  <si>
    <t>GLAMORE</t>
  </si>
  <si>
    <t>JayCarn</t>
  </si>
  <si>
    <t>El Bumangues93</t>
  </si>
  <si>
    <t>vap 676</t>
  </si>
  <si>
    <t>Joanneggg</t>
  </si>
  <si>
    <t>Lotz RJ</t>
  </si>
  <si>
    <t>Master BaiterXx</t>
  </si>
  <si>
    <t>Rydell</t>
  </si>
  <si>
    <t>garanangaLanang</t>
  </si>
  <si>
    <t>EnzioFarm001</t>
  </si>
  <si>
    <t>ᴮᴼˢˢ JŌM</t>
  </si>
  <si>
    <t>YeN</t>
  </si>
  <si>
    <t>Andrade 2197</t>
  </si>
  <si>
    <t>Dragon Slayer 1</t>
  </si>
  <si>
    <t>PanteraMejía16</t>
  </si>
  <si>
    <t>AFC MOKUM</t>
  </si>
  <si>
    <t>anantara Farm</t>
  </si>
  <si>
    <t>DORY15</t>
  </si>
  <si>
    <t>Dräcärys 02</t>
  </si>
  <si>
    <t>ZeiahFRM</t>
  </si>
  <si>
    <t>Tityos</t>
  </si>
  <si>
    <t>Friedrich Adler</t>
  </si>
  <si>
    <t>phò gaming</t>
  </si>
  <si>
    <t>AXTRIX 777</t>
  </si>
  <si>
    <t>Yani예</t>
  </si>
  <si>
    <t>ThunderDonkey</t>
  </si>
  <si>
    <t>Keozz</t>
  </si>
  <si>
    <t>Mackoo</t>
  </si>
  <si>
    <t>Vali169472641</t>
  </si>
  <si>
    <t>rxxna</t>
  </si>
  <si>
    <t>DIEGO CWB</t>
  </si>
  <si>
    <t>MrKirill16</t>
  </si>
  <si>
    <t>fearfree16</t>
  </si>
  <si>
    <t>ᴿᵒ Ghost</t>
  </si>
  <si>
    <t>Aiacos12</t>
  </si>
  <si>
    <t>Don13</t>
  </si>
  <si>
    <t>Grimmfarm</t>
  </si>
  <si>
    <t>Marshall Mirey7</t>
  </si>
  <si>
    <t>シDeadpool</t>
  </si>
  <si>
    <t>Curious Sloth</t>
  </si>
  <si>
    <t>Farmsalegosse</t>
  </si>
  <si>
    <t>Joeie</t>
  </si>
  <si>
    <t>mokasam</t>
  </si>
  <si>
    <t>ᴶᵀBB8 Duty</t>
  </si>
  <si>
    <t>BCOZ I GOT HIGH</t>
  </si>
  <si>
    <t>Farm KEIRA</t>
  </si>
  <si>
    <t>easy R</t>
  </si>
  <si>
    <t>Sul1211</t>
  </si>
  <si>
    <t>ALEMIH</t>
  </si>
  <si>
    <t>ᴿᴸBlueFarm</t>
  </si>
  <si>
    <t>Ardafarm1</t>
  </si>
  <si>
    <t>ᴶᵀDOUMA</t>
  </si>
  <si>
    <t>ㄴᴿᵒxebecㄱ</t>
  </si>
  <si>
    <t>SiarczanFarm</t>
  </si>
  <si>
    <t>Welvi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</si>
</sst>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809]dd\ mmmm\ yyyy"/>
    <numFmt numFmtId="165" formatCode="dd\.mm\.yyyy"/>
    <numFmt numFmtId="166" formatCode="[$-409]d\-mmm\-yyyy"/>
    <numFmt numFmtId="167" formatCode="0.000%"/>
  </numFmts>
  <fonts count="41">
    <font>
      <sz val="10.0"/>
      <color rgb="FF000000"/>
      <name val="Arial"/>
      <scheme val="minor"/>
    </font>
    <font>
      <b/>
      <sz val="12.0"/>
      <color rgb="FFFFFFFF"/>
      <name val="Comfortaa"/>
    </font>
    <font>
      <b/>
      <sz val="10.0"/>
      <color theme="1"/>
      <name val="Comfortaa"/>
    </font>
    <font>
      <sz val="12.0"/>
      <color theme="1"/>
      <name val="Comfortaa"/>
    </font>
    <font>
      <b/>
      <sz val="12.0"/>
      <color theme="1"/>
      <name val="Comfortaa"/>
    </font>
    <font/>
    <font>
      <b/>
      <sz val="10.0"/>
      <color rgb="FF000000"/>
      <name val="Comfortaa"/>
    </font>
    <font>
      <b/>
      <sz val="16.0"/>
      <color rgb="FFFFFFFF"/>
      <name val="Comfortaa"/>
    </font>
    <font>
      <b/>
      <sz val="32.0"/>
      <color rgb="FFFFFFFF"/>
      <name val="Comfortaa"/>
    </font>
    <font>
      <sz val="10.0"/>
      <color theme="1"/>
      <name val="Arial"/>
    </font>
    <font>
      <b/>
      <sz val="14.0"/>
      <color rgb="FF34A853"/>
      <name val="Arial"/>
    </font>
    <font>
      <b/>
      <sz val="14.0"/>
      <color rgb="FFF6B26B"/>
      <name val="Arial"/>
    </font>
    <font>
      <b/>
      <sz val="14.0"/>
      <color theme="1"/>
      <name val="Arial"/>
    </font>
    <font>
      <b/>
      <sz val="14.0"/>
      <color rgb="FFFF0000"/>
      <name val="Comfortaa"/>
    </font>
    <font>
      <b/>
      <sz val="14.0"/>
      <color theme="1"/>
      <name val="Comfortaa"/>
    </font>
    <font>
      <sz val="18.0"/>
      <color theme="0"/>
      <name val="Arial"/>
    </font>
    <font>
      <sz val="12.0"/>
      <color rgb="FF000000"/>
      <name val="Arial"/>
    </font>
    <font>
      <b/>
      <sz val="15.0"/>
      <color theme="0"/>
      <name val="Arial"/>
    </font>
    <font>
      <sz val="12.0"/>
      <color theme="1"/>
      <name val="Arial"/>
    </font>
    <font>
      <b/>
      <sz val="22.0"/>
      <color rgb="FF000000"/>
      <name val="Arial"/>
    </font>
    <font>
      <sz val="11.0"/>
      <color rgb="FF000000"/>
      <name val="Calibri"/>
    </font>
    <font>
      <b/>
      <sz val="13.0"/>
      <color rgb="FF000000"/>
      <name val="Arial"/>
    </font>
    <font>
      <b/>
      <sz val="15.0"/>
      <color rgb="FF000000"/>
      <name val="Arial"/>
    </font>
    <font>
      <sz val="12.0"/>
      <color rgb="FF000000"/>
      <name val="Calibri"/>
    </font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theme="1"/>
      <name val="Arial"/>
    </font>
    <font>
      <b/>
      <sz val="11.0"/>
      <color rgb="FF000000"/>
      <name val="Calibri"/>
    </font>
    <font>
      <b/>
      <u/>
      <sz val="18.0"/>
      <color theme="0"/>
      <name val="Calibri"/>
    </font>
    <font>
      <sz val="18.0"/>
      <color theme="0"/>
      <name val="Calibri"/>
    </font>
    <font>
      <b/>
      <sz val="18.0"/>
      <color rgb="FF000000"/>
      <name val="Arial"/>
    </font>
    <font>
      <sz val="18.0"/>
      <color rgb="FF000000"/>
      <name val="Arial"/>
    </font>
    <font>
      <sz val="12.0"/>
      <color rgb="FFFF0000"/>
      <name val="Calibri"/>
    </font>
    <font>
      <b/>
      <sz val="12.0"/>
      <color rgb="FFFF0000"/>
      <name val="Calibri"/>
    </font>
    <font>
      <sz val="12.0"/>
      <color theme="1"/>
      <name val="Calibri"/>
    </font>
    <font>
      <sz val="11.0"/>
      <color theme="5"/>
      <name val="Calibri"/>
    </font>
    <font>
      <sz val="12.0"/>
      <color theme="4"/>
      <name val="Arial"/>
    </font>
    <font>
      <b/>
      <sz val="16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Google Sans"/>
    </font>
  </fonts>
  <fills count="3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theme="1"/>
        <bgColor theme="1"/>
      </patternFill>
    </fill>
    <fill>
      <patternFill patternType="solid">
        <fgColor rgb="FFB3CEFA"/>
        <bgColor rgb="FFB3CEFA"/>
      </patternFill>
    </fill>
    <fill>
      <patternFill patternType="solid">
        <fgColor rgb="FF8DB5F8"/>
        <bgColor rgb="FF8DB5F8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D8D8D8"/>
        <bgColor rgb="FFD8D8D8"/>
      </patternFill>
    </fill>
    <fill>
      <patternFill patternType="solid">
        <fgColor rgb="FFA6E3B6"/>
        <bgColor rgb="FFA6E3B6"/>
      </patternFill>
    </fill>
    <fill>
      <patternFill patternType="solid">
        <fgColor rgb="FF7F7F7F"/>
        <bgColor rgb="FF7F7F7F"/>
      </patternFill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  <fill>
      <patternFill patternType="solid">
        <fgColor rgb="FFF2F2F2"/>
        <bgColor rgb="FFF2F2F2"/>
      </patternFill>
    </fill>
    <fill>
      <patternFill patternType="solid">
        <fgColor rgb="FFD2F1DA"/>
        <bgColor rgb="FFD2F1DA"/>
      </patternFill>
    </fill>
  </fills>
  <borders count="34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bottom style="thick">
        <color rgb="FFA0C1F9"/>
      </bottom>
    </border>
    <border>
      <left/>
      <top/>
      <bottom style="thick">
        <color rgb="FFA0C1F9"/>
      </bottom>
    </border>
    <border>
      <top/>
      <bottom style="thick">
        <color rgb="FFA0C1F9"/>
      </bottom>
    </border>
    <border>
      <right/>
      <top/>
      <bottom style="thick">
        <color rgb="FFA0C1F9"/>
      </bottom>
    </border>
    <border>
      <left/>
      <right/>
      <top/>
      <bottom style="thick">
        <color rgb="FFA0C1F9"/>
      </bottom>
    </border>
    <border>
      <bottom style="thick">
        <color theme="4"/>
      </bottom>
    </border>
    <border>
      <left/>
      <right/>
      <top/>
      <bottom style="thick">
        <color theme="4"/>
      </bottom>
    </border>
    <border>
      <top style="thin">
        <color theme="4"/>
      </top>
      <bottom style="double">
        <color theme="4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thin">
        <color theme="4"/>
      </top>
      <bottom style="double">
        <color theme="4"/>
      </bottom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</border>
    <border>
      <right style="thick">
        <color rgb="FFFF0000"/>
      </right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37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37" xfId="0" applyAlignment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5" fontId="1" numFmtId="37" xfId="0" applyAlignment="1" applyBorder="1" applyFill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8" fontId="1" numFmtId="37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37" xfId="0" applyAlignment="1" applyBorder="1" applyFont="1" applyNumberForma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1" fillId="12" fontId="1" numFmtId="37" xfId="0" applyAlignment="1" applyBorder="1" applyFont="1" applyNumberForma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14" fontId="1" numFmtId="37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15" fontId="1" numFmtId="0" xfId="0" applyAlignment="1" applyBorder="1" applyFill="1" applyFont="1">
      <alignment horizontal="center" vertical="center"/>
    </xf>
    <xf borderId="1" fillId="16" fontId="1" numFmtId="0" xfId="0" applyAlignment="1" applyBorder="1" applyFill="1" applyFont="1">
      <alignment horizontal="center" vertical="center"/>
    </xf>
    <xf borderId="1" fillId="16" fontId="1" numFmtId="37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18" fontId="6" numFmtId="3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1" fillId="3" fontId="1" numFmtId="37" xfId="0" applyAlignment="1" applyBorder="1" applyFont="1" applyNumberFormat="1">
      <alignment horizontal="center" vertical="center"/>
    </xf>
    <xf borderId="1" fillId="3" fontId="2" numFmtId="37" xfId="0" applyAlignment="1" applyBorder="1" applyFont="1" applyNumberFormat="1">
      <alignment horizontal="center" vertical="center"/>
    </xf>
    <xf borderId="2" fillId="3" fontId="7" numFmtId="0" xfId="0" applyAlignment="1" applyBorder="1" applyFont="1">
      <alignment horizontal="center" vertical="center"/>
    </xf>
    <xf borderId="4" fillId="0" fontId="5" numFmtId="0" xfId="0" applyBorder="1" applyFont="1"/>
    <xf borderId="2" fillId="3" fontId="8" numFmtId="0" xfId="0" applyAlignment="1" applyBorder="1" applyFont="1">
      <alignment horizontal="center" vertical="center"/>
    </xf>
    <xf borderId="1" fillId="3" fontId="9" numFmtId="0" xfId="0" applyBorder="1" applyFont="1"/>
    <xf borderId="1" fillId="3" fontId="9" numFmtId="37" xfId="0" applyBorder="1" applyFont="1" applyNumberFormat="1"/>
    <xf borderId="1" fillId="2" fontId="2" numFmtId="0" xfId="0" applyAlignment="1" applyBorder="1" applyFont="1">
      <alignment horizontal="center" vertical="center"/>
    </xf>
    <xf borderId="1" fillId="2" fontId="2" numFmtId="37" xfId="0" applyAlignment="1" applyBorder="1" applyFont="1" applyNumberFormat="1">
      <alignment horizontal="center" vertical="center"/>
    </xf>
    <xf borderId="1" fillId="18" fontId="2" numFmtId="0" xfId="0" applyAlignment="1" applyBorder="1" applyFont="1">
      <alignment horizontal="center" vertical="center"/>
    </xf>
    <xf borderId="1" fillId="18" fontId="10" numFmtId="37" xfId="0" applyAlignment="1" applyBorder="1" applyFont="1" applyNumberFormat="1">
      <alignment horizontal="center" vertical="center"/>
    </xf>
    <xf borderId="1" fillId="19" fontId="2" numFmtId="37" xfId="0" applyAlignment="1" applyBorder="1" applyFill="1" applyFont="1" applyNumberFormat="1">
      <alignment horizontal="center" vertical="center"/>
    </xf>
    <xf borderId="1" fillId="18" fontId="11" numFmtId="37" xfId="0" applyAlignment="1" applyBorder="1" applyFont="1" applyNumberFormat="1">
      <alignment horizontal="center" vertical="center"/>
    </xf>
    <xf borderId="1" fillId="18" fontId="12" numFmtId="37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13" numFmtId="37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center"/>
    </xf>
    <xf borderId="1" fillId="18" fontId="14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" fillId="3" fontId="2" numFmtId="165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166" xfId="0" applyAlignment="1" applyBorder="1" applyFont="1" applyNumberFormat="1">
      <alignment horizontal="center" vertical="center"/>
    </xf>
    <xf borderId="5" fillId="2" fontId="1" numFmtId="3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1" fillId="20" fontId="1" numFmtId="37" xfId="0" applyAlignment="1" applyBorder="1" applyFill="1" applyFont="1" applyNumberFormat="1">
      <alignment horizontal="center" vertical="center"/>
    </xf>
    <xf borderId="1" fillId="20" fontId="2" numFmtId="37" xfId="0" applyAlignment="1" applyBorder="1" applyFont="1" applyNumberFormat="1">
      <alignment horizontal="center" vertical="center"/>
    </xf>
    <xf borderId="1" fillId="20" fontId="2" numFmtId="0" xfId="0" applyAlignment="1" applyBorder="1" applyFont="1">
      <alignment horizontal="center" vertical="center"/>
    </xf>
    <xf borderId="1" fillId="20" fontId="2" numFmtId="3" xfId="0" applyAlignment="1" applyBorder="1" applyFont="1" applyNumberFormat="1">
      <alignment horizontal="center" vertical="center"/>
    </xf>
    <xf borderId="6" fillId="17" fontId="15" numFmtId="0" xfId="0" applyAlignment="1" applyBorder="1" applyFon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7" fillId="17" fontId="17" numFmtId="0" xfId="0" applyAlignment="1" applyBorder="1" applyFont="1">
      <alignment horizontal="center" vertical="center"/>
    </xf>
    <xf borderId="8" fillId="17" fontId="17" numFmtId="0" xfId="0" applyAlignment="1" applyBorder="1" applyFont="1">
      <alignment horizontal="center" vertical="center"/>
    </xf>
    <xf borderId="8" fillId="17" fontId="17" numFmtId="3" xfId="0" applyAlignment="1" applyBorder="1" applyFont="1" applyNumberFormat="1">
      <alignment horizontal="center" vertical="center"/>
    </xf>
    <xf borderId="9" fillId="17" fontId="17" numFmtId="0" xfId="0" applyAlignment="1" applyBorder="1" applyFont="1">
      <alignment horizontal="center" vertical="center"/>
    </xf>
    <xf borderId="1" fillId="19" fontId="18" numFmtId="0" xfId="0" applyAlignment="1" applyBorder="1" applyFont="1">
      <alignment horizontal="center" vertical="center"/>
    </xf>
    <xf borderId="1" fillId="19" fontId="18" numFmtId="3" xfId="0" applyAlignment="1" applyBorder="1" applyFont="1" applyNumberFormat="1">
      <alignment horizontal="center" vertical="center"/>
    </xf>
    <xf borderId="1" fillId="21" fontId="16" numFmtId="3" xfId="0" applyAlignment="1" applyBorder="1" applyFill="1" applyFont="1" applyNumberFormat="1">
      <alignment horizontal="center" vertical="center"/>
    </xf>
    <xf borderId="1" fillId="22" fontId="16" numFmtId="3" xfId="0" applyAlignment="1" applyBorder="1" applyFill="1" applyFont="1" applyNumberFormat="1">
      <alignment horizontal="center" vertical="center"/>
    </xf>
    <xf borderId="1" fillId="19" fontId="16" numFmtId="3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10" fillId="0" fontId="5" numFmtId="0" xfId="0" applyBorder="1" applyFont="1"/>
    <xf borderId="11" fillId="19" fontId="21" numFmtId="3" xfId="0" applyAlignment="1" applyBorder="1" applyFont="1" applyNumberForma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1" fillId="23" fontId="21" numFmtId="9" xfId="0" applyAlignment="1" applyBorder="1" applyFill="1" applyFont="1" applyNumberFormat="1">
      <alignment horizontal="center" vertical="center"/>
    </xf>
    <xf borderId="11" fillId="24" fontId="21" numFmtId="1" xfId="0" applyAlignment="1" applyBorder="1" applyFill="1" applyFont="1" applyNumberFormat="1">
      <alignment horizontal="center" vertical="center"/>
    </xf>
    <xf borderId="14" fillId="25" fontId="21" numFmtId="0" xfId="0" applyAlignment="1" applyBorder="1" applyFill="1" applyFont="1">
      <alignment horizontal="center" vertical="center"/>
    </xf>
    <xf borderId="15" fillId="0" fontId="22" numFmtId="0" xfId="0" applyAlignment="1" applyBorder="1" applyFont="1">
      <alignment horizontal="center" vertical="center"/>
    </xf>
    <xf borderId="15" fillId="0" fontId="22" numFmtId="3" xfId="0" applyAlignment="1" applyBorder="1" applyFont="1" applyNumberFormat="1">
      <alignment horizontal="center" vertical="center"/>
    </xf>
    <xf borderId="16" fillId="19" fontId="22" numFmtId="3" xfId="0" applyAlignment="1" applyBorder="1" applyFont="1" applyNumberFormat="1">
      <alignment horizontal="center" vertical="center"/>
    </xf>
    <xf borderId="16" fillId="23" fontId="22" numFmtId="9" xfId="0" applyAlignment="1" applyBorder="1" applyFont="1" applyNumberFormat="1">
      <alignment horizontal="center" vertical="center"/>
    </xf>
    <xf borderId="16" fillId="24" fontId="22" numFmtId="1" xfId="0" applyAlignment="1" applyBorder="1" applyFont="1" applyNumberFormat="1">
      <alignment horizontal="center" vertical="center"/>
    </xf>
    <xf borderId="16" fillId="25" fontId="22" numFmtId="1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3" numFmtId="3" xfId="0" applyAlignment="1" applyFont="1" applyNumberFormat="1">
      <alignment horizontal="center" vertical="center"/>
    </xf>
    <xf borderId="1" fillId="19" fontId="24" numFmtId="3" xfId="0" applyAlignment="1" applyBorder="1" applyFont="1" applyNumberFormat="1">
      <alignment horizontal="center" vertical="center"/>
    </xf>
    <xf borderId="1" fillId="23" fontId="24" numFmtId="9" xfId="0" applyAlignment="1" applyBorder="1" applyFont="1" applyNumberFormat="1">
      <alignment horizontal="center" vertical="center"/>
    </xf>
    <xf borderId="1" fillId="24" fontId="25" numFmtId="1" xfId="0" applyAlignment="1" applyBorder="1" applyFont="1" applyNumberFormat="1">
      <alignment horizontal="center" vertical="center"/>
    </xf>
    <xf borderId="1" fillId="26" fontId="25" numFmtId="1" xfId="0" applyAlignment="1" applyBorder="1" applyFill="1" applyFont="1" applyNumberFormat="1">
      <alignment horizontal="center" vertical="center"/>
    </xf>
    <xf borderId="17" fillId="0" fontId="26" numFmtId="3" xfId="0" applyAlignment="1" applyBorder="1" applyFont="1" applyNumberFormat="1">
      <alignment horizontal="center" vertical="center"/>
    </xf>
    <xf borderId="0" fillId="0" fontId="23" numFmtId="9" xfId="0" applyAlignment="1" applyFont="1" applyNumberFormat="1">
      <alignment horizontal="center" vertical="center"/>
    </xf>
    <xf borderId="0" fillId="0" fontId="20" numFmtId="9" xfId="0" applyAlignment="1" applyFont="1" applyNumberFormat="1">
      <alignment horizontal="center" vertical="center"/>
    </xf>
    <xf borderId="0" fillId="0" fontId="27" numFmtId="1" xfId="0" applyAlignment="1" applyFont="1" applyNumberFormat="1">
      <alignment horizontal="center" vertical="center"/>
    </xf>
    <xf borderId="0" fillId="0" fontId="20" numFmtId="3" xfId="0" applyAlignment="1" applyFont="1" applyNumberFormat="1">
      <alignment horizontal="center" vertical="center"/>
    </xf>
    <xf borderId="6" fillId="27" fontId="28" numFmtId="0" xfId="0" applyAlignment="1" applyBorder="1" applyFill="1" applyFont="1">
      <alignment horizontal="center" vertical="center"/>
    </xf>
    <xf borderId="18" fillId="0" fontId="27" numFmtId="1" xfId="0" applyAlignment="1" applyBorder="1" applyFont="1" applyNumberFormat="1">
      <alignment horizontal="center" vertical="center"/>
    </xf>
    <xf borderId="19" fillId="0" fontId="27" numFmtId="1" xfId="0" applyAlignment="1" applyBorder="1" applyFont="1" applyNumberFormat="1">
      <alignment horizontal="center" vertical="center"/>
    </xf>
    <xf borderId="6" fillId="27" fontId="29" numFmtId="0" xfId="0" applyAlignment="1" applyBorder="1" applyFont="1">
      <alignment horizontal="center" vertical="center"/>
    </xf>
    <xf borderId="20" fillId="0" fontId="27" numFmtId="1" xfId="0" applyAlignment="1" applyBorder="1" applyFont="1" applyNumberFormat="1">
      <alignment horizontal="center" vertical="center"/>
    </xf>
    <xf borderId="21" fillId="0" fontId="27" numFmtId="1" xfId="0" applyAlignment="1" applyBorder="1" applyFont="1" applyNumberFormat="1">
      <alignment horizontal="center" vertical="center"/>
    </xf>
    <xf borderId="22" fillId="0" fontId="27" numFmtId="1" xfId="0" applyAlignment="1" applyBorder="1" applyFont="1" applyNumberFormat="1">
      <alignment horizontal="center" vertical="center"/>
    </xf>
    <xf borderId="23" fillId="0" fontId="27" numFmtId="1" xfId="0" applyAlignment="1" applyBorder="1" applyFont="1" applyNumberFormat="1">
      <alignment horizontal="center" vertical="center"/>
    </xf>
    <xf borderId="2" fillId="28" fontId="30" numFmtId="3" xfId="0" applyAlignment="1" applyBorder="1" applyFill="1" applyFont="1" applyNumberFormat="1">
      <alignment horizontal="center" vertical="center"/>
    </xf>
    <xf borderId="2" fillId="29" fontId="30" numFmtId="3" xfId="0" applyAlignment="1" applyBorder="1" applyFill="1" applyFont="1" applyNumberFormat="1">
      <alignment horizontal="center" vertical="center"/>
    </xf>
    <xf borderId="1" fillId="23" fontId="31" numFmtId="3" xfId="0" applyAlignment="1" applyBorder="1" applyFont="1" applyNumberFormat="1">
      <alignment horizontal="center" vertical="center"/>
    </xf>
    <xf borderId="2" fillId="30" fontId="31" numFmtId="3" xfId="0" applyAlignment="1" applyBorder="1" applyFill="1" applyFont="1" applyNumberFormat="1">
      <alignment horizontal="center" vertical="center"/>
    </xf>
    <xf borderId="1" fillId="30" fontId="31" numFmtId="3" xfId="0" applyAlignment="1" applyBorder="1" applyFont="1" applyNumberFormat="1">
      <alignment horizontal="center" vertical="center"/>
    </xf>
    <xf borderId="2" fillId="31" fontId="31" numFmtId="167" xfId="0" applyAlignment="1" applyBorder="1" applyFill="1" applyFont="1" applyNumberFormat="1">
      <alignment horizontal="center" vertical="center"/>
    </xf>
    <xf borderId="16" fillId="28" fontId="22" numFmtId="3" xfId="0" applyAlignment="1" applyBorder="1" applyFont="1" applyNumberFormat="1">
      <alignment horizontal="center" vertical="center"/>
    </xf>
    <xf borderId="16" fillId="29" fontId="22" numFmtId="3" xfId="0" applyAlignment="1" applyBorder="1" applyFont="1" applyNumberFormat="1">
      <alignment horizontal="center" vertical="center"/>
    </xf>
    <xf borderId="16" fillId="23" fontId="22" numFmtId="3" xfId="0" applyAlignment="1" applyBorder="1" applyFont="1" applyNumberFormat="1">
      <alignment horizontal="center" vertical="center"/>
    </xf>
    <xf borderId="16" fillId="30" fontId="22" numFmtId="3" xfId="0" applyAlignment="1" applyBorder="1" applyFont="1" applyNumberFormat="1">
      <alignment horizontal="center" vertical="center"/>
    </xf>
    <xf borderId="16" fillId="31" fontId="22" numFmtId="167" xfId="0" applyAlignment="1" applyBorder="1" applyFont="1" applyNumberFormat="1">
      <alignment horizontal="center" vertical="center"/>
    </xf>
    <xf borderId="0" fillId="0" fontId="24" numFmtId="3" xfId="0" applyAlignment="1" applyFont="1" applyNumberFormat="1">
      <alignment horizontal="center" vertical="center"/>
    </xf>
    <xf borderId="1" fillId="28" fontId="23" numFmtId="3" xfId="0" applyAlignment="1" applyBorder="1" applyFont="1" applyNumberFormat="1">
      <alignment horizontal="center" vertical="center"/>
    </xf>
    <xf borderId="1" fillId="28" fontId="24" numFmtId="3" xfId="0" applyAlignment="1" applyBorder="1" applyFont="1" applyNumberFormat="1">
      <alignment horizontal="center" vertical="center"/>
    </xf>
    <xf borderId="1" fillId="29" fontId="23" numFmtId="3" xfId="0" applyAlignment="1" applyBorder="1" applyFont="1" applyNumberFormat="1">
      <alignment horizontal="center" vertical="center"/>
    </xf>
    <xf borderId="1" fillId="29" fontId="24" numFmtId="3" xfId="0" applyAlignment="1" applyBorder="1" applyFont="1" applyNumberFormat="1">
      <alignment horizontal="center" vertical="center"/>
    </xf>
    <xf borderId="1" fillId="23" fontId="23" numFmtId="3" xfId="0" applyAlignment="1" applyBorder="1" applyFont="1" applyNumberFormat="1">
      <alignment horizontal="center" vertical="center"/>
    </xf>
    <xf borderId="1" fillId="30" fontId="24" numFmtId="3" xfId="0" applyAlignment="1" applyBorder="1" applyFont="1" applyNumberFormat="1">
      <alignment horizontal="center" vertical="center"/>
    </xf>
    <xf borderId="1" fillId="31" fontId="23" numFmtId="167" xfId="0" applyAlignment="1" applyBorder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3" numFmtId="3" xfId="0" applyAlignment="1" applyFont="1" applyNumberFormat="1">
      <alignment horizontal="center" vertical="center"/>
    </xf>
    <xf borderId="0" fillId="0" fontId="32" numFmtId="3" xfId="0" applyAlignment="1" applyFont="1" applyNumberFormat="1">
      <alignment horizontal="center" vertical="center"/>
    </xf>
    <xf borderId="1" fillId="28" fontId="32" numFmtId="3" xfId="0" applyAlignment="1" applyBorder="1" applyFont="1" applyNumberFormat="1">
      <alignment horizontal="center" vertical="center"/>
    </xf>
    <xf borderId="1" fillId="28" fontId="33" numFmtId="3" xfId="0" applyAlignment="1" applyBorder="1" applyFont="1" applyNumberFormat="1">
      <alignment horizontal="center" vertical="center"/>
    </xf>
    <xf borderId="1" fillId="29" fontId="32" numFmtId="3" xfId="0" applyAlignment="1" applyBorder="1" applyFont="1" applyNumberFormat="1">
      <alignment horizontal="center" vertical="center"/>
    </xf>
    <xf borderId="1" fillId="29" fontId="33" numFmtId="3" xfId="0" applyAlignment="1" applyBorder="1" applyFont="1" applyNumberFormat="1">
      <alignment horizontal="center" vertical="center"/>
    </xf>
    <xf borderId="1" fillId="23" fontId="32" numFmtId="3" xfId="0" applyAlignment="1" applyBorder="1" applyFont="1" applyNumberFormat="1">
      <alignment horizontal="center" vertical="center"/>
    </xf>
    <xf borderId="1" fillId="30" fontId="33" numFmtId="3" xfId="0" applyAlignment="1" applyBorder="1" applyFont="1" applyNumberFormat="1">
      <alignment horizontal="center" vertical="center"/>
    </xf>
    <xf borderId="1" fillId="31" fontId="32" numFmtId="167" xfId="0" applyAlignment="1" applyBorder="1" applyFont="1" applyNumberFormat="1">
      <alignment horizontal="center" vertical="center"/>
    </xf>
    <xf borderId="0" fillId="0" fontId="23" numFmtId="167" xfId="0" applyAlignment="1" applyFont="1" applyNumberFormat="1">
      <alignment horizontal="center" vertical="center"/>
    </xf>
    <xf borderId="0" fillId="0" fontId="20" numFmtId="167" xfId="0" applyAlignment="1" applyFont="1" applyNumberFormat="1">
      <alignment horizontal="center" vertical="center"/>
    </xf>
    <xf borderId="11" fillId="30" fontId="21" numFmtId="3" xfId="0" applyAlignment="1" applyBorder="1" applyFont="1" applyNumberFormat="1">
      <alignment horizontal="center" vertical="center"/>
    </xf>
    <xf borderId="14" fillId="31" fontId="21" numFmtId="3" xfId="0" applyAlignment="1" applyBorder="1" applyFont="1" applyNumberFormat="1">
      <alignment horizontal="center" vertical="center"/>
    </xf>
    <xf borderId="16" fillId="31" fontId="22" numFmtId="3" xfId="0" applyAlignment="1" applyBorder="1" applyFont="1" applyNumberFormat="1">
      <alignment horizontal="center" vertical="center"/>
    </xf>
    <xf borderId="1" fillId="30" fontId="23" numFmtId="3" xfId="0" applyAlignment="1" applyBorder="1" applyFont="1" applyNumberFormat="1">
      <alignment horizontal="center" vertical="center"/>
    </xf>
    <xf borderId="1" fillId="31" fontId="23" numFmtId="3" xfId="0" applyAlignment="1" applyBorder="1" applyFont="1" applyNumberFormat="1">
      <alignment horizontal="center" vertical="center"/>
    </xf>
    <xf borderId="1" fillId="19" fontId="23" numFmtId="3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3" xfId="0" applyAlignment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0" fillId="0" fontId="36" numFmtId="3" xfId="0" applyAlignment="1" applyFont="1" applyNumberFormat="1">
      <alignment horizontal="center" vertical="center"/>
    </xf>
    <xf borderId="17" fillId="0" fontId="26" numFmtId="0" xfId="0" applyAlignment="1" applyBorder="1" applyFont="1">
      <alignment horizontal="center" vertical="center"/>
    </xf>
    <xf borderId="24" fillId="19" fontId="26" numFmtId="0" xfId="0" applyAlignment="1" applyBorder="1" applyFont="1">
      <alignment horizontal="center" vertical="center"/>
    </xf>
    <xf borderId="24" fillId="19" fontId="26" numFmtId="3" xfId="0" applyAlignment="1" applyBorder="1" applyFont="1" applyNumberFormat="1">
      <alignment horizontal="center" vertical="center"/>
    </xf>
    <xf borderId="25" fillId="0" fontId="22" numFmtId="0" xfId="0" applyAlignment="1" applyBorder="1" applyFont="1">
      <alignment horizontal="center" vertical="center"/>
    </xf>
    <xf borderId="25" fillId="0" fontId="5" numFmtId="0" xfId="0" applyBorder="1" applyFont="1"/>
    <xf borderId="26" fillId="0" fontId="5" numFmtId="0" xfId="0" applyBorder="1" applyFont="1"/>
    <xf borderId="27" fillId="0" fontId="22" numFmtId="0" xfId="0" applyAlignment="1" applyBorder="1" applyFont="1">
      <alignment horizontal="center" vertical="center"/>
    </xf>
    <xf borderId="28" fillId="0" fontId="22" numFmtId="0" xfId="0" applyAlignment="1" applyBorder="1" applyFont="1">
      <alignment horizontal="center" vertical="center"/>
    </xf>
    <xf borderId="29" fillId="0" fontId="22" numFmtId="0" xfId="0" applyAlignment="1" applyBorder="1" applyFont="1">
      <alignment horizontal="center" vertical="center"/>
    </xf>
    <xf borderId="25" fillId="0" fontId="18" numFmtId="0" xfId="0" applyAlignment="1" applyBorder="1" applyFont="1">
      <alignment horizontal="center" vertical="center"/>
    </xf>
    <xf borderId="25" fillId="0" fontId="18" numFmtId="3" xfId="0" applyAlignment="1" applyBorder="1" applyFont="1" applyNumberFormat="1">
      <alignment horizontal="center" vertical="center"/>
    </xf>
    <xf borderId="26" fillId="0" fontId="18" numFmtId="3" xfId="0" applyAlignment="1" applyBorder="1" applyFont="1" applyNumberFormat="1">
      <alignment horizontal="center" vertical="center"/>
    </xf>
    <xf borderId="30" fillId="0" fontId="18" numFmtId="0" xfId="0" applyAlignment="1" applyBorder="1" applyFont="1">
      <alignment horizontal="center" vertical="center"/>
    </xf>
    <xf borderId="31" fillId="0" fontId="18" numFmtId="3" xfId="0" applyAlignment="1" applyBorder="1" applyFont="1" applyNumberFormat="1">
      <alignment horizontal="center" vertical="center"/>
    </xf>
    <xf borderId="30" fillId="0" fontId="18" numFmtId="3" xfId="0" applyAlignment="1" applyBorder="1" applyFont="1" applyNumberFormat="1">
      <alignment horizontal="center" vertical="center"/>
    </xf>
    <xf borderId="32" fillId="0" fontId="18" numFmtId="0" xfId="0" applyAlignment="1" applyBorder="1" applyFont="1">
      <alignment horizontal="center" vertical="center"/>
    </xf>
    <xf borderId="32" fillId="0" fontId="18" numFmtId="3" xfId="0" applyAlignment="1" applyBorder="1" applyFont="1" applyNumberFormat="1">
      <alignment horizontal="center" vertical="center"/>
    </xf>
    <xf borderId="33" fillId="0" fontId="18" numFmtId="3" xfId="0" applyAlignment="1" applyBorder="1" applyFont="1" applyNumberFormat="1">
      <alignment horizontal="center" vertical="center"/>
    </xf>
    <xf borderId="15" fillId="0" fontId="37" numFmtId="0" xfId="0" applyAlignment="1" applyBorder="1" applyFont="1">
      <alignment horizontal="center" vertical="center"/>
    </xf>
    <xf borderId="15" fillId="0" fontId="37" numFmtId="3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38" numFmtId="0" xfId="0" applyFont="1"/>
    <xf borderId="0" fillId="0" fontId="38" numFmtId="37" xfId="0" applyFont="1" applyNumberFormat="1"/>
    <xf borderId="0" fillId="0" fontId="38" numFmtId="37" xfId="0" applyAlignment="1" applyFont="1" applyNumberFormat="1">
      <alignment horizontal="center" vertical="center"/>
    </xf>
    <xf borderId="0" fillId="0" fontId="39" numFmtId="37" xfId="0" applyAlignment="1" applyFont="1" applyNumberFormat="1">
      <alignment horizontal="center" vertical="center"/>
    </xf>
    <xf borderId="0" fillId="0" fontId="9" numFmtId="37" xfId="0" applyAlignment="1" applyFont="1" applyNumberFormat="1">
      <alignment horizontal="center" vertical="center"/>
    </xf>
    <xf borderId="0" fillId="0" fontId="9" numFmtId="37" xfId="0" applyFont="1" applyNumberFormat="1"/>
    <xf borderId="0" fillId="0" fontId="39" numFmtId="0" xfId="0" applyAlignment="1" applyFont="1">
      <alignment horizontal="right"/>
    </xf>
    <xf borderId="0" fillId="0" fontId="39" numFmtId="37" xfId="0" applyFont="1" applyNumberFormat="1"/>
    <xf borderId="0" fillId="0" fontId="39" numFmtId="37" xfId="0" applyAlignment="1" applyFont="1" applyNumberFormat="1">
      <alignment horizontal="right"/>
    </xf>
    <xf borderId="1" fillId="18" fontId="40" numFmtId="37" xfId="0" applyAlignment="1" applyBorder="1" applyFont="1" applyNumberFormat="1">
      <alignment horizontal="center" vertical="center"/>
    </xf>
    <xf borderId="0" fillId="0" fontId="39" numFmtId="37" xfId="0" applyAlignment="1" applyFont="1" applyNumberFormat="1">
      <alignment horizontal="right" readingOrder="0"/>
    </xf>
    <xf borderId="0" fillId="0" fontId="39" numFmtId="0" xfId="0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D668"/>
          <bgColor rgb="FFFCD668"/>
        </patternFill>
      </fill>
      <border/>
    </dxf>
    <dxf>
      <font/>
      <fill>
        <patternFill patternType="solid">
          <fgColor rgb="FF8FD7DC"/>
          <bgColor rgb="FF8FD7DC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Kingdom Stats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Kingdom Power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Dashboard!$B$32:$B$42</c:f>
            </c:strRef>
          </c:cat>
          <c:val>
            <c:numRef>
              <c:f>Dashboard!$C$32:$C$42</c:f>
              <c:numCache/>
            </c:numRef>
          </c:val>
        </c:ser>
        <c:ser>
          <c:idx val="1"/>
          <c:order val="1"/>
          <c:tx>
            <c:v>Kill Points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Dashboard!$B$32:$B$42</c:f>
            </c:strRef>
          </c:cat>
          <c:val>
            <c:numRef>
              <c:f>Dashboard!$D$32:$D$42</c:f>
              <c:numCache/>
            </c:numRef>
          </c:val>
        </c:ser>
        <c:axId val="1717866214"/>
        <c:axId val="356602821"/>
      </c:barChart>
      <c:catAx>
        <c:axId val="1717866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6602821"/>
      </c:catAx>
      <c:valAx>
        <c:axId val="356602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7866214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Player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Dashboard!$L$62:$N$62</c:f>
            </c:strRef>
          </c:cat>
          <c:val>
            <c:numRef>
              <c:f>Dashboard!$L$63:$N$63</c:f>
              <c:numCache/>
            </c:numRef>
          </c:val>
        </c:ser>
        <c:axId val="1447085058"/>
        <c:axId val="860972410"/>
      </c:barChart>
      <c:catAx>
        <c:axId val="1447085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0972410"/>
      </c:catAx>
      <c:valAx>
        <c:axId val="86097241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4708505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Over All Performance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70C0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Analysis'!$R$54:$R$57</c:f>
            </c:strRef>
          </c:cat>
          <c:val>
            <c:numRef>
              <c:f>'Performance Analysis'!$S$54:$S$57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Over All Performance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Analysis'!$R$54:$R$57</c:f>
            </c:strRef>
          </c:cat>
          <c:val>
            <c:numRef>
              <c:f>'Performance Analysis'!$S$54:$S$57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29</xdr:row>
      <xdr:rowOff>28575</xdr:rowOff>
    </xdr:from>
    <xdr:ext cx="7658100" cy="3476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1209675</xdr:colOff>
      <xdr:row>64</xdr:row>
      <xdr:rowOff>123825</xdr:rowOff>
    </xdr:from>
    <xdr:ext cx="7343775" cy="3895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44</xdr:row>
      <xdr:rowOff>0</xdr:rowOff>
    </xdr:from>
    <xdr:ext cx="3781425" cy="3038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190500</xdr:colOff>
      <xdr:row>0</xdr:row>
      <xdr:rowOff>161925</xdr:rowOff>
    </xdr:from>
    <xdr:ext cx="6191250" cy="3933825"/>
    <xdr:sp>
      <xdr:nvSpPr>
        <xdr:cNvPr id="3" name="Shape 3"/>
        <xdr:cNvSpPr txBox="1"/>
      </xdr:nvSpPr>
      <xdr:spPr>
        <a:xfrm>
          <a:off x="2259900" y="1817850"/>
          <a:ext cx="6172200" cy="3924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</a:t>
          </a: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Performance: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&lt; 50M: 25%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50-70M: 35%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&gt; 70M: 45%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1F6166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 Requirements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1F6166"/>
            </a:solidFill>
          </a:endParaRPr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Minimum KP: 0.0556843xP^2 -1.83037xP+38.477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Minimum Dead:  0.5*(0.0216159xP^2 + 3.06256xP -123.036)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50M: 25%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50-70M: 35%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70M: 45% required DKP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 u="sng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1019175</xdr:colOff>
      <xdr:row>53</xdr:row>
      <xdr:rowOff>38100</xdr:rowOff>
    </xdr:from>
    <xdr:ext cx="5372100" cy="28670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114300</xdr:colOff>
      <xdr:row>2</xdr:row>
      <xdr:rowOff>95250</xdr:rowOff>
    </xdr:from>
    <xdr:ext cx="4781550" cy="3648075"/>
    <xdr:sp>
      <xdr:nvSpPr>
        <xdr:cNvPr id="4" name="Shape 4"/>
        <xdr:cNvSpPr txBox="1"/>
      </xdr:nvSpPr>
      <xdr:spPr>
        <a:xfrm>
          <a:off x="2959988" y="1960725"/>
          <a:ext cx="4772025" cy="3638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 Required Troops Dead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Troops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* 50%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Progress Goal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 D/T * fP/iP ) * 100%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D= Total Dead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T= Total Troops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iP= initial</a:t>
          </a: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fP= final 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38100</xdr:colOff>
      <xdr:row>3</xdr:row>
      <xdr:rowOff>28575</xdr:rowOff>
    </xdr:from>
    <xdr:ext cx="6562725" cy="4600575"/>
    <xdr:sp>
      <xdr:nvSpPr>
        <xdr:cNvPr id="5" name="Shape 5"/>
        <xdr:cNvSpPr txBox="1"/>
      </xdr:nvSpPr>
      <xdr:spPr>
        <a:xfrm>
          <a:off x="2069400" y="1479713"/>
          <a:ext cx="65532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619125</xdr:colOff>
      <xdr:row>3</xdr:row>
      <xdr:rowOff>57150</xdr:rowOff>
    </xdr:from>
    <xdr:ext cx="6638925" cy="4600575"/>
    <xdr:sp>
      <xdr:nvSpPr>
        <xdr:cNvPr id="6" name="Shape 6"/>
        <xdr:cNvSpPr txBox="1"/>
      </xdr:nvSpPr>
      <xdr:spPr>
        <a:xfrm>
          <a:off x="2031300" y="1479713"/>
          <a:ext cx="66294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619125</xdr:colOff>
      <xdr:row>3</xdr:row>
      <xdr:rowOff>57150</xdr:rowOff>
    </xdr:from>
    <xdr:ext cx="6562725" cy="3267075"/>
    <xdr:sp>
      <xdr:nvSpPr>
        <xdr:cNvPr id="7" name="Shape 7"/>
        <xdr:cNvSpPr txBox="1"/>
      </xdr:nvSpPr>
      <xdr:spPr>
        <a:xfrm>
          <a:off x="2069400" y="2146463"/>
          <a:ext cx="6553200" cy="32670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17.38"/>
    <col customWidth="1" min="3" max="3" width="25.5"/>
    <col customWidth="1" min="4" max="4" width="17.75"/>
    <col customWidth="1" min="5" max="5" width="20.63"/>
    <col customWidth="1" min="6" max="6" width="19.88"/>
    <col customWidth="1" min="7" max="7" width="20.0"/>
    <col customWidth="1" min="8" max="13" width="18.88"/>
    <col customWidth="1" min="14" max="14" width="23.63"/>
    <col customWidth="1" min="15" max="15" width="30.25"/>
    <col customWidth="1" min="16" max="16" width="17.0"/>
  </cols>
  <sheetData>
    <row r="1" ht="37.5" customHeight="1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>
        <v>7.5481347E7</v>
      </c>
      <c r="B2" s="6" t="str">
        <f>VLOOKUP(A2,'KL Review'!A:AA,26,FALSE) &amp; " / 47"</f>
        <v>6 / 47</v>
      </c>
      <c r="C2" s="7">
        <f>VLOOKUP(A2,'KL Review'!A:AA,25,FALSE)</f>
        <v>1.365383409</v>
      </c>
      <c r="D2" s="4"/>
      <c r="E2" s="8" t="s">
        <v>13</v>
      </c>
      <c r="F2" s="9">
        <v>46184.0</v>
      </c>
      <c r="G2" s="10">
        <f>VLOOKUP(A2,SoC_Data!A:K,10,FALSE)</f>
        <v>117965143</v>
      </c>
      <c r="H2" s="10">
        <f>VLOOKUP(A2,SoC_Data!A:K,11,FALSE)</f>
        <v>13573931495</v>
      </c>
      <c r="I2" s="10">
        <f>VLOOKUP(A2,SoC_Data!A:K,8,FALSE)</f>
        <v>47369558</v>
      </c>
      <c r="J2" s="10">
        <f>VLOOKUP(A2,SoC_Data!A:K,6,FALSE)</f>
        <v>316119757</v>
      </c>
      <c r="K2" s="10">
        <f>VLOOKUP(A2,SoC_Data!A:K,7,FALSE)</f>
        <v>517868228</v>
      </c>
      <c r="L2" s="2"/>
      <c r="M2" s="2"/>
      <c r="N2" s="1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11" t="s">
        <v>14</v>
      </c>
      <c r="B3" s="12"/>
      <c r="C3" s="13" t="str">
        <f>VLOOKUP(A2,SoC_Data!A:D,2,FALSE)</f>
        <v>Lord Guineapig</v>
      </c>
      <c r="D3" s="4"/>
      <c r="E3" s="8" t="s">
        <v>15</v>
      </c>
      <c r="F3" s="9">
        <v>46189.0</v>
      </c>
      <c r="G3" s="14">
        <f>VLOOKUP(A2,SoC_Data!A:R,17,FALSE)-VLOOKUP(A2,SoC_Data!A:R,10,FALSE)</f>
        <v>-4535112</v>
      </c>
      <c r="H3" s="10">
        <f>VLOOKUP(A2,SoC_Data!A:R,18,FALSE)-VLOOKUP(A2,SoC_Data!A:R,11,FALSE)</f>
        <v>553260246</v>
      </c>
      <c r="I3" s="10">
        <f>VLOOKUP(A2,'Pass 4 Report'!A:U,16,FALSE)</f>
        <v>456862</v>
      </c>
      <c r="J3" s="10">
        <f>VLOOKUP(A2,SoC_Data!A:R,13,FALSE)-VLOOKUP(A2,SoC_Data!A:R,6,FALSE)</f>
        <v>3793020</v>
      </c>
      <c r="K3" s="10">
        <f>VLOOKUP(A2,SoC_Data!A:R,14,FALSE)-VLOOKUP(A2,SoC_Data!A:R,7,FALSE)</f>
        <v>25763024</v>
      </c>
      <c r="L3" s="2">
        <f>VLOOKUP(A2,'Pass 4 Report'!A:U,14,FALSE)</f>
        <v>0</v>
      </c>
      <c r="M3" s="2">
        <f>VLOOKUP(A2,'Pass 4 Report'!A:U,15,FALSE)</f>
        <v>456862</v>
      </c>
      <c r="N3" s="10">
        <f>VLOOKUP(A2,'Pass 4 Report'!A:U,5,FALSE)</f>
        <v>8358895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15" t="s">
        <v>16</v>
      </c>
      <c r="B4" s="12"/>
      <c r="C4" s="2">
        <f>VLOOKUP(A2,BS_Report!A:M,5,FALSE)</f>
        <v>597447329</v>
      </c>
      <c r="D4" s="4"/>
      <c r="E4" s="8" t="s">
        <v>17</v>
      </c>
      <c r="F4" s="9" t="s">
        <v>18</v>
      </c>
      <c r="G4" s="14"/>
      <c r="H4" s="10"/>
      <c r="I4" s="10"/>
      <c r="J4" s="10"/>
      <c r="K4" s="10"/>
      <c r="L4" s="2"/>
      <c r="M4" s="2"/>
      <c r="N4" s="1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5" t="s">
        <v>19</v>
      </c>
      <c r="B5" s="12"/>
      <c r="C5" s="2">
        <f>VLOOKUP(A2,BS_Report!A:M,6,FALSE)</f>
        <v>269520664.2</v>
      </c>
      <c r="D5" s="4"/>
      <c r="E5" s="8" t="s">
        <v>20</v>
      </c>
      <c r="F5" s="9" t="s">
        <v>18</v>
      </c>
      <c r="G5" s="14"/>
      <c r="H5" s="10"/>
      <c r="I5" s="10"/>
      <c r="J5" s="10"/>
      <c r="K5" s="10"/>
      <c r="L5" s="2"/>
      <c r="M5" s="2"/>
      <c r="N5" s="1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16" t="s">
        <v>21</v>
      </c>
      <c r="B6" s="17" t="s">
        <v>22</v>
      </c>
      <c r="C6" s="18">
        <f>J11</f>
        <v>8655227</v>
      </c>
      <c r="D6" s="4"/>
      <c r="E6" s="8" t="s">
        <v>23</v>
      </c>
      <c r="F6" s="9">
        <v>46210.0</v>
      </c>
      <c r="G6" s="14">
        <f>VLOOKUP(A2,SoC_Data!A:Y,24,FALSE)-VLOOKUP(A2,SoC_Data!A:Y,17,FALSE)</f>
        <v>9573080</v>
      </c>
      <c r="H6" s="10">
        <f>VLOOKUP(A2,SoC_Data!A:Y,25,FALSE)-VLOOKUP(A2,SoC_Data!A:Y,18,FALSE)</f>
        <v>620966910</v>
      </c>
      <c r="I6" s="10">
        <f>VLOOKUP(A2,SoC_Data!A:Y,22,FALSE)-VLOOKUP(A2,SoC_Data!A:Y,15,FALSE)</f>
        <v>2779426</v>
      </c>
      <c r="J6" s="10">
        <f>VLOOKUP(A2,SoC_Data!A:Y,20,FALSE)-VLOOKUP(A2,SoC_Data!A:Y,13,FALSE)</f>
        <v>4862207</v>
      </c>
      <c r="K6" s="10">
        <f>VLOOKUP(A2,SoC_Data!A:Y,21,FALSE)-VLOOKUP(A2,SoC_Data!A:Y,14,FALSE)</f>
        <v>28613740</v>
      </c>
      <c r="L6" s="2">
        <f>VLOOKUP(A2,'KL Review'!A:AA,18,FALSE)</f>
        <v>0</v>
      </c>
      <c r="M6" s="2">
        <f>VLOOKUP(A2,'KL Review'!A:AA,19,FALSE)</f>
        <v>3262800</v>
      </c>
      <c r="N6" s="10">
        <f>VLOOKUP(A2,'KL Review'!A:AA,8,FALSE)</f>
        <v>10085372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9" t="s">
        <v>24</v>
      </c>
      <c r="B7" s="20" t="s">
        <v>22</v>
      </c>
      <c r="C7" s="21">
        <f>K11</f>
        <v>54376764</v>
      </c>
      <c r="D7" s="4"/>
      <c r="E7" s="8"/>
      <c r="F7" s="9"/>
      <c r="G7" s="14"/>
      <c r="H7" s="10"/>
      <c r="I7" s="10"/>
      <c r="J7" s="10"/>
      <c r="K7" s="10"/>
      <c r="L7" s="2" t="s">
        <v>22</v>
      </c>
      <c r="M7" s="2" t="s">
        <v>22</v>
      </c>
      <c r="N7" s="1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22" t="s">
        <v>25</v>
      </c>
      <c r="B8" s="23" t="s">
        <v>22</v>
      </c>
      <c r="C8" s="24">
        <f>L11</f>
        <v>0</v>
      </c>
      <c r="D8" s="4"/>
      <c r="E8" s="8"/>
      <c r="F8" s="9"/>
      <c r="G8" s="14"/>
      <c r="H8" s="10"/>
      <c r="I8" s="10"/>
      <c r="J8" s="10"/>
      <c r="K8" s="10"/>
      <c r="L8" s="2" t="s">
        <v>22</v>
      </c>
      <c r="M8" s="2" t="s">
        <v>22</v>
      </c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25" t="s">
        <v>26</v>
      </c>
      <c r="B9" s="26" t="s">
        <v>22</v>
      </c>
      <c r="C9" s="27">
        <f>M11</f>
        <v>3262800</v>
      </c>
      <c r="D9" s="4"/>
      <c r="E9" s="8"/>
      <c r="F9" s="28"/>
      <c r="G9" s="10"/>
      <c r="H9" s="10"/>
      <c r="I9" s="10"/>
      <c r="J9" s="10"/>
      <c r="K9" s="10"/>
      <c r="L9" s="2" t="s">
        <v>22</v>
      </c>
      <c r="M9" s="2" t="s">
        <v>22</v>
      </c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29" t="s">
        <v>27</v>
      </c>
      <c r="B10" s="30" t="s">
        <v>22</v>
      </c>
      <c r="C10" s="31">
        <f>SUM(H3:H6)</f>
        <v>1174227156</v>
      </c>
      <c r="D10" s="4"/>
      <c r="E10" s="8"/>
      <c r="F10" s="28"/>
      <c r="G10" s="10"/>
      <c r="H10" s="10"/>
      <c r="I10" s="10"/>
      <c r="J10" s="10"/>
      <c r="K10" s="10"/>
      <c r="L10" s="10"/>
      <c r="M10" s="10"/>
      <c r="N10" s="10"/>
      <c r="O10" s="32" t="s">
        <v>28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33" t="s">
        <v>12</v>
      </c>
      <c r="B11" s="1" t="s">
        <v>22</v>
      </c>
      <c r="C11" s="2">
        <f>N11</f>
        <v>18444267</v>
      </c>
      <c r="D11" s="4"/>
      <c r="E11" s="34" t="s">
        <v>29</v>
      </c>
      <c r="F11" s="1" t="s">
        <v>22</v>
      </c>
      <c r="G11" s="35">
        <f t="shared" ref="G11:H11" si="1">SUM(G2:G8)</f>
        <v>123003111</v>
      </c>
      <c r="H11" s="35">
        <f t="shared" si="1"/>
        <v>14748158651</v>
      </c>
      <c r="I11" s="2">
        <f t="shared" ref="I11:K11" si="2">SUM(I3:I8)</f>
        <v>3236288</v>
      </c>
      <c r="J11" s="2">
        <f t="shared" si="2"/>
        <v>8655227</v>
      </c>
      <c r="K11" s="2">
        <f t="shared" si="2"/>
        <v>54376764</v>
      </c>
      <c r="L11" s="2">
        <f t="shared" ref="L11:M11" si="3">L6</f>
        <v>0</v>
      </c>
      <c r="M11" s="2">
        <f t="shared" si="3"/>
        <v>3262800</v>
      </c>
      <c r="N11" s="2">
        <f>SUM(N2:N6)</f>
        <v>18444267</v>
      </c>
      <c r="O11" s="36">
        <f>SUM(J11*4,K11*10,I11*15)</f>
        <v>626932868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37"/>
      <c r="B12" s="12"/>
      <c r="C12" s="38"/>
      <c r="D12" s="4"/>
      <c r="E12" s="4"/>
      <c r="F12" s="4"/>
      <c r="G12" s="39"/>
      <c r="H12" s="39"/>
      <c r="I12" s="39"/>
      <c r="J12" s="39"/>
      <c r="K12" s="39"/>
      <c r="L12" s="39"/>
      <c r="M12" s="39"/>
      <c r="N12" s="3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39"/>
      <c r="D13" s="4"/>
      <c r="E13" s="4"/>
      <c r="F13" s="4"/>
      <c r="G13" s="39"/>
      <c r="H13" s="39"/>
      <c r="I13" s="39"/>
      <c r="J13" s="39"/>
      <c r="K13" s="39"/>
      <c r="L13" s="39"/>
      <c r="M13" s="39"/>
      <c r="N13" s="39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0" t="s">
        <v>30</v>
      </c>
      <c r="B14" s="41"/>
      <c r="C14" s="12"/>
      <c r="D14" s="4"/>
      <c r="E14" s="42" t="s">
        <v>31</v>
      </c>
      <c r="F14" s="41"/>
      <c r="G14" s="41"/>
      <c r="H14" s="41"/>
      <c r="I14" s="41"/>
      <c r="J14" s="41"/>
      <c r="K14" s="41"/>
      <c r="L14" s="41"/>
      <c r="M14" s="41"/>
      <c r="N14" s="1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39"/>
      <c r="D15" s="4"/>
      <c r="E15" s="4"/>
      <c r="F15" s="4"/>
      <c r="G15" s="39"/>
      <c r="H15" s="39"/>
      <c r="I15" s="39"/>
      <c r="J15" s="39"/>
      <c r="K15" s="39"/>
      <c r="L15" s="39"/>
      <c r="M15" s="39"/>
      <c r="N15" s="3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43"/>
      <c r="B16" s="43"/>
      <c r="C16" s="44"/>
      <c r="D16" s="43"/>
      <c r="E16" s="43"/>
      <c r="F16" s="43"/>
      <c r="G16" s="44"/>
      <c r="H16" s="44"/>
      <c r="I16" s="44"/>
      <c r="J16" s="44"/>
      <c r="K16" s="44"/>
      <c r="L16" s="44"/>
      <c r="M16" s="44"/>
      <c r="N16" s="44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37.5" customHeight="1">
      <c r="A17" s="1" t="s">
        <v>32</v>
      </c>
      <c r="B17" s="45"/>
      <c r="C17" s="46"/>
      <c r="D17" s="4"/>
      <c r="E17" s="1" t="s">
        <v>3</v>
      </c>
      <c r="F17" s="1" t="s">
        <v>4</v>
      </c>
      <c r="G17" s="2" t="s">
        <v>5</v>
      </c>
      <c r="H17" s="2" t="s">
        <v>6</v>
      </c>
      <c r="I17" s="2" t="s">
        <v>33</v>
      </c>
      <c r="J17" s="2" t="s">
        <v>34</v>
      </c>
      <c r="K17" s="2" t="s">
        <v>9</v>
      </c>
      <c r="L17" s="2" t="s">
        <v>35</v>
      </c>
      <c r="M17" s="2" t="s">
        <v>36</v>
      </c>
      <c r="N17" s="2" t="s">
        <v>12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47" t="s">
        <v>37</v>
      </c>
      <c r="B18" s="8" t="s">
        <v>38</v>
      </c>
      <c r="C18" s="48" t="s">
        <v>39</v>
      </c>
      <c r="D18" s="4"/>
      <c r="E18" s="8" t="s">
        <v>40</v>
      </c>
      <c r="F18" s="9">
        <v>46184.0</v>
      </c>
      <c r="G18" s="10">
        <v>7.249587781E9</v>
      </c>
      <c r="H18" s="49">
        <v>1.39702506304E11</v>
      </c>
      <c r="I18" s="10">
        <v>1.091071302E9</v>
      </c>
      <c r="J18" s="10">
        <v>3.929241469E9</v>
      </c>
      <c r="K18" s="10">
        <v>4.934816788E9</v>
      </c>
      <c r="L18" s="2"/>
      <c r="M18" s="2"/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47" t="s">
        <v>41</v>
      </c>
      <c r="B19" s="8" t="s">
        <v>42</v>
      </c>
      <c r="C19" s="50" t="s">
        <v>43</v>
      </c>
      <c r="D19" s="4"/>
      <c r="E19" s="8" t="s">
        <v>44</v>
      </c>
      <c r="F19" s="9">
        <v>46189.0</v>
      </c>
      <c r="G19" s="10">
        <v>6.860850506E9</v>
      </c>
      <c r="H19" s="49">
        <v>1.44169742232E11</v>
      </c>
      <c r="I19" s="10">
        <v>1.105827727E9</v>
      </c>
      <c r="J19" s="10">
        <v>3.947102931E9</v>
      </c>
      <c r="K19" s="10">
        <v>5.147511585E9</v>
      </c>
      <c r="L19" s="2">
        <f>SUM(4248936,4159370,3645644,754339)</f>
        <v>12808289</v>
      </c>
      <c r="M19" s="2">
        <f>SUM(6967758,6413071,3674353,208547)</f>
        <v>17263729</v>
      </c>
      <c r="N19" s="10">
        <v>8.2144971E7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47" t="s">
        <v>45</v>
      </c>
      <c r="B20" s="8" t="s">
        <v>46</v>
      </c>
      <c r="C20" s="51" t="s">
        <v>47</v>
      </c>
      <c r="D20" s="4"/>
      <c r="E20" s="8" t="s">
        <v>48</v>
      </c>
      <c r="F20" s="9" t="s">
        <v>49</v>
      </c>
      <c r="G20" s="10"/>
      <c r="H20" s="49"/>
      <c r="I20" s="10"/>
      <c r="J20" s="10"/>
      <c r="K20" s="10"/>
      <c r="L20" s="2"/>
      <c r="M20" s="2"/>
      <c r="N20" s="1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52"/>
      <c r="B21" s="52"/>
      <c r="C21" s="53"/>
      <c r="D21" s="4"/>
      <c r="E21" s="8" t="s">
        <v>50</v>
      </c>
      <c r="F21" s="9" t="s">
        <v>49</v>
      </c>
      <c r="G21" s="10"/>
      <c r="H21" s="49"/>
      <c r="I21" s="10"/>
      <c r="J21" s="10"/>
      <c r="K21" s="10"/>
      <c r="L21" s="2"/>
      <c r="M21" s="2"/>
      <c r="N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54" t="s">
        <v>51</v>
      </c>
      <c r="B22" s="41"/>
      <c r="C22" s="12"/>
      <c r="D22" s="4"/>
      <c r="E22" s="8" t="s">
        <v>52</v>
      </c>
      <c r="F22" s="9">
        <v>46210.0</v>
      </c>
      <c r="G22" s="10">
        <v>6.945980113E9</v>
      </c>
      <c r="H22" s="49">
        <v>1.52934210301E11</v>
      </c>
      <c r="I22" s="10">
        <v>1.1914527E9</v>
      </c>
      <c r="J22" s="10">
        <v>4.070154899E9</v>
      </c>
      <c r="K22" s="10">
        <v>5.52214978E9</v>
      </c>
      <c r="L22" s="2">
        <f>SUM(8934584,8552262,7364184,823986)</f>
        <v>25675016</v>
      </c>
      <c r="M22" s="2">
        <f>SUM(15089813,15493659,10670471,465640)</f>
        <v>41719583</v>
      </c>
      <c r="N22" s="10">
        <v>1.87528635E8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55" t="s">
        <v>53</v>
      </c>
      <c r="B23" s="56">
        <v>2.00773629221182</v>
      </c>
      <c r="C23" s="48" t="s">
        <v>54</v>
      </c>
      <c r="D23" s="4"/>
      <c r="F23" s="9"/>
      <c r="G23" s="10"/>
      <c r="H23" s="49"/>
      <c r="I23" s="10"/>
      <c r="J23" s="10"/>
      <c r="K23" s="10"/>
      <c r="L23" s="2"/>
      <c r="M23" s="2"/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55" t="s">
        <v>55</v>
      </c>
      <c r="B24" s="14">
        <v>1.4748158651E10</v>
      </c>
      <c r="C24" s="48" t="s">
        <v>56</v>
      </c>
      <c r="D24" s="4"/>
      <c r="E24" s="8"/>
      <c r="F24" s="28"/>
      <c r="G24" s="10"/>
      <c r="H24" s="49"/>
      <c r="I24" s="10"/>
      <c r="J24" s="10"/>
      <c r="K24" s="10"/>
      <c r="L24" s="2"/>
      <c r="M24" s="2"/>
      <c r="N24" s="1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55" t="s">
        <v>55</v>
      </c>
      <c r="B25" s="14">
        <v>3262800.0</v>
      </c>
      <c r="C25" s="48" t="s">
        <v>57</v>
      </c>
      <c r="D25" s="4"/>
      <c r="E25" s="8"/>
      <c r="F25" s="28"/>
      <c r="G25" s="10"/>
      <c r="H25" s="10"/>
      <c r="I25" s="10"/>
      <c r="J25" s="10"/>
      <c r="K25" s="10"/>
      <c r="L25" s="10"/>
      <c r="M25" s="10"/>
      <c r="N25" s="1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55" t="s">
        <v>55</v>
      </c>
      <c r="B26" s="14">
        <v>1.174227156E9</v>
      </c>
      <c r="C26" s="48" t="s">
        <v>58</v>
      </c>
      <c r="D26" s="4"/>
      <c r="E26" s="34" t="s">
        <v>29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55" t="s">
        <v>55</v>
      </c>
      <c r="B27" s="14">
        <v>6.3031991E7</v>
      </c>
      <c r="C27" s="48" t="s">
        <v>59</v>
      </c>
      <c r="D27" s="4"/>
      <c r="E27" s="3"/>
      <c r="F27" s="3"/>
      <c r="G27" s="38"/>
      <c r="H27" s="38"/>
      <c r="I27" s="38"/>
      <c r="J27" s="38"/>
      <c r="K27" s="38"/>
      <c r="L27" s="38"/>
      <c r="M27" s="38"/>
      <c r="N27" s="3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55" t="s">
        <v>55</v>
      </c>
      <c r="B28" s="14">
        <v>1.8444267E7</v>
      </c>
      <c r="C28" s="48" t="s">
        <v>60</v>
      </c>
      <c r="D28" s="4"/>
      <c r="E28" s="3"/>
      <c r="F28" s="3"/>
      <c r="G28" s="38"/>
      <c r="H28" s="38"/>
      <c r="I28" s="38"/>
      <c r="J28" s="38"/>
      <c r="K28" s="38"/>
      <c r="L28" s="38"/>
      <c r="M28" s="38"/>
      <c r="N28" s="3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39"/>
      <c r="D29" s="4"/>
      <c r="E29" s="4"/>
      <c r="F29" s="57"/>
      <c r="G29" s="39"/>
      <c r="H29" s="39"/>
      <c r="I29" s="39"/>
      <c r="J29" s="39"/>
      <c r="K29" s="39"/>
      <c r="L29" s="39"/>
      <c r="M29" s="39"/>
      <c r="N29" s="3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39"/>
      <c r="D30" s="4"/>
      <c r="E30" s="4"/>
      <c r="F30" s="57"/>
      <c r="G30" s="39"/>
      <c r="H30" s="39"/>
      <c r="I30" s="39"/>
      <c r="J30" s="39"/>
      <c r="K30" s="39"/>
      <c r="L30" s="39"/>
      <c r="M30" s="39"/>
      <c r="N30" s="3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8" t="s">
        <v>61</v>
      </c>
      <c r="C31" s="58" t="s">
        <v>62</v>
      </c>
      <c r="D31" s="58" t="s">
        <v>6</v>
      </c>
      <c r="E31" s="4"/>
      <c r="F31" s="4"/>
      <c r="G31" s="39"/>
      <c r="H31" s="39"/>
      <c r="I31" s="39"/>
      <c r="J31" s="39"/>
      <c r="K31" s="39"/>
      <c r="L31" s="39"/>
      <c r="M31" s="39"/>
      <c r="N31" s="3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9">
        <v>45864.0</v>
      </c>
      <c r="C32" s="60">
        <v>9.278618824E9</v>
      </c>
      <c r="D32" s="60">
        <v>6.1276483616E10</v>
      </c>
      <c r="E32" s="4"/>
      <c r="F32" s="4"/>
      <c r="G32" s="39"/>
      <c r="H32" s="39"/>
      <c r="I32" s="39"/>
      <c r="J32" s="39"/>
      <c r="K32" s="39"/>
      <c r="L32" s="39"/>
      <c r="M32" s="39"/>
      <c r="N32" s="3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9">
        <v>45899.0</v>
      </c>
      <c r="C33" s="60">
        <v>1.2149406514E10</v>
      </c>
      <c r="D33" s="60">
        <v>1.12058146834E11</v>
      </c>
      <c r="E33" s="4"/>
      <c r="F33" s="57"/>
      <c r="G33" s="39"/>
      <c r="H33" s="39"/>
      <c r="I33" s="39"/>
      <c r="J33" s="39"/>
      <c r="K33" s="39"/>
      <c r="L33" s="39"/>
      <c r="M33" s="39"/>
      <c r="N33" s="3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9">
        <v>45928.0</v>
      </c>
      <c r="C34" s="60">
        <v>1.2149819513E10</v>
      </c>
      <c r="D34" s="60">
        <v>1.17058934234E11</v>
      </c>
      <c r="E34" s="4"/>
      <c r="F34" s="4"/>
      <c r="G34" s="39"/>
      <c r="H34" s="39"/>
      <c r="I34" s="39"/>
      <c r="J34" s="39"/>
      <c r="K34" s="39"/>
      <c r="L34" s="39"/>
      <c r="M34" s="39"/>
      <c r="N34" s="3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9">
        <v>45949.0</v>
      </c>
      <c r="C35" s="60">
        <v>1.1507378863E10</v>
      </c>
      <c r="D35" s="60">
        <v>1.24467902534E11</v>
      </c>
      <c r="E35" s="4"/>
      <c r="F35" s="4"/>
      <c r="G35" s="39"/>
      <c r="H35" s="39"/>
      <c r="I35" s="39"/>
      <c r="J35" s="39"/>
      <c r="K35" s="39"/>
      <c r="L35" s="39"/>
      <c r="M35" s="39"/>
      <c r="N35" s="3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9">
        <v>46013.0</v>
      </c>
      <c r="C36" s="60">
        <v>1.0913196282E10</v>
      </c>
      <c r="D36" s="60">
        <v>1.33185732701E11</v>
      </c>
      <c r="E36" s="4"/>
      <c r="F36" s="4"/>
      <c r="G36" s="39"/>
      <c r="H36" s="39"/>
      <c r="I36" s="39"/>
      <c r="J36" s="39"/>
      <c r="K36" s="39"/>
      <c r="L36" s="39"/>
      <c r="M36" s="39"/>
      <c r="N36" s="39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9">
        <v>46032.0</v>
      </c>
      <c r="C37" s="60">
        <v>1.0297688506E10</v>
      </c>
      <c r="D37" s="60">
        <v>1.42038184665E11</v>
      </c>
      <c r="E37" s="4"/>
      <c r="F37" s="4"/>
      <c r="G37" s="39"/>
      <c r="H37" s="39"/>
      <c r="I37" s="39"/>
      <c r="J37" s="39"/>
      <c r="K37" s="39"/>
      <c r="L37" s="39"/>
      <c r="M37" s="39"/>
      <c r="N37" s="3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61">
        <v>46104.0</v>
      </c>
      <c r="C38" s="35">
        <v>7.657388428E9</v>
      </c>
      <c r="D38" s="35">
        <v>1.29533572474E11</v>
      </c>
      <c r="E38" s="4"/>
      <c r="F38" s="4"/>
      <c r="G38" s="39"/>
      <c r="H38" s="39"/>
      <c r="I38" s="39"/>
      <c r="J38" s="39"/>
      <c r="K38" s="39"/>
      <c r="L38" s="39"/>
      <c r="M38" s="39"/>
      <c r="N38" s="39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61">
        <v>46126.0</v>
      </c>
      <c r="C39" s="35">
        <v>7.526593722E9</v>
      </c>
      <c r="D39" s="35">
        <v>1.42845858983E11</v>
      </c>
      <c r="E39" s="4"/>
      <c r="F39" s="4"/>
      <c r="G39" s="39"/>
      <c r="H39" s="39"/>
      <c r="I39" s="39"/>
      <c r="J39" s="39"/>
      <c r="K39" s="39"/>
      <c r="L39" s="39"/>
      <c r="M39" s="39"/>
      <c r="N39" s="3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61">
        <v>46184.0</v>
      </c>
      <c r="C40" s="35">
        <v>7.249587781E9</v>
      </c>
      <c r="D40" s="35">
        <v>1.39702506304E11</v>
      </c>
      <c r="E40" s="4"/>
      <c r="F40" s="4"/>
      <c r="G40" s="39"/>
      <c r="H40" s="39"/>
      <c r="I40" s="39"/>
      <c r="J40" s="39"/>
      <c r="K40" s="39"/>
      <c r="L40" s="39"/>
      <c r="M40" s="39"/>
      <c r="N40" s="39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61">
        <v>46189.0</v>
      </c>
      <c r="C41" s="35">
        <v>6.860850506E9</v>
      </c>
      <c r="D41" s="35">
        <v>1.44169742232E11</v>
      </c>
      <c r="E41" s="4"/>
      <c r="F41" s="4"/>
      <c r="G41" s="39"/>
      <c r="H41" s="39"/>
      <c r="I41" s="39"/>
      <c r="J41" s="39"/>
      <c r="K41" s="39"/>
      <c r="L41" s="39"/>
      <c r="M41" s="39"/>
      <c r="N41" s="39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61">
        <v>46210.0</v>
      </c>
      <c r="C42" s="35">
        <v>6.945980113E9</v>
      </c>
      <c r="D42" s="35">
        <v>1.52934210301E11</v>
      </c>
      <c r="E42" s="4"/>
      <c r="F42" s="4"/>
      <c r="G42" s="39"/>
      <c r="H42" s="39"/>
      <c r="I42" s="39"/>
      <c r="J42" s="39"/>
      <c r="K42" s="39"/>
      <c r="L42" s="39"/>
      <c r="M42" s="39"/>
      <c r="N42" s="39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39"/>
      <c r="D43" s="4"/>
      <c r="E43" s="4"/>
      <c r="F43" s="4"/>
      <c r="G43" s="39"/>
      <c r="H43" s="39"/>
      <c r="I43" s="39"/>
      <c r="J43" s="39"/>
      <c r="K43" s="39"/>
      <c r="L43" s="39"/>
      <c r="M43" s="39"/>
      <c r="N43" s="3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39"/>
      <c r="D44" s="4"/>
      <c r="E44" s="4"/>
      <c r="F44" s="4"/>
      <c r="G44" s="39"/>
      <c r="H44" s="39"/>
      <c r="I44" s="39"/>
      <c r="J44" s="39"/>
      <c r="K44" s="39"/>
      <c r="L44" s="39"/>
      <c r="M44" s="39"/>
      <c r="N44" s="3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39"/>
      <c r="D45" s="4"/>
      <c r="E45" s="4"/>
      <c r="F45" s="4"/>
      <c r="G45" s="39"/>
      <c r="H45" s="39"/>
      <c r="I45" s="39"/>
      <c r="J45" s="39"/>
      <c r="K45" s="39"/>
      <c r="L45" s="39"/>
      <c r="M45" s="39"/>
      <c r="N45" s="3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39"/>
      <c r="D46" s="4"/>
      <c r="E46" s="4"/>
      <c r="F46" s="4"/>
      <c r="G46" s="39"/>
      <c r="H46" s="39"/>
      <c r="I46" s="39"/>
      <c r="J46" s="39"/>
      <c r="K46" s="39"/>
      <c r="L46" s="39"/>
      <c r="M46" s="39"/>
      <c r="N46" s="3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39"/>
      <c r="D47" s="4"/>
      <c r="E47" s="4"/>
      <c r="F47" s="4"/>
      <c r="G47" s="39"/>
      <c r="H47" s="39"/>
      <c r="I47" s="39"/>
      <c r="J47" s="39"/>
      <c r="K47" s="39"/>
      <c r="L47" s="39"/>
      <c r="M47" s="39"/>
      <c r="N47" s="3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39"/>
      <c r="D48" s="4"/>
      <c r="E48" s="4"/>
      <c r="F48" s="4"/>
      <c r="G48" s="39"/>
      <c r="H48" s="39"/>
      <c r="I48" s="39"/>
      <c r="J48" s="39"/>
      <c r="K48" s="39"/>
      <c r="L48" s="39"/>
      <c r="M48" s="39"/>
      <c r="N48" s="3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39"/>
      <c r="D49" s="4"/>
      <c r="E49" s="4"/>
      <c r="F49" s="4"/>
      <c r="G49" s="39"/>
      <c r="H49" s="39"/>
      <c r="I49" s="39"/>
      <c r="J49" s="39"/>
      <c r="K49" s="39"/>
      <c r="L49" s="39"/>
      <c r="M49" s="39"/>
      <c r="N49" s="3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39"/>
      <c r="D50" s="4"/>
      <c r="E50" s="4"/>
      <c r="F50" s="4"/>
      <c r="G50" s="39"/>
      <c r="H50" s="39"/>
      <c r="I50" s="39"/>
      <c r="J50" s="39"/>
      <c r="K50" s="39"/>
      <c r="L50" s="39"/>
      <c r="M50" s="39"/>
      <c r="N50" s="3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39"/>
      <c r="D51" s="4"/>
      <c r="E51" s="4"/>
      <c r="F51" s="4"/>
      <c r="G51" s="39"/>
      <c r="H51" s="39"/>
      <c r="I51" s="39"/>
      <c r="J51" s="39"/>
      <c r="K51" s="39"/>
      <c r="L51" s="39"/>
      <c r="M51" s="39"/>
      <c r="N51" s="3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39"/>
      <c r="D52" s="4"/>
      <c r="E52" s="4"/>
      <c r="F52" s="4"/>
      <c r="G52" s="39"/>
      <c r="H52" s="39"/>
      <c r="I52" s="39"/>
      <c r="J52" s="39"/>
      <c r="K52" s="39"/>
      <c r="L52" s="39"/>
      <c r="M52" s="39"/>
      <c r="N52" s="3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39"/>
      <c r="D53" s="4"/>
      <c r="E53" s="4"/>
      <c r="F53" s="4"/>
      <c r="G53" s="39"/>
      <c r="H53" s="39"/>
      <c r="I53" s="39"/>
      <c r="J53" s="39"/>
      <c r="K53" s="39"/>
      <c r="L53" s="39"/>
      <c r="M53" s="39"/>
      <c r="N53" s="3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39"/>
      <c r="D54" s="4"/>
      <c r="E54" s="4"/>
      <c r="F54" s="4"/>
      <c r="G54" s="39"/>
      <c r="H54" s="39"/>
      <c r="I54" s="39"/>
      <c r="J54" s="39"/>
      <c r="K54" s="39"/>
      <c r="L54" s="39"/>
      <c r="M54" s="39"/>
      <c r="N54" s="3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39"/>
      <c r="D55" s="4"/>
      <c r="E55" s="4"/>
      <c r="F55" s="4"/>
      <c r="G55" s="39"/>
      <c r="H55" s="39"/>
      <c r="I55" s="39"/>
      <c r="J55" s="39"/>
      <c r="K55" s="39"/>
      <c r="L55" s="39"/>
      <c r="M55" s="39"/>
      <c r="N55" s="3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39"/>
      <c r="D56" s="4"/>
      <c r="E56" s="4"/>
      <c r="F56" s="4"/>
      <c r="G56" s="39"/>
      <c r="H56" s="39"/>
      <c r="I56" s="39"/>
      <c r="J56" s="39"/>
      <c r="K56" s="39"/>
      <c r="L56" s="39"/>
      <c r="M56" s="39"/>
      <c r="N56" s="3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39"/>
      <c r="D57" s="4"/>
      <c r="E57" s="4"/>
      <c r="F57" s="4"/>
      <c r="G57" s="39"/>
      <c r="H57" s="39"/>
      <c r="I57" s="39"/>
      <c r="J57" s="39"/>
      <c r="K57" s="39"/>
      <c r="L57" s="39"/>
      <c r="M57" s="39"/>
      <c r="N57" s="3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39"/>
      <c r="D58" s="4"/>
      <c r="E58" s="42" t="s">
        <v>63</v>
      </c>
      <c r="F58" s="41"/>
      <c r="G58" s="41"/>
      <c r="H58" s="41"/>
      <c r="I58" s="41"/>
      <c r="J58" s="41"/>
      <c r="K58" s="41"/>
      <c r="L58" s="41"/>
      <c r="M58" s="41"/>
      <c r="N58" s="1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39"/>
      <c r="D59" s="4"/>
      <c r="E59" s="4"/>
      <c r="F59" s="4"/>
      <c r="G59" s="39"/>
      <c r="H59" s="39"/>
      <c r="I59" s="39"/>
      <c r="J59" s="39"/>
      <c r="K59" s="39"/>
      <c r="L59" s="39"/>
      <c r="M59" s="39"/>
      <c r="N59" s="3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39"/>
      <c r="D60" s="4"/>
      <c r="E60" s="4"/>
      <c r="F60" s="4"/>
      <c r="G60" s="39"/>
      <c r="H60" s="39"/>
      <c r="I60" s="39"/>
      <c r="J60" s="39"/>
      <c r="K60" s="39"/>
      <c r="L60" s="39"/>
      <c r="M60" s="39"/>
      <c r="N60" s="3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39"/>
      <c r="D61" s="4"/>
      <c r="E61" s="4"/>
      <c r="F61" s="4"/>
      <c r="G61" s="39"/>
      <c r="H61" s="39"/>
      <c r="I61" s="39"/>
      <c r="J61" s="39"/>
      <c r="K61" s="39"/>
      <c r="L61" s="39"/>
      <c r="M61" s="39"/>
      <c r="N61" s="3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2.75" customHeight="1">
      <c r="A62" s="4"/>
      <c r="B62" s="4"/>
      <c r="C62" s="39"/>
      <c r="D62" s="1" t="s">
        <v>64</v>
      </c>
      <c r="E62" s="1" t="s">
        <v>65</v>
      </c>
      <c r="F62" s="1" t="s">
        <v>66</v>
      </c>
      <c r="G62" s="2" t="s">
        <v>67</v>
      </c>
      <c r="H62" s="2" t="s">
        <v>68</v>
      </c>
      <c r="I62" s="2" t="s">
        <v>69</v>
      </c>
      <c r="J62" s="2" t="s">
        <v>70</v>
      </c>
      <c r="K62" s="2" t="s">
        <v>71</v>
      </c>
      <c r="L62" s="2" t="s">
        <v>72</v>
      </c>
      <c r="M62" s="2" t="s">
        <v>73</v>
      </c>
      <c r="N62" s="2" t="s">
        <v>74</v>
      </c>
      <c r="O62" s="2" t="s">
        <v>75</v>
      </c>
      <c r="P62" s="6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39"/>
      <c r="D63" s="8" t="s">
        <v>76</v>
      </c>
      <c r="E63" s="8" t="s">
        <v>76</v>
      </c>
      <c r="F63" s="8" t="s">
        <v>76</v>
      </c>
      <c r="G63" s="8" t="s">
        <v>76</v>
      </c>
      <c r="H63" s="8" t="s">
        <v>76</v>
      </c>
      <c r="I63" s="8" t="s">
        <v>76</v>
      </c>
      <c r="J63" s="8" t="s">
        <v>76</v>
      </c>
      <c r="K63" s="8" t="s">
        <v>76</v>
      </c>
      <c r="L63" s="8" t="s">
        <v>76</v>
      </c>
      <c r="M63" s="8" t="s">
        <v>76</v>
      </c>
      <c r="N63" s="8" t="s">
        <v>76</v>
      </c>
      <c r="O63" s="8" t="s">
        <v>76</v>
      </c>
      <c r="P63" s="63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39"/>
      <c r="D64" s="4"/>
      <c r="E64" s="64"/>
      <c r="F64" s="65"/>
      <c r="G64" s="65"/>
      <c r="H64" s="65"/>
      <c r="I64" s="65"/>
      <c r="J64" s="65"/>
      <c r="K64" s="65"/>
      <c r="L64" s="63"/>
      <c r="M64" s="63"/>
      <c r="N64" s="6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39"/>
      <c r="D65" s="4"/>
      <c r="E65" s="64"/>
      <c r="F65" s="65"/>
      <c r="G65" s="65"/>
      <c r="H65" s="65"/>
      <c r="I65" s="65"/>
      <c r="J65" s="65"/>
      <c r="K65" s="63"/>
      <c r="L65" s="63"/>
      <c r="M65" s="63"/>
      <c r="N65" s="6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39"/>
      <c r="D66" s="4"/>
      <c r="E66" s="64"/>
      <c r="F66" s="65"/>
      <c r="G66" s="65"/>
      <c r="H66" s="65"/>
      <c r="I66" s="65"/>
      <c r="J66" s="65"/>
      <c r="K66" s="63"/>
      <c r="L66" s="63"/>
      <c r="M66" s="63"/>
      <c r="N66" s="6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39"/>
      <c r="D67" s="4"/>
      <c r="E67" s="64"/>
      <c r="F67" s="65"/>
      <c r="G67" s="65"/>
      <c r="H67" s="65"/>
      <c r="I67" s="65"/>
      <c r="J67" s="65"/>
      <c r="K67" s="63"/>
      <c r="L67" s="63"/>
      <c r="M67" s="63"/>
      <c r="N67" s="6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39"/>
      <c r="D68" s="4"/>
      <c r="E68" s="64"/>
      <c r="F68" s="65"/>
      <c r="G68" s="65"/>
      <c r="H68" s="65"/>
      <c r="I68" s="65"/>
      <c r="J68" s="65"/>
      <c r="K68" s="63"/>
      <c r="L68" s="63"/>
      <c r="M68" s="63"/>
      <c r="N68" s="6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39"/>
      <c r="D69" s="4"/>
      <c r="E69" s="4"/>
      <c r="F69" s="4"/>
      <c r="G69" s="39"/>
      <c r="H69" s="39"/>
      <c r="I69" s="39"/>
      <c r="J69" s="39"/>
      <c r="K69" s="39"/>
      <c r="L69" s="39"/>
      <c r="M69" s="39"/>
      <c r="N69" s="3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39"/>
      <c r="D70" s="4"/>
      <c r="E70" s="4"/>
      <c r="F70" s="4"/>
      <c r="G70" s="39"/>
      <c r="H70" s="39"/>
      <c r="I70" s="39"/>
      <c r="J70" s="39"/>
      <c r="K70" s="39"/>
      <c r="L70" s="39"/>
      <c r="M70" s="39"/>
      <c r="N70" s="3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39"/>
      <c r="D71" s="4"/>
      <c r="E71" s="4"/>
      <c r="F71" s="4"/>
      <c r="G71" s="39"/>
      <c r="H71" s="39"/>
      <c r="I71" s="39"/>
      <c r="J71" s="39"/>
      <c r="K71" s="39"/>
      <c r="L71" s="39"/>
      <c r="M71" s="39"/>
      <c r="N71" s="3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39"/>
      <c r="D72" s="4"/>
      <c r="E72" s="4"/>
      <c r="F72" s="4"/>
      <c r="G72" s="39"/>
      <c r="H72" s="39"/>
      <c r="I72" s="39"/>
      <c r="J72" s="39"/>
      <c r="K72" s="39"/>
      <c r="L72" s="39"/>
      <c r="M72" s="39"/>
      <c r="N72" s="3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39"/>
      <c r="D73" s="4"/>
      <c r="E73" s="4"/>
      <c r="F73" s="4"/>
      <c r="G73" s="39"/>
      <c r="H73" s="39"/>
      <c r="I73" s="39"/>
      <c r="J73" s="39"/>
      <c r="K73" s="39"/>
      <c r="L73" s="39"/>
      <c r="M73" s="39"/>
      <c r="N73" s="3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39"/>
      <c r="D74" s="4"/>
      <c r="E74" s="4"/>
      <c r="F74" s="4"/>
      <c r="G74" s="39"/>
      <c r="H74" s="39"/>
      <c r="I74" s="39"/>
      <c r="J74" s="39"/>
      <c r="K74" s="39"/>
      <c r="L74" s="39"/>
      <c r="M74" s="39"/>
      <c r="N74" s="3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39"/>
      <c r="D75" s="4"/>
      <c r="E75" s="4"/>
      <c r="F75" s="4"/>
      <c r="G75" s="39"/>
      <c r="H75" s="39"/>
      <c r="I75" s="39"/>
      <c r="J75" s="39"/>
      <c r="K75" s="39"/>
      <c r="L75" s="39"/>
      <c r="M75" s="39"/>
      <c r="N75" s="3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39"/>
      <c r="D76" s="4"/>
      <c r="E76" s="4"/>
      <c r="F76" s="4"/>
      <c r="G76" s="39"/>
      <c r="H76" s="39"/>
      <c r="I76" s="39"/>
      <c r="J76" s="39"/>
      <c r="K76" s="39"/>
      <c r="L76" s="39"/>
      <c r="M76" s="39"/>
      <c r="N76" s="3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39"/>
      <c r="D77" s="4"/>
      <c r="E77" s="4"/>
      <c r="F77" s="4"/>
      <c r="G77" s="39"/>
      <c r="H77" s="39"/>
      <c r="I77" s="39"/>
      <c r="J77" s="39"/>
      <c r="K77" s="39"/>
      <c r="L77" s="39"/>
      <c r="M77" s="39"/>
      <c r="N77" s="3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39"/>
      <c r="D78" s="4"/>
      <c r="E78" s="4"/>
      <c r="F78" s="4"/>
      <c r="G78" s="39"/>
      <c r="H78" s="39"/>
      <c r="I78" s="39"/>
      <c r="J78" s="39"/>
      <c r="K78" s="39"/>
      <c r="L78" s="39"/>
      <c r="M78" s="39"/>
      <c r="N78" s="3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39"/>
      <c r="D79" s="4"/>
      <c r="E79" s="4"/>
      <c r="F79" s="4"/>
      <c r="G79" s="39"/>
      <c r="H79" s="39"/>
      <c r="I79" s="39"/>
      <c r="J79" s="39"/>
      <c r="K79" s="39"/>
      <c r="L79" s="39"/>
      <c r="M79" s="39"/>
      <c r="N79" s="3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39"/>
      <c r="D80" s="4"/>
      <c r="E80" s="4"/>
      <c r="F80" s="4"/>
      <c r="G80" s="39"/>
      <c r="H80" s="39"/>
      <c r="I80" s="39"/>
      <c r="J80" s="39"/>
      <c r="K80" s="39"/>
      <c r="L80" s="39"/>
      <c r="M80" s="39"/>
      <c r="N80" s="3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39"/>
      <c r="D81" s="4"/>
      <c r="E81" s="4"/>
      <c r="F81" s="4"/>
      <c r="G81" s="39"/>
      <c r="H81" s="39"/>
      <c r="I81" s="39"/>
      <c r="J81" s="39"/>
      <c r="K81" s="39"/>
      <c r="L81" s="39"/>
      <c r="M81" s="39"/>
      <c r="N81" s="3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39"/>
      <c r="D82" s="4"/>
      <c r="E82" s="4"/>
      <c r="F82" s="4"/>
      <c r="G82" s="39"/>
      <c r="H82" s="39"/>
      <c r="I82" s="39"/>
      <c r="J82" s="39"/>
      <c r="K82" s="39"/>
      <c r="L82" s="39"/>
      <c r="M82" s="39"/>
      <c r="N82" s="3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39"/>
      <c r="D83" s="4"/>
      <c r="E83" s="4"/>
      <c r="F83" s="4"/>
      <c r="G83" s="39"/>
      <c r="H83" s="39"/>
      <c r="I83" s="39"/>
      <c r="J83" s="39"/>
      <c r="K83" s="39"/>
      <c r="L83" s="39"/>
      <c r="M83" s="39"/>
      <c r="N83" s="3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39"/>
      <c r="D84" s="4"/>
      <c r="E84" s="4"/>
      <c r="F84" s="4"/>
      <c r="G84" s="39"/>
      <c r="H84" s="39"/>
      <c r="I84" s="39"/>
      <c r="J84" s="39"/>
      <c r="K84" s="39"/>
      <c r="L84" s="39"/>
      <c r="M84" s="39"/>
      <c r="N84" s="3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39"/>
      <c r="D85" s="4"/>
      <c r="E85" s="4"/>
      <c r="F85" s="4"/>
      <c r="G85" s="39"/>
      <c r="H85" s="39"/>
      <c r="I85" s="39"/>
      <c r="J85" s="39"/>
      <c r="K85" s="39"/>
      <c r="L85" s="39"/>
      <c r="M85" s="39"/>
      <c r="N85" s="3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39"/>
      <c r="D86" s="4"/>
      <c r="E86" s="4"/>
      <c r="F86" s="4"/>
      <c r="G86" s="39"/>
      <c r="H86" s="39"/>
      <c r="I86" s="39"/>
      <c r="J86" s="39"/>
      <c r="K86" s="39"/>
      <c r="L86" s="39"/>
      <c r="M86" s="39"/>
      <c r="N86" s="3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39"/>
      <c r="D87" s="4"/>
      <c r="E87" s="4"/>
      <c r="F87" s="4"/>
      <c r="G87" s="39"/>
      <c r="H87" s="39"/>
      <c r="I87" s="39"/>
      <c r="J87" s="39"/>
      <c r="K87" s="39"/>
      <c r="L87" s="39"/>
      <c r="M87" s="39"/>
      <c r="N87" s="3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39"/>
      <c r="D88" s="4"/>
      <c r="E88" s="4"/>
      <c r="F88" s="4"/>
      <c r="G88" s="39"/>
      <c r="H88" s="39"/>
      <c r="I88" s="39"/>
      <c r="J88" s="39"/>
      <c r="K88" s="39"/>
      <c r="L88" s="39"/>
      <c r="M88" s="39"/>
      <c r="N88" s="3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39"/>
      <c r="D89" s="4"/>
      <c r="E89" s="4"/>
      <c r="F89" s="4"/>
      <c r="G89" s="39"/>
      <c r="H89" s="39"/>
      <c r="I89" s="39"/>
      <c r="J89" s="39"/>
      <c r="K89" s="39"/>
      <c r="L89" s="39"/>
      <c r="M89" s="39"/>
      <c r="N89" s="3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39"/>
      <c r="D90" s="4"/>
      <c r="E90" s="4"/>
      <c r="F90" s="4"/>
      <c r="G90" s="39"/>
      <c r="H90" s="39"/>
      <c r="I90" s="39"/>
      <c r="J90" s="39"/>
      <c r="K90" s="39"/>
      <c r="L90" s="39"/>
      <c r="M90" s="39"/>
      <c r="N90" s="3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39"/>
      <c r="D91" s="4"/>
      <c r="E91" s="4"/>
      <c r="F91" s="4"/>
      <c r="G91" s="39"/>
      <c r="H91" s="39"/>
      <c r="I91" s="39"/>
      <c r="J91" s="39"/>
      <c r="K91" s="39"/>
      <c r="L91" s="39"/>
      <c r="M91" s="39"/>
      <c r="N91" s="3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39"/>
      <c r="D92" s="4"/>
      <c r="E92" s="4"/>
      <c r="F92" s="4"/>
      <c r="G92" s="39"/>
      <c r="H92" s="39"/>
      <c r="I92" s="39"/>
      <c r="J92" s="39"/>
      <c r="K92" s="39"/>
      <c r="L92" s="39"/>
      <c r="M92" s="39"/>
      <c r="N92" s="3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39"/>
      <c r="D93" s="4"/>
      <c r="E93" s="4"/>
      <c r="F93" s="4"/>
      <c r="G93" s="39"/>
      <c r="H93" s="39"/>
      <c r="I93" s="39"/>
      <c r="J93" s="39"/>
      <c r="K93" s="39"/>
      <c r="L93" s="39"/>
      <c r="M93" s="39"/>
      <c r="N93" s="3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39"/>
      <c r="D94" s="4"/>
      <c r="E94" s="4"/>
      <c r="F94" s="4"/>
      <c r="G94" s="39"/>
      <c r="H94" s="39"/>
      <c r="I94" s="39"/>
      <c r="J94" s="39"/>
      <c r="K94" s="39"/>
      <c r="L94" s="39"/>
      <c r="M94" s="39"/>
      <c r="N94" s="3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39"/>
      <c r="D95" s="4"/>
      <c r="E95" s="4"/>
      <c r="F95" s="4"/>
      <c r="G95" s="39"/>
      <c r="H95" s="39"/>
      <c r="I95" s="39"/>
      <c r="J95" s="39"/>
      <c r="K95" s="39"/>
      <c r="L95" s="39"/>
      <c r="M95" s="39"/>
      <c r="N95" s="3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39"/>
      <c r="D96" s="4"/>
      <c r="E96" s="4"/>
      <c r="F96" s="4"/>
      <c r="G96" s="39"/>
      <c r="H96" s="39"/>
      <c r="I96" s="39"/>
      <c r="J96" s="39"/>
      <c r="K96" s="39"/>
      <c r="L96" s="39"/>
      <c r="M96" s="39"/>
      <c r="N96" s="3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39"/>
      <c r="D97" s="4"/>
      <c r="E97" s="4"/>
      <c r="F97" s="4"/>
      <c r="G97" s="39"/>
      <c r="H97" s="39"/>
      <c r="I97" s="39"/>
      <c r="J97" s="39"/>
      <c r="K97" s="39"/>
      <c r="L97" s="39"/>
      <c r="M97" s="39"/>
      <c r="N97" s="3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39"/>
      <c r="D98" s="4"/>
      <c r="E98" s="4"/>
      <c r="F98" s="4"/>
      <c r="G98" s="39"/>
      <c r="H98" s="39"/>
      <c r="I98" s="39"/>
      <c r="J98" s="39"/>
      <c r="K98" s="39"/>
      <c r="L98" s="39"/>
      <c r="M98" s="39"/>
      <c r="N98" s="3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39"/>
      <c r="D99" s="4"/>
      <c r="E99" s="4"/>
      <c r="F99" s="4"/>
      <c r="G99" s="39"/>
      <c r="H99" s="39"/>
      <c r="I99" s="39"/>
      <c r="J99" s="39"/>
      <c r="K99" s="39"/>
      <c r="L99" s="39"/>
      <c r="M99" s="39"/>
      <c r="N99" s="3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39"/>
      <c r="D100" s="4"/>
      <c r="E100" s="4"/>
      <c r="F100" s="4"/>
      <c r="G100" s="39"/>
      <c r="H100" s="39"/>
      <c r="I100" s="39"/>
      <c r="J100" s="39"/>
      <c r="K100" s="39"/>
      <c r="L100" s="39"/>
      <c r="M100" s="39"/>
      <c r="N100" s="3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39"/>
      <c r="D101" s="4"/>
      <c r="E101" s="4"/>
      <c r="F101" s="4"/>
      <c r="G101" s="39"/>
      <c r="H101" s="39"/>
      <c r="I101" s="39"/>
      <c r="J101" s="39"/>
      <c r="K101" s="39"/>
      <c r="L101" s="39"/>
      <c r="M101" s="39"/>
      <c r="N101" s="3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39"/>
      <c r="D102" s="4"/>
      <c r="E102" s="4"/>
      <c r="F102" s="4"/>
      <c r="G102" s="39"/>
      <c r="H102" s="39"/>
      <c r="I102" s="39"/>
      <c r="J102" s="39"/>
      <c r="K102" s="39"/>
      <c r="L102" s="39"/>
      <c r="M102" s="39"/>
      <c r="N102" s="3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39"/>
      <c r="D103" s="4"/>
      <c r="E103" s="4"/>
      <c r="F103" s="4"/>
      <c r="G103" s="39"/>
      <c r="H103" s="39"/>
      <c r="I103" s="39"/>
      <c r="J103" s="39"/>
      <c r="K103" s="39"/>
      <c r="L103" s="39"/>
      <c r="M103" s="39"/>
      <c r="N103" s="3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39"/>
      <c r="D104" s="4"/>
      <c r="E104" s="4"/>
      <c r="F104" s="4"/>
      <c r="G104" s="39"/>
      <c r="H104" s="39"/>
      <c r="I104" s="39"/>
      <c r="J104" s="39"/>
      <c r="K104" s="39"/>
      <c r="L104" s="39"/>
      <c r="M104" s="39"/>
      <c r="N104" s="3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39"/>
      <c r="D105" s="4"/>
      <c r="E105" s="4"/>
      <c r="F105" s="4"/>
      <c r="G105" s="39"/>
      <c r="H105" s="39"/>
      <c r="I105" s="39"/>
      <c r="J105" s="39"/>
      <c r="K105" s="39"/>
      <c r="L105" s="39"/>
      <c r="M105" s="39"/>
      <c r="N105" s="3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39"/>
      <c r="D106" s="4"/>
      <c r="E106" s="4"/>
      <c r="F106" s="4"/>
      <c r="G106" s="39"/>
      <c r="H106" s="39"/>
      <c r="I106" s="39"/>
      <c r="J106" s="39"/>
      <c r="K106" s="39"/>
      <c r="L106" s="39"/>
      <c r="M106" s="39"/>
      <c r="N106" s="3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39"/>
      <c r="D107" s="4"/>
      <c r="E107" s="4"/>
      <c r="F107" s="4"/>
      <c r="G107" s="39"/>
      <c r="H107" s="39"/>
      <c r="I107" s="39"/>
      <c r="J107" s="39"/>
      <c r="K107" s="39"/>
      <c r="L107" s="39"/>
      <c r="M107" s="39"/>
      <c r="N107" s="3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39"/>
      <c r="D108" s="4"/>
      <c r="E108" s="4"/>
      <c r="F108" s="4"/>
      <c r="G108" s="39"/>
      <c r="H108" s="39"/>
      <c r="I108" s="39"/>
      <c r="J108" s="39"/>
      <c r="K108" s="39"/>
      <c r="L108" s="39"/>
      <c r="M108" s="39"/>
      <c r="N108" s="3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39"/>
      <c r="D109" s="4"/>
      <c r="E109" s="4"/>
      <c r="F109" s="4"/>
      <c r="G109" s="39"/>
      <c r="H109" s="39"/>
      <c r="I109" s="39"/>
      <c r="J109" s="39"/>
      <c r="K109" s="39"/>
      <c r="L109" s="39"/>
      <c r="M109" s="39"/>
      <c r="N109" s="3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39"/>
      <c r="D110" s="4"/>
      <c r="E110" s="4"/>
      <c r="F110" s="4"/>
      <c r="G110" s="39"/>
      <c r="H110" s="39"/>
      <c r="I110" s="39"/>
      <c r="J110" s="39"/>
      <c r="K110" s="39"/>
      <c r="L110" s="39"/>
      <c r="M110" s="39"/>
      <c r="N110" s="3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39"/>
      <c r="D111" s="4"/>
      <c r="E111" s="4"/>
      <c r="F111" s="4"/>
      <c r="G111" s="39"/>
      <c r="H111" s="39"/>
      <c r="I111" s="39"/>
      <c r="J111" s="39"/>
      <c r="K111" s="39"/>
      <c r="L111" s="39"/>
      <c r="M111" s="39"/>
      <c r="N111" s="3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39"/>
      <c r="D112" s="4"/>
      <c r="E112" s="4"/>
      <c r="F112" s="4"/>
      <c r="G112" s="39"/>
      <c r="H112" s="39"/>
      <c r="I112" s="39"/>
      <c r="J112" s="39"/>
      <c r="K112" s="39"/>
      <c r="L112" s="39"/>
      <c r="M112" s="39"/>
      <c r="N112" s="3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39"/>
      <c r="D113" s="4"/>
      <c r="E113" s="4"/>
      <c r="F113" s="4"/>
      <c r="G113" s="39"/>
      <c r="H113" s="39"/>
      <c r="I113" s="39"/>
      <c r="J113" s="39"/>
      <c r="K113" s="39"/>
      <c r="L113" s="39"/>
      <c r="M113" s="39"/>
      <c r="N113" s="3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39"/>
      <c r="D114" s="4"/>
      <c r="E114" s="4"/>
      <c r="F114" s="4"/>
      <c r="G114" s="39"/>
      <c r="H114" s="39"/>
      <c r="I114" s="39"/>
      <c r="J114" s="39"/>
      <c r="K114" s="39"/>
      <c r="L114" s="39"/>
      <c r="M114" s="39"/>
      <c r="N114" s="3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39"/>
      <c r="D115" s="4"/>
      <c r="E115" s="4"/>
      <c r="F115" s="4"/>
      <c r="G115" s="39"/>
      <c r="H115" s="39"/>
      <c r="I115" s="39"/>
      <c r="J115" s="39"/>
      <c r="K115" s="39"/>
      <c r="L115" s="39"/>
      <c r="M115" s="39"/>
      <c r="N115" s="3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39"/>
      <c r="D116" s="4"/>
      <c r="E116" s="4"/>
      <c r="F116" s="4"/>
      <c r="G116" s="39"/>
      <c r="H116" s="39"/>
      <c r="I116" s="39"/>
      <c r="J116" s="39"/>
      <c r="K116" s="39"/>
      <c r="L116" s="39"/>
      <c r="M116" s="39"/>
      <c r="N116" s="3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39"/>
      <c r="D117" s="4"/>
      <c r="E117" s="4"/>
      <c r="F117" s="4"/>
      <c r="G117" s="39"/>
      <c r="H117" s="39"/>
      <c r="I117" s="39"/>
      <c r="J117" s="39"/>
      <c r="K117" s="39"/>
      <c r="L117" s="39"/>
      <c r="M117" s="39"/>
      <c r="N117" s="3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39"/>
      <c r="D118" s="4"/>
      <c r="E118" s="4"/>
      <c r="F118" s="4"/>
      <c r="G118" s="39"/>
      <c r="H118" s="39"/>
      <c r="I118" s="39"/>
      <c r="J118" s="39"/>
      <c r="K118" s="39"/>
      <c r="L118" s="39"/>
      <c r="M118" s="39"/>
      <c r="N118" s="3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39"/>
      <c r="D119" s="4"/>
      <c r="E119" s="4"/>
      <c r="F119" s="4"/>
      <c r="G119" s="39"/>
      <c r="H119" s="39"/>
      <c r="I119" s="39"/>
      <c r="J119" s="39"/>
      <c r="K119" s="39"/>
      <c r="L119" s="39"/>
      <c r="M119" s="39"/>
      <c r="N119" s="3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39"/>
      <c r="D120" s="4"/>
      <c r="E120" s="4"/>
      <c r="F120" s="4"/>
      <c r="G120" s="39"/>
      <c r="H120" s="39"/>
      <c r="I120" s="39"/>
      <c r="J120" s="39"/>
      <c r="K120" s="39"/>
      <c r="L120" s="39"/>
      <c r="M120" s="39"/>
      <c r="N120" s="3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39"/>
      <c r="D121" s="4"/>
      <c r="E121" s="4"/>
      <c r="F121" s="4"/>
      <c r="G121" s="39"/>
      <c r="H121" s="39"/>
      <c r="I121" s="39"/>
      <c r="J121" s="39"/>
      <c r="K121" s="39"/>
      <c r="L121" s="39"/>
      <c r="M121" s="39"/>
      <c r="N121" s="3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39"/>
      <c r="D122" s="4"/>
      <c r="E122" s="4"/>
      <c r="F122" s="4"/>
      <c r="G122" s="39"/>
      <c r="H122" s="39"/>
      <c r="I122" s="39"/>
      <c r="J122" s="39"/>
      <c r="K122" s="39"/>
      <c r="L122" s="39"/>
      <c r="M122" s="39"/>
      <c r="N122" s="3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39"/>
      <c r="D123" s="4"/>
      <c r="E123" s="4"/>
      <c r="F123" s="4"/>
      <c r="G123" s="39"/>
      <c r="H123" s="39"/>
      <c r="I123" s="39"/>
      <c r="J123" s="39"/>
      <c r="K123" s="39"/>
      <c r="L123" s="39"/>
      <c r="M123" s="39"/>
      <c r="N123" s="3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39"/>
      <c r="D124" s="4"/>
      <c r="E124" s="4"/>
      <c r="F124" s="4"/>
      <c r="G124" s="39"/>
      <c r="H124" s="39"/>
      <c r="I124" s="39"/>
      <c r="J124" s="39"/>
      <c r="K124" s="39"/>
      <c r="L124" s="39"/>
      <c r="M124" s="39"/>
      <c r="N124" s="3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39"/>
      <c r="D125" s="4"/>
      <c r="E125" s="4"/>
      <c r="F125" s="4"/>
      <c r="G125" s="39"/>
      <c r="H125" s="39"/>
      <c r="I125" s="39"/>
      <c r="J125" s="39"/>
      <c r="K125" s="39"/>
      <c r="L125" s="39"/>
      <c r="M125" s="39"/>
      <c r="N125" s="3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39"/>
      <c r="D126" s="4"/>
      <c r="E126" s="4"/>
      <c r="F126" s="4"/>
      <c r="G126" s="39"/>
      <c r="H126" s="39"/>
      <c r="I126" s="39"/>
      <c r="J126" s="39"/>
      <c r="K126" s="39"/>
      <c r="L126" s="39"/>
      <c r="M126" s="39"/>
      <c r="N126" s="3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39"/>
      <c r="D127" s="4"/>
      <c r="E127" s="4"/>
      <c r="F127" s="4"/>
      <c r="G127" s="39"/>
      <c r="H127" s="39"/>
      <c r="I127" s="39"/>
      <c r="J127" s="39"/>
      <c r="K127" s="39"/>
      <c r="L127" s="39"/>
      <c r="M127" s="39"/>
      <c r="N127" s="3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39"/>
      <c r="D128" s="4"/>
      <c r="E128" s="4"/>
      <c r="F128" s="4"/>
      <c r="G128" s="39"/>
      <c r="H128" s="39"/>
      <c r="I128" s="39"/>
      <c r="J128" s="39"/>
      <c r="K128" s="39"/>
      <c r="L128" s="39"/>
      <c r="M128" s="39"/>
      <c r="N128" s="3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39"/>
      <c r="D129" s="4"/>
      <c r="E129" s="4"/>
      <c r="F129" s="4"/>
      <c r="G129" s="39"/>
      <c r="H129" s="39"/>
      <c r="I129" s="39"/>
      <c r="J129" s="39"/>
      <c r="K129" s="39"/>
      <c r="L129" s="39"/>
      <c r="M129" s="39"/>
      <c r="N129" s="3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39"/>
      <c r="D130" s="4"/>
      <c r="E130" s="4"/>
      <c r="F130" s="4"/>
      <c r="G130" s="39"/>
      <c r="H130" s="39"/>
      <c r="I130" s="39"/>
      <c r="J130" s="39"/>
      <c r="K130" s="39"/>
      <c r="L130" s="39"/>
      <c r="M130" s="39"/>
      <c r="N130" s="3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39"/>
      <c r="D131" s="4"/>
      <c r="E131" s="4"/>
      <c r="F131" s="4"/>
      <c r="G131" s="39"/>
      <c r="H131" s="39"/>
      <c r="I131" s="39"/>
      <c r="J131" s="39"/>
      <c r="K131" s="39"/>
      <c r="L131" s="39"/>
      <c r="M131" s="39"/>
      <c r="N131" s="3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39"/>
      <c r="D132" s="4"/>
      <c r="E132" s="4"/>
      <c r="F132" s="4"/>
      <c r="G132" s="39"/>
      <c r="H132" s="39"/>
      <c r="I132" s="39"/>
      <c r="J132" s="39"/>
      <c r="K132" s="39"/>
      <c r="L132" s="39"/>
      <c r="M132" s="39"/>
      <c r="N132" s="3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39"/>
      <c r="D133" s="4"/>
      <c r="E133" s="4"/>
      <c r="F133" s="4"/>
      <c r="G133" s="39"/>
      <c r="H133" s="39"/>
      <c r="I133" s="39"/>
      <c r="J133" s="39"/>
      <c r="K133" s="39"/>
      <c r="L133" s="39"/>
      <c r="M133" s="39"/>
      <c r="N133" s="3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39"/>
      <c r="D134" s="4"/>
      <c r="E134" s="4"/>
      <c r="F134" s="4"/>
      <c r="G134" s="39"/>
      <c r="H134" s="39"/>
      <c r="I134" s="39"/>
      <c r="J134" s="39"/>
      <c r="K134" s="39"/>
      <c r="L134" s="39"/>
      <c r="M134" s="39"/>
      <c r="N134" s="3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39"/>
      <c r="D135" s="4"/>
      <c r="E135" s="4"/>
      <c r="F135" s="4"/>
      <c r="G135" s="39"/>
      <c r="H135" s="39"/>
      <c r="I135" s="39"/>
      <c r="J135" s="39"/>
      <c r="K135" s="39"/>
      <c r="L135" s="39"/>
      <c r="M135" s="39"/>
      <c r="N135" s="3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39"/>
      <c r="D136" s="4"/>
      <c r="E136" s="4"/>
      <c r="F136" s="4"/>
      <c r="G136" s="39"/>
      <c r="H136" s="39"/>
      <c r="I136" s="39"/>
      <c r="J136" s="39"/>
      <c r="K136" s="39"/>
      <c r="L136" s="39"/>
      <c r="M136" s="39"/>
      <c r="N136" s="3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39"/>
      <c r="D137" s="4"/>
      <c r="E137" s="4"/>
      <c r="F137" s="4"/>
      <c r="G137" s="39"/>
      <c r="H137" s="39"/>
      <c r="I137" s="39"/>
      <c r="J137" s="39"/>
      <c r="K137" s="39"/>
      <c r="L137" s="39"/>
      <c r="M137" s="39"/>
      <c r="N137" s="3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39"/>
      <c r="D138" s="4"/>
      <c r="E138" s="4"/>
      <c r="F138" s="4"/>
      <c r="G138" s="39"/>
      <c r="H138" s="39"/>
      <c r="I138" s="39"/>
      <c r="J138" s="39"/>
      <c r="K138" s="39"/>
      <c r="L138" s="39"/>
      <c r="M138" s="39"/>
      <c r="N138" s="3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39"/>
      <c r="D139" s="4"/>
      <c r="E139" s="4"/>
      <c r="F139" s="4"/>
      <c r="G139" s="39"/>
      <c r="H139" s="39"/>
      <c r="I139" s="39"/>
      <c r="J139" s="39"/>
      <c r="K139" s="39"/>
      <c r="L139" s="39"/>
      <c r="M139" s="39"/>
      <c r="N139" s="3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39"/>
      <c r="D140" s="4"/>
      <c r="E140" s="4"/>
      <c r="F140" s="4"/>
      <c r="G140" s="39"/>
      <c r="H140" s="39"/>
      <c r="I140" s="39"/>
      <c r="J140" s="39"/>
      <c r="K140" s="39"/>
      <c r="L140" s="39"/>
      <c r="M140" s="39"/>
      <c r="N140" s="3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39"/>
      <c r="D141" s="4"/>
      <c r="E141" s="4"/>
      <c r="F141" s="4"/>
      <c r="G141" s="39"/>
      <c r="H141" s="39"/>
      <c r="I141" s="39"/>
      <c r="J141" s="39"/>
      <c r="K141" s="39"/>
      <c r="L141" s="39"/>
      <c r="M141" s="39"/>
      <c r="N141" s="3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39"/>
      <c r="D142" s="4"/>
      <c r="E142" s="4"/>
      <c r="F142" s="4"/>
      <c r="G142" s="39"/>
      <c r="H142" s="39"/>
      <c r="I142" s="39"/>
      <c r="J142" s="39"/>
      <c r="K142" s="39"/>
      <c r="L142" s="39"/>
      <c r="M142" s="39"/>
      <c r="N142" s="3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39"/>
      <c r="D143" s="4"/>
      <c r="E143" s="4"/>
      <c r="F143" s="4"/>
      <c r="G143" s="39"/>
      <c r="H143" s="39"/>
      <c r="I143" s="39"/>
      <c r="J143" s="39"/>
      <c r="K143" s="39"/>
      <c r="L143" s="39"/>
      <c r="M143" s="39"/>
      <c r="N143" s="3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39"/>
      <c r="D144" s="4"/>
      <c r="E144" s="4"/>
      <c r="F144" s="4"/>
      <c r="G144" s="39"/>
      <c r="H144" s="39"/>
      <c r="I144" s="39"/>
      <c r="J144" s="39"/>
      <c r="K144" s="39"/>
      <c r="L144" s="39"/>
      <c r="M144" s="39"/>
      <c r="N144" s="3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39"/>
      <c r="D145" s="4"/>
      <c r="E145" s="4"/>
      <c r="F145" s="4"/>
      <c r="G145" s="39"/>
      <c r="H145" s="39"/>
      <c r="I145" s="39"/>
      <c r="J145" s="39"/>
      <c r="K145" s="39"/>
      <c r="L145" s="39"/>
      <c r="M145" s="39"/>
      <c r="N145" s="3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39"/>
      <c r="D146" s="4"/>
      <c r="E146" s="4"/>
      <c r="F146" s="4"/>
      <c r="G146" s="39"/>
      <c r="H146" s="39"/>
      <c r="I146" s="39"/>
      <c r="J146" s="39"/>
      <c r="K146" s="39"/>
      <c r="L146" s="39"/>
      <c r="M146" s="39"/>
      <c r="N146" s="3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39"/>
      <c r="D147" s="4"/>
      <c r="E147" s="4"/>
      <c r="F147" s="4"/>
      <c r="G147" s="39"/>
      <c r="H147" s="39"/>
      <c r="I147" s="39"/>
      <c r="J147" s="39"/>
      <c r="K147" s="39"/>
      <c r="L147" s="39"/>
      <c r="M147" s="39"/>
      <c r="N147" s="3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39"/>
      <c r="D148" s="4"/>
      <c r="E148" s="4"/>
      <c r="F148" s="4"/>
      <c r="G148" s="39"/>
      <c r="H148" s="39"/>
      <c r="I148" s="39"/>
      <c r="J148" s="39"/>
      <c r="K148" s="39"/>
      <c r="L148" s="39"/>
      <c r="M148" s="39"/>
      <c r="N148" s="3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39"/>
      <c r="D149" s="4"/>
      <c r="E149" s="4"/>
      <c r="F149" s="4"/>
      <c r="G149" s="39"/>
      <c r="H149" s="39"/>
      <c r="I149" s="39"/>
      <c r="J149" s="39"/>
      <c r="K149" s="39"/>
      <c r="L149" s="39"/>
      <c r="M149" s="39"/>
      <c r="N149" s="3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39"/>
      <c r="D150" s="4"/>
      <c r="E150" s="4"/>
      <c r="F150" s="4"/>
      <c r="G150" s="39"/>
      <c r="H150" s="39"/>
      <c r="I150" s="39"/>
      <c r="J150" s="39"/>
      <c r="K150" s="39"/>
      <c r="L150" s="39"/>
      <c r="M150" s="39"/>
      <c r="N150" s="3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39"/>
      <c r="D151" s="4"/>
      <c r="E151" s="4"/>
      <c r="F151" s="4"/>
      <c r="G151" s="39"/>
      <c r="H151" s="39"/>
      <c r="I151" s="39"/>
      <c r="J151" s="39"/>
      <c r="K151" s="39"/>
      <c r="L151" s="39"/>
      <c r="M151" s="39"/>
      <c r="N151" s="3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39"/>
      <c r="D152" s="4"/>
      <c r="E152" s="4"/>
      <c r="F152" s="4"/>
      <c r="G152" s="39"/>
      <c r="H152" s="39"/>
      <c r="I152" s="39"/>
      <c r="J152" s="39"/>
      <c r="K152" s="39"/>
      <c r="L152" s="39"/>
      <c r="M152" s="39"/>
      <c r="N152" s="39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39"/>
      <c r="D153" s="4"/>
      <c r="E153" s="4"/>
      <c r="F153" s="4"/>
      <c r="G153" s="39"/>
      <c r="H153" s="39"/>
      <c r="I153" s="39"/>
      <c r="J153" s="39"/>
      <c r="K153" s="39"/>
      <c r="L153" s="39"/>
      <c r="M153" s="39"/>
      <c r="N153" s="3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39"/>
      <c r="D154" s="4"/>
      <c r="E154" s="4"/>
      <c r="F154" s="4"/>
      <c r="G154" s="39"/>
      <c r="H154" s="39"/>
      <c r="I154" s="39"/>
      <c r="J154" s="39"/>
      <c r="K154" s="39"/>
      <c r="L154" s="39"/>
      <c r="M154" s="39"/>
      <c r="N154" s="3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39"/>
      <c r="D155" s="4"/>
      <c r="E155" s="4"/>
      <c r="F155" s="4"/>
      <c r="G155" s="39"/>
      <c r="H155" s="39"/>
      <c r="I155" s="39"/>
      <c r="J155" s="39"/>
      <c r="K155" s="39"/>
      <c r="L155" s="39"/>
      <c r="M155" s="39"/>
      <c r="N155" s="3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39"/>
      <c r="D156" s="4"/>
      <c r="E156" s="4"/>
      <c r="F156" s="4"/>
      <c r="G156" s="39"/>
      <c r="H156" s="39"/>
      <c r="I156" s="39"/>
      <c r="J156" s="39"/>
      <c r="K156" s="39"/>
      <c r="L156" s="39"/>
      <c r="M156" s="39"/>
      <c r="N156" s="3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39"/>
      <c r="D157" s="4"/>
      <c r="E157" s="4"/>
      <c r="F157" s="4"/>
      <c r="G157" s="39"/>
      <c r="H157" s="39"/>
      <c r="I157" s="39"/>
      <c r="J157" s="39"/>
      <c r="K157" s="39"/>
      <c r="L157" s="39"/>
      <c r="M157" s="39"/>
      <c r="N157" s="3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39"/>
      <c r="D158" s="4"/>
      <c r="E158" s="4"/>
      <c r="F158" s="4"/>
      <c r="G158" s="39"/>
      <c r="H158" s="39"/>
      <c r="I158" s="39"/>
      <c r="J158" s="39"/>
      <c r="K158" s="39"/>
      <c r="L158" s="39"/>
      <c r="M158" s="39"/>
      <c r="N158" s="39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39"/>
      <c r="D159" s="4"/>
      <c r="E159" s="4"/>
      <c r="F159" s="4"/>
      <c r="G159" s="39"/>
      <c r="H159" s="39"/>
      <c r="I159" s="39"/>
      <c r="J159" s="39"/>
      <c r="K159" s="39"/>
      <c r="L159" s="39"/>
      <c r="M159" s="39"/>
      <c r="N159" s="3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39"/>
      <c r="D160" s="4"/>
      <c r="E160" s="4"/>
      <c r="F160" s="4"/>
      <c r="G160" s="39"/>
      <c r="H160" s="39"/>
      <c r="I160" s="39"/>
      <c r="J160" s="39"/>
      <c r="K160" s="39"/>
      <c r="L160" s="39"/>
      <c r="M160" s="39"/>
      <c r="N160" s="39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39"/>
      <c r="D161" s="4"/>
      <c r="E161" s="4"/>
      <c r="F161" s="4"/>
      <c r="G161" s="39"/>
      <c r="H161" s="39"/>
      <c r="I161" s="39"/>
      <c r="J161" s="39"/>
      <c r="K161" s="39"/>
      <c r="L161" s="39"/>
      <c r="M161" s="39"/>
      <c r="N161" s="39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39"/>
      <c r="D162" s="4"/>
      <c r="E162" s="4"/>
      <c r="F162" s="4"/>
      <c r="G162" s="39"/>
      <c r="H162" s="39"/>
      <c r="I162" s="39"/>
      <c r="J162" s="39"/>
      <c r="K162" s="39"/>
      <c r="L162" s="39"/>
      <c r="M162" s="39"/>
      <c r="N162" s="39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39"/>
      <c r="D163" s="4"/>
      <c r="E163" s="4"/>
      <c r="F163" s="4"/>
      <c r="G163" s="39"/>
      <c r="H163" s="39"/>
      <c r="I163" s="39"/>
      <c r="J163" s="39"/>
      <c r="K163" s="39"/>
      <c r="L163" s="39"/>
      <c r="M163" s="39"/>
      <c r="N163" s="39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39"/>
      <c r="D164" s="4"/>
      <c r="E164" s="4"/>
      <c r="F164" s="4"/>
      <c r="G164" s="39"/>
      <c r="H164" s="39"/>
      <c r="I164" s="39"/>
      <c r="J164" s="39"/>
      <c r="K164" s="39"/>
      <c r="L164" s="39"/>
      <c r="M164" s="39"/>
      <c r="N164" s="39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39"/>
      <c r="D165" s="4"/>
      <c r="E165" s="4"/>
      <c r="F165" s="4"/>
      <c r="G165" s="39"/>
      <c r="H165" s="39"/>
      <c r="I165" s="39"/>
      <c r="J165" s="39"/>
      <c r="K165" s="39"/>
      <c r="L165" s="39"/>
      <c r="M165" s="39"/>
      <c r="N165" s="39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39"/>
      <c r="D166" s="4"/>
      <c r="E166" s="4"/>
      <c r="F166" s="4"/>
      <c r="G166" s="39"/>
      <c r="H166" s="39"/>
      <c r="I166" s="39"/>
      <c r="J166" s="39"/>
      <c r="K166" s="39"/>
      <c r="L166" s="39"/>
      <c r="M166" s="39"/>
      <c r="N166" s="39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39"/>
      <c r="D167" s="4"/>
      <c r="E167" s="4"/>
      <c r="F167" s="4"/>
      <c r="G167" s="39"/>
      <c r="H167" s="39"/>
      <c r="I167" s="39"/>
      <c r="J167" s="39"/>
      <c r="K167" s="39"/>
      <c r="L167" s="39"/>
      <c r="M167" s="39"/>
      <c r="N167" s="39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39"/>
      <c r="D168" s="4"/>
      <c r="E168" s="4"/>
      <c r="F168" s="4"/>
      <c r="G168" s="39"/>
      <c r="H168" s="39"/>
      <c r="I168" s="39"/>
      <c r="J168" s="39"/>
      <c r="K168" s="39"/>
      <c r="L168" s="39"/>
      <c r="M168" s="39"/>
      <c r="N168" s="39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39"/>
      <c r="D169" s="4"/>
      <c r="E169" s="4"/>
      <c r="F169" s="4"/>
      <c r="G169" s="39"/>
      <c r="H169" s="39"/>
      <c r="I169" s="39"/>
      <c r="J169" s="39"/>
      <c r="K169" s="39"/>
      <c r="L169" s="39"/>
      <c r="M169" s="39"/>
      <c r="N169" s="39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39"/>
      <c r="D170" s="4"/>
      <c r="E170" s="4"/>
      <c r="F170" s="4"/>
      <c r="G170" s="39"/>
      <c r="H170" s="39"/>
      <c r="I170" s="39"/>
      <c r="J170" s="39"/>
      <c r="K170" s="39"/>
      <c r="L170" s="39"/>
      <c r="M170" s="39"/>
      <c r="N170" s="39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39"/>
      <c r="D171" s="4"/>
      <c r="E171" s="4"/>
      <c r="F171" s="4"/>
      <c r="G171" s="39"/>
      <c r="H171" s="39"/>
      <c r="I171" s="39"/>
      <c r="J171" s="39"/>
      <c r="K171" s="39"/>
      <c r="L171" s="39"/>
      <c r="M171" s="39"/>
      <c r="N171" s="39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39"/>
      <c r="D172" s="4"/>
      <c r="E172" s="4"/>
      <c r="F172" s="4"/>
      <c r="G172" s="39"/>
      <c r="H172" s="39"/>
      <c r="I172" s="39"/>
      <c r="J172" s="39"/>
      <c r="K172" s="39"/>
      <c r="L172" s="39"/>
      <c r="M172" s="39"/>
      <c r="N172" s="39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39"/>
      <c r="D173" s="4"/>
      <c r="E173" s="4"/>
      <c r="F173" s="4"/>
      <c r="G173" s="39"/>
      <c r="H173" s="39"/>
      <c r="I173" s="39"/>
      <c r="J173" s="39"/>
      <c r="K173" s="39"/>
      <c r="L173" s="39"/>
      <c r="M173" s="39"/>
      <c r="N173" s="39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39"/>
      <c r="D174" s="4"/>
      <c r="E174" s="4"/>
      <c r="F174" s="4"/>
      <c r="G174" s="39"/>
      <c r="H174" s="39"/>
      <c r="I174" s="39"/>
      <c r="J174" s="39"/>
      <c r="K174" s="39"/>
      <c r="L174" s="39"/>
      <c r="M174" s="39"/>
      <c r="N174" s="39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39"/>
      <c r="D175" s="4"/>
      <c r="E175" s="4"/>
      <c r="F175" s="4"/>
      <c r="G175" s="39"/>
      <c r="H175" s="39"/>
      <c r="I175" s="39"/>
      <c r="J175" s="39"/>
      <c r="K175" s="39"/>
      <c r="L175" s="39"/>
      <c r="M175" s="39"/>
      <c r="N175" s="39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39"/>
      <c r="D176" s="4"/>
      <c r="E176" s="4"/>
      <c r="F176" s="4"/>
      <c r="G176" s="39"/>
      <c r="H176" s="39"/>
      <c r="I176" s="39"/>
      <c r="J176" s="39"/>
      <c r="K176" s="39"/>
      <c r="L176" s="39"/>
      <c r="M176" s="39"/>
      <c r="N176" s="39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39"/>
      <c r="D177" s="4"/>
      <c r="E177" s="4"/>
      <c r="F177" s="4"/>
      <c r="G177" s="39"/>
      <c r="H177" s="39"/>
      <c r="I177" s="39"/>
      <c r="J177" s="39"/>
      <c r="K177" s="39"/>
      <c r="L177" s="39"/>
      <c r="M177" s="39"/>
      <c r="N177" s="39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39"/>
      <c r="D178" s="4"/>
      <c r="E178" s="4"/>
      <c r="F178" s="4"/>
      <c r="G178" s="39"/>
      <c r="H178" s="39"/>
      <c r="I178" s="39"/>
      <c r="J178" s="39"/>
      <c r="K178" s="39"/>
      <c r="L178" s="39"/>
      <c r="M178" s="39"/>
      <c r="N178" s="39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39"/>
      <c r="D179" s="4"/>
      <c r="E179" s="4"/>
      <c r="F179" s="4"/>
      <c r="G179" s="39"/>
      <c r="H179" s="39"/>
      <c r="I179" s="39"/>
      <c r="J179" s="39"/>
      <c r="K179" s="39"/>
      <c r="L179" s="39"/>
      <c r="M179" s="39"/>
      <c r="N179" s="39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39"/>
      <c r="D180" s="4"/>
      <c r="E180" s="4"/>
      <c r="F180" s="4"/>
      <c r="G180" s="39"/>
      <c r="H180" s="39"/>
      <c r="I180" s="39"/>
      <c r="J180" s="39"/>
      <c r="K180" s="39"/>
      <c r="L180" s="39"/>
      <c r="M180" s="39"/>
      <c r="N180" s="39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39"/>
      <c r="D181" s="4"/>
      <c r="E181" s="4"/>
      <c r="F181" s="4"/>
      <c r="G181" s="39"/>
      <c r="H181" s="39"/>
      <c r="I181" s="39"/>
      <c r="J181" s="39"/>
      <c r="K181" s="39"/>
      <c r="L181" s="39"/>
      <c r="M181" s="39"/>
      <c r="N181" s="39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39"/>
      <c r="D182" s="4"/>
      <c r="E182" s="4"/>
      <c r="F182" s="4"/>
      <c r="G182" s="39"/>
      <c r="H182" s="39"/>
      <c r="I182" s="39"/>
      <c r="J182" s="39"/>
      <c r="K182" s="39"/>
      <c r="L182" s="39"/>
      <c r="M182" s="39"/>
      <c r="N182" s="39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39"/>
      <c r="D183" s="4"/>
      <c r="E183" s="4"/>
      <c r="F183" s="4"/>
      <c r="G183" s="39"/>
      <c r="H183" s="39"/>
      <c r="I183" s="39"/>
      <c r="J183" s="39"/>
      <c r="K183" s="39"/>
      <c r="L183" s="39"/>
      <c r="M183" s="39"/>
      <c r="N183" s="39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39"/>
      <c r="D184" s="4"/>
      <c r="E184" s="4"/>
      <c r="F184" s="4"/>
      <c r="G184" s="39"/>
      <c r="H184" s="39"/>
      <c r="I184" s="39"/>
      <c r="J184" s="39"/>
      <c r="K184" s="39"/>
      <c r="L184" s="39"/>
      <c r="M184" s="39"/>
      <c r="N184" s="39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39"/>
      <c r="D185" s="4"/>
      <c r="E185" s="4"/>
      <c r="F185" s="4"/>
      <c r="G185" s="39"/>
      <c r="H185" s="39"/>
      <c r="I185" s="39"/>
      <c r="J185" s="39"/>
      <c r="K185" s="39"/>
      <c r="L185" s="39"/>
      <c r="M185" s="39"/>
      <c r="N185" s="39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39"/>
      <c r="D186" s="4"/>
      <c r="E186" s="4"/>
      <c r="F186" s="4"/>
      <c r="G186" s="39"/>
      <c r="H186" s="39"/>
      <c r="I186" s="39"/>
      <c r="J186" s="39"/>
      <c r="K186" s="39"/>
      <c r="L186" s="39"/>
      <c r="M186" s="39"/>
      <c r="N186" s="39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39"/>
      <c r="D187" s="4"/>
      <c r="E187" s="4"/>
      <c r="F187" s="4"/>
      <c r="G187" s="39"/>
      <c r="H187" s="39"/>
      <c r="I187" s="39"/>
      <c r="J187" s="39"/>
      <c r="K187" s="39"/>
      <c r="L187" s="39"/>
      <c r="M187" s="39"/>
      <c r="N187" s="39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39"/>
      <c r="D188" s="4"/>
      <c r="E188" s="4"/>
      <c r="F188" s="4"/>
      <c r="G188" s="39"/>
      <c r="H188" s="39"/>
      <c r="I188" s="39"/>
      <c r="J188" s="39"/>
      <c r="K188" s="39"/>
      <c r="L188" s="39"/>
      <c r="M188" s="39"/>
      <c r="N188" s="39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39"/>
      <c r="D189" s="4"/>
      <c r="E189" s="4"/>
      <c r="F189" s="4"/>
      <c r="G189" s="39"/>
      <c r="H189" s="39"/>
      <c r="I189" s="39"/>
      <c r="J189" s="39"/>
      <c r="K189" s="39"/>
      <c r="L189" s="39"/>
      <c r="M189" s="39"/>
      <c r="N189" s="3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39"/>
      <c r="D190" s="4"/>
      <c r="E190" s="4"/>
      <c r="F190" s="4"/>
      <c r="G190" s="39"/>
      <c r="H190" s="39"/>
      <c r="I190" s="39"/>
      <c r="J190" s="39"/>
      <c r="K190" s="39"/>
      <c r="L190" s="39"/>
      <c r="M190" s="39"/>
      <c r="N190" s="39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39"/>
      <c r="D191" s="4"/>
      <c r="E191" s="4"/>
      <c r="F191" s="4"/>
      <c r="G191" s="39"/>
      <c r="H191" s="39"/>
      <c r="I191" s="39"/>
      <c r="J191" s="39"/>
      <c r="K191" s="39"/>
      <c r="L191" s="39"/>
      <c r="M191" s="39"/>
      <c r="N191" s="39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39"/>
      <c r="D192" s="4"/>
      <c r="E192" s="4"/>
      <c r="F192" s="4"/>
      <c r="G192" s="39"/>
      <c r="H192" s="39"/>
      <c r="I192" s="39"/>
      <c r="J192" s="39"/>
      <c r="K192" s="39"/>
      <c r="L192" s="39"/>
      <c r="M192" s="39"/>
      <c r="N192" s="39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39"/>
      <c r="D193" s="4"/>
      <c r="E193" s="4"/>
      <c r="F193" s="4"/>
      <c r="G193" s="39"/>
      <c r="H193" s="39"/>
      <c r="I193" s="39"/>
      <c r="J193" s="39"/>
      <c r="K193" s="39"/>
      <c r="L193" s="39"/>
      <c r="M193" s="39"/>
      <c r="N193" s="39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39"/>
      <c r="D194" s="4"/>
      <c r="E194" s="4"/>
      <c r="F194" s="4"/>
      <c r="G194" s="39"/>
      <c r="H194" s="39"/>
      <c r="I194" s="39"/>
      <c r="J194" s="39"/>
      <c r="K194" s="39"/>
      <c r="L194" s="39"/>
      <c r="M194" s="39"/>
      <c r="N194" s="39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39"/>
      <c r="D195" s="4"/>
      <c r="E195" s="4"/>
      <c r="F195" s="4"/>
      <c r="G195" s="39"/>
      <c r="H195" s="39"/>
      <c r="I195" s="39"/>
      <c r="J195" s="39"/>
      <c r="K195" s="39"/>
      <c r="L195" s="39"/>
      <c r="M195" s="39"/>
      <c r="N195" s="39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39"/>
      <c r="D196" s="4"/>
      <c r="E196" s="4"/>
      <c r="F196" s="4"/>
      <c r="G196" s="39"/>
      <c r="H196" s="39"/>
      <c r="I196" s="39"/>
      <c r="J196" s="39"/>
      <c r="K196" s="39"/>
      <c r="L196" s="39"/>
      <c r="M196" s="39"/>
      <c r="N196" s="39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39"/>
      <c r="D197" s="4"/>
      <c r="E197" s="4"/>
      <c r="F197" s="4"/>
      <c r="G197" s="39"/>
      <c r="H197" s="39"/>
      <c r="I197" s="39"/>
      <c r="J197" s="39"/>
      <c r="K197" s="39"/>
      <c r="L197" s="39"/>
      <c r="M197" s="39"/>
      <c r="N197" s="39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39"/>
      <c r="D198" s="4"/>
      <c r="E198" s="4"/>
      <c r="F198" s="4"/>
      <c r="G198" s="39"/>
      <c r="H198" s="39"/>
      <c r="I198" s="39"/>
      <c r="J198" s="39"/>
      <c r="K198" s="39"/>
      <c r="L198" s="39"/>
      <c r="M198" s="39"/>
      <c r="N198" s="39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39"/>
      <c r="D199" s="4"/>
      <c r="E199" s="4"/>
      <c r="F199" s="4"/>
      <c r="G199" s="39"/>
      <c r="H199" s="39"/>
      <c r="I199" s="39"/>
      <c r="J199" s="39"/>
      <c r="K199" s="39"/>
      <c r="L199" s="39"/>
      <c r="M199" s="39"/>
      <c r="N199" s="3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39"/>
      <c r="D200" s="4"/>
      <c r="E200" s="4"/>
      <c r="F200" s="4"/>
      <c r="G200" s="39"/>
      <c r="H200" s="39"/>
      <c r="I200" s="39"/>
      <c r="J200" s="39"/>
      <c r="K200" s="39"/>
      <c r="L200" s="39"/>
      <c r="M200" s="39"/>
      <c r="N200" s="39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39"/>
      <c r="D201" s="4"/>
      <c r="E201" s="4"/>
      <c r="F201" s="4"/>
      <c r="G201" s="39"/>
      <c r="H201" s="39"/>
      <c r="I201" s="39"/>
      <c r="J201" s="39"/>
      <c r="K201" s="39"/>
      <c r="L201" s="39"/>
      <c r="M201" s="39"/>
      <c r="N201" s="39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39"/>
      <c r="D202" s="4"/>
      <c r="E202" s="4"/>
      <c r="F202" s="4"/>
      <c r="G202" s="39"/>
      <c r="H202" s="39"/>
      <c r="I202" s="39"/>
      <c r="J202" s="39"/>
      <c r="K202" s="39"/>
      <c r="L202" s="39"/>
      <c r="M202" s="39"/>
      <c r="N202" s="39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39"/>
      <c r="D203" s="4"/>
      <c r="E203" s="4"/>
      <c r="F203" s="4"/>
      <c r="G203" s="39"/>
      <c r="H203" s="39"/>
      <c r="I203" s="39"/>
      <c r="J203" s="39"/>
      <c r="K203" s="39"/>
      <c r="L203" s="39"/>
      <c r="M203" s="39"/>
      <c r="N203" s="39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39"/>
      <c r="D204" s="4"/>
      <c r="E204" s="4"/>
      <c r="F204" s="4"/>
      <c r="G204" s="39"/>
      <c r="H204" s="39"/>
      <c r="I204" s="39"/>
      <c r="J204" s="39"/>
      <c r="K204" s="39"/>
      <c r="L204" s="39"/>
      <c r="M204" s="39"/>
      <c r="N204" s="39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39"/>
      <c r="D205" s="4"/>
      <c r="E205" s="4"/>
      <c r="F205" s="4"/>
      <c r="G205" s="39"/>
      <c r="H205" s="39"/>
      <c r="I205" s="39"/>
      <c r="J205" s="39"/>
      <c r="K205" s="39"/>
      <c r="L205" s="39"/>
      <c r="M205" s="39"/>
      <c r="N205" s="39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39"/>
      <c r="D206" s="4"/>
      <c r="E206" s="4"/>
      <c r="F206" s="4"/>
      <c r="G206" s="39"/>
      <c r="H206" s="39"/>
      <c r="I206" s="39"/>
      <c r="J206" s="39"/>
      <c r="K206" s="39"/>
      <c r="L206" s="39"/>
      <c r="M206" s="39"/>
      <c r="N206" s="3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39"/>
      <c r="D207" s="4"/>
      <c r="E207" s="4"/>
      <c r="F207" s="4"/>
      <c r="G207" s="39"/>
      <c r="H207" s="39"/>
      <c r="I207" s="39"/>
      <c r="J207" s="39"/>
      <c r="K207" s="39"/>
      <c r="L207" s="39"/>
      <c r="M207" s="39"/>
      <c r="N207" s="39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39"/>
      <c r="D208" s="4"/>
      <c r="E208" s="4"/>
      <c r="F208" s="4"/>
      <c r="G208" s="39"/>
      <c r="H208" s="39"/>
      <c r="I208" s="39"/>
      <c r="J208" s="39"/>
      <c r="K208" s="39"/>
      <c r="L208" s="39"/>
      <c r="M208" s="39"/>
      <c r="N208" s="39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39"/>
      <c r="D209" s="4"/>
      <c r="E209" s="4"/>
      <c r="F209" s="4"/>
      <c r="G209" s="39"/>
      <c r="H209" s="39"/>
      <c r="I209" s="39"/>
      <c r="J209" s="39"/>
      <c r="K209" s="39"/>
      <c r="L209" s="39"/>
      <c r="M209" s="39"/>
      <c r="N209" s="3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39"/>
      <c r="D210" s="4"/>
      <c r="E210" s="4"/>
      <c r="F210" s="4"/>
      <c r="G210" s="39"/>
      <c r="H210" s="39"/>
      <c r="I210" s="39"/>
      <c r="J210" s="39"/>
      <c r="K210" s="39"/>
      <c r="L210" s="39"/>
      <c r="M210" s="39"/>
      <c r="N210" s="3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39"/>
      <c r="D211" s="4"/>
      <c r="E211" s="4"/>
      <c r="F211" s="4"/>
      <c r="G211" s="39"/>
      <c r="H211" s="39"/>
      <c r="I211" s="39"/>
      <c r="J211" s="39"/>
      <c r="K211" s="39"/>
      <c r="L211" s="39"/>
      <c r="M211" s="39"/>
      <c r="N211" s="3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39"/>
      <c r="D212" s="4"/>
      <c r="E212" s="4"/>
      <c r="F212" s="4"/>
      <c r="G212" s="39"/>
      <c r="H212" s="39"/>
      <c r="I212" s="39"/>
      <c r="J212" s="39"/>
      <c r="K212" s="39"/>
      <c r="L212" s="39"/>
      <c r="M212" s="39"/>
      <c r="N212" s="3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39"/>
      <c r="D213" s="4"/>
      <c r="E213" s="4"/>
      <c r="F213" s="4"/>
      <c r="G213" s="39"/>
      <c r="H213" s="39"/>
      <c r="I213" s="39"/>
      <c r="J213" s="39"/>
      <c r="K213" s="39"/>
      <c r="L213" s="39"/>
      <c r="M213" s="39"/>
      <c r="N213" s="3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39"/>
      <c r="D214" s="4"/>
      <c r="E214" s="4"/>
      <c r="F214" s="4"/>
      <c r="G214" s="39"/>
      <c r="H214" s="39"/>
      <c r="I214" s="39"/>
      <c r="J214" s="39"/>
      <c r="K214" s="39"/>
      <c r="L214" s="39"/>
      <c r="M214" s="39"/>
      <c r="N214" s="3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39"/>
      <c r="D215" s="4"/>
      <c r="E215" s="4"/>
      <c r="F215" s="4"/>
      <c r="G215" s="39"/>
      <c r="H215" s="39"/>
      <c r="I215" s="39"/>
      <c r="J215" s="39"/>
      <c r="K215" s="39"/>
      <c r="L215" s="39"/>
      <c r="M215" s="39"/>
      <c r="N215" s="39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39"/>
      <c r="D216" s="4"/>
      <c r="E216" s="4"/>
      <c r="F216" s="4"/>
      <c r="G216" s="39"/>
      <c r="H216" s="39"/>
      <c r="I216" s="39"/>
      <c r="J216" s="39"/>
      <c r="K216" s="39"/>
      <c r="L216" s="39"/>
      <c r="M216" s="39"/>
      <c r="N216" s="39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39"/>
      <c r="D217" s="4"/>
      <c r="E217" s="4"/>
      <c r="F217" s="4"/>
      <c r="G217" s="39"/>
      <c r="H217" s="39"/>
      <c r="I217" s="39"/>
      <c r="J217" s="39"/>
      <c r="K217" s="39"/>
      <c r="L217" s="39"/>
      <c r="M217" s="39"/>
      <c r="N217" s="39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39"/>
      <c r="D218" s="4"/>
      <c r="E218" s="4"/>
      <c r="F218" s="4"/>
      <c r="G218" s="39"/>
      <c r="H218" s="39"/>
      <c r="I218" s="39"/>
      <c r="J218" s="39"/>
      <c r="K218" s="39"/>
      <c r="L218" s="39"/>
      <c r="M218" s="39"/>
      <c r="N218" s="39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39"/>
      <c r="D219" s="4"/>
      <c r="E219" s="4"/>
      <c r="F219" s="4"/>
      <c r="G219" s="39"/>
      <c r="H219" s="39"/>
      <c r="I219" s="39"/>
      <c r="J219" s="39"/>
      <c r="K219" s="39"/>
      <c r="L219" s="39"/>
      <c r="M219" s="39"/>
      <c r="N219" s="3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39"/>
      <c r="D220" s="4"/>
      <c r="E220" s="4"/>
      <c r="F220" s="4"/>
      <c r="G220" s="39"/>
      <c r="H220" s="39"/>
      <c r="I220" s="39"/>
      <c r="J220" s="39"/>
      <c r="K220" s="39"/>
      <c r="L220" s="39"/>
      <c r="M220" s="39"/>
      <c r="N220" s="39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39"/>
      <c r="D221" s="4"/>
      <c r="E221" s="4"/>
      <c r="F221" s="4"/>
      <c r="G221" s="39"/>
      <c r="H221" s="39"/>
      <c r="I221" s="39"/>
      <c r="J221" s="39"/>
      <c r="K221" s="39"/>
      <c r="L221" s="39"/>
      <c r="M221" s="39"/>
      <c r="N221" s="39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39"/>
      <c r="D222" s="4"/>
      <c r="E222" s="4"/>
      <c r="F222" s="4"/>
      <c r="G222" s="39"/>
      <c r="H222" s="39"/>
      <c r="I222" s="39"/>
      <c r="J222" s="39"/>
      <c r="K222" s="39"/>
      <c r="L222" s="39"/>
      <c r="M222" s="39"/>
      <c r="N222" s="39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39"/>
      <c r="D223" s="4"/>
      <c r="E223" s="4"/>
      <c r="F223" s="4"/>
      <c r="G223" s="39"/>
      <c r="H223" s="39"/>
      <c r="I223" s="39"/>
      <c r="J223" s="39"/>
      <c r="K223" s="39"/>
      <c r="L223" s="39"/>
      <c r="M223" s="39"/>
      <c r="N223" s="39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39"/>
      <c r="D224" s="4"/>
      <c r="E224" s="4"/>
      <c r="F224" s="4"/>
      <c r="G224" s="39"/>
      <c r="H224" s="39"/>
      <c r="I224" s="39"/>
      <c r="J224" s="39"/>
      <c r="K224" s="39"/>
      <c r="L224" s="39"/>
      <c r="M224" s="39"/>
      <c r="N224" s="39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39"/>
      <c r="D225" s="4"/>
      <c r="E225" s="4"/>
      <c r="F225" s="4"/>
      <c r="G225" s="39"/>
      <c r="H225" s="39"/>
      <c r="I225" s="39"/>
      <c r="J225" s="39"/>
      <c r="K225" s="39"/>
      <c r="L225" s="39"/>
      <c r="M225" s="39"/>
      <c r="N225" s="39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39"/>
      <c r="D226" s="4"/>
      <c r="E226" s="4"/>
      <c r="F226" s="4"/>
      <c r="G226" s="39"/>
      <c r="H226" s="39"/>
      <c r="I226" s="39"/>
      <c r="J226" s="39"/>
      <c r="K226" s="39"/>
      <c r="L226" s="39"/>
      <c r="M226" s="39"/>
      <c r="N226" s="39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39"/>
      <c r="D227" s="4"/>
      <c r="E227" s="4"/>
      <c r="F227" s="4"/>
      <c r="G227" s="39"/>
      <c r="H227" s="39"/>
      <c r="I227" s="39"/>
      <c r="J227" s="39"/>
      <c r="K227" s="39"/>
      <c r="L227" s="39"/>
      <c r="M227" s="39"/>
      <c r="N227" s="39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39"/>
      <c r="D228" s="4"/>
      <c r="E228" s="4"/>
      <c r="F228" s="4"/>
      <c r="G228" s="39"/>
      <c r="H228" s="39"/>
      <c r="I228" s="39"/>
      <c r="J228" s="39"/>
      <c r="K228" s="39"/>
      <c r="L228" s="39"/>
      <c r="M228" s="39"/>
      <c r="N228" s="39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39"/>
      <c r="D229" s="4"/>
      <c r="E229" s="4"/>
      <c r="F229" s="4"/>
      <c r="G229" s="39"/>
      <c r="H229" s="39"/>
      <c r="I229" s="39"/>
      <c r="J229" s="39"/>
      <c r="K229" s="39"/>
      <c r="L229" s="39"/>
      <c r="M229" s="39"/>
      <c r="N229" s="3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39"/>
      <c r="D230" s="4"/>
      <c r="E230" s="4"/>
      <c r="F230" s="4"/>
      <c r="G230" s="39"/>
      <c r="H230" s="39"/>
      <c r="I230" s="39"/>
      <c r="J230" s="39"/>
      <c r="K230" s="39"/>
      <c r="L230" s="39"/>
      <c r="M230" s="39"/>
      <c r="N230" s="39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39"/>
      <c r="D231" s="4"/>
      <c r="E231" s="4"/>
      <c r="F231" s="4"/>
      <c r="G231" s="39"/>
      <c r="H231" s="39"/>
      <c r="I231" s="39"/>
      <c r="J231" s="39"/>
      <c r="K231" s="39"/>
      <c r="L231" s="39"/>
      <c r="M231" s="39"/>
      <c r="N231" s="39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39"/>
      <c r="D232" s="4"/>
      <c r="E232" s="4"/>
      <c r="F232" s="4"/>
      <c r="G232" s="39"/>
      <c r="H232" s="39"/>
      <c r="I232" s="39"/>
      <c r="J232" s="39"/>
      <c r="K232" s="39"/>
      <c r="L232" s="39"/>
      <c r="M232" s="39"/>
      <c r="N232" s="39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39"/>
      <c r="D233" s="4"/>
      <c r="E233" s="4"/>
      <c r="F233" s="4"/>
      <c r="G233" s="39"/>
      <c r="H233" s="39"/>
      <c r="I233" s="39"/>
      <c r="J233" s="39"/>
      <c r="K233" s="39"/>
      <c r="L233" s="39"/>
      <c r="M233" s="39"/>
      <c r="N233" s="39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39"/>
      <c r="D234" s="4"/>
      <c r="E234" s="4"/>
      <c r="F234" s="4"/>
      <c r="G234" s="39"/>
      <c r="H234" s="39"/>
      <c r="I234" s="39"/>
      <c r="J234" s="39"/>
      <c r="K234" s="39"/>
      <c r="L234" s="39"/>
      <c r="M234" s="39"/>
      <c r="N234" s="39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39"/>
      <c r="D235" s="4"/>
      <c r="E235" s="4"/>
      <c r="F235" s="4"/>
      <c r="G235" s="39"/>
      <c r="H235" s="39"/>
      <c r="I235" s="39"/>
      <c r="J235" s="39"/>
      <c r="K235" s="39"/>
      <c r="L235" s="39"/>
      <c r="M235" s="39"/>
      <c r="N235" s="39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39"/>
      <c r="D236" s="4"/>
      <c r="E236" s="4"/>
      <c r="F236" s="4"/>
      <c r="G236" s="39"/>
      <c r="H236" s="39"/>
      <c r="I236" s="39"/>
      <c r="J236" s="39"/>
      <c r="K236" s="39"/>
      <c r="L236" s="39"/>
      <c r="M236" s="39"/>
      <c r="N236" s="39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39"/>
      <c r="D237" s="4"/>
      <c r="E237" s="4"/>
      <c r="F237" s="4"/>
      <c r="G237" s="39"/>
      <c r="H237" s="39"/>
      <c r="I237" s="39"/>
      <c r="J237" s="39"/>
      <c r="K237" s="39"/>
      <c r="L237" s="39"/>
      <c r="M237" s="39"/>
      <c r="N237" s="39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39"/>
      <c r="D238" s="4"/>
      <c r="E238" s="4"/>
      <c r="F238" s="4"/>
      <c r="G238" s="39"/>
      <c r="H238" s="39"/>
      <c r="I238" s="39"/>
      <c r="J238" s="39"/>
      <c r="K238" s="39"/>
      <c r="L238" s="39"/>
      <c r="M238" s="39"/>
      <c r="N238" s="3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39"/>
      <c r="D239" s="4"/>
      <c r="E239" s="4"/>
      <c r="F239" s="4"/>
      <c r="G239" s="39"/>
      <c r="H239" s="39"/>
      <c r="I239" s="39"/>
      <c r="J239" s="39"/>
      <c r="K239" s="39"/>
      <c r="L239" s="39"/>
      <c r="M239" s="39"/>
      <c r="N239" s="3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39"/>
      <c r="D240" s="4"/>
      <c r="E240" s="4"/>
      <c r="F240" s="4"/>
      <c r="G240" s="39"/>
      <c r="H240" s="39"/>
      <c r="I240" s="39"/>
      <c r="J240" s="39"/>
      <c r="K240" s="39"/>
      <c r="L240" s="39"/>
      <c r="M240" s="39"/>
      <c r="N240" s="3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39"/>
      <c r="D241" s="4"/>
      <c r="E241" s="4"/>
      <c r="F241" s="4"/>
      <c r="G241" s="39"/>
      <c r="H241" s="39"/>
      <c r="I241" s="39"/>
      <c r="J241" s="39"/>
      <c r="K241" s="39"/>
      <c r="L241" s="39"/>
      <c r="M241" s="39"/>
      <c r="N241" s="3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39"/>
      <c r="D242" s="4"/>
      <c r="E242" s="4"/>
      <c r="F242" s="4"/>
      <c r="G242" s="39"/>
      <c r="H242" s="39"/>
      <c r="I242" s="39"/>
      <c r="J242" s="39"/>
      <c r="K242" s="39"/>
      <c r="L242" s="39"/>
      <c r="M242" s="39"/>
      <c r="N242" s="39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39"/>
      <c r="D243" s="4"/>
      <c r="E243" s="4"/>
      <c r="F243" s="4"/>
      <c r="G243" s="39"/>
      <c r="H243" s="39"/>
      <c r="I243" s="39"/>
      <c r="J243" s="39"/>
      <c r="K243" s="39"/>
      <c r="L243" s="39"/>
      <c r="M243" s="39"/>
      <c r="N243" s="39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39"/>
      <c r="D244" s="4"/>
      <c r="E244" s="4"/>
      <c r="F244" s="4"/>
      <c r="G244" s="39"/>
      <c r="H244" s="39"/>
      <c r="I244" s="39"/>
      <c r="J244" s="39"/>
      <c r="K244" s="39"/>
      <c r="L244" s="39"/>
      <c r="M244" s="39"/>
      <c r="N244" s="39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39"/>
      <c r="D245" s="4"/>
      <c r="E245" s="4"/>
      <c r="F245" s="4"/>
      <c r="G245" s="39"/>
      <c r="H245" s="39"/>
      <c r="I245" s="39"/>
      <c r="J245" s="39"/>
      <c r="K245" s="39"/>
      <c r="L245" s="39"/>
      <c r="M245" s="39"/>
      <c r="N245" s="39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39"/>
      <c r="D246" s="4"/>
      <c r="E246" s="4"/>
      <c r="F246" s="4"/>
      <c r="G246" s="39"/>
      <c r="H246" s="39"/>
      <c r="I246" s="39"/>
      <c r="J246" s="39"/>
      <c r="K246" s="39"/>
      <c r="L246" s="39"/>
      <c r="M246" s="39"/>
      <c r="N246" s="39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39"/>
      <c r="D247" s="4"/>
      <c r="E247" s="4"/>
      <c r="F247" s="4"/>
      <c r="G247" s="39"/>
      <c r="H247" s="39"/>
      <c r="I247" s="39"/>
      <c r="J247" s="39"/>
      <c r="K247" s="39"/>
      <c r="L247" s="39"/>
      <c r="M247" s="39"/>
      <c r="N247" s="39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39"/>
      <c r="D248" s="4"/>
      <c r="E248" s="4"/>
      <c r="F248" s="4"/>
      <c r="G248" s="39"/>
      <c r="H248" s="39"/>
      <c r="I248" s="39"/>
      <c r="J248" s="39"/>
      <c r="K248" s="39"/>
      <c r="L248" s="39"/>
      <c r="M248" s="39"/>
      <c r="N248" s="39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39"/>
      <c r="D249" s="4"/>
      <c r="E249" s="4"/>
      <c r="F249" s="4"/>
      <c r="G249" s="39"/>
      <c r="H249" s="39"/>
      <c r="I249" s="39"/>
      <c r="J249" s="39"/>
      <c r="K249" s="39"/>
      <c r="L249" s="39"/>
      <c r="M249" s="39"/>
      <c r="N249" s="39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39"/>
      <c r="D250" s="4"/>
      <c r="E250" s="4"/>
      <c r="F250" s="4"/>
      <c r="G250" s="39"/>
      <c r="H250" s="39"/>
      <c r="I250" s="39"/>
      <c r="J250" s="39"/>
      <c r="K250" s="39"/>
      <c r="L250" s="39"/>
      <c r="M250" s="39"/>
      <c r="N250" s="39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39"/>
      <c r="D251" s="4"/>
      <c r="E251" s="4"/>
      <c r="F251" s="4"/>
      <c r="G251" s="39"/>
      <c r="H251" s="39"/>
      <c r="I251" s="39"/>
      <c r="J251" s="39"/>
      <c r="K251" s="39"/>
      <c r="L251" s="39"/>
      <c r="M251" s="39"/>
      <c r="N251" s="39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39"/>
      <c r="D252" s="4"/>
      <c r="E252" s="4"/>
      <c r="F252" s="4"/>
      <c r="G252" s="39"/>
      <c r="H252" s="39"/>
      <c r="I252" s="39"/>
      <c r="J252" s="39"/>
      <c r="K252" s="39"/>
      <c r="L252" s="39"/>
      <c r="M252" s="39"/>
      <c r="N252" s="39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39"/>
      <c r="D253" s="4"/>
      <c r="E253" s="4"/>
      <c r="F253" s="4"/>
      <c r="G253" s="39"/>
      <c r="H253" s="39"/>
      <c r="I253" s="39"/>
      <c r="J253" s="39"/>
      <c r="K253" s="39"/>
      <c r="L253" s="39"/>
      <c r="M253" s="39"/>
      <c r="N253" s="39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39"/>
      <c r="D254" s="4"/>
      <c r="E254" s="4"/>
      <c r="F254" s="4"/>
      <c r="G254" s="39"/>
      <c r="H254" s="39"/>
      <c r="I254" s="39"/>
      <c r="J254" s="39"/>
      <c r="K254" s="39"/>
      <c r="L254" s="39"/>
      <c r="M254" s="39"/>
      <c r="N254" s="39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39"/>
      <c r="D255" s="4"/>
      <c r="E255" s="4"/>
      <c r="F255" s="4"/>
      <c r="G255" s="39"/>
      <c r="H255" s="39"/>
      <c r="I255" s="39"/>
      <c r="J255" s="39"/>
      <c r="K255" s="39"/>
      <c r="L255" s="39"/>
      <c r="M255" s="39"/>
      <c r="N255" s="39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39"/>
      <c r="D256" s="4"/>
      <c r="E256" s="4"/>
      <c r="F256" s="4"/>
      <c r="G256" s="39"/>
      <c r="H256" s="39"/>
      <c r="I256" s="39"/>
      <c r="J256" s="39"/>
      <c r="K256" s="39"/>
      <c r="L256" s="39"/>
      <c r="M256" s="39"/>
      <c r="N256" s="39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39"/>
      <c r="D257" s="4"/>
      <c r="E257" s="4"/>
      <c r="F257" s="4"/>
      <c r="G257" s="39"/>
      <c r="H257" s="39"/>
      <c r="I257" s="39"/>
      <c r="J257" s="39"/>
      <c r="K257" s="39"/>
      <c r="L257" s="39"/>
      <c r="M257" s="39"/>
      <c r="N257" s="39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39"/>
      <c r="D258" s="4"/>
      <c r="E258" s="4"/>
      <c r="F258" s="4"/>
      <c r="G258" s="39"/>
      <c r="H258" s="39"/>
      <c r="I258" s="39"/>
      <c r="J258" s="39"/>
      <c r="K258" s="39"/>
      <c r="L258" s="39"/>
      <c r="M258" s="39"/>
      <c r="N258" s="39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39"/>
      <c r="D259" s="4"/>
      <c r="E259" s="4"/>
      <c r="F259" s="4"/>
      <c r="G259" s="39"/>
      <c r="H259" s="39"/>
      <c r="I259" s="39"/>
      <c r="J259" s="39"/>
      <c r="K259" s="39"/>
      <c r="L259" s="39"/>
      <c r="M259" s="39"/>
      <c r="N259" s="39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39"/>
      <c r="D260" s="4"/>
      <c r="E260" s="4"/>
      <c r="F260" s="4"/>
      <c r="G260" s="39"/>
      <c r="H260" s="39"/>
      <c r="I260" s="39"/>
      <c r="J260" s="39"/>
      <c r="K260" s="39"/>
      <c r="L260" s="39"/>
      <c r="M260" s="39"/>
      <c r="N260" s="39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39"/>
      <c r="D261" s="4"/>
      <c r="E261" s="4"/>
      <c r="F261" s="4"/>
      <c r="G261" s="39"/>
      <c r="H261" s="39"/>
      <c r="I261" s="39"/>
      <c r="J261" s="39"/>
      <c r="K261" s="39"/>
      <c r="L261" s="39"/>
      <c r="M261" s="39"/>
      <c r="N261" s="39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39"/>
      <c r="D262" s="4"/>
      <c r="E262" s="4"/>
      <c r="F262" s="4"/>
      <c r="G262" s="39"/>
      <c r="H262" s="39"/>
      <c r="I262" s="39"/>
      <c r="J262" s="39"/>
      <c r="K262" s="39"/>
      <c r="L262" s="39"/>
      <c r="M262" s="39"/>
      <c r="N262" s="39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39"/>
      <c r="D263" s="4"/>
      <c r="E263" s="4"/>
      <c r="F263" s="4"/>
      <c r="G263" s="39"/>
      <c r="H263" s="39"/>
      <c r="I263" s="39"/>
      <c r="J263" s="39"/>
      <c r="K263" s="39"/>
      <c r="L263" s="39"/>
      <c r="M263" s="39"/>
      <c r="N263" s="39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B3"/>
    <mergeCell ref="A4:B4"/>
    <mergeCell ref="A5:B5"/>
    <mergeCell ref="A12:B12"/>
    <mergeCell ref="A14:C14"/>
    <mergeCell ref="E14:N14"/>
    <mergeCell ref="A22:C22"/>
    <mergeCell ref="E58:N58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9.13"/>
    <col customWidth="1" min="2" max="2" width="28.88"/>
    <col customWidth="1" min="3" max="3" width="18.25"/>
    <col customWidth="1" min="4" max="4" width="18.75"/>
    <col customWidth="1" min="5" max="8" width="17.63"/>
    <col customWidth="1" min="9" max="9" width="19.13"/>
    <col customWidth="1" min="10" max="11" width="17.63"/>
    <col customWidth="1" min="12" max="15" width="16.13"/>
    <col customWidth="1" min="16" max="16" width="17.75"/>
    <col customWidth="1" min="17" max="17" width="16.13"/>
    <col customWidth="1" min="18" max="18" width="17.25"/>
    <col customWidth="1" min="19" max="25" width="18.38"/>
    <col customWidth="1" min="26" max="26" width="8.63"/>
  </cols>
  <sheetData>
    <row r="1" ht="37.5" customHeight="1">
      <c r="A1" s="66" t="s">
        <v>77</v>
      </c>
      <c r="B1" s="41"/>
      <c r="C1" s="41"/>
      <c r="D1" s="12"/>
      <c r="E1" s="66" t="s">
        <v>78</v>
      </c>
      <c r="F1" s="41"/>
      <c r="G1" s="41"/>
      <c r="H1" s="41"/>
      <c r="I1" s="41"/>
      <c r="J1" s="41"/>
      <c r="K1" s="12"/>
      <c r="L1" s="66" t="s">
        <v>79</v>
      </c>
      <c r="M1" s="41"/>
      <c r="N1" s="41"/>
      <c r="O1" s="41"/>
      <c r="P1" s="41"/>
      <c r="Q1" s="41"/>
      <c r="R1" s="12"/>
      <c r="S1" s="66" t="s">
        <v>80</v>
      </c>
      <c r="T1" s="41"/>
      <c r="U1" s="41"/>
      <c r="V1" s="41"/>
      <c r="W1" s="41"/>
      <c r="X1" s="41"/>
      <c r="Y1" s="12"/>
      <c r="Z1" s="67"/>
    </row>
    <row r="2" ht="26.25" customHeight="1">
      <c r="A2" s="68" t="s">
        <v>81</v>
      </c>
      <c r="B2" s="69" t="s">
        <v>64</v>
      </c>
      <c r="C2" s="70" t="s">
        <v>5</v>
      </c>
      <c r="D2" s="70" t="s">
        <v>82</v>
      </c>
      <c r="E2" s="68" t="s">
        <v>83</v>
      </c>
      <c r="F2" s="69" t="s">
        <v>34</v>
      </c>
      <c r="G2" s="70" t="s">
        <v>9</v>
      </c>
      <c r="H2" s="70" t="s">
        <v>84</v>
      </c>
      <c r="I2" s="71" t="s">
        <v>85</v>
      </c>
      <c r="J2" s="69" t="s">
        <v>86</v>
      </c>
      <c r="K2" s="70" t="s">
        <v>87</v>
      </c>
      <c r="L2" s="68" t="s">
        <v>83</v>
      </c>
      <c r="M2" s="69" t="s">
        <v>34</v>
      </c>
      <c r="N2" s="70" t="s">
        <v>9</v>
      </c>
      <c r="O2" s="70" t="s">
        <v>84</v>
      </c>
      <c r="P2" s="71" t="s">
        <v>85</v>
      </c>
      <c r="Q2" s="69" t="s">
        <v>86</v>
      </c>
      <c r="R2" s="70" t="s">
        <v>87</v>
      </c>
      <c r="S2" s="68" t="s">
        <v>83</v>
      </c>
      <c r="T2" s="69" t="s">
        <v>34</v>
      </c>
      <c r="U2" s="70" t="s">
        <v>9</v>
      </c>
      <c r="V2" s="70" t="s">
        <v>84</v>
      </c>
      <c r="W2" s="71" t="s">
        <v>85</v>
      </c>
      <c r="X2" s="69" t="s">
        <v>86</v>
      </c>
      <c r="Y2" s="70" t="s">
        <v>87</v>
      </c>
      <c r="Z2" s="67"/>
    </row>
    <row r="3" ht="20.25" customHeight="1">
      <c r="A3" s="72">
        <v>6.496634E7</v>
      </c>
      <c r="B3" s="72" t="s">
        <v>88</v>
      </c>
      <c r="C3" s="73">
        <v>1.1987165E8</v>
      </c>
      <c r="D3" s="73">
        <v>6.442711619E9</v>
      </c>
      <c r="E3" s="74">
        <v>2.4842139E7</v>
      </c>
      <c r="F3" s="74">
        <v>1.0443344E8</v>
      </c>
      <c r="G3" s="74">
        <v>2.69122392E8</v>
      </c>
      <c r="H3" s="74">
        <v>2.2275507E7</v>
      </c>
      <c r="I3" s="74">
        <v>1.444750715E10</v>
      </c>
      <c r="J3" s="74">
        <v>1.1987165E8</v>
      </c>
      <c r="K3" s="74">
        <v>6.442711619E9</v>
      </c>
      <c r="L3" s="75">
        <v>2.4842319E7</v>
      </c>
      <c r="M3" s="75">
        <v>1.07728823E8</v>
      </c>
      <c r="N3" s="75">
        <v>2.89917667E8</v>
      </c>
      <c r="O3" s="75">
        <v>2.3249453E7</v>
      </c>
      <c r="P3" s="75">
        <v>1.444750715E10</v>
      </c>
      <c r="Q3" s="75">
        <v>1.08820237E8</v>
      </c>
      <c r="R3" s="75">
        <v>6.891570985E9</v>
      </c>
      <c r="S3" s="76">
        <v>2.4933939E7</v>
      </c>
      <c r="T3" s="76">
        <v>1.11339463E8</v>
      </c>
      <c r="U3" s="76">
        <v>3.11975486E8</v>
      </c>
      <c r="V3" s="76">
        <v>2.4679994E7</v>
      </c>
      <c r="W3" s="76">
        <v>1.444750715E10</v>
      </c>
      <c r="X3" s="76">
        <v>9.8341047E7</v>
      </c>
      <c r="Y3" s="76">
        <v>7.368885225E9</v>
      </c>
      <c r="Z3" s="67"/>
    </row>
    <row r="4" ht="20.25" customHeight="1">
      <c r="A4" s="72">
        <v>7.5481347E7</v>
      </c>
      <c r="B4" s="72" t="s">
        <v>55</v>
      </c>
      <c r="C4" s="73">
        <v>1.17965143E8</v>
      </c>
      <c r="D4" s="73">
        <v>1.3573931495E10</v>
      </c>
      <c r="E4" s="74">
        <v>6.2966276E7</v>
      </c>
      <c r="F4" s="74">
        <v>3.16119757E8</v>
      </c>
      <c r="G4" s="74">
        <v>5.17868228E8</v>
      </c>
      <c r="H4" s="74">
        <v>4.7369558E7</v>
      </c>
      <c r="I4" s="74">
        <v>9.004024334E10</v>
      </c>
      <c r="J4" s="74">
        <v>1.17965143E8</v>
      </c>
      <c r="K4" s="74">
        <v>1.3573931495E10</v>
      </c>
      <c r="L4" s="75">
        <v>6.3035336E7</v>
      </c>
      <c r="M4" s="75">
        <v>3.19912777E8</v>
      </c>
      <c r="N4" s="75">
        <v>5.43631252E8</v>
      </c>
      <c r="O4" s="75">
        <v>4.7852934E7</v>
      </c>
      <c r="P4" s="75">
        <v>9.004024334E10</v>
      </c>
      <c r="Q4" s="75">
        <v>1.13430031E8</v>
      </c>
      <c r="R4" s="75">
        <v>1.4127191741E10</v>
      </c>
      <c r="S4" s="76">
        <v>6.3035848E7</v>
      </c>
      <c r="T4" s="76">
        <v>3.24774984E8</v>
      </c>
      <c r="U4" s="76">
        <v>5.72244992E8</v>
      </c>
      <c r="V4" s="76">
        <v>5.063236E7</v>
      </c>
      <c r="W4" s="76">
        <v>9.004024334E10</v>
      </c>
      <c r="X4" s="76">
        <v>1.23003111E8</v>
      </c>
      <c r="Y4" s="76">
        <v>1.4748158651E10</v>
      </c>
      <c r="Z4" s="67"/>
    </row>
    <row r="5" ht="20.25" customHeight="1">
      <c r="A5" s="72">
        <v>1.68455139E8</v>
      </c>
      <c r="B5" s="72" t="s">
        <v>89</v>
      </c>
      <c r="C5" s="73">
        <v>1.13776671E8</v>
      </c>
      <c r="D5" s="73">
        <v>3.81588467E9</v>
      </c>
      <c r="E5" s="74">
        <v>1.1914151E7</v>
      </c>
      <c r="F5" s="74">
        <v>6.9809236E7</v>
      </c>
      <c r="G5" s="74">
        <v>1.55375995E8</v>
      </c>
      <c r="H5" s="74">
        <v>1.8458747E7</v>
      </c>
      <c r="I5" s="74">
        <v>2.0049450569E10</v>
      </c>
      <c r="J5" s="74">
        <v>1.13776671E8</v>
      </c>
      <c r="K5" s="74">
        <v>3.81588467E9</v>
      </c>
      <c r="L5" s="75">
        <v>1.1928951E7</v>
      </c>
      <c r="M5" s="75">
        <v>7.2477373E7</v>
      </c>
      <c r="N5" s="75">
        <v>1.76659177E8</v>
      </c>
      <c r="O5" s="75">
        <v>1.92882E7</v>
      </c>
      <c r="P5" s="75">
        <v>2.0049450569E10</v>
      </c>
      <c r="Q5" s="75">
        <v>1.03254871E8</v>
      </c>
      <c r="R5" s="75">
        <v>4.268273902E9</v>
      </c>
      <c r="S5" s="76">
        <v>1.1943765E7</v>
      </c>
      <c r="T5" s="76">
        <v>7.3674124E7</v>
      </c>
      <c r="U5" s="76">
        <v>1.8097611E8</v>
      </c>
      <c r="V5" s="76">
        <v>1.9946484E7</v>
      </c>
      <c r="W5" s="76">
        <v>2.0059450569E10</v>
      </c>
      <c r="X5" s="76">
        <v>9.876883E7</v>
      </c>
      <c r="Y5" s="76">
        <v>4.366583035E9</v>
      </c>
      <c r="Z5" s="67"/>
    </row>
    <row r="6" ht="20.25" customHeight="1">
      <c r="A6" s="72">
        <v>2463403.0</v>
      </c>
      <c r="B6" s="72" t="s">
        <v>90</v>
      </c>
      <c r="C6" s="73">
        <v>9.3598591E7</v>
      </c>
      <c r="D6" s="73">
        <v>9.49975133E9</v>
      </c>
      <c r="E6" s="74">
        <v>3.134972E7</v>
      </c>
      <c r="F6" s="74">
        <v>2.25746371E8</v>
      </c>
      <c r="G6" s="74">
        <v>3.60136728E8</v>
      </c>
      <c r="H6" s="74">
        <v>4.3752084E7</v>
      </c>
      <c r="I6" s="74">
        <v>1.0826888908E10</v>
      </c>
      <c r="J6" s="74">
        <v>9.3598591E7</v>
      </c>
      <c r="K6" s="74">
        <v>9.49975133E9</v>
      </c>
      <c r="L6" s="75">
        <v>3.1360251E7</v>
      </c>
      <c r="M6" s="75">
        <v>2.28170088E8</v>
      </c>
      <c r="N6" s="75">
        <v>3.80548619E8</v>
      </c>
      <c r="O6" s="75">
        <v>4.4696928E7</v>
      </c>
      <c r="P6" s="75">
        <v>1.0826888908E10</v>
      </c>
      <c r="Q6" s="75">
        <v>8.3695611E7</v>
      </c>
      <c r="R6" s="75">
        <v>9.932282612E9</v>
      </c>
      <c r="S6" s="76">
        <v>3.1360812E7</v>
      </c>
      <c r="T6" s="76">
        <v>2.31124922E8</v>
      </c>
      <c r="U6" s="76">
        <v>3.97208441E8</v>
      </c>
      <c r="V6" s="76">
        <v>4.5433618E7</v>
      </c>
      <c r="W6" s="76">
        <v>1.0836888908E10</v>
      </c>
      <c r="X6" s="76">
        <v>8.0833891E7</v>
      </c>
      <c r="Y6" s="76">
        <v>1.029504633E10</v>
      </c>
      <c r="Z6" s="67"/>
    </row>
    <row r="7" ht="20.25" customHeight="1">
      <c r="A7" s="72">
        <v>6.7071592E7</v>
      </c>
      <c r="B7" s="72" t="s">
        <v>91</v>
      </c>
      <c r="C7" s="73">
        <v>9.0618001E7</v>
      </c>
      <c r="D7" s="73">
        <v>1.1847016922E10</v>
      </c>
      <c r="E7" s="74">
        <v>8.328278E7</v>
      </c>
      <c r="F7" s="74">
        <v>4.20852758E8</v>
      </c>
      <c r="G7" s="74">
        <v>3.747368E8</v>
      </c>
      <c r="H7" s="74">
        <v>3.1616038E7</v>
      </c>
      <c r="I7" s="74">
        <v>2.7307655885E10</v>
      </c>
      <c r="J7" s="74">
        <v>9.0618001E7</v>
      </c>
      <c r="K7" s="74">
        <v>1.1847016922E10</v>
      </c>
      <c r="L7" s="75">
        <v>8.3282804E7</v>
      </c>
      <c r="M7" s="75">
        <v>4.23310937E8</v>
      </c>
      <c r="N7" s="75">
        <v>3.89998257E8</v>
      </c>
      <c r="O7" s="75">
        <v>3.1726234E7</v>
      </c>
      <c r="P7" s="75">
        <v>2.7307655885E10</v>
      </c>
      <c r="Q7" s="75">
        <v>8.9292909E7</v>
      </c>
      <c r="R7" s="75">
        <v>1.2176841628E10</v>
      </c>
      <c r="S7" s="76">
        <v>8.3291945E7</v>
      </c>
      <c r="T7" s="76">
        <v>4.26352897E8</v>
      </c>
      <c r="U7" s="76">
        <v>4.17261419E8</v>
      </c>
      <c r="V7" s="76">
        <v>3.1772516E7</v>
      </c>
      <c r="W7" s="76">
        <v>2.7307655885E10</v>
      </c>
      <c r="X7" s="76">
        <v>8.7838354E7</v>
      </c>
      <c r="Y7" s="76">
        <v>1.2752558673E10</v>
      </c>
      <c r="Z7" s="67"/>
    </row>
    <row r="8" ht="20.25" customHeight="1">
      <c r="A8" s="72">
        <v>6.2576249E7</v>
      </c>
      <c r="B8" s="72" t="s">
        <v>92</v>
      </c>
      <c r="C8" s="73">
        <v>9.034525E7</v>
      </c>
      <c r="D8" s="73">
        <v>4.116334761E9</v>
      </c>
      <c r="E8" s="74">
        <v>1.38918285E8</v>
      </c>
      <c r="F8" s="74">
        <v>1.12565728E8</v>
      </c>
      <c r="G8" s="74">
        <v>1.45388738E8</v>
      </c>
      <c r="H8" s="74">
        <v>2.4958214E7</v>
      </c>
      <c r="I8" s="74">
        <v>3.458814493E10</v>
      </c>
      <c r="J8" s="74">
        <v>9.034525E7</v>
      </c>
      <c r="K8" s="74">
        <v>4.116334761E9</v>
      </c>
      <c r="L8" s="75">
        <v>1.38960392E8</v>
      </c>
      <c r="M8" s="75">
        <v>1.14053807E8</v>
      </c>
      <c r="N8" s="75">
        <v>1.53423442E8</v>
      </c>
      <c r="O8" s="75">
        <v>2.5807181E7</v>
      </c>
      <c r="P8" s="75">
        <v>3.458814493E10</v>
      </c>
      <c r="Q8" s="75">
        <v>8.352751E7</v>
      </c>
      <c r="R8" s="75">
        <v>4.29192241E9</v>
      </c>
      <c r="S8" s="76">
        <v>1.39188804E8</v>
      </c>
      <c r="T8" s="76">
        <v>1.16339382E8</v>
      </c>
      <c r="U8" s="76">
        <v>1.6331936E8</v>
      </c>
      <c r="V8" s="76">
        <v>2.6098055E7</v>
      </c>
      <c r="W8" s="76">
        <v>3.458814493E10</v>
      </c>
      <c r="X8" s="76">
        <v>8.2142556E7</v>
      </c>
      <c r="Y8" s="76">
        <v>4.512755982E9</v>
      </c>
      <c r="Z8" s="67"/>
    </row>
    <row r="9" ht="20.25" customHeight="1">
      <c r="A9" s="72">
        <v>1.1726598E7</v>
      </c>
      <c r="B9" s="72" t="s">
        <v>93</v>
      </c>
      <c r="C9" s="73">
        <v>8.7218821E7</v>
      </c>
      <c r="D9" s="73">
        <v>1.1875533705E10</v>
      </c>
      <c r="E9" s="74">
        <v>8.5433305E7</v>
      </c>
      <c r="F9" s="74">
        <v>2.4993733E8</v>
      </c>
      <c r="G9" s="74">
        <v>4.64656989E8</v>
      </c>
      <c r="H9" s="74">
        <v>3.0401245E7</v>
      </c>
      <c r="I9" s="74">
        <v>3.3365752766E10</v>
      </c>
      <c r="J9" s="74">
        <v>8.7218821E7</v>
      </c>
      <c r="K9" s="74">
        <v>1.1875533705E10</v>
      </c>
      <c r="L9" s="75">
        <v>8.5460578E7</v>
      </c>
      <c r="M9" s="75">
        <v>2.5048815E8</v>
      </c>
      <c r="N9" s="75">
        <v>4.66319995E8</v>
      </c>
      <c r="O9" s="75">
        <v>3.0481202E7</v>
      </c>
      <c r="P9" s="75">
        <v>3.3365752766E10</v>
      </c>
      <c r="Q9" s="75">
        <v>8.7269561E7</v>
      </c>
      <c r="R9" s="75">
        <v>1.1914321283E10</v>
      </c>
      <c r="S9" s="76">
        <v>8.5588211E7</v>
      </c>
      <c r="T9" s="76">
        <v>2.528925E8</v>
      </c>
      <c r="U9" s="76">
        <v>4.86931641E8</v>
      </c>
      <c r="V9" s="76">
        <v>3.0773637E7</v>
      </c>
      <c r="W9" s="76">
        <v>3.3365752766E10</v>
      </c>
      <c r="X9" s="76">
        <v>8.2106789E7</v>
      </c>
      <c r="Y9" s="76">
        <v>1.235069065E10</v>
      </c>
      <c r="Z9" s="67"/>
    </row>
    <row r="10" ht="20.25" customHeight="1">
      <c r="A10" s="72">
        <v>7.9650085E7</v>
      </c>
      <c r="B10" s="72" t="s">
        <v>94</v>
      </c>
      <c r="C10" s="73">
        <v>8.6995032E7</v>
      </c>
      <c r="D10" s="73">
        <v>2.51032645E9</v>
      </c>
      <c r="E10" s="74">
        <v>3.4864153E7</v>
      </c>
      <c r="F10" s="74">
        <v>6.8614845E7</v>
      </c>
      <c r="G10" s="74">
        <v>9.0087042E7</v>
      </c>
      <c r="H10" s="74">
        <v>1.6015869E7</v>
      </c>
      <c r="I10" s="74">
        <v>1.5411538988E10</v>
      </c>
      <c r="J10" s="74">
        <v>8.6995032E7</v>
      </c>
      <c r="K10" s="74">
        <v>2.51032645E9</v>
      </c>
      <c r="L10" s="75">
        <v>3.4864153E7</v>
      </c>
      <c r="M10" s="75">
        <v>6.8748695E7</v>
      </c>
      <c r="N10" s="75">
        <v>9.0940801E7</v>
      </c>
      <c r="O10" s="75">
        <v>1.6152466E7</v>
      </c>
      <c r="P10" s="75">
        <v>1.5411538988E10</v>
      </c>
      <c r="Q10" s="75">
        <v>8.6051078E7</v>
      </c>
      <c r="R10" s="75">
        <v>2.52874013E9</v>
      </c>
      <c r="S10" s="76">
        <v>3.4864627E7</v>
      </c>
      <c r="T10" s="76">
        <v>6.8990819E7</v>
      </c>
      <c r="U10" s="76">
        <v>9.1691725E7</v>
      </c>
      <c r="V10" s="76">
        <v>1.6448723E7</v>
      </c>
      <c r="W10" s="76">
        <v>1.5411538988E10</v>
      </c>
      <c r="X10" s="76">
        <v>8.468128E7</v>
      </c>
      <c r="Y10" s="76">
        <v>2.546179997E9</v>
      </c>
      <c r="Z10" s="67"/>
    </row>
    <row r="11" ht="20.25" customHeight="1">
      <c r="A11" s="72">
        <v>2.708355E7</v>
      </c>
      <c r="B11" s="72" t="s">
        <v>95</v>
      </c>
      <c r="C11" s="73">
        <v>8.4868298E7</v>
      </c>
      <c r="D11" s="73">
        <v>3.516995142E9</v>
      </c>
      <c r="E11" s="74">
        <v>2.7933252E7</v>
      </c>
      <c r="F11" s="74">
        <v>1.18633746E8</v>
      </c>
      <c r="G11" s="74">
        <v>1.14370055E8</v>
      </c>
      <c r="H11" s="74">
        <v>3.0923918E7</v>
      </c>
      <c r="I11" s="74">
        <v>8.740341628E9</v>
      </c>
      <c r="J11" s="74">
        <v>8.4868298E7</v>
      </c>
      <c r="K11" s="74">
        <v>3.516995142E9</v>
      </c>
      <c r="L11" s="75">
        <v>2.793538E7</v>
      </c>
      <c r="M11" s="75">
        <v>1.19469466E8</v>
      </c>
      <c r="N11" s="75">
        <v>1.17449669E8</v>
      </c>
      <c r="O11" s="75">
        <v>3.1792464E7</v>
      </c>
      <c r="P11" s="75">
        <v>8.740341628E9</v>
      </c>
      <c r="Q11" s="75">
        <v>7.7761081E7</v>
      </c>
      <c r="R11" s="75">
        <v>3.586945048E9</v>
      </c>
      <c r="S11" s="76">
        <v>2.7940286E7</v>
      </c>
      <c r="T11" s="76">
        <v>1.21099638E8</v>
      </c>
      <c r="U11" s="76">
        <v>1.26050007E8</v>
      </c>
      <c r="V11" s="76">
        <v>3.2822858E7</v>
      </c>
      <c r="W11" s="76">
        <v>8.740341628E9</v>
      </c>
      <c r="X11" s="76">
        <v>7.5716145E7</v>
      </c>
      <c r="Y11" s="76">
        <v>3.775376479E9</v>
      </c>
      <c r="Z11" s="67"/>
    </row>
    <row r="12" ht="20.25" customHeight="1">
      <c r="A12" s="72">
        <v>1.6942777E8</v>
      </c>
      <c r="B12" s="72" t="s">
        <v>96</v>
      </c>
      <c r="C12" s="73">
        <v>8.4302176E7</v>
      </c>
      <c r="D12" s="73">
        <v>1.099951251E9</v>
      </c>
      <c r="E12" s="74">
        <v>3017508.0</v>
      </c>
      <c r="F12" s="74">
        <v>3.1895933E7</v>
      </c>
      <c r="G12" s="74">
        <v>3.862389E7</v>
      </c>
      <c r="H12" s="74">
        <v>1.2034266E7</v>
      </c>
      <c r="I12" s="74">
        <v>4.793843925E9</v>
      </c>
      <c r="J12" s="74">
        <v>8.4302176E7</v>
      </c>
      <c r="K12" s="74">
        <v>1.099951251E9</v>
      </c>
      <c r="L12" s="75">
        <v>3017649.0</v>
      </c>
      <c r="M12" s="75">
        <v>3.2933711E7</v>
      </c>
      <c r="N12" s="75">
        <v>4.2005467E7</v>
      </c>
      <c r="O12" s="75">
        <v>1.2858036E7</v>
      </c>
      <c r="P12" s="75">
        <v>4.793843925E9</v>
      </c>
      <c r="Q12" s="75">
        <v>7.6248802E7</v>
      </c>
      <c r="R12" s="75">
        <v>1.177962143E9</v>
      </c>
      <c r="S12" s="76">
        <v>3033302.0</v>
      </c>
      <c r="T12" s="76">
        <v>3.4225177E7</v>
      </c>
      <c r="U12" s="76">
        <v>4.9619115E7</v>
      </c>
      <c r="V12" s="76">
        <v>1.3566471E7</v>
      </c>
      <c r="W12" s="76">
        <v>4.793843925E9</v>
      </c>
      <c r="X12" s="76">
        <v>7.3673928E7</v>
      </c>
      <c r="Y12" s="76">
        <v>1.343155756E9</v>
      </c>
      <c r="Z12" s="67"/>
    </row>
    <row r="13" ht="20.25" customHeight="1">
      <c r="A13" s="72">
        <v>7.7394861E7</v>
      </c>
      <c r="B13" s="72" t="s">
        <v>97</v>
      </c>
      <c r="C13" s="73">
        <v>8.4262735E7</v>
      </c>
      <c r="D13" s="73">
        <v>2.873222492E9</v>
      </c>
      <c r="E13" s="74">
        <v>2191121.0</v>
      </c>
      <c r="F13" s="74">
        <v>9.7368765E7</v>
      </c>
      <c r="G13" s="74">
        <v>9.4829963E7</v>
      </c>
      <c r="H13" s="74">
        <v>1.9100452E7</v>
      </c>
      <c r="I13" s="74">
        <v>6.8605111155E10</v>
      </c>
      <c r="J13" s="74">
        <v>8.4262735E7</v>
      </c>
      <c r="K13" s="74">
        <v>2.873222492E9</v>
      </c>
      <c r="L13" s="75">
        <v>2191121.0</v>
      </c>
      <c r="M13" s="75">
        <v>9.7796728E7</v>
      </c>
      <c r="N13" s="75">
        <v>9.771287E7</v>
      </c>
      <c r="O13" s="75">
        <v>1.9227898E7</v>
      </c>
      <c r="P13" s="75">
        <v>6.8605111155E10</v>
      </c>
      <c r="Q13" s="75">
        <v>7.8588985E7</v>
      </c>
      <c r="R13" s="75">
        <v>2.935160262E9</v>
      </c>
      <c r="S13" s="76">
        <v>2191146.0</v>
      </c>
      <c r="T13" s="76">
        <v>9.8341677E7</v>
      </c>
      <c r="U13" s="76">
        <v>9.9511768E7</v>
      </c>
      <c r="V13" s="76">
        <v>1.9921506E7</v>
      </c>
      <c r="W13" s="76">
        <v>6.8605111155E10</v>
      </c>
      <c r="X13" s="76">
        <v>7.3844595E7</v>
      </c>
      <c r="Y13" s="76">
        <v>2.976589665E9</v>
      </c>
      <c r="Z13" s="67"/>
    </row>
    <row r="14" ht="20.25" customHeight="1">
      <c r="A14" s="72">
        <v>1.72021868E8</v>
      </c>
      <c r="B14" s="72" t="s">
        <v>53</v>
      </c>
      <c r="C14" s="73">
        <v>8.424664E7</v>
      </c>
      <c r="D14" s="73">
        <v>2.05110241E9</v>
      </c>
      <c r="E14" s="74">
        <v>1.8255923E7</v>
      </c>
      <c r="F14" s="74">
        <v>2.5755323E7</v>
      </c>
      <c r="G14" s="74">
        <v>8.9373129E7</v>
      </c>
      <c r="H14" s="74">
        <v>5385559.0</v>
      </c>
      <c r="I14" s="74">
        <v>2.357709172E9</v>
      </c>
      <c r="J14" s="74">
        <v>8.424664E7</v>
      </c>
      <c r="K14" s="74">
        <v>2.05110241E9</v>
      </c>
      <c r="L14" s="75">
        <v>1.8256845E7</v>
      </c>
      <c r="M14" s="75">
        <v>2.7449927E7</v>
      </c>
      <c r="N14" s="75">
        <v>1.06894577E8</v>
      </c>
      <c r="O14" s="75">
        <v>5597192.0</v>
      </c>
      <c r="P14" s="75">
        <v>2.777709172E9</v>
      </c>
      <c r="Q14" s="75">
        <v>8.33064E7</v>
      </c>
      <c r="R14" s="75">
        <v>2.418478753E9</v>
      </c>
      <c r="S14" s="76">
        <v>1.8261689E7</v>
      </c>
      <c r="T14" s="76">
        <v>3.0510904E7</v>
      </c>
      <c r="U14" s="76">
        <v>1.30026206E8</v>
      </c>
      <c r="V14" s="76">
        <v>6209818.0</v>
      </c>
      <c r="W14" s="76">
        <v>2.777709172E9</v>
      </c>
      <c r="X14" s="76">
        <v>8.130095E7</v>
      </c>
      <c r="Y14" s="76">
        <v>2.911734497E9</v>
      </c>
      <c r="Z14" s="67"/>
    </row>
    <row r="15" ht="20.25" customHeight="1">
      <c r="A15" s="72">
        <v>4.8741756E7</v>
      </c>
      <c r="B15" s="72" t="s">
        <v>98</v>
      </c>
      <c r="C15" s="73">
        <v>8.3555578E7</v>
      </c>
      <c r="D15" s="73">
        <v>3.409309342E9</v>
      </c>
      <c r="E15" s="74">
        <v>6.9603042E7</v>
      </c>
      <c r="F15" s="74">
        <v>1.30370547E8</v>
      </c>
      <c r="G15" s="74">
        <v>1.03299664E8</v>
      </c>
      <c r="H15" s="74">
        <v>2.5361565E7</v>
      </c>
      <c r="I15" s="74">
        <v>2.387412752E10</v>
      </c>
      <c r="J15" s="74">
        <v>8.3555578E7</v>
      </c>
      <c r="K15" s="74">
        <v>3.409309342E9</v>
      </c>
      <c r="L15" s="75">
        <v>6.9603042E7</v>
      </c>
      <c r="M15" s="75">
        <v>1.30985659E8</v>
      </c>
      <c r="N15" s="75">
        <v>1.08160884E8</v>
      </c>
      <c r="O15" s="75">
        <v>2.5600697E7</v>
      </c>
      <c r="P15" s="75">
        <v>2.387412752E10</v>
      </c>
      <c r="Q15" s="75">
        <v>8.0001678E7</v>
      </c>
      <c r="R15" s="75">
        <v>3.512684862E9</v>
      </c>
      <c r="S15" s="76">
        <v>6.9747835E7</v>
      </c>
      <c r="T15" s="76">
        <v>1.32589744E8</v>
      </c>
      <c r="U15" s="76">
        <v>1.13832778E8</v>
      </c>
      <c r="V15" s="76">
        <v>2.6066242E7</v>
      </c>
      <c r="W15" s="76">
        <v>2.387412752E10</v>
      </c>
      <c r="X15" s="76">
        <v>7.8050678E7</v>
      </c>
      <c r="Y15" s="76">
        <v>3.644222697E9</v>
      </c>
      <c r="Z15" s="67"/>
    </row>
    <row r="16" ht="20.25" customHeight="1">
      <c r="A16" s="72">
        <v>1.71701107E8</v>
      </c>
      <c r="B16" s="72" t="s">
        <v>99</v>
      </c>
      <c r="C16" s="73">
        <v>8.3460258E7</v>
      </c>
      <c r="D16" s="73">
        <v>7.49784756E8</v>
      </c>
      <c r="E16" s="74">
        <v>6244224.0</v>
      </c>
      <c r="F16" s="74">
        <v>2.2282882E7</v>
      </c>
      <c r="G16" s="74">
        <v>2.5988895E7</v>
      </c>
      <c r="H16" s="74">
        <v>4368187.0</v>
      </c>
      <c r="I16" s="74">
        <v>5.274918782E9</v>
      </c>
      <c r="J16" s="74">
        <v>8.3460258E7</v>
      </c>
      <c r="K16" s="74">
        <v>7.49784756E8</v>
      </c>
      <c r="L16" s="75">
        <v>6248267.0</v>
      </c>
      <c r="M16" s="75">
        <v>2.2305316E7</v>
      </c>
      <c r="N16" s="75">
        <v>2.6448187E7</v>
      </c>
      <c r="O16" s="75">
        <v>4369361.0</v>
      </c>
      <c r="P16" s="75">
        <v>5.274918782E9</v>
      </c>
      <c r="Q16" s="75">
        <v>8.1787828E7</v>
      </c>
      <c r="R16" s="75">
        <v>7.59201591E8</v>
      </c>
      <c r="S16" s="76">
        <v>6248270.0</v>
      </c>
      <c r="T16" s="76">
        <v>2.2544185E7</v>
      </c>
      <c r="U16" s="76">
        <v>2.7675483E7</v>
      </c>
      <c r="V16" s="76">
        <v>4663412.0</v>
      </c>
      <c r="W16" s="76">
        <v>5.274918782E9</v>
      </c>
      <c r="X16" s="76">
        <v>8.1628304E7</v>
      </c>
      <c r="Y16" s="76">
        <v>7.86141258E8</v>
      </c>
      <c r="Z16" s="67"/>
    </row>
    <row r="17" ht="20.25" customHeight="1">
      <c r="A17" s="72">
        <v>1.69247313E8</v>
      </c>
      <c r="B17" s="72" t="s">
        <v>100</v>
      </c>
      <c r="C17" s="73">
        <v>8.3288321E7</v>
      </c>
      <c r="D17" s="73">
        <v>7.09981694E8</v>
      </c>
      <c r="E17" s="74">
        <v>4731181.0</v>
      </c>
      <c r="F17" s="74">
        <v>2.2153457E7</v>
      </c>
      <c r="G17" s="74">
        <v>2.3511899E7</v>
      </c>
      <c r="H17" s="74">
        <v>1.1135091E7</v>
      </c>
      <c r="I17" s="74">
        <v>3.021731466E9</v>
      </c>
      <c r="J17" s="74">
        <v>8.3288321E7</v>
      </c>
      <c r="K17" s="74">
        <v>7.09981694E8</v>
      </c>
      <c r="L17" s="75">
        <v>4738475.0</v>
      </c>
      <c r="M17" s="75">
        <v>2.2873045E7</v>
      </c>
      <c r="N17" s="75">
        <v>2.6845203E7</v>
      </c>
      <c r="O17" s="75">
        <v>1.2007552E7</v>
      </c>
      <c r="P17" s="75">
        <v>3.021731466E9</v>
      </c>
      <c r="Q17" s="75">
        <v>7.5692049E7</v>
      </c>
      <c r="R17" s="75">
        <v>7.83876121E8</v>
      </c>
      <c r="S17" s="76">
        <v>4975472.0</v>
      </c>
      <c r="T17" s="76">
        <v>2.4939908E7</v>
      </c>
      <c r="U17" s="76">
        <v>3.2022652E7</v>
      </c>
      <c r="V17" s="76">
        <v>1.3068549E7</v>
      </c>
      <c r="W17" s="76">
        <v>3.131731466E9</v>
      </c>
      <c r="X17" s="76">
        <v>6.8597398E7</v>
      </c>
      <c r="Y17" s="76">
        <v>9.08219268E8</v>
      </c>
      <c r="Z17" s="67"/>
    </row>
    <row r="18" ht="20.25" customHeight="1">
      <c r="A18" s="72">
        <v>1.71503078E8</v>
      </c>
      <c r="B18" s="72" t="s">
        <v>101</v>
      </c>
      <c r="C18" s="73">
        <v>8.086881E7</v>
      </c>
      <c r="D18" s="73">
        <v>2.095837172E9</v>
      </c>
      <c r="E18" s="74">
        <v>1.6404522E7</v>
      </c>
      <c r="F18" s="74">
        <v>3.9227343E7</v>
      </c>
      <c r="G18" s="74">
        <v>8.2790101E7</v>
      </c>
      <c r="H18" s="74">
        <v>4653376.0</v>
      </c>
      <c r="I18" s="74">
        <v>5.31571607E9</v>
      </c>
      <c r="J18" s="74">
        <v>8.086881E7</v>
      </c>
      <c r="K18" s="74">
        <v>2.095837172E9</v>
      </c>
      <c r="L18" s="75">
        <v>1.6416345E7</v>
      </c>
      <c r="M18" s="75">
        <v>4.0891548E7</v>
      </c>
      <c r="N18" s="75">
        <v>9.7185018E7</v>
      </c>
      <c r="O18" s="75">
        <v>5086960.0</v>
      </c>
      <c r="P18" s="75">
        <v>5.31571607E9</v>
      </c>
      <c r="Q18" s="75">
        <v>7.5117934E7</v>
      </c>
      <c r="R18" s="75">
        <v>2.400565927E9</v>
      </c>
      <c r="S18" s="76">
        <v>1.6416345E7</v>
      </c>
      <c r="T18" s="76">
        <v>4.1738755E7</v>
      </c>
      <c r="U18" s="76">
        <v>1.06182973E8</v>
      </c>
      <c r="V18" s="76">
        <v>5389863.0</v>
      </c>
      <c r="W18" s="76">
        <v>5.31571607E9</v>
      </c>
      <c r="X18" s="76">
        <v>7.431588E7</v>
      </c>
      <c r="Y18" s="76">
        <v>2.588998207E9</v>
      </c>
      <c r="Z18" s="67"/>
    </row>
    <row r="19" ht="20.25" customHeight="1">
      <c r="A19" s="72">
        <v>9.8107237E7</v>
      </c>
      <c r="B19" s="72" t="s">
        <v>102</v>
      </c>
      <c r="C19" s="73">
        <v>8.0847929E7</v>
      </c>
      <c r="D19" s="73">
        <v>3.468706868E9</v>
      </c>
      <c r="E19" s="74">
        <v>3737020.0</v>
      </c>
      <c r="F19" s="74">
        <v>7.8595001E7</v>
      </c>
      <c r="G19" s="74">
        <v>1.33725788E8</v>
      </c>
      <c r="H19" s="74">
        <v>2.0537779E7</v>
      </c>
      <c r="I19" s="74">
        <v>1.1707531851E10</v>
      </c>
      <c r="J19" s="74">
        <v>8.0847929E7</v>
      </c>
      <c r="K19" s="74">
        <v>3.468706868E9</v>
      </c>
      <c r="L19" s="75">
        <v>3737020.0</v>
      </c>
      <c r="M19" s="75">
        <v>7.8981475E7</v>
      </c>
      <c r="N19" s="75">
        <v>1.3635561E8</v>
      </c>
      <c r="O19" s="75">
        <v>2.0578132E7</v>
      </c>
      <c r="P19" s="75">
        <v>1.1707531851E10</v>
      </c>
      <c r="Q19" s="75">
        <v>8.1458907E7</v>
      </c>
      <c r="R19" s="75">
        <v>3.525168048E9</v>
      </c>
      <c r="S19" s="76">
        <v>3738579.0</v>
      </c>
      <c r="T19" s="76">
        <v>8.0529915E7</v>
      </c>
      <c r="U19" s="76">
        <v>1.4940196E8</v>
      </c>
      <c r="V19" s="76">
        <v>2.1264887E7</v>
      </c>
      <c r="W19" s="76">
        <v>1.1707531851E10</v>
      </c>
      <c r="X19" s="76">
        <v>7.3847547E7</v>
      </c>
      <c r="Y19" s="76">
        <v>3.801581773E9</v>
      </c>
      <c r="Z19" s="67"/>
    </row>
    <row r="20" ht="20.25" customHeight="1">
      <c r="A20" s="72">
        <v>1.20029911E8</v>
      </c>
      <c r="B20" s="72" t="s">
        <v>103</v>
      </c>
      <c r="C20" s="73">
        <v>7.9175323E7</v>
      </c>
      <c r="D20" s="73">
        <v>1.139092616E9</v>
      </c>
      <c r="E20" s="74">
        <v>1.29655E7</v>
      </c>
      <c r="F20" s="74">
        <v>4.8361106E7</v>
      </c>
      <c r="G20" s="74">
        <v>3.1138213E7</v>
      </c>
      <c r="H20" s="74">
        <v>1.1772037E7</v>
      </c>
      <c r="I20" s="74">
        <v>1.7124234312E10</v>
      </c>
      <c r="J20" s="74">
        <v>7.9175323E7</v>
      </c>
      <c r="K20" s="74">
        <v>1.139092616E9</v>
      </c>
      <c r="L20" s="75">
        <v>1.3010025E7</v>
      </c>
      <c r="M20" s="75">
        <v>4.8978474E7</v>
      </c>
      <c r="N20" s="75">
        <v>3.3161226E7</v>
      </c>
      <c r="O20" s="75">
        <v>1.2203792E7</v>
      </c>
      <c r="P20" s="75">
        <v>1.7124234312E10</v>
      </c>
      <c r="Q20" s="75">
        <v>7.5764293E7</v>
      </c>
      <c r="R20" s="75">
        <v>1.185781129E9</v>
      </c>
      <c r="S20" s="76">
        <v>1.3916714E7</v>
      </c>
      <c r="T20" s="76">
        <v>5.117681E7</v>
      </c>
      <c r="U20" s="76">
        <v>3.848917E7</v>
      </c>
      <c r="V20" s="76">
        <v>1.321067E7</v>
      </c>
      <c r="W20" s="76">
        <v>1.7374234312E10</v>
      </c>
      <c r="X20" s="76">
        <v>6.9418228E7</v>
      </c>
      <c r="Y20" s="76">
        <v>1.314837262E9</v>
      </c>
      <c r="Z20" s="67"/>
    </row>
    <row r="21" ht="20.25" customHeight="1">
      <c r="A21" s="72">
        <v>1.72041454E8</v>
      </c>
      <c r="B21" s="72" t="s">
        <v>104</v>
      </c>
      <c r="C21" s="73">
        <v>7.8637719E7</v>
      </c>
      <c r="D21" s="73">
        <v>7.74147673E8</v>
      </c>
      <c r="E21" s="74">
        <v>2.7510869E7</v>
      </c>
      <c r="F21" s="74">
        <v>2.9521628E7</v>
      </c>
      <c r="G21" s="74">
        <v>2.323472E7</v>
      </c>
      <c r="H21" s="74">
        <v>1.0065047E7</v>
      </c>
      <c r="I21" s="74">
        <v>1.198488618E9</v>
      </c>
      <c r="J21" s="74">
        <v>7.8637719E7</v>
      </c>
      <c r="K21" s="74">
        <v>7.74147673E8</v>
      </c>
      <c r="L21" s="75">
        <v>2.7532454E7</v>
      </c>
      <c r="M21" s="75">
        <v>3.0267922E7</v>
      </c>
      <c r="N21" s="75">
        <v>2.6072764E7</v>
      </c>
      <c r="O21" s="75">
        <v>1.1306827E7</v>
      </c>
      <c r="P21" s="75">
        <v>1.198488618E9</v>
      </c>
      <c r="Q21" s="75">
        <v>6.6726643E7</v>
      </c>
      <c r="R21" s="75">
        <v>8.38377602E8</v>
      </c>
      <c r="S21" s="76">
        <v>2.7585652E7</v>
      </c>
      <c r="T21" s="76">
        <v>3.1567331E7</v>
      </c>
      <c r="U21" s="76">
        <v>3.22892E7</v>
      </c>
      <c r="V21" s="76">
        <v>1.2147039E7</v>
      </c>
      <c r="W21" s="76">
        <v>1.198488618E9</v>
      </c>
      <c r="X21" s="76">
        <v>6.3509767E7</v>
      </c>
      <c r="Y21" s="76">
        <v>9.75741526E8</v>
      </c>
      <c r="Z21" s="67"/>
    </row>
    <row r="22" ht="20.25" customHeight="1">
      <c r="A22" s="72">
        <v>1.71604682E8</v>
      </c>
      <c r="B22" s="72" t="s">
        <v>105</v>
      </c>
      <c r="C22" s="73">
        <v>7.8000325E7</v>
      </c>
      <c r="D22" s="73">
        <v>2.046658221E9</v>
      </c>
      <c r="E22" s="74">
        <v>1.2161268E7</v>
      </c>
      <c r="F22" s="74">
        <v>6.6862167E7</v>
      </c>
      <c r="G22" s="74">
        <v>6.673808E7</v>
      </c>
      <c r="H22" s="74">
        <v>7445459.0</v>
      </c>
      <c r="I22" s="74">
        <v>1.660720264E9</v>
      </c>
      <c r="J22" s="74">
        <v>7.8000325E7</v>
      </c>
      <c r="K22" s="74">
        <v>2.046658221E9</v>
      </c>
      <c r="L22" s="75">
        <v>1.2353491E7</v>
      </c>
      <c r="M22" s="75">
        <v>6.8321741E7</v>
      </c>
      <c r="N22" s="75">
        <v>7.6545668E7</v>
      </c>
      <c r="O22" s="75">
        <v>7611808.0</v>
      </c>
      <c r="P22" s="75">
        <v>1.660720264E9</v>
      </c>
      <c r="Q22" s="75">
        <v>7.6202302E7</v>
      </c>
      <c r="R22" s="75">
        <v>2.257538246E9</v>
      </c>
      <c r="S22" s="76">
        <v>1.240068E7</v>
      </c>
      <c r="T22" s="76">
        <v>6.955479E7</v>
      </c>
      <c r="U22" s="76">
        <v>8.1310378E7</v>
      </c>
      <c r="V22" s="76">
        <v>7739443.0</v>
      </c>
      <c r="W22" s="76">
        <v>1.660720264E9</v>
      </c>
      <c r="X22" s="76">
        <v>7.6882042E7</v>
      </c>
      <c r="Y22" s="76">
        <v>2.36517621E9</v>
      </c>
      <c r="Z22" s="67"/>
    </row>
    <row r="23" ht="20.25" customHeight="1">
      <c r="A23" s="72">
        <v>1.71879011E8</v>
      </c>
      <c r="B23" s="72" t="s">
        <v>106</v>
      </c>
      <c r="C23" s="73">
        <v>7.1156721E7</v>
      </c>
      <c r="D23" s="73">
        <v>6.85384523E8</v>
      </c>
      <c r="E23" s="74">
        <v>2.7342268E7</v>
      </c>
      <c r="F23" s="74">
        <v>1.5133931E7</v>
      </c>
      <c r="G23" s="74">
        <v>2.6066379E7</v>
      </c>
      <c r="H23" s="74">
        <v>5401469.0</v>
      </c>
      <c r="I23" s="74">
        <v>2.128712272E9</v>
      </c>
      <c r="J23" s="74">
        <v>7.1156721E7</v>
      </c>
      <c r="K23" s="74">
        <v>6.85384523E8</v>
      </c>
      <c r="L23" s="75">
        <v>2.7342364E7</v>
      </c>
      <c r="M23" s="75">
        <v>1.5239799E7</v>
      </c>
      <c r="N23" s="75">
        <v>2.724615E7</v>
      </c>
      <c r="O23" s="75">
        <v>5407625.0</v>
      </c>
      <c r="P23" s="75">
        <v>2.128712272E9</v>
      </c>
      <c r="Q23" s="75">
        <v>7.7947287E7</v>
      </c>
      <c r="R23" s="75">
        <v>7.10069978E8</v>
      </c>
      <c r="S23" s="76">
        <v>2.7342364E7</v>
      </c>
      <c r="T23" s="76">
        <v>1.5460376E7</v>
      </c>
      <c r="U23" s="76">
        <v>2.8209991E7</v>
      </c>
      <c r="V23" s="76">
        <v>5709106.0</v>
      </c>
      <c r="W23" s="76">
        <v>2.128712272E9</v>
      </c>
      <c r="X23" s="76">
        <v>7.6619501E7</v>
      </c>
      <c r="Y23" s="76">
        <v>7.31556912E8</v>
      </c>
      <c r="Z23" s="67"/>
    </row>
    <row r="24" ht="20.25" customHeight="1">
      <c r="A24" s="72">
        <v>1.70708608E8</v>
      </c>
      <c r="B24" s="72" t="s">
        <v>107</v>
      </c>
      <c r="C24" s="73">
        <v>7.7626469E7</v>
      </c>
      <c r="D24" s="73">
        <v>5.0270033E8</v>
      </c>
      <c r="E24" s="74">
        <v>4.8053672E7</v>
      </c>
      <c r="F24" s="74">
        <v>1.0827722E7</v>
      </c>
      <c r="G24" s="74">
        <v>1.8996821E7</v>
      </c>
      <c r="H24" s="74">
        <v>7934124.0</v>
      </c>
      <c r="I24" s="74">
        <v>3.28908317E9</v>
      </c>
      <c r="J24" s="74">
        <v>7.7626469E7</v>
      </c>
      <c r="K24" s="74">
        <v>5.0270033E8</v>
      </c>
      <c r="L24" s="75">
        <v>4.8060453E7</v>
      </c>
      <c r="M24" s="75">
        <v>1.1132241E7</v>
      </c>
      <c r="N24" s="75">
        <v>2.102765E7</v>
      </c>
      <c r="O24" s="75">
        <v>7976957.0</v>
      </c>
      <c r="P24" s="75">
        <v>3.28908317E9</v>
      </c>
      <c r="Q24" s="75">
        <v>7.7121763E7</v>
      </c>
      <c r="R24" s="75">
        <v>5.46367194E8</v>
      </c>
      <c r="S24" s="76">
        <v>4.8061307E7</v>
      </c>
      <c r="T24" s="76">
        <v>1.14622E7</v>
      </c>
      <c r="U24" s="76">
        <v>2.2693022E7</v>
      </c>
      <c r="V24" s="76">
        <v>8151801.0</v>
      </c>
      <c r="W24" s="76">
        <v>3.28908317E9</v>
      </c>
      <c r="X24" s="76">
        <v>7.5747328E7</v>
      </c>
      <c r="Y24" s="76">
        <v>5.82975543E8</v>
      </c>
      <c r="Z24" s="67"/>
    </row>
    <row r="25" ht="20.25" customHeight="1">
      <c r="A25" s="72">
        <v>7.4556991E7</v>
      </c>
      <c r="B25" s="72" t="s">
        <v>108</v>
      </c>
      <c r="C25" s="73">
        <v>7.1123417E7</v>
      </c>
      <c r="D25" s="73">
        <v>3.221978435E9</v>
      </c>
      <c r="E25" s="74">
        <v>6653608.0</v>
      </c>
      <c r="F25" s="74">
        <v>5.9405758E7</v>
      </c>
      <c r="G25" s="74">
        <v>1.31056435E8</v>
      </c>
      <c r="H25" s="74">
        <v>1.5748139E7</v>
      </c>
      <c r="I25" s="74">
        <v>5.962343886E9</v>
      </c>
      <c r="J25" s="74">
        <v>7.1123417E7</v>
      </c>
      <c r="K25" s="74">
        <v>3.221978435E9</v>
      </c>
      <c r="L25" s="75">
        <v>6715455.0</v>
      </c>
      <c r="M25" s="75">
        <v>5.9958321E7</v>
      </c>
      <c r="N25" s="75">
        <v>1.36623809E8</v>
      </c>
      <c r="O25" s="75">
        <v>1.5928024E7</v>
      </c>
      <c r="P25" s="75">
        <v>5.962343886E9</v>
      </c>
      <c r="Q25" s="75">
        <v>7.6116167E7</v>
      </c>
      <c r="R25" s="75">
        <v>3.338864703E9</v>
      </c>
      <c r="S25" s="76">
        <v>6981593.0</v>
      </c>
      <c r="T25" s="76">
        <v>6.1122492E7</v>
      </c>
      <c r="U25" s="76">
        <v>1.41040827E8</v>
      </c>
      <c r="V25" s="76">
        <v>1.6286457E7</v>
      </c>
      <c r="W25" s="76">
        <v>5.962343886E9</v>
      </c>
      <c r="X25" s="76">
        <v>7.3353827E7</v>
      </c>
      <c r="Y25" s="76">
        <v>3.438932532E9</v>
      </c>
      <c r="Z25" s="67"/>
    </row>
    <row r="26" ht="20.25" customHeight="1">
      <c r="A26" s="72">
        <v>1.66497805E8</v>
      </c>
      <c r="B26" s="72" t="s">
        <v>109</v>
      </c>
      <c r="C26" s="73">
        <v>7.6860066E7</v>
      </c>
      <c r="D26" s="73">
        <v>7.94427369E8</v>
      </c>
      <c r="E26" s="74">
        <v>2228865.0</v>
      </c>
      <c r="F26" s="74">
        <v>2.9563629E7</v>
      </c>
      <c r="G26" s="74">
        <v>2.4407668E7</v>
      </c>
      <c r="H26" s="74">
        <v>6160967.0</v>
      </c>
      <c r="I26" s="74">
        <v>4.56763729E8</v>
      </c>
      <c r="J26" s="74">
        <v>7.6860066E7</v>
      </c>
      <c r="K26" s="74">
        <v>7.94427369E8</v>
      </c>
      <c r="L26" s="75">
        <v>2228865.0</v>
      </c>
      <c r="M26" s="75">
        <v>3.0008152E7</v>
      </c>
      <c r="N26" s="75">
        <v>2.7276287E7</v>
      </c>
      <c r="O26" s="75">
        <v>6749101.0</v>
      </c>
      <c r="P26" s="75">
        <v>4.56763729E8</v>
      </c>
      <c r="Q26" s="75">
        <v>7.1462455E7</v>
      </c>
      <c r="R26" s="75">
        <v>8.56244979E8</v>
      </c>
      <c r="S26" s="76">
        <v>2228878.0</v>
      </c>
      <c r="T26" s="76">
        <v>3.0392944E7</v>
      </c>
      <c r="U26" s="76">
        <v>3.0790288E7</v>
      </c>
      <c r="V26" s="76">
        <v>7119245.0</v>
      </c>
      <c r="W26" s="76">
        <v>4.56763729E8</v>
      </c>
      <c r="X26" s="76">
        <v>6.9380728E7</v>
      </c>
      <c r="Y26" s="76">
        <v>9.30372943E8</v>
      </c>
      <c r="Z26" s="67"/>
    </row>
    <row r="27" ht="20.25" customHeight="1">
      <c r="A27" s="72">
        <v>1.69326547E8</v>
      </c>
      <c r="B27" s="72" t="s">
        <v>110</v>
      </c>
      <c r="C27" s="73">
        <v>7.6303573E7</v>
      </c>
      <c r="D27" s="73">
        <v>4.583361489E9</v>
      </c>
      <c r="E27" s="74">
        <v>1.0933226E7</v>
      </c>
      <c r="F27" s="74">
        <v>1.06370195E8</v>
      </c>
      <c r="G27" s="74">
        <v>1.73983197E8</v>
      </c>
      <c r="H27" s="74">
        <v>1.023226E7</v>
      </c>
      <c r="I27" s="74">
        <v>1.0640822855E10</v>
      </c>
      <c r="J27" s="74">
        <v>7.6303573E7</v>
      </c>
      <c r="K27" s="74">
        <v>4.583361489E9</v>
      </c>
      <c r="L27" s="75">
        <v>1.0933226E7</v>
      </c>
      <c r="M27" s="75">
        <v>1.06370195E8</v>
      </c>
      <c r="N27" s="75">
        <v>1.73999566E8</v>
      </c>
      <c r="O27" s="75">
        <v>1.023226E7</v>
      </c>
      <c r="P27" s="75">
        <v>1.0640822855E10</v>
      </c>
      <c r="Q27" s="75">
        <v>7.5823003E7</v>
      </c>
      <c r="R27" s="75">
        <v>4.583688869E9</v>
      </c>
      <c r="S27" s="76">
        <v>1.0933226E7</v>
      </c>
      <c r="T27" s="76">
        <v>1.06370195E8</v>
      </c>
      <c r="U27" s="76">
        <v>1.73999566E8</v>
      </c>
      <c r="V27" s="76">
        <v>1.023226E7</v>
      </c>
      <c r="W27" s="76">
        <v>1.0640822855E10</v>
      </c>
      <c r="X27" s="76">
        <v>7.6315125E7</v>
      </c>
      <c r="Y27" s="76">
        <v>4.583688869E9</v>
      </c>
      <c r="Z27" s="67"/>
    </row>
    <row r="28" ht="20.25" customHeight="1">
      <c r="A28" s="72">
        <v>1.71753933E8</v>
      </c>
      <c r="B28" s="72" t="s">
        <v>111</v>
      </c>
      <c r="C28" s="73">
        <v>7.6027569E7</v>
      </c>
      <c r="D28" s="73">
        <v>9.9334639E7</v>
      </c>
      <c r="E28" s="74">
        <v>282556.0</v>
      </c>
      <c r="F28" s="74">
        <v>2887996.0</v>
      </c>
      <c r="G28" s="74">
        <v>3504803.0</v>
      </c>
      <c r="H28" s="74">
        <v>4585040.0</v>
      </c>
      <c r="I28" s="74">
        <v>2.22732998E8</v>
      </c>
      <c r="J28" s="74">
        <v>7.6027569E7</v>
      </c>
      <c r="K28" s="74">
        <v>9.9334639E7</v>
      </c>
      <c r="L28" s="75">
        <v>282556.0</v>
      </c>
      <c r="M28" s="75">
        <v>2932461.0</v>
      </c>
      <c r="N28" s="75">
        <v>4044461.0</v>
      </c>
      <c r="O28" s="75">
        <v>5335753.0</v>
      </c>
      <c r="P28" s="75">
        <v>2.22732998E8</v>
      </c>
      <c r="Q28" s="75">
        <v>7.1622475E7</v>
      </c>
      <c r="R28" s="75">
        <v>1.10572449E8</v>
      </c>
      <c r="S28" s="76">
        <v>330632.0</v>
      </c>
      <c r="T28" s="76">
        <v>3081594.0</v>
      </c>
      <c r="U28" s="76">
        <v>5264481.0</v>
      </c>
      <c r="V28" s="76">
        <v>5481117.0</v>
      </c>
      <c r="W28" s="76">
        <v>2.22732998E8</v>
      </c>
      <c r="X28" s="76">
        <v>7.1017017E7</v>
      </c>
      <c r="Y28" s="76">
        <v>1.36474014E8</v>
      </c>
      <c r="Z28" s="67"/>
    </row>
    <row r="29" ht="20.25" customHeight="1">
      <c r="A29" s="72">
        <v>5.524249E7</v>
      </c>
      <c r="B29" s="72" t="s">
        <v>112</v>
      </c>
      <c r="C29" s="73">
        <v>7.562687E7</v>
      </c>
      <c r="D29" s="73">
        <v>1.615434611E9</v>
      </c>
      <c r="E29" s="74">
        <v>1.13227979E8</v>
      </c>
      <c r="F29" s="74">
        <v>4.7219298E7</v>
      </c>
      <c r="G29" s="74">
        <v>5.5268343E7</v>
      </c>
      <c r="H29" s="74">
        <v>1.2331828E7</v>
      </c>
      <c r="I29" s="74">
        <v>6.48576093E9</v>
      </c>
      <c r="J29" s="74">
        <v>7.562687E7</v>
      </c>
      <c r="K29" s="74">
        <v>1.615434611E9</v>
      </c>
      <c r="L29" s="75">
        <v>1.13254987E8</v>
      </c>
      <c r="M29" s="75">
        <v>4.7754846E7</v>
      </c>
      <c r="N29" s="75">
        <v>5.8185069E7</v>
      </c>
      <c r="O29" s="75">
        <v>1.2674985E7</v>
      </c>
      <c r="P29" s="75">
        <v>6.48576093E9</v>
      </c>
      <c r="Q29" s="75">
        <v>6.8654684E7</v>
      </c>
      <c r="R29" s="75">
        <v>1.679132713E9</v>
      </c>
      <c r="S29" s="76">
        <v>1.14227454E8</v>
      </c>
      <c r="T29" s="76">
        <v>5.0454194E7</v>
      </c>
      <c r="U29" s="76">
        <v>6.5056524E7</v>
      </c>
      <c r="V29" s="76">
        <v>1.3163643E7</v>
      </c>
      <c r="W29" s="76">
        <v>6.48576093E9</v>
      </c>
      <c r="X29" s="76">
        <v>7.0573379E7</v>
      </c>
      <c r="Y29" s="76">
        <v>1.84453319E9</v>
      </c>
      <c r="Z29" s="67"/>
    </row>
    <row r="30" ht="20.25" customHeight="1">
      <c r="A30" s="72">
        <v>1.71910225E8</v>
      </c>
      <c r="B30" s="72" t="s">
        <v>113</v>
      </c>
      <c r="C30" s="73">
        <v>7.5015953E7</v>
      </c>
      <c r="D30" s="73">
        <v>4.30647377E8</v>
      </c>
      <c r="E30" s="74">
        <v>2.2502587E7</v>
      </c>
      <c r="F30" s="74">
        <v>7065124.0</v>
      </c>
      <c r="G30" s="74">
        <v>1.7742213E7</v>
      </c>
      <c r="H30" s="74">
        <v>6976459.0</v>
      </c>
      <c r="I30" s="74">
        <v>2.418845765E9</v>
      </c>
      <c r="J30" s="74">
        <v>7.5015953E7</v>
      </c>
      <c r="K30" s="74">
        <v>4.30647377E8</v>
      </c>
      <c r="L30" s="75">
        <v>2.2502675E7</v>
      </c>
      <c r="M30" s="75">
        <v>7217629.0</v>
      </c>
      <c r="N30" s="75">
        <v>1.8857931E7</v>
      </c>
      <c r="O30" s="75">
        <v>7114134.0</v>
      </c>
      <c r="P30" s="75">
        <v>2.418845765E9</v>
      </c>
      <c r="Q30" s="75">
        <v>7.2858243E7</v>
      </c>
      <c r="R30" s="75">
        <v>4.54487349E8</v>
      </c>
      <c r="S30" s="76">
        <v>2.2576648E7</v>
      </c>
      <c r="T30" s="76">
        <v>7642300.0</v>
      </c>
      <c r="U30" s="76">
        <v>2.0293685E7</v>
      </c>
      <c r="V30" s="76">
        <v>7677992.0</v>
      </c>
      <c r="W30" s="76">
        <v>2.418845765E9</v>
      </c>
      <c r="X30" s="76">
        <v>7.3278294E7</v>
      </c>
      <c r="Y30" s="76">
        <v>4.87464451E8</v>
      </c>
      <c r="Z30" s="67"/>
    </row>
    <row r="31" ht="20.25" customHeight="1">
      <c r="A31" s="72">
        <v>1.7160984E8</v>
      </c>
      <c r="B31" s="72" t="s">
        <v>114</v>
      </c>
      <c r="C31" s="73">
        <v>7.4851331E7</v>
      </c>
      <c r="D31" s="73">
        <v>8.26712465E8</v>
      </c>
      <c r="E31" s="74">
        <v>4600996.0</v>
      </c>
      <c r="F31" s="74">
        <v>1.6315401E7</v>
      </c>
      <c r="G31" s="74">
        <v>3.2815096E7</v>
      </c>
      <c r="H31" s="74">
        <v>6091667.0</v>
      </c>
      <c r="I31" s="74">
        <v>4.47640079E8</v>
      </c>
      <c r="J31" s="74">
        <v>7.4851331E7</v>
      </c>
      <c r="K31" s="74">
        <v>8.26712465E8</v>
      </c>
      <c r="L31" s="75">
        <v>4622180.0</v>
      </c>
      <c r="M31" s="75">
        <v>1.7200862E7</v>
      </c>
      <c r="N31" s="75">
        <v>3.7663595E7</v>
      </c>
      <c r="O31" s="75">
        <v>6594301.0</v>
      </c>
      <c r="P31" s="75">
        <v>4.47640079E8</v>
      </c>
      <c r="Q31" s="75">
        <v>6.7015322E7</v>
      </c>
      <c r="R31" s="75">
        <v>9.3256527E8</v>
      </c>
      <c r="S31" s="76">
        <v>4659116.0</v>
      </c>
      <c r="T31" s="76">
        <v>1.845804E7</v>
      </c>
      <c r="U31" s="76">
        <v>4.2720117E7</v>
      </c>
      <c r="V31" s="76">
        <v>7275985.0</v>
      </c>
      <c r="W31" s="76">
        <v>4.57686079E8</v>
      </c>
      <c r="X31" s="76">
        <v>6.2060731E7</v>
      </c>
      <c r="Y31" s="76">
        <v>1.046303379E9</v>
      </c>
      <c r="Z31" s="67"/>
    </row>
    <row r="32" ht="20.25" customHeight="1">
      <c r="A32" s="72">
        <v>1.71972257E8</v>
      </c>
      <c r="B32" s="72" t="s">
        <v>115</v>
      </c>
      <c r="C32" s="73">
        <v>7.4694698E7</v>
      </c>
      <c r="D32" s="73">
        <v>8.42604472E8</v>
      </c>
      <c r="E32" s="74">
        <v>5.1472812E7</v>
      </c>
      <c r="F32" s="74">
        <v>3.0084399E7</v>
      </c>
      <c r="G32" s="74">
        <v>2.6224519E7</v>
      </c>
      <c r="H32" s="74">
        <v>6673505.0</v>
      </c>
      <c r="I32" s="74">
        <v>3.051253098E9</v>
      </c>
      <c r="J32" s="74">
        <v>7.4694698E7</v>
      </c>
      <c r="K32" s="74">
        <v>8.42604472E8</v>
      </c>
      <c r="L32" s="75">
        <v>5.1530228E7</v>
      </c>
      <c r="M32" s="75">
        <v>3.0537296E7</v>
      </c>
      <c r="N32" s="75">
        <v>2.799601E7</v>
      </c>
      <c r="O32" s="75">
        <v>7106676.0</v>
      </c>
      <c r="P32" s="75">
        <v>3.051253098E9</v>
      </c>
      <c r="Q32" s="75">
        <v>6.9033858E7</v>
      </c>
      <c r="R32" s="75">
        <v>8.82612707E8</v>
      </c>
      <c r="S32" s="76">
        <v>5.1536185E7</v>
      </c>
      <c r="T32" s="76">
        <v>3.1264285E7</v>
      </c>
      <c r="U32" s="76">
        <v>3.0482771E7</v>
      </c>
      <c r="V32" s="76">
        <v>7688605.0</v>
      </c>
      <c r="W32" s="76">
        <v>3.051253098E9</v>
      </c>
      <c r="X32" s="76">
        <v>6.5638315E7</v>
      </c>
      <c r="Y32" s="76">
        <v>9.39624187E8</v>
      </c>
      <c r="Z32" s="67"/>
    </row>
    <row r="33" ht="20.25" customHeight="1">
      <c r="A33" s="72">
        <v>1.71927851E8</v>
      </c>
      <c r="B33" s="72" t="s">
        <v>116</v>
      </c>
      <c r="C33" s="73">
        <v>7.4400969E7</v>
      </c>
      <c r="D33" s="73">
        <v>4.1514384E8</v>
      </c>
      <c r="E33" s="74">
        <v>9984140.0</v>
      </c>
      <c r="F33" s="74">
        <v>6563303.0</v>
      </c>
      <c r="G33" s="74">
        <v>1.7293003E7</v>
      </c>
      <c r="H33" s="74">
        <v>3361607.0</v>
      </c>
      <c r="I33" s="74">
        <v>1.74488E8</v>
      </c>
      <c r="J33" s="74">
        <v>7.4400969E7</v>
      </c>
      <c r="K33" s="74">
        <v>4.1514384E8</v>
      </c>
      <c r="L33" s="75">
        <v>9984140.0</v>
      </c>
      <c r="M33" s="75">
        <v>6657821.0</v>
      </c>
      <c r="N33" s="75">
        <v>1.798501E7</v>
      </c>
      <c r="O33" s="75">
        <v>3416513.0</v>
      </c>
      <c r="P33" s="75">
        <v>1.74488E8</v>
      </c>
      <c r="Q33" s="75">
        <v>7.2416391E7</v>
      </c>
      <c r="R33" s="75">
        <v>4.2992916E8</v>
      </c>
      <c r="S33" s="76">
        <v>9984140.0</v>
      </c>
      <c r="T33" s="76">
        <v>6657821.0</v>
      </c>
      <c r="U33" s="76">
        <v>1.798501E7</v>
      </c>
      <c r="V33" s="76">
        <v>3416513.0</v>
      </c>
      <c r="W33" s="76">
        <v>1.74488E8</v>
      </c>
      <c r="X33" s="76">
        <v>7.5177476E7</v>
      </c>
      <c r="Y33" s="76">
        <v>4.2992916E8</v>
      </c>
      <c r="Z33" s="67"/>
    </row>
    <row r="34" ht="20.25" customHeight="1">
      <c r="A34" s="72">
        <v>1.70728362E8</v>
      </c>
      <c r="B34" s="72" t="s">
        <v>117</v>
      </c>
      <c r="C34" s="73">
        <v>7.3416348E7</v>
      </c>
      <c r="D34" s="73">
        <v>6.64639119E8</v>
      </c>
      <c r="E34" s="74">
        <v>1.0706986E7</v>
      </c>
      <c r="F34" s="74">
        <v>1.7253894E7</v>
      </c>
      <c r="G34" s="74">
        <v>2.3882611E7</v>
      </c>
      <c r="H34" s="74">
        <v>1.0574343E7</v>
      </c>
      <c r="I34" s="74">
        <v>7.279580133E9</v>
      </c>
      <c r="J34" s="74">
        <v>7.3416348E7</v>
      </c>
      <c r="K34" s="74">
        <v>6.64639119E8</v>
      </c>
      <c r="L34" s="75">
        <v>1.0706986E7</v>
      </c>
      <c r="M34" s="75">
        <v>1.7528389E7</v>
      </c>
      <c r="N34" s="75">
        <v>2.6978585E7</v>
      </c>
      <c r="O34" s="75">
        <v>1.0844733E7</v>
      </c>
      <c r="P34" s="75">
        <v>7.279580133E9</v>
      </c>
      <c r="Q34" s="75">
        <v>7.092356E7</v>
      </c>
      <c r="R34" s="75">
        <v>7.29306165E8</v>
      </c>
      <c r="S34" s="76">
        <v>1.0707246E7</v>
      </c>
      <c r="T34" s="76">
        <v>1.8720907E7</v>
      </c>
      <c r="U34" s="76">
        <v>3.4337885E7</v>
      </c>
      <c r="V34" s="76">
        <v>1.1265599E7</v>
      </c>
      <c r="W34" s="76">
        <v>8.019580196E9</v>
      </c>
      <c r="X34" s="76">
        <v>6.9518172E7</v>
      </c>
      <c r="Y34" s="76">
        <v>8.88418699E8</v>
      </c>
      <c r="Z34" s="67"/>
    </row>
    <row r="35" ht="20.25" customHeight="1">
      <c r="A35" s="72">
        <v>1.70866748E8</v>
      </c>
      <c r="B35" s="72" t="s">
        <v>118</v>
      </c>
      <c r="C35" s="73">
        <v>7.2944903E7</v>
      </c>
      <c r="D35" s="73">
        <v>8.44208113E8</v>
      </c>
      <c r="E35" s="74">
        <v>1168639.0</v>
      </c>
      <c r="F35" s="74">
        <v>1.114827E7</v>
      </c>
      <c r="G35" s="74">
        <v>3.6559811E7</v>
      </c>
      <c r="H35" s="74">
        <v>6437448.0</v>
      </c>
      <c r="I35" s="74">
        <v>3.627127733E9</v>
      </c>
      <c r="J35" s="74">
        <v>7.2944903E7</v>
      </c>
      <c r="K35" s="74">
        <v>8.44208113E8</v>
      </c>
      <c r="L35" s="75">
        <v>1168726.0</v>
      </c>
      <c r="M35" s="75">
        <v>1.141326E7</v>
      </c>
      <c r="N35" s="75">
        <v>3.9876803E7</v>
      </c>
      <c r="O35" s="75">
        <v>6618764.0</v>
      </c>
      <c r="P35" s="75">
        <v>3.627127733E9</v>
      </c>
      <c r="Q35" s="75">
        <v>7.2663939E7</v>
      </c>
      <c r="R35" s="75">
        <v>9.13197871E8</v>
      </c>
      <c r="S35" s="76">
        <v>1168807.0</v>
      </c>
      <c r="T35" s="76">
        <v>1.2010014E7</v>
      </c>
      <c r="U35" s="76">
        <v>4.6276835E7</v>
      </c>
      <c r="V35" s="76">
        <v>7001653.0</v>
      </c>
      <c r="W35" s="76">
        <v>3.627127733E9</v>
      </c>
      <c r="X35" s="76">
        <v>6.8772995E7</v>
      </c>
      <c r="Y35" s="76">
        <v>1.047166515E9</v>
      </c>
      <c r="Z35" s="67"/>
    </row>
    <row r="36" ht="20.25" customHeight="1">
      <c r="A36" s="72">
        <v>7887352.0</v>
      </c>
      <c r="B36" s="72" t="s">
        <v>119</v>
      </c>
      <c r="C36" s="73">
        <v>7.2698353E7</v>
      </c>
      <c r="D36" s="73">
        <v>2.328650208E9</v>
      </c>
      <c r="E36" s="74">
        <v>3.4858211E7</v>
      </c>
      <c r="F36" s="74">
        <v>7.3514181E7</v>
      </c>
      <c r="G36" s="74">
        <v>7.9074769E7</v>
      </c>
      <c r="H36" s="74">
        <v>1.8224463E7</v>
      </c>
      <c r="I36" s="74">
        <v>1.2713533366E10</v>
      </c>
      <c r="J36" s="74">
        <v>7.2698353E7</v>
      </c>
      <c r="K36" s="74">
        <v>2.328650208E9</v>
      </c>
      <c r="L36" s="75">
        <v>3.4858212E7</v>
      </c>
      <c r="M36" s="75">
        <v>7.3514181E7</v>
      </c>
      <c r="N36" s="75">
        <v>7.9074769E7</v>
      </c>
      <c r="O36" s="75">
        <v>1.8224463E7</v>
      </c>
      <c r="P36" s="75">
        <v>1.2713533366E10</v>
      </c>
      <c r="Q36" s="75">
        <v>7.2762353E7</v>
      </c>
      <c r="R36" s="75">
        <v>2.328650208E9</v>
      </c>
      <c r="S36" s="76">
        <v>3.4858212E7</v>
      </c>
      <c r="T36" s="76">
        <v>7.3514181E7</v>
      </c>
      <c r="U36" s="76">
        <v>7.9074769E7</v>
      </c>
      <c r="V36" s="76">
        <v>1.8224463E7</v>
      </c>
      <c r="W36" s="76">
        <v>1.2713533366E10</v>
      </c>
      <c r="X36" s="76">
        <v>7.2762353E7</v>
      </c>
      <c r="Y36" s="76">
        <v>2.328650208E9</v>
      </c>
      <c r="Z36" s="67"/>
    </row>
    <row r="37" ht="20.25" customHeight="1">
      <c r="A37" s="72">
        <v>1.39292614E8</v>
      </c>
      <c r="B37" s="72" t="s">
        <v>120</v>
      </c>
      <c r="C37" s="73">
        <v>7.1686951E7</v>
      </c>
      <c r="D37" s="73">
        <v>8.83646319E8</v>
      </c>
      <c r="E37" s="74">
        <v>1.9711409E7</v>
      </c>
      <c r="F37" s="74">
        <v>1.8011303E7</v>
      </c>
      <c r="G37" s="74">
        <v>3.4512602E7</v>
      </c>
      <c r="H37" s="74">
        <v>1.2155875E7</v>
      </c>
      <c r="I37" s="74">
        <v>4.658817481E9</v>
      </c>
      <c r="J37" s="74">
        <v>7.1686951E7</v>
      </c>
      <c r="K37" s="74">
        <v>8.83646319E8</v>
      </c>
      <c r="L37" s="75">
        <v>1.9711776E7</v>
      </c>
      <c r="M37" s="75">
        <v>1.8592549E7</v>
      </c>
      <c r="N37" s="75">
        <v>3.9489432E7</v>
      </c>
      <c r="O37" s="75">
        <v>1.2654645E7</v>
      </c>
      <c r="P37" s="75">
        <v>4.658817481E9</v>
      </c>
      <c r="Q37" s="75">
        <v>6.6776669E7</v>
      </c>
      <c r="R37" s="75">
        <v>9.88995453E8</v>
      </c>
      <c r="S37" s="76">
        <v>1.9711811E7</v>
      </c>
      <c r="T37" s="76">
        <v>1.8747608E7</v>
      </c>
      <c r="U37" s="76">
        <v>4.0632759E7</v>
      </c>
      <c r="V37" s="76">
        <v>1.274362E7</v>
      </c>
      <c r="W37" s="76">
        <v>4.658817481E9</v>
      </c>
      <c r="X37" s="76">
        <v>6.7213851E7</v>
      </c>
      <c r="Y37" s="76">
        <v>1.013412664E9</v>
      </c>
      <c r="Z37" s="67"/>
    </row>
    <row r="38" ht="20.25" customHeight="1">
      <c r="A38" s="72">
        <v>1.67614515E8</v>
      </c>
      <c r="B38" s="72" t="s">
        <v>121</v>
      </c>
      <c r="C38" s="73">
        <v>7.1153154E7</v>
      </c>
      <c r="D38" s="73">
        <v>2.75913656E8</v>
      </c>
      <c r="E38" s="74">
        <v>1278522.0</v>
      </c>
      <c r="F38" s="74">
        <v>1.3693464E7</v>
      </c>
      <c r="G38" s="74">
        <v>6793764.0</v>
      </c>
      <c r="H38" s="74">
        <v>7447527.0</v>
      </c>
      <c r="I38" s="74">
        <v>8.08253053E8</v>
      </c>
      <c r="J38" s="74">
        <v>7.1153154E7</v>
      </c>
      <c r="K38" s="74">
        <v>2.75913656E8</v>
      </c>
      <c r="L38" s="75">
        <v>1278522.0</v>
      </c>
      <c r="M38" s="75">
        <v>1.3821939E7</v>
      </c>
      <c r="N38" s="75">
        <v>7762819.0</v>
      </c>
      <c r="O38" s="75">
        <v>7619613.0</v>
      </c>
      <c r="P38" s="75">
        <v>8.08253053E8</v>
      </c>
      <c r="Q38" s="75">
        <v>6.731978E7</v>
      </c>
      <c r="R38" s="75">
        <v>2.96579506E8</v>
      </c>
      <c r="S38" s="76">
        <v>1278522.0</v>
      </c>
      <c r="T38" s="76">
        <v>1.3821939E7</v>
      </c>
      <c r="U38" s="76">
        <v>7762819.0</v>
      </c>
      <c r="V38" s="76">
        <v>7619613.0</v>
      </c>
      <c r="W38" s="76">
        <v>8.08253053E8</v>
      </c>
      <c r="X38" s="76">
        <v>7.3439026E7</v>
      </c>
      <c r="Y38" s="76">
        <v>2.96579506E8</v>
      </c>
      <c r="Z38" s="67"/>
    </row>
    <row r="39" ht="20.25" customHeight="1">
      <c r="A39" s="72">
        <v>1.68923934E8</v>
      </c>
      <c r="B39" s="72" t="s">
        <v>122</v>
      </c>
      <c r="C39" s="73">
        <v>6.9587299E7</v>
      </c>
      <c r="D39" s="73">
        <v>8.67985514E8</v>
      </c>
      <c r="E39" s="74">
        <v>4.4734012E7</v>
      </c>
      <c r="F39" s="74">
        <v>3.4727482E7</v>
      </c>
      <c r="G39" s="74">
        <v>2.3567063E7</v>
      </c>
      <c r="H39" s="74">
        <v>6005234.0</v>
      </c>
      <c r="I39" s="74">
        <v>5.27581842E8</v>
      </c>
      <c r="J39" s="74">
        <v>6.9587299E7</v>
      </c>
      <c r="K39" s="74">
        <v>8.67985514E8</v>
      </c>
      <c r="L39" s="75">
        <v>4.4823098E7</v>
      </c>
      <c r="M39" s="75">
        <v>3.5086248E7</v>
      </c>
      <c r="N39" s="75">
        <v>2.6868143E7</v>
      </c>
      <c r="O39" s="75">
        <v>6069247.0</v>
      </c>
      <c r="P39" s="75">
        <v>5.27581842E8</v>
      </c>
      <c r="Q39" s="75">
        <v>6.9016818E7</v>
      </c>
      <c r="R39" s="75">
        <v>9.37625255E8</v>
      </c>
      <c r="S39" s="76">
        <v>4.5269479E7</v>
      </c>
      <c r="T39" s="76">
        <v>3.8094122E7</v>
      </c>
      <c r="U39" s="76">
        <v>3.6106393E7</v>
      </c>
      <c r="V39" s="76">
        <v>7736794.0</v>
      </c>
      <c r="W39" s="76">
        <v>5.27581842E8</v>
      </c>
      <c r="X39" s="76">
        <v>7.7716675E7</v>
      </c>
      <c r="Y39" s="76">
        <v>1.152786125E9</v>
      </c>
      <c r="Z39" s="67"/>
    </row>
    <row r="40" ht="20.25" customHeight="1">
      <c r="A40" s="72">
        <v>1.71697263E8</v>
      </c>
      <c r="B40" s="72" t="s">
        <v>123</v>
      </c>
      <c r="C40" s="73">
        <v>6.9260369E7</v>
      </c>
      <c r="D40" s="73">
        <v>6.11231562E8</v>
      </c>
      <c r="E40" s="74">
        <v>1.7271864E7</v>
      </c>
      <c r="F40" s="74">
        <v>2.1497607E7</v>
      </c>
      <c r="G40" s="74">
        <v>1.9564449E7</v>
      </c>
      <c r="H40" s="74">
        <v>1.1782229E7</v>
      </c>
      <c r="I40" s="74">
        <v>1.506938351E9</v>
      </c>
      <c r="J40" s="74">
        <v>6.9260369E7</v>
      </c>
      <c r="K40" s="74">
        <v>6.11231562E8</v>
      </c>
      <c r="L40" s="75">
        <v>1.7297904E7</v>
      </c>
      <c r="M40" s="75">
        <v>2.268364E7</v>
      </c>
      <c r="N40" s="75">
        <v>2.4572413E7</v>
      </c>
      <c r="O40" s="75">
        <v>1.312561E7</v>
      </c>
      <c r="P40" s="75">
        <v>1.506938351E9</v>
      </c>
      <c r="Q40" s="75">
        <v>6.0084577E7</v>
      </c>
      <c r="R40" s="75">
        <v>7.23270318E8</v>
      </c>
      <c r="S40" s="76">
        <v>1.736944E7</v>
      </c>
      <c r="T40" s="76">
        <v>2.376906E7</v>
      </c>
      <c r="U40" s="76">
        <v>2.9253576E7</v>
      </c>
      <c r="V40" s="76">
        <v>1.3724434E7</v>
      </c>
      <c r="W40" s="76">
        <v>1.506938351E9</v>
      </c>
      <c r="X40" s="76">
        <v>5.9861978E7</v>
      </c>
      <c r="Y40" s="76">
        <v>8.27805832E8</v>
      </c>
      <c r="Z40" s="67"/>
    </row>
    <row r="41" ht="20.25" customHeight="1">
      <c r="A41" s="72">
        <v>1.68091444E8</v>
      </c>
      <c r="B41" s="72" t="s">
        <v>124</v>
      </c>
      <c r="C41" s="73">
        <v>6.8815539E7</v>
      </c>
      <c r="D41" s="73">
        <v>1.71471368E8</v>
      </c>
      <c r="E41" s="74">
        <v>422653.0</v>
      </c>
      <c r="F41" s="74">
        <v>7816284.0</v>
      </c>
      <c r="G41" s="74">
        <v>4601258.0</v>
      </c>
      <c r="H41" s="74">
        <v>8385440.0</v>
      </c>
      <c r="I41" s="74">
        <v>8.76128414E8</v>
      </c>
      <c r="J41" s="74">
        <v>6.8815539E7</v>
      </c>
      <c r="K41" s="74">
        <v>1.71471368E8</v>
      </c>
      <c r="L41" s="75">
        <v>423075.0</v>
      </c>
      <c r="M41" s="75">
        <v>8093563.0</v>
      </c>
      <c r="N41" s="75">
        <v>5913884.0</v>
      </c>
      <c r="O41" s="75">
        <v>9637969.0</v>
      </c>
      <c r="P41" s="75">
        <v>8.76128414E8</v>
      </c>
      <c r="Q41" s="75">
        <v>6.2172581E7</v>
      </c>
      <c r="R41" s="75">
        <v>2.00497287E8</v>
      </c>
      <c r="S41" s="76">
        <v>423267.0</v>
      </c>
      <c r="T41" s="76">
        <v>8133038.0</v>
      </c>
      <c r="U41" s="76">
        <v>6011188.0</v>
      </c>
      <c r="V41" s="76">
        <v>9802340.0</v>
      </c>
      <c r="W41" s="76">
        <v>8.76128414E8</v>
      </c>
      <c r="X41" s="76">
        <v>6.4035361E7</v>
      </c>
      <c r="Y41" s="76">
        <v>2.02838347E8</v>
      </c>
      <c r="Z41" s="67"/>
    </row>
    <row r="42" ht="20.25" customHeight="1">
      <c r="A42" s="72">
        <v>1.4461836E8</v>
      </c>
      <c r="B42" s="72" t="s">
        <v>125</v>
      </c>
      <c r="C42" s="73">
        <v>6.4545425E7</v>
      </c>
      <c r="D42" s="73">
        <v>3.52591839E8</v>
      </c>
      <c r="E42" s="74">
        <v>1739859.0</v>
      </c>
      <c r="F42" s="74">
        <v>1.1033288E7</v>
      </c>
      <c r="G42" s="74">
        <v>1.1919022E7</v>
      </c>
      <c r="H42" s="74">
        <v>4104030.0</v>
      </c>
      <c r="I42" s="74">
        <v>8.36487787E8</v>
      </c>
      <c r="J42" s="74">
        <v>6.4545425E7</v>
      </c>
      <c r="K42" s="74">
        <v>3.52591839E8</v>
      </c>
      <c r="L42" s="75">
        <v>1972898.0</v>
      </c>
      <c r="M42" s="75">
        <v>1.1480595E7</v>
      </c>
      <c r="N42" s="75">
        <v>1.4738348E7</v>
      </c>
      <c r="O42" s="75">
        <v>4560802.0</v>
      </c>
      <c r="P42" s="75">
        <v>8.36487787E8</v>
      </c>
      <c r="Q42" s="75">
        <v>6.2342427E7</v>
      </c>
      <c r="R42" s="75">
        <v>4.13597455E8</v>
      </c>
      <c r="S42" s="76">
        <v>2041471.0</v>
      </c>
      <c r="T42" s="76">
        <v>1.2185882E7</v>
      </c>
      <c r="U42" s="76">
        <v>1.7145322E7</v>
      </c>
      <c r="V42" s="76">
        <v>4962015.0</v>
      </c>
      <c r="W42" s="76">
        <v>8.36487787E8</v>
      </c>
      <c r="X42" s="76">
        <v>6.2267521E7</v>
      </c>
      <c r="Y42" s="76">
        <v>4.68826008E8</v>
      </c>
      <c r="Z42" s="67"/>
    </row>
    <row r="43" ht="20.25" customHeight="1">
      <c r="A43" s="72">
        <v>1.61646318E8</v>
      </c>
      <c r="B43" s="72" t="s">
        <v>126</v>
      </c>
      <c r="C43" s="73">
        <v>6.3722281E7</v>
      </c>
      <c r="D43" s="73">
        <v>3.33413092E8</v>
      </c>
      <c r="E43" s="74">
        <v>782454.0</v>
      </c>
      <c r="F43" s="74">
        <v>1.1925944E7</v>
      </c>
      <c r="G43" s="74">
        <v>1.0625647E7</v>
      </c>
      <c r="H43" s="74">
        <v>8273511.0</v>
      </c>
      <c r="I43" s="74">
        <v>2.67164973E9</v>
      </c>
      <c r="J43" s="74">
        <v>6.3722281E7</v>
      </c>
      <c r="K43" s="74">
        <v>3.33413092E8</v>
      </c>
      <c r="L43" s="75">
        <v>842576.0</v>
      </c>
      <c r="M43" s="75">
        <v>1.2523602E7</v>
      </c>
      <c r="N43" s="75">
        <v>1.214883E7</v>
      </c>
      <c r="O43" s="75">
        <v>9121418.0</v>
      </c>
      <c r="P43" s="75">
        <v>2.67164973E9</v>
      </c>
      <c r="Q43" s="75">
        <v>5.862841E7</v>
      </c>
      <c r="R43" s="75">
        <v>3.69949141E8</v>
      </c>
      <c r="S43" s="76">
        <v>853896.0</v>
      </c>
      <c r="T43" s="76">
        <v>1.3052275E7</v>
      </c>
      <c r="U43" s="76">
        <v>1.2969703E7</v>
      </c>
      <c r="V43" s="76">
        <v>9695324.0</v>
      </c>
      <c r="W43" s="76">
        <v>2.67164973E9</v>
      </c>
      <c r="X43" s="76">
        <v>5.569214E7</v>
      </c>
      <c r="Y43" s="76">
        <v>3.91668097E8</v>
      </c>
      <c r="Z43" s="67"/>
    </row>
    <row r="44" ht="20.25" customHeight="1">
      <c r="A44" s="72">
        <v>1.69672885E8</v>
      </c>
      <c r="B44" s="72" t="s">
        <v>127</v>
      </c>
      <c r="C44" s="73">
        <v>6.2144212E7</v>
      </c>
      <c r="D44" s="73">
        <v>5.22474907E8</v>
      </c>
      <c r="E44" s="74">
        <v>8864676.0</v>
      </c>
      <c r="F44" s="74">
        <v>2.0033097E7</v>
      </c>
      <c r="G44" s="74">
        <v>1.5396297E7</v>
      </c>
      <c r="H44" s="74">
        <v>9515959.0</v>
      </c>
      <c r="I44" s="74">
        <v>6.311989827E9</v>
      </c>
      <c r="J44" s="74">
        <v>6.2144212E7</v>
      </c>
      <c r="K44" s="74">
        <v>5.22474907E8</v>
      </c>
      <c r="L44" s="75">
        <v>8864752.0</v>
      </c>
      <c r="M44" s="75">
        <v>2.0257326E7</v>
      </c>
      <c r="N44" s="75">
        <v>1.6501223E7</v>
      </c>
      <c r="O44" s="75">
        <v>9700253.0</v>
      </c>
      <c r="P44" s="75">
        <v>6.311989827E9</v>
      </c>
      <c r="Q44" s="75">
        <v>6.057348E7</v>
      </c>
      <c r="R44" s="75">
        <v>5.46815732E8</v>
      </c>
      <c r="S44" s="76">
        <v>9556088.0</v>
      </c>
      <c r="T44" s="76">
        <v>2.181911E7</v>
      </c>
      <c r="U44" s="76">
        <v>2.064472E7</v>
      </c>
      <c r="V44" s="76">
        <v>1.0265334E7</v>
      </c>
      <c r="W44" s="76">
        <v>6.55198983E9</v>
      </c>
      <c r="X44" s="76">
        <v>5.8172762E7</v>
      </c>
      <c r="Y44" s="76">
        <v>6.45556233E8</v>
      </c>
      <c r="Z44" s="67"/>
    </row>
    <row r="45" ht="20.25" customHeight="1">
      <c r="A45" s="72">
        <v>1.36662717E8</v>
      </c>
      <c r="B45" s="72" t="s">
        <v>128</v>
      </c>
      <c r="C45" s="73">
        <v>5.5099051E7</v>
      </c>
      <c r="D45" s="73">
        <v>8.34750759E8</v>
      </c>
      <c r="E45" s="74">
        <v>9073525.0</v>
      </c>
      <c r="F45" s="74">
        <v>2.4078815E7</v>
      </c>
      <c r="G45" s="74">
        <v>2.9251429E7</v>
      </c>
      <c r="H45" s="74">
        <v>7043178.0</v>
      </c>
      <c r="I45" s="74">
        <v>6.393611637E9</v>
      </c>
      <c r="J45" s="74">
        <v>5.5099051E7</v>
      </c>
      <c r="K45" s="74">
        <v>8.34750759E8</v>
      </c>
      <c r="L45" s="75">
        <v>9074007.0</v>
      </c>
      <c r="M45" s="75">
        <v>2.4362708E7</v>
      </c>
      <c r="N45" s="75">
        <v>3.3718491E7</v>
      </c>
      <c r="O45" s="75">
        <v>7126879.0</v>
      </c>
      <c r="P45" s="75">
        <v>6.393611637E9</v>
      </c>
      <c r="Q45" s="75">
        <v>5.4812959E7</v>
      </c>
      <c r="R45" s="75">
        <v>9.26932117E8</v>
      </c>
      <c r="S45" s="76">
        <v>9074440.0</v>
      </c>
      <c r="T45" s="76">
        <v>2.5810678E7</v>
      </c>
      <c r="U45" s="76">
        <v>4.0838011E7</v>
      </c>
      <c r="V45" s="76">
        <v>8097804.0</v>
      </c>
      <c r="W45" s="76">
        <v>6.393611637E9</v>
      </c>
      <c r="X45" s="76">
        <v>5.2278441E7</v>
      </c>
      <c r="Y45" s="76">
        <v>1.083803066E9</v>
      </c>
      <c r="Z45" s="67"/>
    </row>
    <row r="46" ht="20.25" customHeight="1">
      <c r="A46" s="72">
        <v>1.76044158E8</v>
      </c>
      <c r="B46" s="72" t="s">
        <v>129</v>
      </c>
      <c r="C46" s="73">
        <v>5.4687779E7</v>
      </c>
      <c r="D46" s="73">
        <v>2.26567572E8</v>
      </c>
      <c r="E46" s="74">
        <v>1095933.0</v>
      </c>
      <c r="F46" s="74">
        <v>5286856.0</v>
      </c>
      <c r="G46" s="74">
        <v>8646306.0</v>
      </c>
      <c r="H46" s="74">
        <v>7398619.0</v>
      </c>
      <c r="I46" s="74">
        <v>6.004536539E9</v>
      </c>
      <c r="J46" s="74">
        <v>5.4687779E7</v>
      </c>
      <c r="K46" s="74">
        <v>2.26567572E8</v>
      </c>
      <c r="L46" s="75">
        <v>1100956.0</v>
      </c>
      <c r="M46" s="75">
        <v>5754983.0</v>
      </c>
      <c r="N46" s="75">
        <v>1.021023E7</v>
      </c>
      <c r="O46" s="75">
        <v>8162487.0</v>
      </c>
      <c r="P46" s="75">
        <v>6.214536539E9</v>
      </c>
      <c r="Q46" s="75">
        <v>5.2878571E7</v>
      </c>
      <c r="R46" s="75">
        <v>2.62529511E8</v>
      </c>
      <c r="S46" s="76">
        <v>1192521.0</v>
      </c>
      <c r="T46" s="76">
        <v>6353073.0</v>
      </c>
      <c r="U46" s="76">
        <v>1.1944924E7</v>
      </c>
      <c r="V46" s="76">
        <v>9027708.0</v>
      </c>
      <c r="W46" s="76">
        <v>6.214536539E9</v>
      </c>
      <c r="X46" s="76">
        <v>5.1668726E7</v>
      </c>
      <c r="Y46" s="76">
        <v>3.03254558E8</v>
      </c>
      <c r="Z46" s="67"/>
    </row>
    <row r="47" ht="20.25" customHeight="1">
      <c r="A47" s="72">
        <v>1.72029365E8</v>
      </c>
      <c r="B47" s="72" t="s">
        <v>130</v>
      </c>
      <c r="C47" s="73">
        <v>5.0665745E7</v>
      </c>
      <c r="D47" s="73">
        <v>2.85743702E8</v>
      </c>
      <c r="E47" s="74">
        <v>934834.0</v>
      </c>
      <c r="F47" s="74">
        <v>7362894.0</v>
      </c>
      <c r="G47" s="74">
        <v>1.0508708E7</v>
      </c>
      <c r="H47" s="74">
        <v>1.0754977E7</v>
      </c>
      <c r="I47" s="74">
        <v>1.799311746E9</v>
      </c>
      <c r="J47" s="74">
        <v>5.0665745E7</v>
      </c>
      <c r="K47" s="74">
        <v>2.85743702E8</v>
      </c>
      <c r="L47" s="75">
        <v>1040029.0</v>
      </c>
      <c r="M47" s="75">
        <v>7765744.0</v>
      </c>
      <c r="N47" s="75">
        <v>1.1602603E7</v>
      </c>
      <c r="O47" s="75">
        <v>1.12174E7</v>
      </c>
      <c r="P47" s="75">
        <v>1.799311746E9</v>
      </c>
      <c r="Q47" s="75">
        <v>4.8942993E7</v>
      </c>
      <c r="R47" s="75">
        <v>3.11676345E8</v>
      </c>
      <c r="S47" s="76">
        <v>1063644.0</v>
      </c>
      <c r="T47" s="76">
        <v>8126110.0</v>
      </c>
      <c r="U47" s="76">
        <v>1.2823622E7</v>
      </c>
      <c r="V47" s="76">
        <v>1.1778911E7</v>
      </c>
      <c r="W47" s="76">
        <v>1.799311746E9</v>
      </c>
      <c r="X47" s="76">
        <v>4.8235452E7</v>
      </c>
      <c r="Y47" s="76">
        <v>3.39708236E8</v>
      </c>
      <c r="Z47" s="67"/>
    </row>
    <row r="48" ht="20.25" customHeight="1">
      <c r="A48" s="72">
        <v>1.4361245E8</v>
      </c>
      <c r="B48" s="72" t="s">
        <v>131</v>
      </c>
      <c r="C48" s="73">
        <v>4.9554865E7</v>
      </c>
      <c r="D48" s="73">
        <v>8.61220138E8</v>
      </c>
      <c r="E48" s="74">
        <v>5049030.0</v>
      </c>
      <c r="F48" s="74">
        <v>3.1751283E7</v>
      </c>
      <c r="G48" s="74">
        <v>2.6495031E7</v>
      </c>
      <c r="H48" s="74">
        <v>5721718.0</v>
      </c>
      <c r="I48" s="74">
        <v>7.191666033E9</v>
      </c>
      <c r="J48" s="74">
        <v>4.9554865E7</v>
      </c>
      <c r="K48" s="74">
        <v>8.61220138E8</v>
      </c>
      <c r="L48" s="75">
        <v>5049036.0</v>
      </c>
      <c r="M48" s="75">
        <v>3.1952533E7</v>
      </c>
      <c r="N48" s="75">
        <v>2.8641367E7</v>
      </c>
      <c r="O48" s="75">
        <v>5782799.0</v>
      </c>
      <c r="P48" s="75">
        <v>7.191666033E9</v>
      </c>
      <c r="Q48" s="75">
        <v>4.9110059E7</v>
      </c>
      <c r="R48" s="75">
        <v>9.06159691E8</v>
      </c>
      <c r="S48" s="76">
        <v>5049573.0</v>
      </c>
      <c r="T48" s="76">
        <v>3.3262746E7</v>
      </c>
      <c r="U48" s="76">
        <v>3.6984857E7</v>
      </c>
      <c r="V48" s="76">
        <v>6732568.0</v>
      </c>
      <c r="W48" s="76">
        <v>7.191666033E9</v>
      </c>
      <c r="X48" s="76">
        <v>6.9036342E7</v>
      </c>
      <c r="Y48" s="76">
        <v>1.086140242E9</v>
      </c>
      <c r="Z48" s="67"/>
    </row>
    <row r="49" ht="20.25" customHeight="1">
      <c r="A49" s="72">
        <v>1.81734011E8</v>
      </c>
      <c r="B49" s="72" t="s">
        <v>132</v>
      </c>
      <c r="C49" s="73">
        <v>3.6684245E7</v>
      </c>
      <c r="D49" s="73">
        <v>1.15169958E8</v>
      </c>
      <c r="E49" s="74">
        <v>409183.0</v>
      </c>
      <c r="F49" s="74">
        <v>4287688.0</v>
      </c>
      <c r="G49" s="74">
        <v>3417500.0</v>
      </c>
      <c r="H49" s="74">
        <v>3934649.0</v>
      </c>
      <c r="I49" s="74">
        <v>2.99070086E8</v>
      </c>
      <c r="J49" s="74">
        <v>3.6684245E7</v>
      </c>
      <c r="K49" s="74">
        <v>1.15169958E8</v>
      </c>
      <c r="L49" s="75">
        <v>572017.0</v>
      </c>
      <c r="M49" s="75">
        <v>5075264.0</v>
      </c>
      <c r="N49" s="75">
        <v>4210809.0</v>
      </c>
      <c r="O49" s="75">
        <v>4668689.0</v>
      </c>
      <c r="P49" s="75">
        <v>2.99070086E8</v>
      </c>
      <c r="Q49" s="75">
        <v>3.3480341E7</v>
      </c>
      <c r="R49" s="75">
        <v>1.38977963E8</v>
      </c>
      <c r="S49" s="76">
        <v>680829.0</v>
      </c>
      <c r="T49" s="76">
        <v>5487971.0</v>
      </c>
      <c r="U49" s="76">
        <v>4977658.0</v>
      </c>
      <c r="V49" s="76">
        <v>5248935.0</v>
      </c>
      <c r="W49" s="76">
        <v>2.99070086E8</v>
      </c>
      <c r="X49" s="76">
        <v>3.2392119E7</v>
      </c>
      <c r="Y49" s="76">
        <v>1.58474683E8</v>
      </c>
      <c r="Z49" s="67"/>
    </row>
    <row r="50" ht="20.25" customHeight="1">
      <c r="A50" s="77"/>
      <c r="B50" s="7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20.25" customHeight="1">
      <c r="A51" s="77"/>
      <c r="B51" s="7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20.25" customHeight="1">
      <c r="A52" s="77"/>
      <c r="B52" s="7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20.25" customHeight="1">
      <c r="A53" s="77"/>
      <c r="B53" s="7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20.25" customHeight="1">
      <c r="A54" s="77"/>
      <c r="B54" s="7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20.25" customHeight="1">
      <c r="A55" s="77"/>
      <c r="B55" s="7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20.25" customHeight="1">
      <c r="A56" s="77"/>
      <c r="B56" s="7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20.25" customHeight="1">
      <c r="A57" s="77"/>
      <c r="B57" s="7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20.25" customHeight="1">
      <c r="A58" s="77"/>
      <c r="B58" s="7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20.25" customHeight="1">
      <c r="A59" s="77"/>
      <c r="B59" s="7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20.25" customHeight="1">
      <c r="A60" s="77"/>
      <c r="B60" s="7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20.25" customHeight="1">
      <c r="A61" s="77"/>
      <c r="B61" s="7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20.25" customHeight="1">
      <c r="A62" s="77"/>
      <c r="B62" s="7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20.25" customHeight="1">
      <c r="A63" s="77"/>
      <c r="B63" s="7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20.25" customHeight="1">
      <c r="A64" s="77"/>
      <c r="B64" s="7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20.25" customHeight="1">
      <c r="A65" s="77"/>
      <c r="B65" s="7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20.25" customHeight="1">
      <c r="A66" s="77"/>
      <c r="B66" s="7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20.25" customHeight="1">
      <c r="A67" s="77"/>
      <c r="B67" s="7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20.25" customHeight="1">
      <c r="A68" s="77"/>
      <c r="B68" s="7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20.25" customHeight="1">
      <c r="A69" s="77"/>
      <c r="B69" s="7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20.25" customHeight="1">
      <c r="A70" s="77"/>
      <c r="B70" s="7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20.25" customHeight="1">
      <c r="A71" s="77"/>
      <c r="B71" s="7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20.25" customHeight="1">
      <c r="A72" s="77"/>
      <c r="B72" s="7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20.25" customHeight="1">
      <c r="A73" s="77"/>
      <c r="B73" s="7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20.25" customHeight="1">
      <c r="A74" s="77"/>
      <c r="B74" s="7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20.25" customHeight="1">
      <c r="A75" s="77"/>
      <c r="B75" s="7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20.25" customHeight="1">
      <c r="A76" s="77"/>
      <c r="B76" s="7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20.25" customHeight="1">
      <c r="A77" s="77"/>
      <c r="B77" s="7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20.25" customHeight="1">
      <c r="A78" s="77"/>
      <c r="B78" s="7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20.25" customHeight="1">
      <c r="A79" s="77"/>
      <c r="B79" s="7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20.25" customHeight="1">
      <c r="A80" s="77"/>
      <c r="B80" s="7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20.25" customHeight="1">
      <c r="A81" s="77"/>
      <c r="B81" s="7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20.25" customHeight="1">
      <c r="A82" s="77"/>
      <c r="B82" s="7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20.25" customHeight="1">
      <c r="A83" s="77"/>
      <c r="B83" s="7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20.25" customHeight="1">
      <c r="A84" s="77"/>
      <c r="B84" s="7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20.25" customHeight="1">
      <c r="A85" s="77"/>
      <c r="B85" s="7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20.25" customHeight="1">
      <c r="A86" s="77"/>
      <c r="B86" s="7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20.25" customHeight="1">
      <c r="A87" s="77"/>
      <c r="B87" s="7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20.25" customHeight="1">
      <c r="A88" s="77"/>
      <c r="B88" s="7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20.25" customHeight="1">
      <c r="A89" s="77"/>
      <c r="B89" s="7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20.25" customHeight="1">
      <c r="A90" s="77"/>
      <c r="B90" s="7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20.25" customHeight="1">
      <c r="A91" s="77"/>
      <c r="B91" s="7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20.25" customHeight="1">
      <c r="A92" s="77"/>
      <c r="B92" s="7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20.25" customHeight="1">
      <c r="A93" s="77"/>
      <c r="B93" s="7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20.25" customHeight="1">
      <c r="A94" s="77"/>
      <c r="B94" s="7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20.25" customHeight="1">
      <c r="A95" s="77"/>
      <c r="B95" s="7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20.25" customHeight="1">
      <c r="A96" s="77"/>
      <c r="B96" s="7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20.25" customHeight="1">
      <c r="A97" s="77"/>
      <c r="B97" s="7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20.25" customHeight="1">
      <c r="A98" s="77"/>
      <c r="B98" s="7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20.25" customHeight="1">
      <c r="A99" s="77"/>
      <c r="B99" s="7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20.25" customHeight="1">
      <c r="A100" s="77"/>
      <c r="B100" s="7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20.25" customHeight="1">
      <c r="A101" s="77"/>
      <c r="B101" s="7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20.25" customHeight="1">
      <c r="A102" s="77"/>
      <c r="B102" s="7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20.25" customHeight="1">
      <c r="A103" s="77"/>
      <c r="B103" s="7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20.25" customHeight="1">
      <c r="A104" s="77"/>
      <c r="B104" s="7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20.25" customHeight="1">
      <c r="A105" s="77"/>
      <c r="B105" s="7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20.25" customHeight="1">
      <c r="A106" s="77"/>
      <c r="B106" s="7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20.25" customHeight="1">
      <c r="A107" s="77"/>
      <c r="B107" s="7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20.25" customHeight="1">
      <c r="A108" s="77"/>
      <c r="B108" s="7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20.25" customHeight="1">
      <c r="A109" s="77"/>
      <c r="B109" s="7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20.25" customHeight="1">
      <c r="A110" s="77"/>
      <c r="B110" s="7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20.25" customHeight="1">
      <c r="A111" s="77"/>
      <c r="B111" s="7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20.25" customHeight="1">
      <c r="A112" s="77"/>
      <c r="B112" s="7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20.25" customHeight="1">
      <c r="A113" s="77"/>
      <c r="B113" s="7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20.25" customHeight="1">
      <c r="A114" s="77"/>
      <c r="B114" s="7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20.25" customHeight="1">
      <c r="A115" s="77"/>
      <c r="B115" s="7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20.25" customHeight="1">
      <c r="A116" s="77"/>
      <c r="B116" s="7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20.25" customHeight="1">
      <c r="A117" s="77"/>
      <c r="B117" s="7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20.25" customHeight="1">
      <c r="A118" s="77"/>
      <c r="B118" s="7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20.25" customHeight="1">
      <c r="A119" s="77"/>
      <c r="B119" s="7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20.25" customHeight="1">
      <c r="A120" s="77"/>
      <c r="B120" s="7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20.25" customHeight="1">
      <c r="A121" s="77"/>
      <c r="B121" s="7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20.25" customHeight="1">
      <c r="A122" s="77"/>
      <c r="B122" s="7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20.25" customHeight="1">
      <c r="A123" s="77"/>
      <c r="B123" s="7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20.25" customHeight="1">
      <c r="A124" s="77"/>
      <c r="B124" s="7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20.25" customHeight="1">
      <c r="A125" s="77"/>
      <c r="B125" s="7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20.25" customHeight="1">
      <c r="A126" s="77"/>
      <c r="B126" s="7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20.25" customHeight="1">
      <c r="A127" s="77"/>
      <c r="B127" s="7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20.25" customHeight="1">
      <c r="A128" s="77"/>
      <c r="B128" s="7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20.25" customHeight="1">
      <c r="A129" s="77"/>
      <c r="B129" s="7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20.25" customHeight="1">
      <c r="A130" s="77"/>
      <c r="B130" s="7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20.25" customHeight="1">
      <c r="A131" s="77"/>
      <c r="B131" s="7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20.25" customHeight="1">
      <c r="A132" s="77"/>
      <c r="B132" s="7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20.25" customHeight="1">
      <c r="A133" s="77"/>
      <c r="B133" s="7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20.25" customHeight="1">
      <c r="A134" s="77"/>
      <c r="B134" s="7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20.25" customHeight="1">
      <c r="A135" s="77"/>
      <c r="B135" s="7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20.25" customHeight="1">
      <c r="A136" s="77"/>
      <c r="B136" s="7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20.25" customHeight="1">
      <c r="A137" s="77"/>
      <c r="B137" s="7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20.25" customHeight="1">
      <c r="A138" s="77"/>
      <c r="B138" s="7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20.25" customHeight="1">
      <c r="A139" s="77"/>
      <c r="B139" s="7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20.25" customHeight="1">
      <c r="A140" s="77"/>
      <c r="B140" s="7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20.25" customHeight="1">
      <c r="A141" s="77"/>
      <c r="B141" s="7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20.25" customHeight="1">
      <c r="A142" s="77"/>
      <c r="B142" s="7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20.25" customHeight="1">
      <c r="A143" s="77"/>
      <c r="B143" s="7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20.25" customHeight="1">
      <c r="A144" s="77"/>
      <c r="B144" s="7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20.25" customHeight="1">
      <c r="A145" s="77"/>
      <c r="B145" s="7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20.25" customHeight="1">
      <c r="A146" s="77"/>
      <c r="B146" s="7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20.25" customHeight="1">
      <c r="A147" s="77"/>
      <c r="B147" s="7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20.25" customHeight="1">
      <c r="A148" s="77"/>
      <c r="B148" s="7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20.25" customHeight="1">
      <c r="A149" s="77"/>
      <c r="B149" s="7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20.25" customHeight="1">
      <c r="A150" s="77"/>
      <c r="B150" s="7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20.25" customHeight="1">
      <c r="A151" s="77"/>
      <c r="B151" s="7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20.25" customHeight="1">
      <c r="A152" s="77"/>
      <c r="B152" s="7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20.25" customHeight="1">
      <c r="A153" s="77"/>
      <c r="B153" s="7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20.25" customHeight="1">
      <c r="A154" s="77"/>
      <c r="B154" s="7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20.25" customHeight="1">
      <c r="A155" s="77"/>
      <c r="B155" s="7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20.25" customHeight="1">
      <c r="A156" s="77"/>
      <c r="B156" s="7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20.25" customHeight="1">
      <c r="A157" s="77"/>
      <c r="B157" s="7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20.25" customHeight="1">
      <c r="A158" s="77"/>
      <c r="B158" s="7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20.25" customHeight="1">
      <c r="A159" s="77"/>
      <c r="B159" s="7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20.25" customHeight="1">
      <c r="A160" s="77"/>
      <c r="B160" s="7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20.25" customHeight="1">
      <c r="A161" s="77"/>
      <c r="B161" s="7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20.25" customHeight="1">
      <c r="A162" s="77"/>
      <c r="B162" s="7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20.25" customHeight="1">
      <c r="A163" s="77"/>
      <c r="B163" s="7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20.25" customHeight="1">
      <c r="A164" s="77"/>
      <c r="B164" s="7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20.25" customHeight="1">
      <c r="A165" s="77"/>
      <c r="B165" s="7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20.25" customHeight="1">
      <c r="A166" s="77"/>
      <c r="B166" s="7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20.25" customHeight="1">
      <c r="A167" s="77"/>
      <c r="B167" s="7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20.25" customHeight="1">
      <c r="A168" s="77"/>
      <c r="B168" s="7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20.25" customHeight="1">
      <c r="A169" s="77"/>
      <c r="B169" s="7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20.25" customHeight="1">
      <c r="A170" s="77"/>
      <c r="B170" s="7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20.25" customHeight="1">
      <c r="A171" s="77"/>
      <c r="B171" s="7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20.25" customHeight="1">
      <c r="A172" s="77"/>
      <c r="B172" s="7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20.25" customHeight="1">
      <c r="A173" s="77"/>
      <c r="B173" s="7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20.25" customHeight="1">
      <c r="A174" s="77"/>
      <c r="B174" s="7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20.25" customHeight="1">
      <c r="A175" s="77"/>
      <c r="B175" s="7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20.25" customHeight="1">
      <c r="A176" s="77"/>
      <c r="B176" s="7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20.25" customHeight="1">
      <c r="A177" s="77"/>
      <c r="B177" s="7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20.25" customHeight="1">
      <c r="A178" s="77"/>
      <c r="B178" s="7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20.25" customHeight="1">
      <c r="A179" s="77"/>
      <c r="B179" s="7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20.25" customHeight="1">
      <c r="A180" s="77"/>
      <c r="B180" s="7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20.25" customHeight="1">
      <c r="A181" s="77"/>
      <c r="B181" s="7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20.25" customHeight="1">
      <c r="A182" s="77"/>
      <c r="B182" s="7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20.25" customHeight="1">
      <c r="A183" s="77"/>
      <c r="B183" s="7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20.25" customHeight="1">
      <c r="A184" s="77"/>
      <c r="B184" s="7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20.25" customHeight="1">
      <c r="A185" s="77"/>
      <c r="B185" s="7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20.25" customHeight="1">
      <c r="A186" s="77"/>
      <c r="B186" s="7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20.25" customHeight="1">
      <c r="A187" s="77"/>
      <c r="B187" s="7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20.25" customHeight="1">
      <c r="A188" s="77"/>
      <c r="B188" s="7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20.25" customHeight="1">
      <c r="A189" s="77"/>
      <c r="B189" s="7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20.25" customHeight="1">
      <c r="A190" s="77"/>
      <c r="B190" s="7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20.25" customHeight="1">
      <c r="A191" s="77"/>
      <c r="B191" s="7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20.25" customHeight="1">
      <c r="A192" s="77"/>
      <c r="B192" s="7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20.25" customHeight="1">
      <c r="A193" s="77"/>
      <c r="B193" s="7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20.25" customHeight="1">
      <c r="A194" s="77"/>
      <c r="B194" s="7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20.25" customHeight="1">
      <c r="A195" s="77"/>
      <c r="B195" s="7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20.25" customHeight="1">
      <c r="A196" s="77"/>
      <c r="B196" s="7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20.25" customHeight="1">
      <c r="A197" s="77"/>
      <c r="B197" s="7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20.25" customHeight="1">
      <c r="A198" s="77"/>
      <c r="B198" s="7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20.25" customHeight="1">
      <c r="A199" s="77"/>
      <c r="B199" s="7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20.25" customHeight="1">
      <c r="A200" s="77"/>
      <c r="B200" s="7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20.25" customHeight="1">
      <c r="A201" s="77"/>
      <c r="B201" s="7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20.25" customHeight="1">
      <c r="A202" s="77"/>
      <c r="B202" s="7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20.25" customHeight="1">
      <c r="A203" s="77"/>
      <c r="B203" s="7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20.25" customHeight="1">
      <c r="A204" s="77"/>
      <c r="B204" s="7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20.25" customHeight="1">
      <c r="A205" s="77"/>
      <c r="B205" s="7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20.25" customHeight="1">
      <c r="A206" s="77"/>
      <c r="B206" s="7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20.25" customHeight="1">
      <c r="A207" s="77"/>
      <c r="B207" s="7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20.25" customHeight="1">
      <c r="A208" s="77"/>
      <c r="B208" s="7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20.25" customHeight="1">
      <c r="A209" s="77"/>
      <c r="B209" s="7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20.25" customHeight="1">
      <c r="A210" s="77"/>
      <c r="B210" s="7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20.25" customHeight="1">
      <c r="A211" s="77"/>
      <c r="B211" s="7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20.25" customHeight="1">
      <c r="A212" s="77"/>
      <c r="B212" s="7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20.25" customHeight="1">
      <c r="A213" s="77"/>
      <c r="B213" s="7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20.25" customHeight="1">
      <c r="A214" s="77"/>
      <c r="B214" s="7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20.25" customHeight="1">
      <c r="A215" s="77"/>
      <c r="B215" s="7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20.25" customHeight="1">
      <c r="A216" s="77"/>
      <c r="B216" s="7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20.25" customHeight="1">
      <c r="A217" s="77"/>
      <c r="B217" s="7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20.25" customHeight="1">
      <c r="A218" s="77"/>
      <c r="B218" s="7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20.25" customHeight="1">
      <c r="A219" s="77"/>
      <c r="B219" s="7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20.25" customHeight="1">
      <c r="A220" s="77"/>
      <c r="B220" s="7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20.25" customHeight="1">
      <c r="A221" s="77"/>
      <c r="B221" s="7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20.25" customHeight="1">
      <c r="A222" s="77"/>
      <c r="B222" s="7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20.25" customHeight="1">
      <c r="A223" s="77"/>
      <c r="B223" s="7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20.25" customHeight="1">
      <c r="A224" s="77"/>
      <c r="B224" s="7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20.25" customHeight="1">
      <c r="A225" s="77"/>
      <c r="B225" s="7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20.25" customHeight="1">
      <c r="A226" s="77"/>
      <c r="B226" s="7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20.25" customHeight="1">
      <c r="A227" s="77"/>
      <c r="B227" s="7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20.25" customHeight="1">
      <c r="A228" s="77"/>
      <c r="B228" s="7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20.25" customHeight="1">
      <c r="A229" s="77"/>
      <c r="B229" s="7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20.25" customHeight="1">
      <c r="A230" s="77"/>
      <c r="B230" s="7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20.25" customHeight="1">
      <c r="A231" s="77"/>
      <c r="B231" s="7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20.25" customHeight="1">
      <c r="A232" s="77"/>
      <c r="B232" s="7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20.25" customHeight="1">
      <c r="A233" s="77"/>
      <c r="B233" s="7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20.25" customHeight="1">
      <c r="A234" s="77"/>
      <c r="B234" s="7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20.25" customHeight="1">
      <c r="A235" s="77"/>
      <c r="B235" s="7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20.25" customHeight="1">
      <c r="A236" s="77"/>
      <c r="B236" s="7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20.25" customHeight="1">
      <c r="A237" s="77"/>
      <c r="B237" s="7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20.25" customHeight="1">
      <c r="A238" s="77"/>
      <c r="B238" s="7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20.25" customHeight="1">
      <c r="A239" s="77"/>
      <c r="B239" s="7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20.25" customHeight="1">
      <c r="A240" s="77"/>
      <c r="B240" s="7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20.25" customHeight="1">
      <c r="A241" s="77"/>
      <c r="B241" s="7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20.25" customHeight="1">
      <c r="A242" s="77"/>
      <c r="B242" s="7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20.25" customHeight="1">
      <c r="A243" s="77"/>
      <c r="B243" s="7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20.25" customHeight="1">
      <c r="A244" s="77"/>
      <c r="B244" s="7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20.25" customHeight="1">
      <c r="A245" s="77"/>
      <c r="B245" s="7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20.25" customHeight="1">
      <c r="A246" s="77"/>
      <c r="B246" s="7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20.25" customHeight="1">
      <c r="A247" s="77"/>
      <c r="B247" s="7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20.25" customHeight="1">
      <c r="A248" s="77"/>
      <c r="B248" s="7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20.25" customHeight="1">
      <c r="A249" s="77"/>
      <c r="B249" s="7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20.25" customHeight="1">
      <c r="A250" s="77"/>
      <c r="B250" s="7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20.25" customHeight="1">
      <c r="A251" s="77"/>
      <c r="B251" s="7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20.25" customHeight="1">
      <c r="A252" s="77"/>
      <c r="B252" s="7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20.25" customHeight="1">
      <c r="A253" s="77"/>
      <c r="B253" s="7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20.25" customHeight="1">
      <c r="A254" s="77"/>
      <c r="B254" s="7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20.25" customHeight="1">
      <c r="A255" s="77"/>
      <c r="B255" s="7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20.25" customHeight="1">
      <c r="A256" s="77"/>
      <c r="B256" s="7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20.25" customHeight="1">
      <c r="A257" s="77"/>
      <c r="B257" s="7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20.25" customHeight="1">
      <c r="A258" s="77"/>
      <c r="B258" s="7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20.25" customHeight="1">
      <c r="A259" s="77"/>
      <c r="B259" s="7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20.25" customHeight="1">
      <c r="A260" s="77"/>
      <c r="B260" s="7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20.25" customHeight="1">
      <c r="A261" s="77"/>
      <c r="B261" s="7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20.25" customHeight="1">
      <c r="A262" s="77"/>
      <c r="B262" s="7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20.25" customHeight="1">
      <c r="A263" s="77"/>
      <c r="B263" s="7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20.25" customHeight="1">
      <c r="A264" s="77"/>
      <c r="B264" s="7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20.25" customHeight="1">
      <c r="A265" s="77"/>
      <c r="B265" s="7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20.25" customHeight="1">
      <c r="A266" s="77"/>
      <c r="B266" s="7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20.25" customHeight="1">
      <c r="A267" s="77"/>
      <c r="B267" s="7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20.25" customHeight="1">
      <c r="A268" s="77"/>
      <c r="B268" s="7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20.25" customHeight="1">
      <c r="A269" s="77"/>
      <c r="B269" s="7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20.25" customHeight="1">
      <c r="A270" s="77"/>
      <c r="B270" s="7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20.25" customHeight="1">
      <c r="A271" s="77"/>
      <c r="B271" s="7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20.25" customHeight="1">
      <c r="A272" s="77"/>
      <c r="B272" s="7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20.25" customHeight="1">
      <c r="A273" s="77"/>
      <c r="B273" s="7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20.25" customHeight="1">
      <c r="A274" s="77"/>
      <c r="B274" s="7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20.25" customHeight="1">
      <c r="A275" s="77"/>
      <c r="B275" s="7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20.25" customHeight="1">
      <c r="A276" s="77"/>
      <c r="B276" s="7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20.25" customHeight="1">
      <c r="A277" s="77"/>
      <c r="B277" s="7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20.25" customHeight="1">
      <c r="A278" s="77"/>
      <c r="B278" s="7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20.25" customHeight="1">
      <c r="A279" s="77"/>
      <c r="B279" s="7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20.25" customHeight="1">
      <c r="A280" s="77"/>
      <c r="B280" s="7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20.25" customHeight="1">
      <c r="A281" s="77"/>
      <c r="B281" s="7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20.25" customHeight="1">
      <c r="A282" s="77"/>
      <c r="B282" s="7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20.25" customHeight="1">
      <c r="A283" s="77"/>
      <c r="B283" s="7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20.25" customHeight="1">
      <c r="A284" s="77"/>
      <c r="B284" s="7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20.25" customHeight="1">
      <c r="A285" s="77"/>
      <c r="B285" s="7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20.25" customHeight="1">
      <c r="A286" s="77"/>
      <c r="B286" s="7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20.25" customHeight="1">
      <c r="A287" s="77"/>
      <c r="B287" s="7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20.25" customHeight="1">
      <c r="A288" s="77"/>
      <c r="B288" s="7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20.25" customHeight="1">
      <c r="A289" s="77"/>
      <c r="B289" s="7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20.25" customHeight="1">
      <c r="A290" s="77"/>
      <c r="B290" s="7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20.25" customHeight="1">
      <c r="A291" s="77"/>
      <c r="B291" s="7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20.25" customHeight="1">
      <c r="A292" s="77"/>
      <c r="B292" s="7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20.25" customHeight="1">
      <c r="A293" s="77"/>
      <c r="B293" s="7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20.25" customHeight="1">
      <c r="A294" s="77"/>
      <c r="B294" s="7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20.25" customHeight="1">
      <c r="A295" s="77"/>
      <c r="B295" s="7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20.25" customHeight="1">
      <c r="A296" s="77"/>
      <c r="B296" s="7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20.25" customHeight="1">
      <c r="A297" s="77"/>
      <c r="B297" s="7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20.25" customHeight="1">
      <c r="A298" s="77"/>
      <c r="B298" s="7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20.25" customHeight="1">
      <c r="A299" s="77"/>
      <c r="B299" s="7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20.25" customHeight="1">
      <c r="A300" s="77"/>
      <c r="B300" s="7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20.25" customHeight="1">
      <c r="A301" s="77"/>
      <c r="B301" s="7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20.25" customHeight="1">
      <c r="A302" s="77"/>
      <c r="B302" s="7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20.25" customHeight="1">
      <c r="A303" s="77"/>
      <c r="B303" s="7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20.25" customHeight="1">
      <c r="A304" s="77"/>
      <c r="B304" s="7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20.25" customHeight="1">
      <c r="A305" s="77"/>
      <c r="B305" s="7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20.25" customHeight="1">
      <c r="A306" s="77"/>
      <c r="B306" s="7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20.25" customHeight="1">
      <c r="A307" s="77"/>
      <c r="B307" s="7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20.25" customHeight="1">
      <c r="A308" s="77"/>
      <c r="B308" s="7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20.25" customHeight="1">
      <c r="A309" s="77"/>
      <c r="B309" s="7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20.25" customHeight="1">
      <c r="A310" s="77"/>
      <c r="B310" s="7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20.25" customHeight="1">
      <c r="A311" s="77"/>
      <c r="B311" s="7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20.25" customHeight="1">
      <c r="A312" s="77"/>
      <c r="B312" s="7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20.25" customHeight="1">
      <c r="A313" s="77"/>
      <c r="B313" s="7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20.25" customHeight="1">
      <c r="A314" s="77"/>
      <c r="B314" s="7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20.25" customHeight="1">
      <c r="A315" s="77"/>
      <c r="B315" s="7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20.25" customHeight="1">
      <c r="A316" s="77"/>
      <c r="B316" s="7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20.25" customHeight="1">
      <c r="A317" s="77"/>
      <c r="B317" s="7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20.25" customHeight="1">
      <c r="A318" s="77"/>
      <c r="B318" s="7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20.25" customHeight="1">
      <c r="A319" s="77"/>
      <c r="B319" s="7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20.25" customHeight="1">
      <c r="A320" s="77"/>
      <c r="B320" s="7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20.25" customHeight="1">
      <c r="A321" s="77"/>
      <c r="B321" s="7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20.25" customHeight="1">
      <c r="A322" s="77"/>
      <c r="B322" s="7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20.25" customHeight="1">
      <c r="A323" s="77"/>
      <c r="B323" s="7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20.25" customHeight="1">
      <c r="A324" s="77"/>
      <c r="B324" s="7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20.25" customHeight="1">
      <c r="A325" s="77"/>
      <c r="B325" s="7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20.25" customHeight="1">
      <c r="A326" s="77"/>
      <c r="B326" s="7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20.25" customHeight="1">
      <c r="A327" s="77"/>
      <c r="B327" s="7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20.25" customHeight="1">
      <c r="A328" s="77"/>
      <c r="B328" s="7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20.25" customHeight="1">
      <c r="A329" s="77"/>
      <c r="B329" s="7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20.25" customHeight="1">
      <c r="A330" s="77"/>
      <c r="B330" s="7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20.25" customHeight="1">
      <c r="A331" s="77"/>
      <c r="B331" s="7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20.25" customHeight="1">
      <c r="A332" s="77"/>
      <c r="B332" s="7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20.25" customHeight="1">
      <c r="A333" s="77"/>
      <c r="B333" s="7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20.25" customHeight="1">
      <c r="A334" s="77"/>
      <c r="B334" s="7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20.25" customHeight="1">
      <c r="A335" s="77"/>
      <c r="B335" s="7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20.25" customHeight="1">
      <c r="A336" s="77"/>
      <c r="B336" s="7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20.25" customHeight="1">
      <c r="A337" s="77"/>
      <c r="B337" s="7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20.25" customHeight="1">
      <c r="A338" s="77"/>
      <c r="B338" s="7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20.25" customHeight="1">
      <c r="A339" s="77"/>
      <c r="B339" s="7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20.25" customHeight="1">
      <c r="A340" s="77"/>
      <c r="B340" s="7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20.25" customHeight="1">
      <c r="A341" s="77"/>
      <c r="B341" s="7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20.25" customHeight="1">
      <c r="A342" s="77"/>
      <c r="B342" s="7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20.25" customHeight="1">
      <c r="A343" s="77"/>
      <c r="B343" s="7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20.25" customHeight="1">
      <c r="A344" s="77"/>
      <c r="B344" s="7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20.25" customHeight="1">
      <c r="A345" s="77"/>
      <c r="B345" s="7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20.25" customHeight="1">
      <c r="A346" s="77"/>
      <c r="B346" s="7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20.25" customHeight="1">
      <c r="A347" s="77"/>
      <c r="B347" s="7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20.25" customHeight="1">
      <c r="A348" s="77"/>
      <c r="B348" s="7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20.25" customHeight="1">
      <c r="A349" s="77"/>
      <c r="B349" s="7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20.25" customHeight="1">
      <c r="A350" s="77"/>
      <c r="B350" s="7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20.25" customHeight="1">
      <c r="A351" s="77"/>
      <c r="B351" s="7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20.25" customHeight="1">
      <c r="A352" s="77"/>
      <c r="B352" s="7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20.25" customHeight="1">
      <c r="A353" s="77"/>
      <c r="B353" s="7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20.25" customHeight="1">
      <c r="A354" s="77"/>
      <c r="B354" s="7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20.25" customHeight="1">
      <c r="A355" s="77"/>
      <c r="B355" s="7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20.25" customHeight="1">
      <c r="A356" s="77"/>
      <c r="B356" s="7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20.25" customHeight="1">
      <c r="A357" s="77"/>
      <c r="B357" s="7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20.25" customHeight="1">
      <c r="A358" s="77"/>
      <c r="B358" s="7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20.25" customHeight="1">
      <c r="A359" s="77"/>
      <c r="B359" s="7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20.25" customHeight="1">
      <c r="A360" s="77"/>
      <c r="B360" s="7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20.25" customHeight="1">
      <c r="A361" s="77"/>
      <c r="B361" s="7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20.25" customHeight="1">
      <c r="A362" s="77"/>
      <c r="B362" s="7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20.25" customHeight="1">
      <c r="A363" s="77"/>
      <c r="B363" s="7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20.25" customHeight="1">
      <c r="A364" s="77"/>
      <c r="B364" s="7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20.25" customHeight="1">
      <c r="A365" s="77"/>
      <c r="B365" s="7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20.25" customHeight="1">
      <c r="A366" s="77"/>
      <c r="B366" s="7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20.25" customHeight="1">
      <c r="A367" s="77"/>
      <c r="B367" s="7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20.25" customHeight="1">
      <c r="A368" s="77"/>
      <c r="B368" s="7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20.25" customHeight="1">
      <c r="A369" s="77"/>
      <c r="B369" s="7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20.25" customHeight="1">
      <c r="A370" s="77"/>
      <c r="B370" s="7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20.25" customHeight="1">
      <c r="A371" s="77"/>
      <c r="B371" s="7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20.25" customHeight="1">
      <c r="A372" s="77"/>
      <c r="B372" s="7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20.25" customHeight="1">
      <c r="A373" s="77"/>
      <c r="B373" s="7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20.25" customHeight="1">
      <c r="A374" s="77"/>
      <c r="B374" s="7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20.25" customHeight="1">
      <c r="A375" s="77"/>
      <c r="B375" s="7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20.25" customHeight="1">
      <c r="A376" s="77"/>
      <c r="B376" s="7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20.25" customHeight="1">
      <c r="A377" s="77"/>
      <c r="B377" s="7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20.25" customHeight="1">
      <c r="A378" s="77"/>
      <c r="B378" s="7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20.25" customHeight="1">
      <c r="A379" s="77"/>
      <c r="B379" s="7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20.25" customHeight="1">
      <c r="A380" s="77"/>
      <c r="B380" s="7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20.25" customHeight="1">
      <c r="A381" s="77"/>
      <c r="B381" s="7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20.25" customHeight="1">
      <c r="A382" s="77"/>
      <c r="B382" s="7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20.25" customHeight="1">
      <c r="A383" s="77"/>
      <c r="B383" s="7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20.25" customHeight="1">
      <c r="A384" s="77"/>
      <c r="B384" s="7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20.25" customHeight="1">
      <c r="A385" s="77"/>
      <c r="B385" s="7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20.25" customHeight="1">
      <c r="A386" s="77"/>
      <c r="B386" s="7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20.25" customHeight="1">
      <c r="A387" s="77"/>
      <c r="B387" s="7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20.25" customHeight="1">
      <c r="A388" s="77"/>
      <c r="B388" s="7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20.25" customHeight="1">
      <c r="A389" s="77"/>
      <c r="B389" s="7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20.25" customHeight="1">
      <c r="A390" s="77"/>
      <c r="B390" s="7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20.25" customHeight="1">
      <c r="A391" s="77"/>
      <c r="B391" s="7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20.25" customHeight="1">
      <c r="A392" s="77"/>
      <c r="B392" s="7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20.25" customHeight="1">
      <c r="A393" s="77"/>
      <c r="B393" s="7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20.25" customHeight="1">
      <c r="A394" s="77"/>
      <c r="B394" s="7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20.25" customHeight="1">
      <c r="A395" s="77"/>
      <c r="B395" s="7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20.25" customHeight="1">
      <c r="A396" s="77"/>
      <c r="B396" s="7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20.25" customHeight="1">
      <c r="A397" s="77"/>
      <c r="B397" s="7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20.25" customHeight="1">
      <c r="A398" s="77"/>
      <c r="B398" s="7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20.25" customHeight="1">
      <c r="A399" s="77"/>
      <c r="B399" s="7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20.25" customHeight="1">
      <c r="A400" s="77"/>
      <c r="B400" s="7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20.25" customHeight="1">
      <c r="A401" s="77"/>
      <c r="B401" s="7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20.25" customHeight="1">
      <c r="A402" s="77"/>
      <c r="B402" s="7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20.25" customHeight="1">
      <c r="A403" s="77"/>
      <c r="B403" s="7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20.25" customHeight="1">
      <c r="A404" s="77"/>
      <c r="B404" s="7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20.25" customHeight="1">
      <c r="A405" s="77"/>
      <c r="B405" s="7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20.25" customHeight="1">
      <c r="A406" s="77"/>
      <c r="B406" s="7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20.25" customHeight="1">
      <c r="A407" s="77"/>
      <c r="B407" s="7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20.25" customHeight="1">
      <c r="A408" s="77"/>
      <c r="B408" s="7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20.25" customHeight="1">
      <c r="A409" s="77"/>
      <c r="B409" s="7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20.25" customHeight="1">
      <c r="A410" s="77"/>
      <c r="B410" s="7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20.25" customHeight="1">
      <c r="A411" s="77"/>
      <c r="B411" s="7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20.25" customHeight="1">
      <c r="A412" s="77"/>
      <c r="B412" s="7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20.25" customHeight="1">
      <c r="A413" s="77"/>
      <c r="B413" s="7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20.25" customHeight="1">
      <c r="A414" s="77"/>
      <c r="B414" s="7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20.25" customHeight="1">
      <c r="A415" s="77"/>
      <c r="B415" s="7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20.25" customHeight="1">
      <c r="A416" s="77"/>
      <c r="B416" s="7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20.25" customHeight="1">
      <c r="A417" s="77"/>
      <c r="B417" s="7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20.25" customHeight="1">
      <c r="A418" s="77"/>
      <c r="B418" s="7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20.25" customHeight="1">
      <c r="A419" s="77"/>
      <c r="B419" s="7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20.25" customHeight="1">
      <c r="A420" s="77"/>
      <c r="B420" s="7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20.25" customHeight="1">
      <c r="A421" s="77"/>
      <c r="B421" s="7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20.25" customHeight="1">
      <c r="A422" s="77"/>
      <c r="B422" s="7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20.25" customHeight="1">
      <c r="A423" s="77"/>
      <c r="B423" s="7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20.25" customHeight="1">
      <c r="A424" s="77"/>
      <c r="B424" s="7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20.25" customHeight="1">
      <c r="A425" s="77"/>
      <c r="B425" s="7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20.25" customHeight="1">
      <c r="A426" s="77"/>
      <c r="B426" s="7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20.25" customHeight="1">
      <c r="A427" s="77"/>
      <c r="B427" s="7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20.25" customHeight="1">
      <c r="A428" s="77"/>
      <c r="B428" s="7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20.25" customHeight="1">
      <c r="A429" s="77"/>
      <c r="B429" s="7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20.25" customHeight="1">
      <c r="A430" s="77"/>
      <c r="B430" s="7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20.25" customHeight="1">
      <c r="A431" s="77"/>
      <c r="B431" s="7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20.25" customHeight="1">
      <c r="A432" s="77"/>
      <c r="B432" s="7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20.25" customHeight="1">
      <c r="A433" s="77"/>
      <c r="B433" s="7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20.25" customHeight="1">
      <c r="A434" s="77"/>
      <c r="B434" s="7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20.25" customHeight="1">
      <c r="A435" s="77"/>
      <c r="B435" s="7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20.25" customHeight="1">
      <c r="A436" s="77"/>
      <c r="B436" s="7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20.25" customHeight="1">
      <c r="A437" s="77"/>
      <c r="B437" s="7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20.25" customHeight="1">
      <c r="A438" s="77"/>
      <c r="B438" s="7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20.25" customHeight="1">
      <c r="A439" s="77"/>
      <c r="B439" s="7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20.25" customHeight="1">
      <c r="A440" s="77"/>
      <c r="B440" s="7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20.25" customHeight="1">
      <c r="A441" s="77"/>
      <c r="B441" s="7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20.25" customHeight="1">
      <c r="A442" s="77"/>
      <c r="B442" s="7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20.25" customHeight="1">
      <c r="A443" s="77"/>
      <c r="B443" s="7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20.25" customHeight="1">
      <c r="A444" s="77"/>
      <c r="B444" s="7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20.25" customHeight="1">
      <c r="A445" s="77"/>
      <c r="B445" s="7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20.25" customHeight="1">
      <c r="A446" s="77"/>
      <c r="B446" s="7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20.25" customHeight="1">
      <c r="A447" s="77"/>
      <c r="B447" s="7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20.25" customHeight="1">
      <c r="A448" s="77"/>
      <c r="B448" s="7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20.25" customHeight="1">
      <c r="A449" s="77"/>
      <c r="B449" s="7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20.25" customHeight="1">
      <c r="A450" s="77"/>
      <c r="B450" s="7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20.25" customHeight="1">
      <c r="A451" s="77"/>
      <c r="B451" s="7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20.25" customHeight="1">
      <c r="A452" s="77"/>
      <c r="B452" s="7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20.25" customHeight="1">
      <c r="A453" s="77"/>
      <c r="B453" s="7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20.25" customHeight="1">
      <c r="A454" s="77"/>
      <c r="B454" s="7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20.25" customHeight="1">
      <c r="A455" s="77"/>
      <c r="B455" s="7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20.25" customHeight="1">
      <c r="A456" s="77"/>
      <c r="B456" s="7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20.25" customHeight="1">
      <c r="A457" s="77"/>
      <c r="B457" s="7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20.25" customHeight="1">
      <c r="A458" s="77"/>
      <c r="B458" s="7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20.25" customHeight="1">
      <c r="A459" s="77"/>
      <c r="B459" s="7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20.25" customHeight="1">
      <c r="A460" s="77"/>
      <c r="B460" s="7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20.25" customHeight="1">
      <c r="A461" s="77"/>
      <c r="B461" s="7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20.25" customHeight="1">
      <c r="A462" s="77"/>
      <c r="B462" s="7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20.25" customHeight="1">
      <c r="A463" s="77"/>
      <c r="B463" s="7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20.25" customHeight="1">
      <c r="A464" s="77"/>
      <c r="B464" s="7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20.25" customHeight="1">
      <c r="A465" s="77"/>
      <c r="B465" s="7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20.25" customHeight="1">
      <c r="A466" s="77"/>
      <c r="B466" s="7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20.25" customHeight="1">
      <c r="A467" s="77"/>
      <c r="B467" s="7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20.25" customHeight="1">
      <c r="A468" s="77"/>
      <c r="B468" s="7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20.25" customHeight="1">
      <c r="A469" s="77"/>
      <c r="B469" s="7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20.25" customHeight="1">
      <c r="A470" s="77"/>
      <c r="B470" s="7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20.25" customHeight="1">
      <c r="A471" s="77"/>
      <c r="B471" s="7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20.25" customHeight="1">
      <c r="A472" s="77"/>
      <c r="B472" s="7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20.25" customHeight="1">
      <c r="A473" s="77"/>
      <c r="B473" s="7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20.25" customHeight="1">
      <c r="A474" s="77"/>
      <c r="B474" s="7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20.25" customHeight="1">
      <c r="A475" s="77"/>
      <c r="B475" s="7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20.25" customHeight="1">
      <c r="A476" s="77"/>
      <c r="B476" s="7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20.25" customHeight="1">
      <c r="A477" s="77"/>
      <c r="B477" s="7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20.25" customHeight="1">
      <c r="A478" s="77"/>
      <c r="B478" s="7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20.25" customHeight="1">
      <c r="A479" s="77"/>
      <c r="B479" s="7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20.25" customHeight="1">
      <c r="A480" s="77"/>
      <c r="B480" s="7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20.25" customHeight="1">
      <c r="A481" s="77"/>
      <c r="B481" s="7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20.25" customHeight="1">
      <c r="A482" s="77"/>
      <c r="B482" s="7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20.25" customHeight="1">
      <c r="A483" s="77"/>
      <c r="B483" s="7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20.25" customHeight="1">
      <c r="A484" s="77"/>
      <c r="B484" s="7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20.25" customHeight="1">
      <c r="A485" s="77"/>
      <c r="B485" s="7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20.25" customHeight="1">
      <c r="A486" s="77"/>
      <c r="B486" s="7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20.25" customHeight="1">
      <c r="A487" s="77"/>
      <c r="B487" s="7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20.25" customHeight="1">
      <c r="A488" s="77"/>
      <c r="B488" s="7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20.25" customHeight="1">
      <c r="A489" s="77"/>
      <c r="B489" s="7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20.25" customHeight="1">
      <c r="A490" s="77"/>
      <c r="B490" s="7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20.25" customHeight="1">
      <c r="A491" s="77"/>
      <c r="B491" s="7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20.25" customHeight="1">
      <c r="A492" s="77"/>
      <c r="B492" s="7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20.25" customHeight="1">
      <c r="A493" s="77"/>
      <c r="B493" s="7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20.25" customHeight="1">
      <c r="A494" s="77"/>
      <c r="B494" s="7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20.25" customHeight="1">
      <c r="A495" s="77"/>
      <c r="B495" s="7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20.25" customHeight="1">
      <c r="A496" s="77"/>
      <c r="B496" s="7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20.25" customHeight="1">
      <c r="A497" s="77"/>
      <c r="B497" s="7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20.25" customHeight="1">
      <c r="A498" s="77"/>
      <c r="B498" s="7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20.25" customHeight="1">
      <c r="A499" s="77"/>
      <c r="B499" s="7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20.25" customHeight="1">
      <c r="A500" s="77"/>
      <c r="B500" s="7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20.25" customHeight="1">
      <c r="A501" s="77"/>
      <c r="B501" s="7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20.25" customHeight="1">
      <c r="A502" s="77"/>
      <c r="B502" s="7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20.25" customHeight="1">
      <c r="A503" s="77"/>
      <c r="B503" s="7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20.25" customHeight="1">
      <c r="A504" s="77"/>
      <c r="B504" s="7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20.25" customHeight="1">
      <c r="A505" s="77"/>
      <c r="B505" s="7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20.25" customHeight="1">
      <c r="A506" s="77"/>
      <c r="B506" s="7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20.25" customHeight="1">
      <c r="A507" s="77"/>
      <c r="B507" s="7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20.25" customHeight="1">
      <c r="A508" s="77"/>
      <c r="B508" s="7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20.25" customHeight="1">
      <c r="A509" s="77"/>
      <c r="B509" s="7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20.25" customHeight="1">
      <c r="A510" s="77"/>
      <c r="B510" s="7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20.25" customHeight="1">
      <c r="A511" s="77"/>
      <c r="B511" s="7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20.25" customHeight="1">
      <c r="A512" s="77"/>
      <c r="B512" s="7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20.25" customHeight="1">
      <c r="A513" s="77"/>
      <c r="B513" s="7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20.25" customHeight="1">
      <c r="A514" s="77"/>
      <c r="B514" s="7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20.25" customHeight="1">
      <c r="A515" s="77"/>
      <c r="B515" s="7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20.25" customHeight="1">
      <c r="A516" s="77"/>
      <c r="B516" s="7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20.25" customHeight="1">
      <c r="A517" s="77"/>
      <c r="B517" s="7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20.25" customHeight="1">
      <c r="A518" s="77"/>
      <c r="B518" s="7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20.25" customHeight="1">
      <c r="A519" s="77"/>
      <c r="B519" s="7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20.25" customHeight="1">
      <c r="A520" s="77"/>
      <c r="B520" s="7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20.25" customHeight="1">
      <c r="A521" s="77"/>
      <c r="B521" s="7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20.25" customHeight="1">
      <c r="A522" s="77"/>
      <c r="B522" s="7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20.25" customHeight="1">
      <c r="A523" s="77"/>
      <c r="B523" s="7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20.25" customHeight="1">
      <c r="A524" s="77"/>
      <c r="B524" s="7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20.25" customHeight="1">
      <c r="A525" s="77"/>
      <c r="B525" s="7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20.25" customHeight="1">
      <c r="A526" s="77"/>
      <c r="B526" s="7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20.25" customHeight="1">
      <c r="A527" s="77"/>
      <c r="B527" s="7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20.25" customHeight="1">
      <c r="A528" s="77"/>
      <c r="B528" s="7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20.25" customHeight="1">
      <c r="A529" s="77"/>
      <c r="B529" s="7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20.25" customHeight="1">
      <c r="A530" s="77"/>
      <c r="B530" s="7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20.25" customHeight="1">
      <c r="A531" s="77"/>
      <c r="B531" s="7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20.25" customHeight="1">
      <c r="A532" s="77"/>
      <c r="B532" s="7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20.25" customHeight="1">
      <c r="A533" s="77"/>
      <c r="B533" s="7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20.25" customHeight="1">
      <c r="A534" s="77"/>
      <c r="B534" s="7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20.25" customHeight="1">
      <c r="A535" s="77"/>
      <c r="B535" s="7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20.25" customHeight="1">
      <c r="A536" s="77"/>
      <c r="B536" s="7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20.25" customHeight="1">
      <c r="A537" s="77"/>
      <c r="B537" s="7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20.25" customHeight="1">
      <c r="A538" s="77"/>
      <c r="B538" s="7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20.25" customHeight="1">
      <c r="A539" s="77"/>
      <c r="B539" s="7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20.25" customHeight="1">
      <c r="A540" s="77"/>
      <c r="B540" s="7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20.25" customHeight="1">
      <c r="A541" s="77"/>
      <c r="B541" s="7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20.25" customHeight="1">
      <c r="A542" s="77"/>
      <c r="B542" s="7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20.25" customHeight="1">
      <c r="A543" s="77"/>
      <c r="B543" s="7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20.25" customHeight="1">
      <c r="A544" s="77"/>
      <c r="B544" s="7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20.25" customHeight="1">
      <c r="A545" s="77"/>
      <c r="B545" s="7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20.25" customHeight="1">
      <c r="A546" s="77"/>
      <c r="B546" s="7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20.25" customHeight="1">
      <c r="A547" s="77"/>
      <c r="B547" s="7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20.25" customHeight="1">
      <c r="A548" s="77"/>
      <c r="B548" s="7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20.25" customHeight="1">
      <c r="A549" s="77"/>
      <c r="B549" s="7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20.25" customHeight="1">
      <c r="A550" s="77"/>
      <c r="B550" s="7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20.25" customHeight="1">
      <c r="A551" s="77"/>
      <c r="B551" s="7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20.25" customHeight="1">
      <c r="A552" s="77"/>
      <c r="B552" s="7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20.25" customHeight="1">
      <c r="A553" s="77"/>
      <c r="B553" s="7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20.25" customHeight="1">
      <c r="A554" s="77"/>
      <c r="B554" s="7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20.25" customHeight="1">
      <c r="A555" s="77"/>
      <c r="B555" s="7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20.25" customHeight="1">
      <c r="A556" s="77"/>
      <c r="B556" s="7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20.25" customHeight="1">
      <c r="A557" s="77"/>
      <c r="B557" s="7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20.25" customHeight="1">
      <c r="A558" s="77"/>
      <c r="B558" s="7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20.25" customHeight="1">
      <c r="A559" s="77"/>
      <c r="B559" s="7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20.25" customHeight="1">
      <c r="A560" s="77"/>
      <c r="B560" s="7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20.25" customHeight="1">
      <c r="A561" s="77"/>
      <c r="B561" s="7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20.25" customHeight="1">
      <c r="A562" s="77"/>
      <c r="B562" s="7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20.25" customHeight="1">
      <c r="A563" s="77"/>
      <c r="B563" s="7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20.25" customHeight="1">
      <c r="A564" s="77"/>
      <c r="B564" s="7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20.25" customHeight="1">
      <c r="A565" s="77"/>
      <c r="B565" s="7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20.25" customHeight="1">
      <c r="A566" s="77"/>
      <c r="B566" s="7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20.25" customHeight="1">
      <c r="A567" s="77"/>
      <c r="B567" s="7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20.25" customHeight="1">
      <c r="A568" s="77"/>
      <c r="B568" s="7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20.25" customHeight="1">
      <c r="A569" s="77"/>
      <c r="B569" s="7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20.25" customHeight="1">
      <c r="A570" s="77"/>
      <c r="B570" s="7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20.25" customHeight="1">
      <c r="A571" s="77"/>
      <c r="B571" s="7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20.25" customHeight="1">
      <c r="A572" s="77"/>
      <c r="B572" s="7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20.25" customHeight="1">
      <c r="A573" s="77"/>
      <c r="B573" s="7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20.25" customHeight="1">
      <c r="A574" s="77"/>
      <c r="B574" s="7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20.25" customHeight="1">
      <c r="A575" s="77"/>
      <c r="B575" s="7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20.25" customHeight="1">
      <c r="A576" s="77"/>
      <c r="B576" s="7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20.25" customHeight="1">
      <c r="A577" s="77"/>
      <c r="B577" s="7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20.25" customHeight="1">
      <c r="A578" s="77"/>
      <c r="B578" s="7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20.25" customHeight="1">
      <c r="A579" s="77"/>
      <c r="B579" s="7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20.25" customHeight="1">
      <c r="A580" s="77"/>
      <c r="B580" s="7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20.25" customHeight="1">
      <c r="A581" s="77"/>
      <c r="B581" s="7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20.25" customHeight="1">
      <c r="A582" s="77"/>
      <c r="B582" s="7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20.25" customHeight="1">
      <c r="A583" s="77"/>
      <c r="B583" s="7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20.25" customHeight="1">
      <c r="A584" s="77"/>
      <c r="B584" s="7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20.25" customHeight="1">
      <c r="A585" s="77"/>
      <c r="B585" s="7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20.25" customHeight="1">
      <c r="A586" s="77"/>
      <c r="B586" s="7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20.25" customHeight="1">
      <c r="A587" s="77"/>
      <c r="B587" s="7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20.25" customHeight="1">
      <c r="A588" s="77"/>
      <c r="B588" s="7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20.25" customHeight="1">
      <c r="A589" s="77"/>
      <c r="B589" s="7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20.25" customHeight="1">
      <c r="A590" s="77"/>
      <c r="B590" s="7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20.25" customHeight="1">
      <c r="A591" s="77"/>
      <c r="B591" s="7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20.25" customHeight="1">
      <c r="A592" s="77"/>
      <c r="B592" s="7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20.25" customHeight="1">
      <c r="A593" s="77"/>
      <c r="B593" s="7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20.25" customHeight="1">
      <c r="A594" s="77"/>
      <c r="B594" s="7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20.25" customHeight="1">
      <c r="A595" s="77"/>
      <c r="B595" s="7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20.25" customHeight="1">
      <c r="A596" s="77"/>
      <c r="B596" s="7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20.25" customHeight="1">
      <c r="A597" s="77"/>
      <c r="B597" s="7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20.25" customHeight="1">
      <c r="A598" s="77"/>
      <c r="B598" s="7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20.25" customHeight="1">
      <c r="A599" s="77"/>
      <c r="B599" s="7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20.25" customHeight="1">
      <c r="A600" s="77"/>
      <c r="B600" s="7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20.25" customHeight="1">
      <c r="A601" s="77"/>
      <c r="B601" s="7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20.25" customHeight="1">
      <c r="A602" s="77"/>
      <c r="B602" s="7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20.25" customHeight="1">
      <c r="A603" s="77"/>
      <c r="B603" s="7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20.25" customHeight="1">
      <c r="A604" s="77"/>
      <c r="B604" s="7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20.25" customHeight="1">
      <c r="A605" s="77"/>
      <c r="B605" s="7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20.25" customHeight="1">
      <c r="A606" s="77"/>
      <c r="B606" s="7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20.25" customHeight="1">
      <c r="A607" s="77"/>
      <c r="B607" s="7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20.25" customHeight="1">
      <c r="A608" s="77"/>
      <c r="B608" s="7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20.25" customHeight="1">
      <c r="A609" s="77"/>
      <c r="B609" s="7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20.25" customHeight="1">
      <c r="A610" s="77"/>
      <c r="B610" s="7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20.25" customHeight="1">
      <c r="A611" s="77"/>
      <c r="B611" s="7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20.25" customHeight="1">
      <c r="A612" s="77"/>
      <c r="B612" s="7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20.25" customHeight="1">
      <c r="A613" s="77"/>
      <c r="B613" s="7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20.25" customHeight="1">
      <c r="A614" s="77"/>
      <c r="B614" s="7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20.25" customHeight="1">
      <c r="A615" s="77"/>
      <c r="B615" s="7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20.25" customHeight="1">
      <c r="A616" s="77"/>
      <c r="B616" s="7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20.25" customHeight="1">
      <c r="A617" s="77"/>
      <c r="B617" s="7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20.25" customHeight="1">
      <c r="A618" s="77"/>
      <c r="B618" s="7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20.25" customHeight="1">
      <c r="A619" s="77"/>
      <c r="B619" s="7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20.25" customHeight="1">
      <c r="A620" s="77"/>
      <c r="B620" s="7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20.25" customHeight="1">
      <c r="A621" s="77"/>
      <c r="B621" s="7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20.25" customHeight="1">
      <c r="A622" s="77"/>
      <c r="B622" s="7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20.25" customHeight="1">
      <c r="A623" s="77"/>
      <c r="B623" s="7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20.25" customHeight="1">
      <c r="A624" s="77"/>
      <c r="B624" s="7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20.25" customHeight="1">
      <c r="A625" s="77"/>
      <c r="B625" s="7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20.25" customHeight="1">
      <c r="A626" s="77"/>
      <c r="B626" s="7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20.25" customHeight="1">
      <c r="A627" s="77"/>
      <c r="B627" s="7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20.25" customHeight="1">
      <c r="A628" s="77"/>
      <c r="B628" s="7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20.25" customHeight="1">
      <c r="A629" s="77"/>
      <c r="B629" s="7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20.25" customHeight="1">
      <c r="A630" s="77"/>
      <c r="B630" s="7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20.25" customHeight="1">
      <c r="A631" s="77"/>
      <c r="B631" s="7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20.25" customHeight="1">
      <c r="A632" s="77"/>
      <c r="B632" s="7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20.25" customHeight="1">
      <c r="A633" s="77"/>
      <c r="B633" s="7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20.25" customHeight="1">
      <c r="A634" s="77"/>
      <c r="B634" s="7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20.25" customHeight="1">
      <c r="A635" s="77"/>
      <c r="B635" s="7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20.25" customHeight="1">
      <c r="A636" s="77"/>
      <c r="B636" s="7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20.25" customHeight="1">
      <c r="A637" s="77"/>
      <c r="B637" s="7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20.25" customHeight="1">
      <c r="A638" s="77"/>
      <c r="B638" s="7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20.25" customHeight="1">
      <c r="A639" s="77"/>
      <c r="B639" s="7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20.25" customHeight="1">
      <c r="A640" s="77"/>
      <c r="B640" s="7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20.25" customHeight="1">
      <c r="A641" s="77"/>
      <c r="B641" s="7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20.25" customHeight="1">
      <c r="A642" s="77"/>
      <c r="B642" s="7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20.25" customHeight="1">
      <c r="A643" s="77"/>
      <c r="B643" s="7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20.25" customHeight="1">
      <c r="A644" s="77"/>
      <c r="B644" s="7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20.25" customHeight="1">
      <c r="A645" s="77"/>
      <c r="B645" s="7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20.25" customHeight="1">
      <c r="A646" s="77"/>
      <c r="B646" s="7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20.25" customHeight="1">
      <c r="A647" s="77"/>
      <c r="B647" s="7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20.25" customHeight="1">
      <c r="A648" s="77"/>
      <c r="B648" s="7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20.25" customHeight="1">
      <c r="A649" s="77"/>
      <c r="B649" s="7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20.25" customHeight="1">
      <c r="A650" s="77"/>
      <c r="B650" s="7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20.25" customHeight="1">
      <c r="A651" s="77"/>
      <c r="B651" s="7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20.25" customHeight="1">
      <c r="A652" s="77"/>
      <c r="B652" s="7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20.25" customHeight="1">
      <c r="A653" s="77"/>
      <c r="B653" s="7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20.25" customHeight="1">
      <c r="A654" s="77"/>
      <c r="B654" s="7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20.25" customHeight="1">
      <c r="A655" s="77"/>
      <c r="B655" s="7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20.25" customHeight="1">
      <c r="A656" s="77"/>
      <c r="B656" s="7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20.25" customHeight="1">
      <c r="A657" s="77"/>
      <c r="B657" s="7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20.25" customHeight="1">
      <c r="A658" s="77"/>
      <c r="B658" s="7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20.25" customHeight="1">
      <c r="A659" s="77"/>
      <c r="B659" s="7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20.25" customHeight="1">
      <c r="A660" s="77"/>
      <c r="B660" s="7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20.25" customHeight="1">
      <c r="A661" s="77"/>
      <c r="B661" s="7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20.25" customHeight="1">
      <c r="A662" s="77"/>
      <c r="B662" s="7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20.25" customHeight="1">
      <c r="A663" s="77"/>
      <c r="B663" s="7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20.25" customHeight="1">
      <c r="A664" s="77"/>
      <c r="B664" s="7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20.25" customHeight="1">
      <c r="A665" s="77"/>
      <c r="B665" s="7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20.25" customHeight="1">
      <c r="A666" s="77"/>
      <c r="B666" s="7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20.25" customHeight="1">
      <c r="A667" s="77"/>
      <c r="B667" s="7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20.25" customHeight="1">
      <c r="A668" s="77"/>
      <c r="B668" s="7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20.25" customHeight="1">
      <c r="A669" s="77"/>
      <c r="B669" s="7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20.25" customHeight="1">
      <c r="A670" s="77"/>
      <c r="B670" s="7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20.25" customHeight="1">
      <c r="A671" s="77"/>
      <c r="B671" s="7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20.25" customHeight="1">
      <c r="A672" s="77"/>
      <c r="B672" s="7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20.25" customHeight="1">
      <c r="A673" s="77"/>
      <c r="B673" s="7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20.25" customHeight="1">
      <c r="A674" s="77"/>
      <c r="B674" s="7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20.25" customHeight="1">
      <c r="A675" s="77"/>
      <c r="B675" s="7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20.25" customHeight="1">
      <c r="A676" s="77"/>
      <c r="B676" s="7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20.25" customHeight="1">
      <c r="A677" s="77"/>
      <c r="B677" s="7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20.25" customHeight="1">
      <c r="A678" s="77"/>
      <c r="B678" s="7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20.25" customHeight="1">
      <c r="A679" s="77"/>
      <c r="B679" s="7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20.25" customHeight="1">
      <c r="A680" s="77"/>
      <c r="B680" s="7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20.25" customHeight="1">
      <c r="A681" s="77"/>
      <c r="B681" s="7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20.25" customHeight="1">
      <c r="A682" s="77"/>
      <c r="B682" s="7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20.25" customHeight="1">
      <c r="A683" s="77"/>
      <c r="B683" s="7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20.25" customHeight="1">
      <c r="A684" s="77"/>
      <c r="B684" s="7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20.25" customHeight="1">
      <c r="A685" s="77"/>
      <c r="B685" s="7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20.25" customHeight="1">
      <c r="A686" s="77"/>
      <c r="B686" s="7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20.25" customHeight="1">
      <c r="A687" s="77"/>
      <c r="B687" s="7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20.25" customHeight="1">
      <c r="A688" s="77"/>
      <c r="B688" s="7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20.25" customHeight="1">
      <c r="A689" s="77"/>
      <c r="B689" s="7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20.25" customHeight="1">
      <c r="A690" s="77"/>
      <c r="B690" s="7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20.25" customHeight="1">
      <c r="A691" s="77"/>
      <c r="B691" s="7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20.25" customHeight="1">
      <c r="A692" s="77"/>
      <c r="B692" s="7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20.25" customHeight="1">
      <c r="A693" s="77"/>
      <c r="B693" s="7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20.25" customHeight="1">
      <c r="A694" s="77"/>
      <c r="B694" s="7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20.25" customHeight="1">
      <c r="A695" s="77"/>
      <c r="B695" s="7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20.25" customHeight="1">
      <c r="A696" s="77"/>
      <c r="B696" s="7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20.25" customHeight="1">
      <c r="A697" s="77"/>
      <c r="B697" s="7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20.25" customHeight="1">
      <c r="A698" s="77"/>
      <c r="B698" s="7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20.25" customHeight="1">
      <c r="A699" s="77"/>
      <c r="B699" s="7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20.25" customHeight="1">
      <c r="A700" s="77"/>
      <c r="B700" s="7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20.25" customHeight="1">
      <c r="A701" s="77"/>
      <c r="B701" s="7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20.25" customHeight="1">
      <c r="A702" s="77"/>
      <c r="B702" s="7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20.25" customHeight="1">
      <c r="A703" s="77"/>
      <c r="B703" s="7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20.25" customHeight="1">
      <c r="A704" s="77"/>
      <c r="B704" s="7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20.25" customHeight="1">
      <c r="A705" s="77"/>
      <c r="B705" s="7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20.25" customHeight="1">
      <c r="A706" s="77"/>
      <c r="B706" s="7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20.25" customHeight="1">
      <c r="A707" s="77"/>
      <c r="B707" s="7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20.25" customHeight="1">
      <c r="A708" s="77"/>
      <c r="B708" s="7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20.25" customHeight="1">
      <c r="A709" s="77"/>
      <c r="B709" s="7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20.25" customHeight="1">
      <c r="A710" s="77"/>
      <c r="B710" s="7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20.25" customHeight="1">
      <c r="A711" s="77"/>
      <c r="B711" s="7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20.25" customHeight="1">
      <c r="A712" s="77"/>
      <c r="B712" s="7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20.25" customHeight="1">
      <c r="A713" s="77"/>
      <c r="B713" s="7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20.25" customHeight="1">
      <c r="A714" s="77"/>
      <c r="B714" s="7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20.25" customHeight="1">
      <c r="A715" s="77"/>
      <c r="B715" s="7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20.25" customHeight="1">
      <c r="A716" s="77"/>
      <c r="B716" s="7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20.25" customHeight="1">
      <c r="A717" s="77"/>
      <c r="B717" s="7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20.25" customHeight="1">
      <c r="A718" s="77"/>
      <c r="B718" s="7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20.25" customHeight="1">
      <c r="A719" s="77"/>
      <c r="B719" s="7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20.25" customHeight="1">
      <c r="A720" s="77"/>
      <c r="B720" s="7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20.25" customHeight="1">
      <c r="A721" s="77"/>
      <c r="B721" s="7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20.25" customHeight="1">
      <c r="A722" s="77"/>
      <c r="B722" s="7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20.25" customHeight="1">
      <c r="A723" s="77"/>
      <c r="B723" s="7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20.25" customHeight="1">
      <c r="A724" s="77"/>
      <c r="B724" s="7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20.25" customHeight="1">
      <c r="A725" s="77"/>
      <c r="B725" s="7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20.25" customHeight="1">
      <c r="A726" s="77"/>
      <c r="B726" s="7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20.25" customHeight="1">
      <c r="A727" s="77"/>
      <c r="B727" s="7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20.25" customHeight="1">
      <c r="A728" s="77"/>
      <c r="B728" s="7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20.25" customHeight="1">
      <c r="A729" s="77"/>
      <c r="B729" s="7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20.25" customHeight="1">
      <c r="A730" s="77"/>
      <c r="B730" s="7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20.25" customHeight="1">
      <c r="A731" s="77"/>
      <c r="B731" s="7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20.25" customHeight="1">
      <c r="A732" s="77"/>
      <c r="B732" s="7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20.25" customHeight="1">
      <c r="A733" s="77"/>
      <c r="B733" s="7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20.25" customHeight="1">
      <c r="A734" s="77"/>
      <c r="B734" s="7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20.25" customHeight="1">
      <c r="A735" s="77"/>
      <c r="B735" s="7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20.25" customHeight="1">
      <c r="A736" s="77"/>
      <c r="B736" s="7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20.25" customHeight="1">
      <c r="A737" s="77"/>
      <c r="B737" s="7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20.25" customHeight="1">
      <c r="A738" s="77"/>
      <c r="B738" s="7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20.25" customHeight="1">
      <c r="A739" s="77"/>
      <c r="B739" s="7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20.25" customHeight="1">
      <c r="A740" s="77"/>
      <c r="B740" s="7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20.25" customHeight="1">
      <c r="A741" s="77"/>
      <c r="B741" s="7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20.25" customHeight="1">
      <c r="A742" s="77"/>
      <c r="B742" s="7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20.25" customHeight="1">
      <c r="A743" s="77"/>
      <c r="B743" s="7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20.25" customHeight="1">
      <c r="A744" s="77"/>
      <c r="B744" s="7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20.25" customHeight="1">
      <c r="A745" s="77"/>
      <c r="B745" s="7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20.25" customHeight="1">
      <c r="A746" s="77"/>
      <c r="B746" s="7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20.25" customHeight="1">
      <c r="A747" s="77"/>
      <c r="B747" s="7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20.25" customHeight="1">
      <c r="A748" s="77"/>
      <c r="B748" s="7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20.25" customHeight="1">
      <c r="A749" s="77"/>
      <c r="B749" s="7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20.25" customHeight="1">
      <c r="A750" s="77"/>
      <c r="B750" s="7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20.25" customHeight="1">
      <c r="A751" s="77"/>
      <c r="B751" s="7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20.25" customHeight="1">
      <c r="A752" s="77"/>
      <c r="B752" s="7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20.25" customHeight="1">
      <c r="A753" s="77"/>
      <c r="B753" s="7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20.25" customHeight="1">
      <c r="A754" s="77"/>
      <c r="B754" s="7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20.25" customHeight="1">
      <c r="A755" s="77"/>
      <c r="B755" s="7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20.25" customHeight="1">
      <c r="A756" s="77"/>
      <c r="B756" s="7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20.25" customHeight="1">
      <c r="A757" s="77"/>
      <c r="B757" s="7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20.25" customHeight="1">
      <c r="A758" s="77"/>
      <c r="B758" s="7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20.25" customHeight="1">
      <c r="A759" s="77"/>
      <c r="B759" s="7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20.25" customHeight="1">
      <c r="A760" s="77"/>
      <c r="B760" s="7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20.25" customHeight="1">
      <c r="A761" s="77"/>
      <c r="B761" s="7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20.25" customHeight="1">
      <c r="A762" s="77"/>
      <c r="B762" s="7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20.25" customHeight="1">
      <c r="A763" s="77"/>
      <c r="B763" s="7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20.25" customHeight="1">
      <c r="A764" s="77"/>
      <c r="B764" s="7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20.25" customHeight="1">
      <c r="A765" s="77"/>
      <c r="B765" s="7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20.25" customHeight="1">
      <c r="A766" s="77"/>
      <c r="B766" s="7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20.25" customHeight="1">
      <c r="A767" s="77"/>
      <c r="B767" s="7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20.25" customHeight="1">
      <c r="A768" s="77"/>
      <c r="B768" s="7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20.25" customHeight="1">
      <c r="A769" s="77"/>
      <c r="B769" s="7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20.25" customHeight="1">
      <c r="A770" s="77"/>
      <c r="B770" s="7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20.25" customHeight="1">
      <c r="A771" s="77"/>
      <c r="B771" s="7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20.25" customHeight="1">
      <c r="A772" s="77"/>
      <c r="B772" s="7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20.25" customHeight="1">
      <c r="A773" s="77"/>
      <c r="B773" s="7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20.25" customHeight="1">
      <c r="A774" s="77"/>
      <c r="B774" s="7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20.25" customHeight="1">
      <c r="A775" s="77"/>
      <c r="B775" s="7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20.25" customHeight="1">
      <c r="A776" s="77"/>
      <c r="B776" s="7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20.25" customHeight="1">
      <c r="A777" s="77"/>
      <c r="B777" s="7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20.25" customHeight="1">
      <c r="A778" s="77"/>
      <c r="B778" s="7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20.25" customHeight="1">
      <c r="A779" s="77"/>
      <c r="B779" s="7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20.25" customHeight="1">
      <c r="A780" s="77"/>
      <c r="B780" s="7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20.25" customHeight="1">
      <c r="A781" s="77"/>
      <c r="B781" s="7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20.25" customHeight="1">
      <c r="A782" s="77"/>
      <c r="B782" s="7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20.25" customHeight="1">
      <c r="A783" s="77"/>
      <c r="B783" s="7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20.25" customHeight="1">
      <c r="A784" s="77"/>
      <c r="B784" s="7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20.25" customHeight="1">
      <c r="A785" s="77"/>
      <c r="B785" s="7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20.25" customHeight="1">
      <c r="A786" s="77"/>
      <c r="B786" s="7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20.25" customHeight="1">
      <c r="A787" s="77"/>
      <c r="B787" s="7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20.25" customHeight="1">
      <c r="A788" s="77"/>
      <c r="B788" s="7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20.25" customHeight="1">
      <c r="A789" s="77"/>
      <c r="B789" s="7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20.25" customHeight="1">
      <c r="A790" s="77"/>
      <c r="B790" s="7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20.25" customHeight="1">
      <c r="A791" s="77"/>
      <c r="B791" s="7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20.25" customHeight="1">
      <c r="A792" s="77"/>
      <c r="B792" s="7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20.25" customHeight="1">
      <c r="A793" s="77"/>
      <c r="B793" s="7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20.25" customHeight="1">
      <c r="A794" s="77"/>
      <c r="B794" s="7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20.25" customHeight="1">
      <c r="A795" s="77"/>
      <c r="B795" s="7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20.25" customHeight="1">
      <c r="A796" s="77"/>
      <c r="B796" s="7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20.25" customHeight="1">
      <c r="A797" s="77"/>
      <c r="B797" s="7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20.25" customHeight="1">
      <c r="A798" s="77"/>
      <c r="B798" s="7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20.25" customHeight="1">
      <c r="A799" s="77"/>
      <c r="B799" s="7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20.25" customHeight="1">
      <c r="A800" s="77"/>
      <c r="B800" s="7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20.25" customHeight="1">
      <c r="A801" s="77"/>
      <c r="B801" s="7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20.25" customHeight="1">
      <c r="A802" s="77"/>
      <c r="B802" s="7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20.25" customHeight="1">
      <c r="A803" s="77"/>
      <c r="B803" s="7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20.25" customHeight="1">
      <c r="A804" s="77"/>
      <c r="B804" s="7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20.25" customHeight="1">
      <c r="A805" s="77"/>
      <c r="B805" s="7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20.25" customHeight="1">
      <c r="A806" s="77"/>
      <c r="B806" s="7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20.25" customHeight="1">
      <c r="A807" s="77"/>
      <c r="B807" s="7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20.25" customHeight="1">
      <c r="A808" s="77"/>
      <c r="B808" s="7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20.25" customHeight="1">
      <c r="A809" s="77"/>
      <c r="B809" s="7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20.25" customHeight="1">
      <c r="A810" s="77"/>
      <c r="B810" s="7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20.25" customHeight="1">
      <c r="A811" s="77"/>
      <c r="B811" s="7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20.25" customHeight="1">
      <c r="A812" s="77"/>
      <c r="B812" s="7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20.25" customHeight="1">
      <c r="A813" s="77"/>
      <c r="B813" s="7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20.25" customHeight="1">
      <c r="A814" s="77"/>
      <c r="B814" s="7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20.25" customHeight="1">
      <c r="A815" s="77"/>
      <c r="B815" s="7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20.25" customHeight="1">
      <c r="A816" s="77"/>
      <c r="B816" s="7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20.25" customHeight="1">
      <c r="A817" s="77"/>
      <c r="B817" s="7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20.25" customHeight="1">
      <c r="A818" s="77"/>
      <c r="B818" s="7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20.25" customHeight="1">
      <c r="A819" s="77"/>
      <c r="B819" s="7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20.25" customHeight="1">
      <c r="A820" s="77"/>
      <c r="B820" s="7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20.25" customHeight="1">
      <c r="A821" s="77"/>
      <c r="B821" s="7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20.25" customHeight="1">
      <c r="A822" s="77"/>
      <c r="B822" s="7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20.25" customHeight="1">
      <c r="A823" s="77"/>
      <c r="B823" s="7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20.25" customHeight="1">
      <c r="A824" s="77"/>
      <c r="B824" s="7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20.25" customHeight="1">
      <c r="A825" s="77"/>
      <c r="B825" s="7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20.25" customHeight="1">
      <c r="A826" s="77"/>
      <c r="B826" s="7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20.25" customHeight="1">
      <c r="A827" s="77"/>
      <c r="B827" s="7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20.25" customHeight="1">
      <c r="A828" s="77"/>
      <c r="B828" s="7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20.25" customHeight="1">
      <c r="A829" s="77"/>
      <c r="B829" s="7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20.25" customHeight="1">
      <c r="A830" s="77"/>
      <c r="B830" s="7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20.25" customHeight="1">
      <c r="A831" s="77"/>
      <c r="B831" s="7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20.25" customHeight="1">
      <c r="A832" s="77"/>
      <c r="B832" s="7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20.25" customHeight="1">
      <c r="A833" s="77"/>
      <c r="B833" s="7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20.25" customHeight="1">
      <c r="A834" s="77"/>
      <c r="B834" s="7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20.25" customHeight="1">
      <c r="A835" s="77"/>
      <c r="B835" s="7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20.25" customHeight="1">
      <c r="A836" s="77"/>
      <c r="B836" s="7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20.25" customHeight="1">
      <c r="A837" s="77"/>
      <c r="B837" s="7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20.25" customHeight="1">
      <c r="A838" s="77"/>
      <c r="B838" s="7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20.25" customHeight="1">
      <c r="A839" s="77"/>
      <c r="B839" s="7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20.25" customHeight="1">
      <c r="A840" s="77"/>
      <c r="B840" s="7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20.25" customHeight="1">
      <c r="A841" s="77"/>
      <c r="B841" s="7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20.25" customHeight="1">
      <c r="A842" s="77"/>
      <c r="B842" s="7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20.25" customHeight="1">
      <c r="A843" s="77"/>
      <c r="B843" s="7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20.25" customHeight="1">
      <c r="A844" s="77"/>
      <c r="B844" s="7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20.25" customHeight="1">
      <c r="A845" s="77"/>
      <c r="B845" s="7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20.25" customHeight="1">
      <c r="A846" s="77"/>
      <c r="B846" s="7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20.25" customHeight="1">
      <c r="A847" s="77"/>
      <c r="B847" s="7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20.25" customHeight="1">
      <c r="A848" s="77"/>
      <c r="B848" s="7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20.25" customHeight="1">
      <c r="A849" s="77"/>
      <c r="B849" s="7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20.25" customHeight="1">
      <c r="A850" s="77"/>
      <c r="B850" s="7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20.25" customHeight="1">
      <c r="A851" s="77"/>
      <c r="B851" s="7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20.25" customHeight="1">
      <c r="A852" s="77"/>
      <c r="B852" s="7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20.25" customHeight="1">
      <c r="A853" s="77"/>
      <c r="B853" s="7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20.25" customHeight="1">
      <c r="A854" s="77"/>
      <c r="B854" s="7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20.25" customHeight="1">
      <c r="A855" s="77"/>
      <c r="B855" s="7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20.25" customHeight="1">
      <c r="A856" s="77"/>
      <c r="B856" s="7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20.25" customHeight="1">
      <c r="A857" s="77"/>
      <c r="B857" s="7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20.25" customHeight="1">
      <c r="A858" s="77"/>
      <c r="B858" s="7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20.25" customHeight="1">
      <c r="A859" s="77"/>
      <c r="B859" s="7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20.25" customHeight="1">
      <c r="A860" s="77"/>
      <c r="B860" s="7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20.25" customHeight="1">
      <c r="A861" s="77"/>
      <c r="B861" s="7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20.25" customHeight="1">
      <c r="A862" s="77"/>
      <c r="B862" s="7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20.25" customHeight="1">
      <c r="A863" s="77"/>
      <c r="B863" s="7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20.25" customHeight="1">
      <c r="A864" s="77"/>
      <c r="B864" s="7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20.25" customHeight="1">
      <c r="A865" s="77"/>
      <c r="B865" s="7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20.25" customHeight="1">
      <c r="A866" s="77"/>
      <c r="B866" s="7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20.25" customHeight="1">
      <c r="A867" s="77"/>
      <c r="B867" s="7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20.25" customHeight="1">
      <c r="A868" s="77"/>
      <c r="B868" s="7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20.25" customHeight="1">
      <c r="A869" s="77"/>
      <c r="B869" s="7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20.25" customHeight="1">
      <c r="A870" s="77"/>
      <c r="B870" s="7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20.25" customHeight="1">
      <c r="A871" s="77"/>
      <c r="B871" s="7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20.25" customHeight="1">
      <c r="A872" s="77"/>
      <c r="B872" s="7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20.25" customHeight="1">
      <c r="A873" s="77"/>
      <c r="B873" s="7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20.25" customHeight="1">
      <c r="A874" s="77"/>
      <c r="B874" s="7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20.25" customHeight="1">
      <c r="A875" s="77"/>
      <c r="B875" s="7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20.25" customHeight="1">
      <c r="A876" s="77"/>
      <c r="B876" s="7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20.25" customHeight="1">
      <c r="A877" s="77"/>
      <c r="B877" s="7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20.25" customHeight="1">
      <c r="A878" s="77"/>
      <c r="B878" s="7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20.25" customHeight="1">
      <c r="A879" s="77"/>
      <c r="B879" s="7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20.25" customHeight="1">
      <c r="A880" s="77"/>
      <c r="B880" s="7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20.25" customHeight="1">
      <c r="A881" s="77"/>
      <c r="B881" s="7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20.25" customHeight="1">
      <c r="A882" s="77"/>
      <c r="B882" s="7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20.25" customHeight="1">
      <c r="A883" s="77"/>
      <c r="B883" s="7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20.25" customHeight="1">
      <c r="A884" s="77"/>
      <c r="B884" s="7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20.25" customHeight="1">
      <c r="A885" s="77"/>
      <c r="B885" s="7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20.25" customHeight="1">
      <c r="A886" s="77"/>
      <c r="B886" s="7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20.25" customHeight="1">
      <c r="A887" s="77"/>
      <c r="B887" s="7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20.25" customHeight="1">
      <c r="A888" s="77"/>
      <c r="B888" s="7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20.25" customHeight="1">
      <c r="A889" s="77"/>
      <c r="B889" s="7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20.25" customHeight="1">
      <c r="A890" s="77"/>
      <c r="B890" s="7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20.25" customHeight="1">
      <c r="A891" s="77"/>
      <c r="B891" s="7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20.25" customHeight="1">
      <c r="A892" s="77"/>
      <c r="B892" s="7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20.25" customHeight="1">
      <c r="A893" s="77"/>
      <c r="B893" s="7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20.25" customHeight="1">
      <c r="A894" s="77"/>
      <c r="B894" s="7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20.25" customHeight="1">
      <c r="A895" s="77"/>
      <c r="B895" s="7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20.25" customHeight="1">
      <c r="A896" s="77"/>
      <c r="B896" s="7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20.25" customHeight="1">
      <c r="A897" s="77"/>
      <c r="B897" s="7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20.25" customHeight="1">
      <c r="A898" s="77"/>
      <c r="B898" s="7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20.25" customHeight="1">
      <c r="A899" s="77"/>
      <c r="B899" s="7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20.25" customHeight="1">
      <c r="A900" s="77"/>
      <c r="B900" s="7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20.25" customHeight="1">
      <c r="A901" s="77"/>
      <c r="B901" s="7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20.25" customHeight="1">
      <c r="A902" s="77"/>
      <c r="B902" s="7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20.25" customHeight="1">
      <c r="A903" s="77"/>
      <c r="B903" s="7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20.25" customHeight="1">
      <c r="A904" s="77"/>
      <c r="B904" s="7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20.25" customHeight="1">
      <c r="A905" s="77"/>
      <c r="B905" s="7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20.25" customHeight="1">
      <c r="A906" s="77"/>
      <c r="B906" s="7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20.25" customHeight="1">
      <c r="A907" s="77"/>
      <c r="B907" s="7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20.25" customHeight="1">
      <c r="A908" s="77"/>
      <c r="B908" s="7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20.25" customHeight="1">
      <c r="A909" s="77"/>
      <c r="B909" s="7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20.25" customHeight="1">
      <c r="A910" s="77"/>
      <c r="B910" s="7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20.25" customHeight="1">
      <c r="A911" s="77"/>
      <c r="B911" s="7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20.25" customHeight="1">
      <c r="A912" s="77"/>
      <c r="B912" s="7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20.25" customHeight="1">
      <c r="A913" s="77"/>
      <c r="B913" s="7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20.25" customHeight="1">
      <c r="A914" s="77"/>
      <c r="B914" s="7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20.25" customHeight="1">
      <c r="A915" s="77"/>
      <c r="B915" s="7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20.25" customHeight="1">
      <c r="A916" s="77"/>
      <c r="B916" s="7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20.25" customHeight="1">
      <c r="A917" s="77"/>
      <c r="B917" s="7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20.25" customHeight="1">
      <c r="A918" s="77"/>
      <c r="B918" s="7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20.25" customHeight="1">
      <c r="A919" s="77"/>
      <c r="B919" s="7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20.25" customHeight="1">
      <c r="A920" s="77"/>
      <c r="B920" s="7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20.25" customHeight="1">
      <c r="A921" s="77"/>
      <c r="B921" s="7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20.25" customHeight="1">
      <c r="A922" s="77"/>
      <c r="B922" s="7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20.25" customHeight="1">
      <c r="A923" s="77"/>
      <c r="B923" s="7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20.25" customHeight="1">
      <c r="A924" s="77"/>
      <c r="B924" s="7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20.25" customHeight="1">
      <c r="A925" s="77"/>
      <c r="B925" s="7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20.25" customHeight="1">
      <c r="A926" s="77"/>
      <c r="B926" s="7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20.25" customHeight="1">
      <c r="A927" s="77"/>
      <c r="B927" s="7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20.25" customHeight="1">
      <c r="A928" s="77"/>
      <c r="B928" s="7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20.25" customHeight="1">
      <c r="A929" s="77"/>
      <c r="B929" s="7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20.25" customHeight="1">
      <c r="A930" s="77"/>
      <c r="B930" s="7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20.25" customHeight="1">
      <c r="A931" s="77"/>
      <c r="B931" s="7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20.25" customHeight="1">
      <c r="A932" s="77"/>
      <c r="B932" s="7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20.25" customHeight="1">
      <c r="A933" s="77"/>
      <c r="B933" s="7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20.25" customHeight="1">
      <c r="A934" s="77"/>
      <c r="B934" s="7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20.25" customHeight="1">
      <c r="A935" s="77"/>
      <c r="B935" s="7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20.25" customHeight="1">
      <c r="A936" s="77"/>
      <c r="B936" s="7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20.25" customHeight="1">
      <c r="A937" s="77"/>
      <c r="B937" s="7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20.25" customHeight="1">
      <c r="A938" s="77"/>
      <c r="B938" s="7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20.25" customHeight="1">
      <c r="A939" s="77"/>
      <c r="B939" s="7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20.25" customHeight="1">
      <c r="A940" s="77"/>
      <c r="B940" s="7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20.25" customHeight="1">
      <c r="A941" s="77"/>
      <c r="B941" s="7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20.25" customHeight="1">
      <c r="A942" s="77"/>
      <c r="B942" s="7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20.25" customHeight="1">
      <c r="A943" s="77"/>
      <c r="B943" s="7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20.25" customHeight="1">
      <c r="A944" s="77"/>
      <c r="B944" s="7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20.25" customHeight="1">
      <c r="A945" s="77"/>
      <c r="B945" s="7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20.25" customHeight="1">
      <c r="A946" s="77"/>
      <c r="B946" s="7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20.25" customHeight="1">
      <c r="A947" s="77"/>
      <c r="B947" s="7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20.25" customHeight="1">
      <c r="A948" s="77"/>
      <c r="B948" s="7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20.25" customHeight="1">
      <c r="A949" s="77"/>
      <c r="B949" s="7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20.25" customHeight="1">
      <c r="A950" s="77"/>
      <c r="B950" s="7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20.25" customHeight="1">
      <c r="A951" s="77"/>
      <c r="B951" s="7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20.25" customHeight="1">
      <c r="A952" s="77"/>
      <c r="B952" s="7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20.25" customHeight="1">
      <c r="A953" s="77"/>
      <c r="B953" s="7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20.25" customHeight="1">
      <c r="A954" s="77"/>
      <c r="B954" s="7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20.25" customHeight="1">
      <c r="A955" s="77"/>
      <c r="B955" s="7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20.25" customHeight="1">
      <c r="A956" s="77"/>
      <c r="B956" s="7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20.25" customHeight="1">
      <c r="A957" s="77"/>
      <c r="B957" s="7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20.25" customHeight="1">
      <c r="A958" s="77"/>
      <c r="B958" s="7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20.25" customHeight="1">
      <c r="A959" s="77"/>
      <c r="B959" s="7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20.25" customHeight="1">
      <c r="A960" s="77"/>
      <c r="B960" s="7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20.25" customHeight="1">
      <c r="A961" s="77"/>
      <c r="B961" s="7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20.25" customHeight="1">
      <c r="A962" s="77"/>
      <c r="B962" s="7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20.25" customHeight="1">
      <c r="A963" s="77"/>
      <c r="B963" s="7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20.25" customHeight="1">
      <c r="A964" s="77"/>
      <c r="B964" s="7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20.25" customHeight="1">
      <c r="A965" s="77"/>
      <c r="B965" s="7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20.25" customHeight="1">
      <c r="A966" s="77"/>
      <c r="B966" s="7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20.25" customHeight="1">
      <c r="A967" s="77"/>
      <c r="B967" s="7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20.25" customHeight="1">
      <c r="A968" s="77"/>
      <c r="B968" s="7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20.25" customHeight="1">
      <c r="A969" s="77"/>
      <c r="B969" s="7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20.25" customHeight="1">
      <c r="A970" s="77"/>
      <c r="B970" s="7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20.25" customHeight="1">
      <c r="A971" s="77"/>
      <c r="B971" s="7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20.25" customHeight="1">
      <c r="A972" s="77"/>
      <c r="B972" s="7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20.25" customHeight="1">
      <c r="A973" s="77"/>
      <c r="B973" s="7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20.25" customHeight="1">
      <c r="A974" s="77"/>
      <c r="B974" s="7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20.25" customHeight="1">
      <c r="A975" s="77"/>
      <c r="B975" s="7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20.25" customHeight="1">
      <c r="A976" s="77"/>
      <c r="B976" s="7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20.25" customHeight="1">
      <c r="A977" s="77"/>
      <c r="B977" s="7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20.25" customHeight="1">
      <c r="A978" s="77"/>
      <c r="B978" s="7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20.25" customHeight="1">
      <c r="A979" s="77"/>
      <c r="B979" s="7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20.25" customHeight="1">
      <c r="A980" s="77"/>
      <c r="B980" s="7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20.25" customHeight="1">
      <c r="A981" s="77"/>
      <c r="B981" s="7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20.25" customHeight="1">
      <c r="A982" s="77"/>
      <c r="B982" s="7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20.25" customHeight="1">
      <c r="A983" s="77"/>
      <c r="B983" s="7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20.25" customHeight="1">
      <c r="A984" s="77"/>
      <c r="B984" s="7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20.25" customHeight="1">
      <c r="A985" s="77"/>
      <c r="B985" s="7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20.25" customHeight="1">
      <c r="A986" s="77"/>
      <c r="B986" s="7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20.25" customHeight="1">
      <c r="A987" s="77"/>
      <c r="B987" s="7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20.25" customHeight="1">
      <c r="A988" s="77"/>
      <c r="B988" s="7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20.25" customHeight="1">
      <c r="A989" s="77"/>
      <c r="B989" s="7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20.25" customHeight="1">
      <c r="A990" s="77"/>
      <c r="B990" s="7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20.25" customHeight="1">
      <c r="A991" s="77"/>
      <c r="B991" s="7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20.25" customHeight="1">
      <c r="A992" s="77"/>
      <c r="B992" s="7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20.25" customHeight="1">
      <c r="A993" s="77"/>
      <c r="B993" s="7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20.25" customHeight="1">
      <c r="A994" s="77"/>
      <c r="B994" s="7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20.25" customHeight="1">
      <c r="A995" s="77"/>
      <c r="B995" s="7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20.25" customHeight="1">
      <c r="A996" s="77"/>
      <c r="B996" s="7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20.25" customHeight="1">
      <c r="A997" s="77"/>
      <c r="B997" s="7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20.25" customHeight="1">
      <c r="A998" s="77"/>
      <c r="B998" s="7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20.25" customHeight="1">
      <c r="A999" s="77"/>
      <c r="B999" s="7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20.25" customHeight="1">
      <c r="A1000" s="77"/>
      <c r="B1000" s="7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4">
    <mergeCell ref="A1:D1"/>
    <mergeCell ref="E1:K1"/>
    <mergeCell ref="L1:R1"/>
    <mergeCell ref="S1:Y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3" width="22.0"/>
    <col customWidth="1" min="4" max="5" width="18.13"/>
    <col customWidth="1" min="6" max="6" width="20.5"/>
    <col customWidth="1" min="7" max="7" width="24.63"/>
    <col customWidth="1" min="8" max="8" width="14.5"/>
    <col customWidth="1" min="9" max="9" width="19.75"/>
    <col customWidth="1" min="10" max="10" width="21.38"/>
    <col customWidth="1" min="11" max="11" width="21.5"/>
    <col customWidth="1" min="12" max="12" width="17.63"/>
    <col customWidth="1" min="13" max="13" width="16.75"/>
    <col customWidth="1" min="14" max="14" width="19.0"/>
    <col customWidth="1" min="15" max="15" width="15.38"/>
    <col customWidth="1" min="16" max="16" width="20.88"/>
    <col customWidth="1" min="17" max="17" width="16.38"/>
    <col customWidth="1" min="18" max="18" width="16.88"/>
    <col customWidth="1" min="19" max="19" width="24.63"/>
    <col customWidth="1" min="20" max="26" width="8.63"/>
  </cols>
  <sheetData>
    <row r="1" ht="36.0" customHeight="1">
      <c r="A1" s="78" t="s">
        <v>133</v>
      </c>
      <c r="T1" s="79"/>
      <c r="U1" s="79"/>
      <c r="V1" s="79"/>
      <c r="W1" s="79"/>
      <c r="X1" s="79"/>
      <c r="Y1" s="79"/>
      <c r="Z1" s="79"/>
    </row>
    <row r="2" ht="34.5" customHeight="1">
      <c r="A2" s="80" t="s">
        <v>134</v>
      </c>
      <c r="B2" s="81"/>
      <c r="C2" s="81"/>
      <c r="D2" s="81"/>
      <c r="E2" s="81"/>
      <c r="F2" s="81"/>
      <c r="G2" s="82"/>
      <c r="H2" s="83"/>
      <c r="I2" s="83"/>
      <c r="J2" s="83"/>
      <c r="K2" s="84"/>
      <c r="L2" s="85" t="s">
        <v>135</v>
      </c>
      <c r="M2" s="83"/>
      <c r="N2" s="83"/>
      <c r="O2" s="84"/>
      <c r="P2" s="86" t="s">
        <v>136</v>
      </c>
      <c r="Q2" s="83"/>
      <c r="R2" s="84"/>
      <c r="S2" s="87" t="s">
        <v>137</v>
      </c>
      <c r="T2" s="79"/>
      <c r="U2" s="79"/>
      <c r="V2" s="79"/>
      <c r="W2" s="79"/>
      <c r="X2" s="79"/>
      <c r="Y2" s="79"/>
      <c r="Z2" s="79"/>
    </row>
    <row r="3" ht="21.0" customHeight="1">
      <c r="A3" s="88" t="s">
        <v>81</v>
      </c>
      <c r="B3" s="88" t="s">
        <v>64</v>
      </c>
      <c r="C3" s="89" t="s">
        <v>65</v>
      </c>
      <c r="D3" s="89" t="s">
        <v>66</v>
      </c>
      <c r="E3" s="89" t="s">
        <v>67</v>
      </c>
      <c r="F3" s="89" t="s">
        <v>68</v>
      </c>
      <c r="G3" s="90" t="s">
        <v>138</v>
      </c>
      <c r="H3" s="90" t="s">
        <v>69</v>
      </c>
      <c r="I3" s="90" t="s">
        <v>139</v>
      </c>
      <c r="J3" s="90" t="s">
        <v>70</v>
      </c>
      <c r="K3" s="90" t="s">
        <v>71</v>
      </c>
      <c r="L3" s="91" t="s">
        <v>140</v>
      </c>
      <c r="M3" s="91" t="s">
        <v>141</v>
      </c>
      <c r="N3" s="91" t="s">
        <v>142</v>
      </c>
      <c r="O3" s="91" t="s">
        <v>143</v>
      </c>
      <c r="P3" s="92" t="s">
        <v>72</v>
      </c>
      <c r="Q3" s="92" t="s">
        <v>73</v>
      </c>
      <c r="R3" s="92" t="s">
        <v>74</v>
      </c>
      <c r="S3" s="93" t="s">
        <v>75</v>
      </c>
      <c r="T3" s="79"/>
      <c r="U3" s="79"/>
      <c r="V3" s="79"/>
      <c r="W3" s="79"/>
      <c r="X3" s="79"/>
      <c r="Y3" s="79"/>
      <c r="Z3" s="79"/>
    </row>
    <row r="4" ht="21.0" customHeight="1">
      <c r="A4" s="94">
        <v>1.72021868E8</v>
      </c>
      <c r="B4" s="94" t="s">
        <v>53</v>
      </c>
      <c r="C4" s="95">
        <v>8.424664E7</v>
      </c>
      <c r="D4" s="95">
        <v>8.130095E7</v>
      </c>
      <c r="E4" s="95">
        <v>2.05110241E9</v>
      </c>
      <c r="F4" s="95">
        <v>2.911734497E9</v>
      </c>
      <c r="G4" s="96">
        <v>4.5408658E7</v>
      </c>
      <c r="H4" s="96">
        <v>824155.0</v>
      </c>
      <c r="I4" s="96">
        <v>1.13058E7</v>
      </c>
      <c r="J4" s="96">
        <v>-2005450.0</v>
      </c>
      <c r="K4" s="96">
        <v>8.60632087E8</v>
      </c>
      <c r="L4" s="97">
        <v>3.07925514807464</v>
      </c>
      <c r="M4" s="97">
        <v>1.1430992283352137</v>
      </c>
      <c r="N4" s="97">
        <v>0.9650349260219755</v>
      </c>
      <c r="O4" s="97">
        <v>2.00773629221182</v>
      </c>
      <c r="P4" s="98">
        <f t="shared" ref="P4:Q4" si="1">((((L4*100)-1)*9)/110)+1</f>
        <v>26.11208758</v>
      </c>
      <c r="Q4" s="98">
        <f t="shared" si="1"/>
        <v>10.27081187</v>
      </c>
      <c r="R4" s="98">
        <f t="shared" ref="R4:R50" si="3">((((O4*100)-1)*9)/110)+1</f>
        <v>17.34511512</v>
      </c>
      <c r="S4" s="99" t="s">
        <v>37</v>
      </c>
      <c r="T4" s="79"/>
      <c r="U4" s="79"/>
      <c r="V4" s="79"/>
      <c r="W4" s="79"/>
      <c r="X4" s="79"/>
      <c r="Y4" s="79"/>
      <c r="Z4" s="79"/>
    </row>
    <row r="5" ht="21.0" customHeight="1">
      <c r="A5" s="94">
        <v>6.7071592E7</v>
      </c>
      <c r="B5" s="94" t="s">
        <v>91</v>
      </c>
      <c r="C5" s="95">
        <v>9.0618001E7</v>
      </c>
      <c r="D5" s="95">
        <v>8.7838354E7</v>
      </c>
      <c r="E5" s="95">
        <v>1.1847016922E10</v>
      </c>
      <c r="F5" s="95">
        <v>1.2752558673E10</v>
      </c>
      <c r="G5" s="96">
        <v>4.8024758E7</v>
      </c>
      <c r="H5" s="96">
        <v>156478.0</v>
      </c>
      <c r="I5" s="96">
        <v>1.1586902E7</v>
      </c>
      <c r="J5" s="96">
        <v>-1454555.0</v>
      </c>
      <c r="K5" s="96">
        <v>9.05541751E8</v>
      </c>
      <c r="L5" s="97">
        <v>2.745139358903082</v>
      </c>
      <c r="M5" s="97">
        <v>0.18702144409001104</v>
      </c>
      <c r="N5" s="97">
        <v>0.9693256641139104</v>
      </c>
      <c r="O5" s="97">
        <v>1.8148243804061692</v>
      </c>
      <c r="P5" s="98">
        <f t="shared" ref="P5:Q5" si="2">((((L5*100)-1)*9)/110)+1</f>
        <v>23.37841294</v>
      </c>
      <c r="Q5" s="98">
        <f t="shared" si="2"/>
        <v>2.44835727</v>
      </c>
      <c r="R5" s="98">
        <f t="shared" si="3"/>
        <v>15.76674493</v>
      </c>
      <c r="S5" s="99" t="s">
        <v>37</v>
      </c>
      <c r="T5" s="79"/>
      <c r="U5" s="79"/>
      <c r="V5" s="79"/>
      <c r="W5" s="79"/>
      <c r="X5" s="79"/>
      <c r="Y5" s="79"/>
      <c r="Z5" s="79"/>
    </row>
    <row r="6" ht="21.0" customHeight="1">
      <c r="A6" s="94">
        <v>1.4361245E8</v>
      </c>
      <c r="B6" s="94" t="s">
        <v>131</v>
      </c>
      <c r="C6" s="95">
        <v>4.9554865E7</v>
      </c>
      <c r="D6" s="95">
        <v>6.9036342E7</v>
      </c>
      <c r="E6" s="95">
        <v>8.61220138E8</v>
      </c>
      <c r="F6" s="95">
        <v>1.086140242E9</v>
      </c>
      <c r="G6" s="96">
        <v>1.2001289E7</v>
      </c>
      <c r="H6" s="96">
        <v>1001196.0</v>
      </c>
      <c r="I6" s="96">
        <v>3254255.0</v>
      </c>
      <c r="J6" s="96">
        <v>1.9926283E7</v>
      </c>
      <c r="K6" s="96">
        <v>2.24920104E8</v>
      </c>
      <c r="L6" s="97">
        <v>2.6612616926744312</v>
      </c>
      <c r="M6" s="97">
        <v>2.874369023022326</v>
      </c>
      <c r="N6" s="97">
        <v>1.393129453586444</v>
      </c>
      <c r="O6" s="97">
        <v>1.6377825393728755</v>
      </c>
      <c r="P6" s="98">
        <f t="shared" ref="P6:Q6" si="4">((((L6*100)-1)*9)/110)+1</f>
        <v>22.69214112</v>
      </c>
      <c r="Q6" s="98">
        <f t="shared" si="4"/>
        <v>24.43574655</v>
      </c>
      <c r="R6" s="98">
        <f t="shared" si="3"/>
        <v>14.31822078</v>
      </c>
      <c r="S6" s="99" t="s">
        <v>37</v>
      </c>
      <c r="T6" s="79"/>
      <c r="U6" s="79"/>
      <c r="V6" s="79"/>
      <c r="W6" s="79"/>
      <c r="X6" s="79"/>
      <c r="Y6" s="79"/>
      <c r="Z6" s="79"/>
    </row>
    <row r="7" ht="21.0" customHeight="1">
      <c r="A7" s="94">
        <v>2463403.0</v>
      </c>
      <c r="B7" s="94" t="s">
        <v>90</v>
      </c>
      <c r="C7" s="95">
        <v>9.3598591E7</v>
      </c>
      <c r="D7" s="95">
        <v>8.0833891E7</v>
      </c>
      <c r="E7" s="95">
        <v>9.49975133E9</v>
      </c>
      <c r="F7" s="95">
        <v>1.029504633E10</v>
      </c>
      <c r="G7" s="96">
        <v>4.2450264E7</v>
      </c>
      <c r="H7" s="96">
        <v>1681534.0</v>
      </c>
      <c r="I7" s="96">
        <v>1.1070436E7</v>
      </c>
      <c r="J7" s="96">
        <v>-2861720.0</v>
      </c>
      <c r="K7" s="96">
        <v>7.95295E8</v>
      </c>
      <c r="L7" s="97">
        <v>2.2403295493472055</v>
      </c>
      <c r="M7" s="97">
        <v>1.905498507535332</v>
      </c>
      <c r="N7" s="97">
        <v>0.8636229470591069</v>
      </c>
      <c r="O7" s="97">
        <v>1.4902862930122625</v>
      </c>
      <c r="P7" s="98">
        <f t="shared" ref="P7:Q7" si="5">((((L7*100)-1)*9)/110)+1</f>
        <v>19.24815086</v>
      </c>
      <c r="Q7" s="98">
        <f t="shared" si="5"/>
        <v>16.50862415</v>
      </c>
      <c r="R7" s="98">
        <f t="shared" si="3"/>
        <v>13.11143331</v>
      </c>
      <c r="S7" s="99" t="s">
        <v>37</v>
      </c>
      <c r="T7" s="79"/>
      <c r="U7" s="79"/>
      <c r="V7" s="79"/>
      <c r="W7" s="79"/>
      <c r="X7" s="79"/>
      <c r="Y7" s="79"/>
      <c r="Z7" s="79"/>
    </row>
    <row r="8" ht="21.0" customHeight="1">
      <c r="A8" s="94">
        <v>1.36662717E8</v>
      </c>
      <c r="B8" s="94" t="s">
        <v>128</v>
      </c>
      <c r="C8" s="95">
        <v>5.5099051E7</v>
      </c>
      <c r="D8" s="95">
        <v>5.2278441E7</v>
      </c>
      <c r="E8" s="95">
        <v>8.34750759E8</v>
      </c>
      <c r="F8" s="95">
        <v>1.083803066E9</v>
      </c>
      <c r="G8" s="96">
        <v>1.3318445E7</v>
      </c>
      <c r="H8" s="96">
        <v>1054618.0</v>
      </c>
      <c r="I8" s="96">
        <v>3395446.0</v>
      </c>
      <c r="J8" s="96">
        <v>-2534518.0</v>
      </c>
      <c r="K8" s="96">
        <v>2.49052307E8</v>
      </c>
      <c r="L8" s="97">
        <v>2.3346256793051987</v>
      </c>
      <c r="M8" s="97">
        <v>1.8945464232669729</v>
      </c>
      <c r="N8" s="97">
        <v>0.9488083742131965</v>
      </c>
      <c r="O8" s="97">
        <v>1.4353928849232784</v>
      </c>
      <c r="P8" s="98">
        <f t="shared" ref="P8:Q8" si="6">((((L8*100)-1)*9)/110)+1</f>
        <v>20.01966465</v>
      </c>
      <c r="Q8" s="98">
        <f t="shared" si="6"/>
        <v>16.41901619</v>
      </c>
      <c r="R8" s="98">
        <f t="shared" si="3"/>
        <v>12.66230542</v>
      </c>
      <c r="S8" s="99" t="s">
        <v>37</v>
      </c>
      <c r="T8" s="79"/>
      <c r="U8" s="79"/>
      <c r="V8" s="79"/>
      <c r="W8" s="79"/>
      <c r="X8" s="79"/>
      <c r="Y8" s="79"/>
      <c r="Z8" s="79"/>
    </row>
    <row r="9" ht="21.0" customHeight="1">
      <c r="A9" s="94">
        <v>7.5481347E7</v>
      </c>
      <c r="B9" s="94" t="s">
        <v>55</v>
      </c>
      <c r="C9" s="95">
        <v>1.17965143E8</v>
      </c>
      <c r="D9" s="95">
        <v>1.23003111E8</v>
      </c>
      <c r="E9" s="95">
        <v>1.3573931495E10</v>
      </c>
      <c r="F9" s="95">
        <v>1.4748158651E10</v>
      </c>
      <c r="G9" s="96">
        <v>6.3031991E7</v>
      </c>
      <c r="H9" s="96">
        <v>3262800.0</v>
      </c>
      <c r="I9" s="96">
        <v>1.8444267E7</v>
      </c>
      <c r="J9" s="96">
        <v>9573080.0</v>
      </c>
      <c r="K9" s="96">
        <v>1.174227156E9</v>
      </c>
      <c r="L9" s="97">
        <v>1.965406989106478</v>
      </c>
      <c r="M9" s="97">
        <v>2.4211872658241513</v>
      </c>
      <c r="N9" s="97">
        <v>1.0427072597199327</v>
      </c>
      <c r="O9" s="97">
        <v>1.3653834090431716</v>
      </c>
      <c r="P9" s="98">
        <f t="shared" ref="P9:Q9" si="7">((((L9*100)-1)*9)/110)+1</f>
        <v>16.99878446</v>
      </c>
      <c r="Q9" s="98">
        <f t="shared" si="7"/>
        <v>20.72789581</v>
      </c>
      <c r="R9" s="98">
        <f t="shared" si="3"/>
        <v>12.08950062</v>
      </c>
      <c r="S9" s="99" t="s">
        <v>37</v>
      </c>
      <c r="T9" s="79"/>
      <c r="U9" s="79"/>
      <c r="V9" s="79"/>
      <c r="W9" s="79"/>
      <c r="X9" s="79"/>
      <c r="Y9" s="79"/>
      <c r="Z9" s="79"/>
    </row>
    <row r="10" ht="21.0" customHeight="1">
      <c r="A10" s="94">
        <v>1.71503078E8</v>
      </c>
      <c r="B10" s="94" t="s">
        <v>101</v>
      </c>
      <c r="C10" s="95">
        <v>8.086881E7</v>
      </c>
      <c r="D10" s="95">
        <v>7.431588E7</v>
      </c>
      <c r="E10" s="95">
        <v>2.095837172E9</v>
      </c>
      <c r="F10" s="95">
        <v>2.588998207E9</v>
      </c>
      <c r="G10" s="96">
        <v>2.5904284E7</v>
      </c>
      <c r="H10" s="96">
        <v>736487.0</v>
      </c>
      <c r="I10" s="96">
        <v>6124323.0</v>
      </c>
      <c r="J10" s="96">
        <v>-802054.0</v>
      </c>
      <c r="K10" s="96">
        <v>4.93161035E8</v>
      </c>
      <c r="L10" s="97">
        <v>1.9368559938884347</v>
      </c>
      <c r="M10" s="97">
        <v>1.0517733563613008</v>
      </c>
      <c r="N10" s="97">
        <v>0.9189683884305951</v>
      </c>
      <c r="O10" s="97">
        <v>1.253276731443961</v>
      </c>
      <c r="P10" s="98">
        <f t="shared" ref="P10:Q10" si="8">((((L10*100)-1)*9)/110)+1</f>
        <v>16.7651854</v>
      </c>
      <c r="Q10" s="98">
        <f t="shared" si="8"/>
        <v>9.523600188</v>
      </c>
      <c r="R10" s="98">
        <f t="shared" si="3"/>
        <v>11.17226417</v>
      </c>
      <c r="S10" s="99" t="s">
        <v>37</v>
      </c>
      <c r="T10" s="79"/>
      <c r="U10" s="79"/>
      <c r="V10" s="79"/>
      <c r="W10" s="79"/>
      <c r="X10" s="79"/>
      <c r="Y10" s="79"/>
      <c r="Z10" s="79"/>
    </row>
    <row r="11" ht="21.0" customHeight="1">
      <c r="A11" s="94">
        <v>6.496634E7</v>
      </c>
      <c r="B11" s="94" t="s">
        <v>88</v>
      </c>
      <c r="C11" s="95">
        <v>1.1987165E8</v>
      </c>
      <c r="D11" s="95">
        <v>9.8341047E7</v>
      </c>
      <c r="E11" s="95">
        <v>6.442711619E9</v>
      </c>
      <c r="F11" s="95">
        <v>7.368885225E9</v>
      </c>
      <c r="G11" s="96">
        <v>4.9759117E7</v>
      </c>
      <c r="H11" s="96">
        <v>2404483.0</v>
      </c>
      <c r="I11" s="96">
        <v>1.1851581E7</v>
      </c>
      <c r="J11" s="96">
        <v>-1.047919E7</v>
      </c>
      <c r="K11" s="96">
        <v>9.26173606E8</v>
      </c>
      <c r="L11" s="97">
        <v>1.4957413386341876</v>
      </c>
      <c r="M11" s="97">
        <v>1.7339555415191161</v>
      </c>
      <c r="N11" s="97">
        <v>0.8203861964025689</v>
      </c>
      <c r="O11" s="97">
        <v>1.0421079109201417</v>
      </c>
      <c r="P11" s="98">
        <f t="shared" ref="P11:Q11" si="9">((((L11*100)-1)*9)/110)+1</f>
        <v>13.1560655</v>
      </c>
      <c r="Q11" s="98">
        <f t="shared" si="9"/>
        <v>15.10509079</v>
      </c>
      <c r="R11" s="98">
        <f t="shared" si="3"/>
        <v>9.444519271</v>
      </c>
      <c r="S11" s="99" t="s">
        <v>37</v>
      </c>
      <c r="T11" s="79"/>
      <c r="U11" s="79"/>
      <c r="V11" s="79"/>
      <c r="W11" s="79"/>
      <c r="X11" s="79"/>
      <c r="Y11" s="79"/>
      <c r="Z11" s="79"/>
    </row>
    <row r="12" ht="21.0" customHeight="1">
      <c r="A12" s="94">
        <v>1.1726598E7</v>
      </c>
      <c r="B12" s="94" t="s">
        <v>93</v>
      </c>
      <c r="C12" s="95">
        <v>8.7218821E7</v>
      </c>
      <c r="D12" s="95">
        <v>8.2106789E7</v>
      </c>
      <c r="E12" s="95">
        <v>1.1875533705E10</v>
      </c>
      <c r="F12" s="95">
        <v>1.235069065E10</v>
      </c>
      <c r="G12" s="96">
        <v>2.5229822E7</v>
      </c>
      <c r="H12" s="96">
        <v>372392.0</v>
      </c>
      <c r="I12" s="96">
        <v>6462964.0</v>
      </c>
      <c r="J12" s="96">
        <v>-5162772.0</v>
      </c>
      <c r="K12" s="96">
        <v>4.75156945E8</v>
      </c>
      <c r="L12" s="97">
        <v>1.5711220613548886</v>
      </c>
      <c r="M12" s="97">
        <v>0.47813943876583065</v>
      </c>
      <c r="N12" s="97">
        <v>0.941388430371009</v>
      </c>
      <c r="O12" s="97">
        <v>1.0311374964310116</v>
      </c>
      <c r="P12" s="98">
        <f t="shared" ref="P12:Q12" si="10">((((L12*100)-1)*9)/110)+1</f>
        <v>13.77281687</v>
      </c>
      <c r="Q12" s="98">
        <f t="shared" si="10"/>
        <v>4.830231772</v>
      </c>
      <c r="R12" s="98">
        <f t="shared" si="3"/>
        <v>9.354761334</v>
      </c>
      <c r="S12" s="99" t="s">
        <v>37</v>
      </c>
      <c r="T12" s="79"/>
      <c r="U12" s="79"/>
      <c r="V12" s="79"/>
      <c r="W12" s="79"/>
      <c r="X12" s="79"/>
      <c r="Y12" s="79"/>
      <c r="Z12" s="79"/>
    </row>
    <row r="13" ht="21.0" customHeight="1">
      <c r="A13" s="94">
        <v>1.68923934E8</v>
      </c>
      <c r="B13" s="94" t="s">
        <v>122</v>
      </c>
      <c r="C13" s="95">
        <v>6.9587299E7</v>
      </c>
      <c r="D13" s="95">
        <v>7.7716675E7</v>
      </c>
      <c r="E13" s="95">
        <v>8.67985514E8</v>
      </c>
      <c r="F13" s="95">
        <v>1.152786125E9</v>
      </c>
      <c r="G13" s="96">
        <v>1.590597E7</v>
      </c>
      <c r="H13" s="96">
        <v>1731551.0</v>
      </c>
      <c r="I13" s="96">
        <v>4142875.0</v>
      </c>
      <c r="J13" s="96">
        <v>8699857.0</v>
      </c>
      <c r="K13" s="96">
        <v>2.84800611E8</v>
      </c>
      <c r="L13" s="97">
        <v>1.5756454192576217</v>
      </c>
      <c r="M13" s="97">
        <v>3.1035048423313936</v>
      </c>
      <c r="N13" s="97">
        <v>1.1168226977742015</v>
      </c>
      <c r="O13" s="97">
        <v>0.9934101801649816</v>
      </c>
      <c r="P13" s="98">
        <f t="shared" ref="P13:Q13" si="11">((((L13*100)-1)*9)/110)+1</f>
        <v>13.80982616</v>
      </c>
      <c r="Q13" s="98">
        <f t="shared" si="11"/>
        <v>26.31049416</v>
      </c>
      <c r="R13" s="98">
        <f t="shared" si="3"/>
        <v>9.046083292</v>
      </c>
      <c r="S13" s="99" t="s">
        <v>37</v>
      </c>
      <c r="T13" s="79"/>
      <c r="U13" s="79"/>
      <c r="V13" s="79"/>
      <c r="W13" s="79"/>
      <c r="X13" s="79"/>
      <c r="Y13" s="79"/>
      <c r="Z13" s="79"/>
    </row>
    <row r="14" ht="21.0" customHeight="1">
      <c r="A14" s="94">
        <v>1.71604682E8</v>
      </c>
      <c r="B14" s="94" t="s">
        <v>105</v>
      </c>
      <c r="C14" s="95">
        <v>7.8000325E7</v>
      </c>
      <c r="D14" s="95">
        <v>7.6882042E7</v>
      </c>
      <c r="E14" s="95">
        <v>2.046658221E9</v>
      </c>
      <c r="F14" s="95">
        <v>2.36517621E9</v>
      </c>
      <c r="G14" s="96">
        <v>1.7264921E7</v>
      </c>
      <c r="H14" s="96">
        <v>293911.0</v>
      </c>
      <c r="I14" s="96">
        <v>4783907.0</v>
      </c>
      <c r="J14" s="96">
        <v>679740.0</v>
      </c>
      <c r="K14" s="96">
        <v>3.18517989E8</v>
      </c>
      <c r="L14" s="97">
        <v>1.358322451967882</v>
      </c>
      <c r="M14" s="97">
        <v>0.47528246327216234</v>
      </c>
      <c r="N14" s="97">
        <v>0.9856630981986293</v>
      </c>
      <c r="O14" s="97">
        <v>0.8731552053735275</v>
      </c>
      <c r="P14" s="98">
        <f t="shared" ref="P14:Q14" si="12">((((L14*100)-1)*9)/110)+1</f>
        <v>12.03172915</v>
      </c>
      <c r="Q14" s="98">
        <f t="shared" si="12"/>
        <v>4.806856518</v>
      </c>
      <c r="R14" s="98">
        <f t="shared" si="3"/>
        <v>8.062178953</v>
      </c>
      <c r="S14" s="99" t="s">
        <v>37</v>
      </c>
      <c r="T14" s="79"/>
      <c r="U14" s="79"/>
      <c r="V14" s="79"/>
      <c r="W14" s="79"/>
      <c r="X14" s="79"/>
      <c r="Y14" s="79"/>
      <c r="Z14" s="79"/>
    </row>
    <row r="15" ht="21.0" customHeight="1">
      <c r="A15" s="94">
        <v>9.8107237E7</v>
      </c>
      <c r="B15" s="94" t="s">
        <v>102</v>
      </c>
      <c r="C15" s="95">
        <v>8.0847929E7</v>
      </c>
      <c r="D15" s="95">
        <v>7.3847547E7</v>
      </c>
      <c r="E15" s="95">
        <v>3.468706868E9</v>
      </c>
      <c r="F15" s="95">
        <v>3.801581773E9</v>
      </c>
      <c r="G15" s="96">
        <v>1.7611086E7</v>
      </c>
      <c r="H15" s="96">
        <v>686755.0</v>
      </c>
      <c r="I15" s="96">
        <v>5192971.0</v>
      </c>
      <c r="J15" s="96">
        <v>-7611360.0</v>
      </c>
      <c r="K15" s="96">
        <v>3.32874905E8</v>
      </c>
      <c r="L15" s="97">
        <v>1.3081129385748167</v>
      </c>
      <c r="M15" s="97">
        <v>1.0332754604487357</v>
      </c>
      <c r="N15" s="97">
        <v>0.9134129706649629</v>
      </c>
      <c r="O15" s="97">
        <v>0.8463971620610341</v>
      </c>
      <c r="P15" s="98">
        <f t="shared" ref="P15:Q15" si="13">((((L15*100)-1)*9)/110)+1</f>
        <v>11.62092404</v>
      </c>
      <c r="Q15" s="98">
        <f t="shared" si="13"/>
        <v>9.372253767</v>
      </c>
      <c r="R15" s="98">
        <f t="shared" si="3"/>
        <v>7.843249508</v>
      </c>
      <c r="S15" s="99" t="s">
        <v>37</v>
      </c>
      <c r="T15" s="79"/>
      <c r="U15" s="79"/>
      <c r="V15" s="79"/>
      <c r="W15" s="79"/>
      <c r="X15" s="79"/>
      <c r="Y15" s="79"/>
      <c r="Z15" s="79"/>
    </row>
    <row r="16" ht="21.0" customHeight="1">
      <c r="A16" s="94">
        <v>6.2576249E7</v>
      </c>
      <c r="B16" s="94" t="s">
        <v>92</v>
      </c>
      <c r="C16" s="95">
        <v>9.034525E7</v>
      </c>
      <c r="D16" s="95">
        <v>8.2142556E7</v>
      </c>
      <c r="E16" s="95">
        <v>4.116334761E9</v>
      </c>
      <c r="F16" s="95">
        <v>4.512755982E9</v>
      </c>
      <c r="G16" s="96">
        <v>2.1704276E7</v>
      </c>
      <c r="H16" s="96">
        <v>1139841.0</v>
      </c>
      <c r="I16" s="96">
        <v>5769399.0</v>
      </c>
      <c r="J16" s="96">
        <v>-1384954.0</v>
      </c>
      <c r="K16" s="96">
        <v>3.96421221E8</v>
      </c>
      <c r="L16" s="97">
        <v>1.2099967158871796</v>
      </c>
      <c r="M16" s="97">
        <v>1.3812636659794637</v>
      </c>
      <c r="N16" s="97">
        <v>0.9092072466455071</v>
      </c>
      <c r="O16" s="97">
        <v>0.7994740163669659</v>
      </c>
      <c r="P16" s="98">
        <f t="shared" ref="P16:Q16" si="14">((((L16*100)-1)*9)/110)+1</f>
        <v>10.81815495</v>
      </c>
      <c r="Q16" s="98">
        <f t="shared" si="14"/>
        <v>12.21942999</v>
      </c>
      <c r="R16" s="98">
        <f t="shared" si="3"/>
        <v>7.459332861</v>
      </c>
      <c r="S16" s="99" t="s">
        <v>37</v>
      </c>
      <c r="T16" s="79"/>
      <c r="U16" s="79"/>
      <c r="V16" s="79"/>
      <c r="W16" s="79"/>
      <c r="X16" s="79"/>
      <c r="Y16" s="79"/>
      <c r="Z16" s="79"/>
    </row>
    <row r="17" ht="21.0" customHeight="1">
      <c r="A17" s="94">
        <v>1.71697263E8</v>
      </c>
      <c r="B17" s="94" t="s">
        <v>123</v>
      </c>
      <c r="C17" s="95">
        <v>6.9260369E7</v>
      </c>
      <c r="D17" s="95">
        <v>5.9861978E7</v>
      </c>
      <c r="E17" s="95">
        <v>6.11231562E8</v>
      </c>
      <c r="F17" s="95">
        <v>8.27805832E8</v>
      </c>
      <c r="G17" s="96">
        <v>1.196058E7</v>
      </c>
      <c r="H17" s="96">
        <v>1936309.0</v>
      </c>
      <c r="I17" s="96">
        <v>3414432.0</v>
      </c>
      <c r="J17" s="96">
        <v>-222599.0</v>
      </c>
      <c r="K17" s="96">
        <v>2.1657427E8</v>
      </c>
      <c r="L17" s="97">
        <v>1.2111136702362886</v>
      </c>
      <c r="M17" s="97">
        <v>3.2087901020438645</v>
      </c>
      <c r="N17" s="97">
        <v>0.8643034806817157</v>
      </c>
      <c r="O17" s="97">
        <v>0.7630194875827457</v>
      </c>
      <c r="P17" s="98">
        <f t="shared" ref="P17:Q17" si="15">((((L17*100)-1)*9)/110)+1</f>
        <v>10.82729367</v>
      </c>
      <c r="Q17" s="98">
        <f t="shared" si="15"/>
        <v>27.17191902</v>
      </c>
      <c r="R17" s="98">
        <f t="shared" si="3"/>
        <v>7.161068535</v>
      </c>
      <c r="S17" s="99" t="s">
        <v>37</v>
      </c>
      <c r="T17" s="79"/>
      <c r="U17" s="79"/>
      <c r="V17" s="79"/>
      <c r="W17" s="79"/>
      <c r="X17" s="79"/>
      <c r="Y17" s="79"/>
      <c r="Z17" s="79"/>
    </row>
    <row r="18" ht="21.0" customHeight="1">
      <c r="A18" s="94">
        <v>7.4556991E7</v>
      </c>
      <c r="B18" s="94" t="s">
        <v>108</v>
      </c>
      <c r="C18" s="95">
        <v>7.1123417E7</v>
      </c>
      <c r="D18" s="95">
        <v>7.3353827E7</v>
      </c>
      <c r="E18" s="95">
        <v>3.221978435E9</v>
      </c>
      <c r="F18" s="95">
        <v>3.438932532E9</v>
      </c>
      <c r="G18" s="96">
        <v>1.1701126E7</v>
      </c>
      <c r="H18" s="96">
        <v>536098.0</v>
      </c>
      <c r="I18" s="96">
        <v>3050412.0</v>
      </c>
      <c r="J18" s="96">
        <v>-2762340.0</v>
      </c>
      <c r="K18" s="96">
        <v>2.16954097E8</v>
      </c>
      <c r="L18" s="97">
        <v>1.1420072309355467</v>
      </c>
      <c r="M18" s="97">
        <v>0.9434384288594573</v>
      </c>
      <c r="N18" s="97">
        <v>1.0313597137775312</v>
      </c>
      <c r="O18" s="97">
        <v>0.7225269236804713</v>
      </c>
      <c r="P18" s="98">
        <f t="shared" ref="P18:Q18" si="16">((((L18*100)-1)*9)/110)+1</f>
        <v>10.26187734</v>
      </c>
      <c r="Q18" s="98">
        <f t="shared" si="16"/>
        <v>8.637223509</v>
      </c>
      <c r="R18" s="98">
        <f t="shared" si="3"/>
        <v>6.829765739</v>
      </c>
      <c r="S18" s="99" t="s">
        <v>37</v>
      </c>
      <c r="T18" s="79"/>
      <c r="U18" s="79"/>
      <c r="V18" s="79"/>
      <c r="W18" s="79"/>
      <c r="X18" s="79"/>
      <c r="Y18" s="79"/>
      <c r="Z18" s="79"/>
    </row>
    <row r="19" ht="21.0" customHeight="1">
      <c r="A19" s="94">
        <v>1.70728362E8</v>
      </c>
      <c r="B19" s="94" t="s">
        <v>117</v>
      </c>
      <c r="C19" s="95">
        <v>7.3416348E7</v>
      </c>
      <c r="D19" s="95">
        <v>6.9518172E7</v>
      </c>
      <c r="E19" s="95">
        <v>6.64639119E8</v>
      </c>
      <c r="F19" s="95">
        <v>8.88418699E8</v>
      </c>
      <c r="G19" s="96">
        <v>1.1922287E7</v>
      </c>
      <c r="H19" s="96">
        <v>685232.0</v>
      </c>
      <c r="I19" s="96">
        <v>3621934.0</v>
      </c>
      <c r="J19" s="96">
        <v>-1405388.0</v>
      </c>
      <c r="K19" s="96">
        <v>2.2377958E8</v>
      </c>
      <c r="L19" s="97">
        <v>1.095701476282967</v>
      </c>
      <c r="M19" s="97">
        <v>1.1951878093035626</v>
      </c>
      <c r="N19" s="97">
        <v>0.9469031611324497</v>
      </c>
      <c r="O19" s="97">
        <v>0.696898009371352</v>
      </c>
      <c r="P19" s="98">
        <f t="shared" ref="P19:Q19" si="17">((((L19*100)-1)*9)/110)+1</f>
        <v>9.883012079</v>
      </c>
      <c r="Q19" s="98">
        <f t="shared" si="17"/>
        <v>10.69699117</v>
      </c>
      <c r="R19" s="98">
        <f t="shared" si="3"/>
        <v>6.620074622</v>
      </c>
      <c r="S19" s="99" t="s">
        <v>37</v>
      </c>
      <c r="T19" s="79"/>
      <c r="U19" s="79"/>
      <c r="V19" s="79"/>
      <c r="W19" s="79"/>
      <c r="X19" s="79"/>
      <c r="Y19" s="79"/>
      <c r="Z19" s="79"/>
    </row>
    <row r="20" ht="21.0" customHeight="1">
      <c r="A20" s="94">
        <v>1.68455139E8</v>
      </c>
      <c r="B20" s="94" t="s">
        <v>89</v>
      </c>
      <c r="C20" s="95">
        <v>1.13776671E8</v>
      </c>
      <c r="D20" s="95">
        <v>9.876883E7</v>
      </c>
      <c r="E20" s="95">
        <v>3.81588467E9</v>
      </c>
      <c r="F20" s="95">
        <v>4.366583035E9</v>
      </c>
      <c r="G20" s="96">
        <v>2.9465003E7</v>
      </c>
      <c r="H20" s="96">
        <v>1487572.0</v>
      </c>
      <c r="I20" s="96">
        <v>8116166.0</v>
      </c>
      <c r="J20" s="96">
        <v>-4486041.0</v>
      </c>
      <c r="K20" s="96">
        <v>5.50698365E8</v>
      </c>
      <c r="L20" s="97">
        <v>0.9993362292460424</v>
      </c>
      <c r="M20" s="97">
        <v>1.177728190217067</v>
      </c>
      <c r="N20" s="97">
        <v>0.8680938643388503</v>
      </c>
      <c r="O20" s="97">
        <v>0.6896905351902161</v>
      </c>
      <c r="P20" s="98">
        <f t="shared" ref="P20:Q20" si="18">((((L20*100)-1)*9)/110)+1</f>
        <v>9.094569148</v>
      </c>
      <c r="Q20" s="98">
        <f t="shared" si="18"/>
        <v>10.55413974</v>
      </c>
      <c r="R20" s="98">
        <f t="shared" si="3"/>
        <v>6.561104379</v>
      </c>
      <c r="S20" s="99" t="s">
        <v>37</v>
      </c>
      <c r="T20" s="79"/>
      <c r="U20" s="79"/>
      <c r="V20" s="79"/>
      <c r="W20" s="79"/>
      <c r="X20" s="79"/>
      <c r="Y20" s="79"/>
      <c r="Z20" s="79"/>
    </row>
    <row r="21" ht="21.0" customHeight="1">
      <c r="A21" s="94">
        <v>5.524249E7</v>
      </c>
      <c r="B21" s="94" t="s">
        <v>112</v>
      </c>
      <c r="C21" s="95">
        <v>7.562687E7</v>
      </c>
      <c r="D21" s="95">
        <v>7.0573379E7</v>
      </c>
      <c r="E21" s="95">
        <v>1.615434611E9</v>
      </c>
      <c r="F21" s="95">
        <v>1.84453319E9</v>
      </c>
      <c r="G21" s="96">
        <v>1.3023077E7</v>
      </c>
      <c r="H21" s="96">
        <v>827352.0</v>
      </c>
      <c r="I21" s="96">
        <v>3069003.0</v>
      </c>
      <c r="J21" s="96">
        <v>1918695.0</v>
      </c>
      <c r="K21" s="96">
        <v>2.29098579E8</v>
      </c>
      <c r="L21" s="97">
        <v>1.0483432506081145</v>
      </c>
      <c r="M21" s="97">
        <v>1.0754358790316623</v>
      </c>
      <c r="N21" s="97">
        <v>0.9331786308226163</v>
      </c>
      <c r="O21" s="97">
        <v>0.6702012376285191</v>
      </c>
      <c r="P21" s="98">
        <f t="shared" ref="P21:Q21" si="19">((((L21*100)-1)*9)/110)+1</f>
        <v>9.495535687</v>
      </c>
      <c r="Q21" s="98">
        <f t="shared" si="19"/>
        <v>9.717202647</v>
      </c>
      <c r="R21" s="98">
        <f t="shared" si="3"/>
        <v>6.40164649</v>
      </c>
      <c r="S21" s="99" t="s">
        <v>37</v>
      </c>
      <c r="T21" s="79"/>
      <c r="U21" s="79"/>
      <c r="V21" s="79"/>
      <c r="W21" s="79"/>
      <c r="X21" s="79"/>
      <c r="Y21" s="79"/>
      <c r="Z21" s="79"/>
    </row>
    <row r="22" ht="21.0" customHeight="1">
      <c r="A22" s="94">
        <v>1.7160984E8</v>
      </c>
      <c r="B22" s="94" t="s">
        <v>114</v>
      </c>
      <c r="C22" s="95">
        <v>7.4851331E7</v>
      </c>
      <c r="D22" s="95">
        <v>6.2060731E7</v>
      </c>
      <c r="E22" s="95">
        <v>8.26712465E8</v>
      </c>
      <c r="F22" s="95">
        <v>1.046303379E9</v>
      </c>
      <c r="G22" s="96">
        <v>1.204766E7</v>
      </c>
      <c r="H22" s="96">
        <v>1184316.0</v>
      </c>
      <c r="I22" s="96">
        <v>3438284.0</v>
      </c>
      <c r="J22" s="96">
        <v>-4954591.0</v>
      </c>
      <c r="K22" s="96">
        <v>2.19590914E8</v>
      </c>
      <c r="L22" s="97">
        <v>1.028745663520607</v>
      </c>
      <c r="M22" s="97">
        <v>1.9952921668774208</v>
      </c>
      <c r="N22" s="97">
        <v>0.8291199390963402</v>
      </c>
      <c r="O22" s="97">
        <v>0.6564907693899145</v>
      </c>
      <c r="P22" s="98">
        <f t="shared" ref="P22:Q22" si="20">((((L22*100)-1)*9)/110)+1</f>
        <v>9.335191792</v>
      </c>
      <c r="Q22" s="98">
        <f t="shared" si="20"/>
        <v>17.24329955</v>
      </c>
      <c r="R22" s="98">
        <f t="shared" si="3"/>
        <v>6.289469931</v>
      </c>
      <c r="S22" s="99" t="s">
        <v>37</v>
      </c>
      <c r="T22" s="79"/>
      <c r="U22" s="79"/>
      <c r="V22" s="79"/>
      <c r="W22" s="79"/>
      <c r="X22" s="79"/>
      <c r="Y22" s="79"/>
      <c r="Z22" s="79"/>
    </row>
    <row r="23" ht="21.0" customHeight="1">
      <c r="A23" s="94">
        <v>1.70866748E8</v>
      </c>
      <c r="B23" s="94" t="s">
        <v>118</v>
      </c>
      <c r="C23" s="95">
        <v>7.2944903E7</v>
      </c>
      <c r="D23" s="95">
        <v>6.8772995E7</v>
      </c>
      <c r="E23" s="95">
        <v>8.44208113E8</v>
      </c>
      <c r="F23" s="95">
        <v>1.047166515E9</v>
      </c>
      <c r="G23" s="96">
        <v>1.0578768E7</v>
      </c>
      <c r="H23" s="96">
        <v>564205.0</v>
      </c>
      <c r="I23" s="96">
        <v>3090211.0</v>
      </c>
      <c r="J23" s="96">
        <v>-3890944.0</v>
      </c>
      <c r="K23" s="96">
        <v>2.02958402E8</v>
      </c>
      <c r="L23" s="97">
        <v>1.0084653616828205</v>
      </c>
      <c r="M23" s="97">
        <v>0.6028875816615592</v>
      </c>
      <c r="N23" s="97">
        <v>0.9428074090385726</v>
      </c>
      <c r="O23" s="97">
        <v>0.6407148212168571</v>
      </c>
      <c r="P23" s="98">
        <f t="shared" ref="P23:Q23" si="21">((((L23*100)-1)*9)/110)+1</f>
        <v>9.16926205</v>
      </c>
      <c r="Q23" s="98">
        <f t="shared" si="21"/>
        <v>5.850898395</v>
      </c>
      <c r="R23" s="98">
        <f t="shared" si="3"/>
        <v>6.160393992</v>
      </c>
      <c r="S23" s="99" t="s">
        <v>144</v>
      </c>
      <c r="T23" s="79"/>
      <c r="U23" s="79"/>
      <c r="V23" s="79"/>
      <c r="W23" s="79"/>
      <c r="X23" s="79"/>
      <c r="Y23" s="79"/>
      <c r="Z23" s="79"/>
    </row>
    <row r="24" ht="21.0" customHeight="1">
      <c r="A24" s="94">
        <v>1.81734011E8</v>
      </c>
      <c r="B24" s="94" t="s">
        <v>132</v>
      </c>
      <c r="C24" s="95">
        <v>3.6684245E7</v>
      </c>
      <c r="D24" s="95">
        <v>3.2392119E7</v>
      </c>
      <c r="E24" s="95">
        <v>1.15169958E8</v>
      </c>
      <c r="F24" s="95">
        <v>1.58474683E8</v>
      </c>
      <c r="G24" s="96">
        <v>2760441.0</v>
      </c>
      <c r="H24" s="96">
        <v>1313927.0</v>
      </c>
      <c r="I24" s="96">
        <v>830961.0</v>
      </c>
      <c r="J24" s="96">
        <v>-1088222.0</v>
      </c>
      <c r="K24" s="96">
        <v>4.3304725E7</v>
      </c>
      <c r="L24" s="97">
        <v>0.9359641314935306</v>
      </c>
      <c r="M24" s="97">
        <v>14.281078430578301</v>
      </c>
      <c r="N24" s="97">
        <v>0.8829981099515609</v>
      </c>
      <c r="O24" s="97">
        <v>0.6314767237434101</v>
      </c>
      <c r="P24" s="98">
        <f t="shared" ref="P24:Q24" si="22">((((L24*100)-1)*9)/110)+1</f>
        <v>8.576070167</v>
      </c>
      <c r="Q24" s="98">
        <f t="shared" si="22"/>
        <v>117.763369</v>
      </c>
      <c r="R24" s="98">
        <f t="shared" si="3"/>
        <v>6.084809558</v>
      </c>
      <c r="S24" s="99" t="s">
        <v>37</v>
      </c>
      <c r="T24" s="79"/>
      <c r="U24" s="79"/>
      <c r="V24" s="79"/>
      <c r="W24" s="79"/>
      <c r="X24" s="79"/>
      <c r="Y24" s="79"/>
      <c r="Z24" s="79"/>
    </row>
    <row r="25" ht="21.0" customHeight="1">
      <c r="A25" s="94">
        <v>2.708355E7</v>
      </c>
      <c r="B25" s="94" t="s">
        <v>95</v>
      </c>
      <c r="C25" s="95">
        <v>8.4868298E7</v>
      </c>
      <c r="D25" s="95">
        <v>7.5716145E7</v>
      </c>
      <c r="E25" s="95">
        <v>3.516995142E9</v>
      </c>
      <c r="F25" s="95">
        <v>3.775376479E9</v>
      </c>
      <c r="G25" s="96">
        <v>1.4145844E7</v>
      </c>
      <c r="H25" s="96">
        <v>1894441.0</v>
      </c>
      <c r="I25" s="96">
        <v>4358146.0</v>
      </c>
      <c r="J25" s="96">
        <v>-2044936.0</v>
      </c>
      <c r="K25" s="96">
        <v>2.58381337E8</v>
      </c>
      <c r="L25" s="97">
        <v>0.9091214840216986</v>
      </c>
      <c r="M25" s="97">
        <v>2.5896311567818633</v>
      </c>
      <c r="N25" s="97">
        <v>0.8921605214705731</v>
      </c>
      <c r="O25" s="97">
        <v>0.5935862162578267</v>
      </c>
      <c r="P25" s="98">
        <f t="shared" ref="P25:Q25" si="23">((((L25*100)-1)*9)/110)+1</f>
        <v>8.356448506</v>
      </c>
      <c r="Q25" s="98">
        <f t="shared" si="23"/>
        <v>22.1060731</v>
      </c>
      <c r="R25" s="98">
        <f t="shared" si="3"/>
        <v>5.774796315</v>
      </c>
      <c r="S25" s="99" t="s">
        <v>37</v>
      </c>
      <c r="T25" s="79"/>
      <c r="U25" s="79"/>
      <c r="V25" s="79"/>
      <c r="W25" s="79"/>
      <c r="X25" s="79"/>
      <c r="Y25" s="79"/>
      <c r="Z25" s="79"/>
    </row>
    <row r="26" ht="21.0" customHeight="1">
      <c r="A26" s="94">
        <v>1.6942777E8</v>
      </c>
      <c r="B26" s="94" t="s">
        <v>96</v>
      </c>
      <c r="C26" s="95">
        <v>8.4302176E7</v>
      </c>
      <c r="D26" s="95">
        <v>7.3673928E7</v>
      </c>
      <c r="E26" s="95">
        <v>1.099951251E9</v>
      </c>
      <c r="F26" s="95">
        <v>1.343155756E9</v>
      </c>
      <c r="G26" s="96">
        <v>1.3324469E7</v>
      </c>
      <c r="H26" s="96">
        <v>1530141.0</v>
      </c>
      <c r="I26" s="96">
        <v>4115803.0</v>
      </c>
      <c r="J26" s="96">
        <v>-2574874.0</v>
      </c>
      <c r="K26" s="96">
        <v>2.43204505E8</v>
      </c>
      <c r="L26" s="97">
        <v>0.8688569361650552</v>
      </c>
      <c r="M26" s="97">
        <v>2.0723972731301465</v>
      </c>
      <c r="N26" s="97">
        <v>0.8739267655439878</v>
      </c>
      <c r="O26" s="97">
        <v>0.5665823786851056</v>
      </c>
      <c r="P26" s="98">
        <f t="shared" ref="P26:Q26" si="24">((((L26*100)-1)*9)/110)+1</f>
        <v>8.027011296</v>
      </c>
      <c r="Q26" s="98">
        <f t="shared" si="24"/>
        <v>17.87415951</v>
      </c>
      <c r="R26" s="98">
        <f t="shared" si="3"/>
        <v>5.553855826</v>
      </c>
      <c r="S26" s="99" t="s">
        <v>144</v>
      </c>
      <c r="T26" s="79"/>
      <c r="U26" s="79"/>
      <c r="V26" s="79"/>
      <c r="W26" s="79"/>
      <c r="X26" s="79"/>
      <c r="Y26" s="79"/>
      <c r="Z26" s="79"/>
    </row>
    <row r="27" ht="21.0" customHeight="1">
      <c r="A27" s="94">
        <v>4.8741756E7</v>
      </c>
      <c r="B27" s="94" t="s">
        <v>98</v>
      </c>
      <c r="C27" s="95">
        <v>8.3555578E7</v>
      </c>
      <c r="D27" s="95">
        <v>7.8050678E7</v>
      </c>
      <c r="E27" s="95">
        <v>3.409309342E9</v>
      </c>
      <c r="F27" s="95">
        <v>3.644222697E9</v>
      </c>
      <c r="G27" s="96">
        <v>1.2752311E7</v>
      </c>
      <c r="H27" s="96">
        <v>704677.0</v>
      </c>
      <c r="I27" s="96">
        <v>3454625.0</v>
      </c>
      <c r="J27" s="96">
        <v>-1951000.0</v>
      </c>
      <c r="K27" s="96">
        <v>2.34913355E8</v>
      </c>
      <c r="L27" s="97">
        <v>0.856406449401388</v>
      </c>
      <c r="M27" s="97">
        <v>0.993306818179261</v>
      </c>
      <c r="N27" s="97">
        <v>0.9341169059951928</v>
      </c>
      <c r="O27" s="97">
        <v>0.5575317803749609</v>
      </c>
      <c r="P27" s="98">
        <f t="shared" ref="P27:Q27" si="25">((((L27*100)-1)*9)/110)+1</f>
        <v>7.925143677</v>
      </c>
      <c r="Q27" s="98">
        <f t="shared" si="25"/>
        <v>9.045237603</v>
      </c>
      <c r="R27" s="98">
        <f t="shared" si="3"/>
        <v>5.479805476</v>
      </c>
      <c r="S27" s="99" t="s">
        <v>37</v>
      </c>
      <c r="T27" s="79"/>
      <c r="U27" s="79"/>
      <c r="V27" s="79"/>
      <c r="W27" s="79"/>
      <c r="X27" s="79"/>
      <c r="Y27" s="79"/>
      <c r="Z27" s="79"/>
    </row>
    <row r="28" ht="21.0" customHeight="1">
      <c r="A28" s="94">
        <v>1.69672885E8</v>
      </c>
      <c r="B28" s="94" t="s">
        <v>127</v>
      </c>
      <c r="C28" s="95">
        <v>6.2144212E7</v>
      </c>
      <c r="D28" s="95">
        <v>5.8172762E7</v>
      </c>
      <c r="E28" s="95">
        <v>5.22474907E8</v>
      </c>
      <c r="F28" s="95">
        <v>6.45556233E8</v>
      </c>
      <c r="G28" s="96">
        <v>7034436.0</v>
      </c>
      <c r="H28" s="96">
        <v>749374.0</v>
      </c>
      <c r="I28" s="96">
        <v>2098079.0</v>
      </c>
      <c r="J28" s="96">
        <v>-2400718.0</v>
      </c>
      <c r="K28" s="96">
        <v>1.23081326E8</v>
      </c>
      <c r="L28" s="97">
        <v>0.8805519744683603</v>
      </c>
      <c r="M28" s="97">
        <v>1.8705704185212388</v>
      </c>
      <c r="N28" s="97">
        <v>0.9360930025148602</v>
      </c>
      <c r="O28" s="97">
        <v>0.5466006531184371</v>
      </c>
      <c r="P28" s="98">
        <f t="shared" ref="P28:Q28" si="26">((((L28*100)-1)*9)/110)+1</f>
        <v>8.122697973</v>
      </c>
      <c r="Q28" s="98">
        <f t="shared" si="26"/>
        <v>16.22284888</v>
      </c>
      <c r="R28" s="98">
        <f t="shared" si="3"/>
        <v>5.39036898</v>
      </c>
      <c r="S28" s="99" t="s">
        <v>144</v>
      </c>
      <c r="T28" s="79"/>
      <c r="U28" s="79"/>
      <c r="V28" s="79"/>
      <c r="W28" s="79"/>
      <c r="X28" s="79"/>
      <c r="Y28" s="79"/>
      <c r="Z28" s="79"/>
    </row>
    <row r="29" ht="21.0" customHeight="1">
      <c r="A29" s="94">
        <v>1.72041454E8</v>
      </c>
      <c r="B29" s="94" t="s">
        <v>104</v>
      </c>
      <c r="C29" s="95">
        <v>7.8637719E7</v>
      </c>
      <c r="D29" s="95">
        <v>6.3509767E7</v>
      </c>
      <c r="E29" s="95">
        <v>7.74147673E8</v>
      </c>
      <c r="F29" s="95">
        <v>9.75741526E8</v>
      </c>
      <c r="G29" s="96">
        <v>1.1100183E7</v>
      </c>
      <c r="H29" s="96">
        <v>2025575.0</v>
      </c>
      <c r="I29" s="96">
        <v>3804003.0</v>
      </c>
      <c r="J29" s="96">
        <v>-3216876.0</v>
      </c>
      <c r="K29" s="96">
        <v>2.01593853E8</v>
      </c>
      <c r="L29" s="97">
        <v>0.8438896433668455</v>
      </c>
      <c r="M29" s="97">
        <v>3.2220119590053238</v>
      </c>
      <c r="N29" s="97">
        <v>0.8076247354021039</v>
      </c>
      <c r="O29" s="97">
        <v>0.5432664516656676</v>
      </c>
      <c r="P29" s="98">
        <f t="shared" ref="P29:Q29" si="27">((((L29*100)-1)*9)/110)+1</f>
        <v>7.822733446</v>
      </c>
      <c r="Q29" s="98">
        <f t="shared" si="27"/>
        <v>27.28009785</v>
      </c>
      <c r="R29" s="98">
        <f t="shared" si="3"/>
        <v>5.36308915</v>
      </c>
      <c r="S29" s="99" t="s">
        <v>144</v>
      </c>
      <c r="T29" s="79"/>
      <c r="U29" s="79"/>
      <c r="V29" s="79"/>
      <c r="W29" s="79"/>
      <c r="X29" s="79"/>
      <c r="Y29" s="79"/>
      <c r="Z29" s="79"/>
    </row>
    <row r="30" ht="21.0" customHeight="1">
      <c r="A30" s="94">
        <v>1.4461836E8</v>
      </c>
      <c r="B30" s="94" t="s">
        <v>125</v>
      </c>
      <c r="C30" s="95">
        <v>6.4545425E7</v>
      </c>
      <c r="D30" s="95">
        <v>6.2267521E7</v>
      </c>
      <c r="E30" s="95">
        <v>3.52591839E8</v>
      </c>
      <c r="F30" s="95">
        <v>4.68826008E8</v>
      </c>
      <c r="G30" s="96">
        <v>6378894.0</v>
      </c>
      <c r="H30" s="96">
        <v>857985.0</v>
      </c>
      <c r="I30" s="96">
        <v>1778246.0</v>
      </c>
      <c r="J30" s="96">
        <v>-74906.0</v>
      </c>
      <c r="K30" s="96">
        <v>1.16234169E8</v>
      </c>
      <c r="L30" s="97">
        <v>0.7630818778922361</v>
      </c>
      <c r="M30" s="97">
        <v>1.3583751969384632</v>
      </c>
      <c r="N30" s="97">
        <v>0.9647085134229111</v>
      </c>
      <c r="O30" s="97">
        <v>0.47589523948088297</v>
      </c>
      <c r="P30" s="98">
        <f t="shared" ref="P30:Q30" si="28">((((L30*100)-1)*9)/110)+1</f>
        <v>7.161579001</v>
      </c>
      <c r="Q30" s="98">
        <f t="shared" si="28"/>
        <v>12.0321607</v>
      </c>
      <c r="R30" s="98">
        <f t="shared" si="3"/>
        <v>4.811870141</v>
      </c>
      <c r="S30" s="99" t="s">
        <v>144</v>
      </c>
      <c r="T30" s="79"/>
      <c r="U30" s="79"/>
      <c r="V30" s="79"/>
      <c r="W30" s="79"/>
      <c r="X30" s="79"/>
      <c r="Y30" s="79"/>
      <c r="Z30" s="79"/>
    </row>
    <row r="31" ht="21.0" customHeight="1">
      <c r="A31" s="94">
        <v>1.69247313E8</v>
      </c>
      <c r="B31" s="94" t="s">
        <v>100</v>
      </c>
      <c r="C31" s="95">
        <v>8.3288321E7</v>
      </c>
      <c r="D31" s="95">
        <v>6.8597398E7</v>
      </c>
      <c r="E31" s="95">
        <v>7.09981694E8</v>
      </c>
      <c r="F31" s="95">
        <v>9.08219268E8</v>
      </c>
      <c r="G31" s="96">
        <v>1.1297204E7</v>
      </c>
      <c r="H31" s="96">
        <v>1839980.0</v>
      </c>
      <c r="I31" s="96">
        <v>3289892.0</v>
      </c>
      <c r="J31" s="96">
        <v>-7094651.0</v>
      </c>
      <c r="K31" s="96">
        <v>1.98237574E8</v>
      </c>
      <c r="L31" s="97">
        <v>0.7279917393395712</v>
      </c>
      <c r="M31" s="97">
        <v>2.610013836271848</v>
      </c>
      <c r="N31" s="97">
        <v>0.8236136492654235</v>
      </c>
      <c r="O31" s="97">
        <v>0.4736479183165074</v>
      </c>
      <c r="P31" s="98">
        <f t="shared" ref="P31:Q31" si="29">((((L31*100)-1)*9)/110)+1</f>
        <v>6.874477867</v>
      </c>
      <c r="Q31" s="98">
        <f t="shared" si="29"/>
        <v>22.27284048</v>
      </c>
      <c r="R31" s="98">
        <f t="shared" si="3"/>
        <v>4.793482968</v>
      </c>
      <c r="S31" s="99" t="s">
        <v>144</v>
      </c>
      <c r="T31" s="79"/>
      <c r="U31" s="79"/>
      <c r="V31" s="79"/>
      <c r="W31" s="79"/>
      <c r="X31" s="79"/>
      <c r="Y31" s="79"/>
      <c r="Z31" s="79"/>
    </row>
    <row r="32" ht="21.0" customHeight="1">
      <c r="A32" s="94">
        <v>1.20029911E8</v>
      </c>
      <c r="B32" s="94" t="s">
        <v>103</v>
      </c>
      <c r="C32" s="95">
        <v>7.9175323E7</v>
      </c>
      <c r="D32" s="95">
        <v>6.9418228E7</v>
      </c>
      <c r="E32" s="95">
        <v>1.139092616E9</v>
      </c>
      <c r="F32" s="95">
        <v>1.314837262E9</v>
      </c>
      <c r="G32" s="96">
        <v>1.0166661E7</v>
      </c>
      <c r="H32" s="96">
        <v>1438633.0</v>
      </c>
      <c r="I32" s="96">
        <v>2948708.0</v>
      </c>
      <c r="J32" s="96">
        <v>-6346065.0</v>
      </c>
      <c r="K32" s="96">
        <v>1.75744646E8</v>
      </c>
      <c r="L32" s="97">
        <v>0.724341427344747</v>
      </c>
      <c r="M32" s="97">
        <v>2.257144308497749</v>
      </c>
      <c r="N32" s="97">
        <v>0.8767659590097283</v>
      </c>
      <c r="O32" s="97">
        <v>0.4668830269930242</v>
      </c>
      <c r="P32" s="98">
        <f t="shared" ref="P32:Q32" si="30">((((L32*100)-1)*9)/110)+1</f>
        <v>6.844611678</v>
      </c>
      <c r="Q32" s="98">
        <f t="shared" si="30"/>
        <v>19.38572616</v>
      </c>
      <c r="R32" s="98">
        <f t="shared" si="3"/>
        <v>4.738133857</v>
      </c>
      <c r="S32" s="99" t="s">
        <v>144</v>
      </c>
      <c r="T32" s="79"/>
      <c r="U32" s="79"/>
      <c r="V32" s="79"/>
      <c r="W32" s="79"/>
      <c r="X32" s="79"/>
      <c r="Y32" s="79"/>
      <c r="Z32" s="79"/>
    </row>
    <row r="33" ht="21.0" customHeight="1">
      <c r="A33" s="94">
        <v>1.76044158E8</v>
      </c>
      <c r="B33" s="94" t="s">
        <v>129</v>
      </c>
      <c r="C33" s="95">
        <v>5.4687779E7</v>
      </c>
      <c r="D33" s="95">
        <v>5.1668726E7</v>
      </c>
      <c r="E33" s="95">
        <v>2.26567572E8</v>
      </c>
      <c r="F33" s="95">
        <v>3.03254558E8</v>
      </c>
      <c r="G33" s="96">
        <v>4364835.0</v>
      </c>
      <c r="H33" s="96">
        <v>1629089.0</v>
      </c>
      <c r="I33" s="96">
        <v>1469968.0</v>
      </c>
      <c r="J33" s="96">
        <v>-1209845.0</v>
      </c>
      <c r="K33" s="96">
        <v>7.6686986E7</v>
      </c>
      <c r="L33" s="97">
        <v>0.7309361137846807</v>
      </c>
      <c r="M33" s="97">
        <v>2.9865121353074993</v>
      </c>
      <c r="N33" s="97">
        <v>0.9447947410700296</v>
      </c>
      <c r="O33" s="97">
        <v>0.44927920532651167</v>
      </c>
      <c r="P33" s="98">
        <f t="shared" ref="P33:Q33" si="31">((((L33*100)-1)*9)/110)+1</f>
        <v>6.898568204</v>
      </c>
      <c r="Q33" s="98">
        <f t="shared" si="31"/>
        <v>25.35328111</v>
      </c>
      <c r="R33" s="98">
        <f t="shared" si="3"/>
        <v>4.594102589</v>
      </c>
      <c r="S33" s="99" t="s">
        <v>144</v>
      </c>
      <c r="T33" s="79"/>
      <c r="U33" s="79"/>
      <c r="V33" s="79"/>
      <c r="W33" s="79"/>
      <c r="X33" s="79"/>
      <c r="Y33" s="79"/>
      <c r="Z33" s="79"/>
    </row>
    <row r="34" ht="21.0" customHeight="1">
      <c r="A34" s="94">
        <v>1.39292614E8</v>
      </c>
      <c r="B34" s="94" t="s">
        <v>120</v>
      </c>
      <c r="C34" s="95">
        <v>7.1686951E7</v>
      </c>
      <c r="D34" s="95">
        <v>6.7213851E7</v>
      </c>
      <c r="E34" s="95">
        <v>8.83646319E8</v>
      </c>
      <c r="F34" s="95">
        <v>1.013412664E9</v>
      </c>
      <c r="G34" s="96">
        <v>6856462.0</v>
      </c>
      <c r="H34" s="96">
        <v>575789.0</v>
      </c>
      <c r="I34" s="96">
        <v>2061452.0</v>
      </c>
      <c r="J34" s="96">
        <v>437182.0</v>
      </c>
      <c r="K34" s="96">
        <v>1.29766345E8</v>
      </c>
      <c r="L34" s="97">
        <v>0.670883573938693</v>
      </c>
      <c r="M34" s="97">
        <v>1.0800691883879225</v>
      </c>
      <c r="N34" s="97">
        <v>0.9376023120302606</v>
      </c>
      <c r="O34" s="97">
        <v>0.42500393807922404</v>
      </c>
      <c r="P34" s="98">
        <f t="shared" ref="P34:Q34" si="32">((((L34*100)-1)*9)/110)+1</f>
        <v>6.407229241</v>
      </c>
      <c r="Q34" s="98">
        <f t="shared" si="32"/>
        <v>9.755111541</v>
      </c>
      <c r="R34" s="98">
        <f t="shared" si="3"/>
        <v>4.395486766</v>
      </c>
      <c r="S34" s="99" t="s">
        <v>144</v>
      </c>
      <c r="T34" s="79"/>
      <c r="U34" s="79"/>
      <c r="V34" s="79"/>
      <c r="W34" s="79"/>
      <c r="X34" s="79"/>
      <c r="Y34" s="79"/>
      <c r="Z34" s="79"/>
    </row>
    <row r="35" ht="21.0" customHeight="1">
      <c r="A35" s="94">
        <v>1.66497805E8</v>
      </c>
      <c r="B35" s="94" t="s">
        <v>109</v>
      </c>
      <c r="C35" s="95">
        <v>7.6860066E7</v>
      </c>
      <c r="D35" s="95">
        <v>6.9380728E7</v>
      </c>
      <c r="E35" s="95">
        <v>7.94427369E8</v>
      </c>
      <c r="F35" s="95">
        <v>9.30372943E8</v>
      </c>
      <c r="G35" s="96">
        <v>7211935.0</v>
      </c>
      <c r="H35" s="96">
        <v>958330.0</v>
      </c>
      <c r="I35" s="96">
        <v>2513588.0</v>
      </c>
      <c r="J35" s="96">
        <v>-2081727.0</v>
      </c>
      <c r="K35" s="96">
        <v>1.35945574E8</v>
      </c>
      <c r="L35" s="97">
        <v>0.5995448641371204</v>
      </c>
      <c r="M35" s="97">
        <v>1.5968983582394174</v>
      </c>
      <c r="N35" s="97">
        <v>0.9026888943863254</v>
      </c>
      <c r="O35" s="97">
        <v>0.3843835742318242</v>
      </c>
      <c r="P35" s="98">
        <f t="shared" ref="P35:Q35" si="33">((((L35*100)-1)*9)/110)+1</f>
        <v>5.823548888</v>
      </c>
      <c r="Q35" s="98">
        <f t="shared" si="33"/>
        <v>13.98371384</v>
      </c>
      <c r="R35" s="98">
        <f t="shared" si="3"/>
        <v>4.063138335</v>
      </c>
      <c r="S35" s="99" t="s">
        <v>144</v>
      </c>
      <c r="T35" s="79"/>
      <c r="U35" s="79"/>
      <c r="V35" s="79"/>
      <c r="W35" s="79"/>
      <c r="X35" s="79"/>
      <c r="Y35" s="79"/>
      <c r="Z35" s="79"/>
    </row>
    <row r="36" ht="21.0" customHeight="1">
      <c r="A36" s="94">
        <v>1.72029365E8</v>
      </c>
      <c r="B36" s="94" t="s">
        <v>130</v>
      </c>
      <c r="C36" s="95">
        <v>5.0665745E7</v>
      </c>
      <c r="D36" s="95">
        <v>4.8235452E7</v>
      </c>
      <c r="E36" s="95">
        <v>2.85743702E8</v>
      </c>
      <c r="F36" s="95">
        <v>3.39708236E8</v>
      </c>
      <c r="G36" s="96">
        <v>3078130.0</v>
      </c>
      <c r="H36" s="96">
        <v>1023934.0</v>
      </c>
      <c r="I36" s="96">
        <v>1081841.0</v>
      </c>
      <c r="J36" s="96">
        <v>-707541.0</v>
      </c>
      <c r="K36" s="96">
        <v>5.3964534E7</v>
      </c>
      <c r="L36" s="97">
        <v>0.6085137295137752</v>
      </c>
      <c r="M36" s="97">
        <v>2.3372343930500126</v>
      </c>
      <c r="N36" s="97">
        <v>0.9520328182285684</v>
      </c>
      <c r="O36" s="97">
        <v>0.3740672941503392</v>
      </c>
      <c r="P36" s="98">
        <f t="shared" ref="P36:Q36" si="34">((((L36*100)-1)*9)/110)+1</f>
        <v>5.896930514</v>
      </c>
      <c r="Q36" s="98">
        <f t="shared" si="34"/>
        <v>20.04100867</v>
      </c>
      <c r="R36" s="98">
        <f t="shared" si="3"/>
        <v>3.978732407</v>
      </c>
      <c r="S36" s="99" t="s">
        <v>144</v>
      </c>
      <c r="T36" s="79"/>
      <c r="U36" s="79"/>
      <c r="V36" s="79"/>
      <c r="W36" s="79"/>
      <c r="X36" s="79"/>
      <c r="Y36" s="79"/>
      <c r="Z36" s="79"/>
    </row>
    <row r="37" ht="21.0" customHeight="1">
      <c r="A37" s="94">
        <v>1.71972257E8</v>
      </c>
      <c r="B37" s="94" t="s">
        <v>115</v>
      </c>
      <c r="C37" s="95">
        <v>7.4694698E7</v>
      </c>
      <c r="D37" s="95">
        <v>6.5638315E7</v>
      </c>
      <c r="E37" s="95">
        <v>8.42604472E8</v>
      </c>
      <c r="F37" s="95">
        <v>9.39624187E8</v>
      </c>
      <c r="G37" s="96">
        <v>5438138.0</v>
      </c>
      <c r="H37" s="96">
        <v>1015208.0</v>
      </c>
      <c r="I37" s="96">
        <v>1724589.0</v>
      </c>
      <c r="J37" s="96">
        <v>-3395543.0</v>
      </c>
      <c r="K37" s="96">
        <v>9.7019715E7</v>
      </c>
      <c r="L37" s="97">
        <v>0.45669797951252555</v>
      </c>
      <c r="M37" s="97">
        <v>1.4895334774110454</v>
      </c>
      <c r="N37" s="97">
        <v>0.8787546741269374</v>
      </c>
      <c r="O37" s="97">
        <v>0.29133453476354343</v>
      </c>
      <c r="P37" s="98">
        <f t="shared" ref="P37:Q37" si="35">((((L37*100)-1)*9)/110)+1</f>
        <v>4.654801651</v>
      </c>
      <c r="Q37" s="98">
        <f t="shared" si="35"/>
        <v>13.10527391</v>
      </c>
      <c r="R37" s="98">
        <f t="shared" si="3"/>
        <v>3.301828012</v>
      </c>
      <c r="S37" s="99" t="s">
        <v>144</v>
      </c>
      <c r="T37" s="79"/>
      <c r="U37" s="79"/>
      <c r="V37" s="79"/>
      <c r="W37" s="79"/>
      <c r="X37" s="79"/>
      <c r="Y37" s="79"/>
      <c r="Z37" s="79"/>
    </row>
    <row r="38" ht="21.0" customHeight="1">
      <c r="A38" s="94">
        <v>1.61646318E8</v>
      </c>
      <c r="B38" s="94" t="s">
        <v>126</v>
      </c>
      <c r="C38" s="95">
        <v>6.3722281E7</v>
      </c>
      <c r="D38" s="95">
        <v>5.569214E7</v>
      </c>
      <c r="E38" s="95">
        <v>3.33413092E8</v>
      </c>
      <c r="F38" s="95">
        <v>3.91668097E8</v>
      </c>
      <c r="G38" s="96">
        <v>3470387.0</v>
      </c>
      <c r="H38" s="96">
        <v>1421813.0</v>
      </c>
      <c r="I38" s="96">
        <v>1150642.0</v>
      </c>
      <c r="J38" s="96">
        <v>-2936270.0</v>
      </c>
      <c r="K38" s="96">
        <v>5.8255005E7</v>
      </c>
      <c r="L38" s="97">
        <v>0.39374960129798947</v>
      </c>
      <c r="M38" s="97">
        <v>2.437064897593601</v>
      </c>
      <c r="N38" s="97">
        <v>0.873982210398275</v>
      </c>
      <c r="O38" s="97">
        <v>0.24515682714367143</v>
      </c>
      <c r="P38" s="98">
        <f t="shared" ref="P38:Q38" si="36">((((L38*100)-1)*9)/110)+1</f>
        <v>4.139769465</v>
      </c>
      <c r="Q38" s="98">
        <f t="shared" si="36"/>
        <v>20.85780371</v>
      </c>
      <c r="R38" s="98">
        <f t="shared" si="3"/>
        <v>2.924010404</v>
      </c>
      <c r="S38" s="99" t="s">
        <v>145</v>
      </c>
      <c r="T38" s="79"/>
      <c r="U38" s="79"/>
      <c r="V38" s="79"/>
      <c r="W38" s="79"/>
      <c r="X38" s="79"/>
      <c r="Y38" s="79"/>
      <c r="Z38" s="79"/>
    </row>
    <row r="39" ht="21.0" customHeight="1">
      <c r="A39" s="94">
        <v>7.7394861E7</v>
      </c>
      <c r="B39" s="94" t="s">
        <v>97</v>
      </c>
      <c r="C39" s="95">
        <v>8.4262735E7</v>
      </c>
      <c r="D39" s="95">
        <v>7.3844595E7</v>
      </c>
      <c r="E39" s="95">
        <v>2.873222492E9</v>
      </c>
      <c r="F39" s="95">
        <v>2.976589665E9</v>
      </c>
      <c r="G39" s="96">
        <v>5654717.0</v>
      </c>
      <c r="H39" s="96">
        <v>808419.0</v>
      </c>
      <c r="I39" s="96">
        <v>1934979.0</v>
      </c>
      <c r="J39" s="96">
        <v>-4744390.0</v>
      </c>
      <c r="K39" s="96">
        <v>1.03367173E8</v>
      </c>
      <c r="L39" s="97">
        <v>0.3696765710831071</v>
      </c>
      <c r="M39" s="97">
        <v>1.1191888824607914</v>
      </c>
      <c r="N39" s="97">
        <v>0.87636124082609</v>
      </c>
      <c r="O39" s="97">
        <v>0.24104521463731693</v>
      </c>
      <c r="P39" s="98">
        <f t="shared" ref="P39:Q39" si="37">((((L39*100)-1)*9)/110)+1</f>
        <v>3.942808309</v>
      </c>
      <c r="Q39" s="98">
        <f t="shared" si="37"/>
        <v>10.07518177</v>
      </c>
      <c r="R39" s="98">
        <f t="shared" si="3"/>
        <v>2.890369938</v>
      </c>
      <c r="S39" s="99" t="s">
        <v>145</v>
      </c>
      <c r="T39" s="79"/>
      <c r="U39" s="79"/>
      <c r="V39" s="79"/>
      <c r="W39" s="79"/>
      <c r="X39" s="79"/>
      <c r="Y39" s="79"/>
      <c r="Z39" s="79"/>
    </row>
    <row r="40" ht="21.0" customHeight="1">
      <c r="A40" s="94">
        <v>1.70708608E8</v>
      </c>
      <c r="B40" s="94" t="s">
        <v>107</v>
      </c>
      <c r="C40" s="95">
        <v>7.7626469E7</v>
      </c>
      <c r="D40" s="95">
        <v>7.5747328E7</v>
      </c>
      <c r="E40" s="95">
        <v>5.0270033E8</v>
      </c>
      <c r="F40" s="95">
        <v>5.82975543E8</v>
      </c>
      <c r="G40" s="96">
        <v>4330679.0</v>
      </c>
      <c r="H40" s="96">
        <v>217677.0</v>
      </c>
      <c r="I40" s="96">
        <v>1191495.0</v>
      </c>
      <c r="J40" s="96">
        <v>-1374435.0</v>
      </c>
      <c r="K40" s="96">
        <v>8.0275213E7</v>
      </c>
      <c r="L40" s="97">
        <v>0.3461061643074857</v>
      </c>
      <c r="M40" s="97">
        <v>0.23971574069654586</v>
      </c>
      <c r="N40" s="97">
        <v>0.9757925225221825</v>
      </c>
      <c r="O40" s="97">
        <v>0.22229142594589463</v>
      </c>
      <c r="P40" s="98">
        <f t="shared" ref="P40:Q40" si="38">((((L40*100)-1)*9)/110)+1</f>
        <v>3.749959526</v>
      </c>
      <c r="Q40" s="98">
        <f t="shared" si="38"/>
        <v>2.879492424</v>
      </c>
      <c r="R40" s="98">
        <f t="shared" si="3"/>
        <v>2.736929849</v>
      </c>
      <c r="S40" s="99" t="s">
        <v>145</v>
      </c>
      <c r="T40" s="79"/>
      <c r="U40" s="79"/>
      <c r="V40" s="79"/>
      <c r="W40" s="79"/>
      <c r="X40" s="79"/>
      <c r="Y40" s="79"/>
      <c r="Z40" s="79"/>
    </row>
    <row r="41" ht="21.0" customHeight="1">
      <c r="A41" s="94">
        <v>1.71910225E8</v>
      </c>
      <c r="B41" s="94" t="s">
        <v>113</v>
      </c>
      <c r="C41" s="95">
        <v>7.5015953E7</v>
      </c>
      <c r="D41" s="95">
        <v>7.3278294E7</v>
      </c>
      <c r="E41" s="95">
        <v>4.30647377E8</v>
      </c>
      <c r="F41" s="95">
        <v>4.87464451E8</v>
      </c>
      <c r="G41" s="96">
        <v>3128648.0</v>
      </c>
      <c r="H41" s="96">
        <v>701504.0</v>
      </c>
      <c r="I41" s="96">
        <v>1062404.0</v>
      </c>
      <c r="J41" s="96">
        <v>420051.0</v>
      </c>
      <c r="K41" s="96">
        <v>5.6817074E7</v>
      </c>
      <c r="L41" s="97">
        <v>0.26484750717836014</v>
      </c>
      <c r="M41" s="97">
        <v>1.2288438085607</v>
      </c>
      <c r="N41" s="97">
        <v>0.9768361404406873</v>
      </c>
      <c r="O41" s="97">
        <v>0.16907612573252837</v>
      </c>
      <c r="P41" s="98">
        <f t="shared" ref="P41:Q41" si="39">((((L41*100)-1)*9)/110)+1</f>
        <v>3.085115968</v>
      </c>
      <c r="Q41" s="98">
        <f t="shared" si="39"/>
        <v>10.97235843</v>
      </c>
      <c r="R41" s="98">
        <f t="shared" si="3"/>
        <v>2.301531938</v>
      </c>
      <c r="S41" s="99" t="s">
        <v>145</v>
      </c>
      <c r="T41" s="79"/>
      <c r="U41" s="79"/>
      <c r="V41" s="79"/>
      <c r="W41" s="79"/>
      <c r="X41" s="79"/>
      <c r="Y41" s="79"/>
      <c r="Z41" s="79"/>
    </row>
    <row r="42" ht="21.0" customHeight="1">
      <c r="A42" s="94">
        <v>1.71879011E8</v>
      </c>
      <c r="B42" s="94" t="s">
        <v>106</v>
      </c>
      <c r="C42" s="95">
        <v>7.1156721E7</v>
      </c>
      <c r="D42" s="95">
        <v>7.6619501E7</v>
      </c>
      <c r="E42" s="95">
        <v>6.85384523E8</v>
      </c>
      <c r="F42" s="95">
        <v>7.31556912E8</v>
      </c>
      <c r="G42" s="96">
        <v>2470057.0</v>
      </c>
      <c r="H42" s="96">
        <v>307637.0</v>
      </c>
      <c r="I42" s="96">
        <v>790743.0</v>
      </c>
      <c r="J42" s="96">
        <v>-1327786.0</v>
      </c>
      <c r="K42" s="96">
        <v>4.6172389E7</v>
      </c>
      <c r="L42" s="97">
        <v>0.24278382499382484</v>
      </c>
      <c r="M42" s="97">
        <v>0.5961942757935748</v>
      </c>
      <c r="N42" s="97">
        <v>1.0767711036038325</v>
      </c>
      <c r="O42" s="97">
        <v>0.1536165476644277</v>
      </c>
      <c r="P42" s="98">
        <f t="shared" ref="P42:Q42" si="40">((((L42*100)-1)*9)/110)+1</f>
        <v>2.904594932</v>
      </c>
      <c r="Q42" s="98">
        <f t="shared" si="40"/>
        <v>5.796134984</v>
      </c>
      <c r="R42" s="98">
        <f t="shared" si="3"/>
        <v>2.175044481</v>
      </c>
      <c r="S42" s="99" t="s">
        <v>146</v>
      </c>
      <c r="T42" s="79"/>
      <c r="U42" s="79"/>
      <c r="V42" s="79"/>
      <c r="W42" s="79"/>
      <c r="X42" s="79"/>
      <c r="Y42" s="79"/>
      <c r="Z42" s="79"/>
    </row>
    <row r="43" ht="21.0" customHeight="1">
      <c r="A43" s="94">
        <v>1.68091444E8</v>
      </c>
      <c r="B43" s="94" t="s">
        <v>124</v>
      </c>
      <c r="C43" s="95">
        <v>6.8815539E7</v>
      </c>
      <c r="D43" s="95">
        <v>6.4035361E7</v>
      </c>
      <c r="E43" s="95">
        <v>1.71471368E8</v>
      </c>
      <c r="F43" s="95">
        <v>2.02838347E8</v>
      </c>
      <c r="G43" s="96">
        <v>1726684.0</v>
      </c>
      <c r="H43" s="96">
        <v>1416900.0</v>
      </c>
      <c r="I43" s="96">
        <v>931999.0</v>
      </c>
      <c r="J43" s="96">
        <v>1862780.0</v>
      </c>
      <c r="K43" s="96">
        <v>3.1366979E7</v>
      </c>
      <c r="L43" s="97">
        <v>0.1780025379585782</v>
      </c>
      <c r="M43" s="97">
        <v>2.0255387192372436</v>
      </c>
      <c r="N43" s="97">
        <v>0.9305363574933272</v>
      </c>
      <c r="O43" s="97">
        <v>0.11203259876926445</v>
      </c>
      <c r="P43" s="98">
        <f t="shared" ref="P43:Q43" si="41">((((L43*100)-1)*9)/110)+1</f>
        <v>2.37456622</v>
      </c>
      <c r="Q43" s="98">
        <f t="shared" si="41"/>
        <v>17.49077134</v>
      </c>
      <c r="R43" s="98">
        <f t="shared" si="3"/>
        <v>1.834812172</v>
      </c>
      <c r="S43" s="99" t="s">
        <v>146</v>
      </c>
      <c r="T43" s="79"/>
      <c r="U43" s="79"/>
      <c r="V43" s="79"/>
      <c r="W43" s="79"/>
      <c r="X43" s="79"/>
      <c r="Y43" s="79"/>
      <c r="Z43" s="79"/>
    </row>
    <row r="44" ht="21.0" customHeight="1">
      <c r="A44" s="94">
        <v>1.71753933E8</v>
      </c>
      <c r="B44" s="94" t="s">
        <v>111</v>
      </c>
      <c r="C44" s="95">
        <v>7.6027569E7</v>
      </c>
      <c r="D44" s="95">
        <v>7.1017017E7</v>
      </c>
      <c r="E44" s="95">
        <v>9.9334639E7</v>
      </c>
      <c r="F44" s="95">
        <v>1.36474014E8</v>
      </c>
      <c r="G44" s="96">
        <v>1953276.0</v>
      </c>
      <c r="H44" s="96">
        <v>745586.0</v>
      </c>
      <c r="I44" s="96">
        <v>844497.0</v>
      </c>
      <c r="J44" s="96">
        <v>-605458.0</v>
      </c>
      <c r="K44" s="96">
        <v>3.7139375E7</v>
      </c>
      <c r="L44" s="97">
        <v>0.1679114263475613</v>
      </c>
      <c r="M44" s="97">
        <v>1.1740476660440713</v>
      </c>
      <c r="N44" s="97">
        <v>0.9340955910348784</v>
      </c>
      <c r="O44" s="97">
        <v>0.10744482735451732</v>
      </c>
      <c r="P44" s="98">
        <f t="shared" ref="P44:Q44" si="42">((((L44*100)-1)*9)/110)+1</f>
        <v>2.292002579</v>
      </c>
      <c r="Q44" s="98">
        <f t="shared" si="42"/>
        <v>10.52402636</v>
      </c>
      <c r="R44" s="98">
        <f t="shared" si="3"/>
        <v>1.79727586</v>
      </c>
      <c r="S44" s="99" t="s">
        <v>146</v>
      </c>
      <c r="T44" s="79"/>
      <c r="U44" s="79"/>
      <c r="V44" s="79"/>
      <c r="W44" s="79"/>
      <c r="X44" s="79"/>
      <c r="Y44" s="79"/>
      <c r="Z44" s="79"/>
    </row>
    <row r="45" ht="21.0" customHeight="1">
      <c r="A45" s="94">
        <v>1.71701107E8</v>
      </c>
      <c r="B45" s="94" t="s">
        <v>99</v>
      </c>
      <c r="C45" s="95">
        <v>8.3460258E7</v>
      </c>
      <c r="D45" s="95">
        <v>8.1628304E7</v>
      </c>
      <c r="E45" s="95">
        <v>7.49784756E8</v>
      </c>
      <c r="F45" s="95">
        <v>7.86141258E8</v>
      </c>
      <c r="G45" s="96">
        <v>1947891.0</v>
      </c>
      <c r="H45" s="96">
        <v>295225.0</v>
      </c>
      <c r="I45" s="96">
        <v>664795.0</v>
      </c>
      <c r="J45" s="96">
        <v>-159524.0</v>
      </c>
      <c r="K45" s="96">
        <v>3.6356502E7</v>
      </c>
      <c r="L45" s="97">
        <v>0.13288718550911915</v>
      </c>
      <c r="M45" s="97">
        <v>0.4170815499252298</v>
      </c>
      <c r="N45" s="97">
        <v>0.9780499839815976</v>
      </c>
      <c r="O45" s="97">
        <v>0.08649279726818024</v>
      </c>
      <c r="P45" s="98">
        <f t="shared" ref="P45:Q45" si="43">((((L45*100)-1)*9)/110)+1</f>
        <v>2.005440609</v>
      </c>
      <c r="Q45" s="98">
        <f t="shared" si="43"/>
        <v>4.330667227</v>
      </c>
      <c r="R45" s="98">
        <f t="shared" si="3"/>
        <v>1.625850159</v>
      </c>
      <c r="S45" s="99" t="s">
        <v>146</v>
      </c>
      <c r="T45" s="79"/>
      <c r="U45" s="79"/>
      <c r="V45" s="79"/>
      <c r="W45" s="79"/>
      <c r="X45" s="79"/>
      <c r="Y45" s="79"/>
      <c r="Z45" s="79"/>
    </row>
    <row r="46" ht="21.0" customHeight="1">
      <c r="A46" s="94">
        <v>7.9650085E7</v>
      </c>
      <c r="B46" s="94" t="s">
        <v>94</v>
      </c>
      <c r="C46" s="95">
        <v>8.6995032E7</v>
      </c>
      <c r="D46" s="95">
        <v>8.468128E7</v>
      </c>
      <c r="E46" s="95">
        <v>2.51032645E9</v>
      </c>
      <c r="F46" s="95">
        <v>2.546179997E9</v>
      </c>
      <c r="G46" s="96">
        <v>1980657.0</v>
      </c>
      <c r="H46" s="96">
        <v>432854.0</v>
      </c>
      <c r="I46" s="96">
        <v>597124.0</v>
      </c>
      <c r="J46" s="96">
        <v>-1369798.0</v>
      </c>
      <c r="K46" s="96">
        <v>3.5853547E7</v>
      </c>
      <c r="L46" s="97">
        <v>0.1192454147428281</v>
      </c>
      <c r="M46" s="97">
        <v>0.5167905284457219</v>
      </c>
      <c r="N46" s="97">
        <v>0.9734036306808876</v>
      </c>
      <c r="O46" s="97">
        <v>0.0782233758391227</v>
      </c>
      <c r="P46" s="98">
        <f t="shared" ref="P46:Q46" si="44">((((L46*100)-1)*9)/110)+1</f>
        <v>1.893826121</v>
      </c>
      <c r="Q46" s="98">
        <f t="shared" si="44"/>
        <v>5.14646796</v>
      </c>
      <c r="R46" s="98">
        <f t="shared" si="3"/>
        <v>1.558191257</v>
      </c>
      <c r="S46" s="99" t="s">
        <v>146</v>
      </c>
      <c r="T46" s="79"/>
      <c r="U46" s="79"/>
      <c r="V46" s="79"/>
      <c r="W46" s="79"/>
      <c r="X46" s="79"/>
      <c r="Y46" s="79"/>
      <c r="Z46" s="79"/>
    </row>
    <row r="47" ht="21.0" customHeight="1">
      <c r="A47" s="94">
        <v>1.67614515E8</v>
      </c>
      <c r="B47" s="94" t="s">
        <v>121</v>
      </c>
      <c r="C47" s="95">
        <v>7.1153154E7</v>
      </c>
      <c r="D47" s="95">
        <v>7.3439026E7</v>
      </c>
      <c r="E47" s="95">
        <v>2.75913656E8</v>
      </c>
      <c r="F47" s="95">
        <v>2.96579506E8</v>
      </c>
      <c r="G47" s="96">
        <v>1097530.0</v>
      </c>
      <c r="H47" s="96">
        <v>172086.0</v>
      </c>
      <c r="I47" s="96">
        <v>496804.0</v>
      </c>
      <c r="J47" s="96">
        <v>6119246.0</v>
      </c>
      <c r="K47" s="96">
        <v>2.066585E7</v>
      </c>
      <c r="L47" s="97">
        <v>0.10867767005790975</v>
      </c>
      <c r="M47" s="97">
        <v>0.2964527214913655</v>
      </c>
      <c r="N47" s="97">
        <v>1.032126081157274</v>
      </c>
      <c r="O47" s="97">
        <v>0.0687630335852514</v>
      </c>
      <c r="P47" s="98">
        <f t="shared" ref="P47:Q47" si="45">((((L47*100)-1)*9)/110)+1</f>
        <v>1.807362755</v>
      </c>
      <c r="Q47" s="98">
        <f t="shared" si="45"/>
        <v>3.343704085</v>
      </c>
      <c r="R47" s="98">
        <f t="shared" si="3"/>
        <v>1.480788457</v>
      </c>
      <c r="S47" s="99" t="s">
        <v>146</v>
      </c>
      <c r="T47" s="79"/>
      <c r="U47" s="79"/>
      <c r="V47" s="79"/>
      <c r="W47" s="79"/>
      <c r="X47" s="79"/>
      <c r="Y47" s="79"/>
      <c r="Z47" s="79"/>
    </row>
    <row r="48" ht="21.0" customHeight="1">
      <c r="A48" s="94">
        <v>1.71927851E8</v>
      </c>
      <c r="B48" s="94" t="s">
        <v>116</v>
      </c>
      <c r="C48" s="95">
        <v>7.4400969E7</v>
      </c>
      <c r="D48" s="95">
        <v>7.5177476E7</v>
      </c>
      <c r="E48" s="95">
        <v>4.1514384E8</v>
      </c>
      <c r="F48" s="95">
        <v>4.2992916E8</v>
      </c>
      <c r="G48" s="96">
        <v>786525.0</v>
      </c>
      <c r="H48" s="96">
        <v>54906.0</v>
      </c>
      <c r="I48" s="96">
        <v>204513.0</v>
      </c>
      <c r="J48" s="96">
        <v>2761085.0</v>
      </c>
      <c r="K48" s="96">
        <v>1.478532E7</v>
      </c>
      <c r="L48" s="97">
        <v>0.07022691472539902</v>
      </c>
      <c r="M48" s="97">
        <v>0.07918251103496585</v>
      </c>
      <c r="N48" s="97">
        <v>1.0104367861122885</v>
      </c>
      <c r="O48" s="97">
        <v>0.044768315390454075</v>
      </c>
      <c r="P48" s="98">
        <f t="shared" ref="P48:Q48" si="46">((((L48*100)-1)*9)/110)+1</f>
        <v>1.492765666</v>
      </c>
      <c r="Q48" s="98">
        <f t="shared" si="46"/>
        <v>1.566038727</v>
      </c>
      <c r="R48" s="98">
        <f t="shared" si="3"/>
        <v>1.284468035</v>
      </c>
      <c r="S48" s="99" t="s">
        <v>146</v>
      </c>
      <c r="T48" s="79"/>
      <c r="U48" s="79"/>
      <c r="V48" s="79"/>
      <c r="W48" s="79"/>
      <c r="X48" s="79"/>
      <c r="Y48" s="79"/>
      <c r="Z48" s="79"/>
    </row>
    <row r="49" ht="21.0" customHeight="1">
      <c r="A49" s="94">
        <v>1.69326547E8</v>
      </c>
      <c r="B49" s="94" t="s">
        <v>110</v>
      </c>
      <c r="C49" s="95">
        <v>7.6303573E7</v>
      </c>
      <c r="D49" s="95">
        <v>7.6315125E7</v>
      </c>
      <c r="E49" s="95">
        <v>4.583361489E9</v>
      </c>
      <c r="F49" s="95">
        <v>4.583688869E9</v>
      </c>
      <c r="G49" s="96">
        <v>16369.0</v>
      </c>
      <c r="H49" s="96">
        <v>0.0</v>
      </c>
      <c r="I49" s="96">
        <v>0.0</v>
      </c>
      <c r="J49" s="96">
        <v>492122.0</v>
      </c>
      <c r="K49" s="96">
        <v>327380.0</v>
      </c>
      <c r="L49" s="97">
        <v>0.001467937965341078</v>
      </c>
      <c r="M49" s="97">
        <v>0.0</v>
      </c>
      <c r="N49" s="97">
        <v>1.0001513952695242</v>
      </c>
      <c r="O49" s="97">
        <v>9.39919912415107E-4</v>
      </c>
      <c r="P49" s="98">
        <f t="shared" ref="P49:Q49" si="47">((((L49*100)-1)*9)/110)+1</f>
        <v>0.9301922197</v>
      </c>
      <c r="Q49" s="98">
        <f t="shared" si="47"/>
        <v>0.9181818182</v>
      </c>
      <c r="R49" s="98">
        <f t="shared" si="3"/>
        <v>0.925872072</v>
      </c>
      <c r="S49" s="99" t="s">
        <v>146</v>
      </c>
      <c r="T49" s="79"/>
      <c r="U49" s="79"/>
      <c r="V49" s="79"/>
      <c r="W49" s="79"/>
      <c r="X49" s="79"/>
      <c r="Y49" s="79"/>
      <c r="Z49" s="79"/>
    </row>
    <row r="50" ht="21.0" customHeight="1">
      <c r="A50" s="94">
        <v>7887352.0</v>
      </c>
      <c r="B50" s="94" t="s">
        <v>119</v>
      </c>
      <c r="C50" s="95">
        <v>7.2698353E7</v>
      </c>
      <c r="D50" s="95">
        <v>7.2762353E7</v>
      </c>
      <c r="E50" s="95">
        <v>2.328650208E9</v>
      </c>
      <c r="F50" s="95">
        <v>2.328650208E9</v>
      </c>
      <c r="G50" s="96">
        <v>0.0</v>
      </c>
      <c r="H50" s="96">
        <v>0.0</v>
      </c>
      <c r="I50" s="96">
        <v>0.0</v>
      </c>
      <c r="J50" s="96">
        <v>0.0</v>
      </c>
      <c r="K50" s="96">
        <v>0.0</v>
      </c>
      <c r="L50" s="97">
        <v>0.0</v>
      </c>
      <c r="M50" s="97">
        <v>0.0</v>
      </c>
      <c r="N50" s="97">
        <v>1.000880350067903</v>
      </c>
      <c r="O50" s="97">
        <v>0.0</v>
      </c>
      <c r="P50" s="98">
        <f t="shared" ref="P50:Q50" si="48">((((L50*100)-1)*9)/110)+1</f>
        <v>0.9181818182</v>
      </c>
      <c r="Q50" s="98">
        <f t="shared" si="48"/>
        <v>0.9181818182</v>
      </c>
      <c r="R50" s="98">
        <f t="shared" si="3"/>
        <v>0.9181818182</v>
      </c>
      <c r="S50" s="99" t="s">
        <v>146</v>
      </c>
      <c r="T50" s="79"/>
      <c r="U50" s="79"/>
      <c r="V50" s="79"/>
      <c r="W50" s="79"/>
      <c r="X50" s="79"/>
      <c r="Y50" s="79"/>
      <c r="Z50" s="79"/>
    </row>
    <row r="51" ht="21.0" customHeight="1">
      <c r="A51" s="94"/>
      <c r="B51" s="94"/>
      <c r="C51" s="95"/>
      <c r="D51" s="95"/>
      <c r="E51" s="95"/>
      <c r="F51" s="95"/>
      <c r="G51" s="100">
        <f t="shared" ref="G51:K51" si="49">SUM(G4:G50)</f>
        <v>642786745</v>
      </c>
      <c r="H51" s="100">
        <f t="shared" si="49"/>
        <v>46698975</v>
      </c>
      <c r="I51" s="100">
        <f t="shared" si="49"/>
        <v>176585464</v>
      </c>
      <c r="J51" s="100">
        <f t="shared" si="49"/>
        <v>-45832920</v>
      </c>
      <c r="K51" s="100">
        <f t="shared" si="49"/>
        <v>11905889375</v>
      </c>
      <c r="L51" s="101"/>
      <c r="M51" s="101"/>
      <c r="N51" s="101"/>
      <c r="O51" s="102"/>
      <c r="P51" s="103"/>
      <c r="Q51" s="103"/>
      <c r="R51" s="103"/>
      <c r="S51" s="103"/>
      <c r="T51" s="79"/>
      <c r="U51" s="79"/>
      <c r="V51" s="79"/>
      <c r="W51" s="79"/>
      <c r="X51" s="79"/>
      <c r="Y51" s="79"/>
      <c r="Z51" s="79"/>
    </row>
    <row r="52" ht="21.0" customHeight="1">
      <c r="A52" s="94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101"/>
      <c r="M52" s="101"/>
      <c r="N52" s="101"/>
      <c r="O52" s="102"/>
      <c r="P52" s="103"/>
      <c r="Q52" s="103"/>
      <c r="R52" s="103"/>
      <c r="S52" s="103"/>
      <c r="T52" s="79"/>
      <c r="U52" s="79"/>
      <c r="V52" s="79"/>
      <c r="W52" s="79"/>
      <c r="X52" s="79"/>
      <c r="Y52" s="79"/>
      <c r="Z52" s="79"/>
    </row>
    <row r="53" ht="21.0" customHeight="1">
      <c r="A53" s="9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101"/>
      <c r="M53" s="101"/>
      <c r="N53" s="101"/>
      <c r="O53" s="102"/>
      <c r="P53" s="103"/>
      <c r="Q53" s="103"/>
      <c r="R53" s="103"/>
      <c r="S53" s="103"/>
      <c r="T53" s="104"/>
      <c r="U53" s="104"/>
      <c r="V53" s="104"/>
      <c r="W53" s="104"/>
      <c r="X53" s="104"/>
      <c r="Y53" s="104"/>
      <c r="Z53" s="104"/>
    </row>
    <row r="54" ht="34.5" customHeight="1">
      <c r="A54" s="105" t="s">
        <v>147</v>
      </c>
      <c r="B54" s="41"/>
      <c r="C54" s="41"/>
      <c r="D54" s="41"/>
      <c r="E54" s="41"/>
      <c r="F54" s="12"/>
      <c r="G54" s="95"/>
      <c r="H54" s="95"/>
      <c r="I54" s="95"/>
      <c r="J54" s="95"/>
      <c r="K54" s="95"/>
      <c r="L54" s="101"/>
      <c r="M54" s="101"/>
      <c r="N54" s="101"/>
      <c r="O54" s="102"/>
      <c r="P54" s="103"/>
      <c r="Q54" s="103"/>
      <c r="R54" s="106" t="s">
        <v>37</v>
      </c>
      <c r="S54" s="107">
        <f>COUNTIF(S4:S50,"Excellent")</f>
        <v>22</v>
      </c>
      <c r="T54" s="104"/>
      <c r="U54" s="104"/>
      <c r="V54" s="104"/>
      <c r="W54" s="104"/>
      <c r="X54" s="104"/>
      <c r="Y54" s="104"/>
      <c r="Z54" s="104"/>
    </row>
    <row r="55" ht="33.0" customHeight="1">
      <c r="A55" s="108" t="s">
        <v>148</v>
      </c>
      <c r="B55" s="41"/>
      <c r="C55" s="41"/>
      <c r="D55" s="41"/>
      <c r="E55" s="41"/>
      <c r="F55" s="12"/>
      <c r="G55" s="95"/>
      <c r="H55" s="95"/>
      <c r="I55" s="95"/>
      <c r="J55" s="95"/>
      <c r="K55" s="95"/>
      <c r="L55" s="101"/>
      <c r="M55" s="101"/>
      <c r="N55" s="101"/>
      <c r="O55" s="102"/>
      <c r="P55" s="103"/>
      <c r="Q55" s="103"/>
      <c r="R55" s="109" t="s">
        <v>144</v>
      </c>
      <c r="S55" s="110">
        <f>COUNTIF(S4:S50, "Good")</f>
        <v>12</v>
      </c>
      <c r="T55" s="104"/>
      <c r="U55" s="104"/>
      <c r="V55" s="104"/>
      <c r="W55" s="104"/>
      <c r="X55" s="104"/>
      <c r="Y55" s="104"/>
      <c r="Z55" s="104"/>
    </row>
    <row r="56" ht="21.0" customHeight="1">
      <c r="A56" s="108" t="s">
        <v>149</v>
      </c>
      <c r="B56" s="41"/>
      <c r="C56" s="41"/>
      <c r="D56" s="41"/>
      <c r="E56" s="41"/>
      <c r="F56" s="12"/>
      <c r="G56" s="95"/>
      <c r="H56" s="95"/>
      <c r="I56" s="95"/>
      <c r="J56" s="95"/>
      <c r="K56" s="95"/>
      <c r="L56" s="101"/>
      <c r="M56" s="101"/>
      <c r="N56" s="101"/>
      <c r="O56" s="102"/>
      <c r="P56" s="103"/>
      <c r="Q56" s="103"/>
      <c r="R56" s="109" t="s">
        <v>145</v>
      </c>
      <c r="S56" s="110">
        <f>COUNTIF(S4:S50, "Need Improvement")</f>
        <v>4</v>
      </c>
      <c r="T56" s="104"/>
      <c r="U56" s="104"/>
      <c r="V56" s="104"/>
      <c r="W56" s="104"/>
      <c r="X56" s="104"/>
      <c r="Y56" s="104"/>
      <c r="Z56" s="104"/>
    </row>
    <row r="57" ht="26.25" customHeight="1">
      <c r="A57" s="108" t="s">
        <v>150</v>
      </c>
      <c r="B57" s="41"/>
      <c r="C57" s="41"/>
      <c r="D57" s="41"/>
      <c r="E57" s="41"/>
      <c r="F57" s="12"/>
      <c r="G57" s="95"/>
      <c r="H57" s="95"/>
      <c r="I57" s="95"/>
      <c r="J57" s="95"/>
      <c r="K57" s="95"/>
      <c r="L57" s="101"/>
      <c r="M57" s="101"/>
      <c r="N57" s="101"/>
      <c r="O57" s="102"/>
      <c r="P57" s="103"/>
      <c r="Q57" s="103"/>
      <c r="R57" s="111" t="s">
        <v>146</v>
      </c>
      <c r="S57" s="112">
        <f>COUNTIF(S4:S50, "Dead Weight")</f>
        <v>9</v>
      </c>
      <c r="T57" s="104"/>
      <c r="U57" s="104"/>
      <c r="V57" s="104"/>
      <c r="W57" s="104"/>
      <c r="X57" s="104"/>
      <c r="Y57" s="104"/>
      <c r="Z57" s="104"/>
    </row>
    <row r="58" ht="21.0" customHeight="1">
      <c r="A58" s="94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101"/>
      <c r="M58" s="101"/>
      <c r="N58" s="101"/>
      <c r="O58" s="102"/>
      <c r="P58" s="103"/>
      <c r="Q58" s="103"/>
      <c r="R58" s="103"/>
      <c r="S58" s="103"/>
      <c r="T58" s="104"/>
      <c r="U58" s="104"/>
      <c r="V58" s="104"/>
      <c r="W58" s="104"/>
      <c r="X58" s="104"/>
      <c r="Y58" s="104"/>
      <c r="Z58" s="104"/>
    </row>
    <row r="59" ht="21.0" customHeight="1">
      <c r="A59" s="94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101"/>
      <c r="M59" s="101"/>
      <c r="N59" s="101"/>
      <c r="O59" s="102"/>
      <c r="P59" s="103"/>
      <c r="Q59" s="103"/>
      <c r="R59" s="103"/>
      <c r="S59" s="103"/>
      <c r="T59" s="104"/>
      <c r="U59" s="104"/>
      <c r="V59" s="104"/>
      <c r="W59" s="104"/>
      <c r="X59" s="104"/>
      <c r="Y59" s="104"/>
      <c r="Z59" s="104"/>
    </row>
    <row r="60" ht="21.0" customHeight="1">
      <c r="A60" s="94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101"/>
      <c r="M60" s="101"/>
      <c r="N60" s="101"/>
      <c r="O60" s="102"/>
      <c r="P60" s="103"/>
      <c r="Q60" s="103"/>
      <c r="R60" s="103"/>
      <c r="S60" s="103"/>
      <c r="T60" s="104"/>
      <c r="U60" s="104"/>
      <c r="V60" s="104"/>
      <c r="W60" s="104"/>
      <c r="X60" s="104"/>
      <c r="Y60" s="104"/>
      <c r="Z60" s="104"/>
    </row>
    <row r="61" ht="21.0" customHeight="1">
      <c r="A61" s="94"/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101"/>
      <c r="M61" s="101"/>
      <c r="N61" s="101"/>
      <c r="O61" s="102"/>
      <c r="P61" s="103"/>
      <c r="Q61" s="103"/>
      <c r="R61" s="103"/>
      <c r="S61" s="103"/>
      <c r="T61" s="104"/>
      <c r="U61" s="104"/>
      <c r="V61" s="104"/>
      <c r="W61" s="104"/>
      <c r="X61" s="104"/>
      <c r="Y61" s="104"/>
      <c r="Z61" s="104"/>
    </row>
    <row r="62" ht="21.0" customHeight="1">
      <c r="A62" s="94"/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101"/>
      <c r="M62" s="101"/>
      <c r="N62" s="101"/>
      <c r="O62" s="102"/>
      <c r="P62" s="103"/>
      <c r="Q62" s="103"/>
      <c r="R62" s="103"/>
      <c r="S62" s="103"/>
      <c r="T62" s="104"/>
      <c r="U62" s="104"/>
      <c r="V62" s="104"/>
      <c r="W62" s="104"/>
      <c r="X62" s="104"/>
      <c r="Y62" s="104"/>
      <c r="Z62" s="104"/>
    </row>
    <row r="63" ht="21.0" customHeight="1">
      <c r="A63" s="94"/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101"/>
      <c r="M63" s="101"/>
      <c r="N63" s="101"/>
      <c r="O63" s="102"/>
      <c r="P63" s="103"/>
      <c r="Q63" s="103"/>
      <c r="R63" s="103"/>
      <c r="S63" s="103"/>
      <c r="T63" s="104"/>
      <c r="U63" s="104"/>
      <c r="V63" s="104"/>
      <c r="W63" s="104"/>
      <c r="X63" s="104"/>
      <c r="Y63" s="104"/>
      <c r="Z63" s="104"/>
    </row>
    <row r="64" ht="21.0" customHeight="1">
      <c r="A64" s="9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101"/>
      <c r="M64" s="101"/>
      <c r="N64" s="101"/>
      <c r="O64" s="102"/>
      <c r="P64" s="103"/>
      <c r="Q64" s="103"/>
      <c r="R64" s="103"/>
      <c r="S64" s="103"/>
      <c r="T64" s="104"/>
      <c r="U64" s="104"/>
      <c r="V64" s="104"/>
      <c r="W64" s="104"/>
      <c r="X64" s="104"/>
      <c r="Y64" s="104"/>
      <c r="Z64" s="104"/>
    </row>
    <row r="65" ht="21.0" customHeight="1">
      <c r="A65" s="94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1"/>
      <c r="M65" s="101"/>
      <c r="N65" s="101"/>
      <c r="O65" s="102"/>
      <c r="P65" s="103"/>
      <c r="Q65" s="103"/>
      <c r="R65" s="103"/>
      <c r="S65" s="103"/>
      <c r="T65" s="104"/>
      <c r="U65" s="104"/>
      <c r="V65" s="104"/>
      <c r="W65" s="104"/>
      <c r="X65" s="104"/>
      <c r="Y65" s="104"/>
      <c r="Z65" s="104"/>
    </row>
    <row r="66" ht="21.0" customHeight="1">
      <c r="A66" s="94"/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1"/>
      <c r="M66" s="101"/>
      <c r="N66" s="101"/>
      <c r="O66" s="102"/>
      <c r="P66" s="103"/>
      <c r="Q66" s="103"/>
      <c r="R66" s="103"/>
      <c r="S66" s="103"/>
      <c r="T66" s="104"/>
      <c r="U66" s="104"/>
      <c r="V66" s="104"/>
      <c r="W66" s="104"/>
      <c r="X66" s="104"/>
      <c r="Y66" s="104"/>
      <c r="Z66" s="104"/>
    </row>
    <row r="67" ht="21.0" customHeight="1">
      <c r="A67" s="94"/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101"/>
      <c r="M67" s="101"/>
      <c r="N67" s="101"/>
      <c r="O67" s="102"/>
      <c r="P67" s="103"/>
      <c r="Q67" s="103"/>
      <c r="R67" s="103"/>
      <c r="S67" s="103"/>
      <c r="T67" s="104"/>
      <c r="U67" s="104"/>
      <c r="V67" s="104"/>
      <c r="W67" s="104"/>
      <c r="X67" s="104"/>
      <c r="Y67" s="104"/>
      <c r="Z67" s="104"/>
    </row>
    <row r="68" ht="21.0" customHeight="1">
      <c r="A68" s="94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101"/>
      <c r="M68" s="101"/>
      <c r="N68" s="101"/>
      <c r="O68" s="102"/>
      <c r="P68" s="103"/>
      <c r="Q68" s="103"/>
      <c r="R68" s="103"/>
      <c r="S68" s="103"/>
      <c r="T68" s="104"/>
      <c r="U68" s="104"/>
      <c r="V68" s="104"/>
      <c r="W68" s="104"/>
      <c r="X68" s="104"/>
      <c r="Y68" s="104"/>
      <c r="Z68" s="104"/>
    </row>
    <row r="69" ht="21.0" customHeight="1">
      <c r="A69" s="94"/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101"/>
      <c r="M69" s="101"/>
      <c r="N69" s="101"/>
      <c r="O69" s="102"/>
      <c r="P69" s="103"/>
      <c r="Q69" s="103"/>
      <c r="R69" s="103"/>
      <c r="S69" s="103"/>
      <c r="T69" s="104"/>
      <c r="U69" s="104"/>
      <c r="V69" s="104"/>
      <c r="W69" s="104"/>
      <c r="X69" s="104"/>
      <c r="Y69" s="104"/>
      <c r="Z69" s="104"/>
    </row>
    <row r="70" ht="21.0" customHeight="1">
      <c r="A70" s="94"/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101"/>
      <c r="M70" s="101"/>
      <c r="N70" s="101"/>
      <c r="O70" s="102"/>
      <c r="P70" s="103"/>
      <c r="Q70" s="103"/>
      <c r="R70" s="103"/>
      <c r="S70" s="103"/>
      <c r="T70" s="104"/>
      <c r="U70" s="104"/>
      <c r="V70" s="104"/>
      <c r="W70" s="104"/>
      <c r="X70" s="104"/>
      <c r="Y70" s="104"/>
      <c r="Z70" s="104"/>
    </row>
    <row r="71" ht="21.0" customHeight="1">
      <c r="A71" s="94"/>
      <c r="B71" s="94"/>
      <c r="C71" s="95"/>
      <c r="D71" s="95"/>
      <c r="E71" s="95"/>
      <c r="F71" s="95"/>
      <c r="G71" s="95"/>
      <c r="H71" s="95"/>
      <c r="I71" s="95"/>
      <c r="J71" s="95"/>
      <c r="K71" s="95"/>
      <c r="L71" s="101"/>
      <c r="M71" s="101"/>
      <c r="N71" s="101"/>
      <c r="O71" s="102"/>
      <c r="P71" s="103"/>
      <c r="Q71" s="103"/>
      <c r="R71" s="103"/>
      <c r="S71" s="103"/>
      <c r="T71" s="104"/>
      <c r="U71" s="104"/>
      <c r="V71" s="104"/>
      <c r="W71" s="104"/>
      <c r="X71" s="104"/>
      <c r="Y71" s="104"/>
      <c r="Z71" s="104"/>
    </row>
    <row r="72" ht="21.0" customHeight="1">
      <c r="A72" s="94"/>
      <c r="B72" s="94"/>
      <c r="C72" s="95"/>
      <c r="D72" s="95"/>
      <c r="E72" s="95"/>
      <c r="F72" s="95"/>
      <c r="G72" s="95"/>
      <c r="H72" s="95"/>
      <c r="I72" s="95"/>
      <c r="J72" s="95"/>
      <c r="K72" s="95"/>
      <c r="L72" s="101"/>
      <c r="M72" s="101"/>
      <c r="N72" s="101"/>
      <c r="O72" s="102"/>
      <c r="P72" s="103"/>
      <c r="Q72" s="103"/>
      <c r="R72" s="103"/>
      <c r="S72" s="103"/>
      <c r="T72" s="104"/>
      <c r="U72" s="104"/>
      <c r="V72" s="104"/>
      <c r="W72" s="104"/>
      <c r="X72" s="104"/>
      <c r="Y72" s="104"/>
      <c r="Z72" s="104"/>
    </row>
    <row r="73" ht="21.0" customHeight="1">
      <c r="A73" s="94"/>
      <c r="B73" s="94"/>
      <c r="C73" s="95"/>
      <c r="D73" s="95"/>
      <c r="E73" s="95"/>
      <c r="F73" s="95"/>
      <c r="G73" s="95"/>
      <c r="H73" s="95"/>
      <c r="I73" s="95"/>
      <c r="J73" s="95"/>
      <c r="K73" s="95"/>
      <c r="L73" s="101"/>
      <c r="M73" s="101"/>
      <c r="N73" s="101"/>
      <c r="O73" s="102"/>
      <c r="P73" s="103"/>
      <c r="Q73" s="103"/>
      <c r="R73" s="103"/>
      <c r="S73" s="103"/>
      <c r="T73" s="104"/>
      <c r="U73" s="104"/>
      <c r="V73" s="104"/>
      <c r="W73" s="104"/>
      <c r="X73" s="104"/>
      <c r="Y73" s="104"/>
      <c r="Z73" s="104"/>
    </row>
    <row r="74" ht="21.0" customHeight="1">
      <c r="A74" s="94"/>
      <c r="B74" s="94"/>
      <c r="C74" s="95"/>
      <c r="D74" s="95"/>
      <c r="E74" s="95"/>
      <c r="F74" s="95"/>
      <c r="G74" s="95"/>
      <c r="H74" s="95"/>
      <c r="I74" s="95"/>
      <c r="J74" s="95"/>
      <c r="K74" s="95"/>
      <c r="L74" s="101"/>
      <c r="M74" s="101"/>
      <c r="N74" s="101"/>
      <c r="O74" s="102"/>
      <c r="P74" s="103"/>
      <c r="Q74" s="103"/>
      <c r="R74" s="103"/>
      <c r="S74" s="103"/>
      <c r="T74" s="104"/>
      <c r="U74" s="104"/>
      <c r="V74" s="104"/>
      <c r="W74" s="104"/>
      <c r="X74" s="104"/>
      <c r="Y74" s="104"/>
      <c r="Z74" s="104"/>
    </row>
    <row r="75" ht="21.0" customHeight="1">
      <c r="A75" s="94"/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101"/>
      <c r="M75" s="101"/>
      <c r="N75" s="101"/>
      <c r="O75" s="102"/>
      <c r="P75" s="103"/>
      <c r="Q75" s="103"/>
      <c r="R75" s="103"/>
      <c r="S75" s="103"/>
      <c r="T75" s="104"/>
      <c r="U75" s="104"/>
      <c r="V75" s="104"/>
      <c r="W75" s="104"/>
      <c r="X75" s="104"/>
      <c r="Y75" s="104"/>
      <c r="Z75" s="104"/>
    </row>
    <row r="76" ht="21.0" customHeight="1">
      <c r="A76" s="94"/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101"/>
      <c r="M76" s="101"/>
      <c r="N76" s="101"/>
      <c r="O76" s="102"/>
      <c r="P76" s="103"/>
      <c r="Q76" s="103"/>
      <c r="R76" s="103"/>
      <c r="S76" s="103"/>
      <c r="T76" s="104"/>
      <c r="U76" s="104"/>
      <c r="V76" s="104"/>
      <c r="W76" s="104"/>
      <c r="X76" s="104"/>
      <c r="Y76" s="104"/>
      <c r="Z76" s="104"/>
    </row>
    <row r="77" ht="21.0" customHeight="1">
      <c r="A77" s="94"/>
      <c r="B77" s="94"/>
      <c r="C77" s="95"/>
      <c r="D77" s="95"/>
      <c r="E77" s="95"/>
      <c r="F77" s="95"/>
      <c r="G77" s="95"/>
      <c r="H77" s="95"/>
      <c r="I77" s="95"/>
      <c r="J77" s="95"/>
      <c r="K77" s="95"/>
      <c r="L77" s="101"/>
      <c r="M77" s="101"/>
      <c r="N77" s="101"/>
      <c r="O77" s="102"/>
      <c r="P77" s="103"/>
      <c r="Q77" s="103"/>
      <c r="R77" s="103"/>
      <c r="S77" s="103"/>
      <c r="T77" s="104"/>
      <c r="U77" s="104"/>
      <c r="V77" s="104"/>
      <c r="W77" s="104"/>
      <c r="X77" s="104"/>
      <c r="Y77" s="104"/>
      <c r="Z77" s="104"/>
    </row>
    <row r="78" ht="21.0" customHeight="1">
      <c r="A78" s="94"/>
      <c r="B78" s="94"/>
      <c r="C78" s="95"/>
      <c r="D78" s="95"/>
      <c r="E78" s="95"/>
      <c r="F78" s="95"/>
      <c r="G78" s="95"/>
      <c r="H78" s="95"/>
      <c r="I78" s="95"/>
      <c r="J78" s="95"/>
      <c r="K78" s="95"/>
      <c r="L78" s="101"/>
      <c r="M78" s="101"/>
      <c r="N78" s="101"/>
      <c r="O78" s="102"/>
      <c r="P78" s="103"/>
      <c r="Q78" s="103"/>
      <c r="R78" s="103"/>
      <c r="S78" s="103"/>
      <c r="T78" s="104"/>
      <c r="U78" s="104"/>
      <c r="V78" s="104"/>
      <c r="W78" s="104"/>
      <c r="X78" s="104"/>
      <c r="Y78" s="104"/>
      <c r="Z78" s="104"/>
    </row>
    <row r="79" ht="21.0" customHeight="1">
      <c r="A79" s="94"/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101"/>
      <c r="M79" s="101"/>
      <c r="N79" s="101"/>
      <c r="O79" s="102"/>
      <c r="P79" s="103"/>
      <c r="Q79" s="103"/>
      <c r="R79" s="103"/>
      <c r="S79" s="103"/>
      <c r="T79" s="104"/>
      <c r="U79" s="104"/>
      <c r="V79" s="104"/>
      <c r="W79" s="104"/>
      <c r="X79" s="104"/>
      <c r="Y79" s="104"/>
      <c r="Z79" s="104"/>
    </row>
    <row r="80" ht="21.0" customHeight="1">
      <c r="A80" s="94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101"/>
      <c r="M80" s="101"/>
      <c r="N80" s="101"/>
      <c r="O80" s="102"/>
      <c r="P80" s="103"/>
      <c r="Q80" s="103"/>
      <c r="R80" s="103"/>
      <c r="S80" s="103"/>
      <c r="T80" s="104"/>
      <c r="U80" s="104"/>
      <c r="V80" s="104"/>
      <c r="W80" s="104"/>
      <c r="X80" s="104"/>
      <c r="Y80" s="104"/>
      <c r="Z80" s="104"/>
    </row>
    <row r="81" ht="21.0" customHeight="1">
      <c r="A81" s="94"/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101"/>
      <c r="M81" s="101"/>
      <c r="N81" s="101"/>
      <c r="O81" s="102"/>
      <c r="P81" s="103"/>
      <c r="Q81" s="103"/>
      <c r="R81" s="103"/>
      <c r="S81" s="103"/>
      <c r="T81" s="104"/>
      <c r="U81" s="104"/>
      <c r="V81" s="104"/>
      <c r="W81" s="104"/>
      <c r="X81" s="104"/>
      <c r="Y81" s="104"/>
      <c r="Z81" s="104"/>
    </row>
    <row r="82" ht="21.0" customHeight="1">
      <c r="A82" s="94"/>
      <c r="B82" s="94"/>
      <c r="C82" s="95"/>
      <c r="D82" s="95"/>
      <c r="E82" s="95"/>
      <c r="F82" s="95"/>
      <c r="G82" s="95"/>
      <c r="H82" s="95"/>
      <c r="I82" s="95"/>
      <c r="J82" s="95"/>
      <c r="K82" s="95"/>
      <c r="L82" s="101"/>
      <c r="M82" s="101"/>
      <c r="N82" s="101"/>
      <c r="O82" s="102"/>
      <c r="P82" s="103"/>
      <c r="Q82" s="103"/>
      <c r="R82" s="103"/>
      <c r="S82" s="103"/>
      <c r="T82" s="104"/>
      <c r="U82" s="104"/>
      <c r="V82" s="104"/>
      <c r="W82" s="104"/>
      <c r="X82" s="104"/>
      <c r="Y82" s="104"/>
      <c r="Z82" s="104"/>
    </row>
    <row r="83" ht="21.0" customHeight="1">
      <c r="A83" s="94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101"/>
      <c r="M83" s="101"/>
      <c r="N83" s="101"/>
      <c r="O83" s="102"/>
      <c r="P83" s="103"/>
      <c r="Q83" s="103"/>
      <c r="R83" s="103"/>
      <c r="S83" s="103"/>
      <c r="T83" s="104"/>
      <c r="U83" s="104"/>
      <c r="V83" s="104"/>
      <c r="W83" s="104"/>
      <c r="X83" s="104"/>
      <c r="Y83" s="104"/>
      <c r="Z83" s="104"/>
    </row>
    <row r="84" ht="21.0" customHeight="1">
      <c r="A84" s="94"/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101"/>
      <c r="M84" s="101"/>
      <c r="N84" s="101"/>
      <c r="O84" s="102"/>
      <c r="P84" s="103"/>
      <c r="Q84" s="103"/>
      <c r="R84" s="103"/>
      <c r="S84" s="103"/>
      <c r="T84" s="104"/>
      <c r="U84" s="104"/>
      <c r="V84" s="104"/>
      <c r="W84" s="104"/>
      <c r="X84" s="104"/>
      <c r="Y84" s="104"/>
      <c r="Z84" s="104"/>
    </row>
    <row r="85" ht="21.0" customHeight="1">
      <c r="A85" s="94"/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101"/>
      <c r="M85" s="101"/>
      <c r="N85" s="101"/>
      <c r="O85" s="102"/>
      <c r="P85" s="103"/>
      <c r="Q85" s="103"/>
      <c r="R85" s="103"/>
      <c r="S85" s="103"/>
      <c r="T85" s="104"/>
      <c r="U85" s="104"/>
      <c r="V85" s="104"/>
      <c r="W85" s="104"/>
      <c r="X85" s="104"/>
      <c r="Y85" s="104"/>
      <c r="Z85" s="104"/>
    </row>
    <row r="86" ht="21.0" customHeight="1">
      <c r="A86" s="94"/>
      <c r="B86" s="94"/>
      <c r="C86" s="95"/>
      <c r="D86" s="95"/>
      <c r="E86" s="95"/>
      <c r="F86" s="95"/>
      <c r="G86" s="95"/>
      <c r="H86" s="95"/>
      <c r="I86" s="95"/>
      <c r="J86" s="95"/>
      <c r="K86" s="95"/>
      <c r="L86" s="101"/>
      <c r="M86" s="101"/>
      <c r="N86" s="101"/>
      <c r="O86" s="102"/>
      <c r="P86" s="103"/>
      <c r="Q86" s="103"/>
      <c r="R86" s="103"/>
      <c r="S86" s="103"/>
      <c r="T86" s="104"/>
      <c r="U86" s="104"/>
      <c r="V86" s="104"/>
      <c r="W86" s="104"/>
      <c r="X86" s="104"/>
      <c r="Y86" s="104"/>
      <c r="Z86" s="104"/>
    </row>
    <row r="87" ht="21.0" customHeight="1">
      <c r="A87" s="94"/>
      <c r="B87" s="94"/>
      <c r="C87" s="95"/>
      <c r="D87" s="95"/>
      <c r="E87" s="95"/>
      <c r="F87" s="95"/>
      <c r="G87" s="95"/>
      <c r="H87" s="95"/>
      <c r="I87" s="95"/>
      <c r="J87" s="95"/>
      <c r="K87" s="95"/>
      <c r="L87" s="101"/>
      <c r="M87" s="101"/>
      <c r="N87" s="101"/>
      <c r="O87" s="102"/>
      <c r="P87" s="103"/>
      <c r="Q87" s="103"/>
      <c r="R87" s="103"/>
      <c r="S87" s="103"/>
      <c r="T87" s="104"/>
      <c r="U87" s="104"/>
      <c r="V87" s="104"/>
      <c r="W87" s="104"/>
      <c r="X87" s="104"/>
      <c r="Y87" s="104"/>
      <c r="Z87" s="104"/>
    </row>
    <row r="88" ht="21.0" customHeight="1">
      <c r="A88" s="94"/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101"/>
      <c r="M88" s="101"/>
      <c r="N88" s="101"/>
      <c r="O88" s="102"/>
      <c r="P88" s="103"/>
      <c r="Q88" s="103"/>
      <c r="R88" s="103"/>
      <c r="S88" s="103"/>
      <c r="T88" s="104"/>
      <c r="U88" s="104"/>
      <c r="V88" s="104"/>
      <c r="W88" s="104"/>
      <c r="X88" s="104"/>
      <c r="Y88" s="104"/>
      <c r="Z88" s="104"/>
    </row>
    <row r="89" ht="21.0" customHeight="1">
      <c r="A89" s="94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101"/>
      <c r="M89" s="101"/>
      <c r="N89" s="101"/>
      <c r="O89" s="102"/>
      <c r="P89" s="103"/>
      <c r="Q89" s="103"/>
      <c r="R89" s="103"/>
      <c r="S89" s="103"/>
      <c r="T89" s="104"/>
      <c r="U89" s="104"/>
      <c r="V89" s="104"/>
      <c r="W89" s="104"/>
      <c r="X89" s="104"/>
      <c r="Y89" s="104"/>
      <c r="Z89" s="104"/>
    </row>
    <row r="90" ht="21.0" customHeight="1">
      <c r="A90" s="94"/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101"/>
      <c r="M90" s="101"/>
      <c r="N90" s="101"/>
      <c r="O90" s="102"/>
      <c r="P90" s="103"/>
      <c r="Q90" s="103"/>
      <c r="R90" s="103"/>
      <c r="S90" s="103"/>
      <c r="T90" s="104"/>
      <c r="U90" s="104"/>
      <c r="V90" s="104"/>
      <c r="W90" s="104"/>
      <c r="X90" s="104"/>
      <c r="Y90" s="104"/>
      <c r="Z90" s="104"/>
    </row>
    <row r="91" ht="21.0" customHeight="1">
      <c r="A91" s="94"/>
      <c r="B91" s="94"/>
      <c r="C91" s="95"/>
      <c r="D91" s="95"/>
      <c r="E91" s="95"/>
      <c r="F91" s="95"/>
      <c r="G91" s="95"/>
      <c r="H91" s="95"/>
      <c r="I91" s="95"/>
      <c r="J91" s="95"/>
      <c r="K91" s="95"/>
      <c r="L91" s="101"/>
      <c r="M91" s="101"/>
      <c r="N91" s="101"/>
      <c r="O91" s="102"/>
      <c r="P91" s="103"/>
      <c r="Q91" s="103"/>
      <c r="R91" s="103"/>
      <c r="S91" s="103"/>
      <c r="T91" s="104"/>
      <c r="U91" s="104"/>
      <c r="V91" s="104"/>
      <c r="W91" s="104"/>
      <c r="X91" s="104"/>
      <c r="Y91" s="104"/>
      <c r="Z91" s="104"/>
    </row>
    <row r="92" ht="21.0" customHeight="1">
      <c r="A92" s="94"/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101"/>
      <c r="M92" s="101"/>
      <c r="N92" s="101"/>
      <c r="O92" s="102"/>
      <c r="P92" s="103"/>
      <c r="Q92" s="103"/>
      <c r="R92" s="103"/>
      <c r="S92" s="103"/>
      <c r="T92" s="104"/>
      <c r="U92" s="104"/>
      <c r="V92" s="104"/>
      <c r="W92" s="104"/>
      <c r="X92" s="104"/>
      <c r="Y92" s="104"/>
      <c r="Z92" s="104"/>
    </row>
    <row r="93" ht="21.0" customHeight="1">
      <c r="A93" s="94"/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101"/>
      <c r="M93" s="101"/>
      <c r="N93" s="101"/>
      <c r="O93" s="102"/>
      <c r="P93" s="103"/>
      <c r="Q93" s="103"/>
      <c r="R93" s="103"/>
      <c r="S93" s="103"/>
      <c r="T93" s="104"/>
      <c r="U93" s="104"/>
      <c r="V93" s="104"/>
      <c r="W93" s="104"/>
      <c r="X93" s="104"/>
      <c r="Y93" s="104"/>
      <c r="Z93" s="104"/>
    </row>
    <row r="94" ht="21.0" customHeight="1">
      <c r="A94" s="94"/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101"/>
      <c r="M94" s="101"/>
      <c r="N94" s="101"/>
      <c r="O94" s="102"/>
      <c r="P94" s="103"/>
      <c r="Q94" s="103"/>
      <c r="R94" s="103"/>
      <c r="S94" s="103"/>
      <c r="T94" s="104"/>
      <c r="U94" s="104"/>
      <c r="V94" s="104"/>
      <c r="W94" s="104"/>
      <c r="X94" s="104"/>
      <c r="Y94" s="104"/>
      <c r="Z94" s="104"/>
    </row>
    <row r="95" ht="21.0" customHeight="1">
      <c r="A95" s="94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101"/>
      <c r="M95" s="101"/>
      <c r="N95" s="101"/>
      <c r="O95" s="102"/>
      <c r="P95" s="103"/>
      <c r="Q95" s="103"/>
      <c r="R95" s="103"/>
      <c r="S95" s="103"/>
      <c r="T95" s="104"/>
      <c r="U95" s="104"/>
      <c r="V95" s="104"/>
      <c r="W95" s="104"/>
      <c r="X95" s="104"/>
      <c r="Y95" s="104"/>
      <c r="Z95" s="104"/>
    </row>
    <row r="96" ht="21.0" customHeight="1">
      <c r="A96" s="94"/>
      <c r="B96" s="94"/>
      <c r="C96" s="95"/>
      <c r="D96" s="95"/>
      <c r="E96" s="95"/>
      <c r="F96" s="95"/>
      <c r="G96" s="95"/>
      <c r="H96" s="95"/>
      <c r="I96" s="95"/>
      <c r="J96" s="95"/>
      <c r="K96" s="95"/>
      <c r="L96" s="101"/>
      <c r="M96" s="101"/>
      <c r="N96" s="101"/>
      <c r="O96" s="102"/>
      <c r="P96" s="103"/>
      <c r="Q96" s="103"/>
      <c r="R96" s="103"/>
      <c r="S96" s="103"/>
      <c r="T96" s="104"/>
      <c r="U96" s="104"/>
      <c r="V96" s="104"/>
      <c r="W96" s="104"/>
      <c r="X96" s="104"/>
      <c r="Y96" s="104"/>
      <c r="Z96" s="104"/>
    </row>
    <row r="97" ht="21.0" customHeight="1">
      <c r="A97" s="94"/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101"/>
      <c r="M97" s="101"/>
      <c r="N97" s="101"/>
      <c r="O97" s="102"/>
      <c r="P97" s="103"/>
      <c r="Q97" s="103"/>
      <c r="R97" s="103"/>
      <c r="S97" s="103"/>
      <c r="T97" s="104"/>
      <c r="U97" s="104"/>
      <c r="V97" s="104"/>
      <c r="W97" s="104"/>
      <c r="X97" s="104"/>
      <c r="Y97" s="104"/>
      <c r="Z97" s="104"/>
    </row>
    <row r="98" ht="21.0" customHeight="1">
      <c r="A98" s="94"/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101"/>
      <c r="M98" s="101"/>
      <c r="N98" s="101"/>
      <c r="O98" s="102"/>
      <c r="P98" s="103"/>
      <c r="Q98" s="103"/>
      <c r="R98" s="103"/>
      <c r="S98" s="103"/>
      <c r="T98" s="104"/>
      <c r="U98" s="104"/>
      <c r="V98" s="104"/>
      <c r="W98" s="104"/>
      <c r="X98" s="104"/>
      <c r="Y98" s="104"/>
      <c r="Z98" s="104"/>
    </row>
    <row r="99" ht="21.0" customHeight="1">
      <c r="A99" s="94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101"/>
      <c r="M99" s="101"/>
      <c r="N99" s="101"/>
      <c r="O99" s="102"/>
      <c r="P99" s="103"/>
      <c r="Q99" s="103"/>
      <c r="R99" s="103"/>
      <c r="S99" s="103"/>
      <c r="T99" s="104"/>
      <c r="U99" s="104"/>
      <c r="V99" s="104"/>
      <c r="W99" s="104"/>
      <c r="X99" s="104"/>
      <c r="Y99" s="104"/>
      <c r="Z99" s="104"/>
    </row>
    <row r="100" ht="21.0" customHeight="1">
      <c r="A100" s="94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101"/>
      <c r="M100" s="101"/>
      <c r="N100" s="101"/>
      <c r="O100" s="102"/>
      <c r="P100" s="103"/>
      <c r="Q100" s="103"/>
      <c r="R100" s="103"/>
      <c r="S100" s="103"/>
      <c r="T100" s="104"/>
      <c r="U100" s="104"/>
      <c r="V100" s="104"/>
      <c r="W100" s="104"/>
      <c r="X100" s="104"/>
      <c r="Y100" s="104"/>
      <c r="Z100" s="104"/>
    </row>
    <row r="101" ht="21.0" customHeight="1">
      <c r="A101" s="94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101"/>
      <c r="M101" s="101"/>
      <c r="N101" s="101"/>
      <c r="O101" s="102"/>
      <c r="P101" s="103"/>
      <c r="Q101" s="103"/>
      <c r="R101" s="103"/>
      <c r="S101" s="103"/>
      <c r="T101" s="104"/>
      <c r="U101" s="104"/>
      <c r="V101" s="104"/>
      <c r="W101" s="104"/>
      <c r="X101" s="104"/>
      <c r="Y101" s="104"/>
      <c r="Z101" s="104"/>
    </row>
    <row r="102" ht="21.0" customHeight="1">
      <c r="A102" s="94"/>
      <c r="B102" s="94"/>
      <c r="C102" s="95"/>
      <c r="D102" s="95"/>
      <c r="E102" s="95"/>
      <c r="F102" s="95"/>
      <c r="G102" s="95"/>
      <c r="H102" s="95"/>
      <c r="I102" s="95"/>
      <c r="J102" s="95"/>
      <c r="K102" s="95"/>
      <c r="L102" s="101"/>
      <c r="M102" s="101"/>
      <c r="N102" s="101"/>
      <c r="O102" s="102"/>
      <c r="P102" s="103"/>
      <c r="Q102" s="103"/>
      <c r="R102" s="103"/>
      <c r="S102" s="103"/>
      <c r="T102" s="104"/>
      <c r="U102" s="104"/>
      <c r="V102" s="104"/>
      <c r="W102" s="104"/>
      <c r="X102" s="104"/>
      <c r="Y102" s="104"/>
      <c r="Z102" s="104"/>
    </row>
    <row r="103" ht="21.0" customHeight="1">
      <c r="A103" s="94"/>
      <c r="B103" s="94"/>
      <c r="C103" s="95"/>
      <c r="D103" s="95"/>
      <c r="E103" s="95"/>
      <c r="F103" s="95"/>
      <c r="G103" s="95"/>
      <c r="H103" s="95"/>
      <c r="I103" s="95"/>
      <c r="J103" s="95"/>
      <c r="K103" s="95"/>
      <c r="L103" s="101"/>
      <c r="M103" s="101"/>
      <c r="N103" s="101"/>
      <c r="O103" s="102"/>
      <c r="P103" s="103"/>
      <c r="Q103" s="103"/>
      <c r="R103" s="103"/>
      <c r="S103" s="103"/>
      <c r="T103" s="104"/>
      <c r="U103" s="104"/>
      <c r="V103" s="104"/>
      <c r="W103" s="104"/>
      <c r="X103" s="104"/>
      <c r="Y103" s="104"/>
      <c r="Z103" s="104"/>
    </row>
    <row r="104" ht="21.0" customHeight="1">
      <c r="A104" s="94"/>
      <c r="B104" s="94"/>
      <c r="C104" s="95"/>
      <c r="D104" s="95"/>
      <c r="E104" s="95"/>
      <c r="F104" s="95"/>
      <c r="G104" s="95"/>
      <c r="H104" s="95"/>
      <c r="I104" s="95"/>
      <c r="J104" s="95"/>
      <c r="K104" s="95"/>
      <c r="L104" s="101"/>
      <c r="M104" s="101"/>
      <c r="N104" s="101"/>
      <c r="O104" s="102"/>
      <c r="P104" s="103"/>
      <c r="Q104" s="103"/>
      <c r="R104" s="103"/>
      <c r="S104" s="103"/>
      <c r="T104" s="104"/>
      <c r="U104" s="104"/>
      <c r="V104" s="104"/>
      <c r="W104" s="104"/>
      <c r="X104" s="104"/>
      <c r="Y104" s="104"/>
      <c r="Z104" s="104"/>
    </row>
    <row r="105" ht="21.0" customHeight="1">
      <c r="A105" s="94"/>
      <c r="B105" s="94"/>
      <c r="C105" s="95"/>
      <c r="D105" s="95"/>
      <c r="E105" s="95"/>
      <c r="F105" s="95"/>
      <c r="G105" s="95"/>
      <c r="H105" s="95"/>
      <c r="I105" s="95"/>
      <c r="J105" s="95"/>
      <c r="K105" s="95"/>
      <c r="L105" s="101"/>
      <c r="M105" s="101"/>
      <c r="N105" s="101"/>
      <c r="O105" s="102"/>
      <c r="P105" s="103"/>
      <c r="Q105" s="103"/>
      <c r="R105" s="103"/>
      <c r="S105" s="103"/>
      <c r="T105" s="104"/>
      <c r="U105" s="104"/>
      <c r="V105" s="104"/>
      <c r="W105" s="104"/>
      <c r="X105" s="104"/>
      <c r="Y105" s="104"/>
      <c r="Z105" s="104"/>
    </row>
    <row r="106" ht="21.0" customHeight="1">
      <c r="A106" s="94"/>
      <c r="B106" s="94"/>
      <c r="C106" s="95"/>
      <c r="D106" s="95"/>
      <c r="E106" s="95"/>
      <c r="F106" s="95"/>
      <c r="G106" s="95"/>
      <c r="H106" s="95"/>
      <c r="I106" s="95"/>
      <c r="J106" s="95"/>
      <c r="K106" s="95"/>
      <c r="L106" s="101"/>
      <c r="M106" s="101"/>
      <c r="N106" s="101"/>
      <c r="O106" s="102"/>
      <c r="P106" s="103"/>
      <c r="Q106" s="103"/>
      <c r="R106" s="103"/>
      <c r="S106" s="103"/>
      <c r="T106" s="104"/>
      <c r="U106" s="104"/>
      <c r="V106" s="104"/>
      <c r="W106" s="104"/>
      <c r="X106" s="104"/>
      <c r="Y106" s="104"/>
      <c r="Z106" s="104"/>
    </row>
    <row r="107" ht="21.0" customHeight="1">
      <c r="A107" s="94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101"/>
      <c r="M107" s="101"/>
      <c r="N107" s="101"/>
      <c r="O107" s="102"/>
      <c r="P107" s="103"/>
      <c r="Q107" s="103"/>
      <c r="R107" s="103"/>
      <c r="S107" s="103"/>
      <c r="T107" s="104"/>
      <c r="U107" s="104"/>
      <c r="V107" s="104"/>
      <c r="W107" s="104"/>
      <c r="X107" s="104"/>
      <c r="Y107" s="104"/>
      <c r="Z107" s="104"/>
    </row>
    <row r="108" ht="21.0" customHeight="1">
      <c r="A108" s="94"/>
      <c r="B108" s="94"/>
      <c r="C108" s="95"/>
      <c r="D108" s="95"/>
      <c r="E108" s="95"/>
      <c r="F108" s="95"/>
      <c r="G108" s="95"/>
      <c r="H108" s="95"/>
      <c r="I108" s="95"/>
      <c r="J108" s="95"/>
      <c r="K108" s="95"/>
      <c r="L108" s="101"/>
      <c r="M108" s="101"/>
      <c r="N108" s="101"/>
      <c r="O108" s="102"/>
      <c r="P108" s="103"/>
      <c r="Q108" s="103"/>
      <c r="R108" s="103"/>
      <c r="S108" s="103"/>
      <c r="T108" s="104"/>
      <c r="U108" s="104"/>
      <c r="V108" s="104"/>
      <c r="W108" s="104"/>
      <c r="X108" s="104"/>
      <c r="Y108" s="104"/>
      <c r="Z108" s="104"/>
    </row>
    <row r="109" ht="21.0" customHeight="1">
      <c r="A109" s="94"/>
      <c r="B109" s="94"/>
      <c r="C109" s="95"/>
      <c r="D109" s="95"/>
      <c r="E109" s="95"/>
      <c r="F109" s="95"/>
      <c r="G109" s="95"/>
      <c r="H109" s="95"/>
      <c r="I109" s="95"/>
      <c r="J109" s="95"/>
      <c r="K109" s="95"/>
      <c r="L109" s="101"/>
      <c r="M109" s="101"/>
      <c r="N109" s="101"/>
      <c r="O109" s="102"/>
      <c r="P109" s="103"/>
      <c r="Q109" s="103"/>
      <c r="R109" s="103"/>
      <c r="S109" s="103"/>
      <c r="T109" s="104"/>
      <c r="U109" s="104"/>
      <c r="V109" s="104"/>
      <c r="W109" s="104"/>
      <c r="X109" s="104"/>
      <c r="Y109" s="104"/>
      <c r="Z109" s="104"/>
    </row>
    <row r="110" ht="21.0" customHeight="1">
      <c r="A110" s="94"/>
      <c r="B110" s="94"/>
      <c r="C110" s="95"/>
      <c r="D110" s="95"/>
      <c r="E110" s="95"/>
      <c r="F110" s="95"/>
      <c r="G110" s="95"/>
      <c r="H110" s="95"/>
      <c r="I110" s="95"/>
      <c r="J110" s="95"/>
      <c r="K110" s="95"/>
      <c r="L110" s="101"/>
      <c r="M110" s="101"/>
      <c r="N110" s="101"/>
      <c r="O110" s="102"/>
      <c r="P110" s="103"/>
      <c r="Q110" s="103"/>
      <c r="R110" s="103"/>
      <c r="S110" s="103"/>
      <c r="T110" s="104"/>
      <c r="U110" s="104"/>
      <c r="V110" s="104"/>
      <c r="W110" s="104"/>
      <c r="X110" s="104"/>
      <c r="Y110" s="104"/>
      <c r="Z110" s="104"/>
    </row>
    <row r="111" ht="21.0" customHeight="1">
      <c r="A111" s="94"/>
      <c r="B111" s="94"/>
      <c r="C111" s="95"/>
      <c r="D111" s="95"/>
      <c r="E111" s="95"/>
      <c r="F111" s="95"/>
      <c r="G111" s="95"/>
      <c r="H111" s="95"/>
      <c r="I111" s="95"/>
      <c r="J111" s="95"/>
      <c r="K111" s="95"/>
      <c r="L111" s="101"/>
      <c r="M111" s="101"/>
      <c r="N111" s="101"/>
      <c r="O111" s="102"/>
      <c r="P111" s="103"/>
      <c r="Q111" s="103"/>
      <c r="R111" s="103"/>
      <c r="S111" s="103"/>
      <c r="T111" s="104"/>
      <c r="U111" s="104"/>
      <c r="V111" s="104"/>
      <c r="W111" s="104"/>
      <c r="X111" s="104"/>
      <c r="Y111" s="104"/>
      <c r="Z111" s="104"/>
    </row>
    <row r="112" ht="21.0" customHeight="1">
      <c r="A112" s="94"/>
      <c r="B112" s="94"/>
      <c r="C112" s="95"/>
      <c r="D112" s="95"/>
      <c r="E112" s="95"/>
      <c r="F112" s="95"/>
      <c r="G112" s="95"/>
      <c r="H112" s="95"/>
      <c r="I112" s="95"/>
      <c r="J112" s="95"/>
      <c r="K112" s="95"/>
      <c r="L112" s="101"/>
      <c r="M112" s="101"/>
      <c r="N112" s="101"/>
      <c r="O112" s="102"/>
      <c r="P112" s="103"/>
      <c r="Q112" s="103"/>
      <c r="R112" s="103"/>
      <c r="S112" s="103"/>
      <c r="T112" s="104"/>
      <c r="U112" s="104"/>
      <c r="V112" s="104"/>
      <c r="W112" s="104"/>
      <c r="X112" s="104"/>
      <c r="Y112" s="104"/>
      <c r="Z112" s="104"/>
    </row>
    <row r="113" ht="21.0" customHeight="1">
      <c r="A113" s="94"/>
      <c r="B113" s="94"/>
      <c r="C113" s="95"/>
      <c r="D113" s="95"/>
      <c r="E113" s="95"/>
      <c r="F113" s="95"/>
      <c r="G113" s="95"/>
      <c r="H113" s="95"/>
      <c r="I113" s="95"/>
      <c r="J113" s="95"/>
      <c r="K113" s="95"/>
      <c r="L113" s="101"/>
      <c r="M113" s="101"/>
      <c r="N113" s="101"/>
      <c r="O113" s="102"/>
      <c r="P113" s="103"/>
      <c r="Q113" s="103"/>
      <c r="R113" s="103"/>
      <c r="S113" s="103"/>
      <c r="T113" s="104"/>
      <c r="U113" s="104"/>
      <c r="V113" s="104"/>
      <c r="W113" s="104"/>
      <c r="X113" s="104"/>
      <c r="Y113" s="104"/>
      <c r="Z113" s="104"/>
    </row>
    <row r="114" ht="21.0" customHeight="1">
      <c r="A114" s="94"/>
      <c r="B114" s="94"/>
      <c r="C114" s="95"/>
      <c r="D114" s="95"/>
      <c r="E114" s="95"/>
      <c r="F114" s="95"/>
      <c r="G114" s="95"/>
      <c r="H114" s="95"/>
      <c r="I114" s="95"/>
      <c r="J114" s="95"/>
      <c r="K114" s="95"/>
      <c r="L114" s="101"/>
      <c r="M114" s="101"/>
      <c r="N114" s="101"/>
      <c r="O114" s="102"/>
      <c r="P114" s="103"/>
      <c r="Q114" s="103"/>
      <c r="R114" s="103"/>
      <c r="S114" s="103"/>
      <c r="T114" s="104"/>
      <c r="U114" s="104"/>
      <c r="V114" s="104"/>
      <c r="W114" s="104"/>
      <c r="X114" s="104"/>
      <c r="Y114" s="104"/>
      <c r="Z114" s="104"/>
    </row>
    <row r="115" ht="21.0" customHeight="1">
      <c r="A115" s="94"/>
      <c r="B115" s="94"/>
      <c r="C115" s="95"/>
      <c r="D115" s="95"/>
      <c r="E115" s="95"/>
      <c r="F115" s="95"/>
      <c r="G115" s="95"/>
      <c r="H115" s="95"/>
      <c r="I115" s="95"/>
      <c r="J115" s="95"/>
      <c r="K115" s="95"/>
      <c r="L115" s="101"/>
      <c r="M115" s="101"/>
      <c r="N115" s="101"/>
      <c r="O115" s="102"/>
      <c r="P115" s="103"/>
      <c r="Q115" s="103"/>
      <c r="R115" s="103"/>
      <c r="S115" s="103"/>
      <c r="T115" s="104"/>
      <c r="U115" s="104"/>
      <c r="V115" s="104"/>
      <c r="W115" s="104"/>
      <c r="X115" s="104"/>
      <c r="Y115" s="104"/>
      <c r="Z115" s="104"/>
    </row>
    <row r="116" ht="21.0" customHeight="1">
      <c r="A116" s="94"/>
      <c r="B116" s="94"/>
      <c r="C116" s="95"/>
      <c r="D116" s="95"/>
      <c r="E116" s="95"/>
      <c r="F116" s="95"/>
      <c r="G116" s="95"/>
      <c r="H116" s="95"/>
      <c r="I116" s="95"/>
      <c r="J116" s="95"/>
      <c r="K116" s="95"/>
      <c r="L116" s="101"/>
      <c r="M116" s="101"/>
      <c r="N116" s="101"/>
      <c r="O116" s="102"/>
      <c r="P116" s="103"/>
      <c r="Q116" s="103"/>
      <c r="R116" s="103"/>
      <c r="S116" s="103"/>
      <c r="T116" s="104"/>
      <c r="U116" s="104"/>
      <c r="V116" s="104"/>
      <c r="W116" s="104"/>
      <c r="X116" s="104"/>
      <c r="Y116" s="104"/>
      <c r="Z116" s="104"/>
    </row>
    <row r="117" ht="21.0" customHeight="1">
      <c r="A117" s="79"/>
      <c r="B117" s="79"/>
      <c r="C117" s="104"/>
      <c r="D117" s="104"/>
      <c r="E117" s="104"/>
      <c r="F117" s="104"/>
      <c r="G117" s="104"/>
      <c r="H117" s="104"/>
      <c r="I117" s="104"/>
      <c r="J117" s="104"/>
      <c r="K117" s="104"/>
      <c r="L117" s="102"/>
      <c r="M117" s="102"/>
      <c r="N117" s="102"/>
      <c r="O117" s="102"/>
      <c r="P117" s="103"/>
      <c r="Q117" s="103"/>
      <c r="R117" s="103"/>
      <c r="S117" s="103"/>
      <c r="T117" s="79"/>
      <c r="U117" s="79"/>
      <c r="V117" s="79"/>
      <c r="W117" s="79"/>
      <c r="X117" s="79"/>
      <c r="Y117" s="79"/>
      <c r="Z117" s="79"/>
    </row>
    <row r="118" ht="21.0" customHeight="1">
      <c r="A118" s="79"/>
      <c r="B118" s="79"/>
      <c r="C118" s="104"/>
      <c r="D118" s="104"/>
      <c r="E118" s="104"/>
      <c r="F118" s="104"/>
      <c r="G118" s="104"/>
      <c r="H118" s="104"/>
      <c r="I118" s="104"/>
      <c r="J118" s="104"/>
      <c r="K118" s="104"/>
      <c r="L118" s="102"/>
      <c r="M118" s="102"/>
      <c r="N118" s="102"/>
      <c r="O118" s="102"/>
      <c r="P118" s="103"/>
      <c r="Q118" s="103"/>
      <c r="R118" s="103"/>
      <c r="S118" s="103"/>
      <c r="T118" s="79"/>
      <c r="U118" s="79"/>
      <c r="V118" s="79"/>
      <c r="W118" s="79"/>
      <c r="X118" s="79"/>
      <c r="Y118" s="79"/>
      <c r="Z118" s="79"/>
    </row>
    <row r="119" ht="21.0" customHeight="1">
      <c r="A119" s="79"/>
      <c r="B119" s="79"/>
      <c r="C119" s="104"/>
      <c r="D119" s="104"/>
      <c r="E119" s="104"/>
      <c r="F119" s="104"/>
      <c r="G119" s="104"/>
      <c r="H119" s="104"/>
      <c r="I119" s="104"/>
      <c r="J119" s="104"/>
      <c r="K119" s="104"/>
      <c r="L119" s="102"/>
      <c r="M119" s="102"/>
      <c r="N119" s="102"/>
      <c r="O119" s="102"/>
      <c r="P119" s="103"/>
      <c r="Q119" s="103"/>
      <c r="R119" s="103"/>
      <c r="S119" s="103"/>
      <c r="T119" s="79"/>
      <c r="U119" s="79"/>
      <c r="V119" s="79"/>
      <c r="W119" s="79"/>
      <c r="X119" s="79"/>
      <c r="Y119" s="79"/>
      <c r="Z119" s="79"/>
    </row>
    <row r="120" ht="21.0" customHeight="1">
      <c r="A120" s="79"/>
      <c r="B120" s="79"/>
      <c r="C120" s="104"/>
      <c r="D120" s="104"/>
      <c r="E120" s="104"/>
      <c r="F120" s="104"/>
      <c r="G120" s="104"/>
      <c r="H120" s="104"/>
      <c r="I120" s="104"/>
      <c r="J120" s="104"/>
      <c r="K120" s="104"/>
      <c r="L120" s="102"/>
      <c r="M120" s="102"/>
      <c r="N120" s="102"/>
      <c r="O120" s="102"/>
      <c r="P120" s="103"/>
      <c r="Q120" s="103"/>
      <c r="R120" s="103"/>
      <c r="S120" s="103"/>
      <c r="T120" s="79"/>
      <c r="U120" s="79"/>
      <c r="V120" s="79"/>
      <c r="W120" s="79"/>
      <c r="X120" s="79"/>
      <c r="Y120" s="79"/>
      <c r="Z120" s="79"/>
    </row>
    <row r="121" ht="21.0" customHeight="1">
      <c r="A121" s="79"/>
      <c r="B121" s="79"/>
      <c r="C121" s="104"/>
      <c r="D121" s="104"/>
      <c r="E121" s="104"/>
      <c r="F121" s="104"/>
      <c r="G121" s="104"/>
      <c r="H121" s="104"/>
      <c r="I121" s="104"/>
      <c r="J121" s="104"/>
      <c r="K121" s="104"/>
      <c r="L121" s="102"/>
      <c r="M121" s="102"/>
      <c r="N121" s="102"/>
      <c r="O121" s="102"/>
      <c r="P121" s="103"/>
      <c r="Q121" s="103"/>
      <c r="R121" s="103"/>
      <c r="S121" s="103"/>
      <c r="T121" s="79"/>
      <c r="U121" s="79"/>
      <c r="V121" s="79"/>
      <c r="W121" s="79"/>
      <c r="X121" s="79"/>
      <c r="Y121" s="79"/>
      <c r="Z121" s="79"/>
    </row>
    <row r="122" ht="21.0" customHeight="1">
      <c r="A122" s="79"/>
      <c r="B122" s="79"/>
      <c r="C122" s="104"/>
      <c r="D122" s="104"/>
      <c r="E122" s="104"/>
      <c r="F122" s="104"/>
      <c r="G122" s="104"/>
      <c r="H122" s="104"/>
      <c r="I122" s="104"/>
      <c r="J122" s="104"/>
      <c r="K122" s="104"/>
      <c r="L122" s="102"/>
      <c r="M122" s="102"/>
      <c r="N122" s="102"/>
      <c r="O122" s="102"/>
      <c r="P122" s="103"/>
      <c r="Q122" s="103"/>
      <c r="R122" s="103"/>
      <c r="S122" s="103"/>
      <c r="T122" s="79"/>
      <c r="U122" s="79"/>
      <c r="V122" s="79"/>
      <c r="W122" s="79"/>
      <c r="X122" s="79"/>
      <c r="Y122" s="79"/>
      <c r="Z122" s="79"/>
    </row>
    <row r="123" ht="21.0" customHeight="1">
      <c r="A123" s="79"/>
      <c r="B123" s="79"/>
      <c r="C123" s="104"/>
      <c r="D123" s="104"/>
      <c r="E123" s="104"/>
      <c r="F123" s="104"/>
      <c r="G123" s="104"/>
      <c r="H123" s="104"/>
      <c r="I123" s="104"/>
      <c r="J123" s="104"/>
      <c r="K123" s="104"/>
      <c r="L123" s="102"/>
      <c r="M123" s="102"/>
      <c r="N123" s="102"/>
      <c r="O123" s="102"/>
      <c r="P123" s="103"/>
      <c r="Q123" s="103"/>
      <c r="R123" s="103"/>
      <c r="S123" s="103"/>
      <c r="T123" s="79"/>
      <c r="U123" s="79"/>
      <c r="V123" s="79"/>
      <c r="W123" s="79"/>
      <c r="X123" s="79"/>
      <c r="Y123" s="79"/>
      <c r="Z123" s="79"/>
    </row>
    <row r="124" ht="21.0" customHeight="1">
      <c r="A124" s="79"/>
      <c r="B124" s="79"/>
      <c r="C124" s="104"/>
      <c r="D124" s="104"/>
      <c r="E124" s="104"/>
      <c r="F124" s="104"/>
      <c r="G124" s="104"/>
      <c r="H124" s="104"/>
      <c r="I124" s="104"/>
      <c r="J124" s="104"/>
      <c r="K124" s="104"/>
      <c r="L124" s="102"/>
      <c r="M124" s="102"/>
      <c r="N124" s="102"/>
      <c r="O124" s="102"/>
      <c r="P124" s="103"/>
      <c r="Q124" s="103"/>
      <c r="R124" s="103"/>
      <c r="S124" s="103"/>
      <c r="T124" s="79"/>
      <c r="U124" s="79"/>
      <c r="V124" s="79"/>
      <c r="W124" s="79"/>
      <c r="X124" s="79"/>
      <c r="Y124" s="79"/>
      <c r="Z124" s="79"/>
    </row>
    <row r="125" ht="21.0" customHeight="1">
      <c r="A125" s="79"/>
      <c r="B125" s="79"/>
      <c r="C125" s="104"/>
      <c r="D125" s="104"/>
      <c r="E125" s="104"/>
      <c r="F125" s="104"/>
      <c r="G125" s="104"/>
      <c r="H125" s="104"/>
      <c r="I125" s="104"/>
      <c r="J125" s="104"/>
      <c r="K125" s="104"/>
      <c r="L125" s="102"/>
      <c r="M125" s="102"/>
      <c r="N125" s="102"/>
      <c r="O125" s="102"/>
      <c r="P125" s="103"/>
      <c r="Q125" s="103"/>
      <c r="R125" s="103"/>
      <c r="S125" s="103"/>
      <c r="T125" s="79"/>
      <c r="U125" s="79"/>
      <c r="V125" s="79"/>
      <c r="W125" s="79"/>
      <c r="X125" s="79"/>
      <c r="Y125" s="79"/>
      <c r="Z125" s="79"/>
    </row>
    <row r="126" ht="21.0" customHeight="1">
      <c r="A126" s="79"/>
      <c r="B126" s="79"/>
      <c r="C126" s="104"/>
      <c r="D126" s="104"/>
      <c r="E126" s="104"/>
      <c r="F126" s="104"/>
      <c r="G126" s="104"/>
      <c r="H126" s="104"/>
      <c r="I126" s="104"/>
      <c r="J126" s="104"/>
      <c r="K126" s="104"/>
      <c r="L126" s="102"/>
      <c r="M126" s="102"/>
      <c r="N126" s="102"/>
      <c r="O126" s="102"/>
      <c r="P126" s="103"/>
      <c r="Q126" s="103"/>
      <c r="R126" s="103"/>
      <c r="S126" s="103"/>
      <c r="T126" s="79"/>
      <c r="U126" s="79"/>
      <c r="V126" s="79"/>
      <c r="W126" s="79"/>
      <c r="X126" s="79"/>
      <c r="Y126" s="79"/>
      <c r="Z126" s="79"/>
    </row>
    <row r="127" ht="21.0" customHeight="1">
      <c r="A127" s="79"/>
      <c r="B127" s="79"/>
      <c r="C127" s="104"/>
      <c r="D127" s="104"/>
      <c r="E127" s="104"/>
      <c r="F127" s="104"/>
      <c r="G127" s="104"/>
      <c r="H127" s="104"/>
      <c r="I127" s="104"/>
      <c r="J127" s="104"/>
      <c r="K127" s="104"/>
      <c r="L127" s="102"/>
      <c r="M127" s="102"/>
      <c r="N127" s="102"/>
      <c r="O127" s="102"/>
      <c r="P127" s="103"/>
      <c r="Q127" s="103"/>
      <c r="R127" s="103"/>
      <c r="S127" s="103"/>
      <c r="T127" s="79"/>
      <c r="U127" s="79"/>
      <c r="V127" s="79"/>
      <c r="W127" s="79"/>
      <c r="X127" s="79"/>
      <c r="Y127" s="79"/>
      <c r="Z127" s="79"/>
    </row>
    <row r="128" ht="21.0" customHeight="1">
      <c r="A128" s="79"/>
      <c r="B128" s="79"/>
      <c r="C128" s="104"/>
      <c r="D128" s="104"/>
      <c r="E128" s="104"/>
      <c r="F128" s="104"/>
      <c r="G128" s="104"/>
      <c r="H128" s="104"/>
      <c r="I128" s="104"/>
      <c r="J128" s="104"/>
      <c r="K128" s="104"/>
      <c r="L128" s="102"/>
      <c r="M128" s="102"/>
      <c r="N128" s="102"/>
      <c r="O128" s="102"/>
      <c r="P128" s="103"/>
      <c r="Q128" s="103"/>
      <c r="R128" s="103"/>
      <c r="S128" s="103"/>
      <c r="T128" s="79"/>
      <c r="U128" s="79"/>
      <c r="V128" s="79"/>
      <c r="W128" s="79"/>
      <c r="X128" s="79"/>
      <c r="Y128" s="79"/>
      <c r="Z128" s="79"/>
    </row>
    <row r="129" ht="21.0" customHeight="1">
      <c r="A129" s="79"/>
      <c r="B129" s="79"/>
      <c r="C129" s="104"/>
      <c r="D129" s="104"/>
      <c r="E129" s="104"/>
      <c r="F129" s="104"/>
      <c r="G129" s="104"/>
      <c r="H129" s="104"/>
      <c r="I129" s="104"/>
      <c r="J129" s="104"/>
      <c r="K129" s="104"/>
      <c r="L129" s="102"/>
      <c r="M129" s="102"/>
      <c r="N129" s="102"/>
      <c r="O129" s="102"/>
      <c r="P129" s="103"/>
      <c r="Q129" s="103"/>
      <c r="R129" s="103"/>
      <c r="S129" s="103"/>
      <c r="T129" s="79"/>
      <c r="U129" s="79"/>
      <c r="V129" s="79"/>
      <c r="W129" s="79"/>
      <c r="X129" s="79"/>
      <c r="Y129" s="79"/>
      <c r="Z129" s="79"/>
    </row>
    <row r="130" ht="21.0" customHeight="1">
      <c r="A130" s="79"/>
      <c r="B130" s="79"/>
      <c r="C130" s="104"/>
      <c r="D130" s="104"/>
      <c r="E130" s="104"/>
      <c r="F130" s="104"/>
      <c r="G130" s="104"/>
      <c r="H130" s="104"/>
      <c r="I130" s="104"/>
      <c r="J130" s="104"/>
      <c r="K130" s="104"/>
      <c r="L130" s="102"/>
      <c r="M130" s="102"/>
      <c r="N130" s="102"/>
      <c r="O130" s="102"/>
      <c r="P130" s="103"/>
      <c r="Q130" s="103"/>
      <c r="R130" s="103"/>
      <c r="S130" s="103"/>
      <c r="T130" s="79"/>
      <c r="U130" s="79"/>
      <c r="V130" s="79"/>
      <c r="W130" s="79"/>
      <c r="X130" s="79"/>
      <c r="Y130" s="79"/>
      <c r="Z130" s="79"/>
    </row>
    <row r="131" ht="21.0" customHeight="1">
      <c r="A131" s="79"/>
      <c r="B131" s="79"/>
      <c r="C131" s="104"/>
      <c r="D131" s="104"/>
      <c r="E131" s="104"/>
      <c r="F131" s="104"/>
      <c r="G131" s="104"/>
      <c r="H131" s="104"/>
      <c r="I131" s="104"/>
      <c r="J131" s="104"/>
      <c r="K131" s="104"/>
      <c r="L131" s="102"/>
      <c r="M131" s="102"/>
      <c r="N131" s="102"/>
      <c r="O131" s="102"/>
      <c r="P131" s="103"/>
      <c r="Q131" s="103"/>
      <c r="R131" s="103"/>
      <c r="S131" s="103"/>
      <c r="T131" s="79"/>
      <c r="U131" s="79"/>
      <c r="V131" s="79"/>
      <c r="W131" s="79"/>
      <c r="X131" s="79"/>
      <c r="Y131" s="79"/>
      <c r="Z131" s="79"/>
    </row>
    <row r="132" ht="21.0" customHeight="1">
      <c r="A132" s="79"/>
      <c r="B132" s="79"/>
      <c r="C132" s="104"/>
      <c r="D132" s="104"/>
      <c r="E132" s="104"/>
      <c r="F132" s="104"/>
      <c r="G132" s="104"/>
      <c r="H132" s="104"/>
      <c r="I132" s="104"/>
      <c r="J132" s="104"/>
      <c r="K132" s="104"/>
      <c r="L132" s="102"/>
      <c r="M132" s="102"/>
      <c r="N132" s="102"/>
      <c r="O132" s="102"/>
      <c r="P132" s="103"/>
      <c r="Q132" s="103"/>
      <c r="R132" s="103"/>
      <c r="S132" s="103"/>
      <c r="T132" s="79"/>
      <c r="U132" s="79"/>
      <c r="V132" s="79"/>
      <c r="W132" s="79"/>
      <c r="X132" s="79"/>
      <c r="Y132" s="79"/>
      <c r="Z132" s="79"/>
    </row>
    <row r="133" ht="21.0" customHeight="1">
      <c r="A133" s="79"/>
      <c r="B133" s="79"/>
      <c r="C133" s="104"/>
      <c r="D133" s="104"/>
      <c r="E133" s="104"/>
      <c r="F133" s="104"/>
      <c r="G133" s="104"/>
      <c r="H133" s="104"/>
      <c r="I133" s="104"/>
      <c r="J133" s="104"/>
      <c r="K133" s="104"/>
      <c r="L133" s="102"/>
      <c r="M133" s="102"/>
      <c r="N133" s="102"/>
      <c r="O133" s="102"/>
      <c r="P133" s="103"/>
      <c r="Q133" s="103"/>
      <c r="R133" s="103"/>
      <c r="S133" s="103"/>
      <c r="T133" s="79"/>
      <c r="U133" s="79"/>
      <c r="V133" s="79"/>
      <c r="W133" s="79"/>
      <c r="X133" s="79"/>
      <c r="Y133" s="79"/>
      <c r="Z133" s="79"/>
    </row>
    <row r="134" ht="21.0" customHeight="1">
      <c r="A134" s="79"/>
      <c r="B134" s="79"/>
      <c r="C134" s="104"/>
      <c r="D134" s="104"/>
      <c r="E134" s="104"/>
      <c r="F134" s="104"/>
      <c r="G134" s="104"/>
      <c r="H134" s="104"/>
      <c r="I134" s="104"/>
      <c r="J134" s="104"/>
      <c r="K134" s="104"/>
      <c r="L134" s="102"/>
      <c r="M134" s="102"/>
      <c r="N134" s="102"/>
      <c r="O134" s="102"/>
      <c r="P134" s="103"/>
      <c r="Q134" s="103"/>
      <c r="R134" s="103"/>
      <c r="S134" s="103"/>
      <c r="T134" s="79"/>
      <c r="U134" s="79"/>
      <c r="V134" s="79"/>
      <c r="W134" s="79"/>
      <c r="X134" s="79"/>
      <c r="Y134" s="79"/>
      <c r="Z134" s="79"/>
    </row>
    <row r="135" ht="21.0" customHeight="1">
      <c r="A135" s="79"/>
      <c r="B135" s="79"/>
      <c r="C135" s="104"/>
      <c r="D135" s="104"/>
      <c r="E135" s="104"/>
      <c r="F135" s="104"/>
      <c r="G135" s="104"/>
      <c r="H135" s="104"/>
      <c r="I135" s="104"/>
      <c r="J135" s="104"/>
      <c r="K135" s="104"/>
      <c r="L135" s="102"/>
      <c r="M135" s="102"/>
      <c r="N135" s="102"/>
      <c r="O135" s="102"/>
      <c r="P135" s="103"/>
      <c r="Q135" s="103"/>
      <c r="R135" s="103"/>
      <c r="S135" s="103"/>
      <c r="T135" s="79"/>
      <c r="U135" s="79"/>
      <c r="V135" s="79"/>
      <c r="W135" s="79"/>
      <c r="X135" s="79"/>
      <c r="Y135" s="79"/>
      <c r="Z135" s="79"/>
    </row>
    <row r="136" ht="21.0" customHeight="1">
      <c r="A136" s="79"/>
      <c r="B136" s="79"/>
      <c r="C136" s="104"/>
      <c r="D136" s="104"/>
      <c r="E136" s="104"/>
      <c r="F136" s="104"/>
      <c r="G136" s="104"/>
      <c r="H136" s="104"/>
      <c r="I136" s="104"/>
      <c r="J136" s="104"/>
      <c r="K136" s="104"/>
      <c r="L136" s="102"/>
      <c r="M136" s="102"/>
      <c r="N136" s="102"/>
      <c r="O136" s="102"/>
      <c r="P136" s="103"/>
      <c r="Q136" s="103"/>
      <c r="R136" s="103"/>
      <c r="S136" s="103"/>
      <c r="T136" s="79"/>
      <c r="U136" s="79"/>
      <c r="V136" s="79"/>
      <c r="W136" s="79"/>
      <c r="X136" s="79"/>
      <c r="Y136" s="79"/>
      <c r="Z136" s="79"/>
    </row>
    <row r="137" ht="21.0" customHeight="1">
      <c r="A137" s="79"/>
      <c r="B137" s="79"/>
      <c r="C137" s="104"/>
      <c r="D137" s="104"/>
      <c r="E137" s="104"/>
      <c r="F137" s="104"/>
      <c r="G137" s="104"/>
      <c r="H137" s="104"/>
      <c r="I137" s="104"/>
      <c r="J137" s="104"/>
      <c r="K137" s="104"/>
      <c r="L137" s="102"/>
      <c r="M137" s="102"/>
      <c r="N137" s="102"/>
      <c r="O137" s="102"/>
      <c r="P137" s="103"/>
      <c r="Q137" s="103"/>
      <c r="R137" s="103"/>
      <c r="S137" s="103"/>
      <c r="T137" s="79"/>
      <c r="U137" s="79"/>
      <c r="V137" s="79"/>
      <c r="W137" s="79"/>
      <c r="X137" s="79"/>
      <c r="Y137" s="79"/>
      <c r="Z137" s="79"/>
    </row>
    <row r="138" ht="21.0" customHeight="1">
      <c r="A138" s="79"/>
      <c r="B138" s="79"/>
      <c r="C138" s="104"/>
      <c r="D138" s="104"/>
      <c r="E138" s="104"/>
      <c r="F138" s="104"/>
      <c r="G138" s="104"/>
      <c r="H138" s="104"/>
      <c r="I138" s="104"/>
      <c r="J138" s="104"/>
      <c r="K138" s="104"/>
      <c r="L138" s="102"/>
      <c r="M138" s="102"/>
      <c r="N138" s="102"/>
      <c r="O138" s="102"/>
      <c r="P138" s="103"/>
      <c r="Q138" s="103"/>
      <c r="R138" s="103"/>
      <c r="S138" s="103"/>
      <c r="T138" s="79"/>
      <c r="U138" s="79"/>
      <c r="V138" s="79"/>
      <c r="W138" s="79"/>
      <c r="X138" s="79"/>
      <c r="Y138" s="79"/>
      <c r="Z138" s="79"/>
    </row>
    <row r="139" ht="21.0" customHeight="1">
      <c r="A139" s="79"/>
      <c r="B139" s="79"/>
      <c r="C139" s="104"/>
      <c r="D139" s="104"/>
      <c r="E139" s="104"/>
      <c r="F139" s="104"/>
      <c r="G139" s="104"/>
      <c r="H139" s="104"/>
      <c r="I139" s="104"/>
      <c r="J139" s="104"/>
      <c r="K139" s="104"/>
      <c r="L139" s="102"/>
      <c r="M139" s="102"/>
      <c r="N139" s="102"/>
      <c r="O139" s="102"/>
      <c r="P139" s="103"/>
      <c r="Q139" s="103"/>
      <c r="R139" s="103"/>
      <c r="S139" s="103"/>
      <c r="T139" s="79"/>
      <c r="U139" s="79"/>
      <c r="V139" s="79"/>
      <c r="W139" s="79"/>
      <c r="X139" s="79"/>
      <c r="Y139" s="79"/>
      <c r="Z139" s="79"/>
    </row>
    <row r="140" ht="21.0" customHeight="1">
      <c r="A140" s="79"/>
      <c r="B140" s="79"/>
      <c r="C140" s="104"/>
      <c r="D140" s="104"/>
      <c r="E140" s="104"/>
      <c r="F140" s="104"/>
      <c r="G140" s="104"/>
      <c r="H140" s="104"/>
      <c r="I140" s="104"/>
      <c r="J140" s="104"/>
      <c r="K140" s="104"/>
      <c r="L140" s="102"/>
      <c r="M140" s="102"/>
      <c r="N140" s="102"/>
      <c r="O140" s="102"/>
      <c r="P140" s="103"/>
      <c r="Q140" s="103"/>
      <c r="R140" s="103"/>
      <c r="S140" s="103"/>
      <c r="T140" s="79"/>
      <c r="U140" s="79"/>
      <c r="V140" s="79"/>
      <c r="W140" s="79"/>
      <c r="X140" s="79"/>
      <c r="Y140" s="79"/>
      <c r="Z140" s="79"/>
    </row>
    <row r="141" ht="21.0" customHeight="1">
      <c r="A141" s="79"/>
      <c r="B141" s="79"/>
      <c r="C141" s="104"/>
      <c r="D141" s="104"/>
      <c r="E141" s="104"/>
      <c r="F141" s="104"/>
      <c r="G141" s="104"/>
      <c r="H141" s="104"/>
      <c r="I141" s="104"/>
      <c r="J141" s="104"/>
      <c r="K141" s="104"/>
      <c r="L141" s="102"/>
      <c r="M141" s="102"/>
      <c r="N141" s="102"/>
      <c r="O141" s="102"/>
      <c r="P141" s="103"/>
      <c r="Q141" s="103"/>
      <c r="R141" s="103"/>
      <c r="S141" s="103"/>
      <c r="T141" s="79"/>
      <c r="U141" s="79"/>
      <c r="V141" s="79"/>
      <c r="W141" s="79"/>
      <c r="X141" s="79"/>
      <c r="Y141" s="79"/>
      <c r="Z141" s="79"/>
    </row>
    <row r="142" ht="21.0" customHeight="1">
      <c r="A142" s="79"/>
      <c r="B142" s="79"/>
      <c r="C142" s="104"/>
      <c r="D142" s="104"/>
      <c r="E142" s="104"/>
      <c r="F142" s="104"/>
      <c r="G142" s="104"/>
      <c r="H142" s="104"/>
      <c r="I142" s="104"/>
      <c r="J142" s="104"/>
      <c r="K142" s="104"/>
      <c r="L142" s="102"/>
      <c r="M142" s="102"/>
      <c r="N142" s="102"/>
      <c r="O142" s="102"/>
      <c r="P142" s="103"/>
      <c r="Q142" s="103"/>
      <c r="R142" s="103"/>
      <c r="S142" s="103"/>
      <c r="T142" s="79"/>
      <c r="U142" s="79"/>
      <c r="V142" s="79"/>
      <c r="W142" s="79"/>
      <c r="X142" s="79"/>
      <c r="Y142" s="79"/>
      <c r="Z142" s="79"/>
    </row>
    <row r="143" ht="21.0" customHeight="1">
      <c r="A143" s="79"/>
      <c r="B143" s="79"/>
      <c r="C143" s="104"/>
      <c r="D143" s="104"/>
      <c r="E143" s="104"/>
      <c r="F143" s="104"/>
      <c r="G143" s="104"/>
      <c r="H143" s="104"/>
      <c r="I143" s="104"/>
      <c r="J143" s="104"/>
      <c r="K143" s="104"/>
      <c r="L143" s="102"/>
      <c r="M143" s="102"/>
      <c r="N143" s="102"/>
      <c r="O143" s="102"/>
      <c r="P143" s="103"/>
      <c r="Q143" s="103"/>
      <c r="R143" s="103"/>
      <c r="S143" s="103"/>
      <c r="T143" s="79"/>
      <c r="U143" s="79"/>
      <c r="V143" s="79"/>
      <c r="W143" s="79"/>
      <c r="X143" s="79"/>
      <c r="Y143" s="79"/>
      <c r="Z143" s="79"/>
    </row>
    <row r="144" ht="21.0" customHeight="1">
      <c r="A144" s="79"/>
      <c r="B144" s="79"/>
      <c r="C144" s="104"/>
      <c r="D144" s="104"/>
      <c r="E144" s="104"/>
      <c r="F144" s="104"/>
      <c r="G144" s="104"/>
      <c r="H144" s="104"/>
      <c r="I144" s="104"/>
      <c r="J144" s="104"/>
      <c r="K144" s="104"/>
      <c r="L144" s="102"/>
      <c r="M144" s="102"/>
      <c r="N144" s="102"/>
      <c r="O144" s="102"/>
      <c r="P144" s="103"/>
      <c r="Q144" s="103"/>
      <c r="R144" s="103"/>
      <c r="S144" s="103"/>
      <c r="T144" s="79"/>
      <c r="U144" s="79"/>
      <c r="V144" s="79"/>
      <c r="W144" s="79"/>
      <c r="X144" s="79"/>
      <c r="Y144" s="79"/>
      <c r="Z144" s="79"/>
    </row>
    <row r="145" ht="21.0" customHeight="1">
      <c r="A145" s="79"/>
      <c r="B145" s="79"/>
      <c r="C145" s="104"/>
      <c r="D145" s="104"/>
      <c r="E145" s="104"/>
      <c r="F145" s="104"/>
      <c r="G145" s="104"/>
      <c r="H145" s="104"/>
      <c r="I145" s="104"/>
      <c r="J145" s="104"/>
      <c r="K145" s="104"/>
      <c r="L145" s="102"/>
      <c r="M145" s="102"/>
      <c r="N145" s="102"/>
      <c r="O145" s="102"/>
      <c r="P145" s="103"/>
      <c r="Q145" s="103"/>
      <c r="R145" s="103"/>
      <c r="S145" s="103"/>
      <c r="T145" s="79"/>
      <c r="U145" s="79"/>
      <c r="V145" s="79"/>
      <c r="W145" s="79"/>
      <c r="X145" s="79"/>
      <c r="Y145" s="79"/>
      <c r="Z145" s="79"/>
    </row>
    <row r="146" ht="21.0" customHeight="1">
      <c r="A146" s="79"/>
      <c r="B146" s="79"/>
      <c r="C146" s="104"/>
      <c r="D146" s="104"/>
      <c r="E146" s="104"/>
      <c r="F146" s="104"/>
      <c r="G146" s="104"/>
      <c r="H146" s="104"/>
      <c r="I146" s="104"/>
      <c r="J146" s="104"/>
      <c r="K146" s="104"/>
      <c r="L146" s="102"/>
      <c r="M146" s="102"/>
      <c r="N146" s="102"/>
      <c r="O146" s="102"/>
      <c r="P146" s="103"/>
      <c r="Q146" s="103"/>
      <c r="R146" s="103"/>
      <c r="S146" s="103"/>
      <c r="T146" s="79"/>
      <c r="U146" s="79"/>
      <c r="V146" s="79"/>
      <c r="W146" s="79"/>
      <c r="X146" s="79"/>
      <c r="Y146" s="79"/>
      <c r="Z146" s="79"/>
    </row>
    <row r="147" ht="21.0" customHeight="1">
      <c r="A147" s="79"/>
      <c r="B147" s="79"/>
      <c r="C147" s="104"/>
      <c r="D147" s="104"/>
      <c r="E147" s="104"/>
      <c r="F147" s="104"/>
      <c r="G147" s="104"/>
      <c r="H147" s="104"/>
      <c r="I147" s="104"/>
      <c r="J147" s="104"/>
      <c r="K147" s="104"/>
      <c r="L147" s="102"/>
      <c r="M147" s="102"/>
      <c r="N147" s="102"/>
      <c r="O147" s="102"/>
      <c r="P147" s="103"/>
      <c r="Q147" s="103"/>
      <c r="R147" s="103"/>
      <c r="S147" s="103"/>
      <c r="T147" s="79"/>
      <c r="U147" s="79"/>
      <c r="V147" s="79"/>
      <c r="W147" s="79"/>
      <c r="X147" s="79"/>
      <c r="Y147" s="79"/>
      <c r="Z147" s="79"/>
    </row>
    <row r="148" ht="21.0" customHeight="1">
      <c r="A148" s="79"/>
      <c r="B148" s="79"/>
      <c r="C148" s="104"/>
      <c r="D148" s="104"/>
      <c r="E148" s="104"/>
      <c r="F148" s="104"/>
      <c r="G148" s="104"/>
      <c r="H148" s="104"/>
      <c r="I148" s="104"/>
      <c r="J148" s="104"/>
      <c r="K148" s="104"/>
      <c r="L148" s="102"/>
      <c r="M148" s="102"/>
      <c r="N148" s="102"/>
      <c r="O148" s="102"/>
      <c r="P148" s="103"/>
      <c r="Q148" s="103"/>
      <c r="R148" s="103"/>
      <c r="S148" s="103"/>
      <c r="T148" s="79"/>
      <c r="U148" s="79"/>
      <c r="V148" s="79"/>
      <c r="W148" s="79"/>
      <c r="X148" s="79"/>
      <c r="Y148" s="79"/>
      <c r="Z148" s="79"/>
    </row>
    <row r="149" ht="21.0" customHeight="1">
      <c r="A149" s="79"/>
      <c r="B149" s="79"/>
      <c r="C149" s="104"/>
      <c r="D149" s="104"/>
      <c r="E149" s="104"/>
      <c r="F149" s="104"/>
      <c r="G149" s="104"/>
      <c r="H149" s="104"/>
      <c r="I149" s="104"/>
      <c r="J149" s="104"/>
      <c r="K149" s="104"/>
      <c r="L149" s="102"/>
      <c r="M149" s="102"/>
      <c r="N149" s="102"/>
      <c r="O149" s="102"/>
      <c r="P149" s="103"/>
      <c r="Q149" s="103"/>
      <c r="R149" s="103"/>
      <c r="S149" s="103"/>
      <c r="T149" s="79"/>
      <c r="U149" s="79"/>
      <c r="V149" s="79"/>
      <c r="W149" s="79"/>
      <c r="X149" s="79"/>
      <c r="Y149" s="79"/>
      <c r="Z149" s="79"/>
    </row>
    <row r="150" ht="21.0" customHeight="1">
      <c r="A150" s="79"/>
      <c r="B150" s="79"/>
      <c r="C150" s="104"/>
      <c r="D150" s="104"/>
      <c r="E150" s="104"/>
      <c r="F150" s="104"/>
      <c r="G150" s="104"/>
      <c r="H150" s="104"/>
      <c r="I150" s="104"/>
      <c r="J150" s="104"/>
      <c r="K150" s="104"/>
      <c r="L150" s="102"/>
      <c r="M150" s="102"/>
      <c r="N150" s="102"/>
      <c r="O150" s="102"/>
      <c r="P150" s="103"/>
      <c r="Q150" s="103"/>
      <c r="R150" s="103"/>
      <c r="S150" s="103"/>
      <c r="T150" s="79"/>
      <c r="U150" s="79"/>
      <c r="V150" s="79"/>
      <c r="W150" s="79"/>
      <c r="X150" s="79"/>
      <c r="Y150" s="79"/>
      <c r="Z150" s="79"/>
    </row>
    <row r="151" ht="21.0" customHeight="1">
      <c r="A151" s="79"/>
      <c r="B151" s="79"/>
      <c r="C151" s="104"/>
      <c r="D151" s="104"/>
      <c r="E151" s="104"/>
      <c r="F151" s="104"/>
      <c r="G151" s="104"/>
      <c r="H151" s="104"/>
      <c r="I151" s="104"/>
      <c r="J151" s="104"/>
      <c r="K151" s="104"/>
      <c r="L151" s="102"/>
      <c r="M151" s="102"/>
      <c r="N151" s="102"/>
      <c r="O151" s="102"/>
      <c r="P151" s="103"/>
      <c r="Q151" s="103"/>
      <c r="R151" s="103"/>
      <c r="S151" s="103"/>
      <c r="T151" s="79"/>
      <c r="U151" s="79"/>
      <c r="V151" s="79"/>
      <c r="W151" s="79"/>
      <c r="X151" s="79"/>
      <c r="Y151" s="79"/>
      <c r="Z151" s="79"/>
    </row>
    <row r="152" ht="21.0" customHeight="1">
      <c r="A152" s="79"/>
      <c r="B152" s="79"/>
      <c r="C152" s="104"/>
      <c r="D152" s="104"/>
      <c r="E152" s="104"/>
      <c r="F152" s="104"/>
      <c r="G152" s="104"/>
      <c r="H152" s="104"/>
      <c r="I152" s="104"/>
      <c r="J152" s="104"/>
      <c r="K152" s="104"/>
      <c r="L152" s="102"/>
      <c r="M152" s="102"/>
      <c r="N152" s="102"/>
      <c r="O152" s="102"/>
      <c r="P152" s="103"/>
      <c r="Q152" s="103"/>
      <c r="R152" s="103"/>
      <c r="S152" s="103"/>
      <c r="T152" s="79"/>
      <c r="U152" s="79"/>
      <c r="V152" s="79"/>
      <c r="W152" s="79"/>
      <c r="X152" s="79"/>
      <c r="Y152" s="79"/>
      <c r="Z152" s="79"/>
    </row>
    <row r="153" ht="21.0" customHeight="1">
      <c r="A153" s="79"/>
      <c r="B153" s="79"/>
      <c r="C153" s="104"/>
      <c r="D153" s="104"/>
      <c r="E153" s="104"/>
      <c r="F153" s="104"/>
      <c r="G153" s="104"/>
      <c r="H153" s="104"/>
      <c r="I153" s="104"/>
      <c r="J153" s="104"/>
      <c r="K153" s="104"/>
      <c r="L153" s="102"/>
      <c r="M153" s="102"/>
      <c r="N153" s="102"/>
      <c r="O153" s="102"/>
      <c r="P153" s="103"/>
      <c r="Q153" s="103"/>
      <c r="R153" s="103"/>
      <c r="S153" s="103"/>
      <c r="T153" s="79"/>
      <c r="U153" s="79"/>
      <c r="V153" s="79"/>
      <c r="W153" s="79"/>
      <c r="X153" s="79"/>
      <c r="Y153" s="79"/>
      <c r="Z153" s="79"/>
    </row>
    <row r="154" ht="21.0" customHeight="1">
      <c r="A154" s="79"/>
      <c r="B154" s="79"/>
      <c r="C154" s="104"/>
      <c r="D154" s="104"/>
      <c r="E154" s="104"/>
      <c r="F154" s="104"/>
      <c r="G154" s="104"/>
      <c r="H154" s="104"/>
      <c r="I154" s="104"/>
      <c r="J154" s="104"/>
      <c r="K154" s="104"/>
      <c r="L154" s="102"/>
      <c r="M154" s="102"/>
      <c r="N154" s="102"/>
      <c r="O154" s="102"/>
      <c r="P154" s="103"/>
      <c r="Q154" s="103"/>
      <c r="R154" s="103"/>
      <c r="S154" s="103"/>
      <c r="T154" s="79"/>
      <c r="U154" s="79"/>
      <c r="V154" s="79"/>
      <c r="W154" s="79"/>
      <c r="X154" s="79"/>
      <c r="Y154" s="79"/>
      <c r="Z154" s="79"/>
    </row>
    <row r="155" ht="21.0" customHeight="1">
      <c r="A155" s="79"/>
      <c r="B155" s="79"/>
      <c r="C155" s="104"/>
      <c r="D155" s="104"/>
      <c r="E155" s="104"/>
      <c r="F155" s="104"/>
      <c r="G155" s="104"/>
      <c r="H155" s="104"/>
      <c r="I155" s="104"/>
      <c r="J155" s="104"/>
      <c r="K155" s="104"/>
      <c r="L155" s="102"/>
      <c r="M155" s="102"/>
      <c r="N155" s="102"/>
      <c r="O155" s="102"/>
      <c r="P155" s="103"/>
      <c r="Q155" s="103"/>
      <c r="R155" s="103"/>
      <c r="S155" s="103"/>
      <c r="T155" s="79"/>
      <c r="U155" s="79"/>
      <c r="V155" s="79"/>
      <c r="W155" s="79"/>
      <c r="X155" s="79"/>
      <c r="Y155" s="79"/>
      <c r="Z155" s="79"/>
    </row>
    <row r="156" ht="21.0" customHeight="1">
      <c r="A156" s="79"/>
      <c r="B156" s="79"/>
      <c r="C156" s="104"/>
      <c r="D156" s="104"/>
      <c r="E156" s="104"/>
      <c r="F156" s="104"/>
      <c r="G156" s="104"/>
      <c r="H156" s="104"/>
      <c r="I156" s="104"/>
      <c r="J156" s="104"/>
      <c r="K156" s="104"/>
      <c r="L156" s="102"/>
      <c r="M156" s="102"/>
      <c r="N156" s="102"/>
      <c r="O156" s="102"/>
      <c r="P156" s="103"/>
      <c r="Q156" s="103"/>
      <c r="R156" s="103"/>
      <c r="S156" s="103"/>
      <c r="T156" s="79"/>
      <c r="U156" s="79"/>
      <c r="V156" s="79"/>
      <c r="W156" s="79"/>
      <c r="X156" s="79"/>
      <c r="Y156" s="79"/>
      <c r="Z156" s="79"/>
    </row>
    <row r="157" ht="21.0" customHeight="1">
      <c r="A157" s="79"/>
      <c r="B157" s="79"/>
      <c r="C157" s="104"/>
      <c r="D157" s="104"/>
      <c r="E157" s="104"/>
      <c r="F157" s="104"/>
      <c r="G157" s="104"/>
      <c r="H157" s="104"/>
      <c r="I157" s="104"/>
      <c r="J157" s="104"/>
      <c r="K157" s="104"/>
      <c r="L157" s="102"/>
      <c r="M157" s="102"/>
      <c r="N157" s="102"/>
      <c r="O157" s="102"/>
      <c r="P157" s="103"/>
      <c r="Q157" s="103"/>
      <c r="R157" s="103"/>
      <c r="S157" s="103"/>
      <c r="T157" s="79"/>
      <c r="U157" s="79"/>
      <c r="V157" s="79"/>
      <c r="W157" s="79"/>
      <c r="X157" s="79"/>
      <c r="Y157" s="79"/>
      <c r="Z157" s="79"/>
    </row>
    <row r="158" ht="21.0" customHeight="1">
      <c r="A158" s="79"/>
      <c r="B158" s="79"/>
      <c r="C158" s="104"/>
      <c r="D158" s="104"/>
      <c r="E158" s="104"/>
      <c r="F158" s="104"/>
      <c r="G158" s="104"/>
      <c r="H158" s="104"/>
      <c r="I158" s="104"/>
      <c r="J158" s="104"/>
      <c r="K158" s="104"/>
      <c r="L158" s="102"/>
      <c r="M158" s="102"/>
      <c r="N158" s="102"/>
      <c r="O158" s="102"/>
      <c r="P158" s="103"/>
      <c r="Q158" s="103"/>
      <c r="R158" s="103"/>
      <c r="S158" s="103"/>
      <c r="T158" s="79"/>
      <c r="U158" s="79"/>
      <c r="V158" s="79"/>
      <c r="W158" s="79"/>
      <c r="X158" s="79"/>
      <c r="Y158" s="79"/>
      <c r="Z158" s="79"/>
    </row>
    <row r="159" ht="21.0" customHeight="1">
      <c r="A159" s="79"/>
      <c r="B159" s="79"/>
      <c r="C159" s="104"/>
      <c r="D159" s="104"/>
      <c r="E159" s="104"/>
      <c r="F159" s="104"/>
      <c r="G159" s="104"/>
      <c r="H159" s="104"/>
      <c r="I159" s="104"/>
      <c r="J159" s="104"/>
      <c r="K159" s="104"/>
      <c r="L159" s="102"/>
      <c r="M159" s="102"/>
      <c r="N159" s="102"/>
      <c r="O159" s="102"/>
      <c r="P159" s="103"/>
      <c r="Q159" s="103"/>
      <c r="R159" s="103"/>
      <c r="S159" s="103"/>
      <c r="T159" s="79"/>
      <c r="U159" s="79"/>
      <c r="V159" s="79"/>
      <c r="W159" s="79"/>
      <c r="X159" s="79"/>
      <c r="Y159" s="79"/>
      <c r="Z159" s="79"/>
    </row>
    <row r="160" ht="21.0" customHeight="1">
      <c r="A160" s="79"/>
      <c r="B160" s="79"/>
      <c r="C160" s="104"/>
      <c r="D160" s="104"/>
      <c r="E160" s="104"/>
      <c r="F160" s="104"/>
      <c r="G160" s="104"/>
      <c r="H160" s="104"/>
      <c r="I160" s="104"/>
      <c r="J160" s="104"/>
      <c r="K160" s="104"/>
      <c r="L160" s="102"/>
      <c r="M160" s="102"/>
      <c r="N160" s="102"/>
      <c r="O160" s="102"/>
      <c r="P160" s="103"/>
      <c r="Q160" s="103"/>
      <c r="R160" s="103"/>
      <c r="S160" s="103"/>
      <c r="T160" s="79"/>
      <c r="U160" s="79"/>
      <c r="V160" s="79"/>
      <c r="W160" s="79"/>
      <c r="X160" s="79"/>
      <c r="Y160" s="79"/>
      <c r="Z160" s="79"/>
    </row>
    <row r="161" ht="21.0" customHeight="1">
      <c r="A161" s="79"/>
      <c r="B161" s="79"/>
      <c r="C161" s="104"/>
      <c r="D161" s="104"/>
      <c r="E161" s="104"/>
      <c r="F161" s="104"/>
      <c r="G161" s="104"/>
      <c r="H161" s="104"/>
      <c r="I161" s="104"/>
      <c r="J161" s="104"/>
      <c r="K161" s="104"/>
      <c r="L161" s="102"/>
      <c r="M161" s="102"/>
      <c r="N161" s="102"/>
      <c r="O161" s="102"/>
      <c r="P161" s="103"/>
      <c r="Q161" s="103"/>
      <c r="R161" s="103"/>
      <c r="S161" s="103"/>
      <c r="T161" s="79"/>
      <c r="U161" s="79"/>
      <c r="V161" s="79"/>
      <c r="W161" s="79"/>
      <c r="X161" s="79"/>
      <c r="Y161" s="79"/>
      <c r="Z161" s="79"/>
    </row>
    <row r="162" ht="21.0" customHeight="1">
      <c r="A162" s="79"/>
      <c r="B162" s="79"/>
      <c r="C162" s="104"/>
      <c r="D162" s="104"/>
      <c r="E162" s="104"/>
      <c r="F162" s="104"/>
      <c r="G162" s="104"/>
      <c r="H162" s="104"/>
      <c r="I162" s="104"/>
      <c r="J162" s="104"/>
      <c r="K162" s="104"/>
      <c r="L162" s="102"/>
      <c r="M162" s="102"/>
      <c r="N162" s="102"/>
      <c r="O162" s="102"/>
      <c r="P162" s="103"/>
      <c r="Q162" s="103"/>
      <c r="R162" s="103"/>
      <c r="S162" s="103"/>
      <c r="T162" s="79"/>
      <c r="U162" s="79"/>
      <c r="V162" s="79"/>
      <c r="W162" s="79"/>
      <c r="X162" s="79"/>
      <c r="Y162" s="79"/>
      <c r="Z162" s="79"/>
    </row>
    <row r="163" ht="21.0" customHeight="1">
      <c r="A163" s="79"/>
      <c r="B163" s="79"/>
      <c r="C163" s="104"/>
      <c r="D163" s="104"/>
      <c r="E163" s="104"/>
      <c r="F163" s="104"/>
      <c r="G163" s="104"/>
      <c r="H163" s="104"/>
      <c r="I163" s="104"/>
      <c r="J163" s="104"/>
      <c r="K163" s="104"/>
      <c r="L163" s="102"/>
      <c r="M163" s="102"/>
      <c r="N163" s="102"/>
      <c r="O163" s="102"/>
      <c r="P163" s="103"/>
      <c r="Q163" s="103"/>
      <c r="R163" s="103"/>
      <c r="S163" s="103"/>
      <c r="T163" s="79"/>
      <c r="U163" s="79"/>
      <c r="V163" s="79"/>
      <c r="W163" s="79"/>
      <c r="X163" s="79"/>
      <c r="Y163" s="79"/>
      <c r="Z163" s="79"/>
    </row>
    <row r="164" ht="21.0" customHeight="1">
      <c r="A164" s="79"/>
      <c r="B164" s="79"/>
      <c r="C164" s="104"/>
      <c r="D164" s="104"/>
      <c r="E164" s="104"/>
      <c r="F164" s="104"/>
      <c r="G164" s="104"/>
      <c r="H164" s="104"/>
      <c r="I164" s="104"/>
      <c r="J164" s="104"/>
      <c r="K164" s="104"/>
      <c r="L164" s="102"/>
      <c r="M164" s="102"/>
      <c r="N164" s="102"/>
      <c r="O164" s="102"/>
      <c r="P164" s="103"/>
      <c r="Q164" s="103"/>
      <c r="R164" s="103"/>
      <c r="S164" s="103"/>
      <c r="T164" s="79"/>
      <c r="U164" s="79"/>
      <c r="V164" s="79"/>
      <c r="W164" s="79"/>
      <c r="X164" s="79"/>
      <c r="Y164" s="79"/>
      <c r="Z164" s="79"/>
    </row>
    <row r="165" ht="21.0" customHeight="1">
      <c r="A165" s="79"/>
      <c r="B165" s="79"/>
      <c r="C165" s="104"/>
      <c r="D165" s="104"/>
      <c r="E165" s="104"/>
      <c r="F165" s="104"/>
      <c r="G165" s="104"/>
      <c r="H165" s="104"/>
      <c r="I165" s="104"/>
      <c r="J165" s="104"/>
      <c r="K165" s="104"/>
      <c r="L165" s="102"/>
      <c r="M165" s="102"/>
      <c r="N165" s="102"/>
      <c r="O165" s="102"/>
      <c r="P165" s="103"/>
      <c r="Q165" s="103"/>
      <c r="R165" s="103"/>
      <c r="S165" s="103"/>
      <c r="T165" s="79"/>
      <c r="U165" s="79"/>
      <c r="V165" s="79"/>
      <c r="W165" s="79"/>
      <c r="X165" s="79"/>
      <c r="Y165" s="79"/>
      <c r="Z165" s="79"/>
    </row>
    <row r="166" ht="21.0" customHeight="1">
      <c r="A166" s="79"/>
      <c r="B166" s="79"/>
      <c r="C166" s="104"/>
      <c r="D166" s="104"/>
      <c r="E166" s="104"/>
      <c r="F166" s="104"/>
      <c r="G166" s="104"/>
      <c r="H166" s="104"/>
      <c r="I166" s="104"/>
      <c r="J166" s="104"/>
      <c r="K166" s="104"/>
      <c r="L166" s="102"/>
      <c r="M166" s="102"/>
      <c r="N166" s="102"/>
      <c r="O166" s="102"/>
      <c r="P166" s="103"/>
      <c r="Q166" s="103"/>
      <c r="R166" s="103"/>
      <c r="S166" s="103"/>
      <c r="T166" s="79"/>
      <c r="U166" s="79"/>
      <c r="V166" s="79"/>
      <c r="W166" s="79"/>
      <c r="X166" s="79"/>
      <c r="Y166" s="79"/>
      <c r="Z166" s="79"/>
    </row>
    <row r="167" ht="21.0" customHeight="1">
      <c r="A167" s="79"/>
      <c r="B167" s="79"/>
      <c r="C167" s="104"/>
      <c r="D167" s="104"/>
      <c r="E167" s="104"/>
      <c r="F167" s="104"/>
      <c r="G167" s="104"/>
      <c r="H167" s="104"/>
      <c r="I167" s="104"/>
      <c r="J167" s="104"/>
      <c r="K167" s="104"/>
      <c r="L167" s="102"/>
      <c r="M167" s="102"/>
      <c r="N167" s="102"/>
      <c r="O167" s="102"/>
      <c r="P167" s="103"/>
      <c r="Q167" s="103"/>
      <c r="R167" s="103"/>
      <c r="S167" s="103"/>
      <c r="T167" s="79"/>
      <c r="U167" s="79"/>
      <c r="V167" s="79"/>
      <c r="W167" s="79"/>
      <c r="X167" s="79"/>
      <c r="Y167" s="79"/>
      <c r="Z167" s="79"/>
    </row>
    <row r="168" ht="21.0" customHeight="1">
      <c r="A168" s="79"/>
      <c r="B168" s="79"/>
      <c r="C168" s="104"/>
      <c r="D168" s="104"/>
      <c r="E168" s="104"/>
      <c r="F168" s="104"/>
      <c r="G168" s="104"/>
      <c r="H168" s="104"/>
      <c r="I168" s="104"/>
      <c r="J168" s="104"/>
      <c r="K168" s="104"/>
      <c r="L168" s="102"/>
      <c r="M168" s="102"/>
      <c r="N168" s="102"/>
      <c r="O168" s="102"/>
      <c r="P168" s="103"/>
      <c r="Q168" s="103"/>
      <c r="R168" s="103"/>
      <c r="S168" s="103"/>
      <c r="T168" s="79"/>
      <c r="U168" s="79"/>
      <c r="V168" s="79"/>
      <c r="W168" s="79"/>
      <c r="X168" s="79"/>
      <c r="Y168" s="79"/>
      <c r="Z168" s="79"/>
    </row>
    <row r="169" ht="21.0" customHeight="1">
      <c r="A169" s="79"/>
      <c r="B169" s="79"/>
      <c r="C169" s="104"/>
      <c r="D169" s="104"/>
      <c r="E169" s="104"/>
      <c r="F169" s="104"/>
      <c r="G169" s="104"/>
      <c r="H169" s="104"/>
      <c r="I169" s="104"/>
      <c r="J169" s="104"/>
      <c r="K169" s="104"/>
      <c r="L169" s="102"/>
      <c r="M169" s="102"/>
      <c r="N169" s="102"/>
      <c r="O169" s="102"/>
      <c r="P169" s="103"/>
      <c r="Q169" s="103"/>
      <c r="R169" s="103"/>
      <c r="S169" s="103"/>
      <c r="T169" s="79"/>
      <c r="U169" s="79"/>
      <c r="V169" s="79"/>
      <c r="W169" s="79"/>
      <c r="X169" s="79"/>
      <c r="Y169" s="79"/>
      <c r="Z169" s="79"/>
    </row>
    <row r="170" ht="21.0" customHeight="1">
      <c r="A170" s="79"/>
      <c r="B170" s="79"/>
      <c r="C170" s="104"/>
      <c r="D170" s="104"/>
      <c r="E170" s="104"/>
      <c r="F170" s="104"/>
      <c r="G170" s="104"/>
      <c r="H170" s="104"/>
      <c r="I170" s="104"/>
      <c r="J170" s="104"/>
      <c r="K170" s="104"/>
      <c r="L170" s="102"/>
      <c r="M170" s="102"/>
      <c r="N170" s="102"/>
      <c r="O170" s="102"/>
      <c r="P170" s="103"/>
      <c r="Q170" s="103"/>
      <c r="R170" s="103"/>
      <c r="S170" s="103"/>
      <c r="T170" s="79"/>
      <c r="U170" s="79"/>
      <c r="V170" s="79"/>
      <c r="W170" s="79"/>
      <c r="X170" s="79"/>
      <c r="Y170" s="79"/>
      <c r="Z170" s="79"/>
    </row>
    <row r="171" ht="21.0" customHeight="1">
      <c r="A171" s="79"/>
      <c r="B171" s="79"/>
      <c r="C171" s="104"/>
      <c r="D171" s="104"/>
      <c r="E171" s="104"/>
      <c r="F171" s="104"/>
      <c r="G171" s="104"/>
      <c r="H171" s="104"/>
      <c r="I171" s="104"/>
      <c r="J171" s="104"/>
      <c r="K171" s="104"/>
      <c r="L171" s="102"/>
      <c r="M171" s="102"/>
      <c r="N171" s="102"/>
      <c r="O171" s="102"/>
      <c r="P171" s="103"/>
      <c r="Q171" s="103"/>
      <c r="R171" s="103"/>
      <c r="S171" s="103"/>
      <c r="T171" s="79"/>
      <c r="U171" s="79"/>
      <c r="V171" s="79"/>
      <c r="W171" s="79"/>
      <c r="X171" s="79"/>
      <c r="Y171" s="79"/>
      <c r="Z171" s="79"/>
    </row>
    <row r="172" ht="21.0" customHeight="1">
      <c r="A172" s="79"/>
      <c r="B172" s="79"/>
      <c r="C172" s="104"/>
      <c r="D172" s="104"/>
      <c r="E172" s="104"/>
      <c r="F172" s="104"/>
      <c r="G172" s="104"/>
      <c r="H172" s="104"/>
      <c r="I172" s="104"/>
      <c r="J172" s="104"/>
      <c r="K172" s="104"/>
      <c r="L172" s="102"/>
      <c r="M172" s="102"/>
      <c r="N172" s="102"/>
      <c r="O172" s="102"/>
      <c r="P172" s="103"/>
      <c r="Q172" s="103"/>
      <c r="R172" s="103"/>
      <c r="S172" s="103"/>
      <c r="T172" s="79"/>
      <c r="U172" s="79"/>
      <c r="V172" s="79"/>
      <c r="W172" s="79"/>
      <c r="X172" s="79"/>
      <c r="Y172" s="79"/>
      <c r="Z172" s="79"/>
    </row>
    <row r="173" ht="21.0" customHeight="1">
      <c r="A173" s="79"/>
      <c r="B173" s="79"/>
      <c r="C173" s="104"/>
      <c r="D173" s="104"/>
      <c r="E173" s="104"/>
      <c r="F173" s="104"/>
      <c r="G173" s="104"/>
      <c r="H173" s="104"/>
      <c r="I173" s="104"/>
      <c r="J173" s="104"/>
      <c r="K173" s="104"/>
      <c r="L173" s="102"/>
      <c r="M173" s="102"/>
      <c r="N173" s="102"/>
      <c r="O173" s="102"/>
      <c r="P173" s="103"/>
      <c r="Q173" s="103"/>
      <c r="R173" s="103"/>
      <c r="S173" s="103"/>
      <c r="T173" s="79"/>
      <c r="U173" s="79"/>
      <c r="V173" s="79"/>
      <c r="W173" s="79"/>
      <c r="X173" s="79"/>
      <c r="Y173" s="79"/>
      <c r="Z173" s="79"/>
    </row>
    <row r="174" ht="21.0" customHeight="1">
      <c r="A174" s="79"/>
      <c r="B174" s="79"/>
      <c r="C174" s="104"/>
      <c r="D174" s="104"/>
      <c r="E174" s="104"/>
      <c r="F174" s="104"/>
      <c r="G174" s="104"/>
      <c r="H174" s="104"/>
      <c r="I174" s="104"/>
      <c r="J174" s="104"/>
      <c r="K174" s="104"/>
      <c r="L174" s="102"/>
      <c r="M174" s="102"/>
      <c r="N174" s="102"/>
      <c r="O174" s="102"/>
      <c r="P174" s="103"/>
      <c r="Q174" s="103"/>
      <c r="R174" s="103"/>
      <c r="S174" s="103"/>
      <c r="T174" s="79"/>
      <c r="U174" s="79"/>
      <c r="V174" s="79"/>
      <c r="W174" s="79"/>
      <c r="X174" s="79"/>
      <c r="Y174" s="79"/>
      <c r="Z174" s="79"/>
    </row>
    <row r="175" ht="21.0" customHeight="1">
      <c r="A175" s="79"/>
      <c r="B175" s="79"/>
      <c r="C175" s="104"/>
      <c r="D175" s="104"/>
      <c r="E175" s="104"/>
      <c r="F175" s="104"/>
      <c r="G175" s="104"/>
      <c r="H175" s="104"/>
      <c r="I175" s="104"/>
      <c r="J175" s="104"/>
      <c r="K175" s="104"/>
      <c r="L175" s="102"/>
      <c r="M175" s="102"/>
      <c r="N175" s="102"/>
      <c r="O175" s="102"/>
      <c r="P175" s="103"/>
      <c r="Q175" s="103"/>
      <c r="R175" s="103"/>
      <c r="S175" s="103"/>
      <c r="T175" s="79"/>
      <c r="U175" s="79"/>
      <c r="V175" s="79"/>
      <c r="W175" s="79"/>
      <c r="X175" s="79"/>
      <c r="Y175" s="79"/>
      <c r="Z175" s="79"/>
    </row>
    <row r="176" ht="21.0" customHeight="1">
      <c r="A176" s="79"/>
      <c r="B176" s="79"/>
      <c r="C176" s="104"/>
      <c r="D176" s="104"/>
      <c r="E176" s="104"/>
      <c r="F176" s="104"/>
      <c r="G176" s="104"/>
      <c r="H176" s="104"/>
      <c r="I176" s="104"/>
      <c r="J176" s="104"/>
      <c r="K176" s="104"/>
      <c r="L176" s="102"/>
      <c r="M176" s="102"/>
      <c r="N176" s="102"/>
      <c r="O176" s="102"/>
      <c r="P176" s="103"/>
      <c r="Q176" s="103"/>
      <c r="R176" s="103"/>
      <c r="S176" s="103"/>
      <c r="T176" s="79"/>
      <c r="U176" s="79"/>
      <c r="V176" s="79"/>
      <c r="W176" s="79"/>
      <c r="X176" s="79"/>
      <c r="Y176" s="79"/>
      <c r="Z176" s="79"/>
    </row>
    <row r="177" ht="21.0" customHeight="1">
      <c r="A177" s="79"/>
      <c r="B177" s="79"/>
      <c r="C177" s="104"/>
      <c r="D177" s="104"/>
      <c r="E177" s="104"/>
      <c r="F177" s="104"/>
      <c r="G177" s="104"/>
      <c r="H177" s="104"/>
      <c r="I177" s="104"/>
      <c r="J177" s="104"/>
      <c r="K177" s="104"/>
      <c r="L177" s="102"/>
      <c r="M177" s="102"/>
      <c r="N177" s="102"/>
      <c r="O177" s="102"/>
      <c r="P177" s="103"/>
      <c r="Q177" s="103"/>
      <c r="R177" s="103"/>
      <c r="S177" s="103"/>
      <c r="T177" s="79"/>
      <c r="U177" s="79"/>
      <c r="V177" s="79"/>
      <c r="W177" s="79"/>
      <c r="X177" s="79"/>
      <c r="Y177" s="79"/>
      <c r="Z177" s="79"/>
    </row>
    <row r="178" ht="21.0" customHeight="1">
      <c r="A178" s="79"/>
      <c r="B178" s="79"/>
      <c r="C178" s="104"/>
      <c r="D178" s="104"/>
      <c r="E178" s="104"/>
      <c r="F178" s="104"/>
      <c r="G178" s="104"/>
      <c r="H178" s="104"/>
      <c r="I178" s="104"/>
      <c r="J178" s="104"/>
      <c r="K178" s="104"/>
      <c r="L178" s="102"/>
      <c r="M178" s="102"/>
      <c r="N178" s="102"/>
      <c r="O178" s="102"/>
      <c r="P178" s="103"/>
      <c r="Q178" s="103"/>
      <c r="R178" s="103"/>
      <c r="S178" s="103"/>
      <c r="T178" s="79"/>
      <c r="U178" s="79"/>
      <c r="V178" s="79"/>
      <c r="W178" s="79"/>
      <c r="X178" s="79"/>
      <c r="Y178" s="79"/>
      <c r="Z178" s="79"/>
    </row>
    <row r="179" ht="21.0" customHeight="1">
      <c r="A179" s="79"/>
      <c r="B179" s="79"/>
      <c r="C179" s="104"/>
      <c r="D179" s="104"/>
      <c r="E179" s="104"/>
      <c r="F179" s="104"/>
      <c r="G179" s="104"/>
      <c r="H179" s="104"/>
      <c r="I179" s="104"/>
      <c r="J179" s="104"/>
      <c r="K179" s="104"/>
      <c r="L179" s="102"/>
      <c r="M179" s="102"/>
      <c r="N179" s="102"/>
      <c r="O179" s="102"/>
      <c r="P179" s="103"/>
      <c r="Q179" s="103"/>
      <c r="R179" s="103"/>
      <c r="S179" s="103"/>
      <c r="T179" s="79"/>
      <c r="U179" s="79"/>
      <c r="V179" s="79"/>
      <c r="W179" s="79"/>
      <c r="X179" s="79"/>
      <c r="Y179" s="79"/>
      <c r="Z179" s="79"/>
    </row>
    <row r="180" ht="21.0" customHeight="1">
      <c r="A180" s="79"/>
      <c r="B180" s="79"/>
      <c r="C180" s="104"/>
      <c r="D180" s="104"/>
      <c r="E180" s="104"/>
      <c r="F180" s="104"/>
      <c r="G180" s="104"/>
      <c r="H180" s="104"/>
      <c r="I180" s="104"/>
      <c r="J180" s="104"/>
      <c r="K180" s="104"/>
      <c r="L180" s="102"/>
      <c r="M180" s="102"/>
      <c r="N180" s="102"/>
      <c r="O180" s="102"/>
      <c r="P180" s="103"/>
      <c r="Q180" s="103"/>
      <c r="R180" s="103"/>
      <c r="S180" s="103"/>
      <c r="T180" s="79"/>
      <c r="U180" s="79"/>
      <c r="V180" s="79"/>
      <c r="W180" s="79"/>
      <c r="X180" s="79"/>
      <c r="Y180" s="79"/>
      <c r="Z180" s="79"/>
    </row>
    <row r="181" ht="21.0" customHeight="1">
      <c r="A181" s="79"/>
      <c r="B181" s="79"/>
      <c r="C181" s="104"/>
      <c r="D181" s="104"/>
      <c r="E181" s="104"/>
      <c r="F181" s="104"/>
      <c r="G181" s="104"/>
      <c r="H181" s="104"/>
      <c r="I181" s="104"/>
      <c r="J181" s="104"/>
      <c r="K181" s="104"/>
      <c r="L181" s="102"/>
      <c r="M181" s="102"/>
      <c r="N181" s="102"/>
      <c r="O181" s="102"/>
      <c r="P181" s="103"/>
      <c r="Q181" s="103"/>
      <c r="R181" s="103"/>
      <c r="S181" s="103"/>
      <c r="T181" s="79"/>
      <c r="U181" s="79"/>
      <c r="V181" s="79"/>
      <c r="W181" s="79"/>
      <c r="X181" s="79"/>
      <c r="Y181" s="79"/>
      <c r="Z181" s="79"/>
    </row>
    <row r="182" ht="21.0" customHeight="1">
      <c r="A182" s="79"/>
      <c r="B182" s="79"/>
      <c r="C182" s="104"/>
      <c r="D182" s="104"/>
      <c r="E182" s="104"/>
      <c r="F182" s="104"/>
      <c r="G182" s="104"/>
      <c r="H182" s="104"/>
      <c r="I182" s="104"/>
      <c r="J182" s="104"/>
      <c r="K182" s="104"/>
      <c r="L182" s="102"/>
      <c r="M182" s="102"/>
      <c r="N182" s="102"/>
      <c r="O182" s="102"/>
      <c r="P182" s="103"/>
      <c r="Q182" s="103"/>
      <c r="R182" s="103"/>
      <c r="S182" s="103"/>
      <c r="T182" s="79"/>
      <c r="U182" s="79"/>
      <c r="V182" s="79"/>
      <c r="W182" s="79"/>
      <c r="X182" s="79"/>
      <c r="Y182" s="79"/>
      <c r="Z182" s="79"/>
    </row>
    <row r="183" ht="21.0" customHeight="1">
      <c r="A183" s="79"/>
      <c r="B183" s="79"/>
      <c r="C183" s="104"/>
      <c r="D183" s="104"/>
      <c r="E183" s="104"/>
      <c r="F183" s="104"/>
      <c r="G183" s="104"/>
      <c r="H183" s="104"/>
      <c r="I183" s="104"/>
      <c r="J183" s="104"/>
      <c r="K183" s="104"/>
      <c r="L183" s="102"/>
      <c r="M183" s="102"/>
      <c r="N183" s="102"/>
      <c r="O183" s="102"/>
      <c r="P183" s="103"/>
      <c r="Q183" s="103"/>
      <c r="R183" s="103"/>
      <c r="S183" s="103"/>
      <c r="T183" s="79"/>
      <c r="U183" s="79"/>
      <c r="V183" s="79"/>
      <c r="W183" s="79"/>
      <c r="X183" s="79"/>
      <c r="Y183" s="79"/>
      <c r="Z183" s="79"/>
    </row>
    <row r="184" ht="21.0" customHeight="1">
      <c r="A184" s="79"/>
      <c r="B184" s="79"/>
      <c r="C184" s="104"/>
      <c r="D184" s="104"/>
      <c r="E184" s="104"/>
      <c r="F184" s="104"/>
      <c r="G184" s="104"/>
      <c r="H184" s="104"/>
      <c r="I184" s="104"/>
      <c r="J184" s="104"/>
      <c r="K184" s="104"/>
      <c r="L184" s="102"/>
      <c r="M184" s="102"/>
      <c r="N184" s="102"/>
      <c r="O184" s="102"/>
      <c r="P184" s="103"/>
      <c r="Q184" s="103"/>
      <c r="R184" s="103"/>
      <c r="S184" s="103"/>
      <c r="T184" s="79"/>
      <c r="U184" s="79"/>
      <c r="V184" s="79"/>
      <c r="W184" s="79"/>
      <c r="X184" s="79"/>
      <c r="Y184" s="79"/>
      <c r="Z184" s="79"/>
    </row>
    <row r="185" ht="21.0" customHeight="1">
      <c r="A185" s="79"/>
      <c r="B185" s="79"/>
      <c r="C185" s="104"/>
      <c r="D185" s="104"/>
      <c r="E185" s="104"/>
      <c r="F185" s="104"/>
      <c r="G185" s="104"/>
      <c r="H185" s="104"/>
      <c r="I185" s="104"/>
      <c r="J185" s="104"/>
      <c r="K185" s="104"/>
      <c r="L185" s="102"/>
      <c r="M185" s="102"/>
      <c r="N185" s="102"/>
      <c r="O185" s="102"/>
      <c r="P185" s="103"/>
      <c r="Q185" s="103"/>
      <c r="R185" s="103"/>
      <c r="S185" s="103"/>
      <c r="T185" s="79"/>
      <c r="U185" s="79"/>
      <c r="V185" s="79"/>
      <c r="W185" s="79"/>
      <c r="X185" s="79"/>
      <c r="Y185" s="79"/>
      <c r="Z185" s="79"/>
    </row>
    <row r="186" ht="21.0" customHeight="1">
      <c r="A186" s="79"/>
      <c r="B186" s="79"/>
      <c r="C186" s="104"/>
      <c r="D186" s="104"/>
      <c r="E186" s="104"/>
      <c r="F186" s="104"/>
      <c r="G186" s="104"/>
      <c r="H186" s="104"/>
      <c r="I186" s="104"/>
      <c r="J186" s="104"/>
      <c r="K186" s="104"/>
      <c r="L186" s="102"/>
      <c r="M186" s="102"/>
      <c r="N186" s="102"/>
      <c r="O186" s="102"/>
      <c r="P186" s="103"/>
      <c r="Q186" s="103"/>
      <c r="R186" s="103"/>
      <c r="S186" s="103"/>
      <c r="T186" s="79"/>
      <c r="U186" s="79"/>
      <c r="V186" s="79"/>
      <c r="W186" s="79"/>
      <c r="X186" s="79"/>
      <c r="Y186" s="79"/>
      <c r="Z186" s="79"/>
    </row>
    <row r="187" ht="21.0" customHeight="1">
      <c r="A187" s="79"/>
      <c r="B187" s="7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2"/>
      <c r="M187" s="102"/>
      <c r="N187" s="102"/>
      <c r="O187" s="102"/>
      <c r="P187" s="103"/>
      <c r="Q187" s="103"/>
      <c r="R187" s="103"/>
      <c r="S187" s="103"/>
      <c r="T187" s="79"/>
      <c r="U187" s="79"/>
      <c r="V187" s="79"/>
      <c r="W187" s="79"/>
      <c r="X187" s="79"/>
      <c r="Y187" s="79"/>
      <c r="Z187" s="79"/>
    </row>
    <row r="188" ht="21.0" customHeight="1">
      <c r="A188" s="79"/>
      <c r="B188" s="7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2"/>
      <c r="M188" s="102"/>
      <c r="N188" s="102"/>
      <c r="O188" s="102"/>
      <c r="P188" s="103"/>
      <c r="Q188" s="103"/>
      <c r="R188" s="103"/>
      <c r="S188" s="103"/>
      <c r="T188" s="79"/>
      <c r="U188" s="79"/>
      <c r="V188" s="79"/>
      <c r="W188" s="79"/>
      <c r="X188" s="79"/>
      <c r="Y188" s="79"/>
      <c r="Z188" s="79"/>
    </row>
    <row r="189" ht="21.0" customHeight="1">
      <c r="A189" s="79"/>
      <c r="B189" s="79"/>
      <c r="C189" s="104"/>
      <c r="D189" s="104"/>
      <c r="E189" s="104"/>
      <c r="F189" s="104"/>
      <c r="G189" s="104"/>
      <c r="H189" s="104"/>
      <c r="I189" s="104"/>
      <c r="J189" s="104"/>
      <c r="K189" s="104"/>
      <c r="L189" s="102"/>
      <c r="M189" s="102"/>
      <c r="N189" s="102"/>
      <c r="O189" s="102"/>
      <c r="P189" s="103"/>
      <c r="Q189" s="103"/>
      <c r="R189" s="103"/>
      <c r="S189" s="103"/>
      <c r="T189" s="79"/>
      <c r="U189" s="79"/>
      <c r="V189" s="79"/>
      <c r="W189" s="79"/>
      <c r="X189" s="79"/>
      <c r="Y189" s="79"/>
      <c r="Z189" s="79"/>
    </row>
    <row r="190" ht="21.0" customHeight="1">
      <c r="A190" s="79"/>
      <c r="B190" s="79"/>
      <c r="C190" s="104"/>
      <c r="D190" s="104"/>
      <c r="E190" s="104"/>
      <c r="F190" s="104"/>
      <c r="G190" s="104"/>
      <c r="H190" s="104"/>
      <c r="I190" s="104"/>
      <c r="J190" s="104"/>
      <c r="K190" s="104"/>
      <c r="L190" s="102"/>
      <c r="M190" s="102"/>
      <c r="N190" s="102"/>
      <c r="O190" s="102"/>
      <c r="P190" s="103"/>
      <c r="Q190" s="103"/>
      <c r="R190" s="103"/>
      <c r="S190" s="103"/>
      <c r="T190" s="79"/>
      <c r="U190" s="79"/>
      <c r="V190" s="79"/>
      <c r="W190" s="79"/>
      <c r="X190" s="79"/>
      <c r="Y190" s="79"/>
      <c r="Z190" s="79"/>
    </row>
    <row r="191" ht="21.0" customHeight="1">
      <c r="A191" s="79"/>
      <c r="B191" s="79"/>
      <c r="C191" s="104"/>
      <c r="D191" s="104"/>
      <c r="E191" s="104"/>
      <c r="F191" s="104"/>
      <c r="G191" s="104"/>
      <c r="H191" s="104"/>
      <c r="I191" s="104"/>
      <c r="J191" s="104"/>
      <c r="K191" s="104"/>
      <c r="L191" s="102"/>
      <c r="M191" s="102"/>
      <c r="N191" s="102"/>
      <c r="O191" s="102"/>
      <c r="P191" s="103"/>
      <c r="Q191" s="103"/>
      <c r="R191" s="103"/>
      <c r="S191" s="103"/>
      <c r="T191" s="79"/>
      <c r="U191" s="79"/>
      <c r="V191" s="79"/>
      <c r="W191" s="79"/>
      <c r="X191" s="79"/>
      <c r="Y191" s="79"/>
      <c r="Z191" s="79"/>
    </row>
    <row r="192" ht="21.0" customHeight="1">
      <c r="A192" s="79"/>
      <c r="B192" s="79"/>
      <c r="C192" s="104"/>
      <c r="D192" s="104"/>
      <c r="E192" s="104"/>
      <c r="F192" s="104"/>
      <c r="G192" s="104"/>
      <c r="H192" s="104"/>
      <c r="I192" s="104"/>
      <c r="J192" s="104"/>
      <c r="K192" s="104"/>
      <c r="L192" s="102"/>
      <c r="M192" s="102"/>
      <c r="N192" s="102"/>
      <c r="O192" s="102"/>
      <c r="P192" s="103"/>
      <c r="Q192" s="103"/>
      <c r="R192" s="103"/>
      <c r="S192" s="103"/>
      <c r="T192" s="79"/>
      <c r="U192" s="79"/>
      <c r="V192" s="79"/>
      <c r="W192" s="79"/>
      <c r="X192" s="79"/>
      <c r="Y192" s="79"/>
      <c r="Z192" s="79"/>
    </row>
    <row r="193" ht="21.0" customHeight="1">
      <c r="A193" s="79"/>
      <c r="B193" s="79"/>
      <c r="C193" s="104"/>
      <c r="D193" s="104"/>
      <c r="E193" s="104"/>
      <c r="F193" s="104"/>
      <c r="G193" s="104"/>
      <c r="H193" s="104"/>
      <c r="I193" s="104"/>
      <c r="J193" s="104"/>
      <c r="K193" s="104"/>
      <c r="L193" s="102"/>
      <c r="M193" s="102"/>
      <c r="N193" s="102"/>
      <c r="O193" s="102"/>
      <c r="P193" s="103"/>
      <c r="Q193" s="103"/>
      <c r="R193" s="103"/>
      <c r="S193" s="103"/>
      <c r="T193" s="79"/>
      <c r="U193" s="79"/>
      <c r="V193" s="79"/>
      <c r="W193" s="79"/>
      <c r="X193" s="79"/>
      <c r="Y193" s="79"/>
      <c r="Z193" s="79"/>
    </row>
    <row r="194" ht="21.0" customHeight="1">
      <c r="A194" s="79"/>
      <c r="B194" s="79"/>
      <c r="C194" s="104"/>
      <c r="D194" s="104"/>
      <c r="E194" s="104"/>
      <c r="F194" s="104"/>
      <c r="G194" s="104"/>
      <c r="H194" s="104"/>
      <c r="I194" s="104"/>
      <c r="J194" s="104"/>
      <c r="K194" s="104"/>
      <c r="L194" s="102"/>
      <c r="M194" s="102"/>
      <c r="N194" s="102"/>
      <c r="O194" s="102"/>
      <c r="P194" s="103"/>
      <c r="Q194" s="103"/>
      <c r="R194" s="103"/>
      <c r="S194" s="103"/>
      <c r="T194" s="79"/>
      <c r="U194" s="79"/>
      <c r="V194" s="79"/>
      <c r="W194" s="79"/>
      <c r="X194" s="79"/>
      <c r="Y194" s="79"/>
      <c r="Z194" s="79"/>
    </row>
    <row r="195" ht="21.0" customHeight="1">
      <c r="A195" s="79"/>
      <c r="B195" s="79"/>
      <c r="C195" s="104"/>
      <c r="D195" s="104"/>
      <c r="E195" s="104"/>
      <c r="F195" s="104"/>
      <c r="G195" s="104"/>
      <c r="H195" s="104"/>
      <c r="I195" s="104"/>
      <c r="J195" s="104"/>
      <c r="K195" s="104"/>
      <c r="L195" s="102"/>
      <c r="M195" s="102"/>
      <c r="N195" s="102"/>
      <c r="O195" s="102"/>
      <c r="P195" s="103"/>
      <c r="Q195" s="103"/>
      <c r="R195" s="103"/>
      <c r="S195" s="103"/>
      <c r="T195" s="79"/>
      <c r="U195" s="79"/>
      <c r="V195" s="79"/>
      <c r="W195" s="79"/>
      <c r="X195" s="79"/>
      <c r="Y195" s="79"/>
      <c r="Z195" s="79"/>
    </row>
    <row r="196" ht="21.0" customHeight="1">
      <c r="A196" s="79"/>
      <c r="B196" s="79"/>
      <c r="C196" s="104"/>
      <c r="D196" s="104"/>
      <c r="E196" s="104"/>
      <c r="F196" s="104"/>
      <c r="G196" s="104"/>
      <c r="H196" s="104"/>
      <c r="I196" s="104"/>
      <c r="J196" s="104"/>
      <c r="K196" s="104"/>
      <c r="L196" s="102"/>
      <c r="M196" s="102"/>
      <c r="N196" s="102"/>
      <c r="O196" s="102"/>
      <c r="P196" s="103"/>
      <c r="Q196" s="103"/>
      <c r="R196" s="103"/>
      <c r="S196" s="103"/>
      <c r="T196" s="79"/>
      <c r="U196" s="79"/>
      <c r="V196" s="79"/>
      <c r="W196" s="79"/>
      <c r="X196" s="79"/>
      <c r="Y196" s="79"/>
      <c r="Z196" s="79"/>
    </row>
    <row r="197" ht="21.0" customHeight="1">
      <c r="A197" s="79"/>
      <c r="B197" s="79"/>
      <c r="C197" s="104"/>
      <c r="D197" s="104"/>
      <c r="E197" s="104"/>
      <c r="F197" s="104"/>
      <c r="G197" s="104"/>
      <c r="H197" s="104"/>
      <c r="I197" s="104"/>
      <c r="J197" s="104"/>
      <c r="K197" s="104"/>
      <c r="L197" s="102"/>
      <c r="M197" s="102"/>
      <c r="N197" s="102"/>
      <c r="O197" s="102"/>
      <c r="P197" s="103"/>
      <c r="Q197" s="103"/>
      <c r="R197" s="103"/>
      <c r="S197" s="103"/>
      <c r="T197" s="79"/>
      <c r="U197" s="79"/>
      <c r="V197" s="79"/>
      <c r="W197" s="79"/>
      <c r="X197" s="79"/>
      <c r="Y197" s="79"/>
      <c r="Z197" s="79"/>
    </row>
    <row r="198" ht="21.0" customHeight="1">
      <c r="A198" s="79"/>
      <c r="B198" s="79"/>
      <c r="C198" s="104"/>
      <c r="D198" s="104"/>
      <c r="E198" s="104"/>
      <c r="F198" s="104"/>
      <c r="G198" s="104"/>
      <c r="H198" s="104"/>
      <c r="I198" s="104"/>
      <c r="J198" s="104"/>
      <c r="K198" s="104"/>
      <c r="L198" s="102"/>
      <c r="M198" s="102"/>
      <c r="N198" s="102"/>
      <c r="O198" s="102"/>
      <c r="P198" s="103"/>
      <c r="Q198" s="103"/>
      <c r="R198" s="103"/>
      <c r="S198" s="103"/>
      <c r="T198" s="79"/>
      <c r="U198" s="79"/>
      <c r="V198" s="79"/>
      <c r="W198" s="79"/>
      <c r="X198" s="79"/>
      <c r="Y198" s="79"/>
      <c r="Z198" s="79"/>
    </row>
    <row r="199" ht="21.0" customHeight="1">
      <c r="A199" s="79"/>
      <c r="B199" s="79"/>
      <c r="C199" s="104"/>
      <c r="D199" s="104"/>
      <c r="E199" s="104"/>
      <c r="F199" s="104"/>
      <c r="G199" s="104"/>
      <c r="H199" s="104"/>
      <c r="I199" s="104"/>
      <c r="J199" s="104"/>
      <c r="K199" s="104"/>
      <c r="L199" s="102"/>
      <c r="M199" s="102"/>
      <c r="N199" s="102"/>
      <c r="O199" s="102"/>
      <c r="P199" s="103"/>
      <c r="Q199" s="103"/>
      <c r="R199" s="103"/>
      <c r="S199" s="103"/>
      <c r="T199" s="79"/>
      <c r="U199" s="79"/>
      <c r="V199" s="79"/>
      <c r="W199" s="79"/>
      <c r="X199" s="79"/>
      <c r="Y199" s="79"/>
      <c r="Z199" s="79"/>
    </row>
    <row r="200" ht="21.0" customHeight="1">
      <c r="A200" s="79"/>
      <c r="B200" s="79"/>
      <c r="C200" s="104"/>
      <c r="D200" s="104"/>
      <c r="E200" s="104"/>
      <c r="F200" s="104"/>
      <c r="G200" s="104"/>
      <c r="H200" s="104"/>
      <c r="I200" s="104"/>
      <c r="J200" s="104"/>
      <c r="K200" s="104"/>
      <c r="L200" s="102"/>
      <c r="M200" s="102"/>
      <c r="N200" s="102"/>
      <c r="O200" s="102"/>
      <c r="P200" s="103"/>
      <c r="Q200" s="103"/>
      <c r="R200" s="103"/>
      <c r="S200" s="103"/>
      <c r="T200" s="79"/>
      <c r="U200" s="79"/>
      <c r="V200" s="79"/>
      <c r="W200" s="79"/>
      <c r="X200" s="79"/>
      <c r="Y200" s="79"/>
      <c r="Z200" s="79"/>
    </row>
    <row r="201" ht="21.0" customHeight="1">
      <c r="A201" s="79"/>
      <c r="B201" s="79"/>
      <c r="C201" s="104"/>
      <c r="D201" s="104"/>
      <c r="E201" s="104"/>
      <c r="F201" s="104"/>
      <c r="G201" s="104"/>
      <c r="H201" s="104"/>
      <c r="I201" s="104"/>
      <c r="J201" s="104"/>
      <c r="K201" s="104"/>
      <c r="L201" s="102"/>
      <c r="M201" s="102"/>
      <c r="N201" s="102"/>
      <c r="O201" s="102"/>
      <c r="P201" s="103"/>
      <c r="Q201" s="103"/>
      <c r="R201" s="103"/>
      <c r="S201" s="103"/>
      <c r="T201" s="79"/>
      <c r="U201" s="79"/>
      <c r="V201" s="79"/>
      <c r="W201" s="79"/>
      <c r="X201" s="79"/>
      <c r="Y201" s="79"/>
      <c r="Z201" s="79"/>
    </row>
    <row r="202" ht="21.0" customHeight="1">
      <c r="A202" s="79"/>
      <c r="B202" s="79"/>
      <c r="C202" s="104"/>
      <c r="D202" s="104"/>
      <c r="E202" s="104"/>
      <c r="F202" s="104"/>
      <c r="G202" s="104"/>
      <c r="H202" s="104"/>
      <c r="I202" s="104"/>
      <c r="J202" s="104"/>
      <c r="K202" s="104"/>
      <c r="L202" s="102"/>
      <c r="M202" s="102"/>
      <c r="N202" s="102"/>
      <c r="O202" s="102"/>
      <c r="P202" s="103"/>
      <c r="Q202" s="103"/>
      <c r="R202" s="103"/>
      <c r="S202" s="103"/>
      <c r="T202" s="79"/>
      <c r="U202" s="79"/>
      <c r="V202" s="79"/>
      <c r="W202" s="79"/>
      <c r="X202" s="79"/>
      <c r="Y202" s="79"/>
      <c r="Z202" s="79"/>
    </row>
    <row r="203" ht="21.0" customHeight="1">
      <c r="A203" s="79"/>
      <c r="B203" s="79"/>
      <c r="C203" s="104"/>
      <c r="D203" s="104"/>
      <c r="E203" s="104"/>
      <c r="F203" s="104"/>
      <c r="G203" s="104"/>
      <c r="H203" s="104"/>
      <c r="I203" s="104"/>
      <c r="J203" s="104"/>
      <c r="K203" s="104"/>
      <c r="L203" s="102"/>
      <c r="M203" s="102"/>
      <c r="N203" s="102"/>
      <c r="O203" s="102"/>
      <c r="P203" s="103"/>
      <c r="Q203" s="103"/>
      <c r="R203" s="103"/>
      <c r="S203" s="103"/>
      <c r="T203" s="79"/>
      <c r="U203" s="79"/>
      <c r="V203" s="79"/>
      <c r="W203" s="79"/>
      <c r="X203" s="79"/>
      <c r="Y203" s="79"/>
      <c r="Z203" s="79"/>
    </row>
    <row r="204" ht="21.0" customHeight="1">
      <c r="A204" s="79"/>
      <c r="B204" s="79"/>
      <c r="C204" s="104"/>
      <c r="D204" s="104"/>
      <c r="E204" s="104"/>
      <c r="F204" s="104"/>
      <c r="G204" s="104"/>
      <c r="H204" s="104"/>
      <c r="I204" s="104"/>
      <c r="J204" s="104"/>
      <c r="K204" s="104"/>
      <c r="L204" s="102"/>
      <c r="M204" s="102"/>
      <c r="N204" s="102"/>
      <c r="O204" s="102"/>
      <c r="P204" s="103"/>
      <c r="Q204" s="103"/>
      <c r="R204" s="103"/>
      <c r="S204" s="103"/>
      <c r="T204" s="79"/>
      <c r="U204" s="79"/>
      <c r="V204" s="79"/>
      <c r="W204" s="79"/>
      <c r="X204" s="79"/>
      <c r="Y204" s="79"/>
      <c r="Z204" s="79"/>
    </row>
    <row r="205" ht="21.0" customHeight="1">
      <c r="A205" s="79"/>
      <c r="B205" s="79"/>
      <c r="C205" s="104"/>
      <c r="D205" s="104"/>
      <c r="E205" s="104"/>
      <c r="F205" s="104"/>
      <c r="G205" s="104"/>
      <c r="H205" s="104"/>
      <c r="I205" s="104"/>
      <c r="J205" s="104"/>
      <c r="K205" s="104"/>
      <c r="L205" s="102"/>
      <c r="M205" s="102"/>
      <c r="N205" s="102"/>
      <c r="O205" s="102"/>
      <c r="P205" s="103"/>
      <c r="Q205" s="103"/>
      <c r="R205" s="103"/>
      <c r="S205" s="103"/>
      <c r="T205" s="79"/>
      <c r="U205" s="79"/>
      <c r="V205" s="79"/>
      <c r="W205" s="79"/>
      <c r="X205" s="79"/>
      <c r="Y205" s="79"/>
      <c r="Z205" s="79"/>
    </row>
    <row r="206" ht="21.0" customHeight="1">
      <c r="A206" s="79"/>
      <c r="B206" s="79"/>
      <c r="C206" s="104"/>
      <c r="D206" s="104"/>
      <c r="E206" s="104"/>
      <c r="F206" s="104"/>
      <c r="G206" s="104"/>
      <c r="H206" s="104"/>
      <c r="I206" s="104"/>
      <c r="J206" s="104"/>
      <c r="K206" s="104"/>
      <c r="L206" s="102"/>
      <c r="M206" s="102"/>
      <c r="N206" s="102"/>
      <c r="O206" s="102"/>
      <c r="P206" s="103"/>
      <c r="Q206" s="103"/>
      <c r="R206" s="103"/>
      <c r="S206" s="103"/>
      <c r="T206" s="79"/>
      <c r="U206" s="79"/>
      <c r="V206" s="79"/>
      <c r="W206" s="79"/>
      <c r="X206" s="79"/>
      <c r="Y206" s="79"/>
      <c r="Z206" s="79"/>
    </row>
    <row r="207" ht="21.0" customHeight="1">
      <c r="A207" s="79"/>
      <c r="B207" s="79"/>
      <c r="C207" s="104"/>
      <c r="D207" s="104"/>
      <c r="E207" s="104"/>
      <c r="F207" s="104"/>
      <c r="G207" s="104"/>
      <c r="H207" s="104"/>
      <c r="I207" s="104"/>
      <c r="J207" s="104"/>
      <c r="K207" s="104"/>
      <c r="L207" s="102"/>
      <c r="M207" s="102"/>
      <c r="N207" s="102"/>
      <c r="O207" s="102"/>
      <c r="P207" s="103"/>
      <c r="Q207" s="103"/>
      <c r="R207" s="103"/>
      <c r="S207" s="103"/>
      <c r="T207" s="79"/>
      <c r="U207" s="79"/>
      <c r="V207" s="79"/>
      <c r="W207" s="79"/>
      <c r="X207" s="79"/>
      <c r="Y207" s="79"/>
      <c r="Z207" s="79"/>
    </row>
    <row r="208" ht="21.0" customHeight="1">
      <c r="A208" s="79"/>
      <c r="B208" s="79"/>
      <c r="C208" s="104"/>
      <c r="D208" s="104"/>
      <c r="E208" s="104"/>
      <c r="F208" s="104"/>
      <c r="G208" s="104"/>
      <c r="H208" s="104"/>
      <c r="I208" s="104"/>
      <c r="J208" s="104"/>
      <c r="K208" s="104"/>
      <c r="L208" s="102"/>
      <c r="M208" s="102"/>
      <c r="N208" s="102"/>
      <c r="O208" s="102"/>
      <c r="P208" s="103"/>
      <c r="Q208" s="103"/>
      <c r="R208" s="103"/>
      <c r="S208" s="103"/>
      <c r="T208" s="79"/>
      <c r="U208" s="79"/>
      <c r="V208" s="79"/>
      <c r="W208" s="79"/>
      <c r="X208" s="79"/>
      <c r="Y208" s="79"/>
      <c r="Z208" s="79"/>
    </row>
    <row r="209" ht="21.0" customHeight="1">
      <c r="A209" s="79"/>
      <c r="B209" s="79"/>
      <c r="C209" s="104"/>
      <c r="D209" s="104"/>
      <c r="E209" s="104"/>
      <c r="F209" s="104"/>
      <c r="G209" s="104"/>
      <c r="H209" s="104"/>
      <c r="I209" s="104"/>
      <c r="J209" s="104"/>
      <c r="K209" s="104"/>
      <c r="L209" s="102"/>
      <c r="M209" s="102"/>
      <c r="N209" s="102"/>
      <c r="O209" s="102"/>
      <c r="P209" s="103"/>
      <c r="Q209" s="103"/>
      <c r="R209" s="103"/>
      <c r="S209" s="103"/>
      <c r="T209" s="79"/>
      <c r="U209" s="79"/>
      <c r="V209" s="79"/>
      <c r="W209" s="79"/>
      <c r="X209" s="79"/>
      <c r="Y209" s="79"/>
      <c r="Z209" s="79"/>
    </row>
    <row r="210" ht="21.0" customHeight="1">
      <c r="A210" s="79"/>
      <c r="B210" s="79"/>
      <c r="C210" s="104"/>
      <c r="D210" s="104"/>
      <c r="E210" s="104"/>
      <c r="F210" s="104"/>
      <c r="G210" s="104"/>
      <c r="H210" s="104"/>
      <c r="I210" s="104"/>
      <c r="J210" s="104"/>
      <c r="K210" s="104"/>
      <c r="L210" s="102"/>
      <c r="M210" s="102"/>
      <c r="N210" s="102"/>
      <c r="O210" s="102"/>
      <c r="P210" s="103"/>
      <c r="Q210" s="103"/>
      <c r="R210" s="103"/>
      <c r="S210" s="103"/>
      <c r="T210" s="79"/>
      <c r="U210" s="79"/>
      <c r="V210" s="79"/>
      <c r="W210" s="79"/>
      <c r="X210" s="79"/>
      <c r="Y210" s="79"/>
      <c r="Z210" s="79"/>
    </row>
    <row r="211" ht="21.0" customHeight="1">
      <c r="A211" s="79"/>
      <c r="B211" s="79"/>
      <c r="C211" s="104"/>
      <c r="D211" s="104"/>
      <c r="E211" s="104"/>
      <c r="F211" s="104"/>
      <c r="G211" s="104"/>
      <c r="H211" s="104"/>
      <c r="I211" s="104"/>
      <c r="J211" s="104"/>
      <c r="K211" s="104"/>
      <c r="L211" s="102"/>
      <c r="M211" s="102"/>
      <c r="N211" s="102"/>
      <c r="O211" s="102"/>
      <c r="P211" s="103"/>
      <c r="Q211" s="103"/>
      <c r="R211" s="103"/>
      <c r="S211" s="103"/>
      <c r="T211" s="79"/>
      <c r="U211" s="79"/>
      <c r="V211" s="79"/>
      <c r="W211" s="79"/>
      <c r="X211" s="79"/>
      <c r="Y211" s="79"/>
      <c r="Z211" s="79"/>
    </row>
    <row r="212" ht="21.0" customHeight="1">
      <c r="A212" s="79"/>
      <c r="B212" s="79"/>
      <c r="C212" s="104"/>
      <c r="D212" s="104"/>
      <c r="E212" s="104"/>
      <c r="F212" s="104"/>
      <c r="G212" s="104"/>
      <c r="H212" s="104"/>
      <c r="I212" s="104"/>
      <c r="J212" s="104"/>
      <c r="K212" s="104"/>
      <c r="L212" s="102"/>
      <c r="M212" s="102"/>
      <c r="N212" s="102"/>
      <c r="O212" s="102"/>
      <c r="P212" s="103"/>
      <c r="Q212" s="103"/>
      <c r="R212" s="103"/>
      <c r="S212" s="103"/>
      <c r="T212" s="79"/>
      <c r="U212" s="79"/>
      <c r="V212" s="79"/>
      <c r="W212" s="79"/>
      <c r="X212" s="79"/>
      <c r="Y212" s="79"/>
      <c r="Z212" s="79"/>
    </row>
    <row r="213" ht="21.0" customHeight="1">
      <c r="A213" s="79"/>
      <c r="B213" s="79"/>
      <c r="C213" s="104"/>
      <c r="D213" s="104"/>
      <c r="E213" s="104"/>
      <c r="F213" s="104"/>
      <c r="G213" s="104"/>
      <c r="H213" s="104"/>
      <c r="I213" s="104"/>
      <c r="J213" s="104"/>
      <c r="K213" s="104"/>
      <c r="L213" s="102"/>
      <c r="M213" s="102"/>
      <c r="N213" s="102"/>
      <c r="O213" s="102"/>
      <c r="P213" s="103"/>
      <c r="Q213" s="103"/>
      <c r="R213" s="103"/>
      <c r="S213" s="103"/>
      <c r="T213" s="79"/>
      <c r="U213" s="79"/>
      <c r="V213" s="79"/>
      <c r="W213" s="79"/>
      <c r="X213" s="79"/>
      <c r="Y213" s="79"/>
      <c r="Z213" s="79"/>
    </row>
    <row r="214" ht="21.0" customHeight="1">
      <c r="A214" s="79"/>
      <c r="B214" s="79"/>
      <c r="C214" s="104"/>
      <c r="D214" s="104"/>
      <c r="E214" s="104"/>
      <c r="F214" s="104"/>
      <c r="G214" s="104"/>
      <c r="H214" s="104"/>
      <c r="I214" s="104"/>
      <c r="J214" s="104"/>
      <c r="K214" s="104"/>
      <c r="L214" s="102"/>
      <c r="M214" s="102"/>
      <c r="N214" s="102"/>
      <c r="O214" s="102"/>
      <c r="P214" s="103"/>
      <c r="Q214" s="103"/>
      <c r="R214" s="103"/>
      <c r="S214" s="103"/>
      <c r="T214" s="79"/>
      <c r="U214" s="79"/>
      <c r="V214" s="79"/>
      <c r="W214" s="79"/>
      <c r="X214" s="79"/>
      <c r="Y214" s="79"/>
      <c r="Z214" s="79"/>
    </row>
    <row r="215" ht="21.0" customHeight="1">
      <c r="A215" s="79"/>
      <c r="B215" s="79"/>
      <c r="C215" s="104"/>
      <c r="D215" s="104"/>
      <c r="E215" s="104"/>
      <c r="F215" s="104"/>
      <c r="G215" s="104"/>
      <c r="H215" s="104"/>
      <c r="I215" s="104"/>
      <c r="J215" s="104"/>
      <c r="K215" s="104"/>
      <c r="L215" s="102"/>
      <c r="M215" s="102"/>
      <c r="N215" s="102"/>
      <c r="O215" s="102"/>
      <c r="P215" s="103"/>
      <c r="Q215" s="103"/>
      <c r="R215" s="103"/>
      <c r="S215" s="103"/>
      <c r="T215" s="79"/>
      <c r="U215" s="79"/>
      <c r="V215" s="79"/>
      <c r="W215" s="79"/>
      <c r="X215" s="79"/>
      <c r="Y215" s="79"/>
      <c r="Z215" s="79"/>
    </row>
    <row r="216" ht="21.0" customHeight="1">
      <c r="A216" s="79"/>
      <c r="B216" s="79"/>
      <c r="C216" s="104"/>
      <c r="D216" s="104"/>
      <c r="E216" s="104"/>
      <c r="F216" s="104"/>
      <c r="G216" s="104"/>
      <c r="H216" s="104"/>
      <c r="I216" s="104"/>
      <c r="J216" s="104"/>
      <c r="K216" s="104"/>
      <c r="L216" s="102"/>
      <c r="M216" s="102"/>
      <c r="N216" s="102"/>
      <c r="O216" s="102"/>
      <c r="P216" s="103"/>
      <c r="Q216" s="103"/>
      <c r="R216" s="103"/>
      <c r="S216" s="103"/>
      <c r="T216" s="79"/>
      <c r="U216" s="79"/>
      <c r="V216" s="79"/>
      <c r="W216" s="79"/>
      <c r="X216" s="79"/>
      <c r="Y216" s="79"/>
      <c r="Z216" s="79"/>
    </row>
    <row r="217" ht="21.0" customHeight="1">
      <c r="A217" s="79"/>
      <c r="B217" s="79"/>
      <c r="C217" s="104"/>
      <c r="D217" s="104"/>
      <c r="E217" s="104"/>
      <c r="F217" s="104"/>
      <c r="G217" s="104"/>
      <c r="H217" s="104"/>
      <c r="I217" s="104"/>
      <c r="J217" s="104"/>
      <c r="K217" s="104"/>
      <c r="L217" s="102"/>
      <c r="M217" s="102"/>
      <c r="N217" s="102"/>
      <c r="O217" s="102"/>
      <c r="P217" s="103"/>
      <c r="Q217" s="103"/>
      <c r="R217" s="103"/>
      <c r="S217" s="103"/>
      <c r="T217" s="79"/>
      <c r="U217" s="79"/>
      <c r="V217" s="79"/>
      <c r="W217" s="79"/>
      <c r="X217" s="79"/>
      <c r="Y217" s="79"/>
      <c r="Z217" s="79"/>
    </row>
    <row r="218" ht="21.0" customHeight="1">
      <c r="A218" s="79"/>
      <c r="B218" s="79"/>
      <c r="C218" s="104"/>
      <c r="D218" s="104"/>
      <c r="E218" s="104"/>
      <c r="F218" s="104"/>
      <c r="G218" s="104"/>
      <c r="H218" s="104"/>
      <c r="I218" s="104"/>
      <c r="J218" s="104"/>
      <c r="K218" s="104"/>
      <c r="L218" s="102"/>
      <c r="M218" s="102"/>
      <c r="N218" s="102"/>
      <c r="O218" s="102"/>
      <c r="P218" s="103"/>
      <c r="Q218" s="103"/>
      <c r="R218" s="103"/>
      <c r="S218" s="103"/>
      <c r="T218" s="79"/>
      <c r="U218" s="79"/>
      <c r="V218" s="79"/>
      <c r="W218" s="79"/>
      <c r="X218" s="79"/>
      <c r="Y218" s="79"/>
      <c r="Z218" s="79"/>
    </row>
    <row r="219" ht="21.0" customHeight="1">
      <c r="A219" s="79"/>
      <c r="B219" s="79"/>
      <c r="C219" s="104"/>
      <c r="D219" s="104"/>
      <c r="E219" s="104"/>
      <c r="F219" s="104"/>
      <c r="G219" s="104"/>
      <c r="H219" s="104"/>
      <c r="I219" s="104"/>
      <c r="J219" s="104"/>
      <c r="K219" s="104"/>
      <c r="L219" s="102"/>
      <c r="M219" s="102"/>
      <c r="N219" s="102"/>
      <c r="O219" s="102"/>
      <c r="P219" s="103"/>
      <c r="Q219" s="103"/>
      <c r="R219" s="103"/>
      <c r="S219" s="103"/>
      <c r="T219" s="79"/>
      <c r="U219" s="79"/>
      <c r="V219" s="79"/>
      <c r="W219" s="79"/>
      <c r="X219" s="79"/>
      <c r="Y219" s="79"/>
      <c r="Z219" s="79"/>
    </row>
    <row r="220" ht="21.0" customHeight="1">
      <c r="A220" s="79"/>
      <c r="B220" s="79"/>
      <c r="C220" s="104"/>
      <c r="D220" s="104"/>
      <c r="E220" s="104"/>
      <c r="F220" s="104"/>
      <c r="G220" s="104"/>
      <c r="H220" s="104"/>
      <c r="I220" s="104"/>
      <c r="J220" s="104"/>
      <c r="K220" s="104"/>
      <c r="L220" s="102"/>
      <c r="M220" s="102"/>
      <c r="N220" s="102"/>
      <c r="O220" s="102"/>
      <c r="P220" s="103"/>
      <c r="Q220" s="103"/>
      <c r="R220" s="103"/>
      <c r="S220" s="103"/>
      <c r="T220" s="79"/>
      <c r="U220" s="79"/>
      <c r="V220" s="79"/>
      <c r="W220" s="79"/>
      <c r="X220" s="79"/>
      <c r="Y220" s="79"/>
      <c r="Z220" s="79"/>
    </row>
    <row r="221" ht="21.0" customHeight="1">
      <c r="A221" s="79"/>
      <c r="B221" s="79"/>
      <c r="C221" s="104"/>
      <c r="D221" s="104"/>
      <c r="E221" s="104"/>
      <c r="F221" s="104"/>
      <c r="G221" s="104"/>
      <c r="H221" s="104"/>
      <c r="I221" s="104"/>
      <c r="J221" s="104"/>
      <c r="K221" s="104"/>
      <c r="L221" s="102"/>
      <c r="M221" s="102"/>
      <c r="N221" s="102"/>
      <c r="O221" s="102"/>
      <c r="P221" s="103"/>
      <c r="Q221" s="103"/>
      <c r="R221" s="103"/>
      <c r="S221" s="103"/>
      <c r="T221" s="79"/>
      <c r="U221" s="79"/>
      <c r="V221" s="79"/>
      <c r="W221" s="79"/>
      <c r="X221" s="79"/>
      <c r="Y221" s="79"/>
      <c r="Z221" s="79"/>
    </row>
    <row r="222" ht="21.0" customHeight="1">
      <c r="A222" s="79"/>
      <c r="B222" s="79"/>
      <c r="C222" s="104"/>
      <c r="D222" s="104"/>
      <c r="E222" s="104"/>
      <c r="F222" s="104"/>
      <c r="G222" s="104"/>
      <c r="H222" s="104"/>
      <c r="I222" s="104"/>
      <c r="J222" s="104"/>
      <c r="K222" s="104"/>
      <c r="L222" s="102"/>
      <c r="M222" s="102"/>
      <c r="N222" s="102"/>
      <c r="O222" s="102"/>
      <c r="P222" s="103"/>
      <c r="Q222" s="103"/>
      <c r="R222" s="103"/>
      <c r="S222" s="103"/>
      <c r="T222" s="79"/>
      <c r="U222" s="79"/>
      <c r="V222" s="79"/>
      <c r="W222" s="79"/>
      <c r="X222" s="79"/>
      <c r="Y222" s="79"/>
      <c r="Z222" s="79"/>
    </row>
    <row r="223" ht="21.0" customHeight="1">
      <c r="A223" s="79"/>
      <c r="B223" s="79"/>
      <c r="C223" s="104"/>
      <c r="D223" s="104"/>
      <c r="E223" s="104"/>
      <c r="F223" s="104"/>
      <c r="G223" s="104"/>
      <c r="H223" s="104"/>
      <c r="I223" s="104"/>
      <c r="J223" s="104"/>
      <c r="K223" s="104"/>
      <c r="L223" s="102"/>
      <c r="M223" s="102"/>
      <c r="N223" s="102"/>
      <c r="O223" s="102"/>
      <c r="P223" s="103"/>
      <c r="Q223" s="103"/>
      <c r="R223" s="103"/>
      <c r="S223" s="103"/>
      <c r="T223" s="79"/>
      <c r="U223" s="79"/>
      <c r="V223" s="79"/>
      <c r="W223" s="79"/>
      <c r="X223" s="79"/>
      <c r="Y223" s="79"/>
      <c r="Z223" s="79"/>
    </row>
    <row r="224" ht="21.0" customHeight="1">
      <c r="A224" s="79"/>
      <c r="B224" s="79"/>
      <c r="C224" s="104"/>
      <c r="D224" s="104"/>
      <c r="E224" s="104"/>
      <c r="F224" s="104"/>
      <c r="G224" s="104"/>
      <c r="H224" s="104"/>
      <c r="I224" s="104"/>
      <c r="J224" s="104"/>
      <c r="K224" s="104"/>
      <c r="L224" s="102"/>
      <c r="M224" s="102"/>
      <c r="N224" s="102"/>
      <c r="O224" s="102"/>
      <c r="P224" s="103"/>
      <c r="Q224" s="103"/>
      <c r="R224" s="103"/>
      <c r="S224" s="103"/>
      <c r="T224" s="79"/>
      <c r="U224" s="79"/>
      <c r="V224" s="79"/>
      <c r="W224" s="79"/>
      <c r="X224" s="79"/>
      <c r="Y224" s="79"/>
      <c r="Z224" s="79"/>
    </row>
    <row r="225" ht="21.0" customHeight="1">
      <c r="A225" s="79"/>
      <c r="B225" s="79"/>
      <c r="C225" s="104"/>
      <c r="D225" s="104"/>
      <c r="E225" s="104"/>
      <c r="F225" s="104"/>
      <c r="G225" s="104"/>
      <c r="H225" s="104"/>
      <c r="I225" s="104"/>
      <c r="J225" s="104"/>
      <c r="K225" s="104"/>
      <c r="L225" s="102"/>
      <c r="M225" s="102"/>
      <c r="N225" s="102"/>
      <c r="O225" s="102"/>
      <c r="P225" s="103"/>
      <c r="Q225" s="103"/>
      <c r="R225" s="103"/>
      <c r="S225" s="103"/>
      <c r="T225" s="79"/>
      <c r="U225" s="79"/>
      <c r="V225" s="79"/>
      <c r="W225" s="79"/>
      <c r="X225" s="79"/>
      <c r="Y225" s="79"/>
      <c r="Z225" s="79"/>
    </row>
    <row r="226" ht="21.0" customHeight="1">
      <c r="A226" s="79"/>
      <c r="B226" s="79"/>
      <c r="C226" s="104"/>
      <c r="D226" s="104"/>
      <c r="E226" s="104"/>
      <c r="F226" s="104"/>
      <c r="G226" s="104"/>
      <c r="H226" s="104"/>
      <c r="I226" s="104"/>
      <c r="J226" s="104"/>
      <c r="K226" s="104"/>
      <c r="L226" s="102"/>
      <c r="M226" s="102"/>
      <c r="N226" s="102"/>
      <c r="O226" s="102"/>
      <c r="P226" s="103"/>
      <c r="Q226" s="103"/>
      <c r="R226" s="103"/>
      <c r="S226" s="103"/>
      <c r="T226" s="79"/>
      <c r="U226" s="79"/>
      <c r="V226" s="79"/>
      <c r="W226" s="79"/>
      <c r="X226" s="79"/>
      <c r="Y226" s="79"/>
      <c r="Z226" s="79"/>
    </row>
    <row r="227" ht="21.0" customHeight="1">
      <c r="A227" s="79"/>
      <c r="B227" s="79"/>
      <c r="C227" s="104"/>
      <c r="D227" s="104"/>
      <c r="E227" s="104"/>
      <c r="F227" s="104"/>
      <c r="G227" s="104"/>
      <c r="H227" s="104"/>
      <c r="I227" s="104"/>
      <c r="J227" s="104"/>
      <c r="K227" s="104"/>
      <c r="L227" s="102"/>
      <c r="M227" s="102"/>
      <c r="N227" s="102"/>
      <c r="O227" s="102"/>
      <c r="P227" s="103"/>
      <c r="Q227" s="103"/>
      <c r="R227" s="103"/>
      <c r="S227" s="103"/>
      <c r="T227" s="79"/>
      <c r="U227" s="79"/>
      <c r="V227" s="79"/>
      <c r="W227" s="79"/>
      <c r="X227" s="79"/>
      <c r="Y227" s="79"/>
      <c r="Z227" s="79"/>
    </row>
    <row r="228" ht="21.0" customHeight="1">
      <c r="A228" s="79"/>
      <c r="B228" s="79"/>
      <c r="C228" s="104"/>
      <c r="D228" s="104"/>
      <c r="E228" s="104"/>
      <c r="F228" s="104"/>
      <c r="G228" s="104"/>
      <c r="H228" s="104"/>
      <c r="I228" s="104"/>
      <c r="J228" s="104"/>
      <c r="K228" s="104"/>
      <c r="L228" s="102"/>
      <c r="M228" s="102"/>
      <c r="N228" s="102"/>
      <c r="O228" s="102"/>
      <c r="P228" s="103"/>
      <c r="Q228" s="103"/>
      <c r="R228" s="103"/>
      <c r="S228" s="103"/>
      <c r="T228" s="79"/>
      <c r="U228" s="79"/>
      <c r="V228" s="79"/>
      <c r="W228" s="79"/>
      <c r="X228" s="79"/>
      <c r="Y228" s="79"/>
      <c r="Z228" s="79"/>
    </row>
    <row r="229" ht="21.0" customHeight="1">
      <c r="A229" s="79"/>
      <c r="B229" s="79"/>
      <c r="C229" s="104"/>
      <c r="D229" s="104"/>
      <c r="E229" s="104"/>
      <c r="F229" s="104"/>
      <c r="G229" s="104"/>
      <c r="H229" s="104"/>
      <c r="I229" s="104"/>
      <c r="J229" s="104"/>
      <c r="K229" s="104"/>
      <c r="L229" s="102"/>
      <c r="M229" s="102"/>
      <c r="N229" s="102"/>
      <c r="O229" s="102"/>
      <c r="P229" s="103"/>
      <c r="Q229" s="103"/>
      <c r="R229" s="103"/>
      <c r="S229" s="103"/>
      <c r="T229" s="79"/>
      <c r="U229" s="79"/>
      <c r="V229" s="79"/>
      <c r="W229" s="79"/>
      <c r="X229" s="79"/>
      <c r="Y229" s="79"/>
      <c r="Z229" s="79"/>
    </row>
    <row r="230" ht="21.0" customHeight="1">
      <c r="A230" s="79"/>
      <c r="B230" s="79"/>
      <c r="C230" s="104"/>
      <c r="D230" s="104"/>
      <c r="E230" s="104"/>
      <c r="F230" s="104"/>
      <c r="G230" s="104"/>
      <c r="H230" s="104"/>
      <c r="I230" s="104"/>
      <c r="J230" s="104"/>
      <c r="K230" s="104"/>
      <c r="L230" s="102"/>
      <c r="M230" s="102"/>
      <c r="N230" s="102"/>
      <c r="O230" s="102"/>
      <c r="P230" s="103"/>
      <c r="Q230" s="103"/>
      <c r="R230" s="103"/>
      <c r="S230" s="103"/>
      <c r="T230" s="79"/>
      <c r="U230" s="79"/>
      <c r="V230" s="79"/>
      <c r="W230" s="79"/>
      <c r="X230" s="79"/>
      <c r="Y230" s="79"/>
      <c r="Z230" s="79"/>
    </row>
    <row r="231" ht="21.0" customHeight="1">
      <c r="A231" s="79"/>
      <c r="B231" s="79"/>
      <c r="C231" s="104"/>
      <c r="D231" s="104"/>
      <c r="E231" s="104"/>
      <c r="F231" s="104"/>
      <c r="G231" s="104"/>
      <c r="H231" s="104"/>
      <c r="I231" s="104"/>
      <c r="J231" s="104"/>
      <c r="K231" s="104"/>
      <c r="L231" s="102"/>
      <c r="M231" s="102"/>
      <c r="N231" s="102"/>
      <c r="O231" s="102"/>
      <c r="P231" s="103"/>
      <c r="Q231" s="103"/>
      <c r="R231" s="103"/>
      <c r="S231" s="103"/>
      <c r="T231" s="79"/>
      <c r="U231" s="79"/>
      <c r="V231" s="79"/>
      <c r="W231" s="79"/>
      <c r="X231" s="79"/>
      <c r="Y231" s="79"/>
      <c r="Z231" s="79"/>
    </row>
    <row r="232" ht="21.0" customHeight="1">
      <c r="A232" s="79"/>
      <c r="B232" s="79"/>
      <c r="C232" s="104"/>
      <c r="D232" s="104"/>
      <c r="E232" s="104"/>
      <c r="F232" s="104"/>
      <c r="G232" s="104"/>
      <c r="H232" s="104"/>
      <c r="I232" s="104"/>
      <c r="J232" s="104"/>
      <c r="K232" s="104"/>
      <c r="L232" s="102"/>
      <c r="M232" s="102"/>
      <c r="N232" s="102"/>
      <c r="O232" s="102"/>
      <c r="P232" s="103"/>
      <c r="Q232" s="103"/>
      <c r="R232" s="103"/>
      <c r="S232" s="103"/>
      <c r="T232" s="79"/>
      <c r="U232" s="79"/>
      <c r="V232" s="79"/>
      <c r="W232" s="79"/>
      <c r="X232" s="79"/>
      <c r="Y232" s="79"/>
      <c r="Z232" s="79"/>
    </row>
    <row r="233" ht="21.0" customHeight="1">
      <c r="A233" s="79"/>
      <c r="B233" s="79"/>
      <c r="C233" s="104"/>
      <c r="D233" s="104"/>
      <c r="E233" s="104"/>
      <c r="F233" s="104"/>
      <c r="G233" s="104"/>
      <c r="H233" s="104"/>
      <c r="I233" s="104"/>
      <c r="J233" s="104"/>
      <c r="K233" s="104"/>
      <c r="L233" s="102"/>
      <c r="M233" s="102"/>
      <c r="N233" s="102"/>
      <c r="O233" s="102"/>
      <c r="P233" s="103"/>
      <c r="Q233" s="103"/>
      <c r="R233" s="103"/>
      <c r="S233" s="103"/>
      <c r="T233" s="79"/>
      <c r="U233" s="79"/>
      <c r="V233" s="79"/>
      <c r="W233" s="79"/>
      <c r="X233" s="79"/>
      <c r="Y233" s="79"/>
      <c r="Z233" s="79"/>
    </row>
    <row r="234" ht="21.0" customHeight="1">
      <c r="A234" s="79"/>
      <c r="B234" s="79"/>
      <c r="C234" s="104"/>
      <c r="D234" s="104"/>
      <c r="E234" s="104"/>
      <c r="F234" s="104"/>
      <c r="G234" s="104"/>
      <c r="H234" s="104"/>
      <c r="I234" s="104"/>
      <c r="J234" s="104"/>
      <c r="K234" s="104"/>
      <c r="L234" s="102"/>
      <c r="M234" s="102"/>
      <c r="N234" s="102"/>
      <c r="O234" s="102"/>
      <c r="P234" s="103"/>
      <c r="Q234" s="103"/>
      <c r="R234" s="103"/>
      <c r="S234" s="103"/>
      <c r="T234" s="79"/>
      <c r="U234" s="79"/>
      <c r="V234" s="79"/>
      <c r="W234" s="79"/>
      <c r="X234" s="79"/>
      <c r="Y234" s="79"/>
      <c r="Z234" s="79"/>
    </row>
    <row r="235" ht="21.0" customHeight="1">
      <c r="A235" s="79"/>
      <c r="B235" s="79"/>
      <c r="C235" s="104"/>
      <c r="D235" s="104"/>
      <c r="E235" s="104"/>
      <c r="F235" s="104"/>
      <c r="G235" s="104"/>
      <c r="H235" s="104"/>
      <c r="I235" s="104"/>
      <c r="J235" s="104"/>
      <c r="K235" s="104"/>
      <c r="L235" s="102"/>
      <c r="M235" s="102"/>
      <c r="N235" s="102"/>
      <c r="O235" s="102"/>
      <c r="P235" s="103"/>
      <c r="Q235" s="103"/>
      <c r="R235" s="103"/>
      <c r="S235" s="103"/>
      <c r="T235" s="79"/>
      <c r="U235" s="79"/>
      <c r="V235" s="79"/>
      <c r="W235" s="79"/>
      <c r="X235" s="79"/>
      <c r="Y235" s="79"/>
      <c r="Z235" s="79"/>
    </row>
    <row r="236" ht="21.0" customHeight="1">
      <c r="A236" s="79"/>
      <c r="B236" s="79"/>
      <c r="C236" s="104"/>
      <c r="D236" s="104"/>
      <c r="E236" s="104"/>
      <c r="F236" s="104"/>
      <c r="G236" s="104"/>
      <c r="H236" s="104"/>
      <c r="I236" s="104"/>
      <c r="J236" s="104"/>
      <c r="K236" s="104"/>
      <c r="L236" s="102"/>
      <c r="M236" s="102"/>
      <c r="N236" s="102"/>
      <c r="O236" s="102"/>
      <c r="P236" s="103"/>
      <c r="Q236" s="103"/>
      <c r="R236" s="103"/>
      <c r="S236" s="103"/>
      <c r="T236" s="79"/>
      <c r="U236" s="79"/>
      <c r="V236" s="79"/>
      <c r="W236" s="79"/>
      <c r="X236" s="79"/>
      <c r="Y236" s="79"/>
      <c r="Z236" s="79"/>
    </row>
    <row r="237" ht="21.0" customHeight="1">
      <c r="A237" s="79"/>
      <c r="B237" s="79"/>
      <c r="C237" s="104"/>
      <c r="D237" s="104"/>
      <c r="E237" s="104"/>
      <c r="F237" s="104"/>
      <c r="G237" s="104"/>
      <c r="H237" s="104"/>
      <c r="I237" s="104"/>
      <c r="J237" s="104"/>
      <c r="K237" s="104"/>
      <c r="L237" s="102"/>
      <c r="M237" s="102"/>
      <c r="N237" s="102"/>
      <c r="O237" s="102"/>
      <c r="P237" s="103"/>
      <c r="Q237" s="103"/>
      <c r="R237" s="103"/>
      <c r="S237" s="103"/>
      <c r="T237" s="79"/>
      <c r="U237" s="79"/>
      <c r="V237" s="79"/>
      <c r="W237" s="79"/>
      <c r="X237" s="79"/>
      <c r="Y237" s="79"/>
      <c r="Z237" s="79"/>
    </row>
    <row r="238" ht="21.0" customHeight="1">
      <c r="A238" s="79"/>
      <c r="B238" s="79"/>
      <c r="C238" s="104"/>
      <c r="D238" s="104"/>
      <c r="E238" s="104"/>
      <c r="F238" s="104"/>
      <c r="G238" s="104"/>
      <c r="H238" s="104"/>
      <c r="I238" s="104"/>
      <c r="J238" s="104"/>
      <c r="K238" s="104"/>
      <c r="L238" s="102"/>
      <c r="M238" s="102"/>
      <c r="N238" s="102"/>
      <c r="O238" s="102"/>
      <c r="P238" s="103"/>
      <c r="Q238" s="103"/>
      <c r="R238" s="103"/>
      <c r="S238" s="103"/>
      <c r="T238" s="79"/>
      <c r="U238" s="79"/>
      <c r="V238" s="79"/>
      <c r="W238" s="79"/>
      <c r="X238" s="79"/>
      <c r="Y238" s="79"/>
      <c r="Z238" s="79"/>
    </row>
    <row r="239" ht="21.0" customHeight="1">
      <c r="A239" s="79"/>
      <c r="B239" s="79"/>
      <c r="C239" s="104"/>
      <c r="D239" s="104"/>
      <c r="E239" s="104"/>
      <c r="F239" s="104"/>
      <c r="G239" s="104"/>
      <c r="H239" s="104"/>
      <c r="I239" s="104"/>
      <c r="J239" s="104"/>
      <c r="K239" s="104"/>
      <c r="L239" s="102"/>
      <c r="M239" s="102"/>
      <c r="N239" s="102"/>
      <c r="O239" s="102"/>
      <c r="P239" s="103"/>
      <c r="Q239" s="103"/>
      <c r="R239" s="103"/>
      <c r="S239" s="103"/>
      <c r="T239" s="79"/>
      <c r="U239" s="79"/>
      <c r="V239" s="79"/>
      <c r="W239" s="79"/>
      <c r="X239" s="79"/>
      <c r="Y239" s="79"/>
      <c r="Z239" s="79"/>
    </row>
    <row r="240" ht="21.0" customHeight="1">
      <c r="A240" s="79"/>
      <c r="B240" s="79"/>
      <c r="C240" s="104"/>
      <c r="D240" s="104"/>
      <c r="E240" s="104"/>
      <c r="F240" s="104"/>
      <c r="G240" s="104"/>
      <c r="H240" s="104"/>
      <c r="I240" s="104"/>
      <c r="J240" s="104"/>
      <c r="K240" s="104"/>
      <c r="L240" s="102"/>
      <c r="M240" s="102"/>
      <c r="N240" s="102"/>
      <c r="O240" s="102"/>
      <c r="P240" s="103"/>
      <c r="Q240" s="103"/>
      <c r="R240" s="103"/>
      <c r="S240" s="103"/>
      <c r="T240" s="79"/>
      <c r="U240" s="79"/>
      <c r="V240" s="79"/>
      <c r="W240" s="79"/>
      <c r="X240" s="79"/>
      <c r="Y240" s="79"/>
      <c r="Z240" s="79"/>
    </row>
    <row r="241" ht="21.0" customHeight="1">
      <c r="A241" s="79"/>
      <c r="B241" s="79"/>
      <c r="C241" s="104"/>
      <c r="D241" s="104"/>
      <c r="E241" s="104"/>
      <c r="F241" s="104"/>
      <c r="G241" s="104"/>
      <c r="H241" s="104"/>
      <c r="I241" s="104"/>
      <c r="J241" s="104"/>
      <c r="K241" s="104"/>
      <c r="L241" s="102"/>
      <c r="M241" s="102"/>
      <c r="N241" s="102"/>
      <c r="O241" s="102"/>
      <c r="P241" s="103"/>
      <c r="Q241" s="103"/>
      <c r="R241" s="103"/>
      <c r="S241" s="103"/>
      <c r="T241" s="79"/>
      <c r="U241" s="79"/>
      <c r="V241" s="79"/>
      <c r="W241" s="79"/>
      <c r="X241" s="79"/>
      <c r="Y241" s="79"/>
      <c r="Z241" s="79"/>
    </row>
    <row r="242" ht="21.0" customHeight="1">
      <c r="A242" s="79"/>
      <c r="B242" s="79"/>
      <c r="C242" s="104"/>
      <c r="D242" s="104"/>
      <c r="E242" s="104"/>
      <c r="F242" s="104"/>
      <c r="G242" s="104"/>
      <c r="H242" s="104"/>
      <c r="I242" s="104"/>
      <c r="J242" s="104"/>
      <c r="K242" s="104"/>
      <c r="L242" s="102"/>
      <c r="M242" s="102"/>
      <c r="N242" s="102"/>
      <c r="O242" s="102"/>
      <c r="P242" s="103"/>
      <c r="Q242" s="103"/>
      <c r="R242" s="103"/>
      <c r="S242" s="103"/>
      <c r="T242" s="79"/>
      <c r="U242" s="79"/>
      <c r="V242" s="79"/>
      <c r="W242" s="79"/>
      <c r="X242" s="79"/>
      <c r="Y242" s="79"/>
      <c r="Z242" s="79"/>
    </row>
    <row r="243" ht="21.0" customHeight="1">
      <c r="A243" s="79"/>
      <c r="B243" s="79"/>
      <c r="C243" s="104"/>
      <c r="D243" s="104"/>
      <c r="E243" s="104"/>
      <c r="F243" s="104"/>
      <c r="G243" s="104"/>
      <c r="H243" s="104"/>
      <c r="I243" s="104"/>
      <c r="J243" s="104"/>
      <c r="K243" s="104"/>
      <c r="L243" s="102"/>
      <c r="M243" s="102"/>
      <c r="N243" s="102"/>
      <c r="O243" s="102"/>
      <c r="P243" s="103"/>
      <c r="Q243" s="103"/>
      <c r="R243" s="103"/>
      <c r="S243" s="103"/>
      <c r="T243" s="79"/>
      <c r="U243" s="79"/>
      <c r="V243" s="79"/>
      <c r="W243" s="79"/>
      <c r="X243" s="79"/>
      <c r="Y243" s="79"/>
      <c r="Z243" s="79"/>
    </row>
    <row r="244" ht="21.0" customHeight="1">
      <c r="A244" s="79"/>
      <c r="B244" s="79"/>
      <c r="C244" s="104"/>
      <c r="D244" s="104"/>
      <c r="E244" s="104"/>
      <c r="F244" s="104"/>
      <c r="G244" s="104"/>
      <c r="H244" s="104"/>
      <c r="I244" s="104"/>
      <c r="J244" s="104"/>
      <c r="K244" s="104"/>
      <c r="L244" s="102"/>
      <c r="M244" s="102"/>
      <c r="N244" s="102"/>
      <c r="O244" s="102"/>
      <c r="P244" s="103"/>
      <c r="Q244" s="103"/>
      <c r="R244" s="103"/>
      <c r="S244" s="103"/>
      <c r="T244" s="79"/>
      <c r="U244" s="79"/>
      <c r="V244" s="79"/>
      <c r="W244" s="79"/>
      <c r="X244" s="79"/>
      <c r="Y244" s="79"/>
      <c r="Z244" s="79"/>
    </row>
    <row r="245" ht="21.0" customHeight="1">
      <c r="A245" s="79"/>
      <c r="B245" s="79"/>
      <c r="C245" s="104"/>
      <c r="D245" s="104"/>
      <c r="E245" s="104"/>
      <c r="F245" s="104"/>
      <c r="G245" s="104"/>
      <c r="H245" s="104"/>
      <c r="I245" s="104"/>
      <c r="J245" s="104"/>
      <c r="K245" s="104"/>
      <c r="L245" s="102"/>
      <c r="M245" s="102"/>
      <c r="N245" s="102"/>
      <c r="O245" s="102"/>
      <c r="P245" s="103"/>
      <c r="Q245" s="103"/>
      <c r="R245" s="103"/>
      <c r="S245" s="103"/>
      <c r="T245" s="79"/>
      <c r="U245" s="79"/>
      <c r="V245" s="79"/>
      <c r="W245" s="79"/>
      <c r="X245" s="79"/>
      <c r="Y245" s="79"/>
      <c r="Z245" s="79"/>
    </row>
    <row r="246" ht="21.0" customHeight="1">
      <c r="A246" s="79"/>
      <c r="B246" s="79"/>
      <c r="C246" s="104"/>
      <c r="D246" s="104"/>
      <c r="E246" s="104"/>
      <c r="F246" s="104"/>
      <c r="G246" s="104"/>
      <c r="H246" s="104"/>
      <c r="I246" s="104"/>
      <c r="J246" s="104"/>
      <c r="K246" s="104"/>
      <c r="L246" s="102"/>
      <c r="M246" s="102"/>
      <c r="N246" s="102"/>
      <c r="O246" s="102"/>
      <c r="P246" s="103"/>
      <c r="Q246" s="103"/>
      <c r="R246" s="103"/>
      <c r="S246" s="103"/>
      <c r="T246" s="79"/>
      <c r="U246" s="79"/>
      <c r="V246" s="79"/>
      <c r="W246" s="79"/>
      <c r="X246" s="79"/>
      <c r="Y246" s="79"/>
      <c r="Z246" s="79"/>
    </row>
    <row r="247" ht="21.0" customHeight="1">
      <c r="A247" s="79"/>
      <c r="B247" s="79"/>
      <c r="C247" s="104"/>
      <c r="D247" s="104"/>
      <c r="E247" s="104"/>
      <c r="F247" s="104"/>
      <c r="G247" s="104"/>
      <c r="H247" s="104"/>
      <c r="I247" s="104"/>
      <c r="J247" s="104"/>
      <c r="K247" s="104"/>
      <c r="L247" s="102"/>
      <c r="M247" s="102"/>
      <c r="N247" s="102"/>
      <c r="O247" s="102"/>
      <c r="P247" s="103"/>
      <c r="Q247" s="103"/>
      <c r="R247" s="103"/>
      <c r="S247" s="103"/>
      <c r="T247" s="79"/>
      <c r="U247" s="79"/>
      <c r="V247" s="79"/>
      <c r="W247" s="79"/>
      <c r="X247" s="79"/>
      <c r="Y247" s="79"/>
      <c r="Z247" s="79"/>
    </row>
    <row r="248" ht="21.0" customHeight="1">
      <c r="A248" s="79"/>
      <c r="B248" s="7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2"/>
      <c r="M248" s="102"/>
      <c r="N248" s="102"/>
      <c r="O248" s="102"/>
      <c r="P248" s="103"/>
      <c r="Q248" s="103"/>
      <c r="R248" s="103"/>
      <c r="S248" s="103"/>
      <c r="T248" s="79"/>
      <c r="U248" s="79"/>
      <c r="V248" s="79"/>
      <c r="W248" s="79"/>
      <c r="X248" s="79"/>
      <c r="Y248" s="79"/>
      <c r="Z248" s="79"/>
    </row>
    <row r="249" ht="21.0" customHeight="1">
      <c r="A249" s="79"/>
      <c r="B249" s="7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2"/>
      <c r="M249" s="102"/>
      <c r="N249" s="102"/>
      <c r="O249" s="102"/>
      <c r="P249" s="103"/>
      <c r="Q249" s="103"/>
      <c r="R249" s="103"/>
      <c r="S249" s="103"/>
      <c r="T249" s="79"/>
      <c r="U249" s="79"/>
      <c r="V249" s="79"/>
      <c r="W249" s="79"/>
      <c r="X249" s="79"/>
      <c r="Y249" s="79"/>
      <c r="Z249" s="79"/>
    </row>
    <row r="250" ht="21.0" customHeight="1">
      <c r="A250" s="79"/>
      <c r="B250" s="7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2"/>
      <c r="M250" s="102"/>
      <c r="N250" s="102"/>
      <c r="O250" s="102"/>
      <c r="P250" s="103"/>
      <c r="Q250" s="103"/>
      <c r="R250" s="103"/>
      <c r="S250" s="103"/>
      <c r="T250" s="79"/>
      <c r="U250" s="79"/>
      <c r="V250" s="79"/>
      <c r="W250" s="79"/>
      <c r="X250" s="79"/>
      <c r="Y250" s="79"/>
      <c r="Z250" s="79"/>
    </row>
    <row r="251" ht="21.0" customHeight="1">
      <c r="A251" s="79"/>
      <c r="B251" s="7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2"/>
      <c r="M251" s="102"/>
      <c r="N251" s="102"/>
      <c r="O251" s="102"/>
      <c r="P251" s="103"/>
      <c r="Q251" s="103"/>
      <c r="R251" s="103"/>
      <c r="S251" s="103"/>
      <c r="T251" s="79"/>
      <c r="U251" s="79"/>
      <c r="V251" s="79"/>
      <c r="W251" s="79"/>
      <c r="X251" s="79"/>
      <c r="Y251" s="79"/>
      <c r="Z251" s="79"/>
    </row>
    <row r="252" ht="21.0" customHeight="1">
      <c r="A252" s="79"/>
      <c r="B252" s="79"/>
      <c r="C252" s="104"/>
      <c r="D252" s="104"/>
      <c r="E252" s="104"/>
      <c r="F252" s="104"/>
      <c r="G252" s="104"/>
      <c r="H252" s="104"/>
      <c r="I252" s="104"/>
      <c r="J252" s="104"/>
      <c r="K252" s="104"/>
      <c r="L252" s="102"/>
      <c r="M252" s="102"/>
      <c r="N252" s="102"/>
      <c r="O252" s="102"/>
      <c r="P252" s="103"/>
      <c r="Q252" s="103"/>
      <c r="R252" s="103"/>
      <c r="S252" s="103"/>
      <c r="T252" s="79"/>
      <c r="U252" s="79"/>
      <c r="V252" s="79"/>
      <c r="W252" s="79"/>
      <c r="X252" s="79"/>
      <c r="Y252" s="79"/>
      <c r="Z252" s="79"/>
    </row>
    <row r="253" ht="21.0" customHeight="1">
      <c r="A253" s="79"/>
      <c r="B253" s="79"/>
      <c r="C253" s="104"/>
      <c r="D253" s="104"/>
      <c r="E253" s="104"/>
      <c r="F253" s="104"/>
      <c r="G253" s="104"/>
      <c r="H253" s="104"/>
      <c r="I253" s="104"/>
      <c r="J253" s="104"/>
      <c r="K253" s="104"/>
      <c r="L253" s="102"/>
      <c r="M253" s="102"/>
      <c r="N253" s="102"/>
      <c r="O253" s="102"/>
      <c r="P253" s="103"/>
      <c r="Q253" s="103"/>
      <c r="R253" s="103"/>
      <c r="S253" s="103"/>
      <c r="T253" s="79"/>
      <c r="U253" s="79"/>
      <c r="V253" s="79"/>
      <c r="W253" s="79"/>
      <c r="X253" s="79"/>
      <c r="Y253" s="79"/>
      <c r="Z253" s="79"/>
    </row>
    <row r="254" ht="21.0" customHeight="1">
      <c r="A254" s="79"/>
      <c r="B254" s="79"/>
      <c r="C254" s="104"/>
      <c r="D254" s="104"/>
      <c r="E254" s="104"/>
      <c r="F254" s="104"/>
      <c r="G254" s="104"/>
      <c r="H254" s="104"/>
      <c r="I254" s="104"/>
      <c r="J254" s="104"/>
      <c r="K254" s="104"/>
      <c r="L254" s="102"/>
      <c r="M254" s="102"/>
      <c r="N254" s="102"/>
      <c r="O254" s="102"/>
      <c r="P254" s="103"/>
      <c r="Q254" s="103"/>
      <c r="R254" s="103"/>
      <c r="S254" s="103"/>
      <c r="T254" s="79"/>
      <c r="U254" s="79"/>
      <c r="V254" s="79"/>
      <c r="W254" s="79"/>
      <c r="X254" s="79"/>
      <c r="Y254" s="79"/>
      <c r="Z254" s="79"/>
    </row>
    <row r="255" ht="21.0" customHeight="1">
      <c r="A255" s="79"/>
      <c r="B255" s="79"/>
      <c r="C255" s="104"/>
      <c r="D255" s="104"/>
      <c r="E255" s="104"/>
      <c r="F255" s="104"/>
      <c r="G255" s="104"/>
      <c r="H255" s="104"/>
      <c r="I255" s="104"/>
      <c r="J255" s="104"/>
      <c r="K255" s="104"/>
      <c r="L255" s="102"/>
      <c r="M255" s="102"/>
      <c r="N255" s="102"/>
      <c r="O255" s="102"/>
      <c r="P255" s="103"/>
      <c r="Q255" s="103"/>
      <c r="R255" s="103"/>
      <c r="S255" s="103"/>
      <c r="T255" s="79"/>
      <c r="U255" s="79"/>
      <c r="V255" s="79"/>
      <c r="W255" s="79"/>
      <c r="X255" s="79"/>
      <c r="Y255" s="79"/>
      <c r="Z255" s="79"/>
    </row>
    <row r="256" ht="21.0" customHeight="1">
      <c r="A256" s="79"/>
      <c r="B256" s="79"/>
      <c r="C256" s="104"/>
      <c r="D256" s="104"/>
      <c r="E256" s="104"/>
      <c r="F256" s="104"/>
      <c r="G256" s="104"/>
      <c r="H256" s="104"/>
      <c r="I256" s="104"/>
      <c r="J256" s="104"/>
      <c r="K256" s="104"/>
      <c r="L256" s="102"/>
      <c r="M256" s="102"/>
      <c r="N256" s="102"/>
      <c r="O256" s="102"/>
      <c r="P256" s="103"/>
      <c r="Q256" s="103"/>
      <c r="R256" s="103"/>
      <c r="S256" s="103"/>
      <c r="T256" s="79"/>
      <c r="U256" s="79"/>
      <c r="V256" s="79"/>
      <c r="W256" s="79"/>
      <c r="X256" s="79"/>
      <c r="Y256" s="79"/>
      <c r="Z256" s="79"/>
    </row>
    <row r="257" ht="21.0" customHeight="1">
      <c r="A257" s="79"/>
      <c r="B257" s="79"/>
      <c r="C257" s="104"/>
      <c r="D257" s="104"/>
      <c r="E257" s="104"/>
      <c r="F257" s="104"/>
      <c r="G257" s="104"/>
      <c r="H257" s="104"/>
      <c r="I257" s="104"/>
      <c r="J257" s="104"/>
      <c r="K257" s="104"/>
      <c r="L257" s="102"/>
      <c r="M257" s="102"/>
      <c r="N257" s="102"/>
      <c r="O257" s="102"/>
      <c r="P257" s="103"/>
      <c r="Q257" s="103"/>
      <c r="R257" s="103"/>
      <c r="S257" s="103"/>
      <c r="T257" s="79"/>
      <c r="U257" s="79"/>
      <c r="V257" s="79"/>
      <c r="W257" s="79"/>
      <c r="X257" s="79"/>
      <c r="Y257" s="79"/>
      <c r="Z257" s="79"/>
    </row>
    <row r="258" ht="21.0" customHeight="1">
      <c r="A258" s="79"/>
      <c r="B258" s="79"/>
      <c r="C258" s="104"/>
      <c r="D258" s="104"/>
      <c r="E258" s="104"/>
      <c r="F258" s="104"/>
      <c r="G258" s="104"/>
      <c r="H258" s="104"/>
      <c r="I258" s="104"/>
      <c r="J258" s="104"/>
      <c r="K258" s="104"/>
      <c r="L258" s="102"/>
      <c r="M258" s="102"/>
      <c r="N258" s="102"/>
      <c r="O258" s="102"/>
      <c r="P258" s="103"/>
      <c r="Q258" s="103"/>
      <c r="R258" s="103"/>
      <c r="S258" s="103"/>
      <c r="T258" s="79"/>
      <c r="U258" s="79"/>
      <c r="V258" s="79"/>
      <c r="W258" s="79"/>
      <c r="X258" s="79"/>
      <c r="Y258" s="79"/>
      <c r="Z258" s="79"/>
    </row>
    <row r="259" ht="21.0" customHeight="1">
      <c r="A259" s="79"/>
      <c r="B259" s="79"/>
      <c r="C259" s="104"/>
      <c r="D259" s="104"/>
      <c r="E259" s="104"/>
      <c r="F259" s="104"/>
      <c r="G259" s="104"/>
      <c r="H259" s="104"/>
      <c r="I259" s="104"/>
      <c r="J259" s="104"/>
      <c r="K259" s="104"/>
      <c r="L259" s="102"/>
      <c r="M259" s="102"/>
      <c r="N259" s="102"/>
      <c r="O259" s="102"/>
      <c r="P259" s="103"/>
      <c r="Q259" s="103"/>
      <c r="R259" s="103"/>
      <c r="S259" s="103"/>
      <c r="T259" s="79"/>
      <c r="U259" s="79"/>
      <c r="V259" s="79"/>
      <c r="W259" s="79"/>
      <c r="X259" s="79"/>
      <c r="Y259" s="79"/>
      <c r="Z259" s="79"/>
    </row>
    <row r="260" ht="21.0" customHeight="1">
      <c r="A260" s="79"/>
      <c r="B260" s="79"/>
      <c r="C260" s="104"/>
      <c r="D260" s="104"/>
      <c r="E260" s="104"/>
      <c r="F260" s="104"/>
      <c r="G260" s="104"/>
      <c r="H260" s="104"/>
      <c r="I260" s="104"/>
      <c r="J260" s="104"/>
      <c r="K260" s="104"/>
      <c r="L260" s="102"/>
      <c r="M260" s="102"/>
      <c r="N260" s="102"/>
      <c r="O260" s="102"/>
      <c r="P260" s="103"/>
      <c r="Q260" s="103"/>
      <c r="R260" s="103"/>
      <c r="S260" s="103"/>
      <c r="T260" s="79"/>
      <c r="U260" s="79"/>
      <c r="V260" s="79"/>
      <c r="W260" s="79"/>
      <c r="X260" s="79"/>
      <c r="Y260" s="79"/>
      <c r="Z260" s="79"/>
    </row>
    <row r="261" ht="21.0" customHeight="1">
      <c r="A261" s="79"/>
      <c r="B261" s="79"/>
      <c r="C261" s="104"/>
      <c r="D261" s="104"/>
      <c r="E261" s="104"/>
      <c r="F261" s="104"/>
      <c r="G261" s="104"/>
      <c r="H261" s="104"/>
      <c r="I261" s="104"/>
      <c r="J261" s="104"/>
      <c r="K261" s="104"/>
      <c r="L261" s="102"/>
      <c r="M261" s="102"/>
      <c r="N261" s="102"/>
      <c r="O261" s="102"/>
      <c r="P261" s="103"/>
      <c r="Q261" s="103"/>
      <c r="R261" s="103"/>
      <c r="S261" s="103"/>
      <c r="T261" s="79"/>
      <c r="U261" s="79"/>
      <c r="V261" s="79"/>
      <c r="W261" s="79"/>
      <c r="X261" s="79"/>
      <c r="Y261" s="79"/>
      <c r="Z261" s="79"/>
    </row>
    <row r="262" ht="21.0" customHeight="1">
      <c r="A262" s="79"/>
      <c r="B262" s="79"/>
      <c r="C262" s="104"/>
      <c r="D262" s="104"/>
      <c r="E262" s="104"/>
      <c r="F262" s="104"/>
      <c r="G262" s="104"/>
      <c r="H262" s="104"/>
      <c r="I262" s="104"/>
      <c r="J262" s="104"/>
      <c r="K262" s="104"/>
      <c r="L262" s="102"/>
      <c r="M262" s="102"/>
      <c r="N262" s="102"/>
      <c r="O262" s="102"/>
      <c r="P262" s="103"/>
      <c r="Q262" s="103"/>
      <c r="R262" s="103"/>
      <c r="S262" s="103"/>
      <c r="T262" s="79"/>
      <c r="U262" s="79"/>
      <c r="V262" s="79"/>
      <c r="W262" s="79"/>
      <c r="X262" s="79"/>
      <c r="Y262" s="79"/>
      <c r="Z262" s="79"/>
    </row>
    <row r="263" ht="21.0" customHeight="1">
      <c r="A263" s="79"/>
      <c r="B263" s="79"/>
      <c r="C263" s="104"/>
      <c r="D263" s="104"/>
      <c r="E263" s="104"/>
      <c r="F263" s="104"/>
      <c r="G263" s="104"/>
      <c r="H263" s="104"/>
      <c r="I263" s="104"/>
      <c r="J263" s="104"/>
      <c r="K263" s="104"/>
      <c r="L263" s="102"/>
      <c r="M263" s="102"/>
      <c r="N263" s="102"/>
      <c r="O263" s="102"/>
      <c r="P263" s="103"/>
      <c r="Q263" s="103"/>
      <c r="R263" s="103"/>
      <c r="S263" s="103"/>
      <c r="T263" s="79"/>
      <c r="U263" s="79"/>
      <c r="V263" s="79"/>
      <c r="W263" s="79"/>
      <c r="X263" s="79"/>
      <c r="Y263" s="79"/>
      <c r="Z263" s="79"/>
    </row>
    <row r="264" ht="21.0" customHeight="1">
      <c r="A264" s="79"/>
      <c r="B264" s="79"/>
      <c r="C264" s="104"/>
      <c r="D264" s="104"/>
      <c r="E264" s="104"/>
      <c r="F264" s="104"/>
      <c r="G264" s="104"/>
      <c r="H264" s="104"/>
      <c r="I264" s="104"/>
      <c r="J264" s="104"/>
      <c r="K264" s="104"/>
      <c r="L264" s="102"/>
      <c r="M264" s="102"/>
      <c r="N264" s="102"/>
      <c r="O264" s="102"/>
      <c r="P264" s="103"/>
      <c r="Q264" s="103"/>
      <c r="R264" s="103"/>
      <c r="S264" s="103"/>
      <c r="T264" s="79"/>
      <c r="U264" s="79"/>
      <c r="V264" s="79"/>
      <c r="W264" s="79"/>
      <c r="X264" s="79"/>
      <c r="Y264" s="79"/>
      <c r="Z264" s="79"/>
    </row>
    <row r="265" ht="21.0" customHeight="1">
      <c r="A265" s="79"/>
      <c r="B265" s="79"/>
      <c r="C265" s="104"/>
      <c r="D265" s="104"/>
      <c r="E265" s="104"/>
      <c r="F265" s="104"/>
      <c r="G265" s="104"/>
      <c r="H265" s="104"/>
      <c r="I265" s="104"/>
      <c r="J265" s="104"/>
      <c r="K265" s="104"/>
      <c r="L265" s="102"/>
      <c r="M265" s="102"/>
      <c r="N265" s="102"/>
      <c r="O265" s="102"/>
      <c r="P265" s="103"/>
      <c r="Q265" s="103"/>
      <c r="R265" s="103"/>
      <c r="S265" s="103"/>
      <c r="T265" s="79"/>
      <c r="U265" s="79"/>
      <c r="V265" s="79"/>
      <c r="W265" s="79"/>
      <c r="X265" s="79"/>
      <c r="Y265" s="79"/>
      <c r="Z265" s="79"/>
    </row>
    <row r="266" ht="21.0" customHeight="1">
      <c r="A266" s="79"/>
      <c r="B266" s="79"/>
      <c r="C266" s="104"/>
      <c r="D266" s="104"/>
      <c r="E266" s="104"/>
      <c r="F266" s="104"/>
      <c r="G266" s="104"/>
      <c r="H266" s="104"/>
      <c r="I266" s="104"/>
      <c r="J266" s="104"/>
      <c r="K266" s="104"/>
      <c r="L266" s="102"/>
      <c r="M266" s="102"/>
      <c r="N266" s="102"/>
      <c r="O266" s="102"/>
      <c r="P266" s="103"/>
      <c r="Q266" s="103"/>
      <c r="R266" s="103"/>
      <c r="S266" s="103"/>
      <c r="T266" s="79"/>
      <c r="U266" s="79"/>
      <c r="V266" s="79"/>
      <c r="W266" s="79"/>
      <c r="X266" s="79"/>
      <c r="Y266" s="79"/>
      <c r="Z266" s="79"/>
    </row>
    <row r="267" ht="21.0" customHeight="1">
      <c r="A267" s="79"/>
      <c r="B267" s="79"/>
      <c r="C267" s="104"/>
      <c r="D267" s="104"/>
      <c r="E267" s="104"/>
      <c r="F267" s="104"/>
      <c r="G267" s="104"/>
      <c r="H267" s="104"/>
      <c r="I267" s="104"/>
      <c r="J267" s="104"/>
      <c r="K267" s="104"/>
      <c r="L267" s="102"/>
      <c r="M267" s="102"/>
      <c r="N267" s="102"/>
      <c r="O267" s="102"/>
      <c r="P267" s="103"/>
      <c r="Q267" s="103"/>
      <c r="R267" s="103"/>
      <c r="S267" s="103"/>
      <c r="T267" s="79"/>
      <c r="U267" s="79"/>
      <c r="V267" s="79"/>
      <c r="W267" s="79"/>
      <c r="X267" s="79"/>
      <c r="Y267" s="79"/>
      <c r="Z267" s="79"/>
    </row>
    <row r="268" ht="21.0" customHeight="1">
      <c r="A268" s="79"/>
      <c r="B268" s="79"/>
      <c r="C268" s="104"/>
      <c r="D268" s="104"/>
      <c r="E268" s="104"/>
      <c r="F268" s="104"/>
      <c r="G268" s="104"/>
      <c r="H268" s="104"/>
      <c r="I268" s="104"/>
      <c r="J268" s="104"/>
      <c r="K268" s="104"/>
      <c r="L268" s="102"/>
      <c r="M268" s="102"/>
      <c r="N268" s="102"/>
      <c r="O268" s="102"/>
      <c r="P268" s="103"/>
      <c r="Q268" s="103"/>
      <c r="R268" s="103"/>
      <c r="S268" s="103"/>
      <c r="T268" s="79"/>
      <c r="U268" s="79"/>
      <c r="V268" s="79"/>
      <c r="W268" s="79"/>
      <c r="X268" s="79"/>
      <c r="Y268" s="79"/>
      <c r="Z268" s="79"/>
    </row>
    <row r="269" ht="21.0" customHeight="1">
      <c r="A269" s="79"/>
      <c r="B269" s="79"/>
      <c r="C269" s="104"/>
      <c r="D269" s="104"/>
      <c r="E269" s="104"/>
      <c r="F269" s="104"/>
      <c r="G269" s="104"/>
      <c r="H269" s="104"/>
      <c r="I269" s="104"/>
      <c r="J269" s="104"/>
      <c r="K269" s="104"/>
      <c r="L269" s="102"/>
      <c r="M269" s="102"/>
      <c r="N269" s="102"/>
      <c r="O269" s="102"/>
      <c r="P269" s="103"/>
      <c r="Q269" s="103"/>
      <c r="R269" s="103"/>
      <c r="S269" s="103"/>
      <c r="T269" s="79"/>
      <c r="U269" s="79"/>
      <c r="V269" s="79"/>
      <c r="W269" s="79"/>
      <c r="X269" s="79"/>
      <c r="Y269" s="79"/>
      <c r="Z269" s="79"/>
    </row>
    <row r="270" ht="21.0" customHeight="1">
      <c r="A270" s="79"/>
      <c r="B270" s="79"/>
      <c r="C270" s="104"/>
      <c r="D270" s="104"/>
      <c r="E270" s="104"/>
      <c r="F270" s="104"/>
      <c r="G270" s="104"/>
      <c r="H270" s="104"/>
      <c r="I270" s="104"/>
      <c r="J270" s="104"/>
      <c r="K270" s="104"/>
      <c r="L270" s="102"/>
      <c r="M270" s="102"/>
      <c r="N270" s="102"/>
      <c r="O270" s="102"/>
      <c r="P270" s="103"/>
      <c r="Q270" s="103"/>
      <c r="R270" s="103"/>
      <c r="S270" s="103"/>
      <c r="T270" s="79"/>
      <c r="U270" s="79"/>
      <c r="V270" s="79"/>
      <c r="W270" s="79"/>
      <c r="X270" s="79"/>
      <c r="Y270" s="79"/>
      <c r="Z270" s="79"/>
    </row>
    <row r="271" ht="21.0" customHeight="1">
      <c r="A271" s="79"/>
      <c r="B271" s="79"/>
      <c r="C271" s="104"/>
      <c r="D271" s="104"/>
      <c r="E271" s="104"/>
      <c r="F271" s="104"/>
      <c r="G271" s="104"/>
      <c r="H271" s="104"/>
      <c r="I271" s="104"/>
      <c r="J271" s="104"/>
      <c r="K271" s="104"/>
      <c r="L271" s="102"/>
      <c r="M271" s="102"/>
      <c r="N271" s="102"/>
      <c r="O271" s="102"/>
      <c r="P271" s="103"/>
      <c r="Q271" s="103"/>
      <c r="R271" s="103"/>
      <c r="S271" s="103"/>
      <c r="T271" s="79"/>
      <c r="U271" s="79"/>
      <c r="V271" s="79"/>
      <c r="W271" s="79"/>
      <c r="X271" s="79"/>
      <c r="Y271" s="79"/>
      <c r="Z271" s="79"/>
    </row>
    <row r="272" ht="21.0" customHeight="1">
      <c r="A272" s="79"/>
      <c r="B272" s="79"/>
      <c r="C272" s="104"/>
      <c r="D272" s="104"/>
      <c r="E272" s="104"/>
      <c r="F272" s="104"/>
      <c r="G272" s="104"/>
      <c r="H272" s="104"/>
      <c r="I272" s="104"/>
      <c r="J272" s="104"/>
      <c r="K272" s="104"/>
      <c r="L272" s="102"/>
      <c r="M272" s="102"/>
      <c r="N272" s="102"/>
      <c r="O272" s="102"/>
      <c r="P272" s="103"/>
      <c r="Q272" s="103"/>
      <c r="R272" s="103"/>
      <c r="S272" s="103"/>
      <c r="T272" s="79"/>
      <c r="U272" s="79"/>
      <c r="V272" s="79"/>
      <c r="W272" s="79"/>
      <c r="X272" s="79"/>
      <c r="Y272" s="79"/>
      <c r="Z272" s="79"/>
    </row>
    <row r="273" ht="21.0" customHeight="1">
      <c r="A273" s="79"/>
      <c r="B273" s="79"/>
      <c r="C273" s="104"/>
      <c r="D273" s="104"/>
      <c r="E273" s="104"/>
      <c r="F273" s="104"/>
      <c r="G273" s="104"/>
      <c r="H273" s="104"/>
      <c r="I273" s="104"/>
      <c r="J273" s="104"/>
      <c r="K273" s="104"/>
      <c r="L273" s="102"/>
      <c r="M273" s="102"/>
      <c r="N273" s="102"/>
      <c r="O273" s="102"/>
      <c r="P273" s="103"/>
      <c r="Q273" s="103"/>
      <c r="R273" s="103"/>
      <c r="S273" s="103"/>
      <c r="T273" s="79"/>
      <c r="U273" s="79"/>
      <c r="V273" s="79"/>
      <c r="W273" s="79"/>
      <c r="X273" s="79"/>
      <c r="Y273" s="79"/>
      <c r="Z273" s="79"/>
    </row>
    <row r="274" ht="21.0" customHeight="1">
      <c r="A274" s="79"/>
      <c r="B274" s="79"/>
      <c r="C274" s="104"/>
      <c r="D274" s="104"/>
      <c r="E274" s="104"/>
      <c r="F274" s="104"/>
      <c r="G274" s="104"/>
      <c r="H274" s="104"/>
      <c r="I274" s="104"/>
      <c r="J274" s="104"/>
      <c r="K274" s="104"/>
      <c r="L274" s="102"/>
      <c r="M274" s="102"/>
      <c r="N274" s="102"/>
      <c r="O274" s="102"/>
      <c r="P274" s="103"/>
      <c r="Q274" s="103"/>
      <c r="R274" s="103"/>
      <c r="S274" s="103"/>
      <c r="T274" s="79"/>
      <c r="U274" s="79"/>
      <c r="V274" s="79"/>
      <c r="W274" s="79"/>
      <c r="X274" s="79"/>
      <c r="Y274" s="79"/>
      <c r="Z274" s="79"/>
    </row>
    <row r="275" ht="21.0" customHeight="1">
      <c r="A275" s="79"/>
      <c r="B275" s="79"/>
      <c r="C275" s="104"/>
      <c r="D275" s="104"/>
      <c r="E275" s="104"/>
      <c r="F275" s="104"/>
      <c r="G275" s="104"/>
      <c r="H275" s="104"/>
      <c r="I275" s="104"/>
      <c r="J275" s="104"/>
      <c r="K275" s="104"/>
      <c r="L275" s="102"/>
      <c r="M275" s="102"/>
      <c r="N275" s="102"/>
      <c r="O275" s="102"/>
      <c r="P275" s="103"/>
      <c r="Q275" s="103"/>
      <c r="R275" s="103"/>
      <c r="S275" s="103"/>
      <c r="T275" s="79"/>
      <c r="U275" s="79"/>
      <c r="V275" s="79"/>
      <c r="W275" s="79"/>
      <c r="X275" s="79"/>
      <c r="Y275" s="79"/>
      <c r="Z275" s="79"/>
    </row>
    <row r="276" ht="21.0" customHeight="1">
      <c r="A276" s="79"/>
      <c r="B276" s="79"/>
      <c r="C276" s="104"/>
      <c r="D276" s="104"/>
      <c r="E276" s="104"/>
      <c r="F276" s="104"/>
      <c r="G276" s="104"/>
      <c r="H276" s="104"/>
      <c r="I276" s="104"/>
      <c r="J276" s="104"/>
      <c r="K276" s="104"/>
      <c r="L276" s="102"/>
      <c r="M276" s="102"/>
      <c r="N276" s="102"/>
      <c r="O276" s="102"/>
      <c r="P276" s="103"/>
      <c r="Q276" s="103"/>
      <c r="R276" s="103"/>
      <c r="S276" s="103"/>
      <c r="T276" s="79"/>
      <c r="U276" s="79"/>
      <c r="V276" s="79"/>
      <c r="W276" s="79"/>
      <c r="X276" s="79"/>
      <c r="Y276" s="79"/>
      <c r="Z276" s="79"/>
    </row>
    <row r="277" ht="21.0" customHeight="1">
      <c r="A277" s="79"/>
      <c r="B277" s="79"/>
      <c r="C277" s="104"/>
      <c r="D277" s="104"/>
      <c r="E277" s="104"/>
      <c r="F277" s="104"/>
      <c r="G277" s="104"/>
      <c r="H277" s="104"/>
      <c r="I277" s="104"/>
      <c r="J277" s="104"/>
      <c r="K277" s="104"/>
      <c r="L277" s="102"/>
      <c r="M277" s="102"/>
      <c r="N277" s="102"/>
      <c r="O277" s="102"/>
      <c r="P277" s="103"/>
      <c r="Q277" s="103"/>
      <c r="R277" s="103"/>
      <c r="S277" s="103"/>
      <c r="T277" s="79"/>
      <c r="U277" s="79"/>
      <c r="V277" s="79"/>
      <c r="W277" s="79"/>
      <c r="X277" s="79"/>
      <c r="Y277" s="79"/>
      <c r="Z277" s="79"/>
    </row>
    <row r="278" ht="21.0" customHeight="1">
      <c r="A278" s="79"/>
      <c r="B278" s="79"/>
      <c r="C278" s="104"/>
      <c r="D278" s="104"/>
      <c r="E278" s="104"/>
      <c r="F278" s="104"/>
      <c r="G278" s="104"/>
      <c r="H278" s="104"/>
      <c r="I278" s="104"/>
      <c r="J278" s="104"/>
      <c r="K278" s="104"/>
      <c r="L278" s="102"/>
      <c r="M278" s="102"/>
      <c r="N278" s="102"/>
      <c r="O278" s="102"/>
      <c r="P278" s="103"/>
      <c r="Q278" s="103"/>
      <c r="R278" s="103"/>
      <c r="S278" s="103"/>
      <c r="T278" s="79"/>
      <c r="U278" s="79"/>
      <c r="V278" s="79"/>
      <c r="W278" s="79"/>
      <c r="X278" s="79"/>
      <c r="Y278" s="79"/>
      <c r="Z278" s="79"/>
    </row>
    <row r="279" ht="21.0" customHeight="1">
      <c r="A279" s="79"/>
      <c r="B279" s="79"/>
      <c r="C279" s="104"/>
      <c r="D279" s="104"/>
      <c r="E279" s="104"/>
      <c r="F279" s="104"/>
      <c r="G279" s="104"/>
      <c r="H279" s="104"/>
      <c r="I279" s="104"/>
      <c r="J279" s="104"/>
      <c r="K279" s="104"/>
      <c r="L279" s="102"/>
      <c r="M279" s="102"/>
      <c r="N279" s="102"/>
      <c r="O279" s="102"/>
      <c r="P279" s="103"/>
      <c r="Q279" s="103"/>
      <c r="R279" s="103"/>
      <c r="S279" s="103"/>
      <c r="T279" s="79"/>
      <c r="U279" s="79"/>
      <c r="V279" s="79"/>
      <c r="W279" s="79"/>
      <c r="X279" s="79"/>
      <c r="Y279" s="79"/>
      <c r="Z279" s="79"/>
    </row>
    <row r="280" ht="21.0" customHeight="1">
      <c r="A280" s="79"/>
      <c r="B280" s="79"/>
      <c r="C280" s="104"/>
      <c r="D280" s="104"/>
      <c r="E280" s="104"/>
      <c r="F280" s="104"/>
      <c r="G280" s="104"/>
      <c r="H280" s="104"/>
      <c r="I280" s="104"/>
      <c r="J280" s="104"/>
      <c r="K280" s="104"/>
      <c r="L280" s="102"/>
      <c r="M280" s="102"/>
      <c r="N280" s="102"/>
      <c r="O280" s="102"/>
      <c r="P280" s="103"/>
      <c r="Q280" s="103"/>
      <c r="R280" s="103"/>
      <c r="S280" s="103"/>
      <c r="T280" s="79"/>
      <c r="U280" s="79"/>
      <c r="V280" s="79"/>
      <c r="W280" s="79"/>
      <c r="X280" s="79"/>
      <c r="Y280" s="79"/>
      <c r="Z280" s="79"/>
    </row>
    <row r="281" ht="21.0" customHeight="1">
      <c r="A281" s="79"/>
      <c r="B281" s="79"/>
      <c r="C281" s="104"/>
      <c r="D281" s="104"/>
      <c r="E281" s="104"/>
      <c r="F281" s="104"/>
      <c r="G281" s="104"/>
      <c r="H281" s="104"/>
      <c r="I281" s="104"/>
      <c r="J281" s="104"/>
      <c r="K281" s="104"/>
      <c r="L281" s="102"/>
      <c r="M281" s="102"/>
      <c r="N281" s="102"/>
      <c r="O281" s="102"/>
      <c r="P281" s="103"/>
      <c r="Q281" s="103"/>
      <c r="R281" s="103"/>
      <c r="S281" s="103"/>
      <c r="T281" s="79"/>
      <c r="U281" s="79"/>
      <c r="V281" s="79"/>
      <c r="W281" s="79"/>
      <c r="X281" s="79"/>
      <c r="Y281" s="79"/>
      <c r="Z281" s="79"/>
    </row>
    <row r="282" ht="21.0" customHeight="1">
      <c r="A282" s="79"/>
      <c r="B282" s="79"/>
      <c r="C282" s="104"/>
      <c r="D282" s="104"/>
      <c r="E282" s="104"/>
      <c r="F282" s="104"/>
      <c r="G282" s="104"/>
      <c r="H282" s="104"/>
      <c r="I282" s="104"/>
      <c r="J282" s="104"/>
      <c r="K282" s="104"/>
      <c r="L282" s="102"/>
      <c r="M282" s="102"/>
      <c r="N282" s="102"/>
      <c r="O282" s="102"/>
      <c r="P282" s="103"/>
      <c r="Q282" s="103"/>
      <c r="R282" s="103"/>
      <c r="S282" s="103"/>
      <c r="T282" s="79"/>
      <c r="U282" s="79"/>
      <c r="V282" s="79"/>
      <c r="W282" s="79"/>
      <c r="X282" s="79"/>
      <c r="Y282" s="79"/>
      <c r="Z282" s="79"/>
    </row>
    <row r="283" ht="21.0" customHeight="1">
      <c r="A283" s="79"/>
      <c r="B283" s="79"/>
      <c r="C283" s="104"/>
      <c r="D283" s="104"/>
      <c r="E283" s="104"/>
      <c r="F283" s="104"/>
      <c r="G283" s="104"/>
      <c r="H283" s="104"/>
      <c r="I283" s="104"/>
      <c r="J283" s="104"/>
      <c r="K283" s="104"/>
      <c r="L283" s="102"/>
      <c r="M283" s="102"/>
      <c r="N283" s="102"/>
      <c r="O283" s="102"/>
      <c r="P283" s="103"/>
      <c r="Q283" s="103"/>
      <c r="R283" s="103"/>
      <c r="S283" s="103"/>
      <c r="T283" s="79"/>
      <c r="U283" s="79"/>
      <c r="V283" s="79"/>
      <c r="W283" s="79"/>
      <c r="X283" s="79"/>
      <c r="Y283" s="79"/>
      <c r="Z283" s="79"/>
    </row>
    <row r="284" ht="21.0" customHeight="1">
      <c r="A284" s="79"/>
      <c r="B284" s="79"/>
      <c r="C284" s="104"/>
      <c r="D284" s="104"/>
      <c r="E284" s="104"/>
      <c r="F284" s="104"/>
      <c r="G284" s="104"/>
      <c r="H284" s="104"/>
      <c r="I284" s="104"/>
      <c r="J284" s="104"/>
      <c r="K284" s="104"/>
      <c r="L284" s="102"/>
      <c r="M284" s="102"/>
      <c r="N284" s="102"/>
      <c r="O284" s="102"/>
      <c r="P284" s="103"/>
      <c r="Q284" s="103"/>
      <c r="R284" s="103"/>
      <c r="S284" s="103"/>
      <c r="T284" s="79"/>
      <c r="U284" s="79"/>
      <c r="V284" s="79"/>
      <c r="W284" s="79"/>
      <c r="X284" s="79"/>
      <c r="Y284" s="79"/>
      <c r="Z284" s="79"/>
    </row>
    <row r="285" ht="21.0" customHeight="1">
      <c r="A285" s="79"/>
      <c r="B285" s="79"/>
      <c r="C285" s="104"/>
      <c r="D285" s="104"/>
      <c r="E285" s="104"/>
      <c r="F285" s="104"/>
      <c r="G285" s="104"/>
      <c r="H285" s="104"/>
      <c r="I285" s="104"/>
      <c r="J285" s="104"/>
      <c r="K285" s="104"/>
      <c r="L285" s="102"/>
      <c r="M285" s="102"/>
      <c r="N285" s="102"/>
      <c r="O285" s="102"/>
      <c r="P285" s="103"/>
      <c r="Q285" s="103"/>
      <c r="R285" s="103"/>
      <c r="S285" s="103"/>
      <c r="T285" s="79"/>
      <c r="U285" s="79"/>
      <c r="V285" s="79"/>
      <c r="W285" s="79"/>
      <c r="X285" s="79"/>
      <c r="Y285" s="79"/>
      <c r="Z285" s="79"/>
    </row>
    <row r="286" ht="21.0" customHeight="1">
      <c r="A286" s="79"/>
      <c r="B286" s="79"/>
      <c r="C286" s="104"/>
      <c r="D286" s="104"/>
      <c r="E286" s="104"/>
      <c r="F286" s="104"/>
      <c r="G286" s="104"/>
      <c r="H286" s="104"/>
      <c r="I286" s="104"/>
      <c r="J286" s="104"/>
      <c r="K286" s="104"/>
      <c r="L286" s="102"/>
      <c r="M286" s="102"/>
      <c r="N286" s="102"/>
      <c r="O286" s="102"/>
      <c r="P286" s="103"/>
      <c r="Q286" s="103"/>
      <c r="R286" s="103"/>
      <c r="S286" s="103"/>
      <c r="T286" s="79"/>
      <c r="U286" s="79"/>
      <c r="V286" s="79"/>
      <c r="W286" s="79"/>
      <c r="X286" s="79"/>
      <c r="Y286" s="79"/>
      <c r="Z286" s="79"/>
    </row>
    <row r="287" ht="21.0" customHeight="1">
      <c r="A287" s="79"/>
      <c r="B287" s="79"/>
      <c r="C287" s="104"/>
      <c r="D287" s="104"/>
      <c r="E287" s="104"/>
      <c r="F287" s="104"/>
      <c r="G287" s="104"/>
      <c r="H287" s="104"/>
      <c r="I287" s="104"/>
      <c r="J287" s="104"/>
      <c r="K287" s="104"/>
      <c r="L287" s="102"/>
      <c r="M287" s="102"/>
      <c r="N287" s="102"/>
      <c r="O287" s="102"/>
      <c r="P287" s="103"/>
      <c r="Q287" s="103"/>
      <c r="R287" s="103"/>
      <c r="S287" s="103"/>
      <c r="T287" s="79"/>
      <c r="U287" s="79"/>
      <c r="V287" s="79"/>
      <c r="W287" s="79"/>
      <c r="X287" s="79"/>
      <c r="Y287" s="79"/>
      <c r="Z287" s="79"/>
    </row>
    <row r="288" ht="21.0" customHeight="1">
      <c r="A288" s="79"/>
      <c r="B288" s="79"/>
      <c r="C288" s="104"/>
      <c r="D288" s="104"/>
      <c r="E288" s="104"/>
      <c r="F288" s="104"/>
      <c r="G288" s="104"/>
      <c r="H288" s="104"/>
      <c r="I288" s="104"/>
      <c r="J288" s="104"/>
      <c r="K288" s="104"/>
      <c r="L288" s="102"/>
      <c r="M288" s="102"/>
      <c r="N288" s="102"/>
      <c r="O288" s="102"/>
      <c r="P288" s="103"/>
      <c r="Q288" s="103"/>
      <c r="R288" s="103"/>
      <c r="S288" s="103"/>
      <c r="T288" s="79"/>
      <c r="U288" s="79"/>
      <c r="V288" s="79"/>
      <c r="W288" s="79"/>
      <c r="X288" s="79"/>
      <c r="Y288" s="79"/>
      <c r="Z288" s="79"/>
    </row>
    <row r="289" ht="21.0" customHeight="1">
      <c r="A289" s="79"/>
      <c r="B289" s="79"/>
      <c r="C289" s="104"/>
      <c r="D289" s="104"/>
      <c r="E289" s="104"/>
      <c r="F289" s="104"/>
      <c r="G289" s="104"/>
      <c r="H289" s="104"/>
      <c r="I289" s="104"/>
      <c r="J289" s="104"/>
      <c r="K289" s="104"/>
      <c r="L289" s="102"/>
      <c r="M289" s="102"/>
      <c r="N289" s="102"/>
      <c r="O289" s="102"/>
      <c r="P289" s="103"/>
      <c r="Q289" s="103"/>
      <c r="R289" s="103"/>
      <c r="S289" s="103"/>
      <c r="T289" s="79"/>
      <c r="U289" s="79"/>
      <c r="V289" s="79"/>
      <c r="W289" s="79"/>
      <c r="X289" s="79"/>
      <c r="Y289" s="79"/>
      <c r="Z289" s="79"/>
    </row>
    <row r="290" ht="21.0" customHeight="1">
      <c r="A290" s="79"/>
      <c r="B290" s="79"/>
      <c r="C290" s="104"/>
      <c r="D290" s="104"/>
      <c r="E290" s="104"/>
      <c r="F290" s="104"/>
      <c r="G290" s="104"/>
      <c r="H290" s="104"/>
      <c r="I290" s="104"/>
      <c r="J290" s="104"/>
      <c r="K290" s="104"/>
      <c r="L290" s="102"/>
      <c r="M290" s="102"/>
      <c r="N290" s="102"/>
      <c r="O290" s="102"/>
      <c r="P290" s="103"/>
      <c r="Q290" s="103"/>
      <c r="R290" s="103"/>
      <c r="S290" s="103"/>
      <c r="T290" s="79"/>
      <c r="U290" s="79"/>
      <c r="V290" s="79"/>
      <c r="W290" s="79"/>
      <c r="X290" s="79"/>
      <c r="Y290" s="79"/>
      <c r="Z290" s="79"/>
    </row>
    <row r="291" ht="21.0" customHeight="1">
      <c r="A291" s="79"/>
      <c r="B291" s="79"/>
      <c r="C291" s="104"/>
      <c r="D291" s="104"/>
      <c r="E291" s="104"/>
      <c r="F291" s="104"/>
      <c r="G291" s="104"/>
      <c r="H291" s="104"/>
      <c r="I291" s="104"/>
      <c r="J291" s="104"/>
      <c r="K291" s="104"/>
      <c r="L291" s="102"/>
      <c r="M291" s="102"/>
      <c r="N291" s="102"/>
      <c r="O291" s="102"/>
      <c r="P291" s="103"/>
      <c r="Q291" s="103"/>
      <c r="R291" s="103"/>
      <c r="S291" s="103"/>
      <c r="T291" s="79"/>
      <c r="U291" s="79"/>
      <c r="V291" s="79"/>
      <c r="W291" s="79"/>
      <c r="X291" s="79"/>
      <c r="Y291" s="79"/>
      <c r="Z291" s="79"/>
    </row>
    <row r="292" ht="21.0" customHeight="1">
      <c r="A292" s="79"/>
      <c r="B292" s="79"/>
      <c r="C292" s="104"/>
      <c r="D292" s="104"/>
      <c r="E292" s="104"/>
      <c r="F292" s="104"/>
      <c r="G292" s="104"/>
      <c r="H292" s="104"/>
      <c r="I292" s="104"/>
      <c r="J292" s="104"/>
      <c r="K292" s="104"/>
      <c r="L292" s="102"/>
      <c r="M292" s="102"/>
      <c r="N292" s="102"/>
      <c r="O292" s="102"/>
      <c r="P292" s="103"/>
      <c r="Q292" s="103"/>
      <c r="R292" s="103"/>
      <c r="S292" s="103"/>
      <c r="T292" s="79"/>
      <c r="U292" s="79"/>
      <c r="V292" s="79"/>
      <c r="W292" s="79"/>
      <c r="X292" s="79"/>
      <c r="Y292" s="79"/>
      <c r="Z292" s="79"/>
    </row>
    <row r="293" ht="21.0" customHeight="1">
      <c r="A293" s="79"/>
      <c r="B293" s="79"/>
      <c r="C293" s="104"/>
      <c r="D293" s="104"/>
      <c r="E293" s="104"/>
      <c r="F293" s="104"/>
      <c r="G293" s="104"/>
      <c r="H293" s="104"/>
      <c r="I293" s="104"/>
      <c r="J293" s="104"/>
      <c r="K293" s="104"/>
      <c r="L293" s="102"/>
      <c r="M293" s="102"/>
      <c r="N293" s="102"/>
      <c r="O293" s="102"/>
      <c r="P293" s="103"/>
      <c r="Q293" s="103"/>
      <c r="R293" s="103"/>
      <c r="S293" s="103"/>
      <c r="T293" s="79"/>
      <c r="U293" s="79"/>
      <c r="V293" s="79"/>
      <c r="W293" s="79"/>
      <c r="X293" s="79"/>
      <c r="Y293" s="79"/>
      <c r="Z293" s="79"/>
    </row>
    <row r="294" ht="21.0" customHeight="1">
      <c r="A294" s="79"/>
      <c r="B294" s="79"/>
      <c r="C294" s="104"/>
      <c r="D294" s="104"/>
      <c r="E294" s="104"/>
      <c r="F294" s="104"/>
      <c r="G294" s="104"/>
      <c r="H294" s="104"/>
      <c r="I294" s="104"/>
      <c r="J294" s="104"/>
      <c r="K294" s="104"/>
      <c r="L294" s="102"/>
      <c r="M294" s="102"/>
      <c r="N294" s="102"/>
      <c r="O294" s="102"/>
      <c r="P294" s="103"/>
      <c r="Q294" s="103"/>
      <c r="R294" s="103"/>
      <c r="S294" s="103"/>
      <c r="T294" s="79"/>
      <c r="U294" s="79"/>
      <c r="V294" s="79"/>
      <c r="W294" s="79"/>
      <c r="X294" s="79"/>
      <c r="Y294" s="79"/>
      <c r="Z294" s="79"/>
    </row>
    <row r="295" ht="21.0" customHeight="1">
      <c r="A295" s="79"/>
      <c r="B295" s="79"/>
      <c r="C295" s="104"/>
      <c r="D295" s="104"/>
      <c r="E295" s="104"/>
      <c r="F295" s="104"/>
      <c r="G295" s="104"/>
      <c r="H295" s="104"/>
      <c r="I295" s="104"/>
      <c r="J295" s="104"/>
      <c r="K295" s="104"/>
      <c r="L295" s="102"/>
      <c r="M295" s="102"/>
      <c r="N295" s="102"/>
      <c r="O295" s="102"/>
      <c r="P295" s="103"/>
      <c r="Q295" s="103"/>
      <c r="R295" s="103"/>
      <c r="S295" s="103"/>
      <c r="T295" s="79"/>
      <c r="U295" s="79"/>
      <c r="V295" s="79"/>
      <c r="W295" s="79"/>
      <c r="X295" s="79"/>
      <c r="Y295" s="79"/>
      <c r="Z295" s="79"/>
    </row>
    <row r="296" ht="21.0" customHeight="1">
      <c r="A296" s="79"/>
      <c r="B296" s="79"/>
      <c r="C296" s="104"/>
      <c r="D296" s="104"/>
      <c r="E296" s="104"/>
      <c r="F296" s="104"/>
      <c r="G296" s="104"/>
      <c r="H296" s="104"/>
      <c r="I296" s="104"/>
      <c r="J296" s="104"/>
      <c r="K296" s="104"/>
      <c r="L296" s="102"/>
      <c r="M296" s="102"/>
      <c r="N296" s="102"/>
      <c r="O296" s="102"/>
      <c r="P296" s="103"/>
      <c r="Q296" s="103"/>
      <c r="R296" s="103"/>
      <c r="S296" s="103"/>
      <c r="T296" s="79"/>
      <c r="U296" s="79"/>
      <c r="V296" s="79"/>
      <c r="W296" s="79"/>
      <c r="X296" s="79"/>
      <c r="Y296" s="79"/>
      <c r="Z296" s="79"/>
    </row>
    <row r="297" ht="21.0" customHeight="1">
      <c r="A297" s="79"/>
      <c r="B297" s="79"/>
      <c r="C297" s="104"/>
      <c r="D297" s="104"/>
      <c r="E297" s="104"/>
      <c r="F297" s="104"/>
      <c r="G297" s="104"/>
      <c r="H297" s="104"/>
      <c r="I297" s="104"/>
      <c r="J297" s="104"/>
      <c r="K297" s="104"/>
      <c r="L297" s="102"/>
      <c r="M297" s="102"/>
      <c r="N297" s="102"/>
      <c r="O297" s="102"/>
      <c r="P297" s="103"/>
      <c r="Q297" s="103"/>
      <c r="R297" s="103"/>
      <c r="S297" s="103"/>
      <c r="T297" s="79"/>
      <c r="U297" s="79"/>
      <c r="V297" s="79"/>
      <c r="W297" s="79"/>
      <c r="X297" s="79"/>
      <c r="Y297" s="79"/>
      <c r="Z297" s="79"/>
    </row>
    <row r="298" ht="21.0" customHeight="1">
      <c r="A298" s="79"/>
      <c r="B298" s="79"/>
      <c r="C298" s="104"/>
      <c r="D298" s="104"/>
      <c r="E298" s="104"/>
      <c r="F298" s="104"/>
      <c r="G298" s="104"/>
      <c r="H298" s="104"/>
      <c r="I298" s="104"/>
      <c r="J298" s="104"/>
      <c r="K298" s="104"/>
      <c r="L298" s="102"/>
      <c r="M298" s="102"/>
      <c r="N298" s="102"/>
      <c r="O298" s="102"/>
      <c r="P298" s="103"/>
      <c r="Q298" s="103"/>
      <c r="R298" s="103"/>
      <c r="S298" s="103"/>
      <c r="T298" s="79"/>
      <c r="U298" s="79"/>
      <c r="V298" s="79"/>
      <c r="W298" s="79"/>
      <c r="X298" s="79"/>
      <c r="Y298" s="79"/>
      <c r="Z298" s="79"/>
    </row>
    <row r="299" ht="21.0" customHeight="1">
      <c r="A299" s="79"/>
      <c r="B299" s="79"/>
      <c r="C299" s="104"/>
      <c r="D299" s="104"/>
      <c r="E299" s="104"/>
      <c r="F299" s="104"/>
      <c r="G299" s="104"/>
      <c r="H299" s="104"/>
      <c r="I299" s="104"/>
      <c r="J299" s="104"/>
      <c r="K299" s="104"/>
      <c r="L299" s="102"/>
      <c r="M299" s="102"/>
      <c r="N299" s="102"/>
      <c r="O299" s="102"/>
      <c r="P299" s="103"/>
      <c r="Q299" s="103"/>
      <c r="R299" s="103"/>
      <c r="S299" s="103"/>
      <c r="T299" s="79"/>
      <c r="U299" s="79"/>
      <c r="V299" s="79"/>
      <c r="W299" s="79"/>
      <c r="X299" s="79"/>
      <c r="Y299" s="79"/>
      <c r="Z299" s="79"/>
    </row>
    <row r="300" ht="21.0" customHeight="1">
      <c r="A300" s="79"/>
      <c r="B300" s="79"/>
      <c r="C300" s="104"/>
      <c r="D300" s="104"/>
      <c r="E300" s="104"/>
      <c r="F300" s="104"/>
      <c r="G300" s="104"/>
      <c r="H300" s="104"/>
      <c r="I300" s="104"/>
      <c r="J300" s="104"/>
      <c r="K300" s="104"/>
      <c r="L300" s="102"/>
      <c r="M300" s="102"/>
      <c r="N300" s="102"/>
      <c r="O300" s="102"/>
      <c r="P300" s="103"/>
      <c r="Q300" s="103"/>
      <c r="R300" s="103"/>
      <c r="S300" s="103"/>
      <c r="T300" s="79"/>
      <c r="U300" s="79"/>
      <c r="V300" s="79"/>
      <c r="W300" s="79"/>
      <c r="X300" s="79"/>
      <c r="Y300" s="79"/>
      <c r="Z300" s="79"/>
    </row>
    <row r="301" ht="21.0" customHeight="1">
      <c r="A301" s="79"/>
      <c r="B301" s="79"/>
      <c r="C301" s="104"/>
      <c r="D301" s="104"/>
      <c r="E301" s="104"/>
      <c r="F301" s="104"/>
      <c r="G301" s="104"/>
      <c r="H301" s="104"/>
      <c r="I301" s="104"/>
      <c r="J301" s="104"/>
      <c r="K301" s="104"/>
      <c r="L301" s="102"/>
      <c r="M301" s="102"/>
      <c r="N301" s="102"/>
      <c r="O301" s="102"/>
      <c r="P301" s="103"/>
      <c r="Q301" s="103"/>
      <c r="R301" s="103"/>
      <c r="S301" s="103"/>
      <c r="T301" s="79"/>
      <c r="U301" s="79"/>
      <c r="V301" s="79"/>
      <c r="W301" s="79"/>
      <c r="X301" s="79"/>
      <c r="Y301" s="79"/>
      <c r="Z301" s="79"/>
    </row>
    <row r="302" ht="21.0" customHeight="1">
      <c r="A302" s="79"/>
      <c r="B302" s="79"/>
      <c r="C302" s="104"/>
      <c r="D302" s="104"/>
      <c r="E302" s="104"/>
      <c r="F302" s="104"/>
      <c r="G302" s="104"/>
      <c r="H302" s="104"/>
      <c r="I302" s="104"/>
      <c r="J302" s="104"/>
      <c r="K302" s="104"/>
      <c r="L302" s="102"/>
      <c r="M302" s="102"/>
      <c r="N302" s="102"/>
      <c r="O302" s="102"/>
      <c r="P302" s="103"/>
      <c r="Q302" s="103"/>
      <c r="R302" s="103"/>
      <c r="S302" s="103"/>
      <c r="T302" s="79"/>
      <c r="U302" s="79"/>
      <c r="V302" s="79"/>
      <c r="W302" s="79"/>
      <c r="X302" s="79"/>
      <c r="Y302" s="79"/>
      <c r="Z302" s="79"/>
    </row>
    <row r="303" ht="21.0" customHeight="1">
      <c r="A303" s="79"/>
      <c r="B303" s="79"/>
      <c r="C303" s="104"/>
      <c r="D303" s="104"/>
      <c r="E303" s="104"/>
      <c r="F303" s="104"/>
      <c r="G303" s="104"/>
      <c r="H303" s="104"/>
      <c r="I303" s="104"/>
      <c r="J303" s="104"/>
      <c r="K303" s="104"/>
      <c r="L303" s="102"/>
      <c r="M303" s="102"/>
      <c r="N303" s="102"/>
      <c r="O303" s="102"/>
      <c r="P303" s="103"/>
      <c r="Q303" s="103"/>
      <c r="R303" s="103"/>
      <c r="S303" s="103"/>
      <c r="T303" s="79"/>
      <c r="U303" s="79"/>
      <c r="V303" s="79"/>
      <c r="W303" s="79"/>
      <c r="X303" s="79"/>
      <c r="Y303" s="79"/>
      <c r="Z303" s="79"/>
    </row>
    <row r="304" ht="21.0" customHeight="1">
      <c r="A304" s="79"/>
      <c r="B304" s="79"/>
      <c r="C304" s="104"/>
      <c r="D304" s="104"/>
      <c r="E304" s="104"/>
      <c r="F304" s="104"/>
      <c r="G304" s="104"/>
      <c r="H304" s="104"/>
      <c r="I304" s="104"/>
      <c r="J304" s="104"/>
      <c r="K304" s="104"/>
      <c r="L304" s="102"/>
      <c r="M304" s="102"/>
      <c r="N304" s="102"/>
      <c r="O304" s="102"/>
      <c r="P304" s="103"/>
      <c r="Q304" s="103"/>
      <c r="R304" s="103"/>
      <c r="S304" s="103"/>
      <c r="T304" s="79"/>
      <c r="U304" s="79"/>
      <c r="V304" s="79"/>
      <c r="W304" s="79"/>
      <c r="X304" s="79"/>
      <c r="Y304" s="79"/>
      <c r="Z304" s="79"/>
    </row>
    <row r="305" ht="21.0" customHeight="1">
      <c r="A305" s="79"/>
      <c r="B305" s="79"/>
      <c r="C305" s="104"/>
      <c r="D305" s="104"/>
      <c r="E305" s="104"/>
      <c r="F305" s="104"/>
      <c r="G305" s="104"/>
      <c r="H305" s="104"/>
      <c r="I305" s="104"/>
      <c r="J305" s="104"/>
      <c r="K305" s="104"/>
      <c r="L305" s="102"/>
      <c r="M305" s="102"/>
      <c r="N305" s="102"/>
      <c r="O305" s="102"/>
      <c r="P305" s="103"/>
      <c r="Q305" s="103"/>
      <c r="R305" s="103"/>
      <c r="S305" s="103"/>
      <c r="T305" s="79"/>
      <c r="U305" s="79"/>
      <c r="V305" s="79"/>
      <c r="W305" s="79"/>
      <c r="X305" s="79"/>
      <c r="Y305" s="79"/>
      <c r="Z305" s="79"/>
    </row>
    <row r="306" ht="21.0" customHeight="1">
      <c r="A306" s="79"/>
      <c r="B306" s="79"/>
      <c r="C306" s="104"/>
      <c r="D306" s="104"/>
      <c r="E306" s="104"/>
      <c r="F306" s="104"/>
      <c r="G306" s="104"/>
      <c r="H306" s="104"/>
      <c r="I306" s="104"/>
      <c r="J306" s="104"/>
      <c r="K306" s="104"/>
      <c r="L306" s="102"/>
      <c r="M306" s="102"/>
      <c r="N306" s="102"/>
      <c r="O306" s="102"/>
      <c r="P306" s="103"/>
      <c r="Q306" s="103"/>
      <c r="R306" s="103"/>
      <c r="S306" s="103"/>
      <c r="T306" s="79"/>
      <c r="U306" s="79"/>
      <c r="V306" s="79"/>
      <c r="W306" s="79"/>
      <c r="X306" s="79"/>
      <c r="Y306" s="79"/>
      <c r="Z306" s="79"/>
    </row>
    <row r="307" ht="21.0" customHeight="1">
      <c r="A307" s="79"/>
      <c r="B307" s="79"/>
      <c r="C307" s="104"/>
      <c r="D307" s="104"/>
      <c r="E307" s="104"/>
      <c r="F307" s="104"/>
      <c r="G307" s="104"/>
      <c r="H307" s="104"/>
      <c r="I307" s="104"/>
      <c r="J307" s="104"/>
      <c r="K307" s="104"/>
      <c r="L307" s="102"/>
      <c r="M307" s="102"/>
      <c r="N307" s="102"/>
      <c r="O307" s="102"/>
      <c r="P307" s="103"/>
      <c r="Q307" s="103"/>
      <c r="R307" s="103"/>
      <c r="S307" s="103"/>
      <c r="T307" s="79"/>
      <c r="U307" s="79"/>
      <c r="V307" s="79"/>
      <c r="W307" s="79"/>
      <c r="X307" s="79"/>
      <c r="Y307" s="79"/>
      <c r="Z307" s="79"/>
    </row>
    <row r="308" ht="21.0" customHeight="1">
      <c r="A308" s="79"/>
      <c r="B308" s="79"/>
      <c r="C308" s="104"/>
      <c r="D308" s="104"/>
      <c r="E308" s="104"/>
      <c r="F308" s="104"/>
      <c r="G308" s="104"/>
      <c r="H308" s="104"/>
      <c r="I308" s="104"/>
      <c r="J308" s="104"/>
      <c r="K308" s="104"/>
      <c r="L308" s="102"/>
      <c r="M308" s="102"/>
      <c r="N308" s="102"/>
      <c r="O308" s="102"/>
      <c r="P308" s="103"/>
      <c r="Q308" s="103"/>
      <c r="R308" s="103"/>
      <c r="S308" s="103"/>
      <c r="T308" s="79"/>
      <c r="U308" s="79"/>
      <c r="V308" s="79"/>
      <c r="W308" s="79"/>
      <c r="X308" s="79"/>
      <c r="Y308" s="79"/>
      <c r="Z308" s="79"/>
    </row>
    <row r="309" ht="21.0" customHeight="1">
      <c r="A309" s="79"/>
      <c r="B309" s="79"/>
      <c r="C309" s="104"/>
      <c r="D309" s="104"/>
      <c r="E309" s="104"/>
      <c r="F309" s="104"/>
      <c r="G309" s="104"/>
      <c r="H309" s="104"/>
      <c r="I309" s="104"/>
      <c r="J309" s="104"/>
      <c r="K309" s="104"/>
      <c r="L309" s="102"/>
      <c r="M309" s="102"/>
      <c r="N309" s="102"/>
      <c r="O309" s="102"/>
      <c r="P309" s="103"/>
      <c r="Q309" s="103"/>
      <c r="R309" s="103"/>
      <c r="S309" s="103"/>
      <c r="T309" s="79"/>
      <c r="U309" s="79"/>
      <c r="V309" s="79"/>
      <c r="W309" s="79"/>
      <c r="X309" s="79"/>
      <c r="Y309" s="79"/>
      <c r="Z309" s="79"/>
    </row>
    <row r="310" ht="21.0" customHeight="1">
      <c r="A310" s="79"/>
      <c r="B310" s="79"/>
      <c r="C310" s="104"/>
      <c r="D310" s="104"/>
      <c r="E310" s="104"/>
      <c r="F310" s="104"/>
      <c r="G310" s="104"/>
      <c r="H310" s="104"/>
      <c r="I310" s="104"/>
      <c r="J310" s="104"/>
      <c r="K310" s="104"/>
      <c r="L310" s="102"/>
      <c r="M310" s="102"/>
      <c r="N310" s="102"/>
      <c r="O310" s="102"/>
      <c r="P310" s="103"/>
      <c r="Q310" s="103"/>
      <c r="R310" s="103"/>
      <c r="S310" s="103"/>
      <c r="T310" s="79"/>
      <c r="U310" s="79"/>
      <c r="V310" s="79"/>
      <c r="W310" s="79"/>
      <c r="X310" s="79"/>
      <c r="Y310" s="79"/>
      <c r="Z310" s="79"/>
    </row>
    <row r="311" ht="21.0" customHeight="1">
      <c r="A311" s="79"/>
      <c r="B311" s="79"/>
      <c r="C311" s="104"/>
      <c r="D311" s="104"/>
      <c r="E311" s="104"/>
      <c r="F311" s="104"/>
      <c r="G311" s="104"/>
      <c r="H311" s="104"/>
      <c r="I311" s="104"/>
      <c r="J311" s="104"/>
      <c r="K311" s="104"/>
      <c r="L311" s="102"/>
      <c r="M311" s="102"/>
      <c r="N311" s="102"/>
      <c r="O311" s="102"/>
      <c r="P311" s="103"/>
      <c r="Q311" s="103"/>
      <c r="R311" s="103"/>
      <c r="S311" s="103"/>
      <c r="T311" s="79"/>
      <c r="U311" s="79"/>
      <c r="V311" s="79"/>
      <c r="W311" s="79"/>
      <c r="X311" s="79"/>
      <c r="Y311" s="79"/>
      <c r="Z311" s="79"/>
    </row>
    <row r="312" ht="21.0" customHeight="1">
      <c r="A312" s="79"/>
      <c r="B312" s="79"/>
      <c r="C312" s="104"/>
      <c r="D312" s="104"/>
      <c r="E312" s="104"/>
      <c r="F312" s="104"/>
      <c r="G312" s="104"/>
      <c r="H312" s="104"/>
      <c r="I312" s="104"/>
      <c r="J312" s="104"/>
      <c r="K312" s="104"/>
      <c r="L312" s="102"/>
      <c r="M312" s="102"/>
      <c r="N312" s="102"/>
      <c r="O312" s="102"/>
      <c r="P312" s="103"/>
      <c r="Q312" s="103"/>
      <c r="R312" s="103"/>
      <c r="S312" s="103"/>
      <c r="T312" s="79"/>
      <c r="U312" s="79"/>
      <c r="V312" s="79"/>
      <c r="W312" s="79"/>
      <c r="X312" s="79"/>
      <c r="Y312" s="79"/>
      <c r="Z312" s="79"/>
    </row>
    <row r="313" ht="21.0" customHeight="1">
      <c r="A313" s="79"/>
      <c r="B313" s="79"/>
      <c r="C313" s="104"/>
      <c r="D313" s="104"/>
      <c r="E313" s="104"/>
      <c r="F313" s="104"/>
      <c r="G313" s="104"/>
      <c r="H313" s="104"/>
      <c r="I313" s="104"/>
      <c r="J313" s="104"/>
      <c r="K313" s="104"/>
      <c r="L313" s="102"/>
      <c r="M313" s="102"/>
      <c r="N313" s="102"/>
      <c r="O313" s="102"/>
      <c r="P313" s="103"/>
      <c r="Q313" s="103"/>
      <c r="R313" s="103"/>
      <c r="S313" s="103"/>
      <c r="T313" s="79"/>
      <c r="U313" s="79"/>
      <c r="V313" s="79"/>
      <c r="W313" s="79"/>
      <c r="X313" s="79"/>
      <c r="Y313" s="79"/>
      <c r="Z313" s="79"/>
    </row>
    <row r="314" ht="21.0" customHeight="1">
      <c r="A314" s="79"/>
      <c r="B314" s="79"/>
      <c r="C314" s="104"/>
      <c r="D314" s="104"/>
      <c r="E314" s="104"/>
      <c r="F314" s="104"/>
      <c r="G314" s="104"/>
      <c r="H314" s="104"/>
      <c r="I314" s="104"/>
      <c r="J314" s="104"/>
      <c r="K314" s="104"/>
      <c r="L314" s="102"/>
      <c r="M314" s="102"/>
      <c r="N314" s="102"/>
      <c r="O314" s="102"/>
      <c r="P314" s="103"/>
      <c r="Q314" s="103"/>
      <c r="R314" s="103"/>
      <c r="S314" s="103"/>
      <c r="T314" s="79"/>
      <c r="U314" s="79"/>
      <c r="V314" s="79"/>
      <c r="W314" s="79"/>
      <c r="X314" s="79"/>
      <c r="Y314" s="79"/>
      <c r="Z314" s="79"/>
    </row>
    <row r="315" ht="21.0" customHeight="1">
      <c r="A315" s="79"/>
      <c r="B315" s="79"/>
      <c r="C315" s="104"/>
      <c r="D315" s="104"/>
      <c r="E315" s="104"/>
      <c r="F315" s="104"/>
      <c r="G315" s="104"/>
      <c r="H315" s="104"/>
      <c r="I315" s="104"/>
      <c r="J315" s="104"/>
      <c r="K315" s="104"/>
      <c r="L315" s="102"/>
      <c r="M315" s="102"/>
      <c r="N315" s="102"/>
      <c r="O315" s="102"/>
      <c r="P315" s="103"/>
      <c r="Q315" s="103"/>
      <c r="R315" s="103"/>
      <c r="S315" s="103"/>
      <c r="T315" s="79"/>
      <c r="U315" s="79"/>
      <c r="V315" s="79"/>
      <c r="W315" s="79"/>
      <c r="X315" s="79"/>
      <c r="Y315" s="79"/>
      <c r="Z315" s="79"/>
    </row>
    <row r="316" ht="21.0" customHeight="1">
      <c r="A316" s="79"/>
      <c r="B316" s="79"/>
      <c r="C316" s="104"/>
      <c r="D316" s="104"/>
      <c r="E316" s="104"/>
      <c r="F316" s="104"/>
      <c r="G316" s="104"/>
      <c r="H316" s="104"/>
      <c r="I316" s="104"/>
      <c r="J316" s="104"/>
      <c r="K316" s="104"/>
      <c r="L316" s="102"/>
      <c r="M316" s="102"/>
      <c r="N316" s="102"/>
      <c r="O316" s="102"/>
      <c r="P316" s="103"/>
      <c r="Q316" s="103"/>
      <c r="R316" s="103"/>
      <c r="S316" s="103"/>
      <c r="T316" s="79"/>
      <c r="U316" s="79"/>
      <c r="V316" s="79"/>
      <c r="W316" s="79"/>
      <c r="X316" s="79"/>
      <c r="Y316" s="79"/>
      <c r="Z316" s="79"/>
    </row>
    <row r="317" ht="21.0" customHeight="1">
      <c r="A317" s="79"/>
      <c r="B317" s="79"/>
      <c r="C317" s="104"/>
      <c r="D317" s="104"/>
      <c r="E317" s="104"/>
      <c r="F317" s="104"/>
      <c r="G317" s="104"/>
      <c r="H317" s="104"/>
      <c r="I317" s="104"/>
      <c r="J317" s="104"/>
      <c r="K317" s="104"/>
      <c r="L317" s="102"/>
      <c r="M317" s="102"/>
      <c r="N317" s="102"/>
      <c r="O317" s="102"/>
      <c r="P317" s="103"/>
      <c r="Q317" s="103"/>
      <c r="R317" s="103"/>
      <c r="S317" s="103"/>
      <c r="T317" s="79"/>
      <c r="U317" s="79"/>
      <c r="V317" s="79"/>
      <c r="W317" s="79"/>
      <c r="X317" s="79"/>
      <c r="Y317" s="79"/>
      <c r="Z317" s="79"/>
    </row>
    <row r="318" ht="21.0" customHeight="1">
      <c r="A318" s="79"/>
      <c r="B318" s="79"/>
      <c r="C318" s="104"/>
      <c r="D318" s="104"/>
      <c r="E318" s="104"/>
      <c r="F318" s="104"/>
      <c r="G318" s="104"/>
      <c r="H318" s="104"/>
      <c r="I318" s="104"/>
      <c r="J318" s="104"/>
      <c r="K318" s="104"/>
      <c r="L318" s="102"/>
      <c r="M318" s="102"/>
      <c r="N318" s="102"/>
      <c r="O318" s="102"/>
      <c r="P318" s="103"/>
      <c r="Q318" s="103"/>
      <c r="R318" s="103"/>
      <c r="S318" s="103"/>
      <c r="T318" s="79"/>
      <c r="U318" s="79"/>
      <c r="V318" s="79"/>
      <c r="W318" s="79"/>
      <c r="X318" s="79"/>
      <c r="Y318" s="79"/>
      <c r="Z318" s="79"/>
    </row>
    <row r="319" ht="21.0" customHeight="1">
      <c r="A319" s="79"/>
      <c r="B319" s="79"/>
      <c r="C319" s="104"/>
      <c r="D319" s="104"/>
      <c r="E319" s="104"/>
      <c r="F319" s="104"/>
      <c r="G319" s="104"/>
      <c r="H319" s="104"/>
      <c r="I319" s="104"/>
      <c r="J319" s="104"/>
      <c r="K319" s="104"/>
      <c r="L319" s="102"/>
      <c r="M319" s="102"/>
      <c r="N319" s="102"/>
      <c r="O319" s="102"/>
      <c r="P319" s="103"/>
      <c r="Q319" s="103"/>
      <c r="R319" s="103"/>
      <c r="S319" s="103"/>
      <c r="T319" s="79"/>
      <c r="U319" s="79"/>
      <c r="V319" s="79"/>
      <c r="W319" s="79"/>
      <c r="X319" s="79"/>
      <c r="Y319" s="79"/>
      <c r="Z319" s="79"/>
    </row>
    <row r="320" ht="21.0" customHeight="1">
      <c r="A320" s="79"/>
      <c r="B320" s="79"/>
      <c r="C320" s="104"/>
      <c r="D320" s="104"/>
      <c r="E320" s="104"/>
      <c r="F320" s="104"/>
      <c r="G320" s="104"/>
      <c r="H320" s="104"/>
      <c r="I320" s="104"/>
      <c r="J320" s="104"/>
      <c r="K320" s="104"/>
      <c r="L320" s="102"/>
      <c r="M320" s="102"/>
      <c r="N320" s="102"/>
      <c r="O320" s="102"/>
      <c r="P320" s="103"/>
      <c r="Q320" s="103"/>
      <c r="R320" s="103"/>
      <c r="S320" s="103"/>
      <c r="T320" s="79"/>
      <c r="U320" s="79"/>
      <c r="V320" s="79"/>
      <c r="W320" s="79"/>
      <c r="X320" s="79"/>
      <c r="Y320" s="79"/>
      <c r="Z320" s="79"/>
    </row>
    <row r="321" ht="21.0" customHeight="1">
      <c r="A321" s="79"/>
      <c r="B321" s="79"/>
      <c r="C321" s="104"/>
      <c r="D321" s="104"/>
      <c r="E321" s="104"/>
      <c r="F321" s="104"/>
      <c r="G321" s="104"/>
      <c r="H321" s="104"/>
      <c r="I321" s="104"/>
      <c r="J321" s="104"/>
      <c r="K321" s="104"/>
      <c r="L321" s="102"/>
      <c r="M321" s="102"/>
      <c r="N321" s="102"/>
      <c r="O321" s="102"/>
      <c r="P321" s="103"/>
      <c r="Q321" s="103"/>
      <c r="R321" s="103"/>
      <c r="S321" s="103"/>
      <c r="T321" s="79"/>
      <c r="U321" s="79"/>
      <c r="V321" s="79"/>
      <c r="W321" s="79"/>
      <c r="X321" s="79"/>
      <c r="Y321" s="79"/>
      <c r="Z321" s="79"/>
    </row>
    <row r="322" ht="21.0" customHeight="1">
      <c r="A322" s="79"/>
      <c r="B322" s="79"/>
      <c r="C322" s="104"/>
      <c r="D322" s="104"/>
      <c r="E322" s="104"/>
      <c r="F322" s="104"/>
      <c r="G322" s="104"/>
      <c r="H322" s="104"/>
      <c r="I322" s="104"/>
      <c r="J322" s="104"/>
      <c r="K322" s="104"/>
      <c r="L322" s="102"/>
      <c r="M322" s="102"/>
      <c r="N322" s="102"/>
      <c r="O322" s="102"/>
      <c r="P322" s="103"/>
      <c r="Q322" s="103"/>
      <c r="R322" s="103"/>
      <c r="S322" s="103"/>
      <c r="T322" s="79"/>
      <c r="U322" s="79"/>
      <c r="V322" s="79"/>
      <c r="W322" s="79"/>
      <c r="X322" s="79"/>
      <c r="Y322" s="79"/>
      <c r="Z322" s="79"/>
    </row>
    <row r="323" ht="21.0" customHeight="1">
      <c r="A323" s="79"/>
      <c r="B323" s="79"/>
      <c r="C323" s="104"/>
      <c r="D323" s="104"/>
      <c r="E323" s="104"/>
      <c r="F323" s="104"/>
      <c r="G323" s="104"/>
      <c r="H323" s="104"/>
      <c r="I323" s="104"/>
      <c r="J323" s="104"/>
      <c r="K323" s="104"/>
      <c r="L323" s="102"/>
      <c r="M323" s="102"/>
      <c r="N323" s="102"/>
      <c r="O323" s="102"/>
      <c r="P323" s="103"/>
      <c r="Q323" s="103"/>
      <c r="R323" s="103"/>
      <c r="S323" s="103"/>
      <c r="T323" s="79"/>
      <c r="U323" s="79"/>
      <c r="V323" s="79"/>
      <c r="W323" s="79"/>
      <c r="X323" s="79"/>
      <c r="Y323" s="79"/>
      <c r="Z323" s="79"/>
    </row>
    <row r="324" ht="21.0" customHeight="1">
      <c r="A324" s="79"/>
      <c r="B324" s="79"/>
      <c r="C324" s="104"/>
      <c r="D324" s="104"/>
      <c r="E324" s="104"/>
      <c r="F324" s="104"/>
      <c r="G324" s="104"/>
      <c r="H324" s="104"/>
      <c r="I324" s="104"/>
      <c r="J324" s="104"/>
      <c r="K324" s="104"/>
      <c r="L324" s="102"/>
      <c r="M324" s="102"/>
      <c r="N324" s="102"/>
      <c r="O324" s="102"/>
      <c r="P324" s="103"/>
      <c r="Q324" s="103"/>
      <c r="R324" s="103"/>
      <c r="S324" s="103"/>
      <c r="T324" s="79"/>
      <c r="U324" s="79"/>
      <c r="V324" s="79"/>
      <c r="W324" s="79"/>
      <c r="X324" s="79"/>
      <c r="Y324" s="79"/>
      <c r="Z324" s="79"/>
    </row>
    <row r="325" ht="21.0" customHeight="1">
      <c r="A325" s="79"/>
      <c r="B325" s="79"/>
      <c r="C325" s="104"/>
      <c r="D325" s="104"/>
      <c r="E325" s="104"/>
      <c r="F325" s="104"/>
      <c r="G325" s="104"/>
      <c r="H325" s="104"/>
      <c r="I325" s="104"/>
      <c r="J325" s="104"/>
      <c r="K325" s="104"/>
      <c r="L325" s="102"/>
      <c r="M325" s="102"/>
      <c r="N325" s="102"/>
      <c r="O325" s="102"/>
      <c r="P325" s="103"/>
      <c r="Q325" s="103"/>
      <c r="R325" s="103"/>
      <c r="S325" s="103"/>
      <c r="T325" s="79"/>
      <c r="U325" s="79"/>
      <c r="V325" s="79"/>
      <c r="W325" s="79"/>
      <c r="X325" s="79"/>
      <c r="Y325" s="79"/>
      <c r="Z325" s="79"/>
    </row>
    <row r="326" ht="21.0" customHeight="1">
      <c r="A326" s="79"/>
      <c r="B326" s="79"/>
      <c r="C326" s="104"/>
      <c r="D326" s="104"/>
      <c r="E326" s="104"/>
      <c r="F326" s="104"/>
      <c r="G326" s="104"/>
      <c r="H326" s="104"/>
      <c r="I326" s="104"/>
      <c r="J326" s="104"/>
      <c r="K326" s="104"/>
      <c r="L326" s="102"/>
      <c r="M326" s="102"/>
      <c r="N326" s="102"/>
      <c r="O326" s="102"/>
      <c r="P326" s="103"/>
      <c r="Q326" s="103"/>
      <c r="R326" s="103"/>
      <c r="S326" s="103"/>
      <c r="T326" s="79"/>
      <c r="U326" s="79"/>
      <c r="V326" s="79"/>
      <c r="W326" s="79"/>
      <c r="X326" s="79"/>
      <c r="Y326" s="79"/>
      <c r="Z326" s="79"/>
    </row>
    <row r="327" ht="21.0" customHeight="1">
      <c r="A327" s="79"/>
      <c r="B327" s="79"/>
      <c r="C327" s="104"/>
      <c r="D327" s="104"/>
      <c r="E327" s="104"/>
      <c r="F327" s="104"/>
      <c r="G327" s="104"/>
      <c r="H327" s="104"/>
      <c r="I327" s="104"/>
      <c r="J327" s="104"/>
      <c r="K327" s="104"/>
      <c r="L327" s="102"/>
      <c r="M327" s="102"/>
      <c r="N327" s="102"/>
      <c r="O327" s="102"/>
      <c r="P327" s="103"/>
      <c r="Q327" s="103"/>
      <c r="R327" s="103"/>
      <c r="S327" s="103"/>
      <c r="T327" s="79"/>
      <c r="U327" s="79"/>
      <c r="V327" s="79"/>
      <c r="W327" s="79"/>
      <c r="X327" s="79"/>
      <c r="Y327" s="79"/>
      <c r="Z327" s="79"/>
    </row>
    <row r="328" ht="21.0" customHeight="1">
      <c r="A328" s="79"/>
      <c r="B328" s="79"/>
      <c r="C328" s="104"/>
      <c r="D328" s="104"/>
      <c r="E328" s="104"/>
      <c r="F328" s="104"/>
      <c r="G328" s="104"/>
      <c r="H328" s="104"/>
      <c r="I328" s="104"/>
      <c r="J328" s="104"/>
      <c r="K328" s="104"/>
      <c r="L328" s="102"/>
      <c r="M328" s="102"/>
      <c r="N328" s="102"/>
      <c r="O328" s="102"/>
      <c r="P328" s="103"/>
      <c r="Q328" s="103"/>
      <c r="R328" s="103"/>
      <c r="S328" s="103"/>
      <c r="T328" s="79"/>
      <c r="U328" s="79"/>
      <c r="V328" s="79"/>
      <c r="W328" s="79"/>
      <c r="X328" s="79"/>
      <c r="Y328" s="79"/>
      <c r="Z328" s="79"/>
    </row>
    <row r="329" ht="21.0" customHeight="1">
      <c r="A329" s="79"/>
      <c r="B329" s="79"/>
      <c r="C329" s="104"/>
      <c r="D329" s="104"/>
      <c r="E329" s="104"/>
      <c r="F329" s="104"/>
      <c r="G329" s="104"/>
      <c r="H329" s="104"/>
      <c r="I329" s="104"/>
      <c r="J329" s="104"/>
      <c r="K329" s="104"/>
      <c r="L329" s="102"/>
      <c r="M329" s="102"/>
      <c r="N329" s="102"/>
      <c r="O329" s="102"/>
      <c r="P329" s="103"/>
      <c r="Q329" s="103"/>
      <c r="R329" s="103"/>
      <c r="S329" s="103"/>
      <c r="T329" s="79"/>
      <c r="U329" s="79"/>
      <c r="V329" s="79"/>
      <c r="W329" s="79"/>
      <c r="X329" s="79"/>
      <c r="Y329" s="79"/>
      <c r="Z329" s="79"/>
    </row>
    <row r="330" ht="21.0" customHeight="1">
      <c r="A330" s="79"/>
      <c r="B330" s="79"/>
      <c r="C330" s="104"/>
      <c r="D330" s="104"/>
      <c r="E330" s="104"/>
      <c r="F330" s="104"/>
      <c r="G330" s="104"/>
      <c r="H330" s="104"/>
      <c r="I330" s="104"/>
      <c r="J330" s="104"/>
      <c r="K330" s="104"/>
      <c r="L330" s="102"/>
      <c r="M330" s="102"/>
      <c r="N330" s="102"/>
      <c r="O330" s="102"/>
      <c r="P330" s="103"/>
      <c r="Q330" s="103"/>
      <c r="R330" s="103"/>
      <c r="S330" s="103"/>
      <c r="T330" s="79"/>
      <c r="U330" s="79"/>
      <c r="V330" s="79"/>
      <c r="W330" s="79"/>
      <c r="X330" s="79"/>
      <c r="Y330" s="79"/>
      <c r="Z330" s="79"/>
    </row>
    <row r="331" ht="21.0" customHeight="1">
      <c r="A331" s="79"/>
      <c r="B331" s="79"/>
      <c r="C331" s="104"/>
      <c r="D331" s="104"/>
      <c r="E331" s="104"/>
      <c r="F331" s="104"/>
      <c r="G331" s="104"/>
      <c r="H331" s="104"/>
      <c r="I331" s="104"/>
      <c r="J331" s="104"/>
      <c r="K331" s="104"/>
      <c r="L331" s="102"/>
      <c r="M331" s="102"/>
      <c r="N331" s="102"/>
      <c r="O331" s="102"/>
      <c r="P331" s="103"/>
      <c r="Q331" s="103"/>
      <c r="R331" s="103"/>
      <c r="S331" s="103"/>
      <c r="T331" s="79"/>
      <c r="U331" s="79"/>
      <c r="V331" s="79"/>
      <c r="W331" s="79"/>
      <c r="X331" s="79"/>
      <c r="Y331" s="79"/>
      <c r="Z331" s="79"/>
    </row>
    <row r="332" ht="21.0" customHeight="1">
      <c r="A332" s="79"/>
      <c r="B332" s="79"/>
      <c r="C332" s="104"/>
      <c r="D332" s="104"/>
      <c r="E332" s="104"/>
      <c r="F332" s="104"/>
      <c r="G332" s="104"/>
      <c r="H332" s="104"/>
      <c r="I332" s="104"/>
      <c r="J332" s="104"/>
      <c r="K332" s="104"/>
      <c r="L332" s="102"/>
      <c r="M332" s="102"/>
      <c r="N332" s="102"/>
      <c r="O332" s="102"/>
      <c r="P332" s="103"/>
      <c r="Q332" s="103"/>
      <c r="R332" s="103"/>
      <c r="S332" s="103"/>
      <c r="T332" s="79"/>
      <c r="U332" s="79"/>
      <c r="V332" s="79"/>
      <c r="W332" s="79"/>
      <c r="X332" s="79"/>
      <c r="Y332" s="79"/>
      <c r="Z332" s="79"/>
    </row>
    <row r="333" ht="21.0" customHeight="1">
      <c r="A333" s="79"/>
      <c r="B333" s="79"/>
      <c r="C333" s="104"/>
      <c r="D333" s="104"/>
      <c r="E333" s="104"/>
      <c r="F333" s="104"/>
      <c r="G333" s="104"/>
      <c r="H333" s="104"/>
      <c r="I333" s="104"/>
      <c r="J333" s="104"/>
      <c r="K333" s="104"/>
      <c r="L333" s="102"/>
      <c r="M333" s="102"/>
      <c r="N333" s="102"/>
      <c r="O333" s="102"/>
      <c r="P333" s="103"/>
      <c r="Q333" s="103"/>
      <c r="R333" s="103"/>
      <c r="S333" s="103"/>
      <c r="T333" s="79"/>
      <c r="U333" s="79"/>
      <c r="V333" s="79"/>
      <c r="W333" s="79"/>
      <c r="X333" s="79"/>
      <c r="Y333" s="79"/>
      <c r="Z333" s="79"/>
    </row>
    <row r="334" ht="21.0" customHeight="1">
      <c r="A334" s="79"/>
      <c r="B334" s="79"/>
      <c r="C334" s="104"/>
      <c r="D334" s="104"/>
      <c r="E334" s="104"/>
      <c r="F334" s="104"/>
      <c r="G334" s="104"/>
      <c r="H334" s="104"/>
      <c r="I334" s="104"/>
      <c r="J334" s="104"/>
      <c r="K334" s="104"/>
      <c r="L334" s="102"/>
      <c r="M334" s="102"/>
      <c r="N334" s="102"/>
      <c r="O334" s="102"/>
      <c r="P334" s="103"/>
      <c r="Q334" s="103"/>
      <c r="R334" s="103"/>
      <c r="S334" s="103"/>
      <c r="T334" s="79"/>
      <c r="U334" s="79"/>
      <c r="V334" s="79"/>
      <c r="W334" s="79"/>
      <c r="X334" s="79"/>
      <c r="Y334" s="79"/>
      <c r="Z334" s="79"/>
    </row>
    <row r="335" ht="21.0" customHeight="1">
      <c r="A335" s="79"/>
      <c r="B335" s="79"/>
      <c r="C335" s="104"/>
      <c r="D335" s="104"/>
      <c r="E335" s="104"/>
      <c r="F335" s="104"/>
      <c r="G335" s="104"/>
      <c r="H335" s="104"/>
      <c r="I335" s="104"/>
      <c r="J335" s="104"/>
      <c r="K335" s="104"/>
      <c r="L335" s="102"/>
      <c r="M335" s="102"/>
      <c r="N335" s="102"/>
      <c r="O335" s="102"/>
      <c r="P335" s="103"/>
      <c r="Q335" s="103"/>
      <c r="R335" s="103"/>
      <c r="S335" s="103"/>
      <c r="T335" s="79"/>
      <c r="U335" s="79"/>
      <c r="V335" s="79"/>
      <c r="W335" s="79"/>
      <c r="X335" s="79"/>
      <c r="Y335" s="79"/>
      <c r="Z335" s="79"/>
    </row>
    <row r="336" ht="21.0" customHeight="1">
      <c r="A336" s="79"/>
      <c r="B336" s="79"/>
      <c r="C336" s="104"/>
      <c r="D336" s="104"/>
      <c r="E336" s="104"/>
      <c r="F336" s="104"/>
      <c r="G336" s="104"/>
      <c r="H336" s="104"/>
      <c r="I336" s="104"/>
      <c r="J336" s="104"/>
      <c r="K336" s="104"/>
      <c r="L336" s="102"/>
      <c r="M336" s="102"/>
      <c r="N336" s="102"/>
      <c r="O336" s="102"/>
      <c r="P336" s="103"/>
      <c r="Q336" s="103"/>
      <c r="R336" s="103"/>
      <c r="S336" s="103"/>
      <c r="T336" s="79"/>
      <c r="U336" s="79"/>
      <c r="V336" s="79"/>
      <c r="W336" s="79"/>
      <c r="X336" s="79"/>
      <c r="Y336" s="79"/>
      <c r="Z336" s="79"/>
    </row>
    <row r="337" ht="21.0" customHeight="1">
      <c r="A337" s="79"/>
      <c r="B337" s="79"/>
      <c r="C337" s="104"/>
      <c r="D337" s="104"/>
      <c r="E337" s="104"/>
      <c r="F337" s="104"/>
      <c r="G337" s="104"/>
      <c r="H337" s="104"/>
      <c r="I337" s="104"/>
      <c r="J337" s="104"/>
      <c r="K337" s="104"/>
      <c r="L337" s="102"/>
      <c r="M337" s="102"/>
      <c r="N337" s="102"/>
      <c r="O337" s="102"/>
      <c r="P337" s="103"/>
      <c r="Q337" s="103"/>
      <c r="R337" s="103"/>
      <c r="S337" s="103"/>
      <c r="T337" s="79"/>
      <c r="U337" s="79"/>
      <c r="V337" s="79"/>
      <c r="W337" s="79"/>
      <c r="X337" s="79"/>
      <c r="Y337" s="79"/>
      <c r="Z337" s="79"/>
    </row>
    <row r="338" ht="21.0" customHeight="1">
      <c r="A338" s="79"/>
      <c r="B338" s="79"/>
      <c r="C338" s="104"/>
      <c r="D338" s="104"/>
      <c r="E338" s="104"/>
      <c r="F338" s="104"/>
      <c r="G338" s="104"/>
      <c r="H338" s="104"/>
      <c r="I338" s="104"/>
      <c r="J338" s="104"/>
      <c r="K338" s="104"/>
      <c r="L338" s="102"/>
      <c r="M338" s="102"/>
      <c r="N338" s="102"/>
      <c r="O338" s="102"/>
      <c r="P338" s="103"/>
      <c r="Q338" s="103"/>
      <c r="R338" s="103"/>
      <c r="S338" s="103"/>
      <c r="T338" s="79"/>
      <c r="U338" s="79"/>
      <c r="V338" s="79"/>
      <c r="W338" s="79"/>
      <c r="X338" s="79"/>
      <c r="Y338" s="79"/>
      <c r="Z338" s="79"/>
    </row>
    <row r="339" ht="21.0" customHeight="1">
      <c r="A339" s="79"/>
      <c r="B339" s="79"/>
      <c r="C339" s="104"/>
      <c r="D339" s="104"/>
      <c r="E339" s="104"/>
      <c r="F339" s="104"/>
      <c r="G339" s="104"/>
      <c r="H339" s="104"/>
      <c r="I339" s="104"/>
      <c r="J339" s="104"/>
      <c r="K339" s="104"/>
      <c r="L339" s="102"/>
      <c r="M339" s="102"/>
      <c r="N339" s="102"/>
      <c r="O339" s="102"/>
      <c r="P339" s="103"/>
      <c r="Q339" s="103"/>
      <c r="R339" s="103"/>
      <c r="S339" s="103"/>
      <c r="T339" s="79"/>
      <c r="U339" s="79"/>
      <c r="V339" s="79"/>
      <c r="W339" s="79"/>
      <c r="X339" s="79"/>
      <c r="Y339" s="79"/>
      <c r="Z339" s="79"/>
    </row>
    <row r="340" ht="21.0" customHeight="1">
      <c r="A340" s="79"/>
      <c r="B340" s="79"/>
      <c r="C340" s="104"/>
      <c r="D340" s="104"/>
      <c r="E340" s="104"/>
      <c r="F340" s="104"/>
      <c r="G340" s="104"/>
      <c r="H340" s="104"/>
      <c r="I340" s="104"/>
      <c r="J340" s="104"/>
      <c r="K340" s="104"/>
      <c r="L340" s="102"/>
      <c r="M340" s="102"/>
      <c r="N340" s="102"/>
      <c r="O340" s="102"/>
      <c r="P340" s="103"/>
      <c r="Q340" s="103"/>
      <c r="R340" s="103"/>
      <c r="S340" s="103"/>
      <c r="T340" s="79"/>
      <c r="U340" s="79"/>
      <c r="V340" s="79"/>
      <c r="W340" s="79"/>
      <c r="X340" s="79"/>
      <c r="Y340" s="79"/>
      <c r="Z340" s="79"/>
    </row>
    <row r="341" ht="21.0" customHeight="1">
      <c r="A341" s="79"/>
      <c r="B341" s="79"/>
      <c r="C341" s="104"/>
      <c r="D341" s="104"/>
      <c r="E341" s="104"/>
      <c r="F341" s="104"/>
      <c r="G341" s="104"/>
      <c r="H341" s="104"/>
      <c r="I341" s="104"/>
      <c r="J341" s="104"/>
      <c r="K341" s="104"/>
      <c r="L341" s="102"/>
      <c r="M341" s="102"/>
      <c r="N341" s="102"/>
      <c r="O341" s="102"/>
      <c r="P341" s="103"/>
      <c r="Q341" s="103"/>
      <c r="R341" s="103"/>
      <c r="S341" s="103"/>
      <c r="T341" s="79"/>
      <c r="U341" s="79"/>
      <c r="V341" s="79"/>
      <c r="W341" s="79"/>
      <c r="X341" s="79"/>
      <c r="Y341" s="79"/>
      <c r="Z341" s="79"/>
    </row>
    <row r="342" ht="21.0" customHeight="1">
      <c r="A342" s="79"/>
      <c r="B342" s="79"/>
      <c r="C342" s="104"/>
      <c r="D342" s="104"/>
      <c r="E342" s="104"/>
      <c r="F342" s="104"/>
      <c r="G342" s="104"/>
      <c r="H342" s="104"/>
      <c r="I342" s="104"/>
      <c r="J342" s="104"/>
      <c r="K342" s="104"/>
      <c r="L342" s="102"/>
      <c r="M342" s="102"/>
      <c r="N342" s="102"/>
      <c r="O342" s="102"/>
      <c r="P342" s="103"/>
      <c r="Q342" s="103"/>
      <c r="R342" s="103"/>
      <c r="S342" s="103"/>
      <c r="T342" s="79"/>
      <c r="U342" s="79"/>
      <c r="V342" s="79"/>
      <c r="W342" s="79"/>
      <c r="X342" s="79"/>
      <c r="Y342" s="79"/>
      <c r="Z342" s="79"/>
    </row>
    <row r="343" ht="21.0" customHeight="1">
      <c r="A343" s="79"/>
      <c r="B343" s="79"/>
      <c r="C343" s="104"/>
      <c r="D343" s="104"/>
      <c r="E343" s="104"/>
      <c r="F343" s="104"/>
      <c r="G343" s="104"/>
      <c r="H343" s="104"/>
      <c r="I343" s="104"/>
      <c r="J343" s="104"/>
      <c r="K343" s="104"/>
      <c r="L343" s="102"/>
      <c r="M343" s="102"/>
      <c r="N343" s="102"/>
      <c r="O343" s="102"/>
      <c r="P343" s="103"/>
      <c r="Q343" s="103"/>
      <c r="R343" s="103"/>
      <c r="S343" s="103"/>
      <c r="T343" s="79"/>
      <c r="U343" s="79"/>
      <c r="V343" s="79"/>
      <c r="W343" s="79"/>
      <c r="X343" s="79"/>
      <c r="Y343" s="79"/>
      <c r="Z343" s="79"/>
    </row>
    <row r="344" ht="21.0" customHeight="1">
      <c r="A344" s="79"/>
      <c r="B344" s="79"/>
      <c r="C344" s="104"/>
      <c r="D344" s="104"/>
      <c r="E344" s="104"/>
      <c r="F344" s="104"/>
      <c r="G344" s="104"/>
      <c r="H344" s="104"/>
      <c r="I344" s="104"/>
      <c r="J344" s="104"/>
      <c r="K344" s="104"/>
      <c r="L344" s="102"/>
      <c r="M344" s="102"/>
      <c r="N344" s="102"/>
      <c r="O344" s="102"/>
      <c r="P344" s="103"/>
      <c r="Q344" s="103"/>
      <c r="R344" s="103"/>
      <c r="S344" s="103"/>
      <c r="T344" s="79"/>
      <c r="U344" s="79"/>
      <c r="V344" s="79"/>
      <c r="W344" s="79"/>
      <c r="X344" s="79"/>
      <c r="Y344" s="79"/>
      <c r="Z344" s="79"/>
    </row>
    <row r="345" ht="21.0" customHeight="1">
      <c r="A345" s="79"/>
      <c r="B345" s="79"/>
      <c r="C345" s="104"/>
      <c r="D345" s="104"/>
      <c r="E345" s="104"/>
      <c r="F345" s="104"/>
      <c r="G345" s="104"/>
      <c r="H345" s="104"/>
      <c r="I345" s="104"/>
      <c r="J345" s="104"/>
      <c r="K345" s="104"/>
      <c r="L345" s="102"/>
      <c r="M345" s="102"/>
      <c r="N345" s="102"/>
      <c r="O345" s="102"/>
      <c r="P345" s="103"/>
      <c r="Q345" s="103"/>
      <c r="R345" s="103"/>
      <c r="S345" s="103"/>
      <c r="T345" s="79"/>
      <c r="U345" s="79"/>
      <c r="V345" s="79"/>
      <c r="W345" s="79"/>
      <c r="X345" s="79"/>
      <c r="Y345" s="79"/>
      <c r="Z345" s="79"/>
    </row>
    <row r="346" ht="21.0" customHeight="1">
      <c r="A346" s="79"/>
      <c r="B346" s="79"/>
      <c r="C346" s="104"/>
      <c r="D346" s="104"/>
      <c r="E346" s="104"/>
      <c r="F346" s="104"/>
      <c r="G346" s="104"/>
      <c r="H346" s="104"/>
      <c r="I346" s="104"/>
      <c r="J346" s="104"/>
      <c r="K346" s="104"/>
      <c r="L346" s="102"/>
      <c r="M346" s="102"/>
      <c r="N346" s="102"/>
      <c r="O346" s="102"/>
      <c r="P346" s="103"/>
      <c r="Q346" s="103"/>
      <c r="R346" s="103"/>
      <c r="S346" s="103"/>
      <c r="T346" s="79"/>
      <c r="U346" s="79"/>
      <c r="V346" s="79"/>
      <c r="W346" s="79"/>
      <c r="X346" s="79"/>
      <c r="Y346" s="79"/>
      <c r="Z346" s="79"/>
    </row>
    <row r="347" ht="21.0" customHeight="1">
      <c r="A347" s="79"/>
      <c r="B347" s="79"/>
      <c r="C347" s="104"/>
      <c r="D347" s="104"/>
      <c r="E347" s="104"/>
      <c r="F347" s="104"/>
      <c r="G347" s="104"/>
      <c r="H347" s="104"/>
      <c r="I347" s="104"/>
      <c r="J347" s="104"/>
      <c r="K347" s="104"/>
      <c r="L347" s="102"/>
      <c r="M347" s="102"/>
      <c r="N347" s="102"/>
      <c r="O347" s="102"/>
      <c r="P347" s="103"/>
      <c r="Q347" s="103"/>
      <c r="R347" s="103"/>
      <c r="S347" s="103"/>
      <c r="T347" s="79"/>
      <c r="U347" s="79"/>
      <c r="V347" s="79"/>
      <c r="W347" s="79"/>
      <c r="X347" s="79"/>
      <c r="Y347" s="79"/>
      <c r="Z347" s="79"/>
    </row>
    <row r="348" ht="21.0" customHeight="1">
      <c r="A348" s="79"/>
      <c r="B348" s="79"/>
      <c r="C348" s="104"/>
      <c r="D348" s="104"/>
      <c r="E348" s="104"/>
      <c r="F348" s="104"/>
      <c r="G348" s="104"/>
      <c r="H348" s="104"/>
      <c r="I348" s="104"/>
      <c r="J348" s="104"/>
      <c r="K348" s="104"/>
      <c r="L348" s="102"/>
      <c r="M348" s="102"/>
      <c r="N348" s="102"/>
      <c r="O348" s="102"/>
      <c r="P348" s="103"/>
      <c r="Q348" s="103"/>
      <c r="R348" s="103"/>
      <c r="S348" s="103"/>
      <c r="T348" s="79"/>
      <c r="U348" s="79"/>
      <c r="V348" s="79"/>
      <c r="W348" s="79"/>
      <c r="X348" s="79"/>
      <c r="Y348" s="79"/>
      <c r="Z348" s="79"/>
    </row>
    <row r="349" ht="21.0" customHeight="1">
      <c r="A349" s="79"/>
      <c r="B349" s="79"/>
      <c r="C349" s="104"/>
      <c r="D349" s="104"/>
      <c r="E349" s="104"/>
      <c r="F349" s="104"/>
      <c r="G349" s="104"/>
      <c r="H349" s="104"/>
      <c r="I349" s="104"/>
      <c r="J349" s="104"/>
      <c r="K349" s="104"/>
      <c r="L349" s="102"/>
      <c r="M349" s="102"/>
      <c r="N349" s="102"/>
      <c r="O349" s="102"/>
      <c r="P349" s="103"/>
      <c r="Q349" s="103"/>
      <c r="R349" s="103"/>
      <c r="S349" s="103"/>
      <c r="T349" s="79"/>
      <c r="U349" s="79"/>
      <c r="V349" s="79"/>
      <c r="W349" s="79"/>
      <c r="X349" s="79"/>
      <c r="Y349" s="79"/>
      <c r="Z349" s="79"/>
    </row>
    <row r="350" ht="21.0" customHeight="1">
      <c r="A350" s="79"/>
      <c r="B350" s="79"/>
      <c r="C350" s="104"/>
      <c r="D350" s="104"/>
      <c r="E350" s="104"/>
      <c r="F350" s="104"/>
      <c r="G350" s="104"/>
      <c r="H350" s="104"/>
      <c r="I350" s="104"/>
      <c r="J350" s="104"/>
      <c r="K350" s="104"/>
      <c r="L350" s="102"/>
      <c r="M350" s="102"/>
      <c r="N350" s="102"/>
      <c r="O350" s="102"/>
      <c r="P350" s="103"/>
      <c r="Q350" s="103"/>
      <c r="R350" s="103"/>
      <c r="S350" s="103"/>
      <c r="T350" s="79"/>
      <c r="U350" s="79"/>
      <c r="V350" s="79"/>
      <c r="W350" s="79"/>
      <c r="X350" s="79"/>
      <c r="Y350" s="79"/>
      <c r="Z350" s="79"/>
    </row>
    <row r="351" ht="21.0" customHeight="1">
      <c r="A351" s="79"/>
      <c r="B351" s="79"/>
      <c r="C351" s="104"/>
      <c r="D351" s="104"/>
      <c r="E351" s="104"/>
      <c r="F351" s="104"/>
      <c r="G351" s="104"/>
      <c r="H351" s="104"/>
      <c r="I351" s="104"/>
      <c r="J351" s="104"/>
      <c r="K351" s="104"/>
      <c r="L351" s="102"/>
      <c r="M351" s="102"/>
      <c r="N351" s="102"/>
      <c r="O351" s="102"/>
      <c r="P351" s="103"/>
      <c r="Q351" s="103"/>
      <c r="R351" s="103"/>
      <c r="S351" s="103"/>
      <c r="T351" s="79"/>
      <c r="U351" s="79"/>
      <c r="V351" s="79"/>
      <c r="W351" s="79"/>
      <c r="X351" s="79"/>
      <c r="Y351" s="79"/>
      <c r="Z351" s="79"/>
    </row>
    <row r="352" ht="21.0" customHeight="1">
      <c r="A352" s="79"/>
      <c r="B352" s="79"/>
      <c r="C352" s="104"/>
      <c r="D352" s="104"/>
      <c r="E352" s="104"/>
      <c r="F352" s="104"/>
      <c r="G352" s="104"/>
      <c r="H352" s="104"/>
      <c r="I352" s="104"/>
      <c r="J352" s="104"/>
      <c r="K352" s="104"/>
      <c r="L352" s="102"/>
      <c r="M352" s="102"/>
      <c r="N352" s="102"/>
      <c r="O352" s="102"/>
      <c r="P352" s="103"/>
      <c r="Q352" s="103"/>
      <c r="R352" s="103"/>
      <c r="S352" s="103"/>
      <c r="T352" s="79"/>
      <c r="U352" s="79"/>
      <c r="V352" s="79"/>
      <c r="W352" s="79"/>
      <c r="X352" s="79"/>
      <c r="Y352" s="79"/>
      <c r="Z352" s="79"/>
    </row>
    <row r="353" ht="21.0" customHeight="1">
      <c r="A353" s="79"/>
      <c r="B353" s="79"/>
      <c r="C353" s="104"/>
      <c r="D353" s="104"/>
      <c r="E353" s="104"/>
      <c r="F353" s="104"/>
      <c r="G353" s="104"/>
      <c r="H353" s="104"/>
      <c r="I353" s="104"/>
      <c r="J353" s="104"/>
      <c r="K353" s="104"/>
      <c r="L353" s="102"/>
      <c r="M353" s="102"/>
      <c r="N353" s="102"/>
      <c r="O353" s="102"/>
      <c r="P353" s="103"/>
      <c r="Q353" s="103"/>
      <c r="R353" s="103"/>
      <c r="S353" s="103"/>
      <c r="T353" s="79"/>
      <c r="U353" s="79"/>
      <c r="V353" s="79"/>
      <c r="W353" s="79"/>
      <c r="X353" s="79"/>
      <c r="Y353" s="79"/>
      <c r="Z353" s="79"/>
    </row>
    <row r="354" ht="21.0" customHeight="1">
      <c r="A354" s="79"/>
      <c r="B354" s="79"/>
      <c r="C354" s="104"/>
      <c r="D354" s="104"/>
      <c r="E354" s="104"/>
      <c r="F354" s="104"/>
      <c r="G354" s="104"/>
      <c r="H354" s="104"/>
      <c r="I354" s="104"/>
      <c r="J354" s="104"/>
      <c r="K354" s="104"/>
      <c r="L354" s="102"/>
      <c r="M354" s="102"/>
      <c r="N354" s="102"/>
      <c r="O354" s="102"/>
      <c r="P354" s="103"/>
      <c r="Q354" s="103"/>
      <c r="R354" s="103"/>
      <c r="S354" s="103"/>
      <c r="T354" s="79"/>
      <c r="U354" s="79"/>
      <c r="V354" s="79"/>
      <c r="W354" s="79"/>
      <c r="X354" s="79"/>
      <c r="Y354" s="79"/>
      <c r="Z354" s="79"/>
    </row>
    <row r="355" ht="21.0" customHeight="1">
      <c r="A355" s="79"/>
      <c r="B355" s="79"/>
      <c r="C355" s="104"/>
      <c r="D355" s="104"/>
      <c r="E355" s="104"/>
      <c r="F355" s="104"/>
      <c r="G355" s="104"/>
      <c r="H355" s="104"/>
      <c r="I355" s="104"/>
      <c r="J355" s="104"/>
      <c r="K355" s="104"/>
      <c r="L355" s="102"/>
      <c r="M355" s="102"/>
      <c r="N355" s="102"/>
      <c r="O355" s="102"/>
      <c r="P355" s="103"/>
      <c r="Q355" s="103"/>
      <c r="R355" s="103"/>
      <c r="S355" s="103"/>
      <c r="T355" s="79"/>
      <c r="U355" s="79"/>
      <c r="V355" s="79"/>
      <c r="W355" s="79"/>
      <c r="X355" s="79"/>
      <c r="Y355" s="79"/>
      <c r="Z355" s="79"/>
    </row>
    <row r="356" ht="21.0" customHeight="1">
      <c r="A356" s="79"/>
      <c r="B356" s="79"/>
      <c r="C356" s="104"/>
      <c r="D356" s="104"/>
      <c r="E356" s="104"/>
      <c r="F356" s="104"/>
      <c r="G356" s="104"/>
      <c r="H356" s="104"/>
      <c r="I356" s="104"/>
      <c r="J356" s="104"/>
      <c r="K356" s="104"/>
      <c r="L356" s="102"/>
      <c r="M356" s="102"/>
      <c r="N356" s="102"/>
      <c r="O356" s="102"/>
      <c r="P356" s="103"/>
      <c r="Q356" s="103"/>
      <c r="R356" s="103"/>
      <c r="S356" s="103"/>
      <c r="T356" s="79"/>
      <c r="U356" s="79"/>
      <c r="V356" s="79"/>
      <c r="W356" s="79"/>
      <c r="X356" s="79"/>
      <c r="Y356" s="79"/>
      <c r="Z356" s="79"/>
    </row>
    <row r="357" ht="21.0" customHeight="1">
      <c r="A357" s="79"/>
      <c r="B357" s="79"/>
      <c r="C357" s="104"/>
      <c r="D357" s="104"/>
      <c r="E357" s="104"/>
      <c r="F357" s="104"/>
      <c r="G357" s="104"/>
      <c r="H357" s="104"/>
      <c r="I357" s="104"/>
      <c r="J357" s="104"/>
      <c r="K357" s="104"/>
      <c r="L357" s="102"/>
      <c r="M357" s="102"/>
      <c r="N357" s="102"/>
      <c r="O357" s="102"/>
      <c r="P357" s="103"/>
      <c r="Q357" s="103"/>
      <c r="R357" s="103"/>
      <c r="S357" s="103"/>
      <c r="T357" s="79"/>
      <c r="U357" s="79"/>
      <c r="V357" s="79"/>
      <c r="W357" s="79"/>
      <c r="X357" s="79"/>
      <c r="Y357" s="79"/>
      <c r="Z357" s="79"/>
    </row>
    <row r="358" ht="21.0" customHeight="1">
      <c r="A358" s="79"/>
      <c r="B358" s="79"/>
      <c r="C358" s="104"/>
      <c r="D358" s="104"/>
      <c r="E358" s="104"/>
      <c r="F358" s="104"/>
      <c r="G358" s="104"/>
      <c r="H358" s="104"/>
      <c r="I358" s="104"/>
      <c r="J358" s="104"/>
      <c r="K358" s="104"/>
      <c r="L358" s="102"/>
      <c r="M358" s="102"/>
      <c r="N358" s="102"/>
      <c r="O358" s="102"/>
      <c r="P358" s="103"/>
      <c r="Q358" s="103"/>
      <c r="R358" s="103"/>
      <c r="S358" s="103"/>
      <c r="T358" s="79"/>
      <c r="U358" s="79"/>
      <c r="V358" s="79"/>
      <c r="W358" s="79"/>
      <c r="X358" s="79"/>
      <c r="Y358" s="79"/>
      <c r="Z358" s="79"/>
    </row>
    <row r="359" ht="21.0" customHeight="1">
      <c r="A359" s="79"/>
      <c r="B359" s="79"/>
      <c r="C359" s="104"/>
      <c r="D359" s="104"/>
      <c r="E359" s="104"/>
      <c r="F359" s="104"/>
      <c r="G359" s="104"/>
      <c r="H359" s="104"/>
      <c r="I359" s="104"/>
      <c r="J359" s="104"/>
      <c r="K359" s="104"/>
      <c r="L359" s="102"/>
      <c r="M359" s="102"/>
      <c r="N359" s="102"/>
      <c r="O359" s="102"/>
      <c r="P359" s="103"/>
      <c r="Q359" s="103"/>
      <c r="R359" s="103"/>
      <c r="S359" s="103"/>
      <c r="T359" s="79"/>
      <c r="U359" s="79"/>
      <c r="V359" s="79"/>
      <c r="W359" s="79"/>
      <c r="X359" s="79"/>
      <c r="Y359" s="79"/>
      <c r="Z359" s="79"/>
    </row>
    <row r="360" ht="21.0" customHeight="1">
      <c r="A360" s="79"/>
      <c r="B360" s="79"/>
      <c r="C360" s="104"/>
      <c r="D360" s="104"/>
      <c r="E360" s="104"/>
      <c r="F360" s="104"/>
      <c r="G360" s="104"/>
      <c r="H360" s="104"/>
      <c r="I360" s="104"/>
      <c r="J360" s="104"/>
      <c r="K360" s="104"/>
      <c r="L360" s="102"/>
      <c r="M360" s="102"/>
      <c r="N360" s="102"/>
      <c r="O360" s="102"/>
      <c r="P360" s="103"/>
      <c r="Q360" s="103"/>
      <c r="R360" s="103"/>
      <c r="S360" s="103"/>
      <c r="T360" s="79"/>
      <c r="U360" s="79"/>
      <c r="V360" s="79"/>
      <c r="W360" s="79"/>
      <c r="X360" s="79"/>
      <c r="Y360" s="79"/>
      <c r="Z360" s="79"/>
    </row>
    <row r="361" ht="21.0" customHeight="1">
      <c r="A361" s="79"/>
      <c r="B361" s="79"/>
      <c r="C361" s="104"/>
      <c r="D361" s="104"/>
      <c r="E361" s="104"/>
      <c r="F361" s="104"/>
      <c r="G361" s="104"/>
      <c r="H361" s="104"/>
      <c r="I361" s="104"/>
      <c r="J361" s="104"/>
      <c r="K361" s="104"/>
      <c r="L361" s="102"/>
      <c r="M361" s="102"/>
      <c r="N361" s="102"/>
      <c r="O361" s="102"/>
      <c r="P361" s="103"/>
      <c r="Q361" s="103"/>
      <c r="R361" s="103"/>
      <c r="S361" s="103"/>
      <c r="T361" s="79"/>
      <c r="U361" s="79"/>
      <c r="V361" s="79"/>
      <c r="W361" s="79"/>
      <c r="X361" s="79"/>
      <c r="Y361" s="79"/>
      <c r="Z361" s="79"/>
    </row>
    <row r="362" ht="21.0" customHeight="1">
      <c r="A362" s="79"/>
      <c r="B362" s="79"/>
      <c r="C362" s="104"/>
      <c r="D362" s="104"/>
      <c r="E362" s="104"/>
      <c r="F362" s="104"/>
      <c r="G362" s="104"/>
      <c r="H362" s="104"/>
      <c r="I362" s="104"/>
      <c r="J362" s="104"/>
      <c r="K362" s="104"/>
      <c r="L362" s="102"/>
      <c r="M362" s="102"/>
      <c r="N362" s="102"/>
      <c r="O362" s="102"/>
      <c r="P362" s="103"/>
      <c r="Q362" s="103"/>
      <c r="R362" s="103"/>
      <c r="S362" s="103"/>
      <c r="T362" s="79"/>
      <c r="U362" s="79"/>
      <c r="V362" s="79"/>
      <c r="W362" s="79"/>
      <c r="X362" s="79"/>
      <c r="Y362" s="79"/>
      <c r="Z362" s="79"/>
    </row>
    <row r="363" ht="21.0" customHeight="1">
      <c r="A363" s="79"/>
      <c r="B363" s="79"/>
      <c r="C363" s="104"/>
      <c r="D363" s="104"/>
      <c r="E363" s="104"/>
      <c r="F363" s="104"/>
      <c r="G363" s="104"/>
      <c r="H363" s="104"/>
      <c r="I363" s="104"/>
      <c r="J363" s="104"/>
      <c r="K363" s="104"/>
      <c r="L363" s="102"/>
      <c r="M363" s="102"/>
      <c r="N363" s="102"/>
      <c r="O363" s="102"/>
      <c r="P363" s="103"/>
      <c r="Q363" s="103"/>
      <c r="R363" s="103"/>
      <c r="S363" s="103"/>
      <c r="T363" s="79"/>
      <c r="U363" s="79"/>
      <c r="V363" s="79"/>
      <c r="W363" s="79"/>
      <c r="X363" s="79"/>
      <c r="Y363" s="79"/>
      <c r="Z363" s="79"/>
    </row>
    <row r="364" ht="21.0" customHeight="1">
      <c r="A364" s="79"/>
      <c r="B364" s="79"/>
      <c r="C364" s="104"/>
      <c r="D364" s="104"/>
      <c r="E364" s="104"/>
      <c r="F364" s="104"/>
      <c r="G364" s="104"/>
      <c r="H364" s="104"/>
      <c r="I364" s="104"/>
      <c r="J364" s="104"/>
      <c r="K364" s="104"/>
      <c r="L364" s="102"/>
      <c r="M364" s="102"/>
      <c r="N364" s="102"/>
      <c r="O364" s="102"/>
      <c r="P364" s="103"/>
      <c r="Q364" s="103"/>
      <c r="R364" s="103"/>
      <c r="S364" s="103"/>
      <c r="T364" s="79"/>
      <c r="U364" s="79"/>
      <c r="V364" s="79"/>
      <c r="W364" s="79"/>
      <c r="X364" s="79"/>
      <c r="Y364" s="79"/>
      <c r="Z364" s="79"/>
    </row>
    <row r="365" ht="21.0" customHeight="1">
      <c r="A365" s="79"/>
      <c r="B365" s="79"/>
      <c r="C365" s="104"/>
      <c r="D365" s="104"/>
      <c r="E365" s="104"/>
      <c r="F365" s="104"/>
      <c r="G365" s="104"/>
      <c r="H365" s="104"/>
      <c r="I365" s="104"/>
      <c r="J365" s="104"/>
      <c r="K365" s="104"/>
      <c r="L365" s="102"/>
      <c r="M365" s="102"/>
      <c r="N365" s="102"/>
      <c r="O365" s="102"/>
      <c r="P365" s="103"/>
      <c r="Q365" s="103"/>
      <c r="R365" s="103"/>
      <c r="S365" s="103"/>
      <c r="T365" s="79"/>
      <c r="U365" s="79"/>
      <c r="V365" s="79"/>
      <c r="W365" s="79"/>
      <c r="X365" s="79"/>
      <c r="Y365" s="79"/>
      <c r="Z365" s="79"/>
    </row>
    <row r="366" ht="21.0" customHeight="1">
      <c r="A366" s="79"/>
      <c r="B366" s="79"/>
      <c r="C366" s="104"/>
      <c r="D366" s="104"/>
      <c r="E366" s="104"/>
      <c r="F366" s="104"/>
      <c r="G366" s="104"/>
      <c r="H366" s="104"/>
      <c r="I366" s="104"/>
      <c r="J366" s="104"/>
      <c r="K366" s="104"/>
      <c r="L366" s="102"/>
      <c r="M366" s="102"/>
      <c r="N366" s="102"/>
      <c r="O366" s="102"/>
      <c r="P366" s="103"/>
      <c r="Q366" s="103"/>
      <c r="R366" s="103"/>
      <c r="S366" s="103"/>
      <c r="T366" s="79"/>
      <c r="U366" s="79"/>
      <c r="V366" s="79"/>
      <c r="W366" s="79"/>
      <c r="X366" s="79"/>
      <c r="Y366" s="79"/>
      <c r="Z366" s="79"/>
    </row>
    <row r="367" ht="21.0" customHeight="1">
      <c r="A367" s="79"/>
      <c r="B367" s="79"/>
      <c r="C367" s="104"/>
      <c r="D367" s="104"/>
      <c r="E367" s="104"/>
      <c r="F367" s="104"/>
      <c r="G367" s="104"/>
      <c r="H367" s="104"/>
      <c r="I367" s="104"/>
      <c r="J367" s="104"/>
      <c r="K367" s="104"/>
      <c r="L367" s="102"/>
      <c r="M367" s="102"/>
      <c r="N367" s="102"/>
      <c r="O367" s="102"/>
      <c r="P367" s="103"/>
      <c r="Q367" s="103"/>
      <c r="R367" s="103"/>
      <c r="S367" s="103"/>
      <c r="T367" s="79"/>
      <c r="U367" s="79"/>
      <c r="V367" s="79"/>
      <c r="W367" s="79"/>
      <c r="X367" s="79"/>
      <c r="Y367" s="79"/>
      <c r="Z367" s="79"/>
    </row>
    <row r="368" ht="21.0" customHeight="1">
      <c r="A368" s="79"/>
      <c r="B368" s="79"/>
      <c r="C368" s="104"/>
      <c r="D368" s="104"/>
      <c r="E368" s="104"/>
      <c r="F368" s="104"/>
      <c r="G368" s="104"/>
      <c r="H368" s="104"/>
      <c r="I368" s="104"/>
      <c r="J368" s="104"/>
      <c r="K368" s="104"/>
      <c r="L368" s="102"/>
      <c r="M368" s="102"/>
      <c r="N368" s="102"/>
      <c r="O368" s="102"/>
      <c r="P368" s="103"/>
      <c r="Q368" s="103"/>
      <c r="R368" s="103"/>
      <c r="S368" s="103"/>
      <c r="T368" s="79"/>
      <c r="U368" s="79"/>
      <c r="V368" s="79"/>
      <c r="W368" s="79"/>
      <c r="X368" s="79"/>
      <c r="Y368" s="79"/>
      <c r="Z368" s="79"/>
    </row>
    <row r="369" ht="21.0" customHeight="1">
      <c r="A369" s="79"/>
      <c r="B369" s="79"/>
      <c r="C369" s="104"/>
      <c r="D369" s="104"/>
      <c r="E369" s="104"/>
      <c r="F369" s="104"/>
      <c r="G369" s="104"/>
      <c r="H369" s="104"/>
      <c r="I369" s="104"/>
      <c r="J369" s="104"/>
      <c r="K369" s="104"/>
      <c r="L369" s="102"/>
      <c r="M369" s="102"/>
      <c r="N369" s="102"/>
      <c r="O369" s="102"/>
      <c r="P369" s="103"/>
      <c r="Q369" s="103"/>
      <c r="R369" s="103"/>
      <c r="S369" s="103"/>
      <c r="T369" s="79"/>
      <c r="U369" s="79"/>
      <c r="V369" s="79"/>
      <c r="W369" s="79"/>
      <c r="X369" s="79"/>
      <c r="Y369" s="79"/>
      <c r="Z369" s="79"/>
    </row>
    <row r="370" ht="21.0" customHeight="1">
      <c r="A370" s="79"/>
      <c r="B370" s="79"/>
      <c r="C370" s="104"/>
      <c r="D370" s="104"/>
      <c r="E370" s="104"/>
      <c r="F370" s="104"/>
      <c r="G370" s="104"/>
      <c r="H370" s="104"/>
      <c r="I370" s="104"/>
      <c r="J370" s="104"/>
      <c r="K370" s="104"/>
      <c r="L370" s="102"/>
      <c r="M370" s="102"/>
      <c r="N370" s="102"/>
      <c r="O370" s="102"/>
      <c r="P370" s="103"/>
      <c r="Q370" s="103"/>
      <c r="R370" s="103"/>
      <c r="S370" s="103"/>
      <c r="T370" s="79"/>
      <c r="U370" s="79"/>
      <c r="V370" s="79"/>
      <c r="W370" s="79"/>
      <c r="X370" s="79"/>
      <c r="Y370" s="79"/>
      <c r="Z370" s="79"/>
    </row>
    <row r="371" ht="21.0" customHeight="1">
      <c r="A371" s="79"/>
      <c r="B371" s="79"/>
      <c r="C371" s="104"/>
      <c r="D371" s="104"/>
      <c r="E371" s="104"/>
      <c r="F371" s="104"/>
      <c r="G371" s="104"/>
      <c r="H371" s="104"/>
      <c r="I371" s="104"/>
      <c r="J371" s="104"/>
      <c r="K371" s="104"/>
      <c r="L371" s="102"/>
      <c r="M371" s="102"/>
      <c r="N371" s="102"/>
      <c r="O371" s="102"/>
      <c r="P371" s="103"/>
      <c r="Q371" s="103"/>
      <c r="R371" s="103"/>
      <c r="S371" s="103"/>
      <c r="T371" s="79"/>
      <c r="U371" s="79"/>
      <c r="V371" s="79"/>
      <c r="W371" s="79"/>
      <c r="X371" s="79"/>
      <c r="Y371" s="79"/>
      <c r="Z371" s="79"/>
    </row>
    <row r="372" ht="21.0" customHeight="1">
      <c r="A372" s="79"/>
      <c r="B372" s="79"/>
      <c r="C372" s="104"/>
      <c r="D372" s="104"/>
      <c r="E372" s="104"/>
      <c r="F372" s="104"/>
      <c r="G372" s="104"/>
      <c r="H372" s="104"/>
      <c r="I372" s="104"/>
      <c r="J372" s="104"/>
      <c r="K372" s="104"/>
      <c r="L372" s="102"/>
      <c r="M372" s="102"/>
      <c r="N372" s="102"/>
      <c r="O372" s="102"/>
      <c r="P372" s="103"/>
      <c r="Q372" s="103"/>
      <c r="R372" s="103"/>
      <c r="S372" s="103"/>
      <c r="T372" s="79"/>
      <c r="U372" s="79"/>
      <c r="V372" s="79"/>
      <c r="W372" s="79"/>
      <c r="X372" s="79"/>
      <c r="Y372" s="79"/>
      <c r="Z372" s="79"/>
    </row>
    <row r="373" ht="21.0" customHeight="1">
      <c r="A373" s="79"/>
      <c r="B373" s="79"/>
      <c r="C373" s="104"/>
      <c r="D373" s="104"/>
      <c r="E373" s="104"/>
      <c r="F373" s="104"/>
      <c r="G373" s="104"/>
      <c r="H373" s="104"/>
      <c r="I373" s="104"/>
      <c r="J373" s="104"/>
      <c r="K373" s="104"/>
      <c r="L373" s="102"/>
      <c r="M373" s="102"/>
      <c r="N373" s="102"/>
      <c r="O373" s="102"/>
      <c r="P373" s="103"/>
      <c r="Q373" s="103"/>
      <c r="R373" s="103"/>
      <c r="S373" s="103"/>
      <c r="T373" s="79"/>
      <c r="U373" s="79"/>
      <c r="V373" s="79"/>
      <c r="W373" s="79"/>
      <c r="X373" s="79"/>
      <c r="Y373" s="79"/>
      <c r="Z373" s="79"/>
    </row>
    <row r="374" ht="21.0" customHeight="1">
      <c r="A374" s="79"/>
      <c r="B374" s="79"/>
      <c r="C374" s="104"/>
      <c r="D374" s="104"/>
      <c r="E374" s="104"/>
      <c r="F374" s="104"/>
      <c r="G374" s="104"/>
      <c r="H374" s="104"/>
      <c r="I374" s="104"/>
      <c r="J374" s="104"/>
      <c r="K374" s="104"/>
      <c r="L374" s="102"/>
      <c r="M374" s="102"/>
      <c r="N374" s="102"/>
      <c r="O374" s="102"/>
      <c r="P374" s="103"/>
      <c r="Q374" s="103"/>
      <c r="R374" s="103"/>
      <c r="S374" s="103"/>
      <c r="T374" s="79"/>
      <c r="U374" s="79"/>
      <c r="V374" s="79"/>
      <c r="W374" s="79"/>
      <c r="X374" s="79"/>
      <c r="Y374" s="79"/>
      <c r="Z374" s="79"/>
    </row>
    <row r="375" ht="21.0" customHeight="1">
      <c r="A375" s="79"/>
      <c r="B375" s="79"/>
      <c r="C375" s="104"/>
      <c r="D375" s="104"/>
      <c r="E375" s="104"/>
      <c r="F375" s="104"/>
      <c r="G375" s="104"/>
      <c r="H375" s="104"/>
      <c r="I375" s="104"/>
      <c r="J375" s="104"/>
      <c r="K375" s="104"/>
      <c r="L375" s="102"/>
      <c r="M375" s="102"/>
      <c r="N375" s="102"/>
      <c r="O375" s="102"/>
      <c r="P375" s="103"/>
      <c r="Q375" s="103"/>
      <c r="R375" s="103"/>
      <c r="S375" s="103"/>
      <c r="T375" s="79"/>
      <c r="U375" s="79"/>
      <c r="V375" s="79"/>
      <c r="W375" s="79"/>
      <c r="X375" s="79"/>
      <c r="Y375" s="79"/>
      <c r="Z375" s="79"/>
    </row>
    <row r="376" ht="21.0" customHeight="1">
      <c r="A376" s="79"/>
      <c r="B376" s="79"/>
      <c r="C376" s="104"/>
      <c r="D376" s="104"/>
      <c r="E376" s="104"/>
      <c r="F376" s="104"/>
      <c r="G376" s="104"/>
      <c r="H376" s="104"/>
      <c r="I376" s="104"/>
      <c r="J376" s="104"/>
      <c r="K376" s="104"/>
      <c r="L376" s="102"/>
      <c r="M376" s="102"/>
      <c r="N376" s="102"/>
      <c r="O376" s="102"/>
      <c r="P376" s="103"/>
      <c r="Q376" s="103"/>
      <c r="R376" s="103"/>
      <c r="S376" s="103"/>
      <c r="T376" s="79"/>
      <c r="U376" s="79"/>
      <c r="V376" s="79"/>
      <c r="W376" s="79"/>
      <c r="X376" s="79"/>
      <c r="Y376" s="79"/>
      <c r="Z376" s="79"/>
    </row>
    <row r="377" ht="21.0" customHeight="1">
      <c r="A377" s="79"/>
      <c r="B377" s="79"/>
      <c r="C377" s="104"/>
      <c r="D377" s="104"/>
      <c r="E377" s="104"/>
      <c r="F377" s="104"/>
      <c r="G377" s="104"/>
      <c r="H377" s="104"/>
      <c r="I377" s="104"/>
      <c r="J377" s="104"/>
      <c r="K377" s="104"/>
      <c r="L377" s="102"/>
      <c r="M377" s="102"/>
      <c r="N377" s="102"/>
      <c r="O377" s="102"/>
      <c r="P377" s="103"/>
      <c r="Q377" s="103"/>
      <c r="R377" s="103"/>
      <c r="S377" s="103"/>
      <c r="T377" s="79"/>
      <c r="U377" s="79"/>
      <c r="V377" s="79"/>
      <c r="W377" s="79"/>
      <c r="X377" s="79"/>
      <c r="Y377" s="79"/>
      <c r="Z377" s="79"/>
    </row>
    <row r="378" ht="21.0" customHeight="1">
      <c r="A378" s="79"/>
      <c r="B378" s="79"/>
      <c r="C378" s="104"/>
      <c r="D378" s="104"/>
      <c r="E378" s="104"/>
      <c r="F378" s="104"/>
      <c r="G378" s="104"/>
      <c r="H378" s="104"/>
      <c r="I378" s="104"/>
      <c r="J378" s="104"/>
      <c r="K378" s="104"/>
      <c r="L378" s="102"/>
      <c r="M378" s="102"/>
      <c r="N378" s="102"/>
      <c r="O378" s="102"/>
      <c r="P378" s="103"/>
      <c r="Q378" s="103"/>
      <c r="R378" s="103"/>
      <c r="S378" s="103"/>
      <c r="T378" s="79"/>
      <c r="U378" s="79"/>
      <c r="V378" s="79"/>
      <c r="W378" s="79"/>
      <c r="X378" s="79"/>
      <c r="Y378" s="79"/>
      <c r="Z378" s="79"/>
    </row>
    <row r="379" ht="21.0" customHeight="1">
      <c r="A379" s="79"/>
      <c r="B379" s="79"/>
      <c r="C379" s="104"/>
      <c r="D379" s="104"/>
      <c r="E379" s="104"/>
      <c r="F379" s="104"/>
      <c r="G379" s="104"/>
      <c r="H379" s="104"/>
      <c r="I379" s="104"/>
      <c r="J379" s="104"/>
      <c r="K379" s="104"/>
      <c r="L379" s="102"/>
      <c r="M379" s="102"/>
      <c r="N379" s="102"/>
      <c r="O379" s="102"/>
      <c r="P379" s="103"/>
      <c r="Q379" s="103"/>
      <c r="R379" s="103"/>
      <c r="S379" s="103"/>
      <c r="T379" s="79"/>
      <c r="U379" s="79"/>
      <c r="V379" s="79"/>
      <c r="W379" s="79"/>
      <c r="X379" s="79"/>
      <c r="Y379" s="79"/>
      <c r="Z379" s="79"/>
    </row>
    <row r="380" ht="21.0" customHeight="1">
      <c r="A380" s="79"/>
      <c r="B380" s="79"/>
      <c r="C380" s="104"/>
      <c r="D380" s="104"/>
      <c r="E380" s="104"/>
      <c r="F380" s="104"/>
      <c r="G380" s="104"/>
      <c r="H380" s="104"/>
      <c r="I380" s="104"/>
      <c r="J380" s="104"/>
      <c r="K380" s="104"/>
      <c r="L380" s="102"/>
      <c r="M380" s="102"/>
      <c r="N380" s="102"/>
      <c r="O380" s="102"/>
      <c r="P380" s="103"/>
      <c r="Q380" s="103"/>
      <c r="R380" s="103"/>
      <c r="S380" s="103"/>
      <c r="T380" s="79"/>
      <c r="U380" s="79"/>
      <c r="V380" s="79"/>
      <c r="W380" s="79"/>
      <c r="X380" s="79"/>
      <c r="Y380" s="79"/>
      <c r="Z380" s="79"/>
    </row>
    <row r="381" ht="21.0" customHeight="1">
      <c r="A381" s="79"/>
      <c r="B381" s="79"/>
      <c r="C381" s="104"/>
      <c r="D381" s="104"/>
      <c r="E381" s="104"/>
      <c r="F381" s="104"/>
      <c r="G381" s="104"/>
      <c r="H381" s="104"/>
      <c r="I381" s="104"/>
      <c r="J381" s="104"/>
      <c r="K381" s="104"/>
      <c r="L381" s="102"/>
      <c r="M381" s="102"/>
      <c r="N381" s="102"/>
      <c r="O381" s="102"/>
      <c r="P381" s="103"/>
      <c r="Q381" s="103"/>
      <c r="R381" s="103"/>
      <c r="S381" s="103"/>
      <c r="T381" s="79"/>
      <c r="U381" s="79"/>
      <c r="V381" s="79"/>
      <c r="W381" s="79"/>
      <c r="X381" s="79"/>
      <c r="Y381" s="79"/>
      <c r="Z381" s="79"/>
    </row>
    <row r="382" ht="21.0" customHeight="1">
      <c r="A382" s="79"/>
      <c r="B382" s="79"/>
      <c r="C382" s="104"/>
      <c r="D382" s="104"/>
      <c r="E382" s="104"/>
      <c r="F382" s="104"/>
      <c r="G382" s="104"/>
      <c r="H382" s="104"/>
      <c r="I382" s="104"/>
      <c r="J382" s="104"/>
      <c r="K382" s="104"/>
      <c r="L382" s="102"/>
      <c r="M382" s="102"/>
      <c r="N382" s="102"/>
      <c r="O382" s="102"/>
      <c r="P382" s="103"/>
      <c r="Q382" s="103"/>
      <c r="R382" s="103"/>
      <c r="S382" s="103"/>
      <c r="T382" s="79"/>
      <c r="U382" s="79"/>
      <c r="V382" s="79"/>
      <c r="W382" s="79"/>
      <c r="X382" s="79"/>
      <c r="Y382" s="79"/>
      <c r="Z382" s="79"/>
    </row>
    <row r="383" ht="21.0" customHeight="1">
      <c r="A383" s="79"/>
      <c r="B383" s="79"/>
      <c r="C383" s="104"/>
      <c r="D383" s="104"/>
      <c r="E383" s="104"/>
      <c r="F383" s="104"/>
      <c r="G383" s="104"/>
      <c r="H383" s="104"/>
      <c r="I383" s="104"/>
      <c r="J383" s="104"/>
      <c r="K383" s="104"/>
      <c r="L383" s="102"/>
      <c r="M383" s="102"/>
      <c r="N383" s="102"/>
      <c r="O383" s="102"/>
      <c r="P383" s="103"/>
      <c r="Q383" s="103"/>
      <c r="R383" s="103"/>
      <c r="S383" s="103"/>
      <c r="T383" s="79"/>
      <c r="U383" s="79"/>
      <c r="V383" s="79"/>
      <c r="W383" s="79"/>
      <c r="X383" s="79"/>
      <c r="Y383" s="79"/>
      <c r="Z383" s="79"/>
    </row>
    <row r="384" ht="21.0" customHeight="1">
      <c r="A384" s="79"/>
      <c r="B384" s="79"/>
      <c r="C384" s="104"/>
      <c r="D384" s="104"/>
      <c r="E384" s="104"/>
      <c r="F384" s="104"/>
      <c r="G384" s="104"/>
      <c r="H384" s="104"/>
      <c r="I384" s="104"/>
      <c r="J384" s="104"/>
      <c r="K384" s="104"/>
      <c r="L384" s="102"/>
      <c r="M384" s="102"/>
      <c r="N384" s="102"/>
      <c r="O384" s="102"/>
      <c r="P384" s="103"/>
      <c r="Q384" s="103"/>
      <c r="R384" s="103"/>
      <c r="S384" s="103"/>
      <c r="T384" s="79"/>
      <c r="U384" s="79"/>
      <c r="V384" s="79"/>
      <c r="W384" s="79"/>
      <c r="X384" s="79"/>
      <c r="Y384" s="79"/>
      <c r="Z384" s="79"/>
    </row>
    <row r="385" ht="21.0" customHeight="1">
      <c r="A385" s="79"/>
      <c r="B385" s="79"/>
      <c r="C385" s="104"/>
      <c r="D385" s="104"/>
      <c r="E385" s="104"/>
      <c r="F385" s="104"/>
      <c r="G385" s="104"/>
      <c r="H385" s="104"/>
      <c r="I385" s="104"/>
      <c r="J385" s="104"/>
      <c r="K385" s="104"/>
      <c r="L385" s="102"/>
      <c r="M385" s="102"/>
      <c r="N385" s="102"/>
      <c r="O385" s="102"/>
      <c r="P385" s="103"/>
      <c r="Q385" s="103"/>
      <c r="R385" s="103"/>
      <c r="S385" s="103"/>
      <c r="T385" s="79"/>
      <c r="U385" s="79"/>
      <c r="V385" s="79"/>
      <c r="W385" s="79"/>
      <c r="X385" s="79"/>
      <c r="Y385" s="79"/>
      <c r="Z385" s="79"/>
    </row>
    <row r="386" ht="21.0" customHeight="1">
      <c r="A386" s="79"/>
      <c r="B386" s="79"/>
      <c r="C386" s="104"/>
      <c r="D386" s="104"/>
      <c r="E386" s="104"/>
      <c r="F386" s="104"/>
      <c r="G386" s="104"/>
      <c r="H386" s="104"/>
      <c r="I386" s="104"/>
      <c r="J386" s="104"/>
      <c r="K386" s="104"/>
      <c r="L386" s="102"/>
      <c r="M386" s="102"/>
      <c r="N386" s="102"/>
      <c r="O386" s="102"/>
      <c r="P386" s="103"/>
      <c r="Q386" s="103"/>
      <c r="R386" s="103"/>
      <c r="S386" s="103"/>
      <c r="T386" s="79"/>
      <c r="U386" s="79"/>
      <c r="V386" s="79"/>
      <c r="W386" s="79"/>
      <c r="X386" s="79"/>
      <c r="Y386" s="79"/>
      <c r="Z386" s="79"/>
    </row>
    <row r="387" ht="21.0" customHeight="1">
      <c r="A387" s="79"/>
      <c r="B387" s="79"/>
      <c r="C387" s="104"/>
      <c r="D387" s="104"/>
      <c r="E387" s="104"/>
      <c r="F387" s="104"/>
      <c r="G387" s="104"/>
      <c r="H387" s="104"/>
      <c r="I387" s="104"/>
      <c r="J387" s="104"/>
      <c r="K387" s="104"/>
      <c r="L387" s="102"/>
      <c r="M387" s="102"/>
      <c r="N387" s="102"/>
      <c r="O387" s="102"/>
      <c r="P387" s="103"/>
      <c r="Q387" s="103"/>
      <c r="R387" s="103"/>
      <c r="S387" s="103"/>
      <c r="T387" s="79"/>
      <c r="U387" s="79"/>
      <c r="V387" s="79"/>
      <c r="W387" s="79"/>
      <c r="X387" s="79"/>
      <c r="Y387" s="79"/>
      <c r="Z387" s="79"/>
    </row>
    <row r="388" ht="21.0" customHeight="1">
      <c r="A388" s="79"/>
      <c r="B388" s="79"/>
      <c r="C388" s="104"/>
      <c r="D388" s="104"/>
      <c r="E388" s="104"/>
      <c r="F388" s="104"/>
      <c r="G388" s="104"/>
      <c r="H388" s="104"/>
      <c r="I388" s="104"/>
      <c r="J388" s="104"/>
      <c r="K388" s="104"/>
      <c r="L388" s="102"/>
      <c r="M388" s="102"/>
      <c r="N388" s="102"/>
      <c r="O388" s="102"/>
      <c r="P388" s="103"/>
      <c r="Q388" s="103"/>
      <c r="R388" s="103"/>
      <c r="S388" s="103"/>
      <c r="T388" s="79"/>
      <c r="U388" s="79"/>
      <c r="V388" s="79"/>
      <c r="W388" s="79"/>
      <c r="X388" s="79"/>
      <c r="Y388" s="79"/>
      <c r="Z388" s="79"/>
    </row>
    <row r="389" ht="21.0" customHeight="1">
      <c r="A389" s="79"/>
      <c r="B389" s="79"/>
      <c r="C389" s="104"/>
      <c r="D389" s="104"/>
      <c r="E389" s="104"/>
      <c r="F389" s="104"/>
      <c r="G389" s="104"/>
      <c r="H389" s="104"/>
      <c r="I389" s="104"/>
      <c r="J389" s="104"/>
      <c r="K389" s="104"/>
      <c r="L389" s="102"/>
      <c r="M389" s="102"/>
      <c r="N389" s="102"/>
      <c r="O389" s="102"/>
      <c r="P389" s="103"/>
      <c r="Q389" s="103"/>
      <c r="R389" s="103"/>
      <c r="S389" s="103"/>
      <c r="T389" s="79"/>
      <c r="U389" s="79"/>
      <c r="V389" s="79"/>
      <c r="W389" s="79"/>
      <c r="X389" s="79"/>
      <c r="Y389" s="79"/>
      <c r="Z389" s="79"/>
    </row>
    <row r="390" ht="21.0" customHeight="1">
      <c r="A390" s="79"/>
      <c r="B390" s="79"/>
      <c r="C390" s="104"/>
      <c r="D390" s="104"/>
      <c r="E390" s="104"/>
      <c r="F390" s="104"/>
      <c r="G390" s="104"/>
      <c r="H390" s="104"/>
      <c r="I390" s="104"/>
      <c r="J390" s="104"/>
      <c r="K390" s="104"/>
      <c r="L390" s="102"/>
      <c r="M390" s="102"/>
      <c r="N390" s="102"/>
      <c r="O390" s="102"/>
      <c r="P390" s="103"/>
      <c r="Q390" s="103"/>
      <c r="R390" s="103"/>
      <c r="S390" s="103"/>
      <c r="T390" s="79"/>
      <c r="U390" s="79"/>
      <c r="V390" s="79"/>
      <c r="W390" s="79"/>
      <c r="X390" s="79"/>
      <c r="Y390" s="79"/>
      <c r="Z390" s="79"/>
    </row>
    <row r="391" ht="21.0" customHeight="1">
      <c r="A391" s="79"/>
      <c r="B391" s="79"/>
      <c r="C391" s="104"/>
      <c r="D391" s="104"/>
      <c r="E391" s="104"/>
      <c r="F391" s="104"/>
      <c r="G391" s="104"/>
      <c r="H391" s="104"/>
      <c r="I391" s="104"/>
      <c r="J391" s="104"/>
      <c r="K391" s="104"/>
      <c r="L391" s="102"/>
      <c r="M391" s="102"/>
      <c r="N391" s="102"/>
      <c r="O391" s="102"/>
      <c r="P391" s="103"/>
      <c r="Q391" s="103"/>
      <c r="R391" s="103"/>
      <c r="S391" s="103"/>
      <c r="T391" s="79"/>
      <c r="U391" s="79"/>
      <c r="V391" s="79"/>
      <c r="W391" s="79"/>
      <c r="X391" s="79"/>
      <c r="Y391" s="79"/>
      <c r="Z391" s="79"/>
    </row>
    <row r="392" ht="21.0" customHeight="1">
      <c r="A392" s="79"/>
      <c r="B392" s="79"/>
      <c r="C392" s="104"/>
      <c r="D392" s="104"/>
      <c r="E392" s="104"/>
      <c r="F392" s="104"/>
      <c r="G392" s="104"/>
      <c r="H392" s="104"/>
      <c r="I392" s="104"/>
      <c r="J392" s="104"/>
      <c r="K392" s="104"/>
      <c r="L392" s="102"/>
      <c r="M392" s="102"/>
      <c r="N392" s="102"/>
      <c r="O392" s="102"/>
      <c r="P392" s="103"/>
      <c r="Q392" s="103"/>
      <c r="R392" s="103"/>
      <c r="S392" s="103"/>
      <c r="T392" s="79"/>
      <c r="U392" s="79"/>
      <c r="V392" s="79"/>
      <c r="W392" s="79"/>
      <c r="X392" s="79"/>
      <c r="Y392" s="79"/>
      <c r="Z392" s="79"/>
    </row>
    <row r="393" ht="21.0" customHeight="1">
      <c r="A393" s="79"/>
      <c r="B393" s="79"/>
      <c r="C393" s="104"/>
      <c r="D393" s="104"/>
      <c r="E393" s="104"/>
      <c r="F393" s="104"/>
      <c r="G393" s="104"/>
      <c r="H393" s="104"/>
      <c r="I393" s="104"/>
      <c r="J393" s="104"/>
      <c r="K393" s="104"/>
      <c r="L393" s="102"/>
      <c r="M393" s="102"/>
      <c r="N393" s="102"/>
      <c r="O393" s="102"/>
      <c r="P393" s="103"/>
      <c r="Q393" s="103"/>
      <c r="R393" s="103"/>
      <c r="S393" s="103"/>
      <c r="T393" s="79"/>
      <c r="U393" s="79"/>
      <c r="V393" s="79"/>
      <c r="W393" s="79"/>
      <c r="X393" s="79"/>
      <c r="Y393" s="79"/>
      <c r="Z393" s="79"/>
    </row>
    <row r="394" ht="21.0" customHeight="1">
      <c r="A394" s="79"/>
      <c r="B394" s="79"/>
      <c r="C394" s="104"/>
      <c r="D394" s="104"/>
      <c r="E394" s="104"/>
      <c r="F394" s="104"/>
      <c r="G394" s="104"/>
      <c r="H394" s="104"/>
      <c r="I394" s="104"/>
      <c r="J394" s="104"/>
      <c r="K394" s="104"/>
      <c r="L394" s="102"/>
      <c r="M394" s="102"/>
      <c r="N394" s="102"/>
      <c r="O394" s="102"/>
      <c r="P394" s="103"/>
      <c r="Q394" s="103"/>
      <c r="R394" s="103"/>
      <c r="S394" s="103"/>
      <c r="T394" s="79"/>
      <c r="U394" s="79"/>
      <c r="V394" s="79"/>
      <c r="W394" s="79"/>
      <c r="X394" s="79"/>
      <c r="Y394" s="79"/>
      <c r="Z394" s="79"/>
    </row>
    <row r="395" ht="21.0" customHeight="1">
      <c r="A395" s="79"/>
      <c r="B395" s="79"/>
      <c r="C395" s="104"/>
      <c r="D395" s="104"/>
      <c r="E395" s="104"/>
      <c r="F395" s="104"/>
      <c r="G395" s="104"/>
      <c r="H395" s="104"/>
      <c r="I395" s="104"/>
      <c r="J395" s="104"/>
      <c r="K395" s="104"/>
      <c r="L395" s="102"/>
      <c r="M395" s="102"/>
      <c r="N395" s="102"/>
      <c r="O395" s="102"/>
      <c r="P395" s="103"/>
      <c r="Q395" s="103"/>
      <c r="R395" s="103"/>
      <c r="S395" s="103"/>
      <c r="T395" s="79"/>
      <c r="U395" s="79"/>
      <c r="V395" s="79"/>
      <c r="W395" s="79"/>
      <c r="X395" s="79"/>
      <c r="Y395" s="79"/>
      <c r="Z395" s="79"/>
    </row>
    <row r="396" ht="21.0" customHeight="1">
      <c r="A396" s="79"/>
      <c r="B396" s="79"/>
      <c r="C396" s="104"/>
      <c r="D396" s="104"/>
      <c r="E396" s="104"/>
      <c r="F396" s="104"/>
      <c r="G396" s="104"/>
      <c r="H396" s="104"/>
      <c r="I396" s="104"/>
      <c r="J396" s="104"/>
      <c r="K396" s="104"/>
      <c r="L396" s="102"/>
      <c r="M396" s="102"/>
      <c r="N396" s="102"/>
      <c r="O396" s="102"/>
      <c r="P396" s="103"/>
      <c r="Q396" s="103"/>
      <c r="R396" s="103"/>
      <c r="S396" s="103"/>
      <c r="T396" s="79"/>
      <c r="U396" s="79"/>
      <c r="V396" s="79"/>
      <c r="W396" s="79"/>
      <c r="X396" s="79"/>
      <c r="Y396" s="79"/>
      <c r="Z396" s="79"/>
    </row>
    <row r="397" ht="21.0" customHeight="1">
      <c r="A397" s="79"/>
      <c r="B397" s="79"/>
      <c r="C397" s="104"/>
      <c r="D397" s="104"/>
      <c r="E397" s="104"/>
      <c r="F397" s="104"/>
      <c r="G397" s="104"/>
      <c r="H397" s="104"/>
      <c r="I397" s="104"/>
      <c r="J397" s="104"/>
      <c r="K397" s="104"/>
      <c r="L397" s="102"/>
      <c r="M397" s="102"/>
      <c r="N397" s="102"/>
      <c r="O397" s="102"/>
      <c r="P397" s="103"/>
      <c r="Q397" s="103"/>
      <c r="R397" s="103"/>
      <c r="S397" s="103"/>
      <c r="T397" s="79"/>
      <c r="U397" s="79"/>
      <c r="V397" s="79"/>
      <c r="W397" s="79"/>
      <c r="X397" s="79"/>
      <c r="Y397" s="79"/>
      <c r="Z397" s="79"/>
    </row>
    <row r="398" ht="21.0" customHeight="1">
      <c r="A398" s="79"/>
      <c r="B398" s="79"/>
      <c r="C398" s="104"/>
      <c r="D398" s="104"/>
      <c r="E398" s="104"/>
      <c r="F398" s="104"/>
      <c r="G398" s="104"/>
      <c r="H398" s="104"/>
      <c r="I398" s="104"/>
      <c r="J398" s="104"/>
      <c r="K398" s="104"/>
      <c r="L398" s="102"/>
      <c r="M398" s="102"/>
      <c r="N398" s="102"/>
      <c r="O398" s="102"/>
      <c r="P398" s="103"/>
      <c r="Q398" s="103"/>
      <c r="R398" s="103"/>
      <c r="S398" s="103"/>
      <c r="T398" s="79"/>
      <c r="U398" s="79"/>
      <c r="V398" s="79"/>
      <c r="W398" s="79"/>
      <c r="X398" s="79"/>
      <c r="Y398" s="79"/>
      <c r="Z398" s="79"/>
    </row>
    <row r="399" ht="21.0" customHeight="1">
      <c r="A399" s="79"/>
      <c r="B399" s="79"/>
      <c r="C399" s="104"/>
      <c r="D399" s="104"/>
      <c r="E399" s="104"/>
      <c r="F399" s="104"/>
      <c r="G399" s="104"/>
      <c r="H399" s="104"/>
      <c r="I399" s="104"/>
      <c r="J399" s="104"/>
      <c r="K399" s="104"/>
      <c r="L399" s="102"/>
      <c r="M399" s="102"/>
      <c r="N399" s="102"/>
      <c r="O399" s="102"/>
      <c r="P399" s="103"/>
      <c r="Q399" s="103"/>
      <c r="R399" s="103"/>
      <c r="S399" s="103"/>
      <c r="T399" s="79"/>
      <c r="U399" s="79"/>
      <c r="V399" s="79"/>
      <c r="W399" s="79"/>
      <c r="X399" s="79"/>
      <c r="Y399" s="79"/>
      <c r="Z399" s="79"/>
    </row>
    <row r="400" ht="21.0" customHeight="1">
      <c r="A400" s="79"/>
      <c r="B400" s="79"/>
      <c r="C400" s="104"/>
      <c r="D400" s="104"/>
      <c r="E400" s="104"/>
      <c r="F400" s="104"/>
      <c r="G400" s="104"/>
      <c r="H400" s="104"/>
      <c r="I400" s="104"/>
      <c r="J400" s="104"/>
      <c r="K400" s="104"/>
      <c r="L400" s="102"/>
      <c r="M400" s="102"/>
      <c r="N400" s="102"/>
      <c r="O400" s="102"/>
      <c r="P400" s="103"/>
      <c r="Q400" s="103"/>
      <c r="R400" s="103"/>
      <c r="S400" s="103"/>
      <c r="T400" s="79"/>
      <c r="U400" s="79"/>
      <c r="V400" s="79"/>
      <c r="W400" s="79"/>
      <c r="X400" s="79"/>
      <c r="Y400" s="79"/>
      <c r="Z400" s="79"/>
    </row>
    <row r="401" ht="21.0" customHeight="1">
      <c r="A401" s="79"/>
      <c r="B401" s="79"/>
      <c r="C401" s="104"/>
      <c r="D401" s="104"/>
      <c r="E401" s="104"/>
      <c r="F401" s="104"/>
      <c r="G401" s="104"/>
      <c r="H401" s="104"/>
      <c r="I401" s="104"/>
      <c r="J401" s="104"/>
      <c r="K401" s="104"/>
      <c r="L401" s="102"/>
      <c r="M401" s="102"/>
      <c r="N401" s="102"/>
      <c r="O401" s="102"/>
      <c r="P401" s="103"/>
      <c r="Q401" s="103"/>
      <c r="R401" s="103"/>
      <c r="S401" s="103"/>
      <c r="T401" s="79"/>
      <c r="U401" s="79"/>
      <c r="V401" s="79"/>
      <c r="W401" s="79"/>
      <c r="X401" s="79"/>
      <c r="Y401" s="79"/>
      <c r="Z401" s="79"/>
    </row>
    <row r="402" ht="21.0" customHeight="1">
      <c r="A402" s="79"/>
      <c r="B402" s="79"/>
      <c r="C402" s="104"/>
      <c r="D402" s="104"/>
      <c r="E402" s="104"/>
      <c r="F402" s="104"/>
      <c r="G402" s="104"/>
      <c r="H402" s="104"/>
      <c r="I402" s="104"/>
      <c r="J402" s="104"/>
      <c r="K402" s="104"/>
      <c r="L402" s="102"/>
      <c r="M402" s="102"/>
      <c r="N402" s="102"/>
      <c r="O402" s="102"/>
      <c r="P402" s="103"/>
      <c r="Q402" s="103"/>
      <c r="R402" s="103"/>
      <c r="S402" s="103"/>
      <c r="T402" s="79"/>
      <c r="U402" s="79"/>
      <c r="V402" s="79"/>
      <c r="W402" s="79"/>
      <c r="X402" s="79"/>
      <c r="Y402" s="79"/>
      <c r="Z402" s="79"/>
    </row>
    <row r="403" ht="21.0" customHeight="1">
      <c r="A403" s="79"/>
      <c r="B403" s="79"/>
      <c r="C403" s="104"/>
      <c r="D403" s="104"/>
      <c r="E403" s="104"/>
      <c r="F403" s="104"/>
      <c r="G403" s="104"/>
      <c r="H403" s="104"/>
      <c r="I403" s="104"/>
      <c r="J403" s="104"/>
      <c r="K403" s="104"/>
      <c r="L403" s="102"/>
      <c r="M403" s="102"/>
      <c r="N403" s="102"/>
      <c r="O403" s="102"/>
      <c r="P403" s="103"/>
      <c r="Q403" s="103"/>
      <c r="R403" s="103"/>
      <c r="S403" s="103"/>
      <c r="T403" s="79"/>
      <c r="U403" s="79"/>
      <c r="V403" s="79"/>
      <c r="W403" s="79"/>
      <c r="X403" s="79"/>
      <c r="Y403" s="79"/>
      <c r="Z403" s="79"/>
    </row>
    <row r="404" ht="21.0" customHeight="1">
      <c r="A404" s="79"/>
      <c r="B404" s="79"/>
      <c r="C404" s="104"/>
      <c r="D404" s="104"/>
      <c r="E404" s="104"/>
      <c r="F404" s="104"/>
      <c r="G404" s="104"/>
      <c r="H404" s="104"/>
      <c r="I404" s="104"/>
      <c r="J404" s="104"/>
      <c r="K404" s="104"/>
      <c r="L404" s="102"/>
      <c r="M404" s="102"/>
      <c r="N404" s="102"/>
      <c r="O404" s="102"/>
      <c r="P404" s="103"/>
      <c r="Q404" s="103"/>
      <c r="R404" s="103"/>
      <c r="S404" s="103"/>
      <c r="T404" s="79"/>
      <c r="U404" s="79"/>
      <c r="V404" s="79"/>
      <c r="W404" s="79"/>
      <c r="X404" s="79"/>
      <c r="Y404" s="79"/>
      <c r="Z404" s="79"/>
    </row>
    <row r="405" ht="21.0" customHeight="1">
      <c r="A405" s="79"/>
      <c r="B405" s="79"/>
      <c r="C405" s="104"/>
      <c r="D405" s="104"/>
      <c r="E405" s="104"/>
      <c r="F405" s="104"/>
      <c r="G405" s="104"/>
      <c r="H405" s="104"/>
      <c r="I405" s="104"/>
      <c r="J405" s="104"/>
      <c r="K405" s="104"/>
      <c r="L405" s="102"/>
      <c r="M405" s="102"/>
      <c r="N405" s="102"/>
      <c r="O405" s="102"/>
      <c r="P405" s="103"/>
      <c r="Q405" s="103"/>
      <c r="R405" s="103"/>
      <c r="S405" s="103"/>
      <c r="T405" s="79"/>
      <c r="U405" s="79"/>
      <c r="V405" s="79"/>
      <c r="W405" s="79"/>
      <c r="X405" s="79"/>
      <c r="Y405" s="79"/>
      <c r="Z405" s="79"/>
    </row>
    <row r="406" ht="21.0" customHeight="1">
      <c r="A406" s="79"/>
      <c r="B406" s="79"/>
      <c r="C406" s="104"/>
      <c r="D406" s="104"/>
      <c r="E406" s="104"/>
      <c r="F406" s="104"/>
      <c r="G406" s="104"/>
      <c r="H406" s="104"/>
      <c r="I406" s="104"/>
      <c r="J406" s="104"/>
      <c r="K406" s="104"/>
      <c r="L406" s="102"/>
      <c r="M406" s="102"/>
      <c r="N406" s="102"/>
      <c r="O406" s="102"/>
      <c r="P406" s="103"/>
      <c r="Q406" s="103"/>
      <c r="R406" s="103"/>
      <c r="S406" s="103"/>
      <c r="T406" s="79"/>
      <c r="U406" s="79"/>
      <c r="V406" s="79"/>
      <c r="W406" s="79"/>
      <c r="X406" s="79"/>
      <c r="Y406" s="79"/>
      <c r="Z406" s="79"/>
    </row>
    <row r="407" ht="21.0" customHeight="1">
      <c r="A407" s="79"/>
      <c r="B407" s="79"/>
      <c r="C407" s="104"/>
      <c r="D407" s="104"/>
      <c r="E407" s="104"/>
      <c r="F407" s="104"/>
      <c r="G407" s="104"/>
      <c r="H407" s="104"/>
      <c r="I407" s="104"/>
      <c r="J407" s="104"/>
      <c r="K407" s="104"/>
      <c r="L407" s="102"/>
      <c r="M407" s="102"/>
      <c r="N407" s="102"/>
      <c r="O407" s="102"/>
      <c r="P407" s="103"/>
      <c r="Q407" s="103"/>
      <c r="R407" s="103"/>
      <c r="S407" s="103"/>
      <c r="T407" s="79"/>
      <c r="U407" s="79"/>
      <c r="V407" s="79"/>
      <c r="W407" s="79"/>
      <c r="X407" s="79"/>
      <c r="Y407" s="79"/>
      <c r="Z407" s="79"/>
    </row>
    <row r="408" ht="21.0" customHeight="1">
      <c r="A408" s="79"/>
      <c r="B408" s="79"/>
      <c r="C408" s="104"/>
      <c r="D408" s="104"/>
      <c r="E408" s="104"/>
      <c r="F408" s="104"/>
      <c r="G408" s="104"/>
      <c r="H408" s="104"/>
      <c r="I408" s="104"/>
      <c r="J408" s="104"/>
      <c r="K408" s="104"/>
      <c r="L408" s="102"/>
      <c r="M408" s="102"/>
      <c r="N408" s="102"/>
      <c r="O408" s="102"/>
      <c r="P408" s="103"/>
      <c r="Q408" s="103"/>
      <c r="R408" s="103"/>
      <c r="S408" s="103"/>
      <c r="T408" s="79"/>
      <c r="U408" s="79"/>
      <c r="V408" s="79"/>
      <c r="W408" s="79"/>
      <c r="X408" s="79"/>
      <c r="Y408" s="79"/>
      <c r="Z408" s="79"/>
    </row>
    <row r="409" ht="21.0" customHeight="1">
      <c r="A409" s="79"/>
      <c r="B409" s="79"/>
      <c r="C409" s="104"/>
      <c r="D409" s="104"/>
      <c r="E409" s="104"/>
      <c r="F409" s="104"/>
      <c r="G409" s="104"/>
      <c r="H409" s="104"/>
      <c r="I409" s="104"/>
      <c r="J409" s="104"/>
      <c r="K409" s="104"/>
      <c r="L409" s="102"/>
      <c r="M409" s="102"/>
      <c r="N409" s="102"/>
      <c r="O409" s="102"/>
      <c r="P409" s="103"/>
      <c r="Q409" s="103"/>
      <c r="R409" s="103"/>
      <c r="S409" s="103"/>
      <c r="T409" s="79"/>
      <c r="U409" s="79"/>
      <c r="V409" s="79"/>
      <c r="W409" s="79"/>
      <c r="X409" s="79"/>
      <c r="Y409" s="79"/>
      <c r="Z409" s="79"/>
    </row>
    <row r="410" ht="21.0" customHeight="1">
      <c r="A410" s="79"/>
      <c r="B410" s="79"/>
      <c r="C410" s="104"/>
      <c r="D410" s="104"/>
      <c r="E410" s="104"/>
      <c r="F410" s="104"/>
      <c r="G410" s="104"/>
      <c r="H410" s="104"/>
      <c r="I410" s="104"/>
      <c r="J410" s="104"/>
      <c r="K410" s="104"/>
      <c r="L410" s="102"/>
      <c r="M410" s="102"/>
      <c r="N410" s="102"/>
      <c r="O410" s="102"/>
      <c r="P410" s="103"/>
      <c r="Q410" s="103"/>
      <c r="R410" s="103"/>
      <c r="S410" s="103"/>
      <c r="T410" s="79"/>
      <c r="U410" s="79"/>
      <c r="V410" s="79"/>
      <c r="W410" s="79"/>
      <c r="X410" s="79"/>
      <c r="Y410" s="79"/>
      <c r="Z410" s="79"/>
    </row>
    <row r="411" ht="21.0" customHeight="1">
      <c r="A411" s="79"/>
      <c r="B411" s="79"/>
      <c r="C411" s="104"/>
      <c r="D411" s="104"/>
      <c r="E411" s="104"/>
      <c r="F411" s="104"/>
      <c r="G411" s="104"/>
      <c r="H411" s="104"/>
      <c r="I411" s="104"/>
      <c r="J411" s="104"/>
      <c r="K411" s="104"/>
      <c r="L411" s="102"/>
      <c r="M411" s="102"/>
      <c r="N411" s="102"/>
      <c r="O411" s="102"/>
      <c r="P411" s="103"/>
      <c r="Q411" s="103"/>
      <c r="R411" s="103"/>
      <c r="S411" s="103"/>
      <c r="T411" s="79"/>
      <c r="U411" s="79"/>
      <c r="V411" s="79"/>
      <c r="W411" s="79"/>
      <c r="X411" s="79"/>
      <c r="Y411" s="79"/>
      <c r="Z411" s="79"/>
    </row>
    <row r="412" ht="21.0" customHeight="1">
      <c r="A412" s="79"/>
      <c r="B412" s="79"/>
      <c r="C412" s="104"/>
      <c r="D412" s="104"/>
      <c r="E412" s="104"/>
      <c r="F412" s="104"/>
      <c r="G412" s="104"/>
      <c r="H412" s="104"/>
      <c r="I412" s="104"/>
      <c r="J412" s="104"/>
      <c r="K412" s="104"/>
      <c r="L412" s="102"/>
      <c r="M412" s="102"/>
      <c r="N412" s="102"/>
      <c r="O412" s="102"/>
      <c r="P412" s="103"/>
      <c r="Q412" s="103"/>
      <c r="R412" s="103"/>
      <c r="S412" s="103"/>
      <c r="T412" s="79"/>
      <c r="U412" s="79"/>
      <c r="V412" s="79"/>
      <c r="W412" s="79"/>
      <c r="X412" s="79"/>
      <c r="Y412" s="79"/>
      <c r="Z412" s="79"/>
    </row>
    <row r="413" ht="21.0" customHeight="1">
      <c r="A413" s="79"/>
      <c r="B413" s="79"/>
      <c r="C413" s="104"/>
      <c r="D413" s="104"/>
      <c r="E413" s="104"/>
      <c r="F413" s="104"/>
      <c r="G413" s="104"/>
      <c r="H413" s="104"/>
      <c r="I413" s="104"/>
      <c r="J413" s="104"/>
      <c r="K413" s="104"/>
      <c r="L413" s="102"/>
      <c r="M413" s="102"/>
      <c r="N413" s="102"/>
      <c r="O413" s="102"/>
      <c r="P413" s="103"/>
      <c r="Q413" s="103"/>
      <c r="R413" s="103"/>
      <c r="S413" s="103"/>
      <c r="T413" s="79"/>
      <c r="U413" s="79"/>
      <c r="V413" s="79"/>
      <c r="W413" s="79"/>
      <c r="X413" s="79"/>
      <c r="Y413" s="79"/>
      <c r="Z413" s="79"/>
    </row>
    <row r="414" ht="21.0" customHeight="1">
      <c r="A414" s="79"/>
      <c r="B414" s="79"/>
      <c r="C414" s="104"/>
      <c r="D414" s="104"/>
      <c r="E414" s="104"/>
      <c r="F414" s="104"/>
      <c r="G414" s="104"/>
      <c r="H414" s="104"/>
      <c r="I414" s="104"/>
      <c r="J414" s="104"/>
      <c r="K414" s="104"/>
      <c r="L414" s="102"/>
      <c r="M414" s="102"/>
      <c r="N414" s="102"/>
      <c r="O414" s="102"/>
      <c r="P414" s="103"/>
      <c r="Q414" s="103"/>
      <c r="R414" s="103"/>
      <c r="S414" s="103"/>
      <c r="T414" s="79"/>
      <c r="U414" s="79"/>
      <c r="V414" s="79"/>
      <c r="W414" s="79"/>
      <c r="X414" s="79"/>
      <c r="Y414" s="79"/>
      <c r="Z414" s="79"/>
    </row>
    <row r="415" ht="21.0" customHeight="1">
      <c r="A415" s="79"/>
      <c r="B415" s="79"/>
      <c r="C415" s="104"/>
      <c r="D415" s="104"/>
      <c r="E415" s="104"/>
      <c r="F415" s="104"/>
      <c r="G415" s="104"/>
      <c r="H415" s="104"/>
      <c r="I415" s="104"/>
      <c r="J415" s="104"/>
      <c r="K415" s="104"/>
      <c r="L415" s="102"/>
      <c r="M415" s="102"/>
      <c r="N415" s="102"/>
      <c r="O415" s="102"/>
      <c r="P415" s="103"/>
      <c r="Q415" s="103"/>
      <c r="R415" s="103"/>
      <c r="S415" s="103"/>
      <c r="T415" s="79"/>
      <c r="U415" s="79"/>
      <c r="V415" s="79"/>
      <c r="W415" s="79"/>
      <c r="X415" s="79"/>
      <c r="Y415" s="79"/>
      <c r="Z415" s="79"/>
    </row>
    <row r="416" ht="21.0" customHeight="1">
      <c r="A416" s="79"/>
      <c r="B416" s="79"/>
      <c r="C416" s="104"/>
      <c r="D416" s="104"/>
      <c r="E416" s="104"/>
      <c r="F416" s="104"/>
      <c r="G416" s="104"/>
      <c r="H416" s="104"/>
      <c r="I416" s="104"/>
      <c r="J416" s="104"/>
      <c r="K416" s="104"/>
      <c r="L416" s="102"/>
      <c r="M416" s="102"/>
      <c r="N416" s="102"/>
      <c r="O416" s="102"/>
      <c r="P416" s="103"/>
      <c r="Q416" s="103"/>
      <c r="R416" s="103"/>
      <c r="S416" s="103"/>
      <c r="T416" s="79"/>
      <c r="U416" s="79"/>
      <c r="V416" s="79"/>
      <c r="W416" s="79"/>
      <c r="X416" s="79"/>
      <c r="Y416" s="79"/>
      <c r="Z416" s="79"/>
    </row>
    <row r="417" ht="21.0" customHeight="1">
      <c r="A417" s="79"/>
      <c r="B417" s="79"/>
      <c r="C417" s="104"/>
      <c r="D417" s="104"/>
      <c r="E417" s="104"/>
      <c r="F417" s="104"/>
      <c r="G417" s="104"/>
      <c r="H417" s="104"/>
      <c r="I417" s="104"/>
      <c r="J417" s="104"/>
      <c r="K417" s="104"/>
      <c r="L417" s="102"/>
      <c r="M417" s="102"/>
      <c r="N417" s="102"/>
      <c r="O417" s="102"/>
      <c r="P417" s="103"/>
      <c r="Q417" s="103"/>
      <c r="R417" s="103"/>
      <c r="S417" s="103"/>
      <c r="T417" s="79"/>
      <c r="U417" s="79"/>
      <c r="V417" s="79"/>
      <c r="W417" s="79"/>
      <c r="X417" s="79"/>
      <c r="Y417" s="79"/>
      <c r="Z417" s="79"/>
    </row>
    <row r="418" ht="21.0" customHeight="1">
      <c r="A418" s="79"/>
      <c r="B418" s="79"/>
      <c r="C418" s="104"/>
      <c r="D418" s="104"/>
      <c r="E418" s="104"/>
      <c r="F418" s="104"/>
      <c r="G418" s="104"/>
      <c r="H418" s="104"/>
      <c r="I418" s="104"/>
      <c r="J418" s="104"/>
      <c r="K418" s="104"/>
      <c r="L418" s="102"/>
      <c r="M418" s="102"/>
      <c r="N418" s="102"/>
      <c r="O418" s="102"/>
      <c r="P418" s="103"/>
      <c r="Q418" s="103"/>
      <c r="R418" s="103"/>
      <c r="S418" s="103"/>
      <c r="T418" s="79"/>
      <c r="U418" s="79"/>
      <c r="V418" s="79"/>
      <c r="W418" s="79"/>
      <c r="X418" s="79"/>
      <c r="Y418" s="79"/>
      <c r="Z418" s="79"/>
    </row>
    <row r="419" ht="21.0" customHeight="1">
      <c r="A419" s="79"/>
      <c r="B419" s="79"/>
      <c r="C419" s="104"/>
      <c r="D419" s="104"/>
      <c r="E419" s="104"/>
      <c r="F419" s="104"/>
      <c r="G419" s="104"/>
      <c r="H419" s="104"/>
      <c r="I419" s="104"/>
      <c r="J419" s="104"/>
      <c r="K419" s="104"/>
      <c r="L419" s="102"/>
      <c r="M419" s="102"/>
      <c r="N419" s="102"/>
      <c r="O419" s="102"/>
      <c r="P419" s="103"/>
      <c r="Q419" s="103"/>
      <c r="R419" s="103"/>
      <c r="S419" s="103"/>
      <c r="T419" s="79"/>
      <c r="U419" s="79"/>
      <c r="V419" s="79"/>
      <c r="W419" s="79"/>
      <c r="X419" s="79"/>
      <c r="Y419" s="79"/>
      <c r="Z419" s="79"/>
    </row>
    <row r="420" ht="21.0" customHeight="1">
      <c r="A420" s="79"/>
      <c r="B420" s="79"/>
      <c r="C420" s="104"/>
      <c r="D420" s="104"/>
      <c r="E420" s="104"/>
      <c r="F420" s="104"/>
      <c r="G420" s="104"/>
      <c r="H420" s="104"/>
      <c r="I420" s="104"/>
      <c r="J420" s="104"/>
      <c r="K420" s="104"/>
      <c r="L420" s="102"/>
      <c r="M420" s="102"/>
      <c r="N420" s="102"/>
      <c r="O420" s="102"/>
      <c r="P420" s="103"/>
      <c r="Q420" s="103"/>
      <c r="R420" s="103"/>
      <c r="S420" s="103"/>
      <c r="T420" s="79"/>
      <c r="U420" s="79"/>
      <c r="V420" s="79"/>
      <c r="W420" s="79"/>
      <c r="X420" s="79"/>
      <c r="Y420" s="79"/>
      <c r="Z420" s="79"/>
    </row>
    <row r="421" ht="21.0" customHeight="1">
      <c r="A421" s="79"/>
      <c r="B421" s="79"/>
      <c r="C421" s="104"/>
      <c r="D421" s="104"/>
      <c r="E421" s="104"/>
      <c r="F421" s="104"/>
      <c r="G421" s="104"/>
      <c r="H421" s="104"/>
      <c r="I421" s="104"/>
      <c r="J421" s="104"/>
      <c r="K421" s="104"/>
      <c r="L421" s="102"/>
      <c r="M421" s="102"/>
      <c r="N421" s="102"/>
      <c r="O421" s="102"/>
      <c r="P421" s="103"/>
      <c r="Q421" s="103"/>
      <c r="R421" s="103"/>
      <c r="S421" s="103"/>
      <c r="T421" s="79"/>
      <c r="U421" s="79"/>
      <c r="V421" s="79"/>
      <c r="W421" s="79"/>
      <c r="X421" s="79"/>
      <c r="Y421" s="79"/>
      <c r="Z421" s="79"/>
    </row>
    <row r="422" ht="21.0" customHeight="1">
      <c r="A422" s="79"/>
      <c r="B422" s="79"/>
      <c r="C422" s="104"/>
      <c r="D422" s="104"/>
      <c r="E422" s="104"/>
      <c r="F422" s="104"/>
      <c r="G422" s="104"/>
      <c r="H422" s="104"/>
      <c r="I422" s="104"/>
      <c r="J422" s="104"/>
      <c r="K422" s="104"/>
      <c r="L422" s="102"/>
      <c r="M422" s="102"/>
      <c r="N422" s="102"/>
      <c r="O422" s="102"/>
      <c r="P422" s="103"/>
      <c r="Q422" s="103"/>
      <c r="R422" s="103"/>
      <c r="S422" s="103"/>
      <c r="T422" s="79"/>
      <c r="U422" s="79"/>
      <c r="V422" s="79"/>
      <c r="W422" s="79"/>
      <c r="X422" s="79"/>
      <c r="Y422" s="79"/>
      <c r="Z422" s="79"/>
    </row>
    <row r="423" ht="21.0" customHeight="1">
      <c r="A423" s="79"/>
      <c r="B423" s="79"/>
      <c r="C423" s="104"/>
      <c r="D423" s="104"/>
      <c r="E423" s="104"/>
      <c r="F423" s="104"/>
      <c r="G423" s="104"/>
      <c r="H423" s="104"/>
      <c r="I423" s="104"/>
      <c r="J423" s="104"/>
      <c r="K423" s="104"/>
      <c r="L423" s="102"/>
      <c r="M423" s="102"/>
      <c r="N423" s="102"/>
      <c r="O423" s="102"/>
      <c r="P423" s="103"/>
      <c r="Q423" s="103"/>
      <c r="R423" s="103"/>
      <c r="S423" s="103"/>
      <c r="T423" s="79"/>
      <c r="U423" s="79"/>
      <c r="V423" s="79"/>
      <c r="W423" s="79"/>
      <c r="X423" s="79"/>
      <c r="Y423" s="79"/>
      <c r="Z423" s="79"/>
    </row>
    <row r="424" ht="21.0" customHeight="1">
      <c r="A424" s="79"/>
      <c r="B424" s="79"/>
      <c r="C424" s="104"/>
      <c r="D424" s="104"/>
      <c r="E424" s="104"/>
      <c r="F424" s="104"/>
      <c r="G424" s="104"/>
      <c r="H424" s="104"/>
      <c r="I424" s="104"/>
      <c r="J424" s="104"/>
      <c r="K424" s="104"/>
      <c r="L424" s="102"/>
      <c r="M424" s="102"/>
      <c r="N424" s="102"/>
      <c r="O424" s="102"/>
      <c r="P424" s="103"/>
      <c r="Q424" s="103"/>
      <c r="R424" s="103"/>
      <c r="S424" s="103"/>
      <c r="T424" s="79"/>
      <c r="U424" s="79"/>
      <c r="V424" s="79"/>
      <c r="W424" s="79"/>
      <c r="X424" s="79"/>
      <c r="Y424" s="79"/>
      <c r="Z424" s="79"/>
    </row>
    <row r="425" ht="21.0" customHeight="1">
      <c r="A425" s="79"/>
      <c r="B425" s="79"/>
      <c r="C425" s="104"/>
      <c r="D425" s="104"/>
      <c r="E425" s="104"/>
      <c r="F425" s="104"/>
      <c r="G425" s="104"/>
      <c r="H425" s="104"/>
      <c r="I425" s="104"/>
      <c r="J425" s="104"/>
      <c r="K425" s="104"/>
      <c r="L425" s="102"/>
      <c r="M425" s="102"/>
      <c r="N425" s="102"/>
      <c r="O425" s="102"/>
      <c r="P425" s="103"/>
      <c r="Q425" s="103"/>
      <c r="R425" s="103"/>
      <c r="S425" s="103"/>
      <c r="T425" s="79"/>
      <c r="U425" s="79"/>
      <c r="V425" s="79"/>
      <c r="W425" s="79"/>
      <c r="X425" s="79"/>
      <c r="Y425" s="79"/>
      <c r="Z425" s="79"/>
    </row>
    <row r="426" ht="21.0" customHeight="1">
      <c r="A426" s="79"/>
      <c r="B426" s="79"/>
      <c r="C426" s="104"/>
      <c r="D426" s="104"/>
      <c r="E426" s="104"/>
      <c r="F426" s="104"/>
      <c r="G426" s="104"/>
      <c r="H426" s="104"/>
      <c r="I426" s="104"/>
      <c r="J426" s="104"/>
      <c r="K426" s="104"/>
      <c r="L426" s="102"/>
      <c r="M426" s="102"/>
      <c r="N426" s="102"/>
      <c r="O426" s="102"/>
      <c r="P426" s="103"/>
      <c r="Q426" s="103"/>
      <c r="R426" s="103"/>
      <c r="S426" s="103"/>
      <c r="T426" s="79"/>
      <c r="U426" s="79"/>
      <c r="V426" s="79"/>
      <c r="W426" s="79"/>
      <c r="X426" s="79"/>
      <c r="Y426" s="79"/>
      <c r="Z426" s="79"/>
    </row>
    <row r="427" ht="21.0" customHeight="1">
      <c r="A427" s="79"/>
      <c r="B427" s="79"/>
      <c r="C427" s="104"/>
      <c r="D427" s="104"/>
      <c r="E427" s="104"/>
      <c r="F427" s="104"/>
      <c r="G427" s="104"/>
      <c r="H427" s="104"/>
      <c r="I427" s="104"/>
      <c r="J427" s="104"/>
      <c r="K427" s="104"/>
      <c r="L427" s="102"/>
      <c r="M427" s="102"/>
      <c r="N427" s="102"/>
      <c r="O427" s="102"/>
      <c r="P427" s="103"/>
      <c r="Q427" s="103"/>
      <c r="R427" s="103"/>
      <c r="S427" s="103"/>
      <c r="T427" s="79"/>
      <c r="U427" s="79"/>
      <c r="V427" s="79"/>
      <c r="W427" s="79"/>
      <c r="X427" s="79"/>
      <c r="Y427" s="79"/>
      <c r="Z427" s="79"/>
    </row>
    <row r="428" ht="21.0" customHeight="1">
      <c r="A428" s="79"/>
      <c r="B428" s="79"/>
      <c r="C428" s="104"/>
      <c r="D428" s="104"/>
      <c r="E428" s="104"/>
      <c r="F428" s="104"/>
      <c r="G428" s="104"/>
      <c r="H428" s="104"/>
      <c r="I428" s="104"/>
      <c r="J428" s="104"/>
      <c r="K428" s="104"/>
      <c r="L428" s="102"/>
      <c r="M428" s="102"/>
      <c r="N428" s="102"/>
      <c r="O428" s="102"/>
      <c r="P428" s="103"/>
      <c r="Q428" s="103"/>
      <c r="R428" s="103"/>
      <c r="S428" s="103"/>
      <c r="T428" s="79"/>
      <c r="U428" s="79"/>
      <c r="V428" s="79"/>
      <c r="W428" s="79"/>
      <c r="X428" s="79"/>
      <c r="Y428" s="79"/>
      <c r="Z428" s="79"/>
    </row>
    <row r="429" ht="21.0" customHeight="1">
      <c r="A429" s="79"/>
      <c r="B429" s="79"/>
      <c r="C429" s="104"/>
      <c r="D429" s="104"/>
      <c r="E429" s="104"/>
      <c r="F429" s="104"/>
      <c r="G429" s="104"/>
      <c r="H429" s="104"/>
      <c r="I429" s="104"/>
      <c r="J429" s="104"/>
      <c r="K429" s="104"/>
      <c r="L429" s="102"/>
      <c r="M429" s="102"/>
      <c r="N429" s="102"/>
      <c r="O429" s="102"/>
      <c r="P429" s="103"/>
      <c r="Q429" s="103"/>
      <c r="R429" s="103"/>
      <c r="S429" s="103"/>
      <c r="T429" s="79"/>
      <c r="U429" s="79"/>
      <c r="V429" s="79"/>
      <c r="W429" s="79"/>
      <c r="X429" s="79"/>
      <c r="Y429" s="79"/>
      <c r="Z429" s="79"/>
    </row>
    <row r="430" ht="21.0" customHeight="1">
      <c r="A430" s="79"/>
      <c r="B430" s="79"/>
      <c r="C430" s="104"/>
      <c r="D430" s="104"/>
      <c r="E430" s="104"/>
      <c r="F430" s="104"/>
      <c r="G430" s="104"/>
      <c r="H430" s="104"/>
      <c r="I430" s="104"/>
      <c r="J430" s="104"/>
      <c r="K430" s="104"/>
      <c r="L430" s="102"/>
      <c r="M430" s="102"/>
      <c r="N430" s="102"/>
      <c r="O430" s="102"/>
      <c r="P430" s="103"/>
      <c r="Q430" s="103"/>
      <c r="R430" s="103"/>
      <c r="S430" s="103"/>
      <c r="T430" s="79"/>
      <c r="U430" s="79"/>
      <c r="V430" s="79"/>
      <c r="W430" s="79"/>
      <c r="X430" s="79"/>
      <c r="Y430" s="79"/>
      <c r="Z430" s="79"/>
    </row>
    <row r="431" ht="21.0" customHeight="1">
      <c r="A431" s="79"/>
      <c r="B431" s="79"/>
      <c r="C431" s="104"/>
      <c r="D431" s="104"/>
      <c r="E431" s="104"/>
      <c r="F431" s="104"/>
      <c r="G431" s="104"/>
      <c r="H431" s="104"/>
      <c r="I431" s="104"/>
      <c r="J431" s="104"/>
      <c r="K431" s="104"/>
      <c r="L431" s="102"/>
      <c r="M431" s="102"/>
      <c r="N431" s="102"/>
      <c r="O431" s="102"/>
      <c r="P431" s="103"/>
      <c r="Q431" s="103"/>
      <c r="R431" s="103"/>
      <c r="S431" s="103"/>
      <c r="T431" s="79"/>
      <c r="U431" s="79"/>
      <c r="V431" s="79"/>
      <c r="W431" s="79"/>
      <c r="X431" s="79"/>
      <c r="Y431" s="79"/>
      <c r="Z431" s="79"/>
    </row>
    <row r="432" ht="21.0" customHeight="1">
      <c r="A432" s="79"/>
      <c r="B432" s="79"/>
      <c r="C432" s="104"/>
      <c r="D432" s="104"/>
      <c r="E432" s="104"/>
      <c r="F432" s="104"/>
      <c r="G432" s="104"/>
      <c r="H432" s="104"/>
      <c r="I432" s="104"/>
      <c r="J432" s="104"/>
      <c r="K432" s="104"/>
      <c r="L432" s="102"/>
      <c r="M432" s="102"/>
      <c r="N432" s="102"/>
      <c r="O432" s="102"/>
      <c r="P432" s="103"/>
      <c r="Q432" s="103"/>
      <c r="R432" s="103"/>
      <c r="S432" s="103"/>
      <c r="T432" s="79"/>
      <c r="U432" s="79"/>
      <c r="V432" s="79"/>
      <c r="W432" s="79"/>
      <c r="X432" s="79"/>
      <c r="Y432" s="79"/>
      <c r="Z432" s="79"/>
    </row>
    <row r="433" ht="21.0" customHeight="1">
      <c r="A433" s="79"/>
      <c r="B433" s="79"/>
      <c r="C433" s="104"/>
      <c r="D433" s="104"/>
      <c r="E433" s="104"/>
      <c r="F433" s="104"/>
      <c r="G433" s="104"/>
      <c r="H433" s="104"/>
      <c r="I433" s="104"/>
      <c r="J433" s="104"/>
      <c r="K433" s="104"/>
      <c r="L433" s="102"/>
      <c r="M433" s="102"/>
      <c r="N433" s="102"/>
      <c r="O433" s="102"/>
      <c r="P433" s="103"/>
      <c r="Q433" s="103"/>
      <c r="R433" s="103"/>
      <c r="S433" s="103"/>
      <c r="T433" s="79"/>
      <c r="U433" s="79"/>
      <c r="V433" s="79"/>
      <c r="W433" s="79"/>
      <c r="X433" s="79"/>
      <c r="Y433" s="79"/>
      <c r="Z433" s="79"/>
    </row>
    <row r="434" ht="21.0" customHeight="1">
      <c r="A434" s="79"/>
      <c r="B434" s="79"/>
      <c r="C434" s="104"/>
      <c r="D434" s="104"/>
      <c r="E434" s="104"/>
      <c r="F434" s="104"/>
      <c r="G434" s="104"/>
      <c r="H434" s="104"/>
      <c r="I434" s="104"/>
      <c r="J434" s="104"/>
      <c r="K434" s="104"/>
      <c r="L434" s="102"/>
      <c r="M434" s="102"/>
      <c r="N434" s="102"/>
      <c r="O434" s="102"/>
      <c r="P434" s="103"/>
      <c r="Q434" s="103"/>
      <c r="R434" s="103"/>
      <c r="S434" s="103"/>
      <c r="T434" s="79"/>
      <c r="U434" s="79"/>
      <c r="V434" s="79"/>
      <c r="W434" s="79"/>
      <c r="X434" s="79"/>
      <c r="Y434" s="79"/>
      <c r="Z434" s="79"/>
    </row>
    <row r="435" ht="21.0" customHeight="1">
      <c r="A435" s="79"/>
      <c r="B435" s="79"/>
      <c r="C435" s="104"/>
      <c r="D435" s="104"/>
      <c r="E435" s="104"/>
      <c r="F435" s="104"/>
      <c r="G435" s="104"/>
      <c r="H435" s="104"/>
      <c r="I435" s="104"/>
      <c r="J435" s="104"/>
      <c r="K435" s="104"/>
      <c r="L435" s="102"/>
      <c r="M435" s="102"/>
      <c r="N435" s="102"/>
      <c r="O435" s="102"/>
      <c r="P435" s="103"/>
      <c r="Q435" s="103"/>
      <c r="R435" s="103"/>
      <c r="S435" s="103"/>
      <c r="T435" s="79"/>
      <c r="U435" s="79"/>
      <c r="V435" s="79"/>
      <c r="W435" s="79"/>
      <c r="X435" s="79"/>
      <c r="Y435" s="79"/>
      <c r="Z435" s="79"/>
    </row>
    <row r="436" ht="21.0" customHeight="1">
      <c r="A436" s="79"/>
      <c r="B436" s="79"/>
      <c r="C436" s="104"/>
      <c r="D436" s="104"/>
      <c r="E436" s="104"/>
      <c r="F436" s="104"/>
      <c r="G436" s="104"/>
      <c r="H436" s="104"/>
      <c r="I436" s="104"/>
      <c r="J436" s="104"/>
      <c r="K436" s="104"/>
      <c r="L436" s="102"/>
      <c r="M436" s="102"/>
      <c r="N436" s="102"/>
      <c r="O436" s="102"/>
      <c r="P436" s="103"/>
      <c r="Q436" s="103"/>
      <c r="R436" s="103"/>
      <c r="S436" s="103"/>
      <c r="T436" s="79"/>
      <c r="U436" s="79"/>
      <c r="V436" s="79"/>
      <c r="W436" s="79"/>
      <c r="X436" s="79"/>
      <c r="Y436" s="79"/>
      <c r="Z436" s="79"/>
    </row>
    <row r="437" ht="21.0" customHeight="1">
      <c r="A437" s="79"/>
      <c r="B437" s="79"/>
      <c r="C437" s="104"/>
      <c r="D437" s="104"/>
      <c r="E437" s="104"/>
      <c r="F437" s="104"/>
      <c r="G437" s="104"/>
      <c r="H437" s="104"/>
      <c r="I437" s="104"/>
      <c r="J437" s="104"/>
      <c r="K437" s="104"/>
      <c r="L437" s="102"/>
      <c r="M437" s="102"/>
      <c r="N437" s="102"/>
      <c r="O437" s="102"/>
      <c r="P437" s="103"/>
      <c r="Q437" s="103"/>
      <c r="R437" s="103"/>
      <c r="S437" s="103"/>
      <c r="T437" s="79"/>
      <c r="U437" s="79"/>
      <c r="V437" s="79"/>
      <c r="W437" s="79"/>
      <c r="X437" s="79"/>
      <c r="Y437" s="79"/>
      <c r="Z437" s="79"/>
    </row>
    <row r="438" ht="21.0" customHeight="1">
      <c r="A438" s="79"/>
      <c r="B438" s="79"/>
      <c r="C438" s="104"/>
      <c r="D438" s="104"/>
      <c r="E438" s="104"/>
      <c r="F438" s="104"/>
      <c r="G438" s="104"/>
      <c r="H438" s="104"/>
      <c r="I438" s="104"/>
      <c r="J438" s="104"/>
      <c r="K438" s="104"/>
      <c r="L438" s="102"/>
      <c r="M438" s="102"/>
      <c r="N438" s="102"/>
      <c r="O438" s="102"/>
      <c r="P438" s="103"/>
      <c r="Q438" s="103"/>
      <c r="R438" s="103"/>
      <c r="S438" s="103"/>
      <c r="T438" s="79"/>
      <c r="U438" s="79"/>
      <c r="V438" s="79"/>
      <c r="W438" s="79"/>
      <c r="X438" s="79"/>
      <c r="Y438" s="79"/>
      <c r="Z438" s="79"/>
    </row>
    <row r="439" ht="21.0" customHeight="1">
      <c r="A439" s="79"/>
      <c r="B439" s="79"/>
      <c r="C439" s="104"/>
      <c r="D439" s="104"/>
      <c r="E439" s="104"/>
      <c r="F439" s="104"/>
      <c r="G439" s="104"/>
      <c r="H439" s="104"/>
      <c r="I439" s="104"/>
      <c r="J439" s="104"/>
      <c r="K439" s="104"/>
      <c r="L439" s="102"/>
      <c r="M439" s="102"/>
      <c r="N439" s="102"/>
      <c r="O439" s="102"/>
      <c r="P439" s="103"/>
      <c r="Q439" s="103"/>
      <c r="R439" s="103"/>
      <c r="S439" s="103"/>
      <c r="T439" s="79"/>
      <c r="U439" s="79"/>
      <c r="V439" s="79"/>
      <c r="W439" s="79"/>
      <c r="X439" s="79"/>
      <c r="Y439" s="79"/>
      <c r="Z439" s="79"/>
    </row>
    <row r="440" ht="21.0" customHeight="1">
      <c r="A440" s="79"/>
      <c r="B440" s="79"/>
      <c r="C440" s="104"/>
      <c r="D440" s="104"/>
      <c r="E440" s="104"/>
      <c r="F440" s="104"/>
      <c r="G440" s="104"/>
      <c r="H440" s="104"/>
      <c r="I440" s="104"/>
      <c r="J440" s="104"/>
      <c r="K440" s="104"/>
      <c r="L440" s="102"/>
      <c r="M440" s="102"/>
      <c r="N440" s="102"/>
      <c r="O440" s="102"/>
      <c r="P440" s="103"/>
      <c r="Q440" s="103"/>
      <c r="R440" s="103"/>
      <c r="S440" s="103"/>
      <c r="T440" s="79"/>
      <c r="U440" s="79"/>
      <c r="V440" s="79"/>
      <c r="W440" s="79"/>
      <c r="X440" s="79"/>
      <c r="Y440" s="79"/>
      <c r="Z440" s="79"/>
    </row>
    <row r="441" ht="21.0" customHeight="1">
      <c r="A441" s="79"/>
      <c r="B441" s="79"/>
      <c r="C441" s="104"/>
      <c r="D441" s="104"/>
      <c r="E441" s="104"/>
      <c r="F441" s="104"/>
      <c r="G441" s="104"/>
      <c r="H441" s="104"/>
      <c r="I441" s="104"/>
      <c r="J441" s="104"/>
      <c r="K441" s="104"/>
      <c r="L441" s="102"/>
      <c r="M441" s="102"/>
      <c r="N441" s="102"/>
      <c r="O441" s="102"/>
      <c r="P441" s="103"/>
      <c r="Q441" s="103"/>
      <c r="R441" s="103"/>
      <c r="S441" s="103"/>
      <c r="T441" s="79"/>
      <c r="U441" s="79"/>
      <c r="V441" s="79"/>
      <c r="W441" s="79"/>
      <c r="X441" s="79"/>
      <c r="Y441" s="79"/>
      <c r="Z441" s="79"/>
    </row>
    <row r="442" ht="21.0" customHeight="1">
      <c r="A442" s="79"/>
      <c r="B442" s="79"/>
      <c r="C442" s="104"/>
      <c r="D442" s="104"/>
      <c r="E442" s="104"/>
      <c r="F442" s="104"/>
      <c r="G442" s="104"/>
      <c r="H442" s="104"/>
      <c r="I442" s="104"/>
      <c r="J442" s="104"/>
      <c r="K442" s="104"/>
      <c r="L442" s="102"/>
      <c r="M442" s="102"/>
      <c r="N442" s="102"/>
      <c r="O442" s="102"/>
      <c r="P442" s="103"/>
      <c r="Q442" s="103"/>
      <c r="R442" s="103"/>
      <c r="S442" s="103"/>
      <c r="T442" s="79"/>
      <c r="U442" s="79"/>
      <c r="V442" s="79"/>
      <c r="W442" s="79"/>
      <c r="X442" s="79"/>
      <c r="Y442" s="79"/>
      <c r="Z442" s="79"/>
    </row>
    <row r="443" ht="21.0" customHeight="1">
      <c r="A443" s="79"/>
      <c r="B443" s="79"/>
      <c r="C443" s="104"/>
      <c r="D443" s="104"/>
      <c r="E443" s="104"/>
      <c r="F443" s="104"/>
      <c r="G443" s="104"/>
      <c r="H443" s="104"/>
      <c r="I443" s="104"/>
      <c r="J443" s="104"/>
      <c r="K443" s="104"/>
      <c r="L443" s="102"/>
      <c r="M443" s="102"/>
      <c r="N443" s="102"/>
      <c r="O443" s="102"/>
      <c r="P443" s="103"/>
      <c r="Q443" s="103"/>
      <c r="R443" s="103"/>
      <c r="S443" s="103"/>
      <c r="T443" s="79"/>
      <c r="U443" s="79"/>
      <c r="V443" s="79"/>
      <c r="W443" s="79"/>
      <c r="X443" s="79"/>
      <c r="Y443" s="79"/>
      <c r="Z443" s="79"/>
    </row>
    <row r="444" ht="21.0" customHeight="1">
      <c r="A444" s="79"/>
      <c r="B444" s="79"/>
      <c r="C444" s="104"/>
      <c r="D444" s="104"/>
      <c r="E444" s="104"/>
      <c r="F444" s="104"/>
      <c r="G444" s="104"/>
      <c r="H444" s="104"/>
      <c r="I444" s="104"/>
      <c r="J444" s="104"/>
      <c r="K444" s="104"/>
      <c r="L444" s="102"/>
      <c r="M444" s="102"/>
      <c r="N444" s="102"/>
      <c r="O444" s="102"/>
      <c r="P444" s="103"/>
      <c r="Q444" s="103"/>
      <c r="R444" s="103"/>
      <c r="S444" s="103"/>
      <c r="T444" s="79"/>
      <c r="U444" s="79"/>
      <c r="V444" s="79"/>
      <c r="W444" s="79"/>
      <c r="X444" s="79"/>
      <c r="Y444" s="79"/>
      <c r="Z444" s="79"/>
    </row>
    <row r="445" ht="21.0" customHeight="1">
      <c r="A445" s="79"/>
      <c r="B445" s="79"/>
      <c r="C445" s="104"/>
      <c r="D445" s="104"/>
      <c r="E445" s="104"/>
      <c r="F445" s="104"/>
      <c r="G445" s="104"/>
      <c r="H445" s="104"/>
      <c r="I445" s="104"/>
      <c r="J445" s="104"/>
      <c r="K445" s="104"/>
      <c r="L445" s="102"/>
      <c r="M445" s="102"/>
      <c r="N445" s="102"/>
      <c r="O445" s="102"/>
      <c r="P445" s="103"/>
      <c r="Q445" s="103"/>
      <c r="R445" s="103"/>
      <c r="S445" s="103"/>
      <c r="T445" s="79"/>
      <c r="U445" s="79"/>
      <c r="V445" s="79"/>
      <c r="W445" s="79"/>
      <c r="X445" s="79"/>
      <c r="Y445" s="79"/>
      <c r="Z445" s="79"/>
    </row>
    <row r="446" ht="21.0" customHeight="1">
      <c r="A446" s="79"/>
      <c r="B446" s="79"/>
      <c r="C446" s="104"/>
      <c r="D446" s="104"/>
      <c r="E446" s="104"/>
      <c r="F446" s="104"/>
      <c r="G446" s="104"/>
      <c r="H446" s="104"/>
      <c r="I446" s="104"/>
      <c r="J446" s="104"/>
      <c r="K446" s="104"/>
      <c r="L446" s="102"/>
      <c r="M446" s="102"/>
      <c r="N446" s="102"/>
      <c r="O446" s="102"/>
      <c r="P446" s="103"/>
      <c r="Q446" s="103"/>
      <c r="R446" s="103"/>
      <c r="S446" s="103"/>
      <c r="T446" s="79"/>
      <c r="U446" s="79"/>
      <c r="V446" s="79"/>
      <c r="W446" s="79"/>
      <c r="X446" s="79"/>
      <c r="Y446" s="79"/>
      <c r="Z446" s="79"/>
    </row>
    <row r="447" ht="21.0" customHeight="1">
      <c r="A447" s="79"/>
      <c r="B447" s="79"/>
      <c r="C447" s="104"/>
      <c r="D447" s="104"/>
      <c r="E447" s="104"/>
      <c r="F447" s="104"/>
      <c r="G447" s="104"/>
      <c r="H447" s="104"/>
      <c r="I447" s="104"/>
      <c r="J447" s="104"/>
      <c r="K447" s="104"/>
      <c r="L447" s="102"/>
      <c r="M447" s="102"/>
      <c r="N447" s="102"/>
      <c r="O447" s="102"/>
      <c r="P447" s="103"/>
      <c r="Q447" s="103"/>
      <c r="R447" s="103"/>
      <c r="S447" s="103"/>
      <c r="T447" s="79"/>
      <c r="U447" s="79"/>
      <c r="V447" s="79"/>
      <c r="W447" s="79"/>
      <c r="X447" s="79"/>
      <c r="Y447" s="79"/>
      <c r="Z447" s="79"/>
    </row>
    <row r="448" ht="21.0" customHeight="1">
      <c r="A448" s="79"/>
      <c r="B448" s="79"/>
      <c r="C448" s="104"/>
      <c r="D448" s="104"/>
      <c r="E448" s="104"/>
      <c r="F448" s="104"/>
      <c r="G448" s="104"/>
      <c r="H448" s="104"/>
      <c r="I448" s="104"/>
      <c r="J448" s="104"/>
      <c r="K448" s="104"/>
      <c r="L448" s="102"/>
      <c r="M448" s="102"/>
      <c r="N448" s="102"/>
      <c r="O448" s="102"/>
      <c r="P448" s="103"/>
      <c r="Q448" s="103"/>
      <c r="R448" s="103"/>
      <c r="S448" s="103"/>
      <c r="T448" s="79"/>
      <c r="U448" s="79"/>
      <c r="V448" s="79"/>
      <c r="W448" s="79"/>
      <c r="X448" s="79"/>
      <c r="Y448" s="79"/>
      <c r="Z448" s="79"/>
    </row>
    <row r="449" ht="21.0" customHeight="1">
      <c r="A449" s="79"/>
      <c r="B449" s="79"/>
      <c r="C449" s="104"/>
      <c r="D449" s="104"/>
      <c r="E449" s="104"/>
      <c r="F449" s="104"/>
      <c r="G449" s="104"/>
      <c r="H449" s="104"/>
      <c r="I449" s="104"/>
      <c r="J449" s="104"/>
      <c r="K449" s="104"/>
      <c r="L449" s="102"/>
      <c r="M449" s="102"/>
      <c r="N449" s="102"/>
      <c r="O449" s="102"/>
      <c r="P449" s="103"/>
      <c r="Q449" s="103"/>
      <c r="R449" s="103"/>
      <c r="S449" s="103"/>
      <c r="T449" s="79"/>
      <c r="U449" s="79"/>
      <c r="V449" s="79"/>
      <c r="W449" s="79"/>
      <c r="X449" s="79"/>
      <c r="Y449" s="79"/>
      <c r="Z449" s="79"/>
    </row>
    <row r="450" ht="21.0" customHeight="1">
      <c r="A450" s="79"/>
      <c r="B450" s="79"/>
      <c r="C450" s="104"/>
      <c r="D450" s="104"/>
      <c r="E450" s="104"/>
      <c r="F450" s="104"/>
      <c r="G450" s="104"/>
      <c r="H450" s="104"/>
      <c r="I450" s="104"/>
      <c r="J450" s="104"/>
      <c r="K450" s="104"/>
      <c r="L450" s="102"/>
      <c r="M450" s="102"/>
      <c r="N450" s="102"/>
      <c r="O450" s="102"/>
      <c r="P450" s="103"/>
      <c r="Q450" s="103"/>
      <c r="R450" s="103"/>
      <c r="S450" s="103"/>
      <c r="T450" s="79"/>
      <c r="U450" s="79"/>
      <c r="V450" s="79"/>
      <c r="W450" s="79"/>
      <c r="X450" s="79"/>
      <c r="Y450" s="79"/>
      <c r="Z450" s="79"/>
    </row>
    <row r="451" ht="21.0" customHeight="1">
      <c r="A451" s="79"/>
      <c r="B451" s="79"/>
      <c r="C451" s="104"/>
      <c r="D451" s="104"/>
      <c r="E451" s="104"/>
      <c r="F451" s="104"/>
      <c r="G451" s="104"/>
      <c r="H451" s="104"/>
      <c r="I451" s="104"/>
      <c r="J451" s="104"/>
      <c r="K451" s="104"/>
      <c r="L451" s="102"/>
      <c r="M451" s="102"/>
      <c r="N451" s="102"/>
      <c r="O451" s="102"/>
      <c r="P451" s="103"/>
      <c r="Q451" s="103"/>
      <c r="R451" s="103"/>
      <c r="S451" s="103"/>
      <c r="T451" s="79"/>
      <c r="U451" s="79"/>
      <c r="V451" s="79"/>
      <c r="W451" s="79"/>
      <c r="X451" s="79"/>
      <c r="Y451" s="79"/>
      <c r="Z451" s="79"/>
    </row>
    <row r="452" ht="21.0" customHeight="1">
      <c r="A452" s="79"/>
      <c r="B452" s="79"/>
      <c r="C452" s="104"/>
      <c r="D452" s="104"/>
      <c r="E452" s="104"/>
      <c r="F452" s="104"/>
      <c r="G452" s="104"/>
      <c r="H452" s="104"/>
      <c r="I452" s="104"/>
      <c r="J452" s="104"/>
      <c r="K452" s="104"/>
      <c r="L452" s="102"/>
      <c r="M452" s="102"/>
      <c r="N452" s="102"/>
      <c r="O452" s="102"/>
      <c r="P452" s="103"/>
      <c r="Q452" s="103"/>
      <c r="R452" s="103"/>
      <c r="S452" s="103"/>
      <c r="T452" s="79"/>
      <c r="U452" s="79"/>
      <c r="V452" s="79"/>
      <c r="W452" s="79"/>
      <c r="X452" s="79"/>
      <c r="Y452" s="79"/>
      <c r="Z452" s="79"/>
    </row>
    <row r="453" ht="21.0" customHeight="1">
      <c r="A453" s="79"/>
      <c r="B453" s="79"/>
      <c r="C453" s="104"/>
      <c r="D453" s="104"/>
      <c r="E453" s="104"/>
      <c r="F453" s="104"/>
      <c r="G453" s="104"/>
      <c r="H453" s="104"/>
      <c r="I453" s="104"/>
      <c r="J453" s="104"/>
      <c r="K453" s="104"/>
      <c r="L453" s="102"/>
      <c r="M453" s="102"/>
      <c r="N453" s="102"/>
      <c r="O453" s="102"/>
      <c r="P453" s="103"/>
      <c r="Q453" s="103"/>
      <c r="R453" s="103"/>
      <c r="S453" s="103"/>
      <c r="T453" s="79"/>
      <c r="U453" s="79"/>
      <c r="V453" s="79"/>
      <c r="W453" s="79"/>
      <c r="X453" s="79"/>
      <c r="Y453" s="79"/>
      <c r="Z453" s="79"/>
    </row>
    <row r="454" ht="21.0" customHeight="1">
      <c r="A454" s="79"/>
      <c r="B454" s="79"/>
      <c r="C454" s="104"/>
      <c r="D454" s="104"/>
      <c r="E454" s="104"/>
      <c r="F454" s="104"/>
      <c r="G454" s="104"/>
      <c r="H454" s="104"/>
      <c r="I454" s="104"/>
      <c r="J454" s="104"/>
      <c r="K454" s="104"/>
      <c r="L454" s="102"/>
      <c r="M454" s="102"/>
      <c r="N454" s="102"/>
      <c r="O454" s="102"/>
      <c r="P454" s="103"/>
      <c r="Q454" s="103"/>
      <c r="R454" s="103"/>
      <c r="S454" s="103"/>
      <c r="T454" s="79"/>
      <c r="U454" s="79"/>
      <c r="V454" s="79"/>
      <c r="W454" s="79"/>
      <c r="X454" s="79"/>
      <c r="Y454" s="79"/>
      <c r="Z454" s="79"/>
    </row>
    <row r="455" ht="21.0" customHeight="1">
      <c r="A455" s="79"/>
      <c r="B455" s="79"/>
      <c r="C455" s="104"/>
      <c r="D455" s="104"/>
      <c r="E455" s="104"/>
      <c r="F455" s="104"/>
      <c r="G455" s="104"/>
      <c r="H455" s="104"/>
      <c r="I455" s="104"/>
      <c r="J455" s="104"/>
      <c r="K455" s="104"/>
      <c r="L455" s="102"/>
      <c r="M455" s="102"/>
      <c r="N455" s="102"/>
      <c r="O455" s="102"/>
      <c r="P455" s="103"/>
      <c r="Q455" s="103"/>
      <c r="R455" s="103"/>
      <c r="S455" s="103"/>
      <c r="T455" s="79"/>
      <c r="U455" s="79"/>
      <c r="V455" s="79"/>
      <c r="W455" s="79"/>
      <c r="X455" s="79"/>
      <c r="Y455" s="79"/>
      <c r="Z455" s="79"/>
    </row>
    <row r="456" ht="21.0" customHeight="1">
      <c r="A456" s="79"/>
      <c r="B456" s="79"/>
      <c r="C456" s="104"/>
      <c r="D456" s="104"/>
      <c r="E456" s="104"/>
      <c r="F456" s="104"/>
      <c r="G456" s="104"/>
      <c r="H456" s="104"/>
      <c r="I456" s="104"/>
      <c r="J456" s="104"/>
      <c r="K456" s="104"/>
      <c r="L456" s="102"/>
      <c r="M456" s="102"/>
      <c r="N456" s="102"/>
      <c r="O456" s="102"/>
      <c r="P456" s="103"/>
      <c r="Q456" s="103"/>
      <c r="R456" s="103"/>
      <c r="S456" s="103"/>
      <c r="T456" s="79"/>
      <c r="U456" s="79"/>
      <c r="V456" s="79"/>
      <c r="W456" s="79"/>
      <c r="X456" s="79"/>
      <c r="Y456" s="79"/>
      <c r="Z456" s="79"/>
    </row>
    <row r="457" ht="21.0" customHeight="1">
      <c r="A457" s="79"/>
      <c r="B457" s="79"/>
      <c r="C457" s="104"/>
      <c r="D457" s="104"/>
      <c r="E457" s="104"/>
      <c r="F457" s="104"/>
      <c r="G457" s="104"/>
      <c r="H457" s="104"/>
      <c r="I457" s="104"/>
      <c r="J457" s="104"/>
      <c r="K457" s="104"/>
      <c r="L457" s="102"/>
      <c r="M457" s="102"/>
      <c r="N457" s="102"/>
      <c r="O457" s="102"/>
      <c r="P457" s="103"/>
      <c r="Q457" s="103"/>
      <c r="R457" s="103"/>
      <c r="S457" s="103"/>
      <c r="T457" s="79"/>
      <c r="U457" s="79"/>
      <c r="V457" s="79"/>
      <c r="W457" s="79"/>
      <c r="X457" s="79"/>
      <c r="Y457" s="79"/>
      <c r="Z457" s="79"/>
    </row>
    <row r="458" ht="21.0" customHeight="1">
      <c r="A458" s="79"/>
      <c r="B458" s="79"/>
      <c r="C458" s="104"/>
      <c r="D458" s="104"/>
      <c r="E458" s="104"/>
      <c r="F458" s="104"/>
      <c r="G458" s="104"/>
      <c r="H458" s="104"/>
      <c r="I458" s="104"/>
      <c r="J458" s="104"/>
      <c r="K458" s="104"/>
      <c r="L458" s="102"/>
      <c r="M458" s="102"/>
      <c r="N458" s="102"/>
      <c r="O458" s="102"/>
      <c r="P458" s="103"/>
      <c r="Q458" s="103"/>
      <c r="R458" s="103"/>
      <c r="S458" s="103"/>
      <c r="T458" s="79"/>
      <c r="U458" s="79"/>
      <c r="V458" s="79"/>
      <c r="W458" s="79"/>
      <c r="X458" s="79"/>
      <c r="Y458" s="79"/>
      <c r="Z458" s="79"/>
    </row>
    <row r="459" ht="21.0" customHeight="1">
      <c r="A459" s="79"/>
      <c r="B459" s="79"/>
      <c r="C459" s="104"/>
      <c r="D459" s="104"/>
      <c r="E459" s="104"/>
      <c r="F459" s="104"/>
      <c r="G459" s="104"/>
      <c r="H459" s="104"/>
      <c r="I459" s="104"/>
      <c r="J459" s="104"/>
      <c r="K459" s="104"/>
      <c r="L459" s="102"/>
      <c r="M459" s="102"/>
      <c r="N459" s="102"/>
      <c r="O459" s="102"/>
      <c r="P459" s="103"/>
      <c r="Q459" s="103"/>
      <c r="R459" s="103"/>
      <c r="S459" s="103"/>
      <c r="T459" s="79"/>
      <c r="U459" s="79"/>
      <c r="V459" s="79"/>
      <c r="W459" s="79"/>
      <c r="X459" s="79"/>
      <c r="Y459" s="79"/>
      <c r="Z459" s="79"/>
    </row>
    <row r="460" ht="21.0" customHeight="1">
      <c r="A460" s="79"/>
      <c r="B460" s="79"/>
      <c r="C460" s="104"/>
      <c r="D460" s="104"/>
      <c r="E460" s="104"/>
      <c r="F460" s="104"/>
      <c r="G460" s="104"/>
      <c r="H460" s="104"/>
      <c r="I460" s="104"/>
      <c r="J460" s="104"/>
      <c r="K460" s="104"/>
      <c r="L460" s="102"/>
      <c r="M460" s="102"/>
      <c r="N460" s="102"/>
      <c r="O460" s="102"/>
      <c r="P460" s="103"/>
      <c r="Q460" s="103"/>
      <c r="R460" s="103"/>
      <c r="S460" s="103"/>
      <c r="T460" s="79"/>
      <c r="U460" s="79"/>
      <c r="V460" s="79"/>
      <c r="W460" s="79"/>
      <c r="X460" s="79"/>
      <c r="Y460" s="79"/>
      <c r="Z460" s="79"/>
    </row>
    <row r="461" ht="21.0" customHeight="1">
      <c r="A461" s="79"/>
      <c r="B461" s="79"/>
      <c r="C461" s="104"/>
      <c r="D461" s="104"/>
      <c r="E461" s="104"/>
      <c r="F461" s="104"/>
      <c r="G461" s="104"/>
      <c r="H461" s="104"/>
      <c r="I461" s="104"/>
      <c r="J461" s="104"/>
      <c r="K461" s="104"/>
      <c r="L461" s="102"/>
      <c r="M461" s="102"/>
      <c r="N461" s="102"/>
      <c r="O461" s="102"/>
      <c r="P461" s="103"/>
      <c r="Q461" s="103"/>
      <c r="R461" s="103"/>
      <c r="S461" s="103"/>
      <c r="T461" s="79"/>
      <c r="U461" s="79"/>
      <c r="V461" s="79"/>
      <c r="W461" s="79"/>
      <c r="X461" s="79"/>
      <c r="Y461" s="79"/>
      <c r="Z461" s="79"/>
    </row>
    <row r="462" ht="21.0" customHeight="1">
      <c r="A462" s="79"/>
      <c r="B462" s="79"/>
      <c r="C462" s="104"/>
      <c r="D462" s="104"/>
      <c r="E462" s="104"/>
      <c r="F462" s="104"/>
      <c r="G462" s="104"/>
      <c r="H462" s="104"/>
      <c r="I462" s="104"/>
      <c r="J462" s="104"/>
      <c r="K462" s="104"/>
      <c r="L462" s="102"/>
      <c r="M462" s="102"/>
      <c r="N462" s="102"/>
      <c r="O462" s="102"/>
      <c r="P462" s="103"/>
      <c r="Q462" s="103"/>
      <c r="R462" s="103"/>
      <c r="S462" s="103"/>
      <c r="T462" s="79"/>
      <c r="U462" s="79"/>
      <c r="V462" s="79"/>
      <c r="W462" s="79"/>
      <c r="X462" s="79"/>
      <c r="Y462" s="79"/>
      <c r="Z462" s="79"/>
    </row>
    <row r="463" ht="21.0" customHeight="1">
      <c r="A463" s="79"/>
      <c r="B463" s="79"/>
      <c r="C463" s="104"/>
      <c r="D463" s="104"/>
      <c r="E463" s="104"/>
      <c r="F463" s="104"/>
      <c r="G463" s="104"/>
      <c r="H463" s="104"/>
      <c r="I463" s="104"/>
      <c r="J463" s="104"/>
      <c r="K463" s="104"/>
      <c r="L463" s="102"/>
      <c r="M463" s="102"/>
      <c r="N463" s="102"/>
      <c r="O463" s="102"/>
      <c r="P463" s="103"/>
      <c r="Q463" s="103"/>
      <c r="R463" s="103"/>
      <c r="S463" s="103"/>
      <c r="T463" s="79"/>
      <c r="U463" s="79"/>
      <c r="V463" s="79"/>
      <c r="W463" s="79"/>
      <c r="X463" s="79"/>
      <c r="Y463" s="79"/>
      <c r="Z463" s="79"/>
    </row>
    <row r="464" ht="21.0" customHeight="1">
      <c r="A464" s="79"/>
      <c r="B464" s="79"/>
      <c r="C464" s="104"/>
      <c r="D464" s="104"/>
      <c r="E464" s="104"/>
      <c r="F464" s="104"/>
      <c r="G464" s="104"/>
      <c r="H464" s="104"/>
      <c r="I464" s="104"/>
      <c r="J464" s="104"/>
      <c r="K464" s="104"/>
      <c r="L464" s="102"/>
      <c r="M464" s="102"/>
      <c r="N464" s="102"/>
      <c r="O464" s="102"/>
      <c r="P464" s="103"/>
      <c r="Q464" s="103"/>
      <c r="R464" s="103"/>
      <c r="S464" s="103"/>
      <c r="T464" s="79"/>
      <c r="U464" s="79"/>
      <c r="V464" s="79"/>
      <c r="W464" s="79"/>
      <c r="X464" s="79"/>
      <c r="Y464" s="79"/>
      <c r="Z464" s="79"/>
    </row>
    <row r="465" ht="21.0" customHeight="1">
      <c r="A465" s="79"/>
      <c r="B465" s="79"/>
      <c r="C465" s="104"/>
      <c r="D465" s="104"/>
      <c r="E465" s="104"/>
      <c r="F465" s="104"/>
      <c r="G465" s="104"/>
      <c r="H465" s="104"/>
      <c r="I465" s="104"/>
      <c r="J465" s="104"/>
      <c r="K465" s="104"/>
      <c r="L465" s="102"/>
      <c r="M465" s="102"/>
      <c r="N465" s="102"/>
      <c r="O465" s="102"/>
      <c r="P465" s="103"/>
      <c r="Q465" s="103"/>
      <c r="R465" s="103"/>
      <c r="S465" s="103"/>
      <c r="T465" s="79"/>
      <c r="U465" s="79"/>
      <c r="V465" s="79"/>
      <c r="W465" s="79"/>
      <c r="X465" s="79"/>
      <c r="Y465" s="79"/>
      <c r="Z465" s="79"/>
    </row>
    <row r="466" ht="21.0" customHeight="1">
      <c r="A466" s="79"/>
      <c r="B466" s="79"/>
      <c r="C466" s="104"/>
      <c r="D466" s="104"/>
      <c r="E466" s="104"/>
      <c r="F466" s="104"/>
      <c r="G466" s="104"/>
      <c r="H466" s="104"/>
      <c r="I466" s="104"/>
      <c r="J466" s="104"/>
      <c r="K466" s="104"/>
      <c r="L466" s="102"/>
      <c r="M466" s="102"/>
      <c r="N466" s="102"/>
      <c r="O466" s="102"/>
      <c r="P466" s="103"/>
      <c r="Q466" s="103"/>
      <c r="R466" s="103"/>
      <c r="S466" s="103"/>
      <c r="T466" s="79"/>
      <c r="U466" s="79"/>
      <c r="V466" s="79"/>
      <c r="W466" s="79"/>
      <c r="X466" s="79"/>
      <c r="Y466" s="79"/>
      <c r="Z466" s="79"/>
    </row>
    <row r="467" ht="21.0" customHeight="1">
      <c r="A467" s="79"/>
      <c r="B467" s="79"/>
      <c r="C467" s="104"/>
      <c r="D467" s="104"/>
      <c r="E467" s="104"/>
      <c r="F467" s="104"/>
      <c r="G467" s="104"/>
      <c r="H467" s="104"/>
      <c r="I467" s="104"/>
      <c r="J467" s="104"/>
      <c r="K467" s="104"/>
      <c r="L467" s="102"/>
      <c r="M467" s="102"/>
      <c r="N467" s="102"/>
      <c r="O467" s="102"/>
      <c r="P467" s="103"/>
      <c r="Q467" s="103"/>
      <c r="R467" s="103"/>
      <c r="S467" s="103"/>
      <c r="T467" s="79"/>
      <c r="U467" s="79"/>
      <c r="V467" s="79"/>
      <c r="W467" s="79"/>
      <c r="X467" s="79"/>
      <c r="Y467" s="79"/>
      <c r="Z467" s="79"/>
    </row>
    <row r="468" ht="21.0" customHeight="1">
      <c r="A468" s="79"/>
      <c r="B468" s="79"/>
      <c r="C468" s="104"/>
      <c r="D468" s="104"/>
      <c r="E468" s="104"/>
      <c r="F468" s="104"/>
      <c r="G468" s="104"/>
      <c r="H468" s="104"/>
      <c r="I468" s="104"/>
      <c r="J468" s="104"/>
      <c r="K468" s="104"/>
      <c r="L468" s="102"/>
      <c r="M468" s="102"/>
      <c r="N468" s="102"/>
      <c r="O468" s="102"/>
      <c r="P468" s="103"/>
      <c r="Q468" s="103"/>
      <c r="R468" s="103"/>
      <c r="S468" s="103"/>
      <c r="T468" s="79"/>
      <c r="U468" s="79"/>
      <c r="V468" s="79"/>
      <c r="W468" s="79"/>
      <c r="X468" s="79"/>
      <c r="Y468" s="79"/>
      <c r="Z468" s="79"/>
    </row>
    <row r="469" ht="21.0" customHeight="1">
      <c r="A469" s="79"/>
      <c r="B469" s="79"/>
      <c r="C469" s="104"/>
      <c r="D469" s="104"/>
      <c r="E469" s="104"/>
      <c r="F469" s="104"/>
      <c r="G469" s="104"/>
      <c r="H469" s="104"/>
      <c r="I469" s="104"/>
      <c r="J469" s="104"/>
      <c r="K469" s="104"/>
      <c r="L469" s="102"/>
      <c r="M469" s="102"/>
      <c r="N469" s="102"/>
      <c r="O469" s="102"/>
      <c r="P469" s="103"/>
      <c r="Q469" s="103"/>
      <c r="R469" s="103"/>
      <c r="S469" s="103"/>
      <c r="T469" s="79"/>
      <c r="U469" s="79"/>
      <c r="V469" s="79"/>
      <c r="W469" s="79"/>
      <c r="X469" s="79"/>
      <c r="Y469" s="79"/>
      <c r="Z469" s="79"/>
    </row>
    <row r="470" ht="21.0" customHeight="1">
      <c r="A470" s="79"/>
      <c r="B470" s="79"/>
      <c r="C470" s="104"/>
      <c r="D470" s="104"/>
      <c r="E470" s="104"/>
      <c r="F470" s="104"/>
      <c r="G470" s="104"/>
      <c r="H470" s="104"/>
      <c r="I470" s="104"/>
      <c r="J470" s="104"/>
      <c r="K470" s="104"/>
      <c r="L470" s="102"/>
      <c r="M470" s="102"/>
      <c r="N470" s="102"/>
      <c r="O470" s="102"/>
      <c r="P470" s="103"/>
      <c r="Q470" s="103"/>
      <c r="R470" s="103"/>
      <c r="S470" s="103"/>
      <c r="T470" s="79"/>
      <c r="U470" s="79"/>
      <c r="V470" s="79"/>
      <c r="W470" s="79"/>
      <c r="X470" s="79"/>
      <c r="Y470" s="79"/>
      <c r="Z470" s="79"/>
    </row>
    <row r="471" ht="21.0" customHeight="1">
      <c r="A471" s="79"/>
      <c r="B471" s="79"/>
      <c r="C471" s="104"/>
      <c r="D471" s="104"/>
      <c r="E471" s="104"/>
      <c r="F471" s="104"/>
      <c r="G471" s="104"/>
      <c r="H471" s="104"/>
      <c r="I471" s="104"/>
      <c r="J471" s="104"/>
      <c r="K471" s="104"/>
      <c r="L471" s="102"/>
      <c r="M471" s="102"/>
      <c r="N471" s="102"/>
      <c r="O471" s="102"/>
      <c r="P471" s="103"/>
      <c r="Q471" s="103"/>
      <c r="R471" s="103"/>
      <c r="S471" s="103"/>
      <c r="T471" s="79"/>
      <c r="U471" s="79"/>
      <c r="V471" s="79"/>
      <c r="W471" s="79"/>
      <c r="X471" s="79"/>
      <c r="Y471" s="79"/>
      <c r="Z471" s="79"/>
    </row>
    <row r="472" ht="21.0" customHeight="1">
      <c r="A472" s="79"/>
      <c r="B472" s="79"/>
      <c r="C472" s="104"/>
      <c r="D472" s="104"/>
      <c r="E472" s="104"/>
      <c r="F472" s="104"/>
      <c r="G472" s="104"/>
      <c r="H472" s="104"/>
      <c r="I472" s="104"/>
      <c r="J472" s="104"/>
      <c r="K472" s="104"/>
      <c r="L472" s="102"/>
      <c r="M472" s="102"/>
      <c r="N472" s="102"/>
      <c r="O472" s="102"/>
      <c r="P472" s="103"/>
      <c r="Q472" s="103"/>
      <c r="R472" s="103"/>
      <c r="S472" s="103"/>
      <c r="T472" s="79"/>
      <c r="U472" s="79"/>
      <c r="V472" s="79"/>
      <c r="W472" s="79"/>
      <c r="X472" s="79"/>
      <c r="Y472" s="79"/>
      <c r="Z472" s="79"/>
    </row>
    <row r="473" ht="21.0" customHeight="1">
      <c r="A473" s="79"/>
      <c r="B473" s="79"/>
      <c r="C473" s="104"/>
      <c r="D473" s="104"/>
      <c r="E473" s="104"/>
      <c r="F473" s="104"/>
      <c r="G473" s="104"/>
      <c r="H473" s="104"/>
      <c r="I473" s="104"/>
      <c r="J473" s="104"/>
      <c r="K473" s="104"/>
      <c r="L473" s="102"/>
      <c r="M473" s="102"/>
      <c r="N473" s="102"/>
      <c r="O473" s="102"/>
      <c r="P473" s="103"/>
      <c r="Q473" s="103"/>
      <c r="R473" s="103"/>
      <c r="S473" s="103"/>
      <c r="T473" s="79"/>
      <c r="U473" s="79"/>
      <c r="V473" s="79"/>
      <c r="W473" s="79"/>
      <c r="X473" s="79"/>
      <c r="Y473" s="79"/>
      <c r="Z473" s="79"/>
    </row>
    <row r="474" ht="21.0" customHeight="1">
      <c r="A474" s="79"/>
      <c r="B474" s="79"/>
      <c r="C474" s="104"/>
      <c r="D474" s="104"/>
      <c r="E474" s="104"/>
      <c r="F474" s="104"/>
      <c r="G474" s="104"/>
      <c r="H474" s="104"/>
      <c r="I474" s="104"/>
      <c r="J474" s="104"/>
      <c r="K474" s="104"/>
      <c r="L474" s="102"/>
      <c r="M474" s="102"/>
      <c r="N474" s="102"/>
      <c r="O474" s="102"/>
      <c r="P474" s="103"/>
      <c r="Q474" s="103"/>
      <c r="R474" s="103"/>
      <c r="S474" s="103"/>
      <c r="T474" s="79"/>
      <c r="U474" s="79"/>
      <c r="V474" s="79"/>
      <c r="W474" s="79"/>
      <c r="X474" s="79"/>
      <c r="Y474" s="79"/>
      <c r="Z474" s="79"/>
    </row>
    <row r="475" ht="21.0" customHeight="1">
      <c r="A475" s="79"/>
      <c r="B475" s="79"/>
      <c r="C475" s="104"/>
      <c r="D475" s="104"/>
      <c r="E475" s="104"/>
      <c r="F475" s="104"/>
      <c r="G475" s="104"/>
      <c r="H475" s="104"/>
      <c r="I475" s="104"/>
      <c r="J475" s="104"/>
      <c r="K475" s="104"/>
      <c r="L475" s="102"/>
      <c r="M475" s="102"/>
      <c r="N475" s="102"/>
      <c r="O475" s="102"/>
      <c r="P475" s="103"/>
      <c r="Q475" s="103"/>
      <c r="R475" s="103"/>
      <c r="S475" s="103"/>
      <c r="T475" s="79"/>
      <c r="U475" s="79"/>
      <c r="V475" s="79"/>
      <c r="W475" s="79"/>
      <c r="X475" s="79"/>
      <c r="Y475" s="79"/>
      <c r="Z475" s="79"/>
    </row>
    <row r="476" ht="21.0" customHeight="1">
      <c r="A476" s="79"/>
      <c r="B476" s="79"/>
      <c r="C476" s="104"/>
      <c r="D476" s="104"/>
      <c r="E476" s="104"/>
      <c r="F476" s="104"/>
      <c r="G476" s="104"/>
      <c r="H476" s="104"/>
      <c r="I476" s="104"/>
      <c r="J476" s="104"/>
      <c r="K476" s="104"/>
      <c r="L476" s="102"/>
      <c r="M476" s="102"/>
      <c r="N476" s="102"/>
      <c r="O476" s="102"/>
      <c r="P476" s="103"/>
      <c r="Q476" s="103"/>
      <c r="R476" s="103"/>
      <c r="S476" s="103"/>
      <c r="T476" s="79"/>
      <c r="U476" s="79"/>
      <c r="V476" s="79"/>
      <c r="W476" s="79"/>
      <c r="X476" s="79"/>
      <c r="Y476" s="79"/>
      <c r="Z476" s="79"/>
    </row>
    <row r="477" ht="21.0" customHeight="1">
      <c r="A477" s="79"/>
      <c r="B477" s="79"/>
      <c r="C477" s="104"/>
      <c r="D477" s="104"/>
      <c r="E477" s="104"/>
      <c r="F477" s="104"/>
      <c r="G477" s="104"/>
      <c r="H477" s="104"/>
      <c r="I477" s="104"/>
      <c r="J477" s="104"/>
      <c r="K477" s="104"/>
      <c r="L477" s="102"/>
      <c r="M477" s="102"/>
      <c r="N477" s="102"/>
      <c r="O477" s="102"/>
      <c r="P477" s="103"/>
      <c r="Q477" s="103"/>
      <c r="R477" s="103"/>
      <c r="S477" s="103"/>
      <c r="T477" s="79"/>
      <c r="U477" s="79"/>
      <c r="V477" s="79"/>
      <c r="W477" s="79"/>
      <c r="X477" s="79"/>
      <c r="Y477" s="79"/>
      <c r="Z477" s="79"/>
    </row>
    <row r="478" ht="21.0" customHeight="1">
      <c r="A478" s="79"/>
      <c r="B478" s="79"/>
      <c r="C478" s="104"/>
      <c r="D478" s="104"/>
      <c r="E478" s="104"/>
      <c r="F478" s="104"/>
      <c r="G478" s="104"/>
      <c r="H478" s="104"/>
      <c r="I478" s="104"/>
      <c r="J478" s="104"/>
      <c r="K478" s="104"/>
      <c r="L478" s="102"/>
      <c r="M478" s="102"/>
      <c r="N478" s="102"/>
      <c r="O478" s="102"/>
      <c r="P478" s="103"/>
      <c r="Q478" s="103"/>
      <c r="R478" s="103"/>
      <c r="S478" s="103"/>
      <c r="T478" s="79"/>
      <c r="U478" s="79"/>
      <c r="V478" s="79"/>
      <c r="W478" s="79"/>
      <c r="X478" s="79"/>
      <c r="Y478" s="79"/>
      <c r="Z478" s="79"/>
    </row>
    <row r="479" ht="21.0" customHeight="1">
      <c r="A479" s="79"/>
      <c r="B479" s="79"/>
      <c r="C479" s="104"/>
      <c r="D479" s="104"/>
      <c r="E479" s="104"/>
      <c r="F479" s="104"/>
      <c r="G479" s="104"/>
      <c r="H479" s="104"/>
      <c r="I479" s="104"/>
      <c r="J479" s="104"/>
      <c r="K479" s="104"/>
      <c r="L479" s="102"/>
      <c r="M479" s="102"/>
      <c r="N479" s="102"/>
      <c r="O479" s="102"/>
      <c r="P479" s="103"/>
      <c r="Q479" s="103"/>
      <c r="R479" s="103"/>
      <c r="S479" s="103"/>
      <c r="T479" s="79"/>
      <c r="U479" s="79"/>
      <c r="V479" s="79"/>
      <c r="W479" s="79"/>
      <c r="X479" s="79"/>
      <c r="Y479" s="79"/>
      <c r="Z479" s="79"/>
    </row>
    <row r="480" ht="21.0" customHeight="1">
      <c r="A480" s="79"/>
      <c r="B480" s="79"/>
      <c r="C480" s="104"/>
      <c r="D480" s="104"/>
      <c r="E480" s="104"/>
      <c r="F480" s="104"/>
      <c r="G480" s="104"/>
      <c r="H480" s="104"/>
      <c r="I480" s="104"/>
      <c r="J480" s="104"/>
      <c r="K480" s="104"/>
      <c r="L480" s="102"/>
      <c r="M480" s="102"/>
      <c r="N480" s="102"/>
      <c r="O480" s="102"/>
      <c r="P480" s="103"/>
      <c r="Q480" s="103"/>
      <c r="R480" s="103"/>
      <c r="S480" s="103"/>
      <c r="T480" s="79"/>
      <c r="U480" s="79"/>
      <c r="V480" s="79"/>
      <c r="W480" s="79"/>
      <c r="X480" s="79"/>
      <c r="Y480" s="79"/>
      <c r="Z480" s="79"/>
    </row>
    <row r="481" ht="21.0" customHeight="1">
      <c r="A481" s="79"/>
      <c r="B481" s="79"/>
      <c r="C481" s="104"/>
      <c r="D481" s="104"/>
      <c r="E481" s="104"/>
      <c r="F481" s="104"/>
      <c r="G481" s="104"/>
      <c r="H481" s="104"/>
      <c r="I481" s="104"/>
      <c r="J481" s="104"/>
      <c r="K481" s="104"/>
      <c r="L481" s="102"/>
      <c r="M481" s="102"/>
      <c r="N481" s="102"/>
      <c r="O481" s="102"/>
      <c r="P481" s="103"/>
      <c r="Q481" s="103"/>
      <c r="R481" s="103"/>
      <c r="S481" s="103"/>
      <c r="T481" s="79"/>
      <c r="U481" s="79"/>
      <c r="V481" s="79"/>
      <c r="W481" s="79"/>
      <c r="X481" s="79"/>
      <c r="Y481" s="79"/>
      <c r="Z481" s="79"/>
    </row>
    <row r="482" ht="21.0" customHeight="1">
      <c r="A482" s="79"/>
      <c r="B482" s="79"/>
      <c r="C482" s="104"/>
      <c r="D482" s="104"/>
      <c r="E482" s="104"/>
      <c r="F482" s="104"/>
      <c r="G482" s="104"/>
      <c r="H482" s="104"/>
      <c r="I482" s="104"/>
      <c r="J482" s="104"/>
      <c r="K482" s="104"/>
      <c r="L482" s="102"/>
      <c r="M482" s="102"/>
      <c r="N482" s="102"/>
      <c r="O482" s="102"/>
      <c r="P482" s="103"/>
      <c r="Q482" s="103"/>
      <c r="R482" s="103"/>
      <c r="S482" s="103"/>
      <c r="T482" s="79"/>
      <c r="U482" s="79"/>
      <c r="V482" s="79"/>
      <c r="W482" s="79"/>
      <c r="X482" s="79"/>
      <c r="Y482" s="79"/>
      <c r="Z482" s="79"/>
    </row>
    <row r="483" ht="21.0" customHeight="1">
      <c r="A483" s="79"/>
      <c r="B483" s="79"/>
      <c r="C483" s="104"/>
      <c r="D483" s="104"/>
      <c r="E483" s="104"/>
      <c r="F483" s="104"/>
      <c r="G483" s="104"/>
      <c r="H483" s="104"/>
      <c r="I483" s="104"/>
      <c r="J483" s="104"/>
      <c r="K483" s="104"/>
      <c r="L483" s="102"/>
      <c r="M483" s="102"/>
      <c r="N483" s="102"/>
      <c r="O483" s="102"/>
      <c r="P483" s="103"/>
      <c r="Q483" s="103"/>
      <c r="R483" s="103"/>
      <c r="S483" s="103"/>
      <c r="T483" s="79"/>
      <c r="U483" s="79"/>
      <c r="V483" s="79"/>
      <c r="W483" s="79"/>
      <c r="X483" s="79"/>
      <c r="Y483" s="79"/>
      <c r="Z483" s="79"/>
    </row>
    <row r="484" ht="21.0" customHeight="1">
      <c r="A484" s="79"/>
      <c r="B484" s="79"/>
      <c r="C484" s="104"/>
      <c r="D484" s="104"/>
      <c r="E484" s="104"/>
      <c r="F484" s="104"/>
      <c r="G484" s="104"/>
      <c r="H484" s="104"/>
      <c r="I484" s="104"/>
      <c r="J484" s="104"/>
      <c r="K484" s="104"/>
      <c r="L484" s="102"/>
      <c r="M484" s="102"/>
      <c r="N484" s="102"/>
      <c r="O484" s="102"/>
      <c r="P484" s="103"/>
      <c r="Q484" s="103"/>
      <c r="R484" s="103"/>
      <c r="S484" s="103"/>
      <c r="T484" s="79"/>
      <c r="U484" s="79"/>
      <c r="V484" s="79"/>
      <c r="W484" s="79"/>
      <c r="X484" s="79"/>
      <c r="Y484" s="79"/>
      <c r="Z484" s="79"/>
    </row>
    <row r="485" ht="21.0" customHeight="1">
      <c r="A485" s="79"/>
      <c r="B485" s="79"/>
      <c r="C485" s="104"/>
      <c r="D485" s="104"/>
      <c r="E485" s="104"/>
      <c r="F485" s="104"/>
      <c r="G485" s="104"/>
      <c r="H485" s="104"/>
      <c r="I485" s="104"/>
      <c r="J485" s="104"/>
      <c r="K485" s="104"/>
      <c r="L485" s="102"/>
      <c r="M485" s="102"/>
      <c r="N485" s="102"/>
      <c r="O485" s="102"/>
      <c r="P485" s="103"/>
      <c r="Q485" s="103"/>
      <c r="R485" s="103"/>
      <c r="S485" s="103"/>
      <c r="T485" s="79"/>
      <c r="U485" s="79"/>
      <c r="V485" s="79"/>
      <c r="W485" s="79"/>
      <c r="X485" s="79"/>
      <c r="Y485" s="79"/>
      <c r="Z485" s="79"/>
    </row>
    <row r="486" ht="21.0" customHeight="1">
      <c r="A486" s="79"/>
      <c r="B486" s="79"/>
      <c r="C486" s="104"/>
      <c r="D486" s="104"/>
      <c r="E486" s="104"/>
      <c r="F486" s="104"/>
      <c r="G486" s="104"/>
      <c r="H486" s="104"/>
      <c r="I486" s="104"/>
      <c r="J486" s="104"/>
      <c r="K486" s="104"/>
      <c r="L486" s="102"/>
      <c r="M486" s="102"/>
      <c r="N486" s="102"/>
      <c r="O486" s="102"/>
      <c r="P486" s="103"/>
      <c r="Q486" s="103"/>
      <c r="R486" s="103"/>
      <c r="S486" s="103"/>
      <c r="T486" s="79"/>
      <c r="U486" s="79"/>
      <c r="V486" s="79"/>
      <c r="W486" s="79"/>
      <c r="X486" s="79"/>
      <c r="Y486" s="79"/>
      <c r="Z486" s="79"/>
    </row>
    <row r="487" ht="21.0" customHeight="1">
      <c r="A487" s="79"/>
      <c r="B487" s="79"/>
      <c r="C487" s="104"/>
      <c r="D487" s="104"/>
      <c r="E487" s="104"/>
      <c r="F487" s="104"/>
      <c r="G487" s="104"/>
      <c r="H487" s="104"/>
      <c r="I487" s="104"/>
      <c r="J487" s="104"/>
      <c r="K487" s="104"/>
      <c r="L487" s="102"/>
      <c r="M487" s="102"/>
      <c r="N487" s="102"/>
      <c r="O487" s="102"/>
      <c r="P487" s="103"/>
      <c r="Q487" s="103"/>
      <c r="R487" s="103"/>
      <c r="S487" s="103"/>
      <c r="T487" s="79"/>
      <c r="U487" s="79"/>
      <c r="V487" s="79"/>
      <c r="W487" s="79"/>
      <c r="X487" s="79"/>
      <c r="Y487" s="79"/>
      <c r="Z487" s="79"/>
    </row>
    <row r="488" ht="21.0" customHeight="1">
      <c r="A488" s="79"/>
      <c r="B488" s="79"/>
      <c r="C488" s="104"/>
      <c r="D488" s="104"/>
      <c r="E488" s="104"/>
      <c r="F488" s="104"/>
      <c r="G488" s="104"/>
      <c r="H488" s="104"/>
      <c r="I488" s="104"/>
      <c r="J488" s="104"/>
      <c r="K488" s="104"/>
      <c r="L488" s="102"/>
      <c r="M488" s="102"/>
      <c r="N488" s="102"/>
      <c r="O488" s="102"/>
      <c r="P488" s="103"/>
      <c r="Q488" s="103"/>
      <c r="R488" s="103"/>
      <c r="S488" s="103"/>
      <c r="T488" s="79"/>
      <c r="U488" s="79"/>
      <c r="V488" s="79"/>
      <c r="W488" s="79"/>
      <c r="X488" s="79"/>
      <c r="Y488" s="79"/>
      <c r="Z488" s="79"/>
    </row>
    <row r="489" ht="21.0" customHeight="1">
      <c r="A489" s="79"/>
      <c r="B489" s="79"/>
      <c r="C489" s="104"/>
      <c r="D489" s="104"/>
      <c r="E489" s="104"/>
      <c r="F489" s="104"/>
      <c r="G489" s="104"/>
      <c r="H489" s="104"/>
      <c r="I489" s="104"/>
      <c r="J489" s="104"/>
      <c r="K489" s="104"/>
      <c r="L489" s="102"/>
      <c r="M489" s="102"/>
      <c r="N489" s="102"/>
      <c r="O489" s="102"/>
      <c r="P489" s="103"/>
      <c r="Q489" s="103"/>
      <c r="R489" s="103"/>
      <c r="S489" s="103"/>
      <c r="T489" s="79"/>
      <c r="U489" s="79"/>
      <c r="V489" s="79"/>
      <c r="W489" s="79"/>
      <c r="X489" s="79"/>
      <c r="Y489" s="79"/>
      <c r="Z489" s="79"/>
    </row>
    <row r="490" ht="21.0" customHeight="1">
      <c r="A490" s="79"/>
      <c r="B490" s="79"/>
      <c r="C490" s="104"/>
      <c r="D490" s="104"/>
      <c r="E490" s="104"/>
      <c r="F490" s="104"/>
      <c r="G490" s="104"/>
      <c r="H490" s="104"/>
      <c r="I490" s="104"/>
      <c r="J490" s="104"/>
      <c r="K490" s="104"/>
      <c r="L490" s="102"/>
      <c r="M490" s="102"/>
      <c r="N490" s="102"/>
      <c r="O490" s="102"/>
      <c r="P490" s="103"/>
      <c r="Q490" s="103"/>
      <c r="R490" s="103"/>
      <c r="S490" s="103"/>
      <c r="T490" s="79"/>
      <c r="U490" s="79"/>
      <c r="V490" s="79"/>
      <c r="W490" s="79"/>
      <c r="X490" s="79"/>
      <c r="Y490" s="79"/>
      <c r="Z490" s="79"/>
    </row>
    <row r="491" ht="21.0" customHeight="1">
      <c r="A491" s="79"/>
      <c r="B491" s="79"/>
      <c r="C491" s="104"/>
      <c r="D491" s="104"/>
      <c r="E491" s="104"/>
      <c r="F491" s="104"/>
      <c r="G491" s="104"/>
      <c r="H491" s="104"/>
      <c r="I491" s="104"/>
      <c r="J491" s="104"/>
      <c r="K491" s="104"/>
      <c r="L491" s="102"/>
      <c r="M491" s="102"/>
      <c r="N491" s="102"/>
      <c r="O491" s="102"/>
      <c r="P491" s="103"/>
      <c r="Q491" s="103"/>
      <c r="R491" s="103"/>
      <c r="S491" s="103"/>
      <c r="T491" s="79"/>
      <c r="U491" s="79"/>
      <c r="V491" s="79"/>
      <c r="W491" s="79"/>
      <c r="X491" s="79"/>
      <c r="Y491" s="79"/>
      <c r="Z491" s="79"/>
    </row>
    <row r="492" ht="21.0" customHeight="1">
      <c r="A492" s="79"/>
      <c r="B492" s="79"/>
      <c r="C492" s="104"/>
      <c r="D492" s="104"/>
      <c r="E492" s="104"/>
      <c r="F492" s="104"/>
      <c r="G492" s="104"/>
      <c r="H492" s="104"/>
      <c r="I492" s="104"/>
      <c r="J492" s="104"/>
      <c r="K492" s="104"/>
      <c r="L492" s="102"/>
      <c r="M492" s="102"/>
      <c r="N492" s="102"/>
      <c r="O492" s="102"/>
      <c r="P492" s="103"/>
      <c r="Q492" s="103"/>
      <c r="R492" s="103"/>
      <c r="S492" s="103"/>
      <c r="T492" s="79"/>
      <c r="U492" s="79"/>
      <c r="V492" s="79"/>
      <c r="W492" s="79"/>
      <c r="X492" s="79"/>
      <c r="Y492" s="79"/>
      <c r="Z492" s="79"/>
    </row>
    <row r="493" ht="21.0" customHeight="1">
      <c r="A493" s="79"/>
      <c r="B493" s="79"/>
      <c r="C493" s="104"/>
      <c r="D493" s="104"/>
      <c r="E493" s="104"/>
      <c r="F493" s="104"/>
      <c r="G493" s="104"/>
      <c r="H493" s="104"/>
      <c r="I493" s="104"/>
      <c r="J493" s="104"/>
      <c r="K493" s="104"/>
      <c r="L493" s="102"/>
      <c r="M493" s="102"/>
      <c r="N493" s="102"/>
      <c r="O493" s="102"/>
      <c r="P493" s="103"/>
      <c r="Q493" s="103"/>
      <c r="R493" s="103"/>
      <c r="S493" s="103"/>
      <c r="T493" s="79"/>
      <c r="U493" s="79"/>
      <c r="V493" s="79"/>
      <c r="W493" s="79"/>
      <c r="X493" s="79"/>
      <c r="Y493" s="79"/>
      <c r="Z493" s="79"/>
    </row>
    <row r="494" ht="21.0" customHeight="1">
      <c r="A494" s="79"/>
      <c r="B494" s="79"/>
      <c r="C494" s="104"/>
      <c r="D494" s="104"/>
      <c r="E494" s="104"/>
      <c r="F494" s="104"/>
      <c r="G494" s="104"/>
      <c r="H494" s="104"/>
      <c r="I494" s="104"/>
      <c r="J494" s="104"/>
      <c r="K494" s="104"/>
      <c r="L494" s="102"/>
      <c r="M494" s="102"/>
      <c r="N494" s="102"/>
      <c r="O494" s="102"/>
      <c r="P494" s="103"/>
      <c r="Q494" s="103"/>
      <c r="R494" s="103"/>
      <c r="S494" s="103"/>
      <c r="T494" s="79"/>
      <c r="U494" s="79"/>
      <c r="V494" s="79"/>
      <c r="W494" s="79"/>
      <c r="X494" s="79"/>
      <c r="Y494" s="79"/>
      <c r="Z494" s="79"/>
    </row>
    <row r="495" ht="21.0" customHeight="1">
      <c r="A495" s="79"/>
      <c r="B495" s="79"/>
      <c r="C495" s="104"/>
      <c r="D495" s="104"/>
      <c r="E495" s="104"/>
      <c r="F495" s="104"/>
      <c r="G495" s="104"/>
      <c r="H495" s="104"/>
      <c r="I495" s="104"/>
      <c r="J495" s="104"/>
      <c r="K495" s="104"/>
      <c r="L495" s="102"/>
      <c r="M495" s="102"/>
      <c r="N495" s="102"/>
      <c r="O495" s="102"/>
      <c r="P495" s="103"/>
      <c r="Q495" s="103"/>
      <c r="R495" s="103"/>
      <c r="S495" s="103"/>
      <c r="T495" s="79"/>
      <c r="U495" s="79"/>
      <c r="V495" s="79"/>
      <c r="W495" s="79"/>
      <c r="X495" s="79"/>
      <c r="Y495" s="79"/>
      <c r="Z495" s="79"/>
    </row>
    <row r="496" ht="21.0" customHeight="1">
      <c r="A496" s="79"/>
      <c r="B496" s="79"/>
      <c r="C496" s="104"/>
      <c r="D496" s="104"/>
      <c r="E496" s="104"/>
      <c r="F496" s="104"/>
      <c r="G496" s="104"/>
      <c r="H496" s="104"/>
      <c r="I496" s="104"/>
      <c r="J496" s="104"/>
      <c r="K496" s="104"/>
      <c r="L496" s="102"/>
      <c r="M496" s="102"/>
      <c r="N496" s="102"/>
      <c r="O496" s="102"/>
      <c r="P496" s="103"/>
      <c r="Q496" s="103"/>
      <c r="R496" s="103"/>
      <c r="S496" s="103"/>
      <c r="T496" s="79"/>
      <c r="U496" s="79"/>
      <c r="V496" s="79"/>
      <c r="W496" s="79"/>
      <c r="X496" s="79"/>
      <c r="Y496" s="79"/>
      <c r="Z496" s="79"/>
    </row>
    <row r="497" ht="21.0" customHeight="1">
      <c r="A497" s="79"/>
      <c r="B497" s="79"/>
      <c r="C497" s="104"/>
      <c r="D497" s="104"/>
      <c r="E497" s="104"/>
      <c r="F497" s="104"/>
      <c r="G497" s="104"/>
      <c r="H497" s="104"/>
      <c r="I497" s="104"/>
      <c r="J497" s="104"/>
      <c r="K497" s="104"/>
      <c r="L497" s="102"/>
      <c r="M497" s="102"/>
      <c r="N497" s="102"/>
      <c r="O497" s="102"/>
      <c r="P497" s="103"/>
      <c r="Q497" s="103"/>
      <c r="R497" s="103"/>
      <c r="S497" s="103"/>
      <c r="T497" s="79"/>
      <c r="U497" s="79"/>
      <c r="V497" s="79"/>
      <c r="W497" s="79"/>
      <c r="X497" s="79"/>
      <c r="Y497" s="79"/>
      <c r="Z497" s="79"/>
    </row>
    <row r="498" ht="21.0" customHeight="1">
      <c r="A498" s="79"/>
      <c r="B498" s="79"/>
      <c r="C498" s="104"/>
      <c r="D498" s="104"/>
      <c r="E498" s="104"/>
      <c r="F498" s="104"/>
      <c r="G498" s="104"/>
      <c r="H498" s="104"/>
      <c r="I498" s="104"/>
      <c r="J498" s="104"/>
      <c r="K498" s="104"/>
      <c r="L498" s="102"/>
      <c r="M498" s="102"/>
      <c r="N498" s="102"/>
      <c r="O498" s="102"/>
      <c r="P498" s="103"/>
      <c r="Q498" s="103"/>
      <c r="R498" s="103"/>
      <c r="S498" s="103"/>
      <c r="T498" s="79"/>
      <c r="U498" s="79"/>
      <c r="V498" s="79"/>
      <c r="W498" s="79"/>
      <c r="X498" s="79"/>
      <c r="Y498" s="79"/>
      <c r="Z498" s="79"/>
    </row>
    <row r="499" ht="21.0" customHeight="1">
      <c r="A499" s="79"/>
      <c r="B499" s="79"/>
      <c r="C499" s="104"/>
      <c r="D499" s="104"/>
      <c r="E499" s="104"/>
      <c r="F499" s="104"/>
      <c r="G499" s="104"/>
      <c r="H499" s="104"/>
      <c r="I499" s="104"/>
      <c r="J499" s="104"/>
      <c r="K499" s="104"/>
      <c r="L499" s="102"/>
      <c r="M499" s="102"/>
      <c r="N499" s="102"/>
      <c r="O499" s="102"/>
      <c r="P499" s="103"/>
      <c r="Q499" s="103"/>
      <c r="R499" s="103"/>
      <c r="S499" s="103"/>
      <c r="T499" s="79"/>
      <c r="U499" s="79"/>
      <c r="V499" s="79"/>
      <c r="W499" s="79"/>
      <c r="X499" s="79"/>
      <c r="Y499" s="79"/>
      <c r="Z499" s="79"/>
    </row>
    <row r="500" ht="21.0" customHeight="1">
      <c r="A500" s="79"/>
      <c r="B500" s="79"/>
      <c r="C500" s="104"/>
      <c r="D500" s="104"/>
      <c r="E500" s="104"/>
      <c r="F500" s="104"/>
      <c r="G500" s="104"/>
      <c r="H500" s="104"/>
      <c r="I500" s="104"/>
      <c r="J500" s="104"/>
      <c r="K500" s="104"/>
      <c r="L500" s="102"/>
      <c r="M500" s="102"/>
      <c r="N500" s="102"/>
      <c r="O500" s="102"/>
      <c r="P500" s="103"/>
      <c r="Q500" s="103"/>
      <c r="R500" s="103"/>
      <c r="S500" s="103"/>
      <c r="T500" s="79"/>
      <c r="U500" s="79"/>
      <c r="V500" s="79"/>
      <c r="W500" s="79"/>
      <c r="X500" s="79"/>
      <c r="Y500" s="79"/>
      <c r="Z500" s="79"/>
    </row>
    <row r="501" ht="21.0" customHeight="1">
      <c r="A501" s="79"/>
      <c r="B501" s="79"/>
      <c r="C501" s="104"/>
      <c r="D501" s="104"/>
      <c r="E501" s="104"/>
      <c r="F501" s="104"/>
      <c r="G501" s="104"/>
      <c r="H501" s="104"/>
      <c r="I501" s="104"/>
      <c r="J501" s="104"/>
      <c r="K501" s="104"/>
      <c r="L501" s="102"/>
      <c r="M501" s="102"/>
      <c r="N501" s="102"/>
      <c r="O501" s="102"/>
      <c r="P501" s="103"/>
      <c r="Q501" s="103"/>
      <c r="R501" s="103"/>
      <c r="S501" s="103"/>
      <c r="T501" s="79"/>
      <c r="U501" s="79"/>
      <c r="V501" s="79"/>
      <c r="W501" s="79"/>
      <c r="X501" s="79"/>
      <c r="Y501" s="79"/>
      <c r="Z501" s="79"/>
    </row>
    <row r="502" ht="21.0" customHeight="1">
      <c r="A502" s="79"/>
      <c r="B502" s="79"/>
      <c r="C502" s="104"/>
      <c r="D502" s="104"/>
      <c r="E502" s="104"/>
      <c r="F502" s="104"/>
      <c r="G502" s="104"/>
      <c r="H502" s="104"/>
      <c r="I502" s="104"/>
      <c r="J502" s="104"/>
      <c r="K502" s="104"/>
      <c r="L502" s="102"/>
      <c r="M502" s="102"/>
      <c r="N502" s="102"/>
      <c r="O502" s="102"/>
      <c r="P502" s="103"/>
      <c r="Q502" s="103"/>
      <c r="R502" s="103"/>
      <c r="S502" s="103"/>
      <c r="T502" s="79"/>
      <c r="U502" s="79"/>
      <c r="V502" s="79"/>
      <c r="W502" s="79"/>
      <c r="X502" s="79"/>
      <c r="Y502" s="79"/>
      <c r="Z502" s="79"/>
    </row>
    <row r="503" ht="21.0" customHeight="1">
      <c r="A503" s="79"/>
      <c r="B503" s="79"/>
      <c r="C503" s="104"/>
      <c r="D503" s="104"/>
      <c r="E503" s="104"/>
      <c r="F503" s="104"/>
      <c r="G503" s="104"/>
      <c r="H503" s="104"/>
      <c r="I503" s="104"/>
      <c r="J503" s="104"/>
      <c r="K503" s="104"/>
      <c r="L503" s="102"/>
      <c r="M503" s="102"/>
      <c r="N503" s="102"/>
      <c r="O503" s="102"/>
      <c r="P503" s="103"/>
      <c r="Q503" s="103"/>
      <c r="R503" s="103"/>
      <c r="S503" s="103"/>
      <c r="T503" s="79"/>
      <c r="U503" s="79"/>
      <c r="V503" s="79"/>
      <c r="W503" s="79"/>
      <c r="X503" s="79"/>
      <c r="Y503" s="79"/>
      <c r="Z503" s="79"/>
    </row>
    <row r="504" ht="21.0" customHeight="1">
      <c r="A504" s="79"/>
      <c r="B504" s="79"/>
      <c r="C504" s="104"/>
      <c r="D504" s="104"/>
      <c r="E504" s="104"/>
      <c r="F504" s="104"/>
      <c r="G504" s="104"/>
      <c r="H504" s="104"/>
      <c r="I504" s="104"/>
      <c r="J504" s="104"/>
      <c r="K504" s="104"/>
      <c r="L504" s="102"/>
      <c r="M504" s="102"/>
      <c r="N504" s="102"/>
      <c r="O504" s="102"/>
      <c r="P504" s="103"/>
      <c r="Q504" s="103"/>
      <c r="R504" s="103"/>
      <c r="S504" s="103"/>
      <c r="T504" s="79"/>
      <c r="U504" s="79"/>
      <c r="V504" s="79"/>
      <c r="W504" s="79"/>
      <c r="X504" s="79"/>
      <c r="Y504" s="79"/>
      <c r="Z504" s="79"/>
    </row>
    <row r="505" ht="21.0" customHeight="1">
      <c r="A505" s="79"/>
      <c r="B505" s="79"/>
      <c r="C505" s="104"/>
      <c r="D505" s="104"/>
      <c r="E505" s="104"/>
      <c r="F505" s="104"/>
      <c r="G505" s="104"/>
      <c r="H505" s="104"/>
      <c r="I505" s="104"/>
      <c r="J505" s="104"/>
      <c r="K505" s="104"/>
      <c r="L505" s="102"/>
      <c r="M505" s="102"/>
      <c r="N505" s="102"/>
      <c r="O505" s="102"/>
      <c r="P505" s="103"/>
      <c r="Q505" s="103"/>
      <c r="R505" s="103"/>
      <c r="S505" s="103"/>
      <c r="T505" s="79"/>
      <c r="U505" s="79"/>
      <c r="V505" s="79"/>
      <c r="W505" s="79"/>
      <c r="X505" s="79"/>
      <c r="Y505" s="79"/>
      <c r="Z505" s="79"/>
    </row>
    <row r="506" ht="21.0" customHeight="1">
      <c r="A506" s="79"/>
      <c r="B506" s="79"/>
      <c r="C506" s="104"/>
      <c r="D506" s="104"/>
      <c r="E506" s="104"/>
      <c r="F506" s="104"/>
      <c r="G506" s="104"/>
      <c r="H506" s="104"/>
      <c r="I506" s="104"/>
      <c r="J506" s="104"/>
      <c r="K506" s="104"/>
      <c r="L506" s="102"/>
      <c r="M506" s="102"/>
      <c r="N506" s="102"/>
      <c r="O506" s="102"/>
      <c r="P506" s="103"/>
      <c r="Q506" s="103"/>
      <c r="R506" s="103"/>
      <c r="S506" s="103"/>
      <c r="T506" s="79"/>
      <c r="U506" s="79"/>
      <c r="V506" s="79"/>
      <c r="W506" s="79"/>
      <c r="X506" s="79"/>
      <c r="Y506" s="79"/>
      <c r="Z506" s="79"/>
    </row>
    <row r="507" ht="21.0" customHeight="1">
      <c r="A507" s="79"/>
      <c r="B507" s="79"/>
      <c r="C507" s="104"/>
      <c r="D507" s="104"/>
      <c r="E507" s="104"/>
      <c r="F507" s="104"/>
      <c r="G507" s="104"/>
      <c r="H507" s="104"/>
      <c r="I507" s="104"/>
      <c r="J507" s="104"/>
      <c r="K507" s="104"/>
      <c r="L507" s="102"/>
      <c r="M507" s="102"/>
      <c r="N507" s="102"/>
      <c r="O507" s="102"/>
      <c r="P507" s="103"/>
      <c r="Q507" s="103"/>
      <c r="R507" s="103"/>
      <c r="S507" s="103"/>
      <c r="T507" s="79"/>
      <c r="U507" s="79"/>
      <c r="V507" s="79"/>
      <c r="W507" s="79"/>
      <c r="X507" s="79"/>
      <c r="Y507" s="79"/>
      <c r="Z507" s="79"/>
    </row>
    <row r="508" ht="21.0" customHeight="1">
      <c r="A508" s="79"/>
      <c r="B508" s="79"/>
      <c r="C508" s="104"/>
      <c r="D508" s="104"/>
      <c r="E508" s="104"/>
      <c r="F508" s="104"/>
      <c r="G508" s="104"/>
      <c r="H508" s="104"/>
      <c r="I508" s="104"/>
      <c r="J508" s="104"/>
      <c r="K508" s="104"/>
      <c r="L508" s="102"/>
      <c r="M508" s="102"/>
      <c r="N508" s="102"/>
      <c r="O508" s="102"/>
      <c r="P508" s="103"/>
      <c r="Q508" s="103"/>
      <c r="R508" s="103"/>
      <c r="S508" s="103"/>
      <c r="T508" s="79"/>
      <c r="U508" s="79"/>
      <c r="V508" s="79"/>
      <c r="W508" s="79"/>
      <c r="X508" s="79"/>
      <c r="Y508" s="79"/>
      <c r="Z508" s="79"/>
    </row>
    <row r="509" ht="21.0" customHeight="1">
      <c r="A509" s="79"/>
      <c r="B509" s="79"/>
      <c r="C509" s="104"/>
      <c r="D509" s="104"/>
      <c r="E509" s="104"/>
      <c r="F509" s="104"/>
      <c r="G509" s="104"/>
      <c r="H509" s="104"/>
      <c r="I509" s="104"/>
      <c r="J509" s="104"/>
      <c r="K509" s="104"/>
      <c r="L509" s="102"/>
      <c r="M509" s="102"/>
      <c r="N509" s="102"/>
      <c r="O509" s="102"/>
      <c r="P509" s="103"/>
      <c r="Q509" s="103"/>
      <c r="R509" s="103"/>
      <c r="S509" s="103"/>
      <c r="T509" s="79"/>
      <c r="U509" s="79"/>
      <c r="V509" s="79"/>
      <c r="W509" s="79"/>
      <c r="X509" s="79"/>
      <c r="Y509" s="79"/>
      <c r="Z509" s="79"/>
    </row>
    <row r="510" ht="21.0" customHeight="1">
      <c r="A510" s="79"/>
      <c r="B510" s="79"/>
      <c r="C510" s="104"/>
      <c r="D510" s="104"/>
      <c r="E510" s="104"/>
      <c r="F510" s="104"/>
      <c r="G510" s="104"/>
      <c r="H510" s="104"/>
      <c r="I510" s="104"/>
      <c r="J510" s="104"/>
      <c r="K510" s="104"/>
      <c r="L510" s="102"/>
      <c r="M510" s="102"/>
      <c r="N510" s="102"/>
      <c r="O510" s="102"/>
      <c r="P510" s="103"/>
      <c r="Q510" s="103"/>
      <c r="R510" s="103"/>
      <c r="S510" s="103"/>
      <c r="T510" s="79"/>
      <c r="U510" s="79"/>
      <c r="V510" s="79"/>
      <c r="W510" s="79"/>
      <c r="X510" s="79"/>
      <c r="Y510" s="79"/>
      <c r="Z510" s="79"/>
    </row>
    <row r="511" ht="21.0" customHeight="1">
      <c r="A511" s="79"/>
      <c r="B511" s="79"/>
      <c r="C511" s="104"/>
      <c r="D511" s="104"/>
      <c r="E511" s="104"/>
      <c r="F511" s="104"/>
      <c r="G511" s="104"/>
      <c r="H511" s="104"/>
      <c r="I511" s="104"/>
      <c r="J511" s="104"/>
      <c r="K511" s="104"/>
      <c r="L511" s="102"/>
      <c r="M511" s="102"/>
      <c r="N511" s="102"/>
      <c r="O511" s="102"/>
      <c r="P511" s="103"/>
      <c r="Q511" s="103"/>
      <c r="R511" s="103"/>
      <c r="S511" s="103"/>
      <c r="T511" s="79"/>
      <c r="U511" s="79"/>
      <c r="V511" s="79"/>
      <c r="W511" s="79"/>
      <c r="X511" s="79"/>
      <c r="Y511" s="79"/>
      <c r="Z511" s="79"/>
    </row>
    <row r="512" ht="21.0" customHeight="1">
      <c r="A512" s="79"/>
      <c r="B512" s="79"/>
      <c r="C512" s="104"/>
      <c r="D512" s="104"/>
      <c r="E512" s="104"/>
      <c r="F512" s="104"/>
      <c r="G512" s="104"/>
      <c r="H512" s="104"/>
      <c r="I512" s="104"/>
      <c r="J512" s="104"/>
      <c r="K512" s="104"/>
      <c r="L512" s="102"/>
      <c r="M512" s="102"/>
      <c r="N512" s="102"/>
      <c r="O512" s="102"/>
      <c r="P512" s="103"/>
      <c r="Q512" s="103"/>
      <c r="R512" s="103"/>
      <c r="S512" s="103"/>
      <c r="T512" s="79"/>
      <c r="U512" s="79"/>
      <c r="V512" s="79"/>
      <c r="W512" s="79"/>
      <c r="X512" s="79"/>
      <c r="Y512" s="79"/>
      <c r="Z512" s="79"/>
    </row>
    <row r="513" ht="21.0" customHeight="1">
      <c r="A513" s="79"/>
      <c r="B513" s="79"/>
      <c r="C513" s="104"/>
      <c r="D513" s="104"/>
      <c r="E513" s="104"/>
      <c r="F513" s="104"/>
      <c r="G513" s="104"/>
      <c r="H513" s="104"/>
      <c r="I513" s="104"/>
      <c r="J513" s="104"/>
      <c r="K513" s="104"/>
      <c r="L513" s="102"/>
      <c r="M513" s="102"/>
      <c r="N513" s="102"/>
      <c r="O513" s="102"/>
      <c r="P513" s="103"/>
      <c r="Q513" s="103"/>
      <c r="R513" s="103"/>
      <c r="S513" s="103"/>
      <c r="T513" s="79"/>
      <c r="U513" s="79"/>
      <c r="V513" s="79"/>
      <c r="W513" s="79"/>
      <c r="X513" s="79"/>
      <c r="Y513" s="79"/>
      <c r="Z513" s="79"/>
    </row>
    <row r="514" ht="21.0" customHeight="1">
      <c r="A514" s="79"/>
      <c r="B514" s="79"/>
      <c r="C514" s="104"/>
      <c r="D514" s="104"/>
      <c r="E514" s="104"/>
      <c r="F514" s="104"/>
      <c r="G514" s="104"/>
      <c r="H514" s="104"/>
      <c r="I514" s="104"/>
      <c r="J514" s="104"/>
      <c r="K514" s="104"/>
      <c r="L514" s="102"/>
      <c r="M514" s="102"/>
      <c r="N514" s="102"/>
      <c r="O514" s="102"/>
      <c r="P514" s="103"/>
      <c r="Q514" s="103"/>
      <c r="R514" s="103"/>
      <c r="S514" s="103"/>
      <c r="T514" s="79"/>
      <c r="U514" s="79"/>
      <c r="V514" s="79"/>
      <c r="W514" s="79"/>
      <c r="X514" s="79"/>
      <c r="Y514" s="79"/>
      <c r="Z514" s="79"/>
    </row>
    <row r="515" ht="21.0" customHeight="1">
      <c r="A515" s="79"/>
      <c r="B515" s="79"/>
      <c r="C515" s="104"/>
      <c r="D515" s="104"/>
      <c r="E515" s="104"/>
      <c r="F515" s="104"/>
      <c r="G515" s="104"/>
      <c r="H515" s="104"/>
      <c r="I515" s="104"/>
      <c r="J515" s="104"/>
      <c r="K515" s="104"/>
      <c r="L515" s="102"/>
      <c r="M515" s="102"/>
      <c r="N515" s="102"/>
      <c r="O515" s="102"/>
      <c r="P515" s="103"/>
      <c r="Q515" s="103"/>
      <c r="R515" s="103"/>
      <c r="S515" s="103"/>
      <c r="T515" s="79"/>
      <c r="U515" s="79"/>
      <c r="V515" s="79"/>
      <c r="W515" s="79"/>
      <c r="X515" s="79"/>
      <c r="Y515" s="79"/>
      <c r="Z515" s="79"/>
    </row>
    <row r="516" ht="21.0" customHeight="1">
      <c r="A516" s="79"/>
      <c r="B516" s="79"/>
      <c r="C516" s="104"/>
      <c r="D516" s="104"/>
      <c r="E516" s="104"/>
      <c r="F516" s="104"/>
      <c r="G516" s="104"/>
      <c r="H516" s="104"/>
      <c r="I516" s="104"/>
      <c r="J516" s="104"/>
      <c r="K516" s="104"/>
      <c r="L516" s="102"/>
      <c r="M516" s="102"/>
      <c r="N516" s="102"/>
      <c r="O516" s="102"/>
      <c r="P516" s="103"/>
      <c r="Q516" s="103"/>
      <c r="R516" s="103"/>
      <c r="S516" s="103"/>
      <c r="T516" s="79"/>
      <c r="U516" s="79"/>
      <c r="V516" s="79"/>
      <c r="W516" s="79"/>
      <c r="X516" s="79"/>
      <c r="Y516" s="79"/>
      <c r="Z516" s="79"/>
    </row>
    <row r="517" ht="21.0" customHeight="1">
      <c r="A517" s="79"/>
      <c r="B517" s="79"/>
      <c r="C517" s="104"/>
      <c r="D517" s="104"/>
      <c r="E517" s="104"/>
      <c r="F517" s="104"/>
      <c r="G517" s="104"/>
      <c r="H517" s="104"/>
      <c r="I517" s="104"/>
      <c r="J517" s="104"/>
      <c r="K517" s="104"/>
      <c r="L517" s="102"/>
      <c r="M517" s="102"/>
      <c r="N517" s="102"/>
      <c r="O517" s="102"/>
      <c r="P517" s="103"/>
      <c r="Q517" s="103"/>
      <c r="R517" s="103"/>
      <c r="S517" s="103"/>
      <c r="T517" s="79"/>
      <c r="U517" s="79"/>
      <c r="V517" s="79"/>
      <c r="W517" s="79"/>
      <c r="X517" s="79"/>
      <c r="Y517" s="79"/>
      <c r="Z517" s="79"/>
    </row>
    <row r="518" ht="21.0" customHeight="1">
      <c r="A518" s="79"/>
      <c r="B518" s="79"/>
      <c r="C518" s="104"/>
      <c r="D518" s="104"/>
      <c r="E518" s="104"/>
      <c r="F518" s="104"/>
      <c r="G518" s="104"/>
      <c r="H518" s="104"/>
      <c r="I518" s="104"/>
      <c r="J518" s="104"/>
      <c r="K518" s="104"/>
      <c r="L518" s="102"/>
      <c r="M518" s="102"/>
      <c r="N518" s="102"/>
      <c r="O518" s="102"/>
      <c r="P518" s="103"/>
      <c r="Q518" s="103"/>
      <c r="R518" s="103"/>
      <c r="S518" s="103"/>
      <c r="T518" s="79"/>
      <c r="U518" s="79"/>
      <c r="V518" s="79"/>
      <c r="W518" s="79"/>
      <c r="X518" s="79"/>
      <c r="Y518" s="79"/>
      <c r="Z518" s="79"/>
    </row>
    <row r="519" ht="21.0" customHeight="1">
      <c r="A519" s="79"/>
      <c r="B519" s="79"/>
      <c r="C519" s="104"/>
      <c r="D519" s="104"/>
      <c r="E519" s="104"/>
      <c r="F519" s="104"/>
      <c r="G519" s="104"/>
      <c r="H519" s="104"/>
      <c r="I519" s="104"/>
      <c r="J519" s="104"/>
      <c r="K519" s="104"/>
      <c r="L519" s="102"/>
      <c r="M519" s="102"/>
      <c r="N519" s="102"/>
      <c r="O519" s="102"/>
      <c r="P519" s="103"/>
      <c r="Q519" s="103"/>
      <c r="R519" s="103"/>
      <c r="S519" s="103"/>
      <c r="T519" s="79"/>
      <c r="U519" s="79"/>
      <c r="V519" s="79"/>
      <c r="W519" s="79"/>
      <c r="X519" s="79"/>
      <c r="Y519" s="79"/>
      <c r="Z519" s="79"/>
    </row>
    <row r="520" ht="21.0" customHeight="1">
      <c r="A520" s="79"/>
      <c r="B520" s="79"/>
      <c r="C520" s="104"/>
      <c r="D520" s="104"/>
      <c r="E520" s="104"/>
      <c r="F520" s="104"/>
      <c r="G520" s="104"/>
      <c r="H520" s="104"/>
      <c r="I520" s="104"/>
      <c r="J520" s="104"/>
      <c r="K520" s="104"/>
      <c r="L520" s="102"/>
      <c r="M520" s="102"/>
      <c r="N520" s="102"/>
      <c r="O520" s="102"/>
      <c r="P520" s="103"/>
      <c r="Q520" s="103"/>
      <c r="R520" s="103"/>
      <c r="S520" s="103"/>
      <c r="T520" s="79"/>
      <c r="U520" s="79"/>
      <c r="V520" s="79"/>
      <c r="W520" s="79"/>
      <c r="X520" s="79"/>
      <c r="Y520" s="79"/>
      <c r="Z520" s="79"/>
    </row>
    <row r="521" ht="21.0" customHeight="1">
      <c r="A521" s="79"/>
      <c r="B521" s="79"/>
      <c r="C521" s="104"/>
      <c r="D521" s="104"/>
      <c r="E521" s="104"/>
      <c r="F521" s="104"/>
      <c r="G521" s="104"/>
      <c r="H521" s="104"/>
      <c r="I521" s="104"/>
      <c r="J521" s="104"/>
      <c r="K521" s="104"/>
      <c r="L521" s="102"/>
      <c r="M521" s="102"/>
      <c r="N521" s="102"/>
      <c r="O521" s="102"/>
      <c r="P521" s="103"/>
      <c r="Q521" s="103"/>
      <c r="R521" s="103"/>
      <c r="S521" s="103"/>
      <c r="T521" s="79"/>
      <c r="U521" s="79"/>
      <c r="V521" s="79"/>
      <c r="W521" s="79"/>
      <c r="X521" s="79"/>
      <c r="Y521" s="79"/>
      <c r="Z521" s="79"/>
    </row>
    <row r="522" ht="21.0" customHeight="1">
      <c r="A522" s="79"/>
      <c r="B522" s="79"/>
      <c r="C522" s="104"/>
      <c r="D522" s="104"/>
      <c r="E522" s="104"/>
      <c r="F522" s="104"/>
      <c r="G522" s="104"/>
      <c r="H522" s="104"/>
      <c r="I522" s="104"/>
      <c r="J522" s="104"/>
      <c r="K522" s="104"/>
      <c r="L522" s="102"/>
      <c r="M522" s="102"/>
      <c r="N522" s="102"/>
      <c r="O522" s="102"/>
      <c r="P522" s="103"/>
      <c r="Q522" s="103"/>
      <c r="R522" s="103"/>
      <c r="S522" s="103"/>
      <c r="T522" s="79"/>
      <c r="U522" s="79"/>
      <c r="V522" s="79"/>
      <c r="W522" s="79"/>
      <c r="X522" s="79"/>
      <c r="Y522" s="79"/>
      <c r="Z522" s="79"/>
    </row>
    <row r="523" ht="21.0" customHeight="1">
      <c r="A523" s="79"/>
      <c r="B523" s="79"/>
      <c r="C523" s="104"/>
      <c r="D523" s="104"/>
      <c r="E523" s="104"/>
      <c r="F523" s="104"/>
      <c r="G523" s="104"/>
      <c r="H523" s="104"/>
      <c r="I523" s="104"/>
      <c r="J523" s="104"/>
      <c r="K523" s="104"/>
      <c r="L523" s="102"/>
      <c r="M523" s="102"/>
      <c r="N523" s="102"/>
      <c r="O523" s="102"/>
      <c r="P523" s="103"/>
      <c r="Q523" s="103"/>
      <c r="R523" s="103"/>
      <c r="S523" s="103"/>
      <c r="T523" s="79"/>
      <c r="U523" s="79"/>
      <c r="V523" s="79"/>
      <c r="W523" s="79"/>
      <c r="X523" s="79"/>
      <c r="Y523" s="79"/>
      <c r="Z523" s="79"/>
    </row>
    <row r="524" ht="21.0" customHeight="1">
      <c r="A524" s="79"/>
      <c r="B524" s="79"/>
      <c r="C524" s="104"/>
      <c r="D524" s="104"/>
      <c r="E524" s="104"/>
      <c r="F524" s="104"/>
      <c r="G524" s="104"/>
      <c r="H524" s="104"/>
      <c r="I524" s="104"/>
      <c r="J524" s="104"/>
      <c r="K524" s="104"/>
      <c r="L524" s="102"/>
      <c r="M524" s="102"/>
      <c r="N524" s="102"/>
      <c r="O524" s="102"/>
      <c r="P524" s="103"/>
      <c r="Q524" s="103"/>
      <c r="R524" s="103"/>
      <c r="S524" s="103"/>
      <c r="T524" s="79"/>
      <c r="U524" s="79"/>
      <c r="V524" s="79"/>
      <c r="W524" s="79"/>
      <c r="X524" s="79"/>
      <c r="Y524" s="79"/>
      <c r="Z524" s="79"/>
    </row>
    <row r="525" ht="21.0" customHeight="1">
      <c r="A525" s="79"/>
      <c r="B525" s="79"/>
      <c r="C525" s="104"/>
      <c r="D525" s="104"/>
      <c r="E525" s="104"/>
      <c r="F525" s="104"/>
      <c r="G525" s="104"/>
      <c r="H525" s="104"/>
      <c r="I525" s="104"/>
      <c r="J525" s="104"/>
      <c r="K525" s="104"/>
      <c r="L525" s="102"/>
      <c r="M525" s="102"/>
      <c r="N525" s="102"/>
      <c r="O525" s="102"/>
      <c r="P525" s="103"/>
      <c r="Q525" s="103"/>
      <c r="R525" s="103"/>
      <c r="S525" s="103"/>
      <c r="T525" s="79"/>
      <c r="U525" s="79"/>
      <c r="V525" s="79"/>
      <c r="W525" s="79"/>
      <c r="X525" s="79"/>
      <c r="Y525" s="79"/>
      <c r="Z525" s="79"/>
    </row>
    <row r="526" ht="21.0" customHeight="1">
      <c r="A526" s="79"/>
      <c r="B526" s="79"/>
      <c r="C526" s="104"/>
      <c r="D526" s="104"/>
      <c r="E526" s="104"/>
      <c r="F526" s="104"/>
      <c r="G526" s="104"/>
      <c r="H526" s="104"/>
      <c r="I526" s="104"/>
      <c r="J526" s="104"/>
      <c r="K526" s="104"/>
      <c r="L526" s="102"/>
      <c r="M526" s="102"/>
      <c r="N526" s="102"/>
      <c r="O526" s="102"/>
      <c r="P526" s="103"/>
      <c r="Q526" s="103"/>
      <c r="R526" s="103"/>
      <c r="S526" s="103"/>
      <c r="T526" s="79"/>
      <c r="U526" s="79"/>
      <c r="V526" s="79"/>
      <c r="W526" s="79"/>
      <c r="X526" s="79"/>
      <c r="Y526" s="79"/>
      <c r="Z526" s="79"/>
    </row>
    <row r="527" ht="21.0" customHeight="1">
      <c r="A527" s="79"/>
      <c r="B527" s="79"/>
      <c r="C527" s="104"/>
      <c r="D527" s="104"/>
      <c r="E527" s="104"/>
      <c r="F527" s="104"/>
      <c r="G527" s="104"/>
      <c r="H527" s="104"/>
      <c r="I527" s="104"/>
      <c r="J527" s="104"/>
      <c r="K527" s="104"/>
      <c r="L527" s="102"/>
      <c r="M527" s="102"/>
      <c r="N527" s="102"/>
      <c r="O527" s="102"/>
      <c r="P527" s="103"/>
      <c r="Q527" s="103"/>
      <c r="R527" s="103"/>
      <c r="S527" s="103"/>
      <c r="T527" s="79"/>
      <c r="U527" s="79"/>
      <c r="V527" s="79"/>
      <c r="W527" s="79"/>
      <c r="X527" s="79"/>
      <c r="Y527" s="79"/>
      <c r="Z527" s="79"/>
    </row>
    <row r="528" ht="21.0" customHeight="1">
      <c r="A528" s="79"/>
      <c r="B528" s="79"/>
      <c r="C528" s="104"/>
      <c r="D528" s="104"/>
      <c r="E528" s="104"/>
      <c r="F528" s="104"/>
      <c r="G528" s="104"/>
      <c r="H528" s="104"/>
      <c r="I528" s="104"/>
      <c r="J528" s="104"/>
      <c r="K528" s="104"/>
      <c r="L528" s="102"/>
      <c r="M528" s="102"/>
      <c r="N528" s="102"/>
      <c r="O528" s="102"/>
      <c r="P528" s="103"/>
      <c r="Q528" s="103"/>
      <c r="R528" s="103"/>
      <c r="S528" s="103"/>
      <c r="T528" s="79"/>
      <c r="U528" s="79"/>
      <c r="V528" s="79"/>
      <c r="W528" s="79"/>
      <c r="X528" s="79"/>
      <c r="Y528" s="79"/>
      <c r="Z528" s="79"/>
    </row>
    <row r="529" ht="21.0" customHeight="1">
      <c r="A529" s="79"/>
      <c r="B529" s="79"/>
      <c r="C529" s="104"/>
      <c r="D529" s="104"/>
      <c r="E529" s="104"/>
      <c r="F529" s="104"/>
      <c r="G529" s="104"/>
      <c r="H529" s="104"/>
      <c r="I529" s="104"/>
      <c r="J529" s="104"/>
      <c r="K529" s="104"/>
      <c r="L529" s="102"/>
      <c r="M529" s="102"/>
      <c r="N529" s="102"/>
      <c r="O529" s="102"/>
      <c r="P529" s="103"/>
      <c r="Q529" s="103"/>
      <c r="R529" s="103"/>
      <c r="S529" s="103"/>
      <c r="T529" s="79"/>
      <c r="U529" s="79"/>
      <c r="V529" s="79"/>
      <c r="W529" s="79"/>
      <c r="X529" s="79"/>
      <c r="Y529" s="79"/>
      <c r="Z529" s="79"/>
    </row>
    <row r="530" ht="21.0" customHeight="1">
      <c r="A530" s="79"/>
      <c r="B530" s="79"/>
      <c r="C530" s="104"/>
      <c r="D530" s="104"/>
      <c r="E530" s="104"/>
      <c r="F530" s="104"/>
      <c r="G530" s="104"/>
      <c r="H530" s="104"/>
      <c r="I530" s="104"/>
      <c r="J530" s="104"/>
      <c r="K530" s="104"/>
      <c r="L530" s="102"/>
      <c r="M530" s="102"/>
      <c r="N530" s="102"/>
      <c r="O530" s="102"/>
      <c r="P530" s="103"/>
      <c r="Q530" s="103"/>
      <c r="R530" s="103"/>
      <c r="S530" s="103"/>
      <c r="T530" s="79"/>
      <c r="U530" s="79"/>
      <c r="V530" s="79"/>
      <c r="W530" s="79"/>
      <c r="X530" s="79"/>
      <c r="Y530" s="79"/>
      <c r="Z530" s="79"/>
    </row>
    <row r="531" ht="21.0" customHeight="1">
      <c r="A531" s="79"/>
      <c r="B531" s="79"/>
      <c r="C531" s="104"/>
      <c r="D531" s="104"/>
      <c r="E531" s="104"/>
      <c r="F531" s="104"/>
      <c r="G531" s="104"/>
      <c r="H531" s="104"/>
      <c r="I531" s="104"/>
      <c r="J531" s="104"/>
      <c r="K531" s="104"/>
      <c r="L531" s="102"/>
      <c r="M531" s="102"/>
      <c r="N531" s="102"/>
      <c r="O531" s="102"/>
      <c r="P531" s="103"/>
      <c r="Q531" s="103"/>
      <c r="R531" s="103"/>
      <c r="S531" s="103"/>
      <c r="T531" s="79"/>
      <c r="U531" s="79"/>
      <c r="V531" s="79"/>
      <c r="W531" s="79"/>
      <c r="X531" s="79"/>
      <c r="Y531" s="79"/>
      <c r="Z531" s="79"/>
    </row>
    <row r="532" ht="21.0" customHeight="1">
      <c r="A532" s="79"/>
      <c r="B532" s="79"/>
      <c r="C532" s="104"/>
      <c r="D532" s="104"/>
      <c r="E532" s="104"/>
      <c r="F532" s="104"/>
      <c r="G532" s="104"/>
      <c r="H532" s="104"/>
      <c r="I532" s="104"/>
      <c r="J532" s="104"/>
      <c r="K532" s="104"/>
      <c r="L532" s="102"/>
      <c r="M532" s="102"/>
      <c r="N532" s="102"/>
      <c r="O532" s="102"/>
      <c r="P532" s="103"/>
      <c r="Q532" s="103"/>
      <c r="R532" s="103"/>
      <c r="S532" s="103"/>
      <c r="T532" s="79"/>
      <c r="U532" s="79"/>
      <c r="V532" s="79"/>
      <c r="W532" s="79"/>
      <c r="X532" s="79"/>
      <c r="Y532" s="79"/>
      <c r="Z532" s="79"/>
    </row>
    <row r="533" ht="21.0" customHeight="1">
      <c r="A533" s="79"/>
      <c r="B533" s="79"/>
      <c r="C533" s="104"/>
      <c r="D533" s="104"/>
      <c r="E533" s="104"/>
      <c r="F533" s="104"/>
      <c r="G533" s="104"/>
      <c r="H533" s="104"/>
      <c r="I533" s="104"/>
      <c r="J533" s="104"/>
      <c r="K533" s="104"/>
      <c r="L533" s="102"/>
      <c r="M533" s="102"/>
      <c r="N533" s="102"/>
      <c r="O533" s="102"/>
      <c r="P533" s="103"/>
      <c r="Q533" s="103"/>
      <c r="R533" s="103"/>
      <c r="S533" s="103"/>
      <c r="T533" s="79"/>
      <c r="U533" s="79"/>
      <c r="V533" s="79"/>
      <c r="W533" s="79"/>
      <c r="X533" s="79"/>
      <c r="Y533" s="79"/>
      <c r="Z533" s="79"/>
    </row>
    <row r="534" ht="21.0" customHeight="1">
      <c r="A534" s="79"/>
      <c r="B534" s="79"/>
      <c r="C534" s="104"/>
      <c r="D534" s="104"/>
      <c r="E534" s="104"/>
      <c r="F534" s="104"/>
      <c r="G534" s="104"/>
      <c r="H534" s="104"/>
      <c r="I534" s="104"/>
      <c r="J534" s="104"/>
      <c r="K534" s="104"/>
      <c r="L534" s="102"/>
      <c r="M534" s="102"/>
      <c r="N534" s="102"/>
      <c r="O534" s="102"/>
      <c r="P534" s="103"/>
      <c r="Q534" s="103"/>
      <c r="R534" s="103"/>
      <c r="S534" s="103"/>
      <c r="T534" s="79"/>
      <c r="U534" s="79"/>
      <c r="V534" s="79"/>
      <c r="W534" s="79"/>
      <c r="X534" s="79"/>
      <c r="Y534" s="79"/>
      <c r="Z534" s="79"/>
    </row>
    <row r="535" ht="21.0" customHeight="1">
      <c r="A535" s="79"/>
      <c r="B535" s="79"/>
      <c r="C535" s="104"/>
      <c r="D535" s="104"/>
      <c r="E535" s="104"/>
      <c r="F535" s="104"/>
      <c r="G535" s="104"/>
      <c r="H535" s="104"/>
      <c r="I535" s="104"/>
      <c r="J535" s="104"/>
      <c r="K535" s="104"/>
      <c r="L535" s="102"/>
      <c r="M535" s="102"/>
      <c r="N535" s="102"/>
      <c r="O535" s="102"/>
      <c r="P535" s="103"/>
      <c r="Q535" s="103"/>
      <c r="R535" s="103"/>
      <c r="S535" s="103"/>
      <c r="T535" s="79"/>
      <c r="U535" s="79"/>
      <c r="V535" s="79"/>
      <c r="W535" s="79"/>
      <c r="X535" s="79"/>
      <c r="Y535" s="79"/>
      <c r="Z535" s="79"/>
    </row>
    <row r="536" ht="21.0" customHeight="1">
      <c r="A536" s="79"/>
      <c r="B536" s="79"/>
      <c r="C536" s="104"/>
      <c r="D536" s="104"/>
      <c r="E536" s="104"/>
      <c r="F536" s="104"/>
      <c r="G536" s="104"/>
      <c r="H536" s="104"/>
      <c r="I536" s="104"/>
      <c r="J536" s="104"/>
      <c r="K536" s="104"/>
      <c r="L536" s="102"/>
      <c r="M536" s="102"/>
      <c r="N536" s="102"/>
      <c r="O536" s="102"/>
      <c r="P536" s="103"/>
      <c r="Q536" s="103"/>
      <c r="R536" s="103"/>
      <c r="S536" s="103"/>
      <c r="T536" s="79"/>
      <c r="U536" s="79"/>
      <c r="V536" s="79"/>
      <c r="W536" s="79"/>
      <c r="X536" s="79"/>
      <c r="Y536" s="79"/>
      <c r="Z536" s="79"/>
    </row>
    <row r="537" ht="21.0" customHeight="1">
      <c r="A537" s="79"/>
      <c r="B537" s="79"/>
      <c r="C537" s="104"/>
      <c r="D537" s="104"/>
      <c r="E537" s="104"/>
      <c r="F537" s="104"/>
      <c r="G537" s="104"/>
      <c r="H537" s="104"/>
      <c r="I537" s="104"/>
      <c r="J537" s="104"/>
      <c r="K537" s="104"/>
      <c r="L537" s="102"/>
      <c r="M537" s="102"/>
      <c r="N537" s="102"/>
      <c r="O537" s="102"/>
      <c r="P537" s="103"/>
      <c r="Q537" s="103"/>
      <c r="R537" s="103"/>
      <c r="S537" s="103"/>
      <c r="T537" s="79"/>
      <c r="U537" s="79"/>
      <c r="V537" s="79"/>
      <c r="W537" s="79"/>
      <c r="X537" s="79"/>
      <c r="Y537" s="79"/>
      <c r="Z537" s="79"/>
    </row>
    <row r="538" ht="21.0" customHeight="1">
      <c r="A538" s="79"/>
      <c r="B538" s="79"/>
      <c r="C538" s="104"/>
      <c r="D538" s="104"/>
      <c r="E538" s="104"/>
      <c r="F538" s="104"/>
      <c r="G538" s="104"/>
      <c r="H538" s="104"/>
      <c r="I538" s="104"/>
      <c r="J538" s="104"/>
      <c r="K538" s="104"/>
      <c r="L538" s="102"/>
      <c r="M538" s="102"/>
      <c r="N538" s="102"/>
      <c r="O538" s="102"/>
      <c r="P538" s="103"/>
      <c r="Q538" s="103"/>
      <c r="R538" s="103"/>
      <c r="S538" s="103"/>
      <c r="T538" s="79"/>
      <c r="U538" s="79"/>
      <c r="V538" s="79"/>
      <c r="W538" s="79"/>
      <c r="X538" s="79"/>
      <c r="Y538" s="79"/>
      <c r="Z538" s="79"/>
    </row>
    <row r="539" ht="21.0" customHeight="1">
      <c r="A539" s="79"/>
      <c r="B539" s="79"/>
      <c r="C539" s="104"/>
      <c r="D539" s="104"/>
      <c r="E539" s="104"/>
      <c r="F539" s="104"/>
      <c r="G539" s="104"/>
      <c r="H539" s="104"/>
      <c r="I539" s="104"/>
      <c r="J539" s="104"/>
      <c r="K539" s="104"/>
      <c r="L539" s="102"/>
      <c r="M539" s="102"/>
      <c r="N539" s="102"/>
      <c r="O539" s="102"/>
      <c r="P539" s="103"/>
      <c r="Q539" s="103"/>
      <c r="R539" s="103"/>
      <c r="S539" s="103"/>
      <c r="T539" s="79"/>
      <c r="U539" s="79"/>
      <c r="V539" s="79"/>
      <c r="W539" s="79"/>
      <c r="X539" s="79"/>
      <c r="Y539" s="79"/>
      <c r="Z539" s="79"/>
    </row>
    <row r="540" ht="21.0" customHeight="1">
      <c r="A540" s="79"/>
      <c r="B540" s="79"/>
      <c r="C540" s="104"/>
      <c r="D540" s="104"/>
      <c r="E540" s="104"/>
      <c r="F540" s="104"/>
      <c r="G540" s="104"/>
      <c r="H540" s="104"/>
      <c r="I540" s="104"/>
      <c r="J540" s="104"/>
      <c r="K540" s="104"/>
      <c r="L540" s="102"/>
      <c r="M540" s="102"/>
      <c r="N540" s="102"/>
      <c r="O540" s="102"/>
      <c r="P540" s="103"/>
      <c r="Q540" s="103"/>
      <c r="R540" s="103"/>
      <c r="S540" s="103"/>
      <c r="T540" s="79"/>
      <c r="U540" s="79"/>
      <c r="V540" s="79"/>
      <c r="W540" s="79"/>
      <c r="X540" s="79"/>
      <c r="Y540" s="79"/>
      <c r="Z540" s="79"/>
    </row>
    <row r="541" ht="21.0" customHeight="1">
      <c r="A541" s="79"/>
      <c r="B541" s="79"/>
      <c r="C541" s="104"/>
      <c r="D541" s="104"/>
      <c r="E541" s="104"/>
      <c r="F541" s="104"/>
      <c r="G541" s="104"/>
      <c r="H541" s="104"/>
      <c r="I541" s="104"/>
      <c r="J541" s="104"/>
      <c r="K541" s="104"/>
      <c r="L541" s="102"/>
      <c r="M541" s="102"/>
      <c r="N541" s="102"/>
      <c r="O541" s="102"/>
      <c r="P541" s="103"/>
      <c r="Q541" s="103"/>
      <c r="R541" s="103"/>
      <c r="S541" s="103"/>
      <c r="T541" s="79"/>
      <c r="U541" s="79"/>
      <c r="V541" s="79"/>
      <c r="W541" s="79"/>
      <c r="X541" s="79"/>
      <c r="Y541" s="79"/>
      <c r="Z541" s="79"/>
    </row>
    <row r="542" ht="21.0" customHeight="1">
      <c r="A542" s="79"/>
      <c r="B542" s="79"/>
      <c r="C542" s="104"/>
      <c r="D542" s="104"/>
      <c r="E542" s="104"/>
      <c r="F542" s="104"/>
      <c r="G542" s="104"/>
      <c r="H542" s="104"/>
      <c r="I542" s="104"/>
      <c r="J542" s="104"/>
      <c r="K542" s="104"/>
      <c r="L542" s="102"/>
      <c r="M542" s="102"/>
      <c r="N542" s="102"/>
      <c r="O542" s="102"/>
      <c r="P542" s="103"/>
      <c r="Q542" s="103"/>
      <c r="R542" s="103"/>
      <c r="S542" s="103"/>
      <c r="T542" s="79"/>
      <c r="U542" s="79"/>
      <c r="V542" s="79"/>
      <c r="W542" s="79"/>
      <c r="X542" s="79"/>
      <c r="Y542" s="79"/>
      <c r="Z542" s="79"/>
    </row>
    <row r="543" ht="21.0" customHeight="1">
      <c r="A543" s="79"/>
      <c r="B543" s="79"/>
      <c r="C543" s="104"/>
      <c r="D543" s="104"/>
      <c r="E543" s="104"/>
      <c r="F543" s="104"/>
      <c r="G543" s="104"/>
      <c r="H543" s="104"/>
      <c r="I543" s="104"/>
      <c r="J543" s="104"/>
      <c r="K543" s="104"/>
      <c r="L543" s="102"/>
      <c r="M543" s="102"/>
      <c r="N543" s="102"/>
      <c r="O543" s="102"/>
      <c r="P543" s="103"/>
      <c r="Q543" s="103"/>
      <c r="R543" s="103"/>
      <c r="S543" s="103"/>
      <c r="T543" s="79"/>
      <c r="U543" s="79"/>
      <c r="V543" s="79"/>
      <c r="W543" s="79"/>
      <c r="X543" s="79"/>
      <c r="Y543" s="79"/>
      <c r="Z543" s="79"/>
    </row>
    <row r="544" ht="21.0" customHeight="1">
      <c r="A544" s="79"/>
      <c r="B544" s="79"/>
      <c r="C544" s="104"/>
      <c r="D544" s="104"/>
      <c r="E544" s="104"/>
      <c r="F544" s="104"/>
      <c r="G544" s="104"/>
      <c r="H544" s="104"/>
      <c r="I544" s="104"/>
      <c r="J544" s="104"/>
      <c r="K544" s="104"/>
      <c r="L544" s="102"/>
      <c r="M544" s="102"/>
      <c r="N544" s="102"/>
      <c r="O544" s="102"/>
      <c r="P544" s="103"/>
      <c r="Q544" s="103"/>
      <c r="R544" s="103"/>
      <c r="S544" s="103"/>
      <c r="T544" s="79"/>
      <c r="U544" s="79"/>
      <c r="V544" s="79"/>
      <c r="W544" s="79"/>
      <c r="X544" s="79"/>
      <c r="Y544" s="79"/>
      <c r="Z544" s="79"/>
    </row>
    <row r="545" ht="21.0" customHeight="1">
      <c r="A545" s="79"/>
      <c r="B545" s="79"/>
      <c r="C545" s="104"/>
      <c r="D545" s="104"/>
      <c r="E545" s="104"/>
      <c r="F545" s="104"/>
      <c r="G545" s="104"/>
      <c r="H545" s="104"/>
      <c r="I545" s="104"/>
      <c r="J545" s="104"/>
      <c r="K545" s="104"/>
      <c r="L545" s="102"/>
      <c r="M545" s="102"/>
      <c r="N545" s="102"/>
      <c r="O545" s="102"/>
      <c r="P545" s="103"/>
      <c r="Q545" s="103"/>
      <c r="R545" s="103"/>
      <c r="S545" s="103"/>
      <c r="T545" s="79"/>
      <c r="U545" s="79"/>
      <c r="V545" s="79"/>
      <c r="W545" s="79"/>
      <c r="X545" s="79"/>
      <c r="Y545" s="79"/>
      <c r="Z545" s="79"/>
    </row>
    <row r="546" ht="21.0" customHeight="1">
      <c r="A546" s="79"/>
      <c r="B546" s="79"/>
      <c r="C546" s="104"/>
      <c r="D546" s="104"/>
      <c r="E546" s="104"/>
      <c r="F546" s="104"/>
      <c r="G546" s="104"/>
      <c r="H546" s="104"/>
      <c r="I546" s="104"/>
      <c r="J546" s="104"/>
      <c r="K546" s="104"/>
      <c r="L546" s="102"/>
      <c r="M546" s="102"/>
      <c r="N546" s="102"/>
      <c r="O546" s="102"/>
      <c r="P546" s="103"/>
      <c r="Q546" s="103"/>
      <c r="R546" s="103"/>
      <c r="S546" s="103"/>
      <c r="T546" s="79"/>
      <c r="U546" s="79"/>
      <c r="V546" s="79"/>
      <c r="W546" s="79"/>
      <c r="X546" s="79"/>
      <c r="Y546" s="79"/>
      <c r="Z546" s="79"/>
    </row>
    <row r="547" ht="21.0" customHeight="1">
      <c r="A547" s="79"/>
      <c r="B547" s="79"/>
      <c r="C547" s="104"/>
      <c r="D547" s="104"/>
      <c r="E547" s="104"/>
      <c r="F547" s="104"/>
      <c r="G547" s="104"/>
      <c r="H547" s="104"/>
      <c r="I547" s="104"/>
      <c r="J547" s="104"/>
      <c r="K547" s="104"/>
      <c r="L547" s="102"/>
      <c r="M547" s="102"/>
      <c r="N547" s="102"/>
      <c r="O547" s="102"/>
      <c r="P547" s="103"/>
      <c r="Q547" s="103"/>
      <c r="R547" s="103"/>
      <c r="S547" s="103"/>
      <c r="T547" s="79"/>
      <c r="U547" s="79"/>
      <c r="V547" s="79"/>
      <c r="W547" s="79"/>
      <c r="X547" s="79"/>
      <c r="Y547" s="79"/>
      <c r="Z547" s="79"/>
    </row>
    <row r="548" ht="21.0" customHeight="1">
      <c r="A548" s="79"/>
      <c r="B548" s="79"/>
      <c r="C548" s="104"/>
      <c r="D548" s="104"/>
      <c r="E548" s="104"/>
      <c r="F548" s="104"/>
      <c r="G548" s="104"/>
      <c r="H548" s="104"/>
      <c r="I548" s="104"/>
      <c r="J548" s="104"/>
      <c r="K548" s="104"/>
      <c r="L548" s="102"/>
      <c r="M548" s="102"/>
      <c r="N548" s="102"/>
      <c r="O548" s="102"/>
      <c r="P548" s="103"/>
      <c r="Q548" s="103"/>
      <c r="R548" s="103"/>
      <c r="S548" s="103"/>
      <c r="T548" s="79"/>
      <c r="U548" s="79"/>
      <c r="V548" s="79"/>
      <c r="W548" s="79"/>
      <c r="X548" s="79"/>
      <c r="Y548" s="79"/>
      <c r="Z548" s="79"/>
    </row>
    <row r="549" ht="21.0" customHeight="1">
      <c r="A549" s="79"/>
      <c r="B549" s="79"/>
      <c r="C549" s="104"/>
      <c r="D549" s="104"/>
      <c r="E549" s="104"/>
      <c r="F549" s="104"/>
      <c r="G549" s="104"/>
      <c r="H549" s="104"/>
      <c r="I549" s="104"/>
      <c r="J549" s="104"/>
      <c r="K549" s="104"/>
      <c r="L549" s="102"/>
      <c r="M549" s="102"/>
      <c r="N549" s="102"/>
      <c r="O549" s="102"/>
      <c r="P549" s="103"/>
      <c r="Q549" s="103"/>
      <c r="R549" s="103"/>
      <c r="S549" s="103"/>
      <c r="T549" s="79"/>
      <c r="U549" s="79"/>
      <c r="V549" s="79"/>
      <c r="W549" s="79"/>
      <c r="X549" s="79"/>
      <c r="Y549" s="79"/>
      <c r="Z549" s="79"/>
    </row>
    <row r="550" ht="21.0" customHeight="1">
      <c r="A550" s="79"/>
      <c r="B550" s="79"/>
      <c r="C550" s="104"/>
      <c r="D550" s="104"/>
      <c r="E550" s="104"/>
      <c r="F550" s="104"/>
      <c r="G550" s="104"/>
      <c r="H550" s="104"/>
      <c r="I550" s="104"/>
      <c r="J550" s="104"/>
      <c r="K550" s="104"/>
      <c r="L550" s="102"/>
      <c r="M550" s="102"/>
      <c r="N550" s="102"/>
      <c r="O550" s="102"/>
      <c r="P550" s="103"/>
      <c r="Q550" s="103"/>
      <c r="R550" s="103"/>
      <c r="S550" s="103"/>
      <c r="T550" s="79"/>
      <c r="U550" s="79"/>
      <c r="V550" s="79"/>
      <c r="W550" s="79"/>
      <c r="X550" s="79"/>
      <c r="Y550" s="79"/>
      <c r="Z550" s="79"/>
    </row>
    <row r="551" ht="21.0" customHeight="1">
      <c r="A551" s="79"/>
      <c r="B551" s="79"/>
      <c r="C551" s="104"/>
      <c r="D551" s="104"/>
      <c r="E551" s="104"/>
      <c r="F551" s="104"/>
      <c r="G551" s="104"/>
      <c r="H551" s="104"/>
      <c r="I551" s="104"/>
      <c r="J551" s="104"/>
      <c r="K551" s="104"/>
      <c r="L551" s="102"/>
      <c r="M551" s="102"/>
      <c r="N551" s="102"/>
      <c r="O551" s="102"/>
      <c r="P551" s="103"/>
      <c r="Q551" s="103"/>
      <c r="R551" s="103"/>
      <c r="S551" s="103"/>
      <c r="T551" s="79"/>
      <c r="U551" s="79"/>
      <c r="V551" s="79"/>
      <c r="W551" s="79"/>
      <c r="X551" s="79"/>
      <c r="Y551" s="79"/>
      <c r="Z551" s="79"/>
    </row>
    <row r="552" ht="21.0" customHeight="1">
      <c r="A552" s="79"/>
      <c r="B552" s="79"/>
      <c r="C552" s="104"/>
      <c r="D552" s="104"/>
      <c r="E552" s="104"/>
      <c r="F552" s="104"/>
      <c r="G552" s="104"/>
      <c r="H552" s="104"/>
      <c r="I552" s="104"/>
      <c r="J552" s="104"/>
      <c r="K552" s="104"/>
      <c r="L552" s="102"/>
      <c r="M552" s="102"/>
      <c r="N552" s="102"/>
      <c r="O552" s="102"/>
      <c r="P552" s="103"/>
      <c r="Q552" s="103"/>
      <c r="R552" s="103"/>
      <c r="S552" s="103"/>
      <c r="T552" s="79"/>
      <c r="U552" s="79"/>
      <c r="V552" s="79"/>
      <c r="W552" s="79"/>
      <c r="X552" s="79"/>
      <c r="Y552" s="79"/>
      <c r="Z552" s="79"/>
    </row>
    <row r="553" ht="21.0" customHeight="1">
      <c r="A553" s="79"/>
      <c r="B553" s="79"/>
      <c r="C553" s="104"/>
      <c r="D553" s="104"/>
      <c r="E553" s="104"/>
      <c r="F553" s="104"/>
      <c r="G553" s="104"/>
      <c r="H553" s="104"/>
      <c r="I553" s="104"/>
      <c r="J553" s="104"/>
      <c r="K553" s="104"/>
      <c r="L553" s="102"/>
      <c r="M553" s="102"/>
      <c r="N553" s="102"/>
      <c r="O553" s="102"/>
      <c r="P553" s="103"/>
      <c r="Q553" s="103"/>
      <c r="R553" s="103"/>
      <c r="S553" s="103"/>
      <c r="T553" s="79"/>
      <c r="U553" s="79"/>
      <c r="V553" s="79"/>
      <c r="W553" s="79"/>
      <c r="X553" s="79"/>
      <c r="Y553" s="79"/>
      <c r="Z553" s="79"/>
    </row>
    <row r="554" ht="21.0" customHeight="1">
      <c r="A554" s="79"/>
      <c r="B554" s="79"/>
      <c r="C554" s="104"/>
      <c r="D554" s="104"/>
      <c r="E554" s="104"/>
      <c r="F554" s="104"/>
      <c r="G554" s="104"/>
      <c r="H554" s="104"/>
      <c r="I554" s="104"/>
      <c r="J554" s="104"/>
      <c r="K554" s="104"/>
      <c r="L554" s="102"/>
      <c r="M554" s="102"/>
      <c r="N554" s="102"/>
      <c r="O554" s="102"/>
      <c r="P554" s="103"/>
      <c r="Q554" s="103"/>
      <c r="R554" s="103"/>
      <c r="S554" s="103"/>
      <c r="T554" s="79"/>
      <c r="U554" s="79"/>
      <c r="V554" s="79"/>
      <c r="W554" s="79"/>
      <c r="X554" s="79"/>
      <c r="Y554" s="79"/>
      <c r="Z554" s="79"/>
    </row>
    <row r="555" ht="21.0" customHeight="1">
      <c r="A555" s="79"/>
      <c r="B555" s="79"/>
      <c r="C555" s="104"/>
      <c r="D555" s="104"/>
      <c r="E555" s="104"/>
      <c r="F555" s="104"/>
      <c r="G555" s="104"/>
      <c r="H555" s="104"/>
      <c r="I555" s="104"/>
      <c r="J555" s="104"/>
      <c r="K555" s="104"/>
      <c r="L555" s="102"/>
      <c r="M555" s="102"/>
      <c r="N555" s="102"/>
      <c r="O555" s="102"/>
      <c r="P555" s="103"/>
      <c r="Q555" s="103"/>
      <c r="R555" s="103"/>
      <c r="S555" s="103"/>
      <c r="T555" s="79"/>
      <c r="U555" s="79"/>
      <c r="V555" s="79"/>
      <c r="W555" s="79"/>
      <c r="X555" s="79"/>
      <c r="Y555" s="79"/>
      <c r="Z555" s="79"/>
    </row>
    <row r="556" ht="21.0" customHeight="1">
      <c r="A556" s="79"/>
      <c r="B556" s="79"/>
      <c r="C556" s="104"/>
      <c r="D556" s="104"/>
      <c r="E556" s="104"/>
      <c r="F556" s="104"/>
      <c r="G556" s="104"/>
      <c r="H556" s="104"/>
      <c r="I556" s="104"/>
      <c r="J556" s="104"/>
      <c r="K556" s="104"/>
      <c r="L556" s="102"/>
      <c r="M556" s="102"/>
      <c r="N556" s="102"/>
      <c r="O556" s="102"/>
      <c r="P556" s="103"/>
      <c r="Q556" s="103"/>
      <c r="R556" s="103"/>
      <c r="S556" s="103"/>
      <c r="T556" s="79"/>
      <c r="U556" s="79"/>
      <c r="V556" s="79"/>
      <c r="W556" s="79"/>
      <c r="X556" s="79"/>
      <c r="Y556" s="79"/>
      <c r="Z556" s="79"/>
    </row>
    <row r="557" ht="21.0" customHeight="1">
      <c r="A557" s="79"/>
      <c r="B557" s="79"/>
      <c r="C557" s="104"/>
      <c r="D557" s="104"/>
      <c r="E557" s="104"/>
      <c r="F557" s="104"/>
      <c r="G557" s="104"/>
      <c r="H557" s="104"/>
      <c r="I557" s="104"/>
      <c r="J557" s="104"/>
      <c r="K557" s="104"/>
      <c r="L557" s="102"/>
      <c r="M557" s="102"/>
      <c r="N557" s="102"/>
      <c r="O557" s="102"/>
      <c r="P557" s="103"/>
      <c r="Q557" s="103"/>
      <c r="R557" s="103"/>
      <c r="S557" s="103"/>
      <c r="T557" s="79"/>
      <c r="U557" s="79"/>
      <c r="V557" s="79"/>
      <c r="W557" s="79"/>
      <c r="X557" s="79"/>
      <c r="Y557" s="79"/>
      <c r="Z557" s="79"/>
    </row>
    <row r="558" ht="21.0" customHeight="1">
      <c r="A558" s="79"/>
      <c r="B558" s="79"/>
      <c r="C558" s="104"/>
      <c r="D558" s="104"/>
      <c r="E558" s="104"/>
      <c r="F558" s="104"/>
      <c r="G558" s="104"/>
      <c r="H558" s="104"/>
      <c r="I558" s="104"/>
      <c r="J558" s="104"/>
      <c r="K558" s="104"/>
      <c r="L558" s="102"/>
      <c r="M558" s="102"/>
      <c r="N558" s="102"/>
      <c r="O558" s="102"/>
      <c r="P558" s="103"/>
      <c r="Q558" s="103"/>
      <c r="R558" s="103"/>
      <c r="S558" s="103"/>
      <c r="T558" s="79"/>
      <c r="U558" s="79"/>
      <c r="V558" s="79"/>
      <c r="W558" s="79"/>
      <c r="X558" s="79"/>
      <c r="Y558" s="79"/>
      <c r="Z558" s="79"/>
    </row>
    <row r="559" ht="21.0" customHeight="1">
      <c r="A559" s="79"/>
      <c r="B559" s="79"/>
      <c r="C559" s="104"/>
      <c r="D559" s="104"/>
      <c r="E559" s="104"/>
      <c r="F559" s="104"/>
      <c r="G559" s="104"/>
      <c r="H559" s="104"/>
      <c r="I559" s="104"/>
      <c r="J559" s="104"/>
      <c r="K559" s="104"/>
      <c r="L559" s="102"/>
      <c r="M559" s="102"/>
      <c r="N559" s="102"/>
      <c r="O559" s="102"/>
      <c r="P559" s="103"/>
      <c r="Q559" s="103"/>
      <c r="R559" s="103"/>
      <c r="S559" s="103"/>
      <c r="T559" s="79"/>
      <c r="U559" s="79"/>
      <c r="V559" s="79"/>
      <c r="W559" s="79"/>
      <c r="X559" s="79"/>
      <c r="Y559" s="79"/>
      <c r="Z559" s="79"/>
    </row>
    <row r="560" ht="21.0" customHeight="1">
      <c r="A560" s="79"/>
      <c r="B560" s="79"/>
      <c r="C560" s="104"/>
      <c r="D560" s="104"/>
      <c r="E560" s="104"/>
      <c r="F560" s="104"/>
      <c r="G560" s="104"/>
      <c r="H560" s="104"/>
      <c r="I560" s="104"/>
      <c r="J560" s="104"/>
      <c r="K560" s="104"/>
      <c r="L560" s="102"/>
      <c r="M560" s="102"/>
      <c r="N560" s="102"/>
      <c r="O560" s="102"/>
      <c r="P560" s="103"/>
      <c r="Q560" s="103"/>
      <c r="R560" s="103"/>
      <c r="S560" s="103"/>
      <c r="T560" s="79"/>
      <c r="U560" s="79"/>
      <c r="V560" s="79"/>
      <c r="W560" s="79"/>
      <c r="X560" s="79"/>
      <c r="Y560" s="79"/>
      <c r="Z560" s="79"/>
    </row>
    <row r="561" ht="21.0" customHeight="1">
      <c r="A561" s="79"/>
      <c r="B561" s="79"/>
      <c r="C561" s="104"/>
      <c r="D561" s="104"/>
      <c r="E561" s="104"/>
      <c r="F561" s="104"/>
      <c r="G561" s="104"/>
      <c r="H561" s="104"/>
      <c r="I561" s="104"/>
      <c r="J561" s="104"/>
      <c r="K561" s="104"/>
      <c r="L561" s="102"/>
      <c r="M561" s="102"/>
      <c r="N561" s="102"/>
      <c r="O561" s="102"/>
      <c r="P561" s="103"/>
      <c r="Q561" s="103"/>
      <c r="R561" s="103"/>
      <c r="S561" s="103"/>
      <c r="T561" s="79"/>
      <c r="U561" s="79"/>
      <c r="V561" s="79"/>
      <c r="W561" s="79"/>
      <c r="X561" s="79"/>
      <c r="Y561" s="79"/>
      <c r="Z561" s="79"/>
    </row>
    <row r="562" ht="21.0" customHeight="1">
      <c r="A562" s="79"/>
      <c r="B562" s="79"/>
      <c r="C562" s="104"/>
      <c r="D562" s="104"/>
      <c r="E562" s="104"/>
      <c r="F562" s="104"/>
      <c r="G562" s="104"/>
      <c r="H562" s="104"/>
      <c r="I562" s="104"/>
      <c r="J562" s="104"/>
      <c r="K562" s="104"/>
      <c r="L562" s="102"/>
      <c r="M562" s="102"/>
      <c r="N562" s="102"/>
      <c r="O562" s="102"/>
      <c r="P562" s="103"/>
      <c r="Q562" s="103"/>
      <c r="R562" s="103"/>
      <c r="S562" s="103"/>
      <c r="T562" s="79"/>
      <c r="U562" s="79"/>
      <c r="V562" s="79"/>
      <c r="W562" s="79"/>
      <c r="X562" s="79"/>
      <c r="Y562" s="79"/>
      <c r="Z562" s="79"/>
    </row>
    <row r="563" ht="21.0" customHeight="1">
      <c r="A563" s="79"/>
      <c r="B563" s="79"/>
      <c r="C563" s="104"/>
      <c r="D563" s="104"/>
      <c r="E563" s="104"/>
      <c r="F563" s="104"/>
      <c r="G563" s="104"/>
      <c r="H563" s="104"/>
      <c r="I563" s="104"/>
      <c r="J563" s="104"/>
      <c r="K563" s="104"/>
      <c r="L563" s="102"/>
      <c r="M563" s="102"/>
      <c r="N563" s="102"/>
      <c r="O563" s="102"/>
      <c r="P563" s="103"/>
      <c r="Q563" s="103"/>
      <c r="R563" s="103"/>
      <c r="S563" s="103"/>
      <c r="T563" s="79"/>
      <c r="U563" s="79"/>
      <c r="V563" s="79"/>
      <c r="W563" s="79"/>
      <c r="X563" s="79"/>
      <c r="Y563" s="79"/>
      <c r="Z563" s="79"/>
    </row>
    <row r="564" ht="21.0" customHeight="1">
      <c r="A564" s="79"/>
      <c r="B564" s="79"/>
      <c r="C564" s="104"/>
      <c r="D564" s="104"/>
      <c r="E564" s="104"/>
      <c r="F564" s="104"/>
      <c r="G564" s="104"/>
      <c r="H564" s="104"/>
      <c r="I564" s="104"/>
      <c r="J564" s="104"/>
      <c r="K564" s="104"/>
      <c r="L564" s="102"/>
      <c r="M564" s="102"/>
      <c r="N564" s="102"/>
      <c r="O564" s="102"/>
      <c r="P564" s="103"/>
      <c r="Q564" s="103"/>
      <c r="R564" s="103"/>
      <c r="S564" s="103"/>
      <c r="T564" s="79"/>
      <c r="U564" s="79"/>
      <c r="V564" s="79"/>
      <c r="W564" s="79"/>
      <c r="X564" s="79"/>
      <c r="Y564" s="79"/>
      <c r="Z564" s="79"/>
    </row>
    <row r="565" ht="21.0" customHeight="1">
      <c r="A565" s="79"/>
      <c r="B565" s="79"/>
      <c r="C565" s="104"/>
      <c r="D565" s="104"/>
      <c r="E565" s="104"/>
      <c r="F565" s="104"/>
      <c r="G565" s="104"/>
      <c r="H565" s="104"/>
      <c r="I565" s="104"/>
      <c r="J565" s="104"/>
      <c r="K565" s="104"/>
      <c r="L565" s="102"/>
      <c r="M565" s="102"/>
      <c r="N565" s="102"/>
      <c r="O565" s="102"/>
      <c r="P565" s="103"/>
      <c r="Q565" s="103"/>
      <c r="R565" s="103"/>
      <c r="S565" s="103"/>
      <c r="T565" s="79"/>
      <c r="U565" s="79"/>
      <c r="V565" s="79"/>
      <c r="W565" s="79"/>
      <c r="X565" s="79"/>
      <c r="Y565" s="79"/>
      <c r="Z565" s="79"/>
    </row>
    <row r="566" ht="21.0" customHeight="1">
      <c r="A566" s="79"/>
      <c r="B566" s="79"/>
      <c r="C566" s="104"/>
      <c r="D566" s="104"/>
      <c r="E566" s="104"/>
      <c r="F566" s="104"/>
      <c r="G566" s="104"/>
      <c r="H566" s="104"/>
      <c r="I566" s="104"/>
      <c r="J566" s="104"/>
      <c r="K566" s="104"/>
      <c r="L566" s="102"/>
      <c r="M566" s="102"/>
      <c r="N566" s="102"/>
      <c r="O566" s="102"/>
      <c r="P566" s="103"/>
      <c r="Q566" s="103"/>
      <c r="R566" s="103"/>
      <c r="S566" s="103"/>
      <c r="T566" s="79"/>
      <c r="U566" s="79"/>
      <c r="V566" s="79"/>
      <c r="W566" s="79"/>
      <c r="X566" s="79"/>
      <c r="Y566" s="79"/>
      <c r="Z566" s="79"/>
    </row>
    <row r="567" ht="21.0" customHeight="1">
      <c r="A567" s="79"/>
      <c r="B567" s="79"/>
      <c r="C567" s="104"/>
      <c r="D567" s="104"/>
      <c r="E567" s="104"/>
      <c r="F567" s="104"/>
      <c r="G567" s="104"/>
      <c r="H567" s="104"/>
      <c r="I567" s="104"/>
      <c r="J567" s="104"/>
      <c r="K567" s="104"/>
      <c r="L567" s="102"/>
      <c r="M567" s="102"/>
      <c r="N567" s="102"/>
      <c r="O567" s="102"/>
      <c r="P567" s="103"/>
      <c r="Q567" s="103"/>
      <c r="R567" s="103"/>
      <c r="S567" s="103"/>
      <c r="T567" s="79"/>
      <c r="U567" s="79"/>
      <c r="V567" s="79"/>
      <c r="W567" s="79"/>
      <c r="X567" s="79"/>
      <c r="Y567" s="79"/>
      <c r="Z567" s="79"/>
    </row>
    <row r="568" ht="21.0" customHeight="1">
      <c r="A568" s="79"/>
      <c r="B568" s="79"/>
      <c r="C568" s="104"/>
      <c r="D568" s="104"/>
      <c r="E568" s="104"/>
      <c r="F568" s="104"/>
      <c r="G568" s="104"/>
      <c r="H568" s="104"/>
      <c r="I568" s="104"/>
      <c r="J568" s="104"/>
      <c r="K568" s="104"/>
      <c r="L568" s="102"/>
      <c r="M568" s="102"/>
      <c r="N568" s="102"/>
      <c r="O568" s="102"/>
      <c r="P568" s="103"/>
      <c r="Q568" s="103"/>
      <c r="R568" s="103"/>
      <c r="S568" s="103"/>
      <c r="T568" s="79"/>
      <c r="U568" s="79"/>
      <c r="V568" s="79"/>
      <c r="W568" s="79"/>
      <c r="X568" s="79"/>
      <c r="Y568" s="79"/>
      <c r="Z568" s="79"/>
    </row>
    <row r="569" ht="21.0" customHeight="1">
      <c r="A569" s="79"/>
      <c r="B569" s="79"/>
      <c r="C569" s="104"/>
      <c r="D569" s="104"/>
      <c r="E569" s="104"/>
      <c r="F569" s="104"/>
      <c r="G569" s="104"/>
      <c r="H569" s="104"/>
      <c r="I569" s="104"/>
      <c r="J569" s="104"/>
      <c r="K569" s="104"/>
      <c r="L569" s="102"/>
      <c r="M569" s="102"/>
      <c r="N569" s="102"/>
      <c r="O569" s="102"/>
      <c r="P569" s="103"/>
      <c r="Q569" s="103"/>
      <c r="R569" s="103"/>
      <c r="S569" s="103"/>
      <c r="T569" s="79"/>
      <c r="U569" s="79"/>
      <c r="V569" s="79"/>
      <c r="W569" s="79"/>
      <c r="X569" s="79"/>
      <c r="Y569" s="79"/>
      <c r="Z569" s="79"/>
    </row>
    <row r="570" ht="21.0" customHeight="1">
      <c r="A570" s="79"/>
      <c r="B570" s="79"/>
      <c r="C570" s="104"/>
      <c r="D570" s="104"/>
      <c r="E570" s="104"/>
      <c r="F570" s="104"/>
      <c r="G570" s="104"/>
      <c r="H570" s="104"/>
      <c r="I570" s="104"/>
      <c r="J570" s="104"/>
      <c r="K570" s="104"/>
      <c r="L570" s="102"/>
      <c r="M570" s="102"/>
      <c r="N570" s="102"/>
      <c r="O570" s="102"/>
      <c r="P570" s="103"/>
      <c r="Q570" s="103"/>
      <c r="R570" s="103"/>
      <c r="S570" s="103"/>
      <c r="T570" s="79"/>
      <c r="U570" s="79"/>
      <c r="V570" s="79"/>
      <c r="W570" s="79"/>
      <c r="X570" s="79"/>
      <c r="Y570" s="79"/>
      <c r="Z570" s="79"/>
    </row>
    <row r="571" ht="21.0" customHeight="1">
      <c r="A571" s="79"/>
      <c r="B571" s="79"/>
      <c r="C571" s="104"/>
      <c r="D571" s="104"/>
      <c r="E571" s="104"/>
      <c r="F571" s="104"/>
      <c r="G571" s="104"/>
      <c r="H571" s="104"/>
      <c r="I571" s="104"/>
      <c r="J571" s="104"/>
      <c r="K571" s="104"/>
      <c r="L571" s="102"/>
      <c r="M571" s="102"/>
      <c r="N571" s="102"/>
      <c r="O571" s="102"/>
      <c r="P571" s="103"/>
      <c r="Q571" s="103"/>
      <c r="R571" s="103"/>
      <c r="S571" s="103"/>
      <c r="T571" s="79"/>
      <c r="U571" s="79"/>
      <c r="V571" s="79"/>
      <c r="W571" s="79"/>
      <c r="X571" s="79"/>
      <c r="Y571" s="79"/>
      <c r="Z571" s="79"/>
    </row>
    <row r="572" ht="21.0" customHeight="1">
      <c r="A572" s="79"/>
      <c r="B572" s="79"/>
      <c r="C572" s="104"/>
      <c r="D572" s="104"/>
      <c r="E572" s="104"/>
      <c r="F572" s="104"/>
      <c r="G572" s="104"/>
      <c r="H572" s="104"/>
      <c r="I572" s="104"/>
      <c r="J572" s="104"/>
      <c r="K572" s="104"/>
      <c r="L572" s="102"/>
      <c r="M572" s="102"/>
      <c r="N572" s="102"/>
      <c r="O572" s="102"/>
      <c r="P572" s="103"/>
      <c r="Q572" s="103"/>
      <c r="R572" s="103"/>
      <c r="S572" s="103"/>
      <c r="T572" s="79"/>
      <c r="U572" s="79"/>
      <c r="V572" s="79"/>
      <c r="W572" s="79"/>
      <c r="X572" s="79"/>
      <c r="Y572" s="79"/>
      <c r="Z572" s="79"/>
    </row>
    <row r="573" ht="21.0" customHeight="1">
      <c r="A573" s="79"/>
      <c r="B573" s="79"/>
      <c r="C573" s="104"/>
      <c r="D573" s="104"/>
      <c r="E573" s="104"/>
      <c r="F573" s="104"/>
      <c r="G573" s="104"/>
      <c r="H573" s="104"/>
      <c r="I573" s="104"/>
      <c r="J573" s="104"/>
      <c r="K573" s="104"/>
      <c r="L573" s="102"/>
      <c r="M573" s="102"/>
      <c r="N573" s="102"/>
      <c r="O573" s="102"/>
      <c r="P573" s="103"/>
      <c r="Q573" s="103"/>
      <c r="R573" s="103"/>
      <c r="S573" s="103"/>
      <c r="T573" s="79"/>
      <c r="U573" s="79"/>
      <c r="V573" s="79"/>
      <c r="W573" s="79"/>
      <c r="X573" s="79"/>
      <c r="Y573" s="79"/>
      <c r="Z573" s="79"/>
    </row>
    <row r="574" ht="21.0" customHeight="1">
      <c r="A574" s="79"/>
      <c r="B574" s="79"/>
      <c r="C574" s="104"/>
      <c r="D574" s="104"/>
      <c r="E574" s="104"/>
      <c r="F574" s="104"/>
      <c r="G574" s="104"/>
      <c r="H574" s="104"/>
      <c r="I574" s="104"/>
      <c r="J574" s="104"/>
      <c r="K574" s="104"/>
      <c r="L574" s="102"/>
      <c r="M574" s="102"/>
      <c r="N574" s="102"/>
      <c r="O574" s="102"/>
      <c r="P574" s="103"/>
      <c r="Q574" s="103"/>
      <c r="R574" s="103"/>
      <c r="S574" s="103"/>
      <c r="T574" s="79"/>
      <c r="U574" s="79"/>
      <c r="V574" s="79"/>
      <c r="W574" s="79"/>
      <c r="X574" s="79"/>
      <c r="Y574" s="79"/>
      <c r="Z574" s="79"/>
    </row>
    <row r="575" ht="21.0" customHeight="1">
      <c r="A575" s="79"/>
      <c r="B575" s="79"/>
      <c r="C575" s="104"/>
      <c r="D575" s="104"/>
      <c r="E575" s="104"/>
      <c r="F575" s="104"/>
      <c r="G575" s="104"/>
      <c r="H575" s="104"/>
      <c r="I575" s="104"/>
      <c r="J575" s="104"/>
      <c r="K575" s="104"/>
      <c r="L575" s="102"/>
      <c r="M575" s="102"/>
      <c r="N575" s="102"/>
      <c r="O575" s="102"/>
      <c r="P575" s="103"/>
      <c r="Q575" s="103"/>
      <c r="R575" s="103"/>
      <c r="S575" s="103"/>
      <c r="T575" s="79"/>
      <c r="U575" s="79"/>
      <c r="V575" s="79"/>
      <c r="W575" s="79"/>
      <c r="X575" s="79"/>
      <c r="Y575" s="79"/>
      <c r="Z575" s="79"/>
    </row>
    <row r="576" ht="21.0" customHeight="1">
      <c r="A576" s="79"/>
      <c r="B576" s="79"/>
      <c r="C576" s="104"/>
      <c r="D576" s="104"/>
      <c r="E576" s="104"/>
      <c r="F576" s="104"/>
      <c r="G576" s="104"/>
      <c r="H576" s="104"/>
      <c r="I576" s="104"/>
      <c r="J576" s="104"/>
      <c r="K576" s="104"/>
      <c r="L576" s="102"/>
      <c r="M576" s="102"/>
      <c r="N576" s="102"/>
      <c r="O576" s="102"/>
      <c r="P576" s="103"/>
      <c r="Q576" s="103"/>
      <c r="R576" s="103"/>
      <c r="S576" s="103"/>
      <c r="T576" s="79"/>
      <c r="U576" s="79"/>
      <c r="V576" s="79"/>
      <c r="W576" s="79"/>
      <c r="X576" s="79"/>
      <c r="Y576" s="79"/>
      <c r="Z576" s="79"/>
    </row>
    <row r="577" ht="21.0" customHeight="1">
      <c r="A577" s="79"/>
      <c r="B577" s="79"/>
      <c r="C577" s="104"/>
      <c r="D577" s="104"/>
      <c r="E577" s="104"/>
      <c r="F577" s="104"/>
      <c r="G577" s="104"/>
      <c r="H577" s="104"/>
      <c r="I577" s="104"/>
      <c r="J577" s="104"/>
      <c r="K577" s="104"/>
      <c r="L577" s="102"/>
      <c r="M577" s="102"/>
      <c r="N577" s="102"/>
      <c r="O577" s="102"/>
      <c r="P577" s="103"/>
      <c r="Q577" s="103"/>
      <c r="R577" s="103"/>
      <c r="S577" s="103"/>
      <c r="T577" s="79"/>
      <c r="U577" s="79"/>
      <c r="V577" s="79"/>
      <c r="W577" s="79"/>
      <c r="X577" s="79"/>
      <c r="Y577" s="79"/>
      <c r="Z577" s="79"/>
    </row>
    <row r="578" ht="21.0" customHeight="1">
      <c r="A578" s="79"/>
      <c r="B578" s="79"/>
      <c r="C578" s="104"/>
      <c r="D578" s="104"/>
      <c r="E578" s="104"/>
      <c r="F578" s="104"/>
      <c r="G578" s="104"/>
      <c r="H578" s="104"/>
      <c r="I578" s="104"/>
      <c r="J578" s="104"/>
      <c r="K578" s="104"/>
      <c r="L578" s="102"/>
      <c r="M578" s="102"/>
      <c r="N578" s="102"/>
      <c r="O578" s="102"/>
      <c r="P578" s="103"/>
      <c r="Q578" s="103"/>
      <c r="R578" s="103"/>
      <c r="S578" s="103"/>
      <c r="T578" s="79"/>
      <c r="U578" s="79"/>
      <c r="V578" s="79"/>
      <c r="W578" s="79"/>
      <c r="X578" s="79"/>
      <c r="Y578" s="79"/>
      <c r="Z578" s="79"/>
    </row>
    <row r="579" ht="21.0" customHeight="1">
      <c r="A579" s="79"/>
      <c r="B579" s="79"/>
      <c r="C579" s="104"/>
      <c r="D579" s="104"/>
      <c r="E579" s="104"/>
      <c r="F579" s="104"/>
      <c r="G579" s="104"/>
      <c r="H579" s="104"/>
      <c r="I579" s="104"/>
      <c r="J579" s="104"/>
      <c r="K579" s="104"/>
      <c r="L579" s="102"/>
      <c r="M579" s="102"/>
      <c r="N579" s="102"/>
      <c r="O579" s="102"/>
      <c r="P579" s="103"/>
      <c r="Q579" s="103"/>
      <c r="R579" s="103"/>
      <c r="S579" s="103"/>
      <c r="T579" s="79"/>
      <c r="U579" s="79"/>
      <c r="V579" s="79"/>
      <c r="W579" s="79"/>
      <c r="X579" s="79"/>
      <c r="Y579" s="79"/>
      <c r="Z579" s="79"/>
    </row>
    <row r="580" ht="21.0" customHeight="1">
      <c r="A580" s="79"/>
      <c r="B580" s="79"/>
      <c r="C580" s="104"/>
      <c r="D580" s="104"/>
      <c r="E580" s="104"/>
      <c r="F580" s="104"/>
      <c r="G580" s="104"/>
      <c r="H580" s="104"/>
      <c r="I580" s="104"/>
      <c r="J580" s="104"/>
      <c r="K580" s="104"/>
      <c r="L580" s="102"/>
      <c r="M580" s="102"/>
      <c r="N580" s="102"/>
      <c r="O580" s="102"/>
      <c r="P580" s="103"/>
      <c r="Q580" s="103"/>
      <c r="R580" s="103"/>
      <c r="S580" s="103"/>
      <c r="T580" s="79"/>
      <c r="U580" s="79"/>
      <c r="V580" s="79"/>
      <c r="W580" s="79"/>
      <c r="X580" s="79"/>
      <c r="Y580" s="79"/>
      <c r="Z580" s="79"/>
    </row>
    <row r="581" ht="21.0" customHeight="1">
      <c r="A581" s="79"/>
      <c r="B581" s="79"/>
      <c r="C581" s="104"/>
      <c r="D581" s="104"/>
      <c r="E581" s="104"/>
      <c r="F581" s="104"/>
      <c r="G581" s="104"/>
      <c r="H581" s="104"/>
      <c r="I581" s="104"/>
      <c r="J581" s="104"/>
      <c r="K581" s="104"/>
      <c r="L581" s="102"/>
      <c r="M581" s="102"/>
      <c r="N581" s="102"/>
      <c r="O581" s="102"/>
      <c r="P581" s="103"/>
      <c r="Q581" s="103"/>
      <c r="R581" s="103"/>
      <c r="S581" s="103"/>
      <c r="T581" s="79"/>
      <c r="U581" s="79"/>
      <c r="V581" s="79"/>
      <c r="W581" s="79"/>
      <c r="X581" s="79"/>
      <c r="Y581" s="79"/>
      <c r="Z581" s="79"/>
    </row>
    <row r="582" ht="21.0" customHeight="1">
      <c r="A582" s="79"/>
      <c r="B582" s="79"/>
      <c r="C582" s="104"/>
      <c r="D582" s="104"/>
      <c r="E582" s="104"/>
      <c r="F582" s="104"/>
      <c r="G582" s="104"/>
      <c r="H582" s="104"/>
      <c r="I582" s="104"/>
      <c r="J582" s="104"/>
      <c r="K582" s="104"/>
      <c r="L582" s="102"/>
      <c r="M582" s="102"/>
      <c r="N582" s="102"/>
      <c r="O582" s="102"/>
      <c r="P582" s="103"/>
      <c r="Q582" s="103"/>
      <c r="R582" s="103"/>
      <c r="S582" s="103"/>
      <c r="T582" s="79"/>
      <c r="U582" s="79"/>
      <c r="V582" s="79"/>
      <c r="W582" s="79"/>
      <c r="X582" s="79"/>
      <c r="Y582" s="79"/>
      <c r="Z582" s="79"/>
    </row>
    <row r="583" ht="21.0" customHeight="1">
      <c r="A583" s="79"/>
      <c r="B583" s="79"/>
      <c r="C583" s="104"/>
      <c r="D583" s="104"/>
      <c r="E583" s="104"/>
      <c r="F583" s="104"/>
      <c r="G583" s="104"/>
      <c r="H583" s="104"/>
      <c r="I583" s="104"/>
      <c r="J583" s="104"/>
      <c r="K583" s="104"/>
      <c r="L583" s="102"/>
      <c r="M583" s="102"/>
      <c r="N583" s="102"/>
      <c r="O583" s="102"/>
      <c r="P583" s="103"/>
      <c r="Q583" s="103"/>
      <c r="R583" s="103"/>
      <c r="S583" s="103"/>
      <c r="T583" s="79"/>
      <c r="U583" s="79"/>
      <c r="V583" s="79"/>
      <c r="W583" s="79"/>
      <c r="X583" s="79"/>
      <c r="Y583" s="79"/>
      <c r="Z583" s="79"/>
    </row>
    <row r="584" ht="21.0" customHeight="1">
      <c r="A584" s="79"/>
      <c r="B584" s="79"/>
      <c r="C584" s="104"/>
      <c r="D584" s="104"/>
      <c r="E584" s="104"/>
      <c r="F584" s="104"/>
      <c r="G584" s="104"/>
      <c r="H584" s="104"/>
      <c r="I584" s="104"/>
      <c r="J584" s="104"/>
      <c r="K584" s="104"/>
      <c r="L584" s="102"/>
      <c r="M584" s="102"/>
      <c r="N584" s="102"/>
      <c r="O584" s="102"/>
      <c r="P584" s="103"/>
      <c r="Q584" s="103"/>
      <c r="R584" s="103"/>
      <c r="S584" s="103"/>
      <c r="T584" s="79"/>
      <c r="U584" s="79"/>
      <c r="V584" s="79"/>
      <c r="W584" s="79"/>
      <c r="X584" s="79"/>
      <c r="Y584" s="79"/>
      <c r="Z584" s="79"/>
    </row>
    <row r="585" ht="21.0" customHeight="1">
      <c r="A585" s="79"/>
      <c r="B585" s="79"/>
      <c r="C585" s="104"/>
      <c r="D585" s="104"/>
      <c r="E585" s="104"/>
      <c r="F585" s="104"/>
      <c r="G585" s="104"/>
      <c r="H585" s="104"/>
      <c r="I585" s="104"/>
      <c r="J585" s="104"/>
      <c r="K585" s="104"/>
      <c r="L585" s="102"/>
      <c r="M585" s="102"/>
      <c r="N585" s="102"/>
      <c r="O585" s="102"/>
      <c r="P585" s="103"/>
      <c r="Q585" s="103"/>
      <c r="R585" s="103"/>
      <c r="S585" s="103"/>
      <c r="T585" s="79"/>
      <c r="U585" s="79"/>
      <c r="V585" s="79"/>
      <c r="W585" s="79"/>
      <c r="X585" s="79"/>
      <c r="Y585" s="79"/>
      <c r="Z585" s="79"/>
    </row>
    <row r="586" ht="21.0" customHeight="1">
      <c r="A586" s="79"/>
      <c r="B586" s="79"/>
      <c r="C586" s="104"/>
      <c r="D586" s="104"/>
      <c r="E586" s="104"/>
      <c r="F586" s="104"/>
      <c r="G586" s="104"/>
      <c r="H586" s="104"/>
      <c r="I586" s="104"/>
      <c r="J586" s="104"/>
      <c r="K586" s="104"/>
      <c r="L586" s="102"/>
      <c r="M586" s="102"/>
      <c r="N586" s="102"/>
      <c r="O586" s="102"/>
      <c r="P586" s="103"/>
      <c r="Q586" s="103"/>
      <c r="R586" s="103"/>
      <c r="S586" s="103"/>
      <c r="T586" s="79"/>
      <c r="U586" s="79"/>
      <c r="V586" s="79"/>
      <c r="W586" s="79"/>
      <c r="X586" s="79"/>
      <c r="Y586" s="79"/>
      <c r="Z586" s="79"/>
    </row>
    <row r="587" ht="21.0" customHeight="1">
      <c r="A587" s="79"/>
      <c r="B587" s="79"/>
      <c r="C587" s="104"/>
      <c r="D587" s="104"/>
      <c r="E587" s="104"/>
      <c r="F587" s="104"/>
      <c r="G587" s="104"/>
      <c r="H587" s="104"/>
      <c r="I587" s="104"/>
      <c r="J587" s="104"/>
      <c r="K587" s="104"/>
      <c r="L587" s="102"/>
      <c r="M587" s="102"/>
      <c r="N587" s="102"/>
      <c r="O587" s="102"/>
      <c r="P587" s="103"/>
      <c r="Q587" s="103"/>
      <c r="R587" s="103"/>
      <c r="S587" s="103"/>
      <c r="T587" s="79"/>
      <c r="U587" s="79"/>
      <c r="V587" s="79"/>
      <c r="W587" s="79"/>
      <c r="X587" s="79"/>
      <c r="Y587" s="79"/>
      <c r="Z587" s="79"/>
    </row>
    <row r="588" ht="21.0" customHeight="1">
      <c r="A588" s="79"/>
      <c r="B588" s="79"/>
      <c r="C588" s="104"/>
      <c r="D588" s="104"/>
      <c r="E588" s="104"/>
      <c r="F588" s="104"/>
      <c r="G588" s="104"/>
      <c r="H588" s="104"/>
      <c r="I588" s="104"/>
      <c r="J588" s="104"/>
      <c r="K588" s="104"/>
      <c r="L588" s="102"/>
      <c r="M588" s="102"/>
      <c r="N588" s="102"/>
      <c r="O588" s="102"/>
      <c r="P588" s="103"/>
      <c r="Q588" s="103"/>
      <c r="R588" s="103"/>
      <c r="S588" s="103"/>
      <c r="T588" s="79"/>
      <c r="U588" s="79"/>
      <c r="V588" s="79"/>
      <c r="W588" s="79"/>
      <c r="X588" s="79"/>
      <c r="Y588" s="79"/>
      <c r="Z588" s="79"/>
    </row>
    <row r="589" ht="21.0" customHeight="1">
      <c r="A589" s="79"/>
      <c r="B589" s="79"/>
      <c r="C589" s="104"/>
      <c r="D589" s="104"/>
      <c r="E589" s="104"/>
      <c r="F589" s="104"/>
      <c r="G589" s="104"/>
      <c r="H589" s="104"/>
      <c r="I589" s="104"/>
      <c r="J589" s="104"/>
      <c r="K589" s="104"/>
      <c r="L589" s="102"/>
      <c r="M589" s="102"/>
      <c r="N589" s="102"/>
      <c r="O589" s="102"/>
      <c r="P589" s="103"/>
      <c r="Q589" s="103"/>
      <c r="R589" s="103"/>
      <c r="S589" s="103"/>
      <c r="T589" s="79"/>
      <c r="U589" s="79"/>
      <c r="V589" s="79"/>
      <c r="W589" s="79"/>
      <c r="X589" s="79"/>
      <c r="Y589" s="79"/>
      <c r="Z589" s="79"/>
    </row>
    <row r="590" ht="21.0" customHeight="1">
      <c r="A590" s="79"/>
      <c r="B590" s="79"/>
      <c r="C590" s="104"/>
      <c r="D590" s="104"/>
      <c r="E590" s="104"/>
      <c r="F590" s="104"/>
      <c r="G590" s="104"/>
      <c r="H590" s="104"/>
      <c r="I590" s="104"/>
      <c r="J590" s="104"/>
      <c r="K590" s="104"/>
      <c r="L590" s="102"/>
      <c r="M590" s="102"/>
      <c r="N590" s="102"/>
      <c r="O590" s="102"/>
      <c r="P590" s="103"/>
      <c r="Q590" s="103"/>
      <c r="R590" s="103"/>
      <c r="S590" s="103"/>
      <c r="T590" s="79"/>
      <c r="U590" s="79"/>
      <c r="V590" s="79"/>
      <c r="W590" s="79"/>
      <c r="X590" s="79"/>
      <c r="Y590" s="79"/>
      <c r="Z590" s="79"/>
    </row>
    <row r="591" ht="21.0" customHeight="1">
      <c r="A591" s="79"/>
      <c r="B591" s="79"/>
      <c r="C591" s="104"/>
      <c r="D591" s="104"/>
      <c r="E591" s="104"/>
      <c r="F591" s="104"/>
      <c r="G591" s="104"/>
      <c r="H591" s="104"/>
      <c r="I591" s="104"/>
      <c r="J591" s="104"/>
      <c r="K591" s="104"/>
      <c r="L591" s="102"/>
      <c r="M591" s="102"/>
      <c r="N591" s="102"/>
      <c r="O591" s="102"/>
      <c r="P591" s="103"/>
      <c r="Q591" s="103"/>
      <c r="R591" s="103"/>
      <c r="S591" s="103"/>
      <c r="T591" s="79"/>
      <c r="U591" s="79"/>
      <c r="V591" s="79"/>
      <c r="W591" s="79"/>
      <c r="X591" s="79"/>
      <c r="Y591" s="79"/>
      <c r="Z591" s="79"/>
    </row>
    <row r="592" ht="21.0" customHeight="1">
      <c r="A592" s="79"/>
      <c r="B592" s="79"/>
      <c r="C592" s="104"/>
      <c r="D592" s="104"/>
      <c r="E592" s="104"/>
      <c r="F592" s="104"/>
      <c r="G592" s="104"/>
      <c r="H592" s="104"/>
      <c r="I592" s="104"/>
      <c r="J592" s="104"/>
      <c r="K592" s="104"/>
      <c r="L592" s="102"/>
      <c r="M592" s="102"/>
      <c r="N592" s="102"/>
      <c r="O592" s="102"/>
      <c r="P592" s="103"/>
      <c r="Q592" s="103"/>
      <c r="R592" s="103"/>
      <c r="S592" s="103"/>
      <c r="T592" s="79"/>
      <c r="U592" s="79"/>
      <c r="V592" s="79"/>
      <c r="W592" s="79"/>
      <c r="X592" s="79"/>
      <c r="Y592" s="79"/>
      <c r="Z592" s="79"/>
    </row>
    <row r="593" ht="21.0" customHeight="1">
      <c r="A593" s="79"/>
      <c r="B593" s="79"/>
      <c r="C593" s="104"/>
      <c r="D593" s="104"/>
      <c r="E593" s="104"/>
      <c r="F593" s="104"/>
      <c r="G593" s="104"/>
      <c r="H593" s="104"/>
      <c r="I593" s="104"/>
      <c r="J593" s="104"/>
      <c r="K593" s="104"/>
      <c r="L593" s="102"/>
      <c r="M593" s="102"/>
      <c r="N593" s="102"/>
      <c r="O593" s="102"/>
      <c r="P593" s="103"/>
      <c r="Q593" s="103"/>
      <c r="R593" s="103"/>
      <c r="S593" s="103"/>
      <c r="T593" s="79"/>
      <c r="U593" s="79"/>
      <c r="V593" s="79"/>
      <c r="W593" s="79"/>
      <c r="X593" s="79"/>
      <c r="Y593" s="79"/>
      <c r="Z593" s="79"/>
    </row>
    <row r="594" ht="21.0" customHeight="1">
      <c r="A594" s="79"/>
      <c r="B594" s="79"/>
      <c r="C594" s="104"/>
      <c r="D594" s="104"/>
      <c r="E594" s="104"/>
      <c r="F594" s="104"/>
      <c r="G594" s="104"/>
      <c r="H594" s="104"/>
      <c r="I594" s="104"/>
      <c r="J594" s="104"/>
      <c r="K594" s="104"/>
      <c r="L594" s="102"/>
      <c r="M594" s="102"/>
      <c r="N594" s="102"/>
      <c r="O594" s="102"/>
      <c r="P594" s="103"/>
      <c r="Q594" s="103"/>
      <c r="R594" s="103"/>
      <c r="S594" s="103"/>
      <c r="T594" s="79"/>
      <c r="U594" s="79"/>
      <c r="V594" s="79"/>
      <c r="W594" s="79"/>
      <c r="X594" s="79"/>
      <c r="Y594" s="79"/>
      <c r="Z594" s="79"/>
    </row>
    <row r="595" ht="21.0" customHeight="1">
      <c r="A595" s="79"/>
      <c r="B595" s="79"/>
      <c r="C595" s="104"/>
      <c r="D595" s="104"/>
      <c r="E595" s="104"/>
      <c r="F595" s="104"/>
      <c r="G595" s="104"/>
      <c r="H595" s="104"/>
      <c r="I595" s="104"/>
      <c r="J595" s="104"/>
      <c r="K595" s="104"/>
      <c r="L595" s="102"/>
      <c r="M595" s="102"/>
      <c r="N595" s="102"/>
      <c r="O595" s="102"/>
      <c r="P595" s="103"/>
      <c r="Q595" s="103"/>
      <c r="R595" s="103"/>
      <c r="S595" s="103"/>
      <c r="T595" s="79"/>
      <c r="U595" s="79"/>
      <c r="V595" s="79"/>
      <c r="W595" s="79"/>
      <c r="X595" s="79"/>
      <c r="Y595" s="79"/>
      <c r="Z595" s="79"/>
    </row>
    <row r="596" ht="21.0" customHeight="1">
      <c r="A596" s="79"/>
      <c r="B596" s="79"/>
      <c r="C596" s="104"/>
      <c r="D596" s="104"/>
      <c r="E596" s="104"/>
      <c r="F596" s="104"/>
      <c r="G596" s="104"/>
      <c r="H596" s="104"/>
      <c r="I596" s="104"/>
      <c r="J596" s="104"/>
      <c r="K596" s="104"/>
      <c r="L596" s="102"/>
      <c r="M596" s="102"/>
      <c r="N596" s="102"/>
      <c r="O596" s="102"/>
      <c r="P596" s="103"/>
      <c r="Q596" s="103"/>
      <c r="R596" s="103"/>
      <c r="S596" s="103"/>
      <c r="T596" s="79"/>
      <c r="U596" s="79"/>
      <c r="V596" s="79"/>
      <c r="W596" s="79"/>
      <c r="X596" s="79"/>
      <c r="Y596" s="79"/>
      <c r="Z596" s="79"/>
    </row>
    <row r="597" ht="21.0" customHeight="1">
      <c r="A597" s="79"/>
      <c r="B597" s="79"/>
      <c r="C597" s="104"/>
      <c r="D597" s="104"/>
      <c r="E597" s="104"/>
      <c r="F597" s="104"/>
      <c r="G597" s="104"/>
      <c r="H597" s="104"/>
      <c r="I597" s="104"/>
      <c r="J597" s="104"/>
      <c r="K597" s="104"/>
      <c r="L597" s="102"/>
      <c r="M597" s="102"/>
      <c r="N597" s="102"/>
      <c r="O597" s="102"/>
      <c r="P597" s="103"/>
      <c r="Q597" s="103"/>
      <c r="R597" s="103"/>
      <c r="S597" s="103"/>
      <c r="T597" s="79"/>
      <c r="U597" s="79"/>
      <c r="V597" s="79"/>
      <c r="W597" s="79"/>
      <c r="X597" s="79"/>
      <c r="Y597" s="79"/>
      <c r="Z597" s="79"/>
    </row>
    <row r="598" ht="21.0" customHeight="1">
      <c r="A598" s="79"/>
      <c r="B598" s="79"/>
      <c r="C598" s="104"/>
      <c r="D598" s="104"/>
      <c r="E598" s="104"/>
      <c r="F598" s="104"/>
      <c r="G598" s="104"/>
      <c r="H598" s="104"/>
      <c r="I598" s="104"/>
      <c r="J598" s="104"/>
      <c r="K598" s="104"/>
      <c r="L598" s="102"/>
      <c r="M598" s="102"/>
      <c r="N598" s="102"/>
      <c r="O598" s="102"/>
      <c r="P598" s="103"/>
      <c r="Q598" s="103"/>
      <c r="R598" s="103"/>
      <c r="S598" s="103"/>
      <c r="T598" s="79"/>
      <c r="U598" s="79"/>
      <c r="V598" s="79"/>
      <c r="W598" s="79"/>
      <c r="X598" s="79"/>
      <c r="Y598" s="79"/>
      <c r="Z598" s="79"/>
    </row>
    <row r="599" ht="21.0" customHeight="1">
      <c r="A599" s="79"/>
      <c r="B599" s="79"/>
      <c r="C599" s="104"/>
      <c r="D599" s="104"/>
      <c r="E599" s="104"/>
      <c r="F599" s="104"/>
      <c r="G599" s="104"/>
      <c r="H599" s="104"/>
      <c r="I599" s="104"/>
      <c r="J599" s="104"/>
      <c r="K599" s="104"/>
      <c r="L599" s="102"/>
      <c r="M599" s="102"/>
      <c r="N599" s="102"/>
      <c r="O599" s="102"/>
      <c r="P599" s="103"/>
      <c r="Q599" s="103"/>
      <c r="R599" s="103"/>
      <c r="S599" s="103"/>
      <c r="T599" s="79"/>
      <c r="U599" s="79"/>
      <c r="V599" s="79"/>
      <c r="W599" s="79"/>
      <c r="X599" s="79"/>
      <c r="Y599" s="79"/>
      <c r="Z599" s="79"/>
    </row>
    <row r="600" ht="21.0" customHeight="1">
      <c r="A600" s="79"/>
      <c r="B600" s="79"/>
      <c r="C600" s="104"/>
      <c r="D600" s="104"/>
      <c r="E600" s="104"/>
      <c r="F600" s="104"/>
      <c r="G600" s="104"/>
      <c r="H600" s="104"/>
      <c r="I600" s="104"/>
      <c r="J600" s="104"/>
      <c r="K600" s="104"/>
      <c r="L600" s="102"/>
      <c r="M600" s="102"/>
      <c r="N600" s="102"/>
      <c r="O600" s="102"/>
      <c r="P600" s="103"/>
      <c r="Q600" s="103"/>
      <c r="R600" s="103"/>
      <c r="S600" s="103"/>
      <c r="T600" s="79"/>
      <c r="U600" s="79"/>
      <c r="V600" s="79"/>
      <c r="W600" s="79"/>
      <c r="X600" s="79"/>
      <c r="Y600" s="79"/>
      <c r="Z600" s="79"/>
    </row>
    <row r="601" ht="21.0" customHeight="1">
      <c r="A601" s="79"/>
      <c r="B601" s="79"/>
      <c r="C601" s="104"/>
      <c r="D601" s="104"/>
      <c r="E601" s="104"/>
      <c r="F601" s="104"/>
      <c r="G601" s="104"/>
      <c r="H601" s="104"/>
      <c r="I601" s="104"/>
      <c r="J601" s="104"/>
      <c r="K601" s="104"/>
      <c r="L601" s="102"/>
      <c r="M601" s="102"/>
      <c r="N601" s="102"/>
      <c r="O601" s="102"/>
      <c r="P601" s="103"/>
      <c r="Q601" s="103"/>
      <c r="R601" s="103"/>
      <c r="S601" s="103"/>
      <c r="T601" s="79"/>
      <c r="U601" s="79"/>
      <c r="V601" s="79"/>
      <c r="W601" s="79"/>
      <c r="X601" s="79"/>
      <c r="Y601" s="79"/>
      <c r="Z601" s="79"/>
    </row>
    <row r="602" ht="21.0" customHeight="1">
      <c r="A602" s="79"/>
      <c r="B602" s="79"/>
      <c r="C602" s="104"/>
      <c r="D602" s="104"/>
      <c r="E602" s="104"/>
      <c r="F602" s="104"/>
      <c r="G602" s="104"/>
      <c r="H602" s="104"/>
      <c r="I602" s="104"/>
      <c r="J602" s="104"/>
      <c r="K602" s="104"/>
      <c r="L602" s="102"/>
      <c r="M602" s="102"/>
      <c r="N602" s="102"/>
      <c r="O602" s="102"/>
      <c r="P602" s="103"/>
      <c r="Q602" s="103"/>
      <c r="R602" s="103"/>
      <c r="S602" s="103"/>
      <c r="T602" s="79"/>
      <c r="U602" s="79"/>
      <c r="V602" s="79"/>
      <c r="W602" s="79"/>
      <c r="X602" s="79"/>
      <c r="Y602" s="79"/>
      <c r="Z602" s="79"/>
    </row>
    <row r="603" ht="21.0" customHeight="1">
      <c r="A603" s="79"/>
      <c r="B603" s="79"/>
      <c r="C603" s="104"/>
      <c r="D603" s="104"/>
      <c r="E603" s="104"/>
      <c r="F603" s="104"/>
      <c r="G603" s="104"/>
      <c r="H603" s="104"/>
      <c r="I603" s="104"/>
      <c r="J603" s="104"/>
      <c r="K603" s="104"/>
      <c r="L603" s="102"/>
      <c r="M603" s="102"/>
      <c r="N603" s="102"/>
      <c r="O603" s="102"/>
      <c r="P603" s="103"/>
      <c r="Q603" s="103"/>
      <c r="R603" s="103"/>
      <c r="S603" s="103"/>
      <c r="T603" s="79"/>
      <c r="U603" s="79"/>
      <c r="V603" s="79"/>
      <c r="W603" s="79"/>
      <c r="X603" s="79"/>
      <c r="Y603" s="79"/>
      <c r="Z603" s="79"/>
    </row>
    <row r="604" ht="21.0" customHeight="1">
      <c r="A604" s="79"/>
      <c r="B604" s="79"/>
      <c r="C604" s="104"/>
      <c r="D604" s="104"/>
      <c r="E604" s="104"/>
      <c r="F604" s="104"/>
      <c r="G604" s="104"/>
      <c r="H604" s="104"/>
      <c r="I604" s="104"/>
      <c r="J604" s="104"/>
      <c r="K604" s="104"/>
      <c r="L604" s="102"/>
      <c r="M604" s="102"/>
      <c r="N604" s="102"/>
      <c r="O604" s="102"/>
      <c r="P604" s="103"/>
      <c r="Q604" s="103"/>
      <c r="R604" s="103"/>
      <c r="S604" s="103"/>
      <c r="T604" s="79"/>
      <c r="U604" s="79"/>
      <c r="V604" s="79"/>
      <c r="W604" s="79"/>
      <c r="X604" s="79"/>
      <c r="Y604" s="79"/>
      <c r="Z604" s="79"/>
    </row>
    <row r="605" ht="21.0" customHeight="1">
      <c r="A605" s="79"/>
      <c r="B605" s="79"/>
      <c r="C605" s="104"/>
      <c r="D605" s="104"/>
      <c r="E605" s="104"/>
      <c r="F605" s="104"/>
      <c r="G605" s="104"/>
      <c r="H605" s="104"/>
      <c r="I605" s="104"/>
      <c r="J605" s="104"/>
      <c r="K605" s="104"/>
      <c r="L605" s="102"/>
      <c r="M605" s="102"/>
      <c r="N605" s="102"/>
      <c r="O605" s="102"/>
      <c r="P605" s="103"/>
      <c r="Q605" s="103"/>
      <c r="R605" s="103"/>
      <c r="S605" s="103"/>
      <c r="T605" s="79"/>
      <c r="U605" s="79"/>
      <c r="V605" s="79"/>
      <c r="W605" s="79"/>
      <c r="X605" s="79"/>
      <c r="Y605" s="79"/>
      <c r="Z605" s="79"/>
    </row>
    <row r="606" ht="21.0" customHeight="1">
      <c r="A606" s="79"/>
      <c r="B606" s="79"/>
      <c r="C606" s="104"/>
      <c r="D606" s="104"/>
      <c r="E606" s="104"/>
      <c r="F606" s="104"/>
      <c r="G606" s="104"/>
      <c r="H606" s="104"/>
      <c r="I606" s="104"/>
      <c r="J606" s="104"/>
      <c r="K606" s="104"/>
      <c r="L606" s="102"/>
      <c r="M606" s="102"/>
      <c r="N606" s="102"/>
      <c r="O606" s="102"/>
      <c r="P606" s="103"/>
      <c r="Q606" s="103"/>
      <c r="R606" s="103"/>
      <c r="S606" s="103"/>
      <c r="T606" s="79"/>
      <c r="U606" s="79"/>
      <c r="V606" s="79"/>
      <c r="W606" s="79"/>
      <c r="X606" s="79"/>
      <c r="Y606" s="79"/>
      <c r="Z606" s="79"/>
    </row>
    <row r="607" ht="21.0" customHeight="1">
      <c r="A607" s="79"/>
      <c r="B607" s="79"/>
      <c r="C607" s="104"/>
      <c r="D607" s="104"/>
      <c r="E607" s="104"/>
      <c r="F607" s="104"/>
      <c r="G607" s="104"/>
      <c r="H607" s="104"/>
      <c r="I607" s="104"/>
      <c r="J607" s="104"/>
      <c r="K607" s="104"/>
      <c r="L607" s="102"/>
      <c r="M607" s="102"/>
      <c r="N607" s="102"/>
      <c r="O607" s="102"/>
      <c r="P607" s="103"/>
      <c r="Q607" s="103"/>
      <c r="R607" s="103"/>
      <c r="S607" s="103"/>
      <c r="T607" s="79"/>
      <c r="U607" s="79"/>
      <c r="V607" s="79"/>
      <c r="W607" s="79"/>
      <c r="X607" s="79"/>
      <c r="Y607" s="79"/>
      <c r="Z607" s="79"/>
    </row>
    <row r="608" ht="21.0" customHeight="1">
      <c r="A608" s="79"/>
      <c r="B608" s="79"/>
      <c r="C608" s="104"/>
      <c r="D608" s="104"/>
      <c r="E608" s="104"/>
      <c r="F608" s="104"/>
      <c r="G608" s="104"/>
      <c r="H608" s="104"/>
      <c r="I608" s="104"/>
      <c r="J608" s="104"/>
      <c r="K608" s="104"/>
      <c r="L608" s="102"/>
      <c r="M608" s="102"/>
      <c r="N608" s="102"/>
      <c r="O608" s="102"/>
      <c r="P608" s="103"/>
      <c r="Q608" s="103"/>
      <c r="R608" s="103"/>
      <c r="S608" s="103"/>
      <c r="T608" s="79"/>
      <c r="U608" s="79"/>
      <c r="V608" s="79"/>
      <c r="W608" s="79"/>
      <c r="X608" s="79"/>
      <c r="Y608" s="79"/>
      <c r="Z608" s="79"/>
    </row>
    <row r="609" ht="21.0" customHeight="1">
      <c r="A609" s="79"/>
      <c r="B609" s="79"/>
      <c r="C609" s="104"/>
      <c r="D609" s="104"/>
      <c r="E609" s="104"/>
      <c r="F609" s="104"/>
      <c r="G609" s="104"/>
      <c r="H609" s="104"/>
      <c r="I609" s="104"/>
      <c r="J609" s="104"/>
      <c r="K609" s="104"/>
      <c r="L609" s="102"/>
      <c r="M609" s="102"/>
      <c r="N609" s="102"/>
      <c r="O609" s="102"/>
      <c r="P609" s="103"/>
      <c r="Q609" s="103"/>
      <c r="R609" s="103"/>
      <c r="S609" s="103"/>
      <c r="T609" s="79"/>
      <c r="U609" s="79"/>
      <c r="V609" s="79"/>
      <c r="W609" s="79"/>
      <c r="X609" s="79"/>
      <c r="Y609" s="79"/>
      <c r="Z609" s="79"/>
    </row>
    <row r="610" ht="21.0" customHeight="1">
      <c r="A610" s="79"/>
      <c r="B610" s="79"/>
      <c r="C610" s="104"/>
      <c r="D610" s="104"/>
      <c r="E610" s="104"/>
      <c r="F610" s="104"/>
      <c r="G610" s="104"/>
      <c r="H610" s="104"/>
      <c r="I610" s="104"/>
      <c r="J610" s="104"/>
      <c r="K610" s="104"/>
      <c r="L610" s="102"/>
      <c r="M610" s="102"/>
      <c r="N610" s="102"/>
      <c r="O610" s="102"/>
      <c r="P610" s="103"/>
      <c r="Q610" s="103"/>
      <c r="R610" s="103"/>
      <c r="S610" s="103"/>
      <c r="T610" s="79"/>
      <c r="U610" s="79"/>
      <c r="V610" s="79"/>
      <c r="W610" s="79"/>
      <c r="X610" s="79"/>
      <c r="Y610" s="79"/>
      <c r="Z610" s="79"/>
    </row>
    <row r="611" ht="21.0" customHeight="1">
      <c r="A611" s="79"/>
      <c r="B611" s="79"/>
      <c r="C611" s="104"/>
      <c r="D611" s="104"/>
      <c r="E611" s="104"/>
      <c r="F611" s="104"/>
      <c r="G611" s="104"/>
      <c r="H611" s="104"/>
      <c r="I611" s="104"/>
      <c r="J611" s="104"/>
      <c r="K611" s="104"/>
      <c r="L611" s="102"/>
      <c r="M611" s="102"/>
      <c r="N611" s="102"/>
      <c r="O611" s="102"/>
      <c r="P611" s="103"/>
      <c r="Q611" s="103"/>
      <c r="R611" s="103"/>
      <c r="S611" s="103"/>
      <c r="T611" s="79"/>
      <c r="U611" s="79"/>
      <c r="V611" s="79"/>
      <c r="W611" s="79"/>
      <c r="X611" s="79"/>
      <c r="Y611" s="79"/>
      <c r="Z611" s="79"/>
    </row>
    <row r="612" ht="21.0" customHeight="1">
      <c r="A612" s="79"/>
      <c r="B612" s="79"/>
      <c r="C612" s="104"/>
      <c r="D612" s="104"/>
      <c r="E612" s="104"/>
      <c r="F612" s="104"/>
      <c r="G612" s="104"/>
      <c r="H612" s="104"/>
      <c r="I612" s="104"/>
      <c r="J612" s="104"/>
      <c r="K612" s="104"/>
      <c r="L612" s="102"/>
      <c r="M612" s="102"/>
      <c r="N612" s="102"/>
      <c r="O612" s="102"/>
      <c r="P612" s="103"/>
      <c r="Q612" s="103"/>
      <c r="R612" s="103"/>
      <c r="S612" s="103"/>
      <c r="T612" s="79"/>
      <c r="U612" s="79"/>
      <c r="V612" s="79"/>
      <c r="W612" s="79"/>
      <c r="X612" s="79"/>
      <c r="Y612" s="79"/>
      <c r="Z612" s="79"/>
    </row>
    <row r="613" ht="21.0" customHeight="1">
      <c r="A613" s="79"/>
      <c r="B613" s="79"/>
      <c r="C613" s="104"/>
      <c r="D613" s="104"/>
      <c r="E613" s="104"/>
      <c r="F613" s="104"/>
      <c r="G613" s="104"/>
      <c r="H613" s="104"/>
      <c r="I613" s="104"/>
      <c r="J613" s="104"/>
      <c r="K613" s="104"/>
      <c r="L613" s="102"/>
      <c r="M613" s="102"/>
      <c r="N613" s="102"/>
      <c r="O613" s="102"/>
      <c r="P613" s="103"/>
      <c r="Q613" s="103"/>
      <c r="R613" s="103"/>
      <c r="S613" s="103"/>
      <c r="T613" s="79"/>
      <c r="U613" s="79"/>
      <c r="V613" s="79"/>
      <c r="W613" s="79"/>
      <c r="X613" s="79"/>
      <c r="Y613" s="79"/>
      <c r="Z613" s="79"/>
    </row>
    <row r="614" ht="21.0" customHeight="1">
      <c r="A614" s="79"/>
      <c r="B614" s="79"/>
      <c r="C614" s="104"/>
      <c r="D614" s="104"/>
      <c r="E614" s="104"/>
      <c r="F614" s="104"/>
      <c r="G614" s="104"/>
      <c r="H614" s="104"/>
      <c r="I614" s="104"/>
      <c r="J614" s="104"/>
      <c r="K614" s="104"/>
      <c r="L614" s="102"/>
      <c r="M614" s="102"/>
      <c r="N614" s="102"/>
      <c r="O614" s="102"/>
      <c r="P614" s="103"/>
      <c r="Q614" s="103"/>
      <c r="R614" s="103"/>
      <c r="S614" s="103"/>
      <c r="T614" s="79"/>
      <c r="U614" s="79"/>
      <c r="V614" s="79"/>
      <c r="W614" s="79"/>
      <c r="X614" s="79"/>
      <c r="Y614" s="79"/>
      <c r="Z614" s="79"/>
    </row>
    <row r="615" ht="21.0" customHeight="1">
      <c r="A615" s="79"/>
      <c r="B615" s="79"/>
      <c r="C615" s="104"/>
      <c r="D615" s="104"/>
      <c r="E615" s="104"/>
      <c r="F615" s="104"/>
      <c r="G615" s="104"/>
      <c r="H615" s="104"/>
      <c r="I615" s="104"/>
      <c r="J615" s="104"/>
      <c r="K615" s="104"/>
      <c r="L615" s="102"/>
      <c r="M615" s="102"/>
      <c r="N615" s="102"/>
      <c r="O615" s="102"/>
      <c r="P615" s="103"/>
      <c r="Q615" s="103"/>
      <c r="R615" s="103"/>
      <c r="S615" s="103"/>
      <c r="T615" s="79"/>
      <c r="U615" s="79"/>
      <c r="V615" s="79"/>
      <c r="W615" s="79"/>
      <c r="X615" s="79"/>
      <c r="Y615" s="79"/>
      <c r="Z615" s="79"/>
    </row>
    <row r="616" ht="21.0" customHeight="1">
      <c r="A616" s="79"/>
      <c r="B616" s="79"/>
      <c r="C616" s="104"/>
      <c r="D616" s="104"/>
      <c r="E616" s="104"/>
      <c r="F616" s="104"/>
      <c r="G616" s="104"/>
      <c r="H616" s="104"/>
      <c r="I616" s="104"/>
      <c r="J616" s="104"/>
      <c r="K616" s="104"/>
      <c r="L616" s="102"/>
      <c r="M616" s="102"/>
      <c r="N616" s="102"/>
      <c r="O616" s="102"/>
      <c r="P616" s="103"/>
      <c r="Q616" s="103"/>
      <c r="R616" s="103"/>
      <c r="S616" s="103"/>
      <c r="T616" s="79"/>
      <c r="U616" s="79"/>
      <c r="V616" s="79"/>
      <c r="W616" s="79"/>
      <c r="X616" s="79"/>
      <c r="Y616" s="79"/>
      <c r="Z616" s="79"/>
    </row>
    <row r="617" ht="21.0" customHeight="1">
      <c r="A617" s="79"/>
      <c r="B617" s="79"/>
      <c r="C617" s="104"/>
      <c r="D617" s="104"/>
      <c r="E617" s="104"/>
      <c r="F617" s="104"/>
      <c r="G617" s="104"/>
      <c r="H617" s="104"/>
      <c r="I617" s="104"/>
      <c r="J617" s="104"/>
      <c r="K617" s="104"/>
      <c r="L617" s="102"/>
      <c r="M617" s="102"/>
      <c r="N617" s="102"/>
      <c r="O617" s="102"/>
      <c r="P617" s="103"/>
      <c r="Q617" s="103"/>
      <c r="R617" s="103"/>
      <c r="S617" s="103"/>
      <c r="T617" s="79"/>
      <c r="U617" s="79"/>
      <c r="V617" s="79"/>
      <c r="W617" s="79"/>
      <c r="X617" s="79"/>
      <c r="Y617" s="79"/>
      <c r="Z617" s="79"/>
    </row>
    <row r="618" ht="21.0" customHeight="1">
      <c r="A618" s="79"/>
      <c r="B618" s="79"/>
      <c r="C618" s="104"/>
      <c r="D618" s="104"/>
      <c r="E618" s="104"/>
      <c r="F618" s="104"/>
      <c r="G618" s="104"/>
      <c r="H618" s="104"/>
      <c r="I618" s="104"/>
      <c r="J618" s="104"/>
      <c r="K618" s="104"/>
      <c r="L618" s="102"/>
      <c r="M618" s="102"/>
      <c r="N618" s="102"/>
      <c r="O618" s="102"/>
      <c r="P618" s="103"/>
      <c r="Q618" s="103"/>
      <c r="R618" s="103"/>
      <c r="S618" s="103"/>
      <c r="T618" s="79"/>
      <c r="U618" s="79"/>
      <c r="V618" s="79"/>
      <c r="W618" s="79"/>
      <c r="X618" s="79"/>
      <c r="Y618" s="79"/>
      <c r="Z618" s="79"/>
    </row>
    <row r="619" ht="21.0" customHeight="1">
      <c r="A619" s="79"/>
      <c r="B619" s="79"/>
      <c r="C619" s="104"/>
      <c r="D619" s="104"/>
      <c r="E619" s="104"/>
      <c r="F619" s="104"/>
      <c r="G619" s="104"/>
      <c r="H619" s="104"/>
      <c r="I619" s="104"/>
      <c r="J619" s="104"/>
      <c r="K619" s="104"/>
      <c r="L619" s="102"/>
      <c r="M619" s="102"/>
      <c r="N619" s="102"/>
      <c r="O619" s="102"/>
      <c r="P619" s="103"/>
      <c r="Q619" s="103"/>
      <c r="R619" s="103"/>
      <c r="S619" s="103"/>
      <c r="T619" s="79"/>
      <c r="U619" s="79"/>
      <c r="V619" s="79"/>
      <c r="W619" s="79"/>
      <c r="X619" s="79"/>
      <c r="Y619" s="79"/>
      <c r="Z619" s="79"/>
    </row>
    <row r="620" ht="21.0" customHeight="1">
      <c r="A620" s="79"/>
      <c r="B620" s="79"/>
      <c r="C620" s="104"/>
      <c r="D620" s="104"/>
      <c r="E620" s="104"/>
      <c r="F620" s="104"/>
      <c r="G620" s="104"/>
      <c r="H620" s="104"/>
      <c r="I620" s="104"/>
      <c r="J620" s="104"/>
      <c r="K620" s="104"/>
      <c r="L620" s="102"/>
      <c r="M620" s="102"/>
      <c r="N620" s="102"/>
      <c r="O620" s="102"/>
      <c r="P620" s="103"/>
      <c r="Q620" s="103"/>
      <c r="R620" s="103"/>
      <c r="S620" s="103"/>
      <c r="T620" s="79"/>
      <c r="U620" s="79"/>
      <c r="V620" s="79"/>
      <c r="W620" s="79"/>
      <c r="X620" s="79"/>
      <c r="Y620" s="79"/>
      <c r="Z620" s="79"/>
    </row>
    <row r="621" ht="21.0" customHeight="1">
      <c r="A621" s="79"/>
      <c r="B621" s="79"/>
      <c r="C621" s="104"/>
      <c r="D621" s="104"/>
      <c r="E621" s="104"/>
      <c r="F621" s="104"/>
      <c r="G621" s="104"/>
      <c r="H621" s="104"/>
      <c r="I621" s="104"/>
      <c r="J621" s="104"/>
      <c r="K621" s="104"/>
      <c r="L621" s="102"/>
      <c r="M621" s="102"/>
      <c r="N621" s="102"/>
      <c r="O621" s="102"/>
      <c r="P621" s="103"/>
      <c r="Q621" s="103"/>
      <c r="R621" s="103"/>
      <c r="S621" s="103"/>
      <c r="T621" s="79"/>
      <c r="U621" s="79"/>
      <c r="V621" s="79"/>
      <c r="W621" s="79"/>
      <c r="X621" s="79"/>
      <c r="Y621" s="79"/>
      <c r="Z621" s="79"/>
    </row>
    <row r="622" ht="21.0" customHeight="1">
      <c r="A622" s="79"/>
      <c r="B622" s="79"/>
      <c r="C622" s="104"/>
      <c r="D622" s="104"/>
      <c r="E622" s="104"/>
      <c r="F622" s="104"/>
      <c r="G622" s="104"/>
      <c r="H622" s="104"/>
      <c r="I622" s="104"/>
      <c r="J622" s="104"/>
      <c r="K622" s="104"/>
      <c r="L622" s="102"/>
      <c r="M622" s="102"/>
      <c r="N622" s="102"/>
      <c r="O622" s="102"/>
      <c r="P622" s="103"/>
      <c r="Q622" s="103"/>
      <c r="R622" s="103"/>
      <c r="S622" s="103"/>
      <c r="T622" s="79"/>
      <c r="U622" s="79"/>
      <c r="V622" s="79"/>
      <c r="W622" s="79"/>
      <c r="X622" s="79"/>
      <c r="Y622" s="79"/>
      <c r="Z622" s="79"/>
    </row>
    <row r="623" ht="21.0" customHeight="1">
      <c r="A623" s="79"/>
      <c r="B623" s="79"/>
      <c r="C623" s="104"/>
      <c r="D623" s="104"/>
      <c r="E623" s="104"/>
      <c r="F623" s="104"/>
      <c r="G623" s="104"/>
      <c r="H623" s="104"/>
      <c r="I623" s="104"/>
      <c r="J623" s="104"/>
      <c r="K623" s="104"/>
      <c r="L623" s="102"/>
      <c r="M623" s="102"/>
      <c r="N623" s="102"/>
      <c r="O623" s="102"/>
      <c r="P623" s="103"/>
      <c r="Q623" s="103"/>
      <c r="R623" s="103"/>
      <c r="S623" s="103"/>
      <c r="T623" s="79"/>
      <c r="U623" s="79"/>
      <c r="V623" s="79"/>
      <c r="W623" s="79"/>
      <c r="X623" s="79"/>
      <c r="Y623" s="79"/>
      <c r="Z623" s="79"/>
    </row>
    <row r="624" ht="21.0" customHeight="1">
      <c r="A624" s="79"/>
      <c r="B624" s="79"/>
      <c r="C624" s="104"/>
      <c r="D624" s="104"/>
      <c r="E624" s="104"/>
      <c r="F624" s="104"/>
      <c r="G624" s="104"/>
      <c r="H624" s="104"/>
      <c r="I624" s="104"/>
      <c r="J624" s="104"/>
      <c r="K624" s="104"/>
      <c r="L624" s="102"/>
      <c r="M624" s="102"/>
      <c r="N624" s="102"/>
      <c r="O624" s="102"/>
      <c r="P624" s="103"/>
      <c r="Q624" s="103"/>
      <c r="R624" s="103"/>
      <c r="S624" s="103"/>
      <c r="T624" s="79"/>
      <c r="U624" s="79"/>
      <c r="V624" s="79"/>
      <c r="W624" s="79"/>
      <c r="X624" s="79"/>
      <c r="Y624" s="79"/>
      <c r="Z624" s="79"/>
    </row>
    <row r="625" ht="21.0" customHeight="1">
      <c r="A625" s="79"/>
      <c r="B625" s="79"/>
      <c r="C625" s="104"/>
      <c r="D625" s="104"/>
      <c r="E625" s="104"/>
      <c r="F625" s="104"/>
      <c r="G625" s="104"/>
      <c r="H625" s="104"/>
      <c r="I625" s="104"/>
      <c r="J625" s="104"/>
      <c r="K625" s="104"/>
      <c r="L625" s="102"/>
      <c r="M625" s="102"/>
      <c r="N625" s="102"/>
      <c r="O625" s="102"/>
      <c r="P625" s="103"/>
      <c r="Q625" s="103"/>
      <c r="R625" s="103"/>
      <c r="S625" s="103"/>
      <c r="T625" s="79"/>
      <c r="U625" s="79"/>
      <c r="V625" s="79"/>
      <c r="W625" s="79"/>
      <c r="X625" s="79"/>
      <c r="Y625" s="79"/>
      <c r="Z625" s="79"/>
    </row>
    <row r="626" ht="21.0" customHeight="1">
      <c r="A626" s="79"/>
      <c r="B626" s="79"/>
      <c r="C626" s="104"/>
      <c r="D626" s="104"/>
      <c r="E626" s="104"/>
      <c r="F626" s="104"/>
      <c r="G626" s="104"/>
      <c r="H626" s="104"/>
      <c r="I626" s="104"/>
      <c r="J626" s="104"/>
      <c r="K626" s="104"/>
      <c r="L626" s="102"/>
      <c r="M626" s="102"/>
      <c r="N626" s="102"/>
      <c r="O626" s="102"/>
      <c r="P626" s="103"/>
      <c r="Q626" s="103"/>
      <c r="R626" s="103"/>
      <c r="S626" s="103"/>
      <c r="T626" s="79"/>
      <c r="U626" s="79"/>
      <c r="V626" s="79"/>
      <c r="W626" s="79"/>
      <c r="X626" s="79"/>
      <c r="Y626" s="79"/>
      <c r="Z626" s="79"/>
    </row>
    <row r="627" ht="21.0" customHeight="1">
      <c r="A627" s="79"/>
      <c r="B627" s="79"/>
      <c r="C627" s="104"/>
      <c r="D627" s="104"/>
      <c r="E627" s="104"/>
      <c r="F627" s="104"/>
      <c r="G627" s="104"/>
      <c r="H627" s="104"/>
      <c r="I627" s="104"/>
      <c r="J627" s="104"/>
      <c r="K627" s="104"/>
      <c r="L627" s="102"/>
      <c r="M627" s="102"/>
      <c r="N627" s="102"/>
      <c r="O627" s="102"/>
      <c r="P627" s="103"/>
      <c r="Q627" s="103"/>
      <c r="R627" s="103"/>
      <c r="S627" s="103"/>
      <c r="T627" s="79"/>
      <c r="U627" s="79"/>
      <c r="V627" s="79"/>
      <c r="W627" s="79"/>
      <c r="X627" s="79"/>
      <c r="Y627" s="79"/>
      <c r="Z627" s="79"/>
    </row>
    <row r="628" ht="21.0" customHeight="1">
      <c r="A628" s="79"/>
      <c r="B628" s="79"/>
      <c r="C628" s="104"/>
      <c r="D628" s="104"/>
      <c r="E628" s="104"/>
      <c r="F628" s="104"/>
      <c r="G628" s="104"/>
      <c r="H628" s="104"/>
      <c r="I628" s="104"/>
      <c r="J628" s="104"/>
      <c r="K628" s="104"/>
      <c r="L628" s="102"/>
      <c r="M628" s="102"/>
      <c r="N628" s="102"/>
      <c r="O628" s="102"/>
      <c r="P628" s="103"/>
      <c r="Q628" s="103"/>
      <c r="R628" s="103"/>
      <c r="S628" s="103"/>
      <c r="T628" s="79"/>
      <c r="U628" s="79"/>
      <c r="V628" s="79"/>
      <c r="W628" s="79"/>
      <c r="X628" s="79"/>
      <c r="Y628" s="79"/>
      <c r="Z628" s="79"/>
    </row>
    <row r="629" ht="21.0" customHeight="1">
      <c r="A629" s="79"/>
      <c r="B629" s="79"/>
      <c r="C629" s="104"/>
      <c r="D629" s="104"/>
      <c r="E629" s="104"/>
      <c r="F629" s="104"/>
      <c r="G629" s="104"/>
      <c r="H629" s="104"/>
      <c r="I629" s="104"/>
      <c r="J629" s="104"/>
      <c r="K629" s="104"/>
      <c r="L629" s="102"/>
      <c r="M629" s="102"/>
      <c r="N629" s="102"/>
      <c r="O629" s="102"/>
      <c r="P629" s="103"/>
      <c r="Q629" s="103"/>
      <c r="R629" s="103"/>
      <c r="S629" s="103"/>
      <c r="T629" s="79"/>
      <c r="U629" s="79"/>
      <c r="V629" s="79"/>
      <c r="W629" s="79"/>
      <c r="X629" s="79"/>
      <c r="Y629" s="79"/>
      <c r="Z629" s="79"/>
    </row>
    <row r="630" ht="21.0" customHeight="1">
      <c r="A630" s="79"/>
      <c r="B630" s="79"/>
      <c r="C630" s="104"/>
      <c r="D630" s="104"/>
      <c r="E630" s="104"/>
      <c r="F630" s="104"/>
      <c r="G630" s="104"/>
      <c r="H630" s="104"/>
      <c r="I630" s="104"/>
      <c r="J630" s="104"/>
      <c r="K630" s="104"/>
      <c r="L630" s="102"/>
      <c r="M630" s="102"/>
      <c r="N630" s="102"/>
      <c r="O630" s="102"/>
      <c r="P630" s="103"/>
      <c r="Q630" s="103"/>
      <c r="R630" s="103"/>
      <c r="S630" s="103"/>
      <c r="T630" s="79"/>
      <c r="U630" s="79"/>
      <c r="V630" s="79"/>
      <c r="W630" s="79"/>
      <c r="X630" s="79"/>
      <c r="Y630" s="79"/>
      <c r="Z630" s="79"/>
    </row>
    <row r="631" ht="21.0" customHeight="1">
      <c r="A631" s="79"/>
      <c r="B631" s="79"/>
      <c r="C631" s="104"/>
      <c r="D631" s="104"/>
      <c r="E631" s="104"/>
      <c r="F631" s="104"/>
      <c r="G631" s="104"/>
      <c r="H631" s="104"/>
      <c r="I631" s="104"/>
      <c r="J631" s="104"/>
      <c r="K631" s="104"/>
      <c r="L631" s="102"/>
      <c r="M631" s="102"/>
      <c r="N631" s="102"/>
      <c r="O631" s="102"/>
      <c r="P631" s="103"/>
      <c r="Q631" s="103"/>
      <c r="R631" s="103"/>
      <c r="S631" s="103"/>
      <c r="T631" s="79"/>
      <c r="U631" s="79"/>
      <c r="V631" s="79"/>
      <c r="W631" s="79"/>
      <c r="X631" s="79"/>
      <c r="Y631" s="79"/>
      <c r="Z631" s="79"/>
    </row>
    <row r="632" ht="21.0" customHeight="1">
      <c r="A632" s="79"/>
      <c r="B632" s="79"/>
      <c r="C632" s="104"/>
      <c r="D632" s="104"/>
      <c r="E632" s="104"/>
      <c r="F632" s="104"/>
      <c r="G632" s="104"/>
      <c r="H632" s="104"/>
      <c r="I632" s="104"/>
      <c r="J632" s="104"/>
      <c r="K632" s="104"/>
      <c r="L632" s="102"/>
      <c r="M632" s="102"/>
      <c r="N632" s="102"/>
      <c r="O632" s="102"/>
      <c r="P632" s="103"/>
      <c r="Q632" s="103"/>
      <c r="R632" s="103"/>
      <c r="S632" s="103"/>
      <c r="T632" s="79"/>
      <c r="U632" s="79"/>
      <c r="V632" s="79"/>
      <c r="W632" s="79"/>
      <c r="X632" s="79"/>
      <c r="Y632" s="79"/>
      <c r="Z632" s="79"/>
    </row>
    <row r="633" ht="21.0" customHeight="1">
      <c r="A633" s="79"/>
      <c r="B633" s="79"/>
      <c r="C633" s="104"/>
      <c r="D633" s="104"/>
      <c r="E633" s="104"/>
      <c r="F633" s="104"/>
      <c r="G633" s="104"/>
      <c r="H633" s="104"/>
      <c r="I633" s="104"/>
      <c r="J633" s="104"/>
      <c r="K633" s="104"/>
      <c r="L633" s="102"/>
      <c r="M633" s="102"/>
      <c r="N633" s="102"/>
      <c r="O633" s="102"/>
      <c r="P633" s="103"/>
      <c r="Q633" s="103"/>
      <c r="R633" s="103"/>
      <c r="S633" s="103"/>
      <c r="T633" s="79"/>
      <c r="U633" s="79"/>
      <c r="V633" s="79"/>
      <c r="W633" s="79"/>
      <c r="X633" s="79"/>
      <c r="Y633" s="79"/>
      <c r="Z633" s="79"/>
    </row>
    <row r="634" ht="21.0" customHeight="1">
      <c r="A634" s="79"/>
      <c r="B634" s="79"/>
      <c r="C634" s="104"/>
      <c r="D634" s="104"/>
      <c r="E634" s="104"/>
      <c r="F634" s="104"/>
      <c r="G634" s="104"/>
      <c r="H634" s="104"/>
      <c r="I634" s="104"/>
      <c r="J634" s="104"/>
      <c r="K634" s="104"/>
      <c r="L634" s="102"/>
      <c r="M634" s="102"/>
      <c r="N634" s="102"/>
      <c r="O634" s="102"/>
      <c r="P634" s="103"/>
      <c r="Q634" s="103"/>
      <c r="R634" s="103"/>
      <c r="S634" s="103"/>
      <c r="T634" s="79"/>
      <c r="U634" s="79"/>
      <c r="V634" s="79"/>
      <c r="W634" s="79"/>
      <c r="X634" s="79"/>
      <c r="Y634" s="79"/>
      <c r="Z634" s="79"/>
    </row>
    <row r="635" ht="21.0" customHeight="1">
      <c r="A635" s="79"/>
      <c r="B635" s="79"/>
      <c r="C635" s="104"/>
      <c r="D635" s="104"/>
      <c r="E635" s="104"/>
      <c r="F635" s="104"/>
      <c r="G635" s="104"/>
      <c r="H635" s="104"/>
      <c r="I635" s="104"/>
      <c r="J635" s="104"/>
      <c r="K635" s="104"/>
      <c r="L635" s="102"/>
      <c r="M635" s="102"/>
      <c r="N635" s="102"/>
      <c r="O635" s="102"/>
      <c r="P635" s="103"/>
      <c r="Q635" s="103"/>
      <c r="R635" s="103"/>
      <c r="S635" s="103"/>
      <c r="T635" s="79"/>
      <c r="U635" s="79"/>
      <c r="V635" s="79"/>
      <c r="W635" s="79"/>
      <c r="X635" s="79"/>
      <c r="Y635" s="79"/>
      <c r="Z635" s="79"/>
    </row>
    <row r="636" ht="21.0" customHeight="1">
      <c r="A636" s="79"/>
      <c r="B636" s="79"/>
      <c r="C636" s="104"/>
      <c r="D636" s="104"/>
      <c r="E636" s="104"/>
      <c r="F636" s="104"/>
      <c r="G636" s="104"/>
      <c r="H636" s="104"/>
      <c r="I636" s="104"/>
      <c r="J636" s="104"/>
      <c r="K636" s="104"/>
      <c r="L636" s="102"/>
      <c r="M636" s="102"/>
      <c r="N636" s="102"/>
      <c r="O636" s="102"/>
      <c r="P636" s="103"/>
      <c r="Q636" s="103"/>
      <c r="R636" s="103"/>
      <c r="S636" s="103"/>
      <c r="T636" s="79"/>
      <c r="U636" s="79"/>
      <c r="V636" s="79"/>
      <c r="W636" s="79"/>
      <c r="X636" s="79"/>
      <c r="Y636" s="79"/>
      <c r="Z636" s="79"/>
    </row>
    <row r="637" ht="21.0" customHeight="1">
      <c r="A637" s="79"/>
      <c r="B637" s="79"/>
      <c r="C637" s="104"/>
      <c r="D637" s="104"/>
      <c r="E637" s="104"/>
      <c r="F637" s="104"/>
      <c r="G637" s="104"/>
      <c r="H637" s="104"/>
      <c r="I637" s="104"/>
      <c r="J637" s="104"/>
      <c r="K637" s="104"/>
      <c r="L637" s="102"/>
      <c r="M637" s="102"/>
      <c r="N637" s="102"/>
      <c r="O637" s="102"/>
      <c r="P637" s="103"/>
      <c r="Q637" s="103"/>
      <c r="R637" s="103"/>
      <c r="S637" s="103"/>
      <c r="T637" s="79"/>
      <c r="U637" s="79"/>
      <c r="V637" s="79"/>
      <c r="W637" s="79"/>
      <c r="X637" s="79"/>
      <c r="Y637" s="79"/>
      <c r="Z637" s="79"/>
    </row>
    <row r="638" ht="21.0" customHeight="1">
      <c r="A638" s="79"/>
      <c r="B638" s="79"/>
      <c r="C638" s="104"/>
      <c r="D638" s="104"/>
      <c r="E638" s="104"/>
      <c r="F638" s="104"/>
      <c r="G638" s="104"/>
      <c r="H638" s="104"/>
      <c r="I638" s="104"/>
      <c r="J638" s="104"/>
      <c r="K638" s="104"/>
      <c r="L638" s="102"/>
      <c r="M638" s="102"/>
      <c r="N638" s="102"/>
      <c r="O638" s="102"/>
      <c r="P638" s="103"/>
      <c r="Q638" s="103"/>
      <c r="R638" s="103"/>
      <c r="S638" s="103"/>
      <c r="T638" s="79"/>
      <c r="U638" s="79"/>
      <c r="V638" s="79"/>
      <c r="W638" s="79"/>
      <c r="X638" s="79"/>
      <c r="Y638" s="79"/>
      <c r="Z638" s="79"/>
    </row>
    <row r="639" ht="21.0" customHeight="1">
      <c r="A639" s="79"/>
      <c r="B639" s="79"/>
      <c r="C639" s="104"/>
      <c r="D639" s="104"/>
      <c r="E639" s="104"/>
      <c r="F639" s="104"/>
      <c r="G639" s="104"/>
      <c r="H639" s="104"/>
      <c r="I639" s="104"/>
      <c r="J639" s="104"/>
      <c r="K639" s="104"/>
      <c r="L639" s="102"/>
      <c r="M639" s="102"/>
      <c r="N639" s="102"/>
      <c r="O639" s="102"/>
      <c r="P639" s="103"/>
      <c r="Q639" s="103"/>
      <c r="R639" s="103"/>
      <c r="S639" s="103"/>
      <c r="T639" s="79"/>
      <c r="U639" s="79"/>
      <c r="V639" s="79"/>
      <c r="W639" s="79"/>
      <c r="X639" s="79"/>
      <c r="Y639" s="79"/>
      <c r="Z639" s="79"/>
    </row>
    <row r="640" ht="21.0" customHeight="1">
      <c r="A640" s="79"/>
      <c r="B640" s="79"/>
      <c r="C640" s="104"/>
      <c r="D640" s="104"/>
      <c r="E640" s="104"/>
      <c r="F640" s="104"/>
      <c r="G640" s="104"/>
      <c r="H640" s="104"/>
      <c r="I640" s="104"/>
      <c r="J640" s="104"/>
      <c r="K640" s="104"/>
      <c r="L640" s="102"/>
      <c r="M640" s="102"/>
      <c r="N640" s="102"/>
      <c r="O640" s="102"/>
      <c r="P640" s="103"/>
      <c r="Q640" s="103"/>
      <c r="R640" s="103"/>
      <c r="S640" s="103"/>
      <c r="T640" s="79"/>
      <c r="U640" s="79"/>
      <c r="V640" s="79"/>
      <c r="W640" s="79"/>
      <c r="X640" s="79"/>
      <c r="Y640" s="79"/>
      <c r="Z640" s="79"/>
    </row>
    <row r="641" ht="21.0" customHeight="1">
      <c r="A641" s="79"/>
      <c r="B641" s="79"/>
      <c r="C641" s="104"/>
      <c r="D641" s="104"/>
      <c r="E641" s="104"/>
      <c r="F641" s="104"/>
      <c r="G641" s="104"/>
      <c r="H641" s="104"/>
      <c r="I641" s="104"/>
      <c r="J641" s="104"/>
      <c r="K641" s="104"/>
      <c r="L641" s="102"/>
      <c r="M641" s="102"/>
      <c r="N641" s="102"/>
      <c r="O641" s="102"/>
      <c r="P641" s="103"/>
      <c r="Q641" s="103"/>
      <c r="R641" s="103"/>
      <c r="S641" s="103"/>
      <c r="T641" s="79"/>
      <c r="U641" s="79"/>
      <c r="V641" s="79"/>
      <c r="W641" s="79"/>
      <c r="X641" s="79"/>
      <c r="Y641" s="79"/>
      <c r="Z641" s="79"/>
    </row>
    <row r="642" ht="21.0" customHeight="1">
      <c r="A642" s="79"/>
      <c r="B642" s="79"/>
      <c r="C642" s="104"/>
      <c r="D642" s="104"/>
      <c r="E642" s="104"/>
      <c r="F642" s="104"/>
      <c r="G642" s="104"/>
      <c r="H642" s="104"/>
      <c r="I642" s="104"/>
      <c r="J642" s="104"/>
      <c r="K642" s="104"/>
      <c r="L642" s="102"/>
      <c r="M642" s="102"/>
      <c r="N642" s="102"/>
      <c r="O642" s="102"/>
      <c r="P642" s="103"/>
      <c r="Q642" s="103"/>
      <c r="R642" s="103"/>
      <c r="S642" s="103"/>
      <c r="T642" s="79"/>
      <c r="U642" s="79"/>
      <c r="V642" s="79"/>
      <c r="W642" s="79"/>
      <c r="X642" s="79"/>
      <c r="Y642" s="79"/>
      <c r="Z642" s="79"/>
    </row>
    <row r="643" ht="21.0" customHeight="1">
      <c r="A643" s="79"/>
      <c r="B643" s="79"/>
      <c r="C643" s="104"/>
      <c r="D643" s="104"/>
      <c r="E643" s="104"/>
      <c r="F643" s="104"/>
      <c r="G643" s="104"/>
      <c r="H643" s="104"/>
      <c r="I643" s="104"/>
      <c r="J643" s="104"/>
      <c r="K643" s="104"/>
      <c r="L643" s="102"/>
      <c r="M643" s="102"/>
      <c r="N643" s="102"/>
      <c r="O643" s="102"/>
      <c r="P643" s="103"/>
      <c r="Q643" s="103"/>
      <c r="R643" s="103"/>
      <c r="S643" s="103"/>
      <c r="T643" s="79"/>
      <c r="U643" s="79"/>
      <c r="V643" s="79"/>
      <c r="W643" s="79"/>
      <c r="X643" s="79"/>
      <c r="Y643" s="79"/>
      <c r="Z643" s="79"/>
    </row>
    <row r="644" ht="21.0" customHeight="1">
      <c r="A644" s="79"/>
      <c r="B644" s="79"/>
      <c r="C644" s="104"/>
      <c r="D644" s="104"/>
      <c r="E644" s="104"/>
      <c r="F644" s="104"/>
      <c r="G644" s="104"/>
      <c r="H644" s="104"/>
      <c r="I644" s="104"/>
      <c r="J644" s="104"/>
      <c r="K644" s="104"/>
      <c r="L644" s="102"/>
      <c r="M644" s="102"/>
      <c r="N644" s="102"/>
      <c r="O644" s="102"/>
      <c r="P644" s="103"/>
      <c r="Q644" s="103"/>
      <c r="R644" s="103"/>
      <c r="S644" s="103"/>
      <c r="T644" s="79"/>
      <c r="U644" s="79"/>
      <c r="V644" s="79"/>
      <c r="W644" s="79"/>
      <c r="X644" s="79"/>
      <c r="Y644" s="79"/>
      <c r="Z644" s="79"/>
    </row>
    <row r="645" ht="21.0" customHeight="1">
      <c r="A645" s="79"/>
      <c r="B645" s="79"/>
      <c r="C645" s="104"/>
      <c r="D645" s="104"/>
      <c r="E645" s="104"/>
      <c r="F645" s="104"/>
      <c r="G645" s="104"/>
      <c r="H645" s="104"/>
      <c r="I645" s="104"/>
      <c r="J645" s="104"/>
      <c r="K645" s="104"/>
      <c r="L645" s="102"/>
      <c r="M645" s="102"/>
      <c r="N645" s="102"/>
      <c r="O645" s="102"/>
      <c r="P645" s="103"/>
      <c r="Q645" s="103"/>
      <c r="R645" s="103"/>
      <c r="S645" s="103"/>
      <c r="T645" s="79"/>
      <c r="U645" s="79"/>
      <c r="V645" s="79"/>
      <c r="W645" s="79"/>
      <c r="X645" s="79"/>
      <c r="Y645" s="79"/>
      <c r="Z645" s="79"/>
    </row>
    <row r="646" ht="21.0" customHeight="1">
      <c r="A646" s="79"/>
      <c r="B646" s="79"/>
      <c r="C646" s="104"/>
      <c r="D646" s="104"/>
      <c r="E646" s="104"/>
      <c r="F646" s="104"/>
      <c r="G646" s="104"/>
      <c r="H646" s="104"/>
      <c r="I646" s="104"/>
      <c r="J646" s="104"/>
      <c r="K646" s="104"/>
      <c r="L646" s="102"/>
      <c r="M646" s="102"/>
      <c r="N646" s="102"/>
      <c r="O646" s="102"/>
      <c r="P646" s="103"/>
      <c r="Q646" s="103"/>
      <c r="R646" s="103"/>
      <c r="S646" s="103"/>
      <c r="T646" s="79"/>
      <c r="U646" s="79"/>
      <c r="V646" s="79"/>
      <c r="W646" s="79"/>
      <c r="X646" s="79"/>
      <c r="Y646" s="79"/>
      <c r="Z646" s="79"/>
    </row>
    <row r="647" ht="21.0" customHeight="1">
      <c r="A647" s="79"/>
      <c r="B647" s="79"/>
      <c r="C647" s="104"/>
      <c r="D647" s="104"/>
      <c r="E647" s="104"/>
      <c r="F647" s="104"/>
      <c r="G647" s="104"/>
      <c r="H647" s="104"/>
      <c r="I647" s="104"/>
      <c r="J647" s="104"/>
      <c r="K647" s="104"/>
      <c r="L647" s="102"/>
      <c r="M647" s="102"/>
      <c r="N647" s="102"/>
      <c r="O647" s="102"/>
      <c r="P647" s="103"/>
      <c r="Q647" s="103"/>
      <c r="R647" s="103"/>
      <c r="S647" s="103"/>
      <c r="T647" s="79"/>
      <c r="U647" s="79"/>
      <c r="V647" s="79"/>
      <c r="W647" s="79"/>
      <c r="X647" s="79"/>
      <c r="Y647" s="79"/>
      <c r="Z647" s="79"/>
    </row>
    <row r="648" ht="21.0" customHeight="1">
      <c r="A648" s="79"/>
      <c r="B648" s="79"/>
      <c r="C648" s="104"/>
      <c r="D648" s="104"/>
      <c r="E648" s="104"/>
      <c r="F648" s="104"/>
      <c r="G648" s="104"/>
      <c r="H648" s="104"/>
      <c r="I648" s="104"/>
      <c r="J648" s="104"/>
      <c r="K648" s="104"/>
      <c r="L648" s="102"/>
      <c r="M648" s="102"/>
      <c r="N648" s="102"/>
      <c r="O648" s="102"/>
      <c r="P648" s="103"/>
      <c r="Q648" s="103"/>
      <c r="R648" s="103"/>
      <c r="S648" s="103"/>
      <c r="T648" s="79"/>
      <c r="U648" s="79"/>
      <c r="V648" s="79"/>
      <c r="W648" s="79"/>
      <c r="X648" s="79"/>
      <c r="Y648" s="79"/>
      <c r="Z648" s="79"/>
    </row>
    <row r="649" ht="21.0" customHeight="1">
      <c r="A649" s="79"/>
      <c r="B649" s="79"/>
      <c r="C649" s="104"/>
      <c r="D649" s="104"/>
      <c r="E649" s="104"/>
      <c r="F649" s="104"/>
      <c r="G649" s="104"/>
      <c r="H649" s="104"/>
      <c r="I649" s="104"/>
      <c r="J649" s="104"/>
      <c r="K649" s="104"/>
      <c r="L649" s="102"/>
      <c r="M649" s="102"/>
      <c r="N649" s="102"/>
      <c r="O649" s="102"/>
      <c r="P649" s="103"/>
      <c r="Q649" s="103"/>
      <c r="R649" s="103"/>
      <c r="S649" s="103"/>
      <c r="T649" s="79"/>
      <c r="U649" s="79"/>
      <c r="V649" s="79"/>
      <c r="W649" s="79"/>
      <c r="X649" s="79"/>
      <c r="Y649" s="79"/>
      <c r="Z649" s="79"/>
    </row>
    <row r="650" ht="21.0" customHeight="1">
      <c r="A650" s="79"/>
      <c r="B650" s="79"/>
      <c r="C650" s="104"/>
      <c r="D650" s="104"/>
      <c r="E650" s="104"/>
      <c r="F650" s="104"/>
      <c r="G650" s="104"/>
      <c r="H650" s="104"/>
      <c r="I650" s="104"/>
      <c r="J650" s="104"/>
      <c r="K650" s="104"/>
      <c r="L650" s="102"/>
      <c r="M650" s="102"/>
      <c r="N650" s="102"/>
      <c r="O650" s="102"/>
      <c r="P650" s="103"/>
      <c r="Q650" s="103"/>
      <c r="R650" s="103"/>
      <c r="S650" s="103"/>
      <c r="T650" s="79"/>
      <c r="U650" s="79"/>
      <c r="V650" s="79"/>
      <c r="W650" s="79"/>
      <c r="X650" s="79"/>
      <c r="Y650" s="79"/>
      <c r="Z650" s="79"/>
    </row>
    <row r="651" ht="21.0" customHeight="1">
      <c r="A651" s="79"/>
      <c r="B651" s="79"/>
      <c r="C651" s="104"/>
      <c r="D651" s="104"/>
      <c r="E651" s="104"/>
      <c r="F651" s="104"/>
      <c r="G651" s="104"/>
      <c r="H651" s="104"/>
      <c r="I651" s="104"/>
      <c r="J651" s="104"/>
      <c r="K651" s="104"/>
      <c r="L651" s="102"/>
      <c r="M651" s="102"/>
      <c r="N651" s="102"/>
      <c r="O651" s="102"/>
      <c r="P651" s="103"/>
      <c r="Q651" s="103"/>
      <c r="R651" s="103"/>
      <c r="S651" s="103"/>
      <c r="T651" s="79"/>
      <c r="U651" s="79"/>
      <c r="V651" s="79"/>
      <c r="W651" s="79"/>
      <c r="X651" s="79"/>
      <c r="Y651" s="79"/>
      <c r="Z651" s="79"/>
    </row>
    <row r="652" ht="21.0" customHeight="1">
      <c r="A652" s="79"/>
      <c r="B652" s="79"/>
      <c r="C652" s="104"/>
      <c r="D652" s="104"/>
      <c r="E652" s="104"/>
      <c r="F652" s="104"/>
      <c r="G652" s="104"/>
      <c r="H652" s="104"/>
      <c r="I652" s="104"/>
      <c r="J652" s="104"/>
      <c r="K652" s="104"/>
      <c r="L652" s="102"/>
      <c r="M652" s="102"/>
      <c r="N652" s="102"/>
      <c r="O652" s="102"/>
      <c r="P652" s="103"/>
      <c r="Q652" s="103"/>
      <c r="R652" s="103"/>
      <c r="S652" s="103"/>
      <c r="T652" s="79"/>
      <c r="U652" s="79"/>
      <c r="V652" s="79"/>
      <c r="W652" s="79"/>
      <c r="X652" s="79"/>
      <c r="Y652" s="79"/>
      <c r="Z652" s="79"/>
    </row>
    <row r="653" ht="21.0" customHeight="1">
      <c r="A653" s="79"/>
      <c r="B653" s="79"/>
      <c r="C653" s="104"/>
      <c r="D653" s="104"/>
      <c r="E653" s="104"/>
      <c r="F653" s="104"/>
      <c r="G653" s="104"/>
      <c r="H653" s="104"/>
      <c r="I653" s="104"/>
      <c r="J653" s="104"/>
      <c r="K653" s="104"/>
      <c r="L653" s="102"/>
      <c r="M653" s="102"/>
      <c r="N653" s="102"/>
      <c r="O653" s="102"/>
      <c r="P653" s="103"/>
      <c r="Q653" s="103"/>
      <c r="R653" s="103"/>
      <c r="S653" s="103"/>
      <c r="T653" s="79"/>
      <c r="U653" s="79"/>
      <c r="V653" s="79"/>
      <c r="W653" s="79"/>
      <c r="X653" s="79"/>
      <c r="Y653" s="79"/>
      <c r="Z653" s="79"/>
    </row>
    <row r="654" ht="21.0" customHeight="1">
      <c r="A654" s="79"/>
      <c r="B654" s="79"/>
      <c r="C654" s="104"/>
      <c r="D654" s="104"/>
      <c r="E654" s="104"/>
      <c r="F654" s="104"/>
      <c r="G654" s="104"/>
      <c r="H654" s="104"/>
      <c r="I654" s="104"/>
      <c r="J654" s="104"/>
      <c r="K654" s="104"/>
      <c r="L654" s="102"/>
      <c r="M654" s="102"/>
      <c r="N654" s="102"/>
      <c r="O654" s="102"/>
      <c r="P654" s="103"/>
      <c r="Q654" s="103"/>
      <c r="R654" s="103"/>
      <c r="S654" s="103"/>
      <c r="T654" s="79"/>
      <c r="U654" s="79"/>
      <c r="V654" s="79"/>
      <c r="W654" s="79"/>
      <c r="X654" s="79"/>
      <c r="Y654" s="79"/>
      <c r="Z654" s="79"/>
    </row>
    <row r="655" ht="21.0" customHeight="1">
      <c r="A655" s="79"/>
      <c r="B655" s="79"/>
      <c r="C655" s="104"/>
      <c r="D655" s="104"/>
      <c r="E655" s="104"/>
      <c r="F655" s="104"/>
      <c r="G655" s="104"/>
      <c r="H655" s="104"/>
      <c r="I655" s="104"/>
      <c r="J655" s="104"/>
      <c r="K655" s="104"/>
      <c r="L655" s="102"/>
      <c r="M655" s="102"/>
      <c r="N655" s="102"/>
      <c r="O655" s="102"/>
      <c r="P655" s="103"/>
      <c r="Q655" s="103"/>
      <c r="R655" s="103"/>
      <c r="S655" s="103"/>
      <c r="T655" s="79"/>
      <c r="U655" s="79"/>
      <c r="V655" s="79"/>
      <c r="W655" s="79"/>
      <c r="X655" s="79"/>
      <c r="Y655" s="79"/>
      <c r="Z655" s="79"/>
    </row>
    <row r="656" ht="21.0" customHeight="1">
      <c r="A656" s="79"/>
      <c r="B656" s="79"/>
      <c r="C656" s="104"/>
      <c r="D656" s="104"/>
      <c r="E656" s="104"/>
      <c r="F656" s="104"/>
      <c r="G656" s="104"/>
      <c r="H656" s="104"/>
      <c r="I656" s="104"/>
      <c r="J656" s="104"/>
      <c r="K656" s="104"/>
      <c r="L656" s="102"/>
      <c r="M656" s="102"/>
      <c r="N656" s="102"/>
      <c r="O656" s="102"/>
      <c r="P656" s="103"/>
      <c r="Q656" s="103"/>
      <c r="R656" s="103"/>
      <c r="S656" s="103"/>
      <c r="T656" s="79"/>
      <c r="U656" s="79"/>
      <c r="V656" s="79"/>
      <c r="W656" s="79"/>
      <c r="X656" s="79"/>
      <c r="Y656" s="79"/>
      <c r="Z656" s="79"/>
    </row>
    <row r="657" ht="21.0" customHeight="1">
      <c r="A657" s="79"/>
      <c r="B657" s="79"/>
      <c r="C657" s="104"/>
      <c r="D657" s="104"/>
      <c r="E657" s="104"/>
      <c r="F657" s="104"/>
      <c r="G657" s="104"/>
      <c r="H657" s="104"/>
      <c r="I657" s="104"/>
      <c r="J657" s="104"/>
      <c r="K657" s="104"/>
      <c r="L657" s="102"/>
      <c r="M657" s="102"/>
      <c r="N657" s="102"/>
      <c r="O657" s="102"/>
      <c r="P657" s="103"/>
      <c r="Q657" s="103"/>
      <c r="R657" s="103"/>
      <c r="S657" s="103"/>
      <c r="T657" s="79"/>
      <c r="U657" s="79"/>
      <c r="V657" s="79"/>
      <c r="W657" s="79"/>
      <c r="X657" s="79"/>
      <c r="Y657" s="79"/>
      <c r="Z657" s="79"/>
    </row>
    <row r="658" ht="21.0" customHeight="1">
      <c r="A658" s="79"/>
      <c r="B658" s="79"/>
      <c r="C658" s="104"/>
      <c r="D658" s="104"/>
      <c r="E658" s="104"/>
      <c r="F658" s="104"/>
      <c r="G658" s="104"/>
      <c r="H658" s="104"/>
      <c r="I658" s="104"/>
      <c r="J658" s="104"/>
      <c r="K658" s="104"/>
      <c r="L658" s="102"/>
      <c r="M658" s="102"/>
      <c r="N658" s="102"/>
      <c r="O658" s="102"/>
      <c r="P658" s="103"/>
      <c r="Q658" s="103"/>
      <c r="R658" s="103"/>
      <c r="S658" s="103"/>
      <c r="T658" s="79"/>
      <c r="U658" s="79"/>
      <c r="V658" s="79"/>
      <c r="W658" s="79"/>
      <c r="X658" s="79"/>
      <c r="Y658" s="79"/>
      <c r="Z658" s="79"/>
    </row>
    <row r="659" ht="21.0" customHeight="1">
      <c r="A659" s="79"/>
      <c r="B659" s="79"/>
      <c r="C659" s="104"/>
      <c r="D659" s="104"/>
      <c r="E659" s="104"/>
      <c r="F659" s="104"/>
      <c r="G659" s="104"/>
      <c r="H659" s="104"/>
      <c r="I659" s="104"/>
      <c r="J659" s="104"/>
      <c r="K659" s="104"/>
      <c r="L659" s="102"/>
      <c r="M659" s="102"/>
      <c r="N659" s="102"/>
      <c r="O659" s="102"/>
      <c r="P659" s="103"/>
      <c r="Q659" s="103"/>
      <c r="R659" s="103"/>
      <c r="S659" s="103"/>
      <c r="T659" s="79"/>
      <c r="U659" s="79"/>
      <c r="V659" s="79"/>
      <c r="W659" s="79"/>
      <c r="X659" s="79"/>
      <c r="Y659" s="79"/>
      <c r="Z659" s="79"/>
    </row>
    <row r="660" ht="21.0" customHeight="1">
      <c r="A660" s="79"/>
      <c r="B660" s="79"/>
      <c r="C660" s="104"/>
      <c r="D660" s="104"/>
      <c r="E660" s="104"/>
      <c r="F660" s="104"/>
      <c r="G660" s="104"/>
      <c r="H660" s="104"/>
      <c r="I660" s="104"/>
      <c r="J660" s="104"/>
      <c r="K660" s="104"/>
      <c r="L660" s="102"/>
      <c r="M660" s="102"/>
      <c r="N660" s="102"/>
      <c r="O660" s="102"/>
      <c r="P660" s="103"/>
      <c r="Q660" s="103"/>
      <c r="R660" s="103"/>
      <c r="S660" s="103"/>
      <c r="T660" s="79"/>
      <c r="U660" s="79"/>
      <c r="V660" s="79"/>
      <c r="W660" s="79"/>
      <c r="X660" s="79"/>
      <c r="Y660" s="79"/>
      <c r="Z660" s="79"/>
    </row>
    <row r="661" ht="21.0" customHeight="1">
      <c r="A661" s="79"/>
      <c r="B661" s="79"/>
      <c r="C661" s="104"/>
      <c r="D661" s="104"/>
      <c r="E661" s="104"/>
      <c r="F661" s="104"/>
      <c r="G661" s="104"/>
      <c r="H661" s="104"/>
      <c r="I661" s="104"/>
      <c r="J661" s="104"/>
      <c r="K661" s="104"/>
      <c r="L661" s="102"/>
      <c r="M661" s="102"/>
      <c r="N661" s="102"/>
      <c r="O661" s="102"/>
      <c r="P661" s="103"/>
      <c r="Q661" s="103"/>
      <c r="R661" s="103"/>
      <c r="S661" s="103"/>
      <c r="T661" s="79"/>
      <c r="U661" s="79"/>
      <c r="V661" s="79"/>
      <c r="W661" s="79"/>
      <c r="X661" s="79"/>
      <c r="Y661" s="79"/>
      <c r="Z661" s="79"/>
    </row>
    <row r="662" ht="21.0" customHeight="1">
      <c r="A662" s="79"/>
      <c r="B662" s="79"/>
      <c r="C662" s="104"/>
      <c r="D662" s="104"/>
      <c r="E662" s="104"/>
      <c r="F662" s="104"/>
      <c r="G662" s="104"/>
      <c r="H662" s="104"/>
      <c r="I662" s="104"/>
      <c r="J662" s="104"/>
      <c r="K662" s="104"/>
      <c r="L662" s="102"/>
      <c r="M662" s="102"/>
      <c r="N662" s="102"/>
      <c r="O662" s="102"/>
      <c r="P662" s="103"/>
      <c r="Q662" s="103"/>
      <c r="R662" s="103"/>
      <c r="S662" s="103"/>
      <c r="T662" s="79"/>
      <c r="U662" s="79"/>
      <c r="V662" s="79"/>
      <c r="W662" s="79"/>
      <c r="X662" s="79"/>
      <c r="Y662" s="79"/>
      <c r="Z662" s="79"/>
    </row>
    <row r="663" ht="21.0" customHeight="1">
      <c r="A663" s="79"/>
      <c r="B663" s="79"/>
      <c r="C663" s="104"/>
      <c r="D663" s="104"/>
      <c r="E663" s="104"/>
      <c r="F663" s="104"/>
      <c r="G663" s="104"/>
      <c r="H663" s="104"/>
      <c r="I663" s="104"/>
      <c r="J663" s="104"/>
      <c r="K663" s="104"/>
      <c r="L663" s="102"/>
      <c r="M663" s="102"/>
      <c r="N663" s="102"/>
      <c r="O663" s="102"/>
      <c r="P663" s="103"/>
      <c r="Q663" s="103"/>
      <c r="R663" s="103"/>
      <c r="S663" s="103"/>
      <c r="T663" s="79"/>
      <c r="U663" s="79"/>
      <c r="V663" s="79"/>
      <c r="W663" s="79"/>
      <c r="X663" s="79"/>
      <c r="Y663" s="79"/>
      <c r="Z663" s="79"/>
    </row>
    <row r="664" ht="21.0" customHeight="1">
      <c r="A664" s="79"/>
      <c r="B664" s="79"/>
      <c r="C664" s="104"/>
      <c r="D664" s="104"/>
      <c r="E664" s="104"/>
      <c r="F664" s="104"/>
      <c r="G664" s="104"/>
      <c r="H664" s="104"/>
      <c r="I664" s="104"/>
      <c r="J664" s="104"/>
      <c r="K664" s="104"/>
      <c r="L664" s="102"/>
      <c r="M664" s="102"/>
      <c r="N664" s="102"/>
      <c r="O664" s="102"/>
      <c r="P664" s="103"/>
      <c r="Q664" s="103"/>
      <c r="R664" s="103"/>
      <c r="S664" s="103"/>
      <c r="T664" s="79"/>
      <c r="U664" s="79"/>
      <c r="V664" s="79"/>
      <c r="W664" s="79"/>
      <c r="X664" s="79"/>
      <c r="Y664" s="79"/>
      <c r="Z664" s="79"/>
    </row>
    <row r="665" ht="21.0" customHeight="1">
      <c r="A665" s="79"/>
      <c r="B665" s="79"/>
      <c r="C665" s="104"/>
      <c r="D665" s="104"/>
      <c r="E665" s="104"/>
      <c r="F665" s="104"/>
      <c r="G665" s="104"/>
      <c r="H665" s="104"/>
      <c r="I665" s="104"/>
      <c r="J665" s="104"/>
      <c r="K665" s="104"/>
      <c r="L665" s="102"/>
      <c r="M665" s="102"/>
      <c r="N665" s="102"/>
      <c r="O665" s="102"/>
      <c r="P665" s="103"/>
      <c r="Q665" s="103"/>
      <c r="R665" s="103"/>
      <c r="S665" s="103"/>
      <c r="T665" s="79"/>
      <c r="U665" s="79"/>
      <c r="V665" s="79"/>
      <c r="W665" s="79"/>
      <c r="X665" s="79"/>
      <c r="Y665" s="79"/>
      <c r="Z665" s="79"/>
    </row>
    <row r="666" ht="21.0" customHeight="1">
      <c r="A666" s="79"/>
      <c r="B666" s="79"/>
      <c r="C666" s="104"/>
      <c r="D666" s="104"/>
      <c r="E666" s="104"/>
      <c r="F666" s="104"/>
      <c r="G666" s="104"/>
      <c r="H666" s="104"/>
      <c r="I666" s="104"/>
      <c r="J666" s="104"/>
      <c r="K666" s="104"/>
      <c r="L666" s="102"/>
      <c r="M666" s="102"/>
      <c r="N666" s="102"/>
      <c r="O666" s="102"/>
      <c r="P666" s="103"/>
      <c r="Q666" s="103"/>
      <c r="R666" s="103"/>
      <c r="S666" s="103"/>
      <c r="T666" s="79"/>
      <c r="U666" s="79"/>
      <c r="V666" s="79"/>
      <c r="W666" s="79"/>
      <c r="X666" s="79"/>
      <c r="Y666" s="79"/>
      <c r="Z666" s="79"/>
    </row>
    <row r="667" ht="21.0" customHeight="1">
      <c r="A667" s="79"/>
      <c r="B667" s="79"/>
      <c r="C667" s="104"/>
      <c r="D667" s="104"/>
      <c r="E667" s="104"/>
      <c r="F667" s="104"/>
      <c r="G667" s="104"/>
      <c r="H667" s="104"/>
      <c r="I667" s="104"/>
      <c r="J667" s="104"/>
      <c r="K667" s="104"/>
      <c r="L667" s="102"/>
      <c r="M667" s="102"/>
      <c r="N667" s="102"/>
      <c r="O667" s="102"/>
      <c r="P667" s="103"/>
      <c r="Q667" s="103"/>
      <c r="R667" s="103"/>
      <c r="S667" s="103"/>
      <c r="T667" s="79"/>
      <c r="U667" s="79"/>
      <c r="V667" s="79"/>
      <c r="W667" s="79"/>
      <c r="X667" s="79"/>
      <c r="Y667" s="79"/>
      <c r="Z667" s="79"/>
    </row>
    <row r="668" ht="21.0" customHeight="1">
      <c r="A668" s="79"/>
      <c r="B668" s="79"/>
      <c r="C668" s="104"/>
      <c r="D668" s="104"/>
      <c r="E668" s="104"/>
      <c r="F668" s="104"/>
      <c r="G668" s="104"/>
      <c r="H668" s="104"/>
      <c r="I668" s="104"/>
      <c r="J668" s="104"/>
      <c r="K668" s="104"/>
      <c r="L668" s="102"/>
      <c r="M668" s="102"/>
      <c r="N668" s="102"/>
      <c r="O668" s="102"/>
      <c r="P668" s="103"/>
      <c r="Q668" s="103"/>
      <c r="R668" s="103"/>
      <c r="S668" s="103"/>
      <c r="T668" s="79"/>
      <c r="U668" s="79"/>
      <c r="V668" s="79"/>
      <c r="W668" s="79"/>
      <c r="X668" s="79"/>
      <c r="Y668" s="79"/>
      <c r="Z668" s="79"/>
    </row>
    <row r="669" ht="21.0" customHeight="1">
      <c r="A669" s="79"/>
      <c r="B669" s="79"/>
      <c r="C669" s="104"/>
      <c r="D669" s="104"/>
      <c r="E669" s="104"/>
      <c r="F669" s="104"/>
      <c r="G669" s="104"/>
      <c r="H669" s="104"/>
      <c r="I669" s="104"/>
      <c r="J669" s="104"/>
      <c r="K669" s="104"/>
      <c r="L669" s="102"/>
      <c r="M669" s="102"/>
      <c r="N669" s="102"/>
      <c r="O669" s="102"/>
      <c r="P669" s="103"/>
      <c r="Q669" s="103"/>
      <c r="R669" s="103"/>
      <c r="S669" s="103"/>
      <c r="T669" s="79"/>
      <c r="U669" s="79"/>
      <c r="V669" s="79"/>
      <c r="W669" s="79"/>
      <c r="X669" s="79"/>
      <c r="Y669" s="79"/>
      <c r="Z669" s="79"/>
    </row>
    <row r="670" ht="21.0" customHeight="1">
      <c r="A670" s="79"/>
      <c r="B670" s="79"/>
      <c r="C670" s="104"/>
      <c r="D670" s="104"/>
      <c r="E670" s="104"/>
      <c r="F670" s="104"/>
      <c r="G670" s="104"/>
      <c r="H670" s="104"/>
      <c r="I670" s="104"/>
      <c r="J670" s="104"/>
      <c r="K670" s="104"/>
      <c r="L670" s="102"/>
      <c r="M670" s="102"/>
      <c r="N670" s="102"/>
      <c r="O670" s="102"/>
      <c r="P670" s="103"/>
      <c r="Q670" s="103"/>
      <c r="R670" s="103"/>
      <c r="S670" s="103"/>
      <c r="T670" s="79"/>
      <c r="U670" s="79"/>
      <c r="V670" s="79"/>
      <c r="W670" s="79"/>
      <c r="X670" s="79"/>
      <c r="Y670" s="79"/>
      <c r="Z670" s="79"/>
    </row>
    <row r="671" ht="21.0" customHeight="1">
      <c r="A671" s="79"/>
      <c r="B671" s="79"/>
      <c r="C671" s="104"/>
      <c r="D671" s="104"/>
      <c r="E671" s="104"/>
      <c r="F671" s="104"/>
      <c r="G671" s="104"/>
      <c r="H671" s="104"/>
      <c r="I671" s="104"/>
      <c r="J671" s="104"/>
      <c r="K671" s="104"/>
      <c r="L671" s="102"/>
      <c r="M671" s="102"/>
      <c r="N671" s="102"/>
      <c r="O671" s="102"/>
      <c r="P671" s="103"/>
      <c r="Q671" s="103"/>
      <c r="R671" s="103"/>
      <c r="S671" s="103"/>
      <c r="T671" s="79"/>
      <c r="U671" s="79"/>
      <c r="V671" s="79"/>
      <c r="W671" s="79"/>
      <c r="X671" s="79"/>
      <c r="Y671" s="79"/>
      <c r="Z671" s="79"/>
    </row>
    <row r="672" ht="21.0" customHeight="1">
      <c r="A672" s="79"/>
      <c r="B672" s="79"/>
      <c r="C672" s="104"/>
      <c r="D672" s="104"/>
      <c r="E672" s="104"/>
      <c r="F672" s="104"/>
      <c r="G672" s="104"/>
      <c r="H672" s="104"/>
      <c r="I672" s="104"/>
      <c r="J672" s="104"/>
      <c r="K672" s="104"/>
      <c r="L672" s="102"/>
      <c r="M672" s="102"/>
      <c r="N672" s="102"/>
      <c r="O672" s="102"/>
      <c r="P672" s="103"/>
      <c r="Q672" s="103"/>
      <c r="R672" s="103"/>
      <c r="S672" s="103"/>
      <c r="T672" s="79"/>
      <c r="U672" s="79"/>
      <c r="V672" s="79"/>
      <c r="W672" s="79"/>
      <c r="X672" s="79"/>
      <c r="Y672" s="79"/>
      <c r="Z672" s="79"/>
    </row>
    <row r="673" ht="21.0" customHeight="1">
      <c r="A673" s="79"/>
      <c r="B673" s="79"/>
      <c r="C673" s="104"/>
      <c r="D673" s="104"/>
      <c r="E673" s="104"/>
      <c r="F673" s="104"/>
      <c r="G673" s="104"/>
      <c r="H673" s="104"/>
      <c r="I673" s="104"/>
      <c r="J673" s="104"/>
      <c r="K673" s="104"/>
      <c r="L673" s="102"/>
      <c r="M673" s="102"/>
      <c r="N673" s="102"/>
      <c r="O673" s="102"/>
      <c r="P673" s="103"/>
      <c r="Q673" s="103"/>
      <c r="R673" s="103"/>
      <c r="S673" s="103"/>
      <c r="T673" s="79"/>
      <c r="U673" s="79"/>
      <c r="V673" s="79"/>
      <c r="W673" s="79"/>
      <c r="X673" s="79"/>
      <c r="Y673" s="79"/>
      <c r="Z673" s="79"/>
    </row>
    <row r="674" ht="21.0" customHeight="1">
      <c r="A674" s="79"/>
      <c r="B674" s="79"/>
      <c r="C674" s="104"/>
      <c r="D674" s="104"/>
      <c r="E674" s="104"/>
      <c r="F674" s="104"/>
      <c r="G674" s="104"/>
      <c r="H674" s="104"/>
      <c r="I674" s="104"/>
      <c r="J674" s="104"/>
      <c r="K674" s="104"/>
      <c r="L674" s="102"/>
      <c r="M674" s="102"/>
      <c r="N674" s="102"/>
      <c r="O674" s="102"/>
      <c r="P674" s="103"/>
      <c r="Q674" s="103"/>
      <c r="R674" s="103"/>
      <c r="S674" s="103"/>
      <c r="T674" s="79"/>
      <c r="U674" s="79"/>
      <c r="V674" s="79"/>
      <c r="W674" s="79"/>
      <c r="X674" s="79"/>
      <c r="Y674" s="79"/>
      <c r="Z674" s="79"/>
    </row>
    <row r="675" ht="21.0" customHeight="1">
      <c r="A675" s="79"/>
      <c r="B675" s="79"/>
      <c r="C675" s="104"/>
      <c r="D675" s="104"/>
      <c r="E675" s="104"/>
      <c r="F675" s="104"/>
      <c r="G675" s="104"/>
      <c r="H675" s="104"/>
      <c r="I675" s="104"/>
      <c r="J675" s="104"/>
      <c r="K675" s="104"/>
      <c r="L675" s="102"/>
      <c r="M675" s="102"/>
      <c r="N675" s="102"/>
      <c r="O675" s="102"/>
      <c r="P675" s="103"/>
      <c r="Q675" s="103"/>
      <c r="R675" s="103"/>
      <c r="S675" s="103"/>
      <c r="T675" s="79"/>
      <c r="U675" s="79"/>
      <c r="V675" s="79"/>
      <c r="W675" s="79"/>
      <c r="X675" s="79"/>
      <c r="Y675" s="79"/>
      <c r="Z675" s="79"/>
    </row>
    <row r="676" ht="21.0" customHeight="1">
      <c r="A676" s="79"/>
      <c r="B676" s="79"/>
      <c r="C676" s="104"/>
      <c r="D676" s="104"/>
      <c r="E676" s="104"/>
      <c r="F676" s="104"/>
      <c r="G676" s="104"/>
      <c r="H676" s="104"/>
      <c r="I676" s="104"/>
      <c r="J676" s="104"/>
      <c r="K676" s="104"/>
      <c r="L676" s="102"/>
      <c r="M676" s="102"/>
      <c r="N676" s="102"/>
      <c r="O676" s="102"/>
      <c r="P676" s="103"/>
      <c r="Q676" s="103"/>
      <c r="R676" s="103"/>
      <c r="S676" s="103"/>
      <c r="T676" s="79"/>
      <c r="U676" s="79"/>
      <c r="V676" s="79"/>
      <c r="W676" s="79"/>
      <c r="X676" s="79"/>
      <c r="Y676" s="79"/>
      <c r="Z676" s="79"/>
    </row>
    <row r="677" ht="21.0" customHeight="1">
      <c r="A677" s="79"/>
      <c r="B677" s="79"/>
      <c r="C677" s="104"/>
      <c r="D677" s="104"/>
      <c r="E677" s="104"/>
      <c r="F677" s="104"/>
      <c r="G677" s="104"/>
      <c r="H677" s="104"/>
      <c r="I677" s="104"/>
      <c r="J677" s="104"/>
      <c r="K677" s="104"/>
      <c r="L677" s="102"/>
      <c r="M677" s="102"/>
      <c r="N677" s="102"/>
      <c r="O677" s="102"/>
      <c r="P677" s="103"/>
      <c r="Q677" s="103"/>
      <c r="R677" s="103"/>
      <c r="S677" s="103"/>
      <c r="T677" s="79"/>
      <c r="U677" s="79"/>
      <c r="V677" s="79"/>
      <c r="W677" s="79"/>
      <c r="X677" s="79"/>
      <c r="Y677" s="79"/>
      <c r="Z677" s="79"/>
    </row>
    <row r="678" ht="21.0" customHeight="1">
      <c r="A678" s="79"/>
      <c r="B678" s="79"/>
      <c r="C678" s="104"/>
      <c r="D678" s="104"/>
      <c r="E678" s="104"/>
      <c r="F678" s="104"/>
      <c r="G678" s="104"/>
      <c r="H678" s="104"/>
      <c r="I678" s="104"/>
      <c r="J678" s="104"/>
      <c r="K678" s="104"/>
      <c r="L678" s="102"/>
      <c r="M678" s="102"/>
      <c r="N678" s="102"/>
      <c r="O678" s="102"/>
      <c r="P678" s="103"/>
      <c r="Q678" s="103"/>
      <c r="R678" s="103"/>
      <c r="S678" s="103"/>
      <c r="T678" s="79"/>
      <c r="U678" s="79"/>
      <c r="V678" s="79"/>
      <c r="W678" s="79"/>
      <c r="X678" s="79"/>
      <c r="Y678" s="79"/>
      <c r="Z678" s="79"/>
    </row>
    <row r="679" ht="21.0" customHeight="1">
      <c r="A679" s="79"/>
      <c r="B679" s="79"/>
      <c r="C679" s="104"/>
      <c r="D679" s="104"/>
      <c r="E679" s="104"/>
      <c r="F679" s="104"/>
      <c r="G679" s="104"/>
      <c r="H679" s="104"/>
      <c r="I679" s="104"/>
      <c r="J679" s="104"/>
      <c r="K679" s="104"/>
      <c r="L679" s="102"/>
      <c r="M679" s="102"/>
      <c r="N679" s="102"/>
      <c r="O679" s="102"/>
      <c r="P679" s="103"/>
      <c r="Q679" s="103"/>
      <c r="R679" s="103"/>
      <c r="S679" s="103"/>
      <c r="T679" s="79"/>
      <c r="U679" s="79"/>
      <c r="V679" s="79"/>
      <c r="W679" s="79"/>
      <c r="X679" s="79"/>
      <c r="Y679" s="79"/>
      <c r="Z679" s="79"/>
    </row>
    <row r="680" ht="21.0" customHeight="1">
      <c r="A680" s="79"/>
      <c r="B680" s="79"/>
      <c r="C680" s="104"/>
      <c r="D680" s="104"/>
      <c r="E680" s="104"/>
      <c r="F680" s="104"/>
      <c r="G680" s="104"/>
      <c r="H680" s="104"/>
      <c r="I680" s="104"/>
      <c r="J680" s="104"/>
      <c r="K680" s="104"/>
      <c r="L680" s="102"/>
      <c r="M680" s="102"/>
      <c r="N680" s="102"/>
      <c r="O680" s="102"/>
      <c r="P680" s="103"/>
      <c r="Q680" s="103"/>
      <c r="R680" s="103"/>
      <c r="S680" s="103"/>
      <c r="T680" s="79"/>
      <c r="U680" s="79"/>
      <c r="V680" s="79"/>
      <c r="W680" s="79"/>
      <c r="X680" s="79"/>
      <c r="Y680" s="79"/>
      <c r="Z680" s="79"/>
    </row>
    <row r="681" ht="21.0" customHeight="1">
      <c r="A681" s="79"/>
      <c r="B681" s="79"/>
      <c r="C681" s="104"/>
      <c r="D681" s="104"/>
      <c r="E681" s="104"/>
      <c r="F681" s="104"/>
      <c r="G681" s="104"/>
      <c r="H681" s="104"/>
      <c r="I681" s="104"/>
      <c r="J681" s="104"/>
      <c r="K681" s="104"/>
      <c r="L681" s="102"/>
      <c r="M681" s="102"/>
      <c r="N681" s="102"/>
      <c r="O681" s="102"/>
      <c r="P681" s="103"/>
      <c r="Q681" s="103"/>
      <c r="R681" s="103"/>
      <c r="S681" s="103"/>
      <c r="T681" s="79"/>
      <c r="U681" s="79"/>
      <c r="V681" s="79"/>
      <c r="W681" s="79"/>
      <c r="X681" s="79"/>
      <c r="Y681" s="79"/>
      <c r="Z681" s="79"/>
    </row>
    <row r="682" ht="21.0" customHeight="1">
      <c r="A682" s="79"/>
      <c r="B682" s="79"/>
      <c r="C682" s="104"/>
      <c r="D682" s="104"/>
      <c r="E682" s="104"/>
      <c r="F682" s="104"/>
      <c r="G682" s="104"/>
      <c r="H682" s="104"/>
      <c r="I682" s="104"/>
      <c r="J682" s="104"/>
      <c r="K682" s="104"/>
      <c r="L682" s="102"/>
      <c r="M682" s="102"/>
      <c r="N682" s="102"/>
      <c r="O682" s="102"/>
      <c r="P682" s="103"/>
      <c r="Q682" s="103"/>
      <c r="R682" s="103"/>
      <c r="S682" s="103"/>
      <c r="T682" s="79"/>
      <c r="U682" s="79"/>
      <c r="V682" s="79"/>
      <c r="W682" s="79"/>
      <c r="X682" s="79"/>
      <c r="Y682" s="79"/>
      <c r="Z682" s="79"/>
    </row>
    <row r="683" ht="21.0" customHeight="1">
      <c r="A683" s="79"/>
      <c r="B683" s="79"/>
      <c r="C683" s="104"/>
      <c r="D683" s="104"/>
      <c r="E683" s="104"/>
      <c r="F683" s="104"/>
      <c r="G683" s="104"/>
      <c r="H683" s="104"/>
      <c r="I683" s="104"/>
      <c r="J683" s="104"/>
      <c r="K683" s="104"/>
      <c r="L683" s="102"/>
      <c r="M683" s="102"/>
      <c r="N683" s="102"/>
      <c r="O683" s="102"/>
      <c r="P683" s="103"/>
      <c r="Q683" s="103"/>
      <c r="R683" s="103"/>
      <c r="S683" s="103"/>
      <c r="T683" s="79"/>
      <c r="U683" s="79"/>
      <c r="V683" s="79"/>
      <c r="W683" s="79"/>
      <c r="X683" s="79"/>
      <c r="Y683" s="79"/>
      <c r="Z683" s="79"/>
    </row>
    <row r="684" ht="21.0" customHeight="1">
      <c r="A684" s="79"/>
      <c r="B684" s="79"/>
      <c r="C684" s="104"/>
      <c r="D684" s="104"/>
      <c r="E684" s="104"/>
      <c r="F684" s="104"/>
      <c r="G684" s="104"/>
      <c r="H684" s="104"/>
      <c r="I684" s="104"/>
      <c r="J684" s="104"/>
      <c r="K684" s="104"/>
      <c r="L684" s="102"/>
      <c r="M684" s="102"/>
      <c r="N684" s="102"/>
      <c r="O684" s="102"/>
      <c r="P684" s="103"/>
      <c r="Q684" s="103"/>
      <c r="R684" s="103"/>
      <c r="S684" s="103"/>
      <c r="T684" s="79"/>
      <c r="U684" s="79"/>
      <c r="V684" s="79"/>
      <c r="W684" s="79"/>
      <c r="X684" s="79"/>
      <c r="Y684" s="79"/>
      <c r="Z684" s="79"/>
    </row>
    <row r="685" ht="21.0" customHeight="1">
      <c r="A685" s="79"/>
      <c r="B685" s="79"/>
      <c r="C685" s="104"/>
      <c r="D685" s="104"/>
      <c r="E685" s="104"/>
      <c r="F685" s="104"/>
      <c r="G685" s="104"/>
      <c r="H685" s="104"/>
      <c r="I685" s="104"/>
      <c r="J685" s="104"/>
      <c r="K685" s="104"/>
      <c r="L685" s="102"/>
      <c r="M685" s="102"/>
      <c r="N685" s="102"/>
      <c r="O685" s="102"/>
      <c r="P685" s="103"/>
      <c r="Q685" s="103"/>
      <c r="R685" s="103"/>
      <c r="S685" s="103"/>
      <c r="T685" s="79"/>
      <c r="U685" s="79"/>
      <c r="V685" s="79"/>
      <c r="W685" s="79"/>
      <c r="X685" s="79"/>
      <c r="Y685" s="79"/>
      <c r="Z685" s="79"/>
    </row>
    <row r="686" ht="21.0" customHeight="1">
      <c r="A686" s="79"/>
      <c r="B686" s="79"/>
      <c r="C686" s="104"/>
      <c r="D686" s="104"/>
      <c r="E686" s="104"/>
      <c r="F686" s="104"/>
      <c r="G686" s="104"/>
      <c r="H686" s="104"/>
      <c r="I686" s="104"/>
      <c r="J686" s="104"/>
      <c r="K686" s="104"/>
      <c r="L686" s="102"/>
      <c r="M686" s="102"/>
      <c r="N686" s="102"/>
      <c r="O686" s="102"/>
      <c r="P686" s="103"/>
      <c r="Q686" s="103"/>
      <c r="R686" s="103"/>
      <c r="S686" s="103"/>
      <c r="T686" s="79"/>
      <c r="U686" s="79"/>
      <c r="V686" s="79"/>
      <c r="W686" s="79"/>
      <c r="X686" s="79"/>
      <c r="Y686" s="79"/>
      <c r="Z686" s="79"/>
    </row>
    <row r="687" ht="21.0" customHeight="1">
      <c r="A687" s="79"/>
      <c r="B687" s="79"/>
      <c r="C687" s="104"/>
      <c r="D687" s="104"/>
      <c r="E687" s="104"/>
      <c r="F687" s="104"/>
      <c r="G687" s="104"/>
      <c r="H687" s="104"/>
      <c r="I687" s="104"/>
      <c r="J687" s="104"/>
      <c r="K687" s="104"/>
      <c r="L687" s="102"/>
      <c r="M687" s="102"/>
      <c r="N687" s="102"/>
      <c r="O687" s="102"/>
      <c r="P687" s="103"/>
      <c r="Q687" s="103"/>
      <c r="R687" s="103"/>
      <c r="S687" s="103"/>
      <c r="T687" s="79"/>
      <c r="U687" s="79"/>
      <c r="V687" s="79"/>
      <c r="W687" s="79"/>
      <c r="X687" s="79"/>
      <c r="Y687" s="79"/>
      <c r="Z687" s="79"/>
    </row>
    <row r="688" ht="21.0" customHeight="1">
      <c r="A688" s="79"/>
      <c r="B688" s="79"/>
      <c r="C688" s="104"/>
      <c r="D688" s="104"/>
      <c r="E688" s="104"/>
      <c r="F688" s="104"/>
      <c r="G688" s="104"/>
      <c r="H688" s="104"/>
      <c r="I688" s="104"/>
      <c r="J688" s="104"/>
      <c r="K688" s="104"/>
      <c r="L688" s="102"/>
      <c r="M688" s="102"/>
      <c r="N688" s="102"/>
      <c r="O688" s="102"/>
      <c r="P688" s="103"/>
      <c r="Q688" s="103"/>
      <c r="R688" s="103"/>
      <c r="S688" s="103"/>
      <c r="T688" s="79"/>
      <c r="U688" s="79"/>
      <c r="V688" s="79"/>
      <c r="W688" s="79"/>
      <c r="X688" s="79"/>
      <c r="Y688" s="79"/>
      <c r="Z688" s="79"/>
    </row>
    <row r="689" ht="21.0" customHeight="1">
      <c r="A689" s="79"/>
      <c r="B689" s="79"/>
      <c r="C689" s="104"/>
      <c r="D689" s="104"/>
      <c r="E689" s="104"/>
      <c r="F689" s="104"/>
      <c r="G689" s="104"/>
      <c r="H689" s="104"/>
      <c r="I689" s="104"/>
      <c r="J689" s="104"/>
      <c r="K689" s="104"/>
      <c r="L689" s="102"/>
      <c r="M689" s="102"/>
      <c r="N689" s="102"/>
      <c r="O689" s="102"/>
      <c r="P689" s="103"/>
      <c r="Q689" s="103"/>
      <c r="R689" s="103"/>
      <c r="S689" s="103"/>
      <c r="T689" s="79"/>
      <c r="U689" s="79"/>
      <c r="V689" s="79"/>
      <c r="W689" s="79"/>
      <c r="X689" s="79"/>
      <c r="Y689" s="79"/>
      <c r="Z689" s="79"/>
    </row>
    <row r="690" ht="21.0" customHeight="1">
      <c r="A690" s="79"/>
      <c r="B690" s="79"/>
      <c r="C690" s="104"/>
      <c r="D690" s="104"/>
      <c r="E690" s="104"/>
      <c r="F690" s="104"/>
      <c r="G690" s="104"/>
      <c r="H690" s="104"/>
      <c r="I690" s="104"/>
      <c r="J690" s="104"/>
      <c r="K690" s="104"/>
      <c r="L690" s="102"/>
      <c r="M690" s="102"/>
      <c r="N690" s="102"/>
      <c r="O690" s="102"/>
      <c r="P690" s="103"/>
      <c r="Q690" s="103"/>
      <c r="R690" s="103"/>
      <c r="S690" s="103"/>
      <c r="T690" s="79"/>
      <c r="U690" s="79"/>
      <c r="V690" s="79"/>
      <c r="W690" s="79"/>
      <c r="X690" s="79"/>
      <c r="Y690" s="79"/>
      <c r="Z690" s="79"/>
    </row>
    <row r="691" ht="21.0" customHeight="1">
      <c r="A691" s="79"/>
      <c r="B691" s="79"/>
      <c r="C691" s="104"/>
      <c r="D691" s="104"/>
      <c r="E691" s="104"/>
      <c r="F691" s="104"/>
      <c r="G691" s="104"/>
      <c r="H691" s="104"/>
      <c r="I691" s="104"/>
      <c r="J691" s="104"/>
      <c r="K691" s="104"/>
      <c r="L691" s="102"/>
      <c r="M691" s="102"/>
      <c r="N691" s="102"/>
      <c r="O691" s="102"/>
      <c r="P691" s="103"/>
      <c r="Q691" s="103"/>
      <c r="R691" s="103"/>
      <c r="S691" s="103"/>
      <c r="T691" s="79"/>
      <c r="U691" s="79"/>
      <c r="V691" s="79"/>
      <c r="W691" s="79"/>
      <c r="X691" s="79"/>
      <c r="Y691" s="79"/>
      <c r="Z691" s="79"/>
    </row>
    <row r="692" ht="21.0" customHeight="1">
      <c r="A692" s="79"/>
      <c r="B692" s="79"/>
      <c r="C692" s="104"/>
      <c r="D692" s="104"/>
      <c r="E692" s="104"/>
      <c r="F692" s="104"/>
      <c r="G692" s="104"/>
      <c r="H692" s="104"/>
      <c r="I692" s="104"/>
      <c r="J692" s="104"/>
      <c r="K692" s="104"/>
      <c r="L692" s="102"/>
      <c r="M692" s="102"/>
      <c r="N692" s="102"/>
      <c r="O692" s="102"/>
      <c r="P692" s="103"/>
      <c r="Q692" s="103"/>
      <c r="R692" s="103"/>
      <c r="S692" s="103"/>
      <c r="T692" s="79"/>
      <c r="U692" s="79"/>
      <c r="V692" s="79"/>
      <c r="W692" s="79"/>
      <c r="X692" s="79"/>
      <c r="Y692" s="79"/>
      <c r="Z692" s="79"/>
    </row>
    <row r="693" ht="21.0" customHeight="1">
      <c r="A693" s="79"/>
      <c r="B693" s="79"/>
      <c r="C693" s="104"/>
      <c r="D693" s="104"/>
      <c r="E693" s="104"/>
      <c r="F693" s="104"/>
      <c r="G693" s="104"/>
      <c r="H693" s="104"/>
      <c r="I693" s="104"/>
      <c r="J693" s="104"/>
      <c r="K693" s="104"/>
      <c r="L693" s="102"/>
      <c r="M693" s="102"/>
      <c r="N693" s="102"/>
      <c r="O693" s="102"/>
      <c r="P693" s="103"/>
      <c r="Q693" s="103"/>
      <c r="R693" s="103"/>
      <c r="S693" s="103"/>
      <c r="T693" s="79"/>
      <c r="U693" s="79"/>
      <c r="V693" s="79"/>
      <c r="W693" s="79"/>
      <c r="X693" s="79"/>
      <c r="Y693" s="79"/>
      <c r="Z693" s="79"/>
    </row>
    <row r="694" ht="21.0" customHeight="1">
      <c r="A694" s="79"/>
      <c r="B694" s="79"/>
      <c r="C694" s="104"/>
      <c r="D694" s="104"/>
      <c r="E694" s="104"/>
      <c r="F694" s="104"/>
      <c r="G694" s="104"/>
      <c r="H694" s="104"/>
      <c r="I694" s="104"/>
      <c r="J694" s="104"/>
      <c r="K694" s="104"/>
      <c r="L694" s="102"/>
      <c r="M694" s="102"/>
      <c r="N694" s="102"/>
      <c r="O694" s="102"/>
      <c r="P694" s="103"/>
      <c r="Q694" s="103"/>
      <c r="R694" s="103"/>
      <c r="S694" s="103"/>
      <c r="T694" s="79"/>
      <c r="U694" s="79"/>
      <c r="V694" s="79"/>
      <c r="W694" s="79"/>
      <c r="X694" s="79"/>
      <c r="Y694" s="79"/>
      <c r="Z694" s="79"/>
    </row>
    <row r="695" ht="21.0" customHeight="1">
      <c r="A695" s="79"/>
      <c r="B695" s="79"/>
      <c r="C695" s="104"/>
      <c r="D695" s="104"/>
      <c r="E695" s="104"/>
      <c r="F695" s="104"/>
      <c r="G695" s="104"/>
      <c r="H695" s="104"/>
      <c r="I695" s="104"/>
      <c r="J695" s="104"/>
      <c r="K695" s="104"/>
      <c r="L695" s="102"/>
      <c r="M695" s="102"/>
      <c r="N695" s="102"/>
      <c r="O695" s="102"/>
      <c r="P695" s="103"/>
      <c r="Q695" s="103"/>
      <c r="R695" s="103"/>
      <c r="S695" s="103"/>
      <c r="T695" s="79"/>
      <c r="U695" s="79"/>
      <c r="V695" s="79"/>
      <c r="W695" s="79"/>
      <c r="X695" s="79"/>
      <c r="Y695" s="79"/>
      <c r="Z695" s="79"/>
    </row>
    <row r="696" ht="21.0" customHeight="1">
      <c r="A696" s="79"/>
      <c r="B696" s="79"/>
      <c r="C696" s="104"/>
      <c r="D696" s="104"/>
      <c r="E696" s="104"/>
      <c r="F696" s="104"/>
      <c r="G696" s="104"/>
      <c r="H696" s="104"/>
      <c r="I696" s="104"/>
      <c r="J696" s="104"/>
      <c r="K696" s="104"/>
      <c r="L696" s="102"/>
      <c r="M696" s="102"/>
      <c r="N696" s="102"/>
      <c r="O696" s="102"/>
      <c r="P696" s="103"/>
      <c r="Q696" s="103"/>
      <c r="R696" s="103"/>
      <c r="S696" s="103"/>
      <c r="T696" s="79"/>
      <c r="U696" s="79"/>
      <c r="V696" s="79"/>
      <c r="W696" s="79"/>
      <c r="X696" s="79"/>
      <c r="Y696" s="79"/>
      <c r="Z696" s="79"/>
    </row>
    <row r="697" ht="21.0" customHeight="1">
      <c r="A697" s="79"/>
      <c r="B697" s="79"/>
      <c r="C697" s="104"/>
      <c r="D697" s="104"/>
      <c r="E697" s="104"/>
      <c r="F697" s="104"/>
      <c r="G697" s="104"/>
      <c r="H697" s="104"/>
      <c r="I697" s="104"/>
      <c r="J697" s="104"/>
      <c r="K697" s="104"/>
      <c r="L697" s="102"/>
      <c r="M697" s="102"/>
      <c r="N697" s="102"/>
      <c r="O697" s="102"/>
      <c r="P697" s="103"/>
      <c r="Q697" s="103"/>
      <c r="R697" s="103"/>
      <c r="S697" s="103"/>
      <c r="T697" s="79"/>
      <c r="U697" s="79"/>
      <c r="V697" s="79"/>
      <c r="W697" s="79"/>
      <c r="X697" s="79"/>
      <c r="Y697" s="79"/>
      <c r="Z697" s="79"/>
    </row>
    <row r="698" ht="21.0" customHeight="1">
      <c r="A698" s="79"/>
      <c r="B698" s="79"/>
      <c r="C698" s="104"/>
      <c r="D698" s="104"/>
      <c r="E698" s="104"/>
      <c r="F698" s="104"/>
      <c r="G698" s="104"/>
      <c r="H698" s="104"/>
      <c r="I698" s="104"/>
      <c r="J698" s="104"/>
      <c r="K698" s="104"/>
      <c r="L698" s="102"/>
      <c r="M698" s="102"/>
      <c r="N698" s="102"/>
      <c r="O698" s="102"/>
      <c r="P698" s="103"/>
      <c r="Q698" s="103"/>
      <c r="R698" s="103"/>
      <c r="S698" s="103"/>
      <c r="T698" s="79"/>
      <c r="U698" s="79"/>
      <c r="V698" s="79"/>
      <c r="W698" s="79"/>
      <c r="X698" s="79"/>
      <c r="Y698" s="79"/>
      <c r="Z698" s="79"/>
    </row>
    <row r="699" ht="21.0" customHeight="1">
      <c r="A699" s="79"/>
      <c r="B699" s="79"/>
      <c r="C699" s="104"/>
      <c r="D699" s="104"/>
      <c r="E699" s="104"/>
      <c r="F699" s="104"/>
      <c r="G699" s="104"/>
      <c r="H699" s="104"/>
      <c r="I699" s="104"/>
      <c r="J699" s="104"/>
      <c r="K699" s="104"/>
      <c r="L699" s="102"/>
      <c r="M699" s="102"/>
      <c r="N699" s="102"/>
      <c r="O699" s="102"/>
      <c r="P699" s="103"/>
      <c r="Q699" s="103"/>
      <c r="R699" s="103"/>
      <c r="S699" s="103"/>
      <c r="T699" s="79"/>
      <c r="U699" s="79"/>
      <c r="V699" s="79"/>
      <c r="W699" s="79"/>
      <c r="X699" s="79"/>
      <c r="Y699" s="79"/>
      <c r="Z699" s="79"/>
    </row>
    <row r="700" ht="21.0" customHeight="1">
      <c r="A700" s="79"/>
      <c r="B700" s="79"/>
      <c r="C700" s="104"/>
      <c r="D700" s="104"/>
      <c r="E700" s="104"/>
      <c r="F700" s="104"/>
      <c r="G700" s="104"/>
      <c r="H700" s="104"/>
      <c r="I700" s="104"/>
      <c r="J700" s="104"/>
      <c r="K700" s="104"/>
      <c r="L700" s="102"/>
      <c r="M700" s="102"/>
      <c r="N700" s="102"/>
      <c r="O700" s="102"/>
      <c r="P700" s="103"/>
      <c r="Q700" s="103"/>
      <c r="R700" s="103"/>
      <c r="S700" s="103"/>
      <c r="T700" s="79"/>
      <c r="U700" s="79"/>
      <c r="V700" s="79"/>
      <c r="W700" s="79"/>
      <c r="X700" s="79"/>
      <c r="Y700" s="79"/>
      <c r="Z700" s="79"/>
    </row>
    <row r="701" ht="21.0" customHeight="1">
      <c r="A701" s="79"/>
      <c r="B701" s="79"/>
      <c r="C701" s="104"/>
      <c r="D701" s="104"/>
      <c r="E701" s="104"/>
      <c r="F701" s="104"/>
      <c r="G701" s="104"/>
      <c r="H701" s="104"/>
      <c r="I701" s="104"/>
      <c r="J701" s="104"/>
      <c r="K701" s="104"/>
      <c r="L701" s="102"/>
      <c r="M701" s="102"/>
      <c r="N701" s="102"/>
      <c r="O701" s="102"/>
      <c r="P701" s="103"/>
      <c r="Q701" s="103"/>
      <c r="R701" s="103"/>
      <c r="S701" s="103"/>
      <c r="T701" s="79"/>
      <c r="U701" s="79"/>
      <c r="V701" s="79"/>
      <c r="W701" s="79"/>
      <c r="X701" s="79"/>
      <c r="Y701" s="79"/>
      <c r="Z701" s="79"/>
    </row>
    <row r="702" ht="21.0" customHeight="1">
      <c r="A702" s="79"/>
      <c r="B702" s="79"/>
      <c r="C702" s="104"/>
      <c r="D702" s="104"/>
      <c r="E702" s="104"/>
      <c r="F702" s="104"/>
      <c r="G702" s="104"/>
      <c r="H702" s="104"/>
      <c r="I702" s="104"/>
      <c r="J702" s="104"/>
      <c r="K702" s="104"/>
      <c r="L702" s="102"/>
      <c r="M702" s="102"/>
      <c r="N702" s="102"/>
      <c r="O702" s="102"/>
      <c r="P702" s="103"/>
      <c r="Q702" s="103"/>
      <c r="R702" s="103"/>
      <c r="S702" s="103"/>
      <c r="T702" s="79"/>
      <c r="U702" s="79"/>
      <c r="V702" s="79"/>
      <c r="W702" s="79"/>
      <c r="X702" s="79"/>
      <c r="Y702" s="79"/>
      <c r="Z702" s="79"/>
    </row>
    <row r="703" ht="21.0" customHeight="1">
      <c r="A703" s="79"/>
      <c r="B703" s="79"/>
      <c r="C703" s="104"/>
      <c r="D703" s="104"/>
      <c r="E703" s="104"/>
      <c r="F703" s="104"/>
      <c r="G703" s="104"/>
      <c r="H703" s="104"/>
      <c r="I703" s="104"/>
      <c r="J703" s="104"/>
      <c r="K703" s="104"/>
      <c r="L703" s="102"/>
      <c r="M703" s="102"/>
      <c r="N703" s="102"/>
      <c r="O703" s="102"/>
      <c r="P703" s="103"/>
      <c r="Q703" s="103"/>
      <c r="R703" s="103"/>
      <c r="S703" s="103"/>
      <c r="T703" s="79"/>
      <c r="U703" s="79"/>
      <c r="V703" s="79"/>
      <c r="W703" s="79"/>
      <c r="X703" s="79"/>
      <c r="Y703" s="79"/>
      <c r="Z703" s="79"/>
    </row>
    <row r="704" ht="21.0" customHeight="1">
      <c r="A704" s="79"/>
      <c r="B704" s="79"/>
      <c r="C704" s="104"/>
      <c r="D704" s="104"/>
      <c r="E704" s="104"/>
      <c r="F704" s="104"/>
      <c r="G704" s="104"/>
      <c r="H704" s="104"/>
      <c r="I704" s="104"/>
      <c r="J704" s="104"/>
      <c r="K704" s="104"/>
      <c r="L704" s="102"/>
      <c r="M704" s="102"/>
      <c r="N704" s="102"/>
      <c r="O704" s="102"/>
      <c r="P704" s="103"/>
      <c r="Q704" s="103"/>
      <c r="R704" s="103"/>
      <c r="S704" s="103"/>
      <c r="T704" s="79"/>
      <c r="U704" s="79"/>
      <c r="V704" s="79"/>
      <c r="W704" s="79"/>
      <c r="X704" s="79"/>
      <c r="Y704" s="79"/>
      <c r="Z704" s="79"/>
    </row>
    <row r="705" ht="21.0" customHeight="1">
      <c r="A705" s="79"/>
      <c r="B705" s="79"/>
      <c r="C705" s="104"/>
      <c r="D705" s="104"/>
      <c r="E705" s="104"/>
      <c r="F705" s="104"/>
      <c r="G705" s="104"/>
      <c r="H705" s="104"/>
      <c r="I705" s="104"/>
      <c r="J705" s="104"/>
      <c r="K705" s="104"/>
      <c r="L705" s="102"/>
      <c r="M705" s="102"/>
      <c r="N705" s="102"/>
      <c r="O705" s="102"/>
      <c r="P705" s="103"/>
      <c r="Q705" s="103"/>
      <c r="R705" s="103"/>
      <c r="S705" s="103"/>
      <c r="T705" s="79"/>
      <c r="U705" s="79"/>
      <c r="V705" s="79"/>
      <c r="W705" s="79"/>
      <c r="X705" s="79"/>
      <c r="Y705" s="79"/>
      <c r="Z705" s="79"/>
    </row>
    <row r="706" ht="21.0" customHeight="1">
      <c r="A706" s="79"/>
      <c r="B706" s="79"/>
      <c r="C706" s="104"/>
      <c r="D706" s="104"/>
      <c r="E706" s="104"/>
      <c r="F706" s="104"/>
      <c r="G706" s="104"/>
      <c r="H706" s="104"/>
      <c r="I706" s="104"/>
      <c r="J706" s="104"/>
      <c r="K706" s="104"/>
      <c r="L706" s="102"/>
      <c r="M706" s="102"/>
      <c r="N706" s="102"/>
      <c r="O706" s="102"/>
      <c r="P706" s="103"/>
      <c r="Q706" s="103"/>
      <c r="R706" s="103"/>
      <c r="S706" s="103"/>
      <c r="T706" s="79"/>
      <c r="U706" s="79"/>
      <c r="V706" s="79"/>
      <c r="W706" s="79"/>
      <c r="X706" s="79"/>
      <c r="Y706" s="79"/>
      <c r="Z706" s="79"/>
    </row>
    <row r="707" ht="21.0" customHeight="1">
      <c r="A707" s="79"/>
      <c r="B707" s="79"/>
      <c r="C707" s="104"/>
      <c r="D707" s="104"/>
      <c r="E707" s="104"/>
      <c r="F707" s="104"/>
      <c r="G707" s="104"/>
      <c r="H707" s="104"/>
      <c r="I707" s="104"/>
      <c r="J707" s="104"/>
      <c r="K707" s="104"/>
      <c r="L707" s="102"/>
      <c r="M707" s="102"/>
      <c r="N707" s="102"/>
      <c r="O707" s="102"/>
      <c r="P707" s="103"/>
      <c r="Q707" s="103"/>
      <c r="R707" s="103"/>
      <c r="S707" s="103"/>
      <c r="T707" s="79"/>
      <c r="U707" s="79"/>
      <c r="V707" s="79"/>
      <c r="W707" s="79"/>
      <c r="X707" s="79"/>
      <c r="Y707" s="79"/>
      <c r="Z707" s="79"/>
    </row>
    <row r="708" ht="21.0" customHeight="1">
      <c r="A708" s="79"/>
      <c r="B708" s="79"/>
      <c r="C708" s="104"/>
      <c r="D708" s="104"/>
      <c r="E708" s="104"/>
      <c r="F708" s="104"/>
      <c r="G708" s="104"/>
      <c r="H708" s="104"/>
      <c r="I708" s="104"/>
      <c r="J708" s="104"/>
      <c r="K708" s="104"/>
      <c r="L708" s="102"/>
      <c r="M708" s="102"/>
      <c r="N708" s="102"/>
      <c r="O708" s="102"/>
      <c r="P708" s="103"/>
      <c r="Q708" s="103"/>
      <c r="R708" s="103"/>
      <c r="S708" s="103"/>
      <c r="T708" s="79"/>
      <c r="U708" s="79"/>
      <c r="V708" s="79"/>
      <c r="W708" s="79"/>
      <c r="X708" s="79"/>
      <c r="Y708" s="79"/>
      <c r="Z708" s="79"/>
    </row>
    <row r="709" ht="21.0" customHeight="1">
      <c r="A709" s="79"/>
      <c r="B709" s="79"/>
      <c r="C709" s="104"/>
      <c r="D709" s="104"/>
      <c r="E709" s="104"/>
      <c r="F709" s="104"/>
      <c r="G709" s="104"/>
      <c r="H709" s="104"/>
      <c r="I709" s="104"/>
      <c r="J709" s="104"/>
      <c r="K709" s="104"/>
      <c r="L709" s="102"/>
      <c r="M709" s="102"/>
      <c r="N709" s="102"/>
      <c r="O709" s="102"/>
      <c r="P709" s="103"/>
      <c r="Q709" s="103"/>
      <c r="R709" s="103"/>
      <c r="S709" s="103"/>
      <c r="T709" s="79"/>
      <c r="U709" s="79"/>
      <c r="V709" s="79"/>
      <c r="W709" s="79"/>
      <c r="X709" s="79"/>
      <c r="Y709" s="79"/>
      <c r="Z709" s="79"/>
    </row>
    <row r="710" ht="21.0" customHeight="1">
      <c r="A710" s="79"/>
      <c r="B710" s="79"/>
      <c r="C710" s="104"/>
      <c r="D710" s="104"/>
      <c r="E710" s="104"/>
      <c r="F710" s="104"/>
      <c r="G710" s="104"/>
      <c r="H710" s="104"/>
      <c r="I710" s="104"/>
      <c r="J710" s="104"/>
      <c r="K710" s="104"/>
      <c r="L710" s="102"/>
      <c r="M710" s="102"/>
      <c r="N710" s="102"/>
      <c r="O710" s="102"/>
      <c r="P710" s="103"/>
      <c r="Q710" s="103"/>
      <c r="R710" s="103"/>
      <c r="S710" s="103"/>
      <c r="T710" s="79"/>
      <c r="U710" s="79"/>
      <c r="V710" s="79"/>
      <c r="W710" s="79"/>
      <c r="X710" s="79"/>
      <c r="Y710" s="79"/>
      <c r="Z710" s="79"/>
    </row>
    <row r="711" ht="21.0" customHeight="1">
      <c r="A711" s="79"/>
      <c r="B711" s="79"/>
      <c r="C711" s="104"/>
      <c r="D711" s="104"/>
      <c r="E711" s="104"/>
      <c r="F711" s="104"/>
      <c r="G711" s="104"/>
      <c r="H711" s="104"/>
      <c r="I711" s="104"/>
      <c r="J711" s="104"/>
      <c r="K711" s="104"/>
      <c r="L711" s="102"/>
      <c r="M711" s="102"/>
      <c r="N711" s="102"/>
      <c r="O711" s="102"/>
      <c r="P711" s="103"/>
      <c r="Q711" s="103"/>
      <c r="R711" s="103"/>
      <c r="S711" s="103"/>
      <c r="T711" s="79"/>
      <c r="U711" s="79"/>
      <c r="V711" s="79"/>
      <c r="W711" s="79"/>
      <c r="X711" s="79"/>
      <c r="Y711" s="79"/>
      <c r="Z711" s="79"/>
    </row>
    <row r="712" ht="21.0" customHeight="1">
      <c r="A712" s="79"/>
      <c r="B712" s="79"/>
      <c r="C712" s="104"/>
      <c r="D712" s="104"/>
      <c r="E712" s="104"/>
      <c r="F712" s="104"/>
      <c r="G712" s="104"/>
      <c r="H712" s="104"/>
      <c r="I712" s="104"/>
      <c r="J712" s="104"/>
      <c r="K712" s="104"/>
      <c r="L712" s="102"/>
      <c r="M712" s="102"/>
      <c r="N712" s="102"/>
      <c r="O712" s="102"/>
      <c r="P712" s="103"/>
      <c r="Q712" s="103"/>
      <c r="R712" s="103"/>
      <c r="S712" s="103"/>
      <c r="T712" s="79"/>
      <c r="U712" s="79"/>
      <c r="V712" s="79"/>
      <c r="W712" s="79"/>
      <c r="X712" s="79"/>
      <c r="Y712" s="79"/>
      <c r="Z712" s="79"/>
    </row>
    <row r="713" ht="21.0" customHeight="1">
      <c r="A713" s="79"/>
      <c r="B713" s="79"/>
      <c r="C713" s="104"/>
      <c r="D713" s="104"/>
      <c r="E713" s="104"/>
      <c r="F713" s="104"/>
      <c r="G713" s="104"/>
      <c r="H713" s="104"/>
      <c r="I713" s="104"/>
      <c r="J713" s="104"/>
      <c r="K713" s="104"/>
      <c r="L713" s="102"/>
      <c r="M713" s="102"/>
      <c r="N713" s="102"/>
      <c r="O713" s="102"/>
      <c r="P713" s="103"/>
      <c r="Q713" s="103"/>
      <c r="R713" s="103"/>
      <c r="S713" s="103"/>
      <c r="T713" s="79"/>
      <c r="U713" s="79"/>
      <c r="V713" s="79"/>
      <c r="W713" s="79"/>
      <c r="X713" s="79"/>
      <c r="Y713" s="79"/>
      <c r="Z713" s="79"/>
    </row>
    <row r="714" ht="21.0" customHeight="1">
      <c r="A714" s="79"/>
      <c r="B714" s="79"/>
      <c r="C714" s="104"/>
      <c r="D714" s="104"/>
      <c r="E714" s="104"/>
      <c r="F714" s="104"/>
      <c r="G714" s="104"/>
      <c r="H714" s="104"/>
      <c r="I714" s="104"/>
      <c r="J714" s="104"/>
      <c r="K714" s="104"/>
      <c r="L714" s="102"/>
      <c r="M714" s="102"/>
      <c r="N714" s="102"/>
      <c r="O714" s="102"/>
      <c r="P714" s="103"/>
      <c r="Q714" s="103"/>
      <c r="R714" s="103"/>
      <c r="S714" s="103"/>
      <c r="T714" s="79"/>
      <c r="U714" s="79"/>
      <c r="V714" s="79"/>
      <c r="W714" s="79"/>
      <c r="X714" s="79"/>
      <c r="Y714" s="79"/>
      <c r="Z714" s="79"/>
    </row>
    <row r="715" ht="21.0" customHeight="1">
      <c r="A715" s="79"/>
      <c r="B715" s="79"/>
      <c r="C715" s="104"/>
      <c r="D715" s="104"/>
      <c r="E715" s="104"/>
      <c r="F715" s="104"/>
      <c r="G715" s="104"/>
      <c r="H715" s="104"/>
      <c r="I715" s="104"/>
      <c r="J715" s="104"/>
      <c r="K715" s="104"/>
      <c r="L715" s="102"/>
      <c r="M715" s="102"/>
      <c r="N715" s="102"/>
      <c r="O715" s="102"/>
      <c r="P715" s="103"/>
      <c r="Q715" s="103"/>
      <c r="R715" s="103"/>
      <c r="S715" s="103"/>
      <c r="T715" s="79"/>
      <c r="U715" s="79"/>
      <c r="V715" s="79"/>
      <c r="W715" s="79"/>
      <c r="X715" s="79"/>
      <c r="Y715" s="79"/>
      <c r="Z715" s="79"/>
    </row>
    <row r="716" ht="21.0" customHeight="1">
      <c r="A716" s="79"/>
      <c r="B716" s="79"/>
      <c r="C716" s="104"/>
      <c r="D716" s="104"/>
      <c r="E716" s="104"/>
      <c r="F716" s="104"/>
      <c r="G716" s="104"/>
      <c r="H716" s="104"/>
      <c r="I716" s="104"/>
      <c r="J716" s="104"/>
      <c r="K716" s="104"/>
      <c r="L716" s="102"/>
      <c r="M716" s="102"/>
      <c r="N716" s="102"/>
      <c r="O716" s="102"/>
      <c r="P716" s="103"/>
      <c r="Q716" s="103"/>
      <c r="R716" s="103"/>
      <c r="S716" s="103"/>
      <c r="T716" s="79"/>
      <c r="U716" s="79"/>
      <c r="V716" s="79"/>
      <c r="W716" s="79"/>
      <c r="X716" s="79"/>
      <c r="Y716" s="79"/>
      <c r="Z716" s="79"/>
    </row>
    <row r="717" ht="21.0" customHeight="1">
      <c r="A717" s="79"/>
      <c r="B717" s="79"/>
      <c r="C717" s="104"/>
      <c r="D717" s="104"/>
      <c r="E717" s="104"/>
      <c r="F717" s="104"/>
      <c r="G717" s="104"/>
      <c r="H717" s="104"/>
      <c r="I717" s="104"/>
      <c r="J717" s="104"/>
      <c r="K717" s="104"/>
      <c r="L717" s="102"/>
      <c r="M717" s="102"/>
      <c r="N717" s="102"/>
      <c r="O717" s="102"/>
      <c r="P717" s="103"/>
      <c r="Q717" s="103"/>
      <c r="R717" s="103"/>
      <c r="S717" s="103"/>
      <c r="T717" s="79"/>
      <c r="U717" s="79"/>
      <c r="V717" s="79"/>
      <c r="W717" s="79"/>
      <c r="X717" s="79"/>
      <c r="Y717" s="79"/>
      <c r="Z717" s="79"/>
    </row>
    <row r="718" ht="21.0" customHeight="1">
      <c r="A718" s="79"/>
      <c r="B718" s="79"/>
      <c r="C718" s="104"/>
      <c r="D718" s="104"/>
      <c r="E718" s="104"/>
      <c r="F718" s="104"/>
      <c r="G718" s="104"/>
      <c r="H718" s="104"/>
      <c r="I718" s="104"/>
      <c r="J718" s="104"/>
      <c r="K718" s="104"/>
      <c r="L718" s="102"/>
      <c r="M718" s="102"/>
      <c r="N718" s="102"/>
      <c r="O718" s="102"/>
      <c r="P718" s="103"/>
      <c r="Q718" s="103"/>
      <c r="R718" s="103"/>
      <c r="S718" s="103"/>
      <c r="T718" s="79"/>
      <c r="U718" s="79"/>
      <c r="V718" s="79"/>
      <c r="W718" s="79"/>
      <c r="X718" s="79"/>
      <c r="Y718" s="79"/>
      <c r="Z718" s="79"/>
    </row>
    <row r="719" ht="21.0" customHeight="1">
      <c r="A719" s="79"/>
      <c r="B719" s="79"/>
      <c r="C719" s="104"/>
      <c r="D719" s="104"/>
      <c r="E719" s="104"/>
      <c r="F719" s="104"/>
      <c r="G719" s="104"/>
      <c r="H719" s="104"/>
      <c r="I719" s="104"/>
      <c r="J719" s="104"/>
      <c r="K719" s="104"/>
      <c r="L719" s="102"/>
      <c r="M719" s="102"/>
      <c r="N719" s="102"/>
      <c r="O719" s="102"/>
      <c r="P719" s="103"/>
      <c r="Q719" s="103"/>
      <c r="R719" s="103"/>
      <c r="S719" s="103"/>
      <c r="T719" s="79"/>
      <c r="U719" s="79"/>
      <c r="V719" s="79"/>
      <c r="W719" s="79"/>
      <c r="X719" s="79"/>
      <c r="Y719" s="79"/>
      <c r="Z719" s="79"/>
    </row>
    <row r="720" ht="21.0" customHeight="1">
      <c r="A720" s="79"/>
      <c r="B720" s="79"/>
      <c r="C720" s="104"/>
      <c r="D720" s="104"/>
      <c r="E720" s="104"/>
      <c r="F720" s="104"/>
      <c r="G720" s="104"/>
      <c r="H720" s="104"/>
      <c r="I720" s="104"/>
      <c r="J720" s="104"/>
      <c r="K720" s="104"/>
      <c r="L720" s="102"/>
      <c r="M720" s="102"/>
      <c r="N720" s="102"/>
      <c r="O720" s="102"/>
      <c r="P720" s="103"/>
      <c r="Q720" s="103"/>
      <c r="R720" s="103"/>
      <c r="S720" s="103"/>
      <c r="T720" s="79"/>
      <c r="U720" s="79"/>
      <c r="V720" s="79"/>
      <c r="W720" s="79"/>
      <c r="X720" s="79"/>
      <c r="Y720" s="79"/>
      <c r="Z720" s="79"/>
    </row>
    <row r="721" ht="21.0" customHeight="1">
      <c r="A721" s="79"/>
      <c r="B721" s="79"/>
      <c r="C721" s="104"/>
      <c r="D721" s="104"/>
      <c r="E721" s="104"/>
      <c r="F721" s="104"/>
      <c r="G721" s="104"/>
      <c r="H721" s="104"/>
      <c r="I721" s="104"/>
      <c r="J721" s="104"/>
      <c r="K721" s="104"/>
      <c r="L721" s="102"/>
      <c r="M721" s="102"/>
      <c r="N721" s="102"/>
      <c r="O721" s="102"/>
      <c r="P721" s="103"/>
      <c r="Q721" s="103"/>
      <c r="R721" s="103"/>
      <c r="S721" s="103"/>
      <c r="T721" s="79"/>
      <c r="U721" s="79"/>
      <c r="V721" s="79"/>
      <c r="W721" s="79"/>
      <c r="X721" s="79"/>
      <c r="Y721" s="79"/>
      <c r="Z721" s="79"/>
    </row>
    <row r="722" ht="21.0" customHeight="1">
      <c r="A722" s="79"/>
      <c r="B722" s="79"/>
      <c r="C722" s="104"/>
      <c r="D722" s="104"/>
      <c r="E722" s="104"/>
      <c r="F722" s="104"/>
      <c r="G722" s="104"/>
      <c r="H722" s="104"/>
      <c r="I722" s="104"/>
      <c r="J722" s="104"/>
      <c r="K722" s="104"/>
      <c r="L722" s="102"/>
      <c r="M722" s="102"/>
      <c r="N722" s="102"/>
      <c r="O722" s="102"/>
      <c r="P722" s="103"/>
      <c r="Q722" s="103"/>
      <c r="R722" s="103"/>
      <c r="S722" s="103"/>
      <c r="T722" s="79"/>
      <c r="U722" s="79"/>
      <c r="V722" s="79"/>
      <c r="W722" s="79"/>
      <c r="X722" s="79"/>
      <c r="Y722" s="79"/>
      <c r="Z722" s="79"/>
    </row>
    <row r="723" ht="21.0" customHeight="1">
      <c r="A723" s="79"/>
      <c r="B723" s="79"/>
      <c r="C723" s="104"/>
      <c r="D723" s="104"/>
      <c r="E723" s="104"/>
      <c r="F723" s="104"/>
      <c r="G723" s="104"/>
      <c r="H723" s="104"/>
      <c r="I723" s="104"/>
      <c r="J723" s="104"/>
      <c r="K723" s="104"/>
      <c r="L723" s="102"/>
      <c r="M723" s="102"/>
      <c r="N723" s="102"/>
      <c r="O723" s="102"/>
      <c r="P723" s="103"/>
      <c r="Q723" s="103"/>
      <c r="R723" s="103"/>
      <c r="S723" s="103"/>
      <c r="T723" s="79"/>
      <c r="U723" s="79"/>
      <c r="V723" s="79"/>
      <c r="W723" s="79"/>
      <c r="X723" s="79"/>
      <c r="Y723" s="79"/>
      <c r="Z723" s="79"/>
    </row>
    <row r="724" ht="21.0" customHeight="1">
      <c r="A724" s="79"/>
      <c r="B724" s="79"/>
      <c r="C724" s="104"/>
      <c r="D724" s="104"/>
      <c r="E724" s="104"/>
      <c r="F724" s="104"/>
      <c r="G724" s="104"/>
      <c r="H724" s="104"/>
      <c r="I724" s="104"/>
      <c r="J724" s="104"/>
      <c r="K724" s="104"/>
      <c r="L724" s="102"/>
      <c r="M724" s="102"/>
      <c r="N724" s="102"/>
      <c r="O724" s="102"/>
      <c r="P724" s="103"/>
      <c r="Q724" s="103"/>
      <c r="R724" s="103"/>
      <c r="S724" s="103"/>
      <c r="T724" s="79"/>
      <c r="U724" s="79"/>
      <c r="V724" s="79"/>
      <c r="W724" s="79"/>
      <c r="X724" s="79"/>
      <c r="Y724" s="79"/>
      <c r="Z724" s="79"/>
    </row>
    <row r="725" ht="21.0" customHeight="1">
      <c r="A725" s="79"/>
      <c r="B725" s="79"/>
      <c r="C725" s="104"/>
      <c r="D725" s="104"/>
      <c r="E725" s="104"/>
      <c r="F725" s="104"/>
      <c r="G725" s="104"/>
      <c r="H725" s="104"/>
      <c r="I725" s="104"/>
      <c r="J725" s="104"/>
      <c r="K725" s="104"/>
      <c r="L725" s="102"/>
      <c r="M725" s="102"/>
      <c r="N725" s="102"/>
      <c r="O725" s="102"/>
      <c r="P725" s="103"/>
      <c r="Q725" s="103"/>
      <c r="R725" s="103"/>
      <c r="S725" s="103"/>
      <c r="T725" s="79"/>
      <c r="U725" s="79"/>
      <c r="V725" s="79"/>
      <c r="W725" s="79"/>
      <c r="X725" s="79"/>
      <c r="Y725" s="79"/>
      <c r="Z725" s="79"/>
    </row>
    <row r="726" ht="21.0" customHeight="1">
      <c r="A726" s="79"/>
      <c r="B726" s="79"/>
      <c r="C726" s="104"/>
      <c r="D726" s="104"/>
      <c r="E726" s="104"/>
      <c r="F726" s="104"/>
      <c r="G726" s="104"/>
      <c r="H726" s="104"/>
      <c r="I726" s="104"/>
      <c r="J726" s="104"/>
      <c r="K726" s="104"/>
      <c r="L726" s="102"/>
      <c r="M726" s="102"/>
      <c r="N726" s="102"/>
      <c r="O726" s="102"/>
      <c r="P726" s="103"/>
      <c r="Q726" s="103"/>
      <c r="R726" s="103"/>
      <c r="S726" s="103"/>
      <c r="T726" s="79"/>
      <c r="U726" s="79"/>
      <c r="V726" s="79"/>
      <c r="W726" s="79"/>
      <c r="X726" s="79"/>
      <c r="Y726" s="79"/>
      <c r="Z726" s="79"/>
    </row>
    <row r="727" ht="21.0" customHeight="1">
      <c r="A727" s="79"/>
      <c r="B727" s="79"/>
      <c r="C727" s="104"/>
      <c r="D727" s="104"/>
      <c r="E727" s="104"/>
      <c r="F727" s="104"/>
      <c r="G727" s="104"/>
      <c r="H727" s="104"/>
      <c r="I727" s="104"/>
      <c r="J727" s="104"/>
      <c r="K727" s="104"/>
      <c r="L727" s="102"/>
      <c r="M727" s="102"/>
      <c r="N727" s="102"/>
      <c r="O727" s="102"/>
      <c r="P727" s="103"/>
      <c r="Q727" s="103"/>
      <c r="R727" s="103"/>
      <c r="S727" s="103"/>
      <c r="T727" s="79"/>
      <c r="U727" s="79"/>
      <c r="V727" s="79"/>
      <c r="W727" s="79"/>
      <c r="X727" s="79"/>
      <c r="Y727" s="79"/>
      <c r="Z727" s="79"/>
    </row>
    <row r="728" ht="21.0" customHeight="1">
      <c r="A728" s="79"/>
      <c r="B728" s="79"/>
      <c r="C728" s="104"/>
      <c r="D728" s="104"/>
      <c r="E728" s="104"/>
      <c r="F728" s="104"/>
      <c r="G728" s="104"/>
      <c r="H728" s="104"/>
      <c r="I728" s="104"/>
      <c r="J728" s="104"/>
      <c r="K728" s="104"/>
      <c r="L728" s="102"/>
      <c r="M728" s="102"/>
      <c r="N728" s="102"/>
      <c r="O728" s="102"/>
      <c r="P728" s="103"/>
      <c r="Q728" s="103"/>
      <c r="R728" s="103"/>
      <c r="S728" s="103"/>
      <c r="T728" s="79"/>
      <c r="U728" s="79"/>
      <c r="V728" s="79"/>
      <c r="W728" s="79"/>
      <c r="X728" s="79"/>
      <c r="Y728" s="79"/>
      <c r="Z728" s="79"/>
    </row>
    <row r="729" ht="21.0" customHeight="1">
      <c r="A729" s="79"/>
      <c r="B729" s="79"/>
      <c r="C729" s="104"/>
      <c r="D729" s="104"/>
      <c r="E729" s="104"/>
      <c r="F729" s="104"/>
      <c r="G729" s="104"/>
      <c r="H729" s="104"/>
      <c r="I729" s="104"/>
      <c r="J729" s="104"/>
      <c r="K729" s="104"/>
      <c r="L729" s="102"/>
      <c r="M729" s="102"/>
      <c r="N729" s="102"/>
      <c r="O729" s="102"/>
      <c r="P729" s="103"/>
      <c r="Q729" s="103"/>
      <c r="R729" s="103"/>
      <c r="S729" s="103"/>
      <c r="T729" s="79"/>
      <c r="U729" s="79"/>
      <c r="V729" s="79"/>
      <c r="W729" s="79"/>
      <c r="X729" s="79"/>
      <c r="Y729" s="79"/>
      <c r="Z729" s="79"/>
    </row>
    <row r="730" ht="21.0" customHeight="1">
      <c r="A730" s="79"/>
      <c r="B730" s="79"/>
      <c r="C730" s="104"/>
      <c r="D730" s="104"/>
      <c r="E730" s="104"/>
      <c r="F730" s="104"/>
      <c r="G730" s="104"/>
      <c r="H730" s="104"/>
      <c r="I730" s="104"/>
      <c r="J730" s="104"/>
      <c r="K730" s="104"/>
      <c r="L730" s="102"/>
      <c r="M730" s="102"/>
      <c r="N730" s="102"/>
      <c r="O730" s="102"/>
      <c r="P730" s="103"/>
      <c r="Q730" s="103"/>
      <c r="R730" s="103"/>
      <c r="S730" s="103"/>
      <c r="T730" s="79"/>
      <c r="U730" s="79"/>
      <c r="V730" s="79"/>
      <c r="W730" s="79"/>
      <c r="X730" s="79"/>
      <c r="Y730" s="79"/>
      <c r="Z730" s="79"/>
    </row>
    <row r="731" ht="21.0" customHeight="1">
      <c r="A731" s="79"/>
      <c r="B731" s="79"/>
      <c r="C731" s="104"/>
      <c r="D731" s="104"/>
      <c r="E731" s="104"/>
      <c r="F731" s="104"/>
      <c r="G731" s="104"/>
      <c r="H731" s="104"/>
      <c r="I731" s="104"/>
      <c r="J731" s="104"/>
      <c r="K731" s="104"/>
      <c r="L731" s="102"/>
      <c r="M731" s="102"/>
      <c r="N731" s="102"/>
      <c r="O731" s="102"/>
      <c r="P731" s="103"/>
      <c r="Q731" s="103"/>
      <c r="R731" s="103"/>
      <c r="S731" s="103"/>
      <c r="T731" s="79"/>
      <c r="U731" s="79"/>
      <c r="V731" s="79"/>
      <c r="W731" s="79"/>
      <c r="X731" s="79"/>
      <c r="Y731" s="79"/>
      <c r="Z731" s="79"/>
    </row>
    <row r="732" ht="21.0" customHeight="1">
      <c r="A732" s="79"/>
      <c r="B732" s="79"/>
      <c r="C732" s="104"/>
      <c r="D732" s="104"/>
      <c r="E732" s="104"/>
      <c r="F732" s="104"/>
      <c r="G732" s="104"/>
      <c r="H732" s="104"/>
      <c r="I732" s="104"/>
      <c r="J732" s="104"/>
      <c r="K732" s="104"/>
      <c r="L732" s="102"/>
      <c r="M732" s="102"/>
      <c r="N732" s="102"/>
      <c r="O732" s="102"/>
      <c r="P732" s="103"/>
      <c r="Q732" s="103"/>
      <c r="R732" s="103"/>
      <c r="S732" s="103"/>
      <c r="T732" s="79"/>
      <c r="U732" s="79"/>
      <c r="V732" s="79"/>
      <c r="W732" s="79"/>
      <c r="X732" s="79"/>
      <c r="Y732" s="79"/>
      <c r="Z732" s="79"/>
    </row>
    <row r="733" ht="21.0" customHeight="1">
      <c r="A733" s="79"/>
      <c r="B733" s="79"/>
      <c r="C733" s="104"/>
      <c r="D733" s="104"/>
      <c r="E733" s="104"/>
      <c r="F733" s="104"/>
      <c r="G733" s="104"/>
      <c r="H733" s="104"/>
      <c r="I733" s="104"/>
      <c r="J733" s="104"/>
      <c r="K733" s="104"/>
      <c r="L733" s="102"/>
      <c r="M733" s="102"/>
      <c r="N733" s="102"/>
      <c r="O733" s="102"/>
      <c r="P733" s="103"/>
      <c r="Q733" s="103"/>
      <c r="R733" s="103"/>
      <c r="S733" s="103"/>
      <c r="T733" s="79"/>
      <c r="U733" s="79"/>
      <c r="V733" s="79"/>
      <c r="W733" s="79"/>
      <c r="X733" s="79"/>
      <c r="Y733" s="79"/>
      <c r="Z733" s="79"/>
    </row>
    <row r="734" ht="21.0" customHeight="1">
      <c r="A734" s="79"/>
      <c r="B734" s="79"/>
      <c r="C734" s="104"/>
      <c r="D734" s="104"/>
      <c r="E734" s="104"/>
      <c r="F734" s="104"/>
      <c r="G734" s="104"/>
      <c r="H734" s="104"/>
      <c r="I734" s="104"/>
      <c r="J734" s="104"/>
      <c r="K734" s="104"/>
      <c r="L734" s="102"/>
      <c r="M734" s="102"/>
      <c r="N734" s="102"/>
      <c r="O734" s="102"/>
      <c r="P734" s="103"/>
      <c r="Q734" s="103"/>
      <c r="R734" s="103"/>
      <c r="S734" s="103"/>
      <c r="T734" s="79"/>
      <c r="U734" s="79"/>
      <c r="V734" s="79"/>
      <c r="W734" s="79"/>
      <c r="X734" s="79"/>
      <c r="Y734" s="79"/>
      <c r="Z734" s="79"/>
    </row>
    <row r="735" ht="21.0" customHeight="1">
      <c r="A735" s="79"/>
      <c r="B735" s="79"/>
      <c r="C735" s="104"/>
      <c r="D735" s="104"/>
      <c r="E735" s="104"/>
      <c r="F735" s="104"/>
      <c r="G735" s="104"/>
      <c r="H735" s="104"/>
      <c r="I735" s="104"/>
      <c r="J735" s="104"/>
      <c r="K735" s="104"/>
      <c r="L735" s="102"/>
      <c r="M735" s="102"/>
      <c r="N735" s="102"/>
      <c r="O735" s="102"/>
      <c r="P735" s="103"/>
      <c r="Q735" s="103"/>
      <c r="R735" s="103"/>
      <c r="S735" s="103"/>
      <c r="T735" s="79"/>
      <c r="U735" s="79"/>
      <c r="V735" s="79"/>
      <c r="W735" s="79"/>
      <c r="X735" s="79"/>
      <c r="Y735" s="79"/>
      <c r="Z735" s="79"/>
    </row>
    <row r="736" ht="21.0" customHeight="1">
      <c r="A736" s="79"/>
      <c r="B736" s="79"/>
      <c r="C736" s="104"/>
      <c r="D736" s="104"/>
      <c r="E736" s="104"/>
      <c r="F736" s="104"/>
      <c r="G736" s="104"/>
      <c r="H736" s="104"/>
      <c r="I736" s="104"/>
      <c r="J736" s="104"/>
      <c r="K736" s="104"/>
      <c r="L736" s="102"/>
      <c r="M736" s="102"/>
      <c r="N736" s="102"/>
      <c r="O736" s="102"/>
      <c r="P736" s="103"/>
      <c r="Q736" s="103"/>
      <c r="R736" s="103"/>
      <c r="S736" s="103"/>
      <c r="T736" s="79"/>
      <c r="U736" s="79"/>
      <c r="V736" s="79"/>
      <c r="W736" s="79"/>
      <c r="X736" s="79"/>
      <c r="Y736" s="79"/>
      <c r="Z736" s="79"/>
    </row>
    <row r="737" ht="21.0" customHeight="1">
      <c r="A737" s="79"/>
      <c r="B737" s="79"/>
      <c r="C737" s="104"/>
      <c r="D737" s="104"/>
      <c r="E737" s="104"/>
      <c r="F737" s="104"/>
      <c r="G737" s="104"/>
      <c r="H737" s="104"/>
      <c r="I737" s="104"/>
      <c r="J737" s="104"/>
      <c r="K737" s="104"/>
      <c r="L737" s="102"/>
      <c r="M737" s="102"/>
      <c r="N737" s="102"/>
      <c r="O737" s="102"/>
      <c r="P737" s="103"/>
      <c r="Q737" s="103"/>
      <c r="R737" s="103"/>
      <c r="S737" s="103"/>
      <c r="T737" s="79"/>
      <c r="U737" s="79"/>
      <c r="V737" s="79"/>
      <c r="W737" s="79"/>
      <c r="X737" s="79"/>
      <c r="Y737" s="79"/>
      <c r="Z737" s="79"/>
    </row>
    <row r="738" ht="21.0" customHeight="1">
      <c r="A738" s="79"/>
      <c r="B738" s="79"/>
      <c r="C738" s="104"/>
      <c r="D738" s="104"/>
      <c r="E738" s="104"/>
      <c r="F738" s="104"/>
      <c r="G738" s="104"/>
      <c r="H738" s="104"/>
      <c r="I738" s="104"/>
      <c r="J738" s="104"/>
      <c r="K738" s="104"/>
      <c r="L738" s="102"/>
      <c r="M738" s="102"/>
      <c r="N738" s="102"/>
      <c r="O738" s="102"/>
      <c r="P738" s="103"/>
      <c r="Q738" s="103"/>
      <c r="R738" s="103"/>
      <c r="S738" s="103"/>
      <c r="T738" s="79"/>
      <c r="U738" s="79"/>
      <c r="V738" s="79"/>
      <c r="W738" s="79"/>
      <c r="X738" s="79"/>
      <c r="Y738" s="79"/>
      <c r="Z738" s="79"/>
    </row>
    <row r="739" ht="21.0" customHeight="1">
      <c r="A739" s="79"/>
      <c r="B739" s="79"/>
      <c r="C739" s="104"/>
      <c r="D739" s="104"/>
      <c r="E739" s="104"/>
      <c r="F739" s="104"/>
      <c r="G739" s="104"/>
      <c r="H739" s="104"/>
      <c r="I739" s="104"/>
      <c r="J739" s="104"/>
      <c r="K739" s="104"/>
      <c r="L739" s="102"/>
      <c r="M739" s="102"/>
      <c r="N739" s="102"/>
      <c r="O739" s="102"/>
      <c r="P739" s="103"/>
      <c r="Q739" s="103"/>
      <c r="R739" s="103"/>
      <c r="S739" s="103"/>
      <c r="T739" s="79"/>
      <c r="U739" s="79"/>
      <c r="V739" s="79"/>
      <c r="W739" s="79"/>
      <c r="X739" s="79"/>
      <c r="Y739" s="79"/>
      <c r="Z739" s="79"/>
    </row>
    <row r="740" ht="21.0" customHeight="1">
      <c r="A740" s="79"/>
      <c r="B740" s="79"/>
      <c r="C740" s="104"/>
      <c r="D740" s="104"/>
      <c r="E740" s="104"/>
      <c r="F740" s="104"/>
      <c r="G740" s="104"/>
      <c r="H740" s="104"/>
      <c r="I740" s="104"/>
      <c r="J740" s="104"/>
      <c r="K740" s="104"/>
      <c r="L740" s="102"/>
      <c r="M740" s="102"/>
      <c r="N740" s="102"/>
      <c r="O740" s="102"/>
      <c r="P740" s="103"/>
      <c r="Q740" s="103"/>
      <c r="R740" s="103"/>
      <c r="S740" s="103"/>
      <c r="T740" s="79"/>
      <c r="U740" s="79"/>
      <c r="V740" s="79"/>
      <c r="W740" s="79"/>
      <c r="X740" s="79"/>
      <c r="Y740" s="79"/>
      <c r="Z740" s="79"/>
    </row>
    <row r="741" ht="21.0" customHeight="1">
      <c r="A741" s="79"/>
      <c r="B741" s="79"/>
      <c r="C741" s="104"/>
      <c r="D741" s="104"/>
      <c r="E741" s="104"/>
      <c r="F741" s="104"/>
      <c r="G741" s="104"/>
      <c r="H741" s="104"/>
      <c r="I741" s="104"/>
      <c r="J741" s="104"/>
      <c r="K741" s="104"/>
      <c r="L741" s="102"/>
      <c r="M741" s="102"/>
      <c r="N741" s="102"/>
      <c r="O741" s="102"/>
      <c r="P741" s="103"/>
      <c r="Q741" s="103"/>
      <c r="R741" s="103"/>
      <c r="S741" s="103"/>
      <c r="T741" s="79"/>
      <c r="U741" s="79"/>
      <c r="V741" s="79"/>
      <c r="W741" s="79"/>
      <c r="X741" s="79"/>
      <c r="Y741" s="79"/>
      <c r="Z741" s="79"/>
    </row>
    <row r="742" ht="21.0" customHeight="1">
      <c r="A742" s="79"/>
      <c r="B742" s="79"/>
      <c r="C742" s="104"/>
      <c r="D742" s="104"/>
      <c r="E742" s="104"/>
      <c r="F742" s="104"/>
      <c r="G742" s="104"/>
      <c r="H742" s="104"/>
      <c r="I742" s="104"/>
      <c r="J742" s="104"/>
      <c r="K742" s="104"/>
      <c r="L742" s="102"/>
      <c r="M742" s="102"/>
      <c r="N742" s="102"/>
      <c r="O742" s="102"/>
      <c r="P742" s="103"/>
      <c r="Q742" s="103"/>
      <c r="R742" s="103"/>
      <c r="S742" s="103"/>
      <c r="T742" s="79"/>
      <c r="U742" s="79"/>
      <c r="V742" s="79"/>
      <c r="W742" s="79"/>
      <c r="X742" s="79"/>
      <c r="Y742" s="79"/>
      <c r="Z742" s="79"/>
    </row>
    <row r="743" ht="21.0" customHeight="1">
      <c r="A743" s="79"/>
      <c r="B743" s="79"/>
      <c r="C743" s="104"/>
      <c r="D743" s="104"/>
      <c r="E743" s="104"/>
      <c r="F743" s="104"/>
      <c r="G743" s="104"/>
      <c r="H743" s="104"/>
      <c r="I743" s="104"/>
      <c r="J743" s="104"/>
      <c r="K743" s="104"/>
      <c r="L743" s="102"/>
      <c r="M743" s="102"/>
      <c r="N743" s="102"/>
      <c r="O743" s="102"/>
      <c r="P743" s="103"/>
      <c r="Q743" s="103"/>
      <c r="R743" s="103"/>
      <c r="S743" s="103"/>
      <c r="T743" s="79"/>
      <c r="U743" s="79"/>
      <c r="V743" s="79"/>
      <c r="W743" s="79"/>
      <c r="X743" s="79"/>
      <c r="Y743" s="79"/>
      <c r="Z743" s="79"/>
    </row>
    <row r="744" ht="21.0" customHeight="1">
      <c r="A744" s="79"/>
      <c r="B744" s="79"/>
      <c r="C744" s="104"/>
      <c r="D744" s="104"/>
      <c r="E744" s="104"/>
      <c r="F744" s="104"/>
      <c r="G744" s="104"/>
      <c r="H744" s="104"/>
      <c r="I744" s="104"/>
      <c r="J744" s="104"/>
      <c r="K744" s="104"/>
      <c r="L744" s="102"/>
      <c r="M744" s="102"/>
      <c r="N744" s="102"/>
      <c r="O744" s="102"/>
      <c r="P744" s="103"/>
      <c r="Q744" s="103"/>
      <c r="R744" s="103"/>
      <c r="S744" s="103"/>
      <c r="T744" s="79"/>
      <c r="U744" s="79"/>
      <c r="V744" s="79"/>
      <c r="W744" s="79"/>
      <c r="X744" s="79"/>
      <c r="Y744" s="79"/>
      <c r="Z744" s="79"/>
    </row>
    <row r="745" ht="21.0" customHeight="1">
      <c r="A745" s="79"/>
      <c r="B745" s="79"/>
      <c r="C745" s="104"/>
      <c r="D745" s="104"/>
      <c r="E745" s="104"/>
      <c r="F745" s="104"/>
      <c r="G745" s="104"/>
      <c r="H745" s="104"/>
      <c r="I745" s="104"/>
      <c r="J745" s="104"/>
      <c r="K745" s="104"/>
      <c r="L745" s="102"/>
      <c r="M745" s="102"/>
      <c r="N745" s="102"/>
      <c r="O745" s="102"/>
      <c r="P745" s="103"/>
      <c r="Q745" s="103"/>
      <c r="R745" s="103"/>
      <c r="S745" s="103"/>
      <c r="T745" s="79"/>
      <c r="U745" s="79"/>
      <c r="V745" s="79"/>
      <c r="W745" s="79"/>
      <c r="X745" s="79"/>
      <c r="Y745" s="79"/>
      <c r="Z745" s="79"/>
    </row>
    <row r="746" ht="21.0" customHeight="1">
      <c r="A746" s="79"/>
      <c r="B746" s="79"/>
      <c r="C746" s="104"/>
      <c r="D746" s="104"/>
      <c r="E746" s="104"/>
      <c r="F746" s="104"/>
      <c r="G746" s="104"/>
      <c r="H746" s="104"/>
      <c r="I746" s="104"/>
      <c r="J746" s="104"/>
      <c r="K746" s="104"/>
      <c r="L746" s="102"/>
      <c r="M746" s="102"/>
      <c r="N746" s="102"/>
      <c r="O746" s="102"/>
      <c r="P746" s="103"/>
      <c r="Q746" s="103"/>
      <c r="R746" s="103"/>
      <c r="S746" s="103"/>
      <c r="T746" s="79"/>
      <c r="U746" s="79"/>
      <c r="V746" s="79"/>
      <c r="W746" s="79"/>
      <c r="X746" s="79"/>
      <c r="Y746" s="79"/>
      <c r="Z746" s="79"/>
    </row>
    <row r="747" ht="21.0" customHeight="1">
      <c r="A747" s="79"/>
      <c r="B747" s="79"/>
      <c r="C747" s="104"/>
      <c r="D747" s="104"/>
      <c r="E747" s="104"/>
      <c r="F747" s="104"/>
      <c r="G747" s="104"/>
      <c r="H747" s="104"/>
      <c r="I747" s="104"/>
      <c r="J747" s="104"/>
      <c r="K747" s="104"/>
      <c r="L747" s="102"/>
      <c r="M747" s="102"/>
      <c r="N747" s="102"/>
      <c r="O747" s="102"/>
      <c r="P747" s="103"/>
      <c r="Q747" s="103"/>
      <c r="R747" s="103"/>
      <c r="S747" s="103"/>
      <c r="T747" s="79"/>
      <c r="U747" s="79"/>
      <c r="V747" s="79"/>
      <c r="W747" s="79"/>
      <c r="X747" s="79"/>
      <c r="Y747" s="79"/>
      <c r="Z747" s="79"/>
    </row>
    <row r="748" ht="21.0" customHeight="1">
      <c r="A748" s="79"/>
      <c r="B748" s="79"/>
      <c r="C748" s="104"/>
      <c r="D748" s="104"/>
      <c r="E748" s="104"/>
      <c r="F748" s="104"/>
      <c r="G748" s="104"/>
      <c r="H748" s="104"/>
      <c r="I748" s="104"/>
      <c r="J748" s="104"/>
      <c r="K748" s="104"/>
      <c r="L748" s="102"/>
      <c r="M748" s="102"/>
      <c r="N748" s="102"/>
      <c r="O748" s="102"/>
      <c r="P748" s="103"/>
      <c r="Q748" s="103"/>
      <c r="R748" s="103"/>
      <c r="S748" s="103"/>
      <c r="T748" s="79"/>
      <c r="U748" s="79"/>
      <c r="V748" s="79"/>
      <c r="W748" s="79"/>
      <c r="X748" s="79"/>
      <c r="Y748" s="79"/>
      <c r="Z748" s="79"/>
    </row>
    <row r="749" ht="21.0" customHeight="1">
      <c r="A749" s="79"/>
      <c r="B749" s="79"/>
      <c r="C749" s="104"/>
      <c r="D749" s="104"/>
      <c r="E749" s="104"/>
      <c r="F749" s="104"/>
      <c r="G749" s="104"/>
      <c r="H749" s="104"/>
      <c r="I749" s="104"/>
      <c r="J749" s="104"/>
      <c r="K749" s="104"/>
      <c r="L749" s="102"/>
      <c r="M749" s="102"/>
      <c r="N749" s="102"/>
      <c r="O749" s="102"/>
      <c r="P749" s="103"/>
      <c r="Q749" s="103"/>
      <c r="R749" s="103"/>
      <c r="S749" s="103"/>
      <c r="T749" s="79"/>
      <c r="U749" s="79"/>
      <c r="V749" s="79"/>
      <c r="W749" s="79"/>
      <c r="X749" s="79"/>
      <c r="Y749" s="79"/>
      <c r="Z749" s="79"/>
    </row>
    <row r="750" ht="21.0" customHeight="1">
      <c r="A750" s="79"/>
      <c r="B750" s="79"/>
      <c r="C750" s="104"/>
      <c r="D750" s="104"/>
      <c r="E750" s="104"/>
      <c r="F750" s="104"/>
      <c r="G750" s="104"/>
      <c r="H750" s="104"/>
      <c r="I750" s="104"/>
      <c r="J750" s="104"/>
      <c r="K750" s="104"/>
      <c r="L750" s="102"/>
      <c r="M750" s="102"/>
      <c r="N750" s="102"/>
      <c r="O750" s="102"/>
      <c r="P750" s="103"/>
      <c r="Q750" s="103"/>
      <c r="R750" s="103"/>
      <c r="S750" s="103"/>
      <c r="T750" s="79"/>
      <c r="U750" s="79"/>
      <c r="V750" s="79"/>
      <c r="W750" s="79"/>
      <c r="X750" s="79"/>
      <c r="Y750" s="79"/>
      <c r="Z750" s="79"/>
    </row>
    <row r="751" ht="21.0" customHeight="1">
      <c r="A751" s="79"/>
      <c r="B751" s="79"/>
      <c r="C751" s="104"/>
      <c r="D751" s="104"/>
      <c r="E751" s="104"/>
      <c r="F751" s="104"/>
      <c r="G751" s="104"/>
      <c r="H751" s="104"/>
      <c r="I751" s="104"/>
      <c r="J751" s="104"/>
      <c r="K751" s="104"/>
      <c r="L751" s="102"/>
      <c r="M751" s="102"/>
      <c r="N751" s="102"/>
      <c r="O751" s="102"/>
      <c r="P751" s="103"/>
      <c r="Q751" s="103"/>
      <c r="R751" s="103"/>
      <c r="S751" s="103"/>
      <c r="T751" s="79"/>
      <c r="U751" s="79"/>
      <c r="V751" s="79"/>
      <c r="W751" s="79"/>
      <c r="X751" s="79"/>
      <c r="Y751" s="79"/>
      <c r="Z751" s="79"/>
    </row>
    <row r="752" ht="21.0" customHeight="1">
      <c r="A752" s="79"/>
      <c r="B752" s="79"/>
      <c r="C752" s="104"/>
      <c r="D752" s="104"/>
      <c r="E752" s="104"/>
      <c r="F752" s="104"/>
      <c r="G752" s="104"/>
      <c r="H752" s="104"/>
      <c r="I752" s="104"/>
      <c r="J752" s="104"/>
      <c r="K752" s="104"/>
      <c r="L752" s="102"/>
      <c r="M752" s="102"/>
      <c r="N752" s="102"/>
      <c r="O752" s="102"/>
      <c r="P752" s="103"/>
      <c r="Q752" s="103"/>
      <c r="R752" s="103"/>
      <c r="S752" s="103"/>
      <c r="T752" s="79"/>
      <c r="U752" s="79"/>
      <c r="V752" s="79"/>
      <c r="W752" s="79"/>
      <c r="X752" s="79"/>
      <c r="Y752" s="79"/>
      <c r="Z752" s="79"/>
    </row>
    <row r="753" ht="21.0" customHeight="1">
      <c r="A753" s="79"/>
      <c r="B753" s="79"/>
      <c r="C753" s="104"/>
      <c r="D753" s="104"/>
      <c r="E753" s="104"/>
      <c r="F753" s="104"/>
      <c r="G753" s="104"/>
      <c r="H753" s="104"/>
      <c r="I753" s="104"/>
      <c r="J753" s="104"/>
      <c r="K753" s="104"/>
      <c r="L753" s="102"/>
      <c r="M753" s="102"/>
      <c r="N753" s="102"/>
      <c r="O753" s="102"/>
      <c r="P753" s="103"/>
      <c r="Q753" s="103"/>
      <c r="R753" s="103"/>
      <c r="S753" s="103"/>
      <c r="T753" s="79"/>
      <c r="U753" s="79"/>
      <c r="V753" s="79"/>
      <c r="W753" s="79"/>
      <c r="X753" s="79"/>
      <c r="Y753" s="79"/>
      <c r="Z753" s="79"/>
    </row>
    <row r="754" ht="21.0" customHeight="1">
      <c r="A754" s="79"/>
      <c r="B754" s="79"/>
      <c r="C754" s="104"/>
      <c r="D754" s="104"/>
      <c r="E754" s="104"/>
      <c r="F754" s="104"/>
      <c r="G754" s="104"/>
      <c r="H754" s="104"/>
      <c r="I754" s="104"/>
      <c r="J754" s="104"/>
      <c r="K754" s="104"/>
      <c r="L754" s="102"/>
      <c r="M754" s="102"/>
      <c r="N754" s="102"/>
      <c r="O754" s="102"/>
      <c r="P754" s="103"/>
      <c r="Q754" s="103"/>
      <c r="R754" s="103"/>
      <c r="S754" s="103"/>
      <c r="T754" s="79"/>
      <c r="U754" s="79"/>
      <c r="V754" s="79"/>
      <c r="W754" s="79"/>
      <c r="X754" s="79"/>
      <c r="Y754" s="79"/>
      <c r="Z754" s="79"/>
    </row>
    <row r="755" ht="21.0" customHeight="1">
      <c r="A755" s="79"/>
      <c r="B755" s="79"/>
      <c r="C755" s="104"/>
      <c r="D755" s="104"/>
      <c r="E755" s="104"/>
      <c r="F755" s="104"/>
      <c r="G755" s="104"/>
      <c r="H755" s="104"/>
      <c r="I755" s="104"/>
      <c r="J755" s="104"/>
      <c r="K755" s="104"/>
      <c r="L755" s="102"/>
      <c r="M755" s="102"/>
      <c r="N755" s="102"/>
      <c r="O755" s="102"/>
      <c r="P755" s="103"/>
      <c r="Q755" s="103"/>
      <c r="R755" s="103"/>
      <c r="S755" s="103"/>
      <c r="T755" s="79"/>
      <c r="U755" s="79"/>
      <c r="V755" s="79"/>
      <c r="W755" s="79"/>
      <c r="X755" s="79"/>
      <c r="Y755" s="79"/>
      <c r="Z755" s="79"/>
    </row>
    <row r="756" ht="21.0" customHeight="1">
      <c r="A756" s="79"/>
      <c r="B756" s="79"/>
      <c r="C756" s="104"/>
      <c r="D756" s="104"/>
      <c r="E756" s="104"/>
      <c r="F756" s="104"/>
      <c r="G756" s="104"/>
      <c r="H756" s="104"/>
      <c r="I756" s="104"/>
      <c r="J756" s="104"/>
      <c r="K756" s="104"/>
      <c r="L756" s="102"/>
      <c r="M756" s="102"/>
      <c r="N756" s="102"/>
      <c r="O756" s="102"/>
      <c r="P756" s="103"/>
      <c r="Q756" s="103"/>
      <c r="R756" s="103"/>
      <c r="S756" s="103"/>
      <c r="T756" s="79"/>
      <c r="U756" s="79"/>
      <c r="V756" s="79"/>
      <c r="W756" s="79"/>
      <c r="X756" s="79"/>
      <c r="Y756" s="79"/>
      <c r="Z756" s="79"/>
    </row>
    <row r="757" ht="21.0" customHeight="1">
      <c r="A757" s="79"/>
      <c r="B757" s="79"/>
      <c r="C757" s="104"/>
      <c r="D757" s="104"/>
      <c r="E757" s="104"/>
      <c r="F757" s="104"/>
      <c r="G757" s="104"/>
      <c r="H757" s="104"/>
      <c r="I757" s="104"/>
      <c r="J757" s="104"/>
      <c r="K757" s="104"/>
      <c r="L757" s="102"/>
      <c r="M757" s="102"/>
      <c r="N757" s="102"/>
      <c r="O757" s="102"/>
      <c r="P757" s="103"/>
      <c r="Q757" s="103"/>
      <c r="R757" s="103"/>
      <c r="S757" s="103"/>
      <c r="T757" s="79"/>
      <c r="U757" s="79"/>
      <c r="V757" s="79"/>
      <c r="W757" s="79"/>
      <c r="X757" s="79"/>
      <c r="Y757" s="79"/>
      <c r="Z757" s="79"/>
    </row>
    <row r="758" ht="21.0" customHeight="1">
      <c r="A758" s="79"/>
      <c r="B758" s="79"/>
      <c r="C758" s="104"/>
      <c r="D758" s="104"/>
      <c r="E758" s="104"/>
      <c r="F758" s="104"/>
      <c r="G758" s="104"/>
      <c r="H758" s="104"/>
      <c r="I758" s="104"/>
      <c r="J758" s="104"/>
      <c r="K758" s="104"/>
      <c r="L758" s="102"/>
      <c r="M758" s="102"/>
      <c r="N758" s="102"/>
      <c r="O758" s="102"/>
      <c r="P758" s="103"/>
      <c r="Q758" s="103"/>
      <c r="R758" s="103"/>
      <c r="S758" s="103"/>
      <c r="T758" s="79"/>
      <c r="U758" s="79"/>
      <c r="V758" s="79"/>
      <c r="W758" s="79"/>
      <c r="X758" s="79"/>
      <c r="Y758" s="79"/>
      <c r="Z758" s="79"/>
    </row>
    <row r="759" ht="21.0" customHeight="1">
      <c r="A759" s="79"/>
      <c r="B759" s="79"/>
      <c r="C759" s="104"/>
      <c r="D759" s="104"/>
      <c r="E759" s="104"/>
      <c r="F759" s="104"/>
      <c r="G759" s="104"/>
      <c r="H759" s="104"/>
      <c r="I759" s="104"/>
      <c r="J759" s="104"/>
      <c r="K759" s="104"/>
      <c r="L759" s="102"/>
      <c r="M759" s="102"/>
      <c r="N759" s="102"/>
      <c r="O759" s="102"/>
      <c r="P759" s="103"/>
      <c r="Q759" s="103"/>
      <c r="R759" s="103"/>
      <c r="S759" s="103"/>
      <c r="T759" s="79"/>
      <c r="U759" s="79"/>
      <c r="V759" s="79"/>
      <c r="W759" s="79"/>
      <c r="X759" s="79"/>
      <c r="Y759" s="79"/>
      <c r="Z759" s="79"/>
    </row>
    <row r="760" ht="21.0" customHeight="1">
      <c r="A760" s="79"/>
      <c r="B760" s="79"/>
      <c r="C760" s="104"/>
      <c r="D760" s="104"/>
      <c r="E760" s="104"/>
      <c r="F760" s="104"/>
      <c r="G760" s="104"/>
      <c r="H760" s="104"/>
      <c r="I760" s="104"/>
      <c r="J760" s="104"/>
      <c r="K760" s="104"/>
      <c r="L760" s="102"/>
      <c r="M760" s="102"/>
      <c r="N760" s="102"/>
      <c r="O760" s="102"/>
      <c r="P760" s="103"/>
      <c r="Q760" s="103"/>
      <c r="R760" s="103"/>
      <c r="S760" s="103"/>
      <c r="T760" s="79"/>
      <c r="U760" s="79"/>
      <c r="V760" s="79"/>
      <c r="W760" s="79"/>
      <c r="X760" s="79"/>
      <c r="Y760" s="79"/>
      <c r="Z760" s="79"/>
    </row>
    <row r="761" ht="21.0" customHeight="1">
      <c r="A761" s="79"/>
      <c r="B761" s="79"/>
      <c r="C761" s="104"/>
      <c r="D761" s="104"/>
      <c r="E761" s="104"/>
      <c r="F761" s="104"/>
      <c r="G761" s="104"/>
      <c r="H761" s="104"/>
      <c r="I761" s="104"/>
      <c r="J761" s="104"/>
      <c r="K761" s="104"/>
      <c r="L761" s="102"/>
      <c r="M761" s="102"/>
      <c r="N761" s="102"/>
      <c r="O761" s="102"/>
      <c r="P761" s="103"/>
      <c r="Q761" s="103"/>
      <c r="R761" s="103"/>
      <c r="S761" s="103"/>
      <c r="T761" s="79"/>
      <c r="U761" s="79"/>
      <c r="V761" s="79"/>
      <c r="W761" s="79"/>
      <c r="X761" s="79"/>
      <c r="Y761" s="79"/>
      <c r="Z761" s="79"/>
    </row>
    <row r="762" ht="21.0" customHeight="1">
      <c r="A762" s="79"/>
      <c r="B762" s="79"/>
      <c r="C762" s="104"/>
      <c r="D762" s="104"/>
      <c r="E762" s="104"/>
      <c r="F762" s="104"/>
      <c r="G762" s="104"/>
      <c r="H762" s="104"/>
      <c r="I762" s="104"/>
      <c r="J762" s="104"/>
      <c r="K762" s="104"/>
      <c r="L762" s="102"/>
      <c r="M762" s="102"/>
      <c r="N762" s="102"/>
      <c r="O762" s="102"/>
      <c r="P762" s="103"/>
      <c r="Q762" s="103"/>
      <c r="R762" s="103"/>
      <c r="S762" s="103"/>
      <c r="T762" s="79"/>
      <c r="U762" s="79"/>
      <c r="V762" s="79"/>
      <c r="W762" s="79"/>
      <c r="X762" s="79"/>
      <c r="Y762" s="79"/>
      <c r="Z762" s="79"/>
    </row>
    <row r="763" ht="21.0" customHeight="1">
      <c r="A763" s="79"/>
      <c r="B763" s="79"/>
      <c r="C763" s="104"/>
      <c r="D763" s="104"/>
      <c r="E763" s="104"/>
      <c r="F763" s="104"/>
      <c r="G763" s="104"/>
      <c r="H763" s="104"/>
      <c r="I763" s="104"/>
      <c r="J763" s="104"/>
      <c r="K763" s="104"/>
      <c r="L763" s="102"/>
      <c r="M763" s="102"/>
      <c r="N763" s="102"/>
      <c r="O763" s="102"/>
      <c r="P763" s="103"/>
      <c r="Q763" s="103"/>
      <c r="R763" s="103"/>
      <c r="S763" s="103"/>
      <c r="T763" s="79"/>
      <c r="U763" s="79"/>
      <c r="V763" s="79"/>
      <c r="W763" s="79"/>
      <c r="X763" s="79"/>
      <c r="Y763" s="79"/>
      <c r="Z763" s="79"/>
    </row>
    <row r="764" ht="21.0" customHeight="1">
      <c r="A764" s="79"/>
      <c r="B764" s="79"/>
      <c r="C764" s="104"/>
      <c r="D764" s="104"/>
      <c r="E764" s="104"/>
      <c r="F764" s="104"/>
      <c r="G764" s="104"/>
      <c r="H764" s="104"/>
      <c r="I764" s="104"/>
      <c r="J764" s="104"/>
      <c r="K764" s="104"/>
      <c r="L764" s="102"/>
      <c r="M764" s="102"/>
      <c r="N764" s="102"/>
      <c r="O764" s="102"/>
      <c r="P764" s="103"/>
      <c r="Q764" s="103"/>
      <c r="R764" s="103"/>
      <c r="S764" s="103"/>
      <c r="T764" s="79"/>
      <c r="U764" s="79"/>
      <c r="V764" s="79"/>
      <c r="W764" s="79"/>
      <c r="X764" s="79"/>
      <c r="Y764" s="79"/>
      <c r="Z764" s="79"/>
    </row>
    <row r="765" ht="21.0" customHeight="1">
      <c r="A765" s="79"/>
      <c r="B765" s="79"/>
      <c r="C765" s="104"/>
      <c r="D765" s="104"/>
      <c r="E765" s="104"/>
      <c r="F765" s="104"/>
      <c r="G765" s="104"/>
      <c r="H765" s="104"/>
      <c r="I765" s="104"/>
      <c r="J765" s="104"/>
      <c r="K765" s="104"/>
      <c r="L765" s="102"/>
      <c r="M765" s="102"/>
      <c r="N765" s="102"/>
      <c r="O765" s="102"/>
      <c r="P765" s="103"/>
      <c r="Q765" s="103"/>
      <c r="R765" s="103"/>
      <c r="S765" s="103"/>
      <c r="T765" s="79"/>
      <c r="U765" s="79"/>
      <c r="V765" s="79"/>
      <c r="W765" s="79"/>
      <c r="X765" s="79"/>
      <c r="Y765" s="79"/>
      <c r="Z765" s="79"/>
    </row>
    <row r="766" ht="21.0" customHeight="1">
      <c r="A766" s="79"/>
      <c r="B766" s="79"/>
      <c r="C766" s="104"/>
      <c r="D766" s="104"/>
      <c r="E766" s="104"/>
      <c r="F766" s="104"/>
      <c r="G766" s="104"/>
      <c r="H766" s="104"/>
      <c r="I766" s="104"/>
      <c r="J766" s="104"/>
      <c r="K766" s="104"/>
      <c r="L766" s="102"/>
      <c r="M766" s="102"/>
      <c r="N766" s="102"/>
      <c r="O766" s="102"/>
      <c r="P766" s="103"/>
      <c r="Q766" s="103"/>
      <c r="R766" s="103"/>
      <c r="S766" s="103"/>
      <c r="T766" s="79"/>
      <c r="U766" s="79"/>
      <c r="V766" s="79"/>
      <c r="W766" s="79"/>
      <c r="X766" s="79"/>
      <c r="Y766" s="79"/>
      <c r="Z766" s="79"/>
    </row>
    <row r="767" ht="21.0" customHeight="1">
      <c r="A767" s="79"/>
      <c r="B767" s="79"/>
      <c r="C767" s="104"/>
      <c r="D767" s="104"/>
      <c r="E767" s="104"/>
      <c r="F767" s="104"/>
      <c r="G767" s="104"/>
      <c r="H767" s="104"/>
      <c r="I767" s="104"/>
      <c r="J767" s="104"/>
      <c r="K767" s="104"/>
      <c r="L767" s="102"/>
      <c r="M767" s="102"/>
      <c r="N767" s="102"/>
      <c r="O767" s="102"/>
      <c r="P767" s="103"/>
      <c r="Q767" s="103"/>
      <c r="R767" s="103"/>
      <c r="S767" s="103"/>
      <c r="T767" s="79"/>
      <c r="U767" s="79"/>
      <c r="V767" s="79"/>
      <c r="W767" s="79"/>
      <c r="X767" s="79"/>
      <c r="Y767" s="79"/>
      <c r="Z767" s="79"/>
    </row>
    <row r="768" ht="21.0" customHeight="1">
      <c r="A768" s="79"/>
      <c r="B768" s="79"/>
      <c r="C768" s="104"/>
      <c r="D768" s="104"/>
      <c r="E768" s="104"/>
      <c r="F768" s="104"/>
      <c r="G768" s="104"/>
      <c r="H768" s="104"/>
      <c r="I768" s="104"/>
      <c r="J768" s="104"/>
      <c r="K768" s="104"/>
      <c r="L768" s="102"/>
      <c r="M768" s="102"/>
      <c r="N768" s="102"/>
      <c r="O768" s="102"/>
      <c r="P768" s="103"/>
      <c r="Q768" s="103"/>
      <c r="R768" s="103"/>
      <c r="S768" s="103"/>
      <c r="T768" s="79"/>
      <c r="U768" s="79"/>
      <c r="V768" s="79"/>
      <c r="W768" s="79"/>
      <c r="X768" s="79"/>
      <c r="Y768" s="79"/>
      <c r="Z768" s="79"/>
    </row>
    <row r="769" ht="21.0" customHeight="1">
      <c r="A769" s="79"/>
      <c r="B769" s="79"/>
      <c r="C769" s="104"/>
      <c r="D769" s="104"/>
      <c r="E769" s="104"/>
      <c r="F769" s="104"/>
      <c r="G769" s="104"/>
      <c r="H769" s="104"/>
      <c r="I769" s="104"/>
      <c r="J769" s="104"/>
      <c r="K769" s="104"/>
      <c r="L769" s="102"/>
      <c r="M769" s="102"/>
      <c r="N769" s="102"/>
      <c r="O769" s="102"/>
      <c r="P769" s="103"/>
      <c r="Q769" s="103"/>
      <c r="R769" s="103"/>
      <c r="S769" s="103"/>
      <c r="T769" s="79"/>
      <c r="U769" s="79"/>
      <c r="V769" s="79"/>
      <c r="W769" s="79"/>
      <c r="X769" s="79"/>
      <c r="Y769" s="79"/>
      <c r="Z769" s="79"/>
    </row>
    <row r="770" ht="21.0" customHeight="1">
      <c r="A770" s="79"/>
      <c r="B770" s="79"/>
      <c r="C770" s="104"/>
      <c r="D770" s="104"/>
      <c r="E770" s="104"/>
      <c r="F770" s="104"/>
      <c r="G770" s="104"/>
      <c r="H770" s="104"/>
      <c r="I770" s="104"/>
      <c r="J770" s="104"/>
      <c r="K770" s="104"/>
      <c r="L770" s="102"/>
      <c r="M770" s="102"/>
      <c r="N770" s="102"/>
      <c r="O770" s="102"/>
      <c r="P770" s="103"/>
      <c r="Q770" s="103"/>
      <c r="R770" s="103"/>
      <c r="S770" s="103"/>
      <c r="T770" s="79"/>
      <c r="U770" s="79"/>
      <c r="V770" s="79"/>
      <c r="W770" s="79"/>
      <c r="X770" s="79"/>
      <c r="Y770" s="79"/>
      <c r="Z770" s="79"/>
    </row>
    <row r="771" ht="21.0" customHeight="1">
      <c r="A771" s="79"/>
      <c r="B771" s="79"/>
      <c r="C771" s="104"/>
      <c r="D771" s="104"/>
      <c r="E771" s="104"/>
      <c r="F771" s="104"/>
      <c r="G771" s="104"/>
      <c r="H771" s="104"/>
      <c r="I771" s="104"/>
      <c r="J771" s="104"/>
      <c r="K771" s="104"/>
      <c r="L771" s="102"/>
      <c r="M771" s="102"/>
      <c r="N771" s="102"/>
      <c r="O771" s="102"/>
      <c r="P771" s="103"/>
      <c r="Q771" s="103"/>
      <c r="R771" s="103"/>
      <c r="S771" s="103"/>
      <c r="T771" s="79"/>
      <c r="U771" s="79"/>
      <c r="V771" s="79"/>
      <c r="W771" s="79"/>
      <c r="X771" s="79"/>
      <c r="Y771" s="79"/>
      <c r="Z771" s="79"/>
    </row>
    <row r="772" ht="21.0" customHeight="1">
      <c r="A772" s="79"/>
      <c r="B772" s="79"/>
      <c r="C772" s="104"/>
      <c r="D772" s="104"/>
      <c r="E772" s="104"/>
      <c r="F772" s="104"/>
      <c r="G772" s="104"/>
      <c r="H772" s="104"/>
      <c r="I772" s="104"/>
      <c r="J772" s="104"/>
      <c r="K772" s="104"/>
      <c r="L772" s="102"/>
      <c r="M772" s="102"/>
      <c r="N772" s="102"/>
      <c r="O772" s="102"/>
      <c r="P772" s="103"/>
      <c r="Q772" s="103"/>
      <c r="R772" s="103"/>
      <c r="S772" s="103"/>
      <c r="T772" s="79"/>
      <c r="U772" s="79"/>
      <c r="V772" s="79"/>
      <c r="W772" s="79"/>
      <c r="X772" s="79"/>
      <c r="Y772" s="79"/>
      <c r="Z772" s="79"/>
    </row>
    <row r="773" ht="21.0" customHeight="1">
      <c r="A773" s="79"/>
      <c r="B773" s="79"/>
      <c r="C773" s="104"/>
      <c r="D773" s="104"/>
      <c r="E773" s="104"/>
      <c r="F773" s="104"/>
      <c r="G773" s="104"/>
      <c r="H773" s="104"/>
      <c r="I773" s="104"/>
      <c r="J773" s="104"/>
      <c r="K773" s="104"/>
      <c r="L773" s="102"/>
      <c r="M773" s="102"/>
      <c r="N773" s="102"/>
      <c r="O773" s="102"/>
      <c r="P773" s="103"/>
      <c r="Q773" s="103"/>
      <c r="R773" s="103"/>
      <c r="S773" s="103"/>
      <c r="T773" s="79"/>
      <c r="U773" s="79"/>
      <c r="V773" s="79"/>
      <c r="W773" s="79"/>
      <c r="X773" s="79"/>
      <c r="Y773" s="79"/>
      <c r="Z773" s="79"/>
    </row>
    <row r="774" ht="21.0" customHeight="1">
      <c r="A774" s="79"/>
      <c r="B774" s="79"/>
      <c r="C774" s="104"/>
      <c r="D774" s="104"/>
      <c r="E774" s="104"/>
      <c r="F774" s="104"/>
      <c r="G774" s="104"/>
      <c r="H774" s="104"/>
      <c r="I774" s="104"/>
      <c r="J774" s="104"/>
      <c r="K774" s="104"/>
      <c r="L774" s="102"/>
      <c r="M774" s="102"/>
      <c r="N774" s="102"/>
      <c r="O774" s="102"/>
      <c r="P774" s="103"/>
      <c r="Q774" s="103"/>
      <c r="R774" s="103"/>
      <c r="S774" s="103"/>
      <c r="T774" s="79"/>
      <c r="U774" s="79"/>
      <c r="V774" s="79"/>
      <c r="W774" s="79"/>
      <c r="X774" s="79"/>
      <c r="Y774" s="79"/>
      <c r="Z774" s="79"/>
    </row>
    <row r="775" ht="21.0" customHeight="1">
      <c r="A775" s="79"/>
      <c r="B775" s="79"/>
      <c r="C775" s="104"/>
      <c r="D775" s="104"/>
      <c r="E775" s="104"/>
      <c r="F775" s="104"/>
      <c r="G775" s="104"/>
      <c r="H775" s="104"/>
      <c r="I775" s="104"/>
      <c r="J775" s="104"/>
      <c r="K775" s="104"/>
      <c r="L775" s="102"/>
      <c r="M775" s="102"/>
      <c r="N775" s="102"/>
      <c r="O775" s="102"/>
      <c r="P775" s="103"/>
      <c r="Q775" s="103"/>
      <c r="R775" s="103"/>
      <c r="S775" s="103"/>
      <c r="T775" s="79"/>
      <c r="U775" s="79"/>
      <c r="V775" s="79"/>
      <c r="W775" s="79"/>
      <c r="X775" s="79"/>
      <c r="Y775" s="79"/>
      <c r="Z775" s="79"/>
    </row>
    <row r="776" ht="21.0" customHeight="1">
      <c r="A776" s="79"/>
      <c r="B776" s="79"/>
      <c r="C776" s="104"/>
      <c r="D776" s="104"/>
      <c r="E776" s="104"/>
      <c r="F776" s="104"/>
      <c r="G776" s="104"/>
      <c r="H776" s="104"/>
      <c r="I776" s="104"/>
      <c r="J776" s="104"/>
      <c r="K776" s="104"/>
      <c r="L776" s="102"/>
      <c r="M776" s="102"/>
      <c r="N776" s="102"/>
      <c r="O776" s="102"/>
      <c r="P776" s="103"/>
      <c r="Q776" s="103"/>
      <c r="R776" s="103"/>
      <c r="S776" s="103"/>
      <c r="T776" s="79"/>
      <c r="U776" s="79"/>
      <c r="V776" s="79"/>
      <c r="W776" s="79"/>
      <c r="X776" s="79"/>
      <c r="Y776" s="79"/>
      <c r="Z776" s="79"/>
    </row>
    <row r="777" ht="21.0" customHeight="1">
      <c r="A777" s="79"/>
      <c r="B777" s="79"/>
      <c r="C777" s="104"/>
      <c r="D777" s="104"/>
      <c r="E777" s="104"/>
      <c r="F777" s="104"/>
      <c r="G777" s="104"/>
      <c r="H777" s="104"/>
      <c r="I777" s="104"/>
      <c r="J777" s="104"/>
      <c r="K777" s="104"/>
      <c r="L777" s="102"/>
      <c r="M777" s="102"/>
      <c r="N777" s="102"/>
      <c r="O777" s="102"/>
      <c r="P777" s="103"/>
      <c r="Q777" s="103"/>
      <c r="R777" s="103"/>
      <c r="S777" s="103"/>
      <c r="T777" s="79"/>
      <c r="U777" s="79"/>
      <c r="V777" s="79"/>
      <c r="W777" s="79"/>
      <c r="X777" s="79"/>
      <c r="Y777" s="79"/>
      <c r="Z777" s="79"/>
    </row>
    <row r="778" ht="21.0" customHeight="1">
      <c r="A778" s="79"/>
      <c r="B778" s="79"/>
      <c r="C778" s="104"/>
      <c r="D778" s="104"/>
      <c r="E778" s="104"/>
      <c r="F778" s="104"/>
      <c r="G778" s="104"/>
      <c r="H778" s="104"/>
      <c r="I778" s="104"/>
      <c r="J778" s="104"/>
      <c r="K778" s="104"/>
      <c r="L778" s="102"/>
      <c r="M778" s="102"/>
      <c r="N778" s="102"/>
      <c r="O778" s="102"/>
      <c r="P778" s="103"/>
      <c r="Q778" s="103"/>
      <c r="R778" s="103"/>
      <c r="S778" s="103"/>
      <c r="T778" s="79"/>
      <c r="U778" s="79"/>
      <c r="V778" s="79"/>
      <c r="W778" s="79"/>
      <c r="X778" s="79"/>
      <c r="Y778" s="79"/>
      <c r="Z778" s="79"/>
    </row>
    <row r="779" ht="21.0" customHeight="1">
      <c r="A779" s="79"/>
      <c r="B779" s="79"/>
      <c r="C779" s="104"/>
      <c r="D779" s="104"/>
      <c r="E779" s="104"/>
      <c r="F779" s="104"/>
      <c r="G779" s="104"/>
      <c r="H779" s="104"/>
      <c r="I779" s="104"/>
      <c r="J779" s="104"/>
      <c r="K779" s="104"/>
      <c r="L779" s="102"/>
      <c r="M779" s="102"/>
      <c r="N779" s="102"/>
      <c r="O779" s="102"/>
      <c r="P779" s="103"/>
      <c r="Q779" s="103"/>
      <c r="R779" s="103"/>
      <c r="S779" s="103"/>
      <c r="T779" s="79"/>
      <c r="U779" s="79"/>
      <c r="V779" s="79"/>
      <c r="W779" s="79"/>
      <c r="X779" s="79"/>
      <c r="Y779" s="79"/>
      <c r="Z779" s="79"/>
    </row>
    <row r="780" ht="21.0" customHeight="1">
      <c r="A780" s="79"/>
      <c r="B780" s="79"/>
      <c r="C780" s="104"/>
      <c r="D780" s="104"/>
      <c r="E780" s="104"/>
      <c r="F780" s="104"/>
      <c r="G780" s="104"/>
      <c r="H780" s="104"/>
      <c r="I780" s="104"/>
      <c r="J780" s="104"/>
      <c r="K780" s="104"/>
      <c r="L780" s="102"/>
      <c r="M780" s="102"/>
      <c r="N780" s="102"/>
      <c r="O780" s="102"/>
      <c r="P780" s="103"/>
      <c r="Q780" s="103"/>
      <c r="R780" s="103"/>
      <c r="S780" s="103"/>
      <c r="T780" s="79"/>
      <c r="U780" s="79"/>
      <c r="V780" s="79"/>
      <c r="W780" s="79"/>
      <c r="X780" s="79"/>
      <c r="Y780" s="79"/>
      <c r="Z780" s="79"/>
    </row>
    <row r="781" ht="21.0" customHeight="1">
      <c r="A781" s="79"/>
      <c r="B781" s="79"/>
      <c r="C781" s="104"/>
      <c r="D781" s="104"/>
      <c r="E781" s="104"/>
      <c r="F781" s="104"/>
      <c r="G781" s="104"/>
      <c r="H781" s="104"/>
      <c r="I781" s="104"/>
      <c r="J781" s="104"/>
      <c r="K781" s="104"/>
      <c r="L781" s="102"/>
      <c r="M781" s="102"/>
      <c r="N781" s="102"/>
      <c r="O781" s="102"/>
      <c r="P781" s="103"/>
      <c r="Q781" s="103"/>
      <c r="R781" s="103"/>
      <c r="S781" s="103"/>
      <c r="T781" s="79"/>
      <c r="U781" s="79"/>
      <c r="V781" s="79"/>
      <c r="W781" s="79"/>
      <c r="X781" s="79"/>
      <c r="Y781" s="79"/>
      <c r="Z781" s="79"/>
    </row>
    <row r="782" ht="21.0" customHeight="1">
      <c r="A782" s="79"/>
      <c r="B782" s="79"/>
      <c r="C782" s="104"/>
      <c r="D782" s="104"/>
      <c r="E782" s="104"/>
      <c r="F782" s="104"/>
      <c r="G782" s="104"/>
      <c r="H782" s="104"/>
      <c r="I782" s="104"/>
      <c r="J782" s="104"/>
      <c r="K782" s="104"/>
      <c r="L782" s="102"/>
      <c r="M782" s="102"/>
      <c r="N782" s="102"/>
      <c r="O782" s="102"/>
      <c r="P782" s="103"/>
      <c r="Q782" s="103"/>
      <c r="R782" s="103"/>
      <c r="S782" s="103"/>
      <c r="T782" s="79"/>
      <c r="U782" s="79"/>
      <c r="V782" s="79"/>
      <c r="W782" s="79"/>
      <c r="X782" s="79"/>
      <c r="Y782" s="79"/>
      <c r="Z782" s="79"/>
    </row>
    <row r="783" ht="21.0" customHeight="1">
      <c r="A783" s="79"/>
      <c r="B783" s="79"/>
      <c r="C783" s="104"/>
      <c r="D783" s="104"/>
      <c r="E783" s="104"/>
      <c r="F783" s="104"/>
      <c r="G783" s="104"/>
      <c r="H783" s="104"/>
      <c r="I783" s="104"/>
      <c r="J783" s="104"/>
      <c r="K783" s="104"/>
      <c r="L783" s="102"/>
      <c r="M783" s="102"/>
      <c r="N783" s="102"/>
      <c r="O783" s="102"/>
      <c r="P783" s="103"/>
      <c r="Q783" s="103"/>
      <c r="R783" s="103"/>
      <c r="S783" s="103"/>
      <c r="T783" s="79"/>
      <c r="U783" s="79"/>
      <c r="V783" s="79"/>
      <c r="W783" s="79"/>
      <c r="X783" s="79"/>
      <c r="Y783" s="79"/>
      <c r="Z783" s="79"/>
    </row>
    <row r="784" ht="21.0" customHeight="1">
      <c r="A784" s="79"/>
      <c r="B784" s="79"/>
      <c r="C784" s="104"/>
      <c r="D784" s="104"/>
      <c r="E784" s="104"/>
      <c r="F784" s="104"/>
      <c r="G784" s="104"/>
      <c r="H784" s="104"/>
      <c r="I784" s="104"/>
      <c r="J784" s="104"/>
      <c r="K784" s="104"/>
      <c r="L784" s="102"/>
      <c r="M784" s="102"/>
      <c r="N784" s="102"/>
      <c r="O784" s="102"/>
      <c r="P784" s="103"/>
      <c r="Q784" s="103"/>
      <c r="R784" s="103"/>
      <c r="S784" s="103"/>
      <c r="T784" s="79"/>
      <c r="U784" s="79"/>
      <c r="V784" s="79"/>
      <c r="W784" s="79"/>
      <c r="X784" s="79"/>
      <c r="Y784" s="79"/>
      <c r="Z784" s="79"/>
    </row>
    <row r="785" ht="21.0" customHeight="1">
      <c r="A785" s="79"/>
      <c r="B785" s="79"/>
      <c r="C785" s="104"/>
      <c r="D785" s="104"/>
      <c r="E785" s="104"/>
      <c r="F785" s="104"/>
      <c r="G785" s="104"/>
      <c r="H785" s="104"/>
      <c r="I785" s="104"/>
      <c r="J785" s="104"/>
      <c r="K785" s="104"/>
      <c r="L785" s="102"/>
      <c r="M785" s="102"/>
      <c r="N785" s="102"/>
      <c r="O785" s="102"/>
      <c r="P785" s="103"/>
      <c r="Q785" s="103"/>
      <c r="R785" s="103"/>
      <c r="S785" s="103"/>
      <c r="T785" s="79"/>
      <c r="U785" s="79"/>
      <c r="V785" s="79"/>
      <c r="W785" s="79"/>
      <c r="X785" s="79"/>
      <c r="Y785" s="79"/>
      <c r="Z785" s="79"/>
    </row>
    <row r="786" ht="21.0" customHeight="1">
      <c r="A786" s="79"/>
      <c r="B786" s="79"/>
      <c r="C786" s="104"/>
      <c r="D786" s="104"/>
      <c r="E786" s="104"/>
      <c r="F786" s="104"/>
      <c r="G786" s="104"/>
      <c r="H786" s="104"/>
      <c r="I786" s="104"/>
      <c r="J786" s="104"/>
      <c r="K786" s="104"/>
      <c r="L786" s="102"/>
      <c r="M786" s="102"/>
      <c r="N786" s="102"/>
      <c r="O786" s="102"/>
      <c r="P786" s="103"/>
      <c r="Q786" s="103"/>
      <c r="R786" s="103"/>
      <c r="S786" s="103"/>
      <c r="T786" s="79"/>
      <c r="U786" s="79"/>
      <c r="V786" s="79"/>
      <c r="W786" s="79"/>
      <c r="X786" s="79"/>
      <c r="Y786" s="79"/>
      <c r="Z786" s="79"/>
    </row>
    <row r="787" ht="21.0" customHeight="1">
      <c r="A787" s="79"/>
      <c r="B787" s="79"/>
      <c r="C787" s="104"/>
      <c r="D787" s="104"/>
      <c r="E787" s="104"/>
      <c r="F787" s="104"/>
      <c r="G787" s="104"/>
      <c r="H787" s="104"/>
      <c r="I787" s="104"/>
      <c r="J787" s="104"/>
      <c r="K787" s="104"/>
      <c r="L787" s="102"/>
      <c r="M787" s="102"/>
      <c r="N787" s="102"/>
      <c r="O787" s="102"/>
      <c r="P787" s="103"/>
      <c r="Q787" s="103"/>
      <c r="R787" s="103"/>
      <c r="S787" s="103"/>
      <c r="T787" s="79"/>
      <c r="U787" s="79"/>
      <c r="V787" s="79"/>
      <c r="W787" s="79"/>
      <c r="X787" s="79"/>
      <c r="Y787" s="79"/>
      <c r="Z787" s="79"/>
    </row>
    <row r="788" ht="21.0" customHeight="1">
      <c r="A788" s="79"/>
      <c r="B788" s="79"/>
      <c r="C788" s="104"/>
      <c r="D788" s="104"/>
      <c r="E788" s="104"/>
      <c r="F788" s="104"/>
      <c r="G788" s="104"/>
      <c r="H788" s="104"/>
      <c r="I788" s="104"/>
      <c r="J788" s="104"/>
      <c r="K788" s="104"/>
      <c r="L788" s="102"/>
      <c r="M788" s="102"/>
      <c r="N788" s="102"/>
      <c r="O788" s="102"/>
      <c r="P788" s="103"/>
      <c r="Q788" s="103"/>
      <c r="R788" s="103"/>
      <c r="S788" s="103"/>
      <c r="T788" s="79"/>
      <c r="U788" s="79"/>
      <c r="V788" s="79"/>
      <c r="W788" s="79"/>
      <c r="X788" s="79"/>
      <c r="Y788" s="79"/>
      <c r="Z788" s="79"/>
    </row>
    <row r="789" ht="21.0" customHeight="1">
      <c r="A789" s="79"/>
      <c r="B789" s="79"/>
      <c r="C789" s="104"/>
      <c r="D789" s="104"/>
      <c r="E789" s="104"/>
      <c r="F789" s="104"/>
      <c r="G789" s="104"/>
      <c r="H789" s="104"/>
      <c r="I789" s="104"/>
      <c r="J789" s="104"/>
      <c r="K789" s="104"/>
      <c r="L789" s="102"/>
      <c r="M789" s="102"/>
      <c r="N789" s="102"/>
      <c r="O789" s="102"/>
      <c r="P789" s="103"/>
      <c r="Q789" s="103"/>
      <c r="R789" s="103"/>
      <c r="S789" s="103"/>
      <c r="T789" s="79"/>
      <c r="U789" s="79"/>
      <c r="V789" s="79"/>
      <c r="W789" s="79"/>
      <c r="X789" s="79"/>
      <c r="Y789" s="79"/>
      <c r="Z789" s="79"/>
    </row>
    <row r="790" ht="21.0" customHeight="1">
      <c r="A790" s="79"/>
      <c r="B790" s="79"/>
      <c r="C790" s="104"/>
      <c r="D790" s="104"/>
      <c r="E790" s="104"/>
      <c r="F790" s="104"/>
      <c r="G790" s="104"/>
      <c r="H790" s="104"/>
      <c r="I790" s="104"/>
      <c r="J790" s="104"/>
      <c r="K790" s="104"/>
      <c r="L790" s="102"/>
      <c r="M790" s="102"/>
      <c r="N790" s="102"/>
      <c r="O790" s="102"/>
      <c r="P790" s="103"/>
      <c r="Q790" s="103"/>
      <c r="R790" s="103"/>
      <c r="S790" s="103"/>
      <c r="T790" s="79"/>
      <c r="U790" s="79"/>
      <c r="V790" s="79"/>
      <c r="W790" s="79"/>
      <c r="X790" s="79"/>
      <c r="Y790" s="79"/>
      <c r="Z790" s="79"/>
    </row>
    <row r="791" ht="21.0" customHeight="1">
      <c r="A791" s="79"/>
      <c r="B791" s="79"/>
      <c r="C791" s="104"/>
      <c r="D791" s="104"/>
      <c r="E791" s="104"/>
      <c r="F791" s="104"/>
      <c r="G791" s="104"/>
      <c r="H791" s="104"/>
      <c r="I791" s="104"/>
      <c r="J791" s="104"/>
      <c r="K791" s="104"/>
      <c r="L791" s="102"/>
      <c r="M791" s="102"/>
      <c r="N791" s="102"/>
      <c r="O791" s="102"/>
      <c r="P791" s="103"/>
      <c r="Q791" s="103"/>
      <c r="R791" s="103"/>
      <c r="S791" s="103"/>
      <c r="T791" s="79"/>
      <c r="U791" s="79"/>
      <c r="V791" s="79"/>
      <c r="W791" s="79"/>
      <c r="X791" s="79"/>
      <c r="Y791" s="79"/>
      <c r="Z791" s="79"/>
    </row>
    <row r="792" ht="21.0" customHeight="1">
      <c r="A792" s="79"/>
      <c r="B792" s="79"/>
      <c r="C792" s="104"/>
      <c r="D792" s="104"/>
      <c r="E792" s="104"/>
      <c r="F792" s="104"/>
      <c r="G792" s="104"/>
      <c r="H792" s="104"/>
      <c r="I792" s="104"/>
      <c r="J792" s="104"/>
      <c r="K792" s="104"/>
      <c r="L792" s="102"/>
      <c r="M792" s="102"/>
      <c r="N792" s="102"/>
      <c r="O792" s="102"/>
      <c r="P792" s="103"/>
      <c r="Q792" s="103"/>
      <c r="R792" s="103"/>
      <c r="S792" s="103"/>
      <c r="T792" s="79"/>
      <c r="U792" s="79"/>
      <c r="V792" s="79"/>
      <c r="W792" s="79"/>
      <c r="X792" s="79"/>
      <c r="Y792" s="79"/>
      <c r="Z792" s="79"/>
    </row>
    <row r="793" ht="21.0" customHeight="1">
      <c r="A793" s="79"/>
      <c r="B793" s="79"/>
      <c r="C793" s="104"/>
      <c r="D793" s="104"/>
      <c r="E793" s="104"/>
      <c r="F793" s="104"/>
      <c r="G793" s="104"/>
      <c r="H793" s="104"/>
      <c r="I793" s="104"/>
      <c r="J793" s="104"/>
      <c r="K793" s="104"/>
      <c r="L793" s="102"/>
      <c r="M793" s="102"/>
      <c r="N793" s="102"/>
      <c r="O793" s="102"/>
      <c r="P793" s="103"/>
      <c r="Q793" s="103"/>
      <c r="R793" s="103"/>
      <c r="S793" s="103"/>
      <c r="T793" s="79"/>
      <c r="U793" s="79"/>
      <c r="V793" s="79"/>
      <c r="W793" s="79"/>
      <c r="X793" s="79"/>
      <c r="Y793" s="79"/>
      <c r="Z793" s="79"/>
    </row>
    <row r="794" ht="21.0" customHeight="1">
      <c r="A794" s="79"/>
      <c r="B794" s="79"/>
      <c r="C794" s="104"/>
      <c r="D794" s="104"/>
      <c r="E794" s="104"/>
      <c r="F794" s="104"/>
      <c r="G794" s="104"/>
      <c r="H794" s="104"/>
      <c r="I794" s="104"/>
      <c r="J794" s="104"/>
      <c r="K794" s="104"/>
      <c r="L794" s="102"/>
      <c r="M794" s="102"/>
      <c r="N794" s="102"/>
      <c r="O794" s="102"/>
      <c r="P794" s="103"/>
      <c r="Q794" s="103"/>
      <c r="R794" s="103"/>
      <c r="S794" s="103"/>
      <c r="T794" s="79"/>
      <c r="U794" s="79"/>
      <c r="V794" s="79"/>
      <c r="W794" s="79"/>
      <c r="X794" s="79"/>
      <c r="Y794" s="79"/>
      <c r="Z794" s="79"/>
    </row>
    <row r="795" ht="21.0" customHeight="1">
      <c r="A795" s="79"/>
      <c r="B795" s="79"/>
      <c r="C795" s="104"/>
      <c r="D795" s="104"/>
      <c r="E795" s="104"/>
      <c r="F795" s="104"/>
      <c r="G795" s="104"/>
      <c r="H795" s="104"/>
      <c r="I795" s="104"/>
      <c r="J795" s="104"/>
      <c r="K795" s="104"/>
      <c r="L795" s="102"/>
      <c r="M795" s="102"/>
      <c r="N795" s="102"/>
      <c r="O795" s="102"/>
      <c r="P795" s="103"/>
      <c r="Q795" s="103"/>
      <c r="R795" s="103"/>
      <c r="S795" s="103"/>
      <c r="T795" s="79"/>
      <c r="U795" s="79"/>
      <c r="V795" s="79"/>
      <c r="W795" s="79"/>
      <c r="X795" s="79"/>
      <c r="Y795" s="79"/>
      <c r="Z795" s="79"/>
    </row>
    <row r="796" ht="21.0" customHeight="1">
      <c r="A796" s="79"/>
      <c r="B796" s="79"/>
      <c r="C796" s="104"/>
      <c r="D796" s="104"/>
      <c r="E796" s="104"/>
      <c r="F796" s="104"/>
      <c r="G796" s="104"/>
      <c r="H796" s="104"/>
      <c r="I796" s="104"/>
      <c r="J796" s="104"/>
      <c r="K796" s="104"/>
      <c r="L796" s="102"/>
      <c r="M796" s="102"/>
      <c r="N796" s="102"/>
      <c r="O796" s="102"/>
      <c r="P796" s="103"/>
      <c r="Q796" s="103"/>
      <c r="R796" s="103"/>
      <c r="S796" s="103"/>
      <c r="T796" s="79"/>
      <c r="U796" s="79"/>
      <c r="V796" s="79"/>
      <c r="W796" s="79"/>
      <c r="X796" s="79"/>
      <c r="Y796" s="79"/>
      <c r="Z796" s="79"/>
    </row>
    <row r="797" ht="21.0" customHeight="1">
      <c r="A797" s="79"/>
      <c r="B797" s="79"/>
      <c r="C797" s="104"/>
      <c r="D797" s="104"/>
      <c r="E797" s="104"/>
      <c r="F797" s="104"/>
      <c r="G797" s="104"/>
      <c r="H797" s="104"/>
      <c r="I797" s="104"/>
      <c r="J797" s="104"/>
      <c r="K797" s="104"/>
      <c r="L797" s="102"/>
      <c r="M797" s="102"/>
      <c r="N797" s="102"/>
      <c r="O797" s="102"/>
      <c r="P797" s="103"/>
      <c r="Q797" s="103"/>
      <c r="R797" s="103"/>
      <c r="S797" s="103"/>
      <c r="T797" s="79"/>
      <c r="U797" s="79"/>
      <c r="V797" s="79"/>
      <c r="W797" s="79"/>
      <c r="X797" s="79"/>
      <c r="Y797" s="79"/>
      <c r="Z797" s="79"/>
    </row>
    <row r="798" ht="21.0" customHeight="1">
      <c r="A798" s="79"/>
      <c r="B798" s="79"/>
      <c r="C798" s="104"/>
      <c r="D798" s="104"/>
      <c r="E798" s="104"/>
      <c r="F798" s="104"/>
      <c r="G798" s="104"/>
      <c r="H798" s="104"/>
      <c r="I798" s="104"/>
      <c r="J798" s="104"/>
      <c r="K798" s="104"/>
      <c r="L798" s="102"/>
      <c r="M798" s="102"/>
      <c r="N798" s="102"/>
      <c r="O798" s="102"/>
      <c r="P798" s="103"/>
      <c r="Q798" s="103"/>
      <c r="R798" s="103"/>
      <c r="S798" s="103"/>
      <c r="T798" s="79"/>
      <c r="U798" s="79"/>
      <c r="V798" s="79"/>
      <c r="W798" s="79"/>
      <c r="X798" s="79"/>
      <c r="Y798" s="79"/>
      <c r="Z798" s="79"/>
    </row>
    <row r="799" ht="21.0" customHeight="1">
      <c r="A799" s="79"/>
      <c r="B799" s="79"/>
      <c r="C799" s="104"/>
      <c r="D799" s="104"/>
      <c r="E799" s="104"/>
      <c r="F799" s="104"/>
      <c r="G799" s="104"/>
      <c r="H799" s="104"/>
      <c r="I799" s="104"/>
      <c r="J799" s="104"/>
      <c r="K799" s="104"/>
      <c r="L799" s="102"/>
      <c r="M799" s="102"/>
      <c r="N799" s="102"/>
      <c r="O799" s="102"/>
      <c r="P799" s="103"/>
      <c r="Q799" s="103"/>
      <c r="R799" s="103"/>
      <c r="S799" s="103"/>
      <c r="T799" s="79"/>
      <c r="U799" s="79"/>
      <c r="V799" s="79"/>
      <c r="W799" s="79"/>
      <c r="X799" s="79"/>
      <c r="Y799" s="79"/>
      <c r="Z799" s="79"/>
    </row>
    <row r="800" ht="21.0" customHeight="1">
      <c r="A800" s="79"/>
      <c r="B800" s="79"/>
      <c r="C800" s="104"/>
      <c r="D800" s="104"/>
      <c r="E800" s="104"/>
      <c r="F800" s="104"/>
      <c r="G800" s="104"/>
      <c r="H800" s="104"/>
      <c r="I800" s="104"/>
      <c r="J800" s="104"/>
      <c r="K800" s="104"/>
      <c r="L800" s="102"/>
      <c r="M800" s="102"/>
      <c r="N800" s="102"/>
      <c r="O800" s="102"/>
      <c r="P800" s="103"/>
      <c r="Q800" s="103"/>
      <c r="R800" s="103"/>
      <c r="S800" s="103"/>
      <c r="T800" s="79"/>
      <c r="U800" s="79"/>
      <c r="V800" s="79"/>
      <c r="W800" s="79"/>
      <c r="X800" s="79"/>
      <c r="Y800" s="79"/>
      <c r="Z800" s="79"/>
    </row>
    <row r="801" ht="21.0" customHeight="1">
      <c r="A801" s="79"/>
      <c r="B801" s="79"/>
      <c r="C801" s="104"/>
      <c r="D801" s="104"/>
      <c r="E801" s="104"/>
      <c r="F801" s="104"/>
      <c r="G801" s="104"/>
      <c r="H801" s="104"/>
      <c r="I801" s="104"/>
      <c r="J801" s="104"/>
      <c r="K801" s="104"/>
      <c r="L801" s="102"/>
      <c r="M801" s="102"/>
      <c r="N801" s="102"/>
      <c r="O801" s="102"/>
      <c r="P801" s="103"/>
      <c r="Q801" s="103"/>
      <c r="R801" s="103"/>
      <c r="S801" s="103"/>
      <c r="T801" s="79"/>
      <c r="U801" s="79"/>
      <c r="V801" s="79"/>
      <c r="W801" s="79"/>
      <c r="X801" s="79"/>
      <c r="Y801" s="79"/>
      <c r="Z801" s="79"/>
    </row>
    <row r="802" ht="21.0" customHeight="1">
      <c r="A802" s="79"/>
      <c r="B802" s="79"/>
      <c r="C802" s="104"/>
      <c r="D802" s="104"/>
      <c r="E802" s="104"/>
      <c r="F802" s="104"/>
      <c r="G802" s="104"/>
      <c r="H802" s="104"/>
      <c r="I802" s="104"/>
      <c r="J802" s="104"/>
      <c r="K802" s="104"/>
      <c r="L802" s="102"/>
      <c r="M802" s="102"/>
      <c r="N802" s="102"/>
      <c r="O802" s="102"/>
      <c r="P802" s="103"/>
      <c r="Q802" s="103"/>
      <c r="R802" s="103"/>
      <c r="S802" s="103"/>
      <c r="T802" s="79"/>
      <c r="U802" s="79"/>
      <c r="V802" s="79"/>
      <c r="W802" s="79"/>
      <c r="X802" s="79"/>
      <c r="Y802" s="79"/>
      <c r="Z802" s="79"/>
    </row>
    <row r="803" ht="21.0" customHeight="1">
      <c r="A803" s="79"/>
      <c r="B803" s="79"/>
      <c r="C803" s="104"/>
      <c r="D803" s="104"/>
      <c r="E803" s="104"/>
      <c r="F803" s="104"/>
      <c r="G803" s="104"/>
      <c r="H803" s="104"/>
      <c r="I803" s="104"/>
      <c r="J803" s="104"/>
      <c r="K803" s="104"/>
      <c r="L803" s="102"/>
      <c r="M803" s="102"/>
      <c r="N803" s="102"/>
      <c r="O803" s="102"/>
      <c r="P803" s="103"/>
      <c r="Q803" s="103"/>
      <c r="R803" s="103"/>
      <c r="S803" s="103"/>
      <c r="T803" s="79"/>
      <c r="U803" s="79"/>
      <c r="V803" s="79"/>
      <c r="W803" s="79"/>
      <c r="X803" s="79"/>
      <c r="Y803" s="79"/>
      <c r="Z803" s="79"/>
    </row>
    <row r="804" ht="21.0" customHeight="1">
      <c r="A804" s="79"/>
      <c r="B804" s="79"/>
      <c r="C804" s="104"/>
      <c r="D804" s="104"/>
      <c r="E804" s="104"/>
      <c r="F804" s="104"/>
      <c r="G804" s="104"/>
      <c r="H804" s="104"/>
      <c r="I804" s="104"/>
      <c r="J804" s="104"/>
      <c r="K804" s="104"/>
      <c r="L804" s="102"/>
      <c r="M804" s="102"/>
      <c r="N804" s="102"/>
      <c r="O804" s="102"/>
      <c r="P804" s="103"/>
      <c r="Q804" s="103"/>
      <c r="R804" s="103"/>
      <c r="S804" s="103"/>
      <c r="T804" s="79"/>
      <c r="U804" s="79"/>
      <c r="V804" s="79"/>
      <c r="W804" s="79"/>
      <c r="X804" s="79"/>
      <c r="Y804" s="79"/>
      <c r="Z804" s="79"/>
    </row>
    <row r="805" ht="21.0" customHeight="1">
      <c r="A805" s="79"/>
      <c r="B805" s="79"/>
      <c r="C805" s="104"/>
      <c r="D805" s="104"/>
      <c r="E805" s="104"/>
      <c r="F805" s="104"/>
      <c r="G805" s="104"/>
      <c r="H805" s="104"/>
      <c r="I805" s="104"/>
      <c r="J805" s="104"/>
      <c r="K805" s="104"/>
      <c r="L805" s="102"/>
      <c r="M805" s="102"/>
      <c r="N805" s="102"/>
      <c r="O805" s="102"/>
      <c r="P805" s="103"/>
      <c r="Q805" s="103"/>
      <c r="R805" s="103"/>
      <c r="S805" s="103"/>
      <c r="T805" s="79"/>
      <c r="U805" s="79"/>
      <c r="V805" s="79"/>
      <c r="W805" s="79"/>
      <c r="X805" s="79"/>
      <c r="Y805" s="79"/>
      <c r="Z805" s="79"/>
    </row>
    <row r="806" ht="21.0" customHeight="1">
      <c r="A806" s="79"/>
      <c r="B806" s="79"/>
      <c r="C806" s="104"/>
      <c r="D806" s="104"/>
      <c r="E806" s="104"/>
      <c r="F806" s="104"/>
      <c r="G806" s="104"/>
      <c r="H806" s="104"/>
      <c r="I806" s="104"/>
      <c r="J806" s="104"/>
      <c r="K806" s="104"/>
      <c r="L806" s="102"/>
      <c r="M806" s="102"/>
      <c r="N806" s="102"/>
      <c r="O806" s="102"/>
      <c r="P806" s="103"/>
      <c r="Q806" s="103"/>
      <c r="R806" s="103"/>
      <c r="S806" s="103"/>
      <c r="T806" s="79"/>
      <c r="U806" s="79"/>
      <c r="V806" s="79"/>
      <c r="W806" s="79"/>
      <c r="X806" s="79"/>
      <c r="Y806" s="79"/>
      <c r="Z806" s="79"/>
    </row>
    <row r="807" ht="21.0" customHeight="1">
      <c r="A807" s="79"/>
      <c r="B807" s="79"/>
      <c r="C807" s="104"/>
      <c r="D807" s="104"/>
      <c r="E807" s="104"/>
      <c r="F807" s="104"/>
      <c r="G807" s="104"/>
      <c r="H807" s="104"/>
      <c r="I807" s="104"/>
      <c r="J807" s="104"/>
      <c r="K807" s="104"/>
      <c r="L807" s="102"/>
      <c r="M807" s="102"/>
      <c r="N807" s="102"/>
      <c r="O807" s="102"/>
      <c r="P807" s="103"/>
      <c r="Q807" s="103"/>
      <c r="R807" s="103"/>
      <c r="S807" s="103"/>
      <c r="T807" s="79"/>
      <c r="U807" s="79"/>
      <c r="V807" s="79"/>
      <c r="W807" s="79"/>
      <c r="X807" s="79"/>
      <c r="Y807" s="79"/>
      <c r="Z807" s="79"/>
    </row>
    <row r="808" ht="21.0" customHeight="1">
      <c r="A808" s="79"/>
      <c r="B808" s="79"/>
      <c r="C808" s="104"/>
      <c r="D808" s="104"/>
      <c r="E808" s="104"/>
      <c r="F808" s="104"/>
      <c r="G808" s="104"/>
      <c r="H808" s="104"/>
      <c r="I808" s="104"/>
      <c r="J808" s="104"/>
      <c r="K808" s="104"/>
      <c r="L808" s="102"/>
      <c r="M808" s="102"/>
      <c r="N808" s="102"/>
      <c r="O808" s="102"/>
      <c r="P808" s="103"/>
      <c r="Q808" s="103"/>
      <c r="R808" s="103"/>
      <c r="S808" s="103"/>
      <c r="T808" s="79"/>
      <c r="U808" s="79"/>
      <c r="V808" s="79"/>
      <c r="W808" s="79"/>
      <c r="X808" s="79"/>
      <c r="Y808" s="79"/>
      <c r="Z808" s="79"/>
    </row>
    <row r="809" ht="21.0" customHeight="1">
      <c r="A809" s="79"/>
      <c r="B809" s="79"/>
      <c r="C809" s="104"/>
      <c r="D809" s="104"/>
      <c r="E809" s="104"/>
      <c r="F809" s="104"/>
      <c r="G809" s="104"/>
      <c r="H809" s="104"/>
      <c r="I809" s="104"/>
      <c r="J809" s="104"/>
      <c r="K809" s="104"/>
      <c r="L809" s="102"/>
      <c r="M809" s="102"/>
      <c r="N809" s="102"/>
      <c r="O809" s="102"/>
      <c r="P809" s="103"/>
      <c r="Q809" s="103"/>
      <c r="R809" s="103"/>
      <c r="S809" s="103"/>
      <c r="T809" s="79"/>
      <c r="U809" s="79"/>
      <c r="V809" s="79"/>
      <c r="W809" s="79"/>
      <c r="X809" s="79"/>
      <c r="Y809" s="79"/>
      <c r="Z809" s="79"/>
    </row>
    <row r="810" ht="21.0" customHeight="1">
      <c r="A810" s="79"/>
      <c r="B810" s="79"/>
      <c r="C810" s="104"/>
      <c r="D810" s="104"/>
      <c r="E810" s="104"/>
      <c r="F810" s="104"/>
      <c r="G810" s="104"/>
      <c r="H810" s="104"/>
      <c r="I810" s="104"/>
      <c r="J810" s="104"/>
      <c r="K810" s="104"/>
      <c r="L810" s="102"/>
      <c r="M810" s="102"/>
      <c r="N810" s="102"/>
      <c r="O810" s="102"/>
      <c r="P810" s="103"/>
      <c r="Q810" s="103"/>
      <c r="R810" s="103"/>
      <c r="S810" s="103"/>
      <c r="T810" s="79"/>
      <c r="U810" s="79"/>
      <c r="V810" s="79"/>
      <c r="W810" s="79"/>
      <c r="X810" s="79"/>
      <c r="Y810" s="79"/>
      <c r="Z810" s="79"/>
    </row>
    <row r="811" ht="21.0" customHeight="1">
      <c r="A811" s="79"/>
      <c r="B811" s="79"/>
      <c r="C811" s="104"/>
      <c r="D811" s="104"/>
      <c r="E811" s="104"/>
      <c r="F811" s="104"/>
      <c r="G811" s="104"/>
      <c r="H811" s="104"/>
      <c r="I811" s="104"/>
      <c r="J811" s="104"/>
      <c r="K811" s="104"/>
      <c r="L811" s="102"/>
      <c r="M811" s="102"/>
      <c r="N811" s="102"/>
      <c r="O811" s="102"/>
      <c r="P811" s="103"/>
      <c r="Q811" s="103"/>
      <c r="R811" s="103"/>
      <c r="S811" s="103"/>
      <c r="T811" s="79"/>
      <c r="U811" s="79"/>
      <c r="V811" s="79"/>
      <c r="W811" s="79"/>
      <c r="X811" s="79"/>
      <c r="Y811" s="79"/>
      <c r="Z811" s="79"/>
    </row>
    <row r="812" ht="21.0" customHeight="1">
      <c r="A812" s="79"/>
      <c r="B812" s="79"/>
      <c r="C812" s="104"/>
      <c r="D812" s="104"/>
      <c r="E812" s="104"/>
      <c r="F812" s="104"/>
      <c r="G812" s="104"/>
      <c r="H812" s="104"/>
      <c r="I812" s="104"/>
      <c r="J812" s="104"/>
      <c r="K812" s="104"/>
      <c r="L812" s="102"/>
      <c r="M812" s="102"/>
      <c r="N812" s="102"/>
      <c r="O812" s="102"/>
      <c r="P812" s="103"/>
      <c r="Q812" s="103"/>
      <c r="R812" s="103"/>
      <c r="S812" s="103"/>
      <c r="T812" s="79"/>
      <c r="U812" s="79"/>
      <c r="V812" s="79"/>
      <c r="W812" s="79"/>
      <c r="X812" s="79"/>
      <c r="Y812" s="79"/>
      <c r="Z812" s="79"/>
    </row>
    <row r="813" ht="21.0" customHeight="1">
      <c r="A813" s="79"/>
      <c r="B813" s="79"/>
      <c r="C813" s="104"/>
      <c r="D813" s="104"/>
      <c r="E813" s="104"/>
      <c r="F813" s="104"/>
      <c r="G813" s="104"/>
      <c r="H813" s="104"/>
      <c r="I813" s="104"/>
      <c r="J813" s="104"/>
      <c r="K813" s="104"/>
      <c r="L813" s="102"/>
      <c r="M813" s="102"/>
      <c r="N813" s="102"/>
      <c r="O813" s="102"/>
      <c r="P813" s="103"/>
      <c r="Q813" s="103"/>
      <c r="R813" s="103"/>
      <c r="S813" s="103"/>
      <c r="T813" s="79"/>
      <c r="U813" s="79"/>
      <c r="V813" s="79"/>
      <c r="W813" s="79"/>
      <c r="X813" s="79"/>
      <c r="Y813" s="79"/>
      <c r="Z813" s="79"/>
    </row>
    <row r="814" ht="21.0" customHeight="1">
      <c r="A814" s="79"/>
      <c r="B814" s="79"/>
      <c r="C814" s="104"/>
      <c r="D814" s="104"/>
      <c r="E814" s="104"/>
      <c r="F814" s="104"/>
      <c r="G814" s="104"/>
      <c r="H814" s="104"/>
      <c r="I814" s="104"/>
      <c r="J814" s="104"/>
      <c r="K814" s="104"/>
      <c r="L814" s="102"/>
      <c r="M814" s="102"/>
      <c r="N814" s="102"/>
      <c r="O814" s="102"/>
      <c r="P814" s="103"/>
      <c r="Q814" s="103"/>
      <c r="R814" s="103"/>
      <c r="S814" s="103"/>
      <c r="T814" s="79"/>
      <c r="U814" s="79"/>
      <c r="V814" s="79"/>
      <c r="W814" s="79"/>
      <c r="X814" s="79"/>
      <c r="Y814" s="79"/>
      <c r="Z814" s="79"/>
    </row>
    <row r="815" ht="21.0" customHeight="1">
      <c r="A815" s="79"/>
      <c r="B815" s="79"/>
      <c r="C815" s="104"/>
      <c r="D815" s="104"/>
      <c r="E815" s="104"/>
      <c r="F815" s="104"/>
      <c r="G815" s="104"/>
      <c r="H815" s="104"/>
      <c r="I815" s="104"/>
      <c r="J815" s="104"/>
      <c r="K815" s="104"/>
      <c r="L815" s="102"/>
      <c r="M815" s="102"/>
      <c r="N815" s="102"/>
      <c r="O815" s="102"/>
      <c r="P815" s="103"/>
      <c r="Q815" s="103"/>
      <c r="R815" s="103"/>
      <c r="S815" s="103"/>
      <c r="T815" s="79"/>
      <c r="U815" s="79"/>
      <c r="V815" s="79"/>
      <c r="W815" s="79"/>
      <c r="X815" s="79"/>
      <c r="Y815" s="79"/>
      <c r="Z815" s="79"/>
    </row>
    <row r="816" ht="21.0" customHeight="1">
      <c r="A816" s="79"/>
      <c r="B816" s="79"/>
      <c r="C816" s="104"/>
      <c r="D816" s="104"/>
      <c r="E816" s="104"/>
      <c r="F816" s="104"/>
      <c r="G816" s="104"/>
      <c r="H816" s="104"/>
      <c r="I816" s="104"/>
      <c r="J816" s="104"/>
      <c r="K816" s="104"/>
      <c r="L816" s="102"/>
      <c r="M816" s="102"/>
      <c r="N816" s="102"/>
      <c r="O816" s="102"/>
      <c r="P816" s="103"/>
      <c r="Q816" s="103"/>
      <c r="R816" s="103"/>
      <c r="S816" s="103"/>
      <c r="T816" s="79"/>
      <c r="U816" s="79"/>
      <c r="V816" s="79"/>
      <c r="W816" s="79"/>
      <c r="X816" s="79"/>
      <c r="Y816" s="79"/>
      <c r="Z816" s="79"/>
    </row>
    <row r="817" ht="21.0" customHeight="1">
      <c r="A817" s="79"/>
      <c r="B817" s="79"/>
      <c r="C817" s="104"/>
      <c r="D817" s="104"/>
      <c r="E817" s="104"/>
      <c r="F817" s="104"/>
      <c r="G817" s="104"/>
      <c r="H817" s="104"/>
      <c r="I817" s="104"/>
      <c r="J817" s="104"/>
      <c r="K817" s="104"/>
      <c r="L817" s="102"/>
      <c r="M817" s="102"/>
      <c r="N817" s="102"/>
      <c r="O817" s="102"/>
      <c r="P817" s="103"/>
      <c r="Q817" s="103"/>
      <c r="R817" s="103"/>
      <c r="S817" s="103"/>
      <c r="T817" s="79"/>
      <c r="U817" s="79"/>
      <c r="V817" s="79"/>
      <c r="W817" s="79"/>
      <c r="X817" s="79"/>
      <c r="Y817" s="79"/>
      <c r="Z817" s="79"/>
    </row>
    <row r="818" ht="21.0" customHeight="1">
      <c r="A818" s="79"/>
      <c r="B818" s="79"/>
      <c r="C818" s="104"/>
      <c r="D818" s="104"/>
      <c r="E818" s="104"/>
      <c r="F818" s="104"/>
      <c r="G818" s="104"/>
      <c r="H818" s="104"/>
      <c r="I818" s="104"/>
      <c r="J818" s="104"/>
      <c r="K818" s="104"/>
      <c r="L818" s="102"/>
      <c r="M818" s="102"/>
      <c r="N818" s="102"/>
      <c r="O818" s="102"/>
      <c r="P818" s="103"/>
      <c r="Q818" s="103"/>
      <c r="R818" s="103"/>
      <c r="S818" s="103"/>
      <c r="T818" s="79"/>
      <c r="U818" s="79"/>
      <c r="V818" s="79"/>
      <c r="W818" s="79"/>
      <c r="X818" s="79"/>
      <c r="Y818" s="79"/>
      <c r="Z818" s="79"/>
    </row>
    <row r="819" ht="21.0" customHeight="1">
      <c r="A819" s="79"/>
      <c r="B819" s="79"/>
      <c r="C819" s="104"/>
      <c r="D819" s="104"/>
      <c r="E819" s="104"/>
      <c r="F819" s="104"/>
      <c r="G819" s="104"/>
      <c r="H819" s="104"/>
      <c r="I819" s="104"/>
      <c r="J819" s="104"/>
      <c r="K819" s="104"/>
      <c r="L819" s="102"/>
      <c r="M819" s="102"/>
      <c r="N819" s="102"/>
      <c r="O819" s="102"/>
      <c r="P819" s="103"/>
      <c r="Q819" s="103"/>
      <c r="R819" s="103"/>
      <c r="S819" s="103"/>
      <c r="T819" s="79"/>
      <c r="U819" s="79"/>
      <c r="V819" s="79"/>
      <c r="W819" s="79"/>
      <c r="X819" s="79"/>
      <c r="Y819" s="79"/>
      <c r="Z819" s="79"/>
    </row>
    <row r="820" ht="21.0" customHeight="1">
      <c r="A820" s="79"/>
      <c r="B820" s="79"/>
      <c r="C820" s="104"/>
      <c r="D820" s="104"/>
      <c r="E820" s="104"/>
      <c r="F820" s="104"/>
      <c r="G820" s="104"/>
      <c r="H820" s="104"/>
      <c r="I820" s="104"/>
      <c r="J820" s="104"/>
      <c r="K820" s="104"/>
      <c r="L820" s="102"/>
      <c r="M820" s="102"/>
      <c r="N820" s="102"/>
      <c r="O820" s="102"/>
      <c r="P820" s="103"/>
      <c r="Q820" s="103"/>
      <c r="R820" s="103"/>
      <c r="S820" s="103"/>
      <c r="T820" s="79"/>
      <c r="U820" s="79"/>
      <c r="V820" s="79"/>
      <c r="W820" s="79"/>
      <c r="X820" s="79"/>
      <c r="Y820" s="79"/>
      <c r="Z820" s="79"/>
    </row>
    <row r="821" ht="21.0" customHeight="1">
      <c r="A821" s="79"/>
      <c r="B821" s="79"/>
      <c r="C821" s="104"/>
      <c r="D821" s="104"/>
      <c r="E821" s="104"/>
      <c r="F821" s="104"/>
      <c r="G821" s="104"/>
      <c r="H821" s="104"/>
      <c r="I821" s="104"/>
      <c r="J821" s="104"/>
      <c r="K821" s="104"/>
      <c r="L821" s="102"/>
      <c r="M821" s="102"/>
      <c r="N821" s="102"/>
      <c r="O821" s="102"/>
      <c r="P821" s="103"/>
      <c r="Q821" s="103"/>
      <c r="R821" s="103"/>
      <c r="S821" s="103"/>
      <c r="T821" s="79"/>
      <c r="U821" s="79"/>
      <c r="V821" s="79"/>
      <c r="W821" s="79"/>
      <c r="X821" s="79"/>
      <c r="Y821" s="79"/>
      <c r="Z821" s="79"/>
    </row>
    <row r="822" ht="21.0" customHeight="1">
      <c r="A822" s="79"/>
      <c r="B822" s="79"/>
      <c r="C822" s="104"/>
      <c r="D822" s="104"/>
      <c r="E822" s="104"/>
      <c r="F822" s="104"/>
      <c r="G822" s="104"/>
      <c r="H822" s="104"/>
      <c r="I822" s="104"/>
      <c r="J822" s="104"/>
      <c r="K822" s="104"/>
      <c r="L822" s="102"/>
      <c r="M822" s="102"/>
      <c r="N822" s="102"/>
      <c r="O822" s="102"/>
      <c r="P822" s="103"/>
      <c r="Q822" s="103"/>
      <c r="R822" s="103"/>
      <c r="S822" s="103"/>
      <c r="T822" s="79"/>
      <c r="U822" s="79"/>
      <c r="V822" s="79"/>
      <c r="W822" s="79"/>
      <c r="X822" s="79"/>
      <c r="Y822" s="79"/>
      <c r="Z822" s="79"/>
    </row>
    <row r="823" ht="21.0" customHeight="1">
      <c r="A823" s="79"/>
      <c r="B823" s="79"/>
      <c r="C823" s="104"/>
      <c r="D823" s="104"/>
      <c r="E823" s="104"/>
      <c r="F823" s="104"/>
      <c r="G823" s="104"/>
      <c r="H823" s="104"/>
      <c r="I823" s="104"/>
      <c r="J823" s="104"/>
      <c r="K823" s="104"/>
      <c r="L823" s="102"/>
      <c r="M823" s="102"/>
      <c r="N823" s="102"/>
      <c r="O823" s="102"/>
      <c r="P823" s="103"/>
      <c r="Q823" s="103"/>
      <c r="R823" s="103"/>
      <c r="S823" s="103"/>
      <c r="T823" s="79"/>
      <c r="U823" s="79"/>
      <c r="V823" s="79"/>
      <c r="W823" s="79"/>
      <c r="X823" s="79"/>
      <c r="Y823" s="79"/>
      <c r="Z823" s="79"/>
    </row>
    <row r="824" ht="21.0" customHeight="1">
      <c r="A824" s="79"/>
      <c r="B824" s="79"/>
      <c r="C824" s="104"/>
      <c r="D824" s="104"/>
      <c r="E824" s="104"/>
      <c r="F824" s="104"/>
      <c r="G824" s="104"/>
      <c r="H824" s="104"/>
      <c r="I824" s="104"/>
      <c r="J824" s="104"/>
      <c r="K824" s="104"/>
      <c r="L824" s="102"/>
      <c r="M824" s="102"/>
      <c r="N824" s="102"/>
      <c r="O824" s="102"/>
      <c r="P824" s="103"/>
      <c r="Q824" s="103"/>
      <c r="R824" s="103"/>
      <c r="S824" s="103"/>
      <c r="T824" s="79"/>
      <c r="U824" s="79"/>
      <c r="V824" s="79"/>
      <c r="W824" s="79"/>
      <c r="X824" s="79"/>
      <c r="Y824" s="79"/>
      <c r="Z824" s="79"/>
    </row>
    <row r="825" ht="21.0" customHeight="1">
      <c r="A825" s="79"/>
      <c r="B825" s="79"/>
      <c r="C825" s="104"/>
      <c r="D825" s="104"/>
      <c r="E825" s="104"/>
      <c r="F825" s="104"/>
      <c r="G825" s="104"/>
      <c r="H825" s="104"/>
      <c r="I825" s="104"/>
      <c r="J825" s="104"/>
      <c r="K825" s="104"/>
      <c r="L825" s="102"/>
      <c r="M825" s="102"/>
      <c r="N825" s="102"/>
      <c r="O825" s="102"/>
      <c r="P825" s="103"/>
      <c r="Q825" s="103"/>
      <c r="R825" s="103"/>
      <c r="S825" s="103"/>
      <c r="T825" s="79"/>
      <c r="U825" s="79"/>
      <c r="V825" s="79"/>
      <c r="W825" s="79"/>
      <c r="X825" s="79"/>
      <c r="Y825" s="79"/>
      <c r="Z825" s="79"/>
    </row>
    <row r="826" ht="21.0" customHeight="1">
      <c r="A826" s="79"/>
      <c r="B826" s="79"/>
      <c r="C826" s="104"/>
      <c r="D826" s="104"/>
      <c r="E826" s="104"/>
      <c r="F826" s="104"/>
      <c r="G826" s="104"/>
      <c r="H826" s="104"/>
      <c r="I826" s="104"/>
      <c r="J826" s="104"/>
      <c r="K826" s="104"/>
      <c r="L826" s="102"/>
      <c r="M826" s="102"/>
      <c r="N826" s="102"/>
      <c r="O826" s="102"/>
      <c r="P826" s="103"/>
      <c r="Q826" s="103"/>
      <c r="R826" s="103"/>
      <c r="S826" s="103"/>
      <c r="T826" s="79"/>
      <c r="U826" s="79"/>
      <c r="V826" s="79"/>
      <c r="W826" s="79"/>
      <c r="X826" s="79"/>
      <c r="Y826" s="79"/>
      <c r="Z826" s="79"/>
    </row>
    <row r="827" ht="21.0" customHeight="1">
      <c r="A827" s="79"/>
      <c r="B827" s="79"/>
      <c r="C827" s="104"/>
      <c r="D827" s="104"/>
      <c r="E827" s="104"/>
      <c r="F827" s="104"/>
      <c r="G827" s="104"/>
      <c r="H827" s="104"/>
      <c r="I827" s="104"/>
      <c r="J827" s="104"/>
      <c r="K827" s="104"/>
      <c r="L827" s="102"/>
      <c r="M827" s="102"/>
      <c r="N827" s="102"/>
      <c r="O827" s="102"/>
      <c r="P827" s="103"/>
      <c r="Q827" s="103"/>
      <c r="R827" s="103"/>
      <c r="S827" s="103"/>
      <c r="T827" s="79"/>
      <c r="U827" s="79"/>
      <c r="V827" s="79"/>
      <c r="W827" s="79"/>
      <c r="X827" s="79"/>
      <c r="Y827" s="79"/>
      <c r="Z827" s="79"/>
    </row>
    <row r="828" ht="21.0" customHeight="1">
      <c r="A828" s="79"/>
      <c r="B828" s="79"/>
      <c r="C828" s="104"/>
      <c r="D828" s="104"/>
      <c r="E828" s="104"/>
      <c r="F828" s="104"/>
      <c r="G828" s="104"/>
      <c r="H828" s="104"/>
      <c r="I828" s="104"/>
      <c r="J828" s="104"/>
      <c r="K828" s="104"/>
      <c r="L828" s="102"/>
      <c r="M828" s="102"/>
      <c r="N828" s="102"/>
      <c r="O828" s="102"/>
      <c r="P828" s="103"/>
      <c r="Q828" s="103"/>
      <c r="R828" s="103"/>
      <c r="S828" s="103"/>
      <c r="T828" s="79"/>
      <c r="U828" s="79"/>
      <c r="V828" s="79"/>
      <c r="W828" s="79"/>
      <c r="X828" s="79"/>
      <c r="Y828" s="79"/>
      <c r="Z828" s="79"/>
    </row>
    <row r="829" ht="21.0" customHeight="1">
      <c r="A829" s="79"/>
      <c r="B829" s="79"/>
      <c r="C829" s="104"/>
      <c r="D829" s="104"/>
      <c r="E829" s="104"/>
      <c r="F829" s="104"/>
      <c r="G829" s="104"/>
      <c r="H829" s="104"/>
      <c r="I829" s="104"/>
      <c r="J829" s="104"/>
      <c r="K829" s="104"/>
      <c r="L829" s="102"/>
      <c r="M829" s="102"/>
      <c r="N829" s="102"/>
      <c r="O829" s="102"/>
      <c r="P829" s="103"/>
      <c r="Q829" s="103"/>
      <c r="R829" s="103"/>
      <c r="S829" s="103"/>
      <c r="T829" s="79"/>
      <c r="U829" s="79"/>
      <c r="V829" s="79"/>
      <c r="W829" s="79"/>
      <c r="X829" s="79"/>
      <c r="Y829" s="79"/>
      <c r="Z829" s="79"/>
    </row>
    <row r="830" ht="21.0" customHeight="1">
      <c r="A830" s="79"/>
      <c r="B830" s="79"/>
      <c r="C830" s="104"/>
      <c r="D830" s="104"/>
      <c r="E830" s="104"/>
      <c r="F830" s="104"/>
      <c r="G830" s="104"/>
      <c r="H830" s="104"/>
      <c r="I830" s="104"/>
      <c r="J830" s="104"/>
      <c r="K830" s="104"/>
      <c r="L830" s="102"/>
      <c r="M830" s="102"/>
      <c r="N830" s="102"/>
      <c r="O830" s="102"/>
      <c r="P830" s="103"/>
      <c r="Q830" s="103"/>
      <c r="R830" s="103"/>
      <c r="S830" s="103"/>
      <c r="T830" s="79"/>
      <c r="U830" s="79"/>
      <c r="V830" s="79"/>
      <c r="W830" s="79"/>
      <c r="X830" s="79"/>
      <c r="Y830" s="79"/>
      <c r="Z830" s="79"/>
    </row>
    <row r="831" ht="21.0" customHeight="1">
      <c r="A831" s="79"/>
      <c r="B831" s="79"/>
      <c r="C831" s="104"/>
      <c r="D831" s="104"/>
      <c r="E831" s="104"/>
      <c r="F831" s="104"/>
      <c r="G831" s="104"/>
      <c r="H831" s="104"/>
      <c r="I831" s="104"/>
      <c r="J831" s="104"/>
      <c r="K831" s="104"/>
      <c r="L831" s="102"/>
      <c r="M831" s="102"/>
      <c r="N831" s="102"/>
      <c r="O831" s="102"/>
      <c r="P831" s="103"/>
      <c r="Q831" s="103"/>
      <c r="R831" s="103"/>
      <c r="S831" s="103"/>
      <c r="T831" s="79"/>
      <c r="U831" s="79"/>
      <c r="V831" s="79"/>
      <c r="W831" s="79"/>
      <c r="X831" s="79"/>
      <c r="Y831" s="79"/>
      <c r="Z831" s="79"/>
    </row>
    <row r="832" ht="21.0" customHeight="1">
      <c r="A832" s="79"/>
      <c r="B832" s="79"/>
      <c r="C832" s="104"/>
      <c r="D832" s="104"/>
      <c r="E832" s="104"/>
      <c r="F832" s="104"/>
      <c r="G832" s="104"/>
      <c r="H832" s="104"/>
      <c r="I832" s="104"/>
      <c r="J832" s="104"/>
      <c r="K832" s="104"/>
      <c r="L832" s="102"/>
      <c r="M832" s="102"/>
      <c r="N832" s="102"/>
      <c r="O832" s="102"/>
      <c r="P832" s="103"/>
      <c r="Q832" s="103"/>
      <c r="R832" s="103"/>
      <c r="S832" s="103"/>
      <c r="T832" s="79"/>
      <c r="U832" s="79"/>
      <c r="V832" s="79"/>
      <c r="W832" s="79"/>
      <c r="X832" s="79"/>
      <c r="Y832" s="79"/>
      <c r="Z832" s="79"/>
    </row>
    <row r="833" ht="21.0" customHeight="1">
      <c r="A833" s="79"/>
      <c r="B833" s="79"/>
      <c r="C833" s="104"/>
      <c r="D833" s="104"/>
      <c r="E833" s="104"/>
      <c r="F833" s="104"/>
      <c r="G833" s="104"/>
      <c r="H833" s="104"/>
      <c r="I833" s="104"/>
      <c r="J833" s="104"/>
      <c r="K833" s="104"/>
      <c r="L833" s="102"/>
      <c r="M833" s="102"/>
      <c r="N833" s="102"/>
      <c r="O833" s="102"/>
      <c r="P833" s="103"/>
      <c r="Q833" s="103"/>
      <c r="R833" s="103"/>
      <c r="S833" s="103"/>
      <c r="T833" s="79"/>
      <c r="U833" s="79"/>
      <c r="V833" s="79"/>
      <c r="W833" s="79"/>
      <c r="X833" s="79"/>
      <c r="Y833" s="79"/>
      <c r="Z833" s="79"/>
    </row>
    <row r="834" ht="21.0" customHeight="1">
      <c r="A834" s="79"/>
      <c r="B834" s="79"/>
      <c r="C834" s="104"/>
      <c r="D834" s="104"/>
      <c r="E834" s="104"/>
      <c r="F834" s="104"/>
      <c r="G834" s="104"/>
      <c r="H834" s="104"/>
      <c r="I834" s="104"/>
      <c r="J834" s="104"/>
      <c r="K834" s="104"/>
      <c r="L834" s="102"/>
      <c r="M834" s="102"/>
      <c r="N834" s="102"/>
      <c r="O834" s="102"/>
      <c r="P834" s="103"/>
      <c r="Q834" s="103"/>
      <c r="R834" s="103"/>
      <c r="S834" s="103"/>
      <c r="T834" s="79"/>
      <c r="U834" s="79"/>
      <c r="V834" s="79"/>
      <c r="W834" s="79"/>
      <c r="X834" s="79"/>
      <c r="Y834" s="79"/>
      <c r="Z834" s="79"/>
    </row>
    <row r="835" ht="21.0" customHeight="1">
      <c r="A835" s="79"/>
      <c r="B835" s="79"/>
      <c r="C835" s="104"/>
      <c r="D835" s="104"/>
      <c r="E835" s="104"/>
      <c r="F835" s="104"/>
      <c r="G835" s="104"/>
      <c r="H835" s="104"/>
      <c r="I835" s="104"/>
      <c r="J835" s="104"/>
      <c r="K835" s="104"/>
      <c r="L835" s="102"/>
      <c r="M835" s="102"/>
      <c r="N835" s="102"/>
      <c r="O835" s="102"/>
      <c r="P835" s="103"/>
      <c r="Q835" s="103"/>
      <c r="R835" s="103"/>
      <c r="S835" s="103"/>
      <c r="T835" s="79"/>
      <c r="U835" s="79"/>
      <c r="V835" s="79"/>
      <c r="W835" s="79"/>
      <c r="X835" s="79"/>
      <c r="Y835" s="79"/>
      <c r="Z835" s="79"/>
    </row>
    <row r="836" ht="21.0" customHeight="1">
      <c r="A836" s="79"/>
      <c r="B836" s="79"/>
      <c r="C836" s="104"/>
      <c r="D836" s="104"/>
      <c r="E836" s="104"/>
      <c r="F836" s="104"/>
      <c r="G836" s="104"/>
      <c r="H836" s="104"/>
      <c r="I836" s="104"/>
      <c r="J836" s="104"/>
      <c r="K836" s="104"/>
      <c r="L836" s="102"/>
      <c r="M836" s="102"/>
      <c r="N836" s="102"/>
      <c r="O836" s="102"/>
      <c r="P836" s="103"/>
      <c r="Q836" s="103"/>
      <c r="R836" s="103"/>
      <c r="S836" s="103"/>
      <c r="T836" s="79"/>
      <c r="U836" s="79"/>
      <c r="V836" s="79"/>
      <c r="W836" s="79"/>
      <c r="X836" s="79"/>
      <c r="Y836" s="79"/>
      <c r="Z836" s="79"/>
    </row>
    <row r="837" ht="21.0" customHeight="1">
      <c r="A837" s="79"/>
      <c r="B837" s="79"/>
      <c r="C837" s="104"/>
      <c r="D837" s="104"/>
      <c r="E837" s="104"/>
      <c r="F837" s="104"/>
      <c r="G837" s="104"/>
      <c r="H837" s="104"/>
      <c r="I837" s="104"/>
      <c r="J837" s="104"/>
      <c r="K837" s="104"/>
      <c r="L837" s="102"/>
      <c r="M837" s="102"/>
      <c r="N837" s="102"/>
      <c r="O837" s="102"/>
      <c r="P837" s="103"/>
      <c r="Q837" s="103"/>
      <c r="R837" s="103"/>
      <c r="S837" s="103"/>
      <c r="T837" s="79"/>
      <c r="U837" s="79"/>
      <c r="V837" s="79"/>
      <c r="W837" s="79"/>
      <c r="X837" s="79"/>
      <c r="Y837" s="79"/>
      <c r="Z837" s="79"/>
    </row>
    <row r="838" ht="21.0" customHeight="1">
      <c r="A838" s="79"/>
      <c r="B838" s="79"/>
      <c r="C838" s="104"/>
      <c r="D838" s="104"/>
      <c r="E838" s="104"/>
      <c r="F838" s="104"/>
      <c r="G838" s="104"/>
      <c r="H838" s="104"/>
      <c r="I838" s="104"/>
      <c r="J838" s="104"/>
      <c r="K838" s="104"/>
      <c r="L838" s="102"/>
      <c r="M838" s="102"/>
      <c r="N838" s="102"/>
      <c r="O838" s="102"/>
      <c r="P838" s="103"/>
      <c r="Q838" s="103"/>
      <c r="R838" s="103"/>
      <c r="S838" s="103"/>
      <c r="T838" s="79"/>
      <c r="U838" s="79"/>
      <c r="V838" s="79"/>
      <c r="W838" s="79"/>
      <c r="X838" s="79"/>
      <c r="Y838" s="79"/>
      <c r="Z838" s="79"/>
    </row>
    <row r="839" ht="21.0" customHeight="1">
      <c r="A839" s="79"/>
      <c r="B839" s="79"/>
      <c r="C839" s="104"/>
      <c r="D839" s="104"/>
      <c r="E839" s="104"/>
      <c r="F839" s="104"/>
      <c r="G839" s="104"/>
      <c r="H839" s="104"/>
      <c r="I839" s="104"/>
      <c r="J839" s="104"/>
      <c r="K839" s="104"/>
      <c r="L839" s="102"/>
      <c r="M839" s="102"/>
      <c r="N839" s="102"/>
      <c r="O839" s="102"/>
      <c r="P839" s="103"/>
      <c r="Q839" s="103"/>
      <c r="R839" s="103"/>
      <c r="S839" s="103"/>
      <c r="T839" s="79"/>
      <c r="U839" s="79"/>
      <c r="V839" s="79"/>
      <c r="W839" s="79"/>
      <c r="X839" s="79"/>
      <c r="Y839" s="79"/>
      <c r="Z839" s="79"/>
    </row>
    <row r="840" ht="21.0" customHeight="1">
      <c r="A840" s="79"/>
      <c r="B840" s="79"/>
      <c r="C840" s="104"/>
      <c r="D840" s="104"/>
      <c r="E840" s="104"/>
      <c r="F840" s="104"/>
      <c r="G840" s="104"/>
      <c r="H840" s="104"/>
      <c r="I840" s="104"/>
      <c r="J840" s="104"/>
      <c r="K840" s="104"/>
      <c r="L840" s="102"/>
      <c r="M840" s="102"/>
      <c r="N840" s="102"/>
      <c r="O840" s="102"/>
      <c r="P840" s="103"/>
      <c r="Q840" s="103"/>
      <c r="R840" s="103"/>
      <c r="S840" s="103"/>
      <c r="T840" s="79"/>
      <c r="U840" s="79"/>
      <c r="V840" s="79"/>
      <c r="W840" s="79"/>
      <c r="X840" s="79"/>
      <c r="Y840" s="79"/>
      <c r="Z840" s="79"/>
    </row>
    <row r="841" ht="21.0" customHeight="1">
      <c r="A841" s="79"/>
      <c r="B841" s="79"/>
      <c r="C841" s="104"/>
      <c r="D841" s="104"/>
      <c r="E841" s="104"/>
      <c r="F841" s="104"/>
      <c r="G841" s="104"/>
      <c r="H841" s="104"/>
      <c r="I841" s="104"/>
      <c r="J841" s="104"/>
      <c r="K841" s="104"/>
      <c r="L841" s="102"/>
      <c r="M841" s="102"/>
      <c r="N841" s="102"/>
      <c r="O841" s="102"/>
      <c r="P841" s="103"/>
      <c r="Q841" s="103"/>
      <c r="R841" s="103"/>
      <c r="S841" s="103"/>
      <c r="T841" s="79"/>
      <c r="U841" s="79"/>
      <c r="V841" s="79"/>
      <c r="W841" s="79"/>
      <c r="X841" s="79"/>
      <c r="Y841" s="79"/>
      <c r="Z841" s="79"/>
    </row>
    <row r="842" ht="21.0" customHeight="1">
      <c r="A842" s="79"/>
      <c r="B842" s="79"/>
      <c r="C842" s="104"/>
      <c r="D842" s="104"/>
      <c r="E842" s="104"/>
      <c r="F842" s="104"/>
      <c r="G842" s="104"/>
      <c r="H842" s="104"/>
      <c r="I842" s="104"/>
      <c r="J842" s="104"/>
      <c r="K842" s="104"/>
      <c r="L842" s="102"/>
      <c r="M842" s="102"/>
      <c r="N842" s="102"/>
      <c r="O842" s="102"/>
      <c r="P842" s="103"/>
      <c r="Q842" s="103"/>
      <c r="R842" s="103"/>
      <c r="S842" s="103"/>
      <c r="T842" s="79"/>
      <c r="U842" s="79"/>
      <c r="V842" s="79"/>
      <c r="W842" s="79"/>
      <c r="X842" s="79"/>
      <c r="Y842" s="79"/>
      <c r="Z842" s="79"/>
    </row>
    <row r="843" ht="21.0" customHeight="1">
      <c r="A843" s="79"/>
      <c r="B843" s="79"/>
      <c r="C843" s="104"/>
      <c r="D843" s="104"/>
      <c r="E843" s="104"/>
      <c r="F843" s="104"/>
      <c r="G843" s="104"/>
      <c r="H843" s="104"/>
      <c r="I843" s="104"/>
      <c r="J843" s="104"/>
      <c r="K843" s="104"/>
      <c r="L843" s="102"/>
      <c r="M843" s="102"/>
      <c r="N843" s="102"/>
      <c r="O843" s="102"/>
      <c r="P843" s="103"/>
      <c r="Q843" s="103"/>
      <c r="R843" s="103"/>
      <c r="S843" s="103"/>
      <c r="T843" s="79"/>
      <c r="U843" s="79"/>
      <c r="V843" s="79"/>
      <c r="W843" s="79"/>
      <c r="X843" s="79"/>
      <c r="Y843" s="79"/>
      <c r="Z843" s="79"/>
    </row>
    <row r="844" ht="21.0" customHeight="1">
      <c r="A844" s="79"/>
      <c r="B844" s="79"/>
      <c r="C844" s="104"/>
      <c r="D844" s="104"/>
      <c r="E844" s="104"/>
      <c r="F844" s="104"/>
      <c r="G844" s="104"/>
      <c r="H844" s="104"/>
      <c r="I844" s="104"/>
      <c r="J844" s="104"/>
      <c r="K844" s="104"/>
      <c r="L844" s="102"/>
      <c r="M844" s="102"/>
      <c r="N844" s="102"/>
      <c r="O844" s="102"/>
      <c r="P844" s="103"/>
      <c r="Q844" s="103"/>
      <c r="R844" s="103"/>
      <c r="S844" s="103"/>
      <c r="T844" s="79"/>
      <c r="U844" s="79"/>
      <c r="V844" s="79"/>
      <c r="W844" s="79"/>
      <c r="X844" s="79"/>
      <c r="Y844" s="79"/>
      <c r="Z844" s="79"/>
    </row>
    <row r="845" ht="21.0" customHeight="1">
      <c r="A845" s="79"/>
      <c r="B845" s="79"/>
      <c r="C845" s="104"/>
      <c r="D845" s="104"/>
      <c r="E845" s="104"/>
      <c r="F845" s="104"/>
      <c r="G845" s="104"/>
      <c r="H845" s="104"/>
      <c r="I845" s="104"/>
      <c r="J845" s="104"/>
      <c r="K845" s="104"/>
      <c r="L845" s="102"/>
      <c r="M845" s="102"/>
      <c r="N845" s="102"/>
      <c r="O845" s="102"/>
      <c r="P845" s="103"/>
      <c r="Q845" s="103"/>
      <c r="R845" s="103"/>
      <c r="S845" s="103"/>
      <c r="T845" s="79"/>
      <c r="U845" s="79"/>
      <c r="V845" s="79"/>
      <c r="W845" s="79"/>
      <c r="X845" s="79"/>
      <c r="Y845" s="79"/>
      <c r="Z845" s="79"/>
    </row>
    <row r="846" ht="21.0" customHeight="1">
      <c r="A846" s="79"/>
      <c r="B846" s="79"/>
      <c r="C846" s="104"/>
      <c r="D846" s="104"/>
      <c r="E846" s="104"/>
      <c r="F846" s="104"/>
      <c r="G846" s="104"/>
      <c r="H846" s="104"/>
      <c r="I846" s="104"/>
      <c r="J846" s="104"/>
      <c r="K846" s="104"/>
      <c r="L846" s="102"/>
      <c r="M846" s="102"/>
      <c r="N846" s="102"/>
      <c r="O846" s="102"/>
      <c r="P846" s="103"/>
      <c r="Q846" s="103"/>
      <c r="R846" s="103"/>
      <c r="S846" s="103"/>
      <c r="T846" s="79"/>
      <c r="U846" s="79"/>
      <c r="V846" s="79"/>
      <c r="W846" s="79"/>
      <c r="X846" s="79"/>
      <c r="Y846" s="79"/>
      <c r="Z846" s="79"/>
    </row>
    <row r="847" ht="21.0" customHeight="1">
      <c r="A847" s="79"/>
      <c r="B847" s="79"/>
      <c r="C847" s="104"/>
      <c r="D847" s="104"/>
      <c r="E847" s="104"/>
      <c r="F847" s="104"/>
      <c r="G847" s="104"/>
      <c r="H847" s="104"/>
      <c r="I847" s="104"/>
      <c r="J847" s="104"/>
      <c r="K847" s="104"/>
      <c r="L847" s="102"/>
      <c r="M847" s="102"/>
      <c r="N847" s="102"/>
      <c r="O847" s="102"/>
      <c r="P847" s="103"/>
      <c r="Q847" s="103"/>
      <c r="R847" s="103"/>
      <c r="S847" s="103"/>
      <c r="T847" s="79"/>
      <c r="U847" s="79"/>
      <c r="V847" s="79"/>
      <c r="W847" s="79"/>
      <c r="X847" s="79"/>
      <c r="Y847" s="79"/>
      <c r="Z847" s="79"/>
    </row>
    <row r="848" ht="21.0" customHeight="1">
      <c r="A848" s="79"/>
      <c r="B848" s="79"/>
      <c r="C848" s="104"/>
      <c r="D848" s="104"/>
      <c r="E848" s="104"/>
      <c r="F848" s="104"/>
      <c r="G848" s="104"/>
      <c r="H848" s="104"/>
      <c r="I848" s="104"/>
      <c r="J848" s="104"/>
      <c r="K848" s="104"/>
      <c r="L848" s="102"/>
      <c r="M848" s="102"/>
      <c r="N848" s="102"/>
      <c r="O848" s="102"/>
      <c r="P848" s="103"/>
      <c r="Q848" s="103"/>
      <c r="R848" s="103"/>
      <c r="S848" s="103"/>
      <c r="T848" s="79"/>
      <c r="U848" s="79"/>
      <c r="V848" s="79"/>
      <c r="W848" s="79"/>
      <c r="X848" s="79"/>
      <c r="Y848" s="79"/>
      <c r="Z848" s="79"/>
    </row>
    <row r="849" ht="21.0" customHeight="1">
      <c r="A849" s="79"/>
      <c r="B849" s="79"/>
      <c r="C849" s="104"/>
      <c r="D849" s="104"/>
      <c r="E849" s="104"/>
      <c r="F849" s="104"/>
      <c r="G849" s="104"/>
      <c r="H849" s="104"/>
      <c r="I849" s="104"/>
      <c r="J849" s="104"/>
      <c r="K849" s="104"/>
      <c r="L849" s="102"/>
      <c r="M849" s="102"/>
      <c r="N849" s="102"/>
      <c r="O849" s="102"/>
      <c r="P849" s="103"/>
      <c r="Q849" s="103"/>
      <c r="R849" s="103"/>
      <c r="S849" s="103"/>
      <c r="T849" s="79"/>
      <c r="U849" s="79"/>
      <c r="V849" s="79"/>
      <c r="W849" s="79"/>
      <c r="X849" s="79"/>
      <c r="Y849" s="79"/>
      <c r="Z849" s="79"/>
    </row>
    <row r="850" ht="21.0" customHeight="1">
      <c r="A850" s="79"/>
      <c r="B850" s="79"/>
      <c r="C850" s="104"/>
      <c r="D850" s="104"/>
      <c r="E850" s="104"/>
      <c r="F850" s="104"/>
      <c r="G850" s="104"/>
      <c r="H850" s="104"/>
      <c r="I850" s="104"/>
      <c r="J850" s="104"/>
      <c r="K850" s="104"/>
      <c r="L850" s="102"/>
      <c r="M850" s="102"/>
      <c r="N850" s="102"/>
      <c r="O850" s="102"/>
      <c r="P850" s="103"/>
      <c r="Q850" s="103"/>
      <c r="R850" s="103"/>
      <c r="S850" s="103"/>
      <c r="T850" s="79"/>
      <c r="U850" s="79"/>
      <c r="V850" s="79"/>
      <c r="W850" s="79"/>
      <c r="X850" s="79"/>
      <c r="Y850" s="79"/>
      <c r="Z850" s="79"/>
    </row>
    <row r="851" ht="21.0" customHeight="1">
      <c r="A851" s="79"/>
      <c r="B851" s="79"/>
      <c r="C851" s="104"/>
      <c r="D851" s="104"/>
      <c r="E851" s="104"/>
      <c r="F851" s="104"/>
      <c r="G851" s="104"/>
      <c r="H851" s="104"/>
      <c r="I851" s="104"/>
      <c r="J851" s="104"/>
      <c r="K851" s="104"/>
      <c r="L851" s="102"/>
      <c r="M851" s="102"/>
      <c r="N851" s="102"/>
      <c r="O851" s="102"/>
      <c r="P851" s="103"/>
      <c r="Q851" s="103"/>
      <c r="R851" s="103"/>
      <c r="S851" s="103"/>
      <c r="T851" s="79"/>
      <c r="U851" s="79"/>
      <c r="V851" s="79"/>
      <c r="W851" s="79"/>
      <c r="X851" s="79"/>
      <c r="Y851" s="79"/>
      <c r="Z851" s="79"/>
    </row>
    <row r="852" ht="21.0" customHeight="1">
      <c r="A852" s="79"/>
      <c r="B852" s="79"/>
      <c r="C852" s="104"/>
      <c r="D852" s="104"/>
      <c r="E852" s="104"/>
      <c r="F852" s="104"/>
      <c r="G852" s="104"/>
      <c r="H852" s="104"/>
      <c r="I852" s="104"/>
      <c r="J852" s="104"/>
      <c r="K852" s="104"/>
      <c r="L852" s="102"/>
      <c r="M852" s="102"/>
      <c r="N852" s="102"/>
      <c r="O852" s="102"/>
      <c r="P852" s="103"/>
      <c r="Q852" s="103"/>
      <c r="R852" s="103"/>
      <c r="S852" s="103"/>
      <c r="T852" s="79"/>
      <c r="U852" s="79"/>
      <c r="V852" s="79"/>
      <c r="W852" s="79"/>
      <c r="X852" s="79"/>
      <c r="Y852" s="79"/>
      <c r="Z852" s="79"/>
    </row>
    <row r="853" ht="21.0" customHeight="1">
      <c r="A853" s="79"/>
      <c r="B853" s="79"/>
      <c r="C853" s="104"/>
      <c r="D853" s="104"/>
      <c r="E853" s="104"/>
      <c r="F853" s="104"/>
      <c r="G853" s="104"/>
      <c r="H853" s="104"/>
      <c r="I853" s="104"/>
      <c r="J853" s="104"/>
      <c r="K853" s="104"/>
      <c r="L853" s="102"/>
      <c r="M853" s="102"/>
      <c r="N853" s="102"/>
      <c r="O853" s="102"/>
      <c r="P853" s="103"/>
      <c r="Q853" s="103"/>
      <c r="R853" s="103"/>
      <c r="S853" s="103"/>
      <c r="T853" s="79"/>
      <c r="U853" s="79"/>
      <c r="V853" s="79"/>
      <c r="W853" s="79"/>
      <c r="X853" s="79"/>
      <c r="Y853" s="79"/>
      <c r="Z853" s="79"/>
    </row>
    <row r="854" ht="21.0" customHeight="1">
      <c r="A854" s="79"/>
      <c r="B854" s="79"/>
      <c r="C854" s="104"/>
      <c r="D854" s="104"/>
      <c r="E854" s="104"/>
      <c r="F854" s="104"/>
      <c r="G854" s="104"/>
      <c r="H854" s="104"/>
      <c r="I854" s="104"/>
      <c r="J854" s="104"/>
      <c r="K854" s="104"/>
      <c r="L854" s="102"/>
      <c r="M854" s="102"/>
      <c r="N854" s="102"/>
      <c r="O854" s="102"/>
      <c r="P854" s="103"/>
      <c r="Q854" s="103"/>
      <c r="R854" s="103"/>
      <c r="S854" s="103"/>
      <c r="T854" s="79"/>
      <c r="U854" s="79"/>
      <c r="V854" s="79"/>
      <c r="W854" s="79"/>
      <c r="X854" s="79"/>
      <c r="Y854" s="79"/>
      <c r="Z854" s="79"/>
    </row>
    <row r="855" ht="21.0" customHeight="1">
      <c r="A855" s="79"/>
      <c r="B855" s="79"/>
      <c r="C855" s="104"/>
      <c r="D855" s="104"/>
      <c r="E855" s="104"/>
      <c r="F855" s="104"/>
      <c r="G855" s="104"/>
      <c r="H855" s="104"/>
      <c r="I855" s="104"/>
      <c r="J855" s="104"/>
      <c r="K855" s="104"/>
      <c r="L855" s="102"/>
      <c r="M855" s="102"/>
      <c r="N855" s="102"/>
      <c r="O855" s="102"/>
      <c r="P855" s="103"/>
      <c r="Q855" s="103"/>
      <c r="R855" s="103"/>
      <c r="S855" s="103"/>
      <c r="T855" s="79"/>
      <c r="U855" s="79"/>
      <c r="V855" s="79"/>
      <c r="W855" s="79"/>
      <c r="X855" s="79"/>
      <c r="Y855" s="79"/>
      <c r="Z855" s="79"/>
    </row>
    <row r="856" ht="21.0" customHeight="1">
      <c r="A856" s="79"/>
      <c r="B856" s="79"/>
      <c r="C856" s="104"/>
      <c r="D856" s="104"/>
      <c r="E856" s="104"/>
      <c r="F856" s="104"/>
      <c r="G856" s="104"/>
      <c r="H856" s="104"/>
      <c r="I856" s="104"/>
      <c r="J856" s="104"/>
      <c r="K856" s="104"/>
      <c r="L856" s="102"/>
      <c r="M856" s="102"/>
      <c r="N856" s="102"/>
      <c r="O856" s="102"/>
      <c r="P856" s="103"/>
      <c r="Q856" s="103"/>
      <c r="R856" s="103"/>
      <c r="S856" s="103"/>
      <c r="T856" s="79"/>
      <c r="U856" s="79"/>
      <c r="V856" s="79"/>
      <c r="W856" s="79"/>
      <c r="X856" s="79"/>
      <c r="Y856" s="79"/>
      <c r="Z856" s="79"/>
    </row>
    <row r="857" ht="21.0" customHeight="1">
      <c r="A857" s="79"/>
      <c r="B857" s="79"/>
      <c r="C857" s="104"/>
      <c r="D857" s="104"/>
      <c r="E857" s="104"/>
      <c r="F857" s="104"/>
      <c r="G857" s="104"/>
      <c r="H857" s="104"/>
      <c r="I857" s="104"/>
      <c r="J857" s="104"/>
      <c r="K857" s="104"/>
      <c r="L857" s="102"/>
      <c r="M857" s="102"/>
      <c r="N857" s="102"/>
      <c r="O857" s="102"/>
      <c r="P857" s="103"/>
      <c r="Q857" s="103"/>
      <c r="R857" s="103"/>
      <c r="S857" s="103"/>
      <c r="T857" s="79"/>
      <c r="U857" s="79"/>
      <c r="V857" s="79"/>
      <c r="W857" s="79"/>
      <c r="X857" s="79"/>
      <c r="Y857" s="79"/>
      <c r="Z857" s="79"/>
    </row>
    <row r="858" ht="21.0" customHeight="1">
      <c r="A858" s="79"/>
      <c r="B858" s="79"/>
      <c r="C858" s="104"/>
      <c r="D858" s="104"/>
      <c r="E858" s="104"/>
      <c r="F858" s="104"/>
      <c r="G858" s="104"/>
      <c r="H858" s="104"/>
      <c r="I858" s="104"/>
      <c r="J858" s="104"/>
      <c r="K858" s="104"/>
      <c r="L858" s="102"/>
      <c r="M858" s="102"/>
      <c r="N858" s="102"/>
      <c r="O858" s="102"/>
      <c r="P858" s="103"/>
      <c r="Q858" s="103"/>
      <c r="R858" s="103"/>
      <c r="S858" s="103"/>
      <c r="T858" s="79"/>
      <c r="U858" s="79"/>
      <c r="V858" s="79"/>
      <c r="W858" s="79"/>
      <c r="X858" s="79"/>
      <c r="Y858" s="79"/>
      <c r="Z858" s="79"/>
    </row>
    <row r="859" ht="21.0" customHeight="1">
      <c r="A859" s="79"/>
      <c r="B859" s="79"/>
      <c r="C859" s="104"/>
      <c r="D859" s="104"/>
      <c r="E859" s="104"/>
      <c r="F859" s="104"/>
      <c r="G859" s="104"/>
      <c r="H859" s="104"/>
      <c r="I859" s="104"/>
      <c r="J859" s="104"/>
      <c r="K859" s="104"/>
      <c r="L859" s="102"/>
      <c r="M859" s="102"/>
      <c r="N859" s="102"/>
      <c r="O859" s="102"/>
      <c r="P859" s="103"/>
      <c r="Q859" s="103"/>
      <c r="R859" s="103"/>
      <c r="S859" s="103"/>
      <c r="T859" s="79"/>
      <c r="U859" s="79"/>
      <c r="V859" s="79"/>
      <c r="W859" s="79"/>
      <c r="X859" s="79"/>
      <c r="Y859" s="79"/>
      <c r="Z859" s="79"/>
    </row>
    <row r="860" ht="21.0" customHeight="1">
      <c r="A860" s="79"/>
      <c r="B860" s="79"/>
      <c r="C860" s="104"/>
      <c r="D860" s="104"/>
      <c r="E860" s="104"/>
      <c r="F860" s="104"/>
      <c r="G860" s="104"/>
      <c r="H860" s="104"/>
      <c r="I860" s="104"/>
      <c r="J860" s="104"/>
      <c r="K860" s="104"/>
      <c r="L860" s="102"/>
      <c r="M860" s="102"/>
      <c r="N860" s="102"/>
      <c r="O860" s="102"/>
      <c r="P860" s="103"/>
      <c r="Q860" s="103"/>
      <c r="R860" s="103"/>
      <c r="S860" s="103"/>
      <c r="T860" s="79"/>
      <c r="U860" s="79"/>
      <c r="V860" s="79"/>
      <c r="W860" s="79"/>
      <c r="X860" s="79"/>
      <c r="Y860" s="79"/>
      <c r="Z860" s="79"/>
    </row>
    <row r="861" ht="21.0" customHeight="1">
      <c r="A861" s="79"/>
      <c r="B861" s="79"/>
      <c r="C861" s="104"/>
      <c r="D861" s="104"/>
      <c r="E861" s="104"/>
      <c r="F861" s="104"/>
      <c r="G861" s="104"/>
      <c r="H861" s="104"/>
      <c r="I861" s="104"/>
      <c r="J861" s="104"/>
      <c r="K861" s="104"/>
      <c r="L861" s="102"/>
      <c r="M861" s="102"/>
      <c r="N861" s="102"/>
      <c r="O861" s="102"/>
      <c r="P861" s="103"/>
      <c r="Q861" s="103"/>
      <c r="R861" s="103"/>
      <c r="S861" s="103"/>
      <c r="T861" s="79"/>
      <c r="U861" s="79"/>
      <c r="V861" s="79"/>
      <c r="W861" s="79"/>
      <c r="X861" s="79"/>
      <c r="Y861" s="79"/>
      <c r="Z861" s="79"/>
    </row>
    <row r="862" ht="21.0" customHeight="1">
      <c r="A862" s="79"/>
      <c r="B862" s="79"/>
      <c r="C862" s="104"/>
      <c r="D862" s="104"/>
      <c r="E862" s="104"/>
      <c r="F862" s="104"/>
      <c r="G862" s="104"/>
      <c r="H862" s="104"/>
      <c r="I862" s="104"/>
      <c r="J862" s="104"/>
      <c r="K862" s="104"/>
      <c r="L862" s="102"/>
      <c r="M862" s="102"/>
      <c r="N862" s="102"/>
      <c r="O862" s="102"/>
      <c r="P862" s="103"/>
      <c r="Q862" s="103"/>
      <c r="R862" s="103"/>
      <c r="S862" s="103"/>
      <c r="T862" s="79"/>
      <c r="U862" s="79"/>
      <c r="V862" s="79"/>
      <c r="W862" s="79"/>
      <c r="X862" s="79"/>
      <c r="Y862" s="79"/>
      <c r="Z862" s="79"/>
    </row>
    <row r="863" ht="21.0" customHeight="1">
      <c r="A863" s="79"/>
      <c r="B863" s="79"/>
      <c r="C863" s="104"/>
      <c r="D863" s="104"/>
      <c r="E863" s="104"/>
      <c r="F863" s="104"/>
      <c r="G863" s="104"/>
      <c r="H863" s="104"/>
      <c r="I863" s="104"/>
      <c r="J863" s="104"/>
      <c r="K863" s="104"/>
      <c r="L863" s="102"/>
      <c r="M863" s="102"/>
      <c r="N863" s="102"/>
      <c r="O863" s="102"/>
      <c r="P863" s="103"/>
      <c r="Q863" s="103"/>
      <c r="R863" s="103"/>
      <c r="S863" s="103"/>
      <c r="T863" s="79"/>
      <c r="U863" s="79"/>
      <c r="V863" s="79"/>
      <c r="W863" s="79"/>
      <c r="X863" s="79"/>
      <c r="Y863" s="79"/>
      <c r="Z863" s="79"/>
    </row>
    <row r="864" ht="21.0" customHeight="1">
      <c r="A864" s="79"/>
      <c r="B864" s="79"/>
      <c r="C864" s="104"/>
      <c r="D864" s="104"/>
      <c r="E864" s="104"/>
      <c r="F864" s="104"/>
      <c r="G864" s="104"/>
      <c r="H864" s="104"/>
      <c r="I864" s="104"/>
      <c r="J864" s="104"/>
      <c r="K864" s="104"/>
      <c r="L864" s="102"/>
      <c r="M864" s="102"/>
      <c r="N864" s="102"/>
      <c r="O864" s="102"/>
      <c r="P864" s="103"/>
      <c r="Q864" s="103"/>
      <c r="R864" s="103"/>
      <c r="S864" s="103"/>
      <c r="T864" s="79"/>
      <c r="U864" s="79"/>
      <c r="V864" s="79"/>
      <c r="W864" s="79"/>
      <c r="X864" s="79"/>
      <c r="Y864" s="79"/>
      <c r="Z864" s="79"/>
    </row>
    <row r="865" ht="21.0" customHeight="1">
      <c r="A865" s="79"/>
      <c r="B865" s="79"/>
      <c r="C865" s="104"/>
      <c r="D865" s="104"/>
      <c r="E865" s="104"/>
      <c r="F865" s="104"/>
      <c r="G865" s="104"/>
      <c r="H865" s="104"/>
      <c r="I865" s="104"/>
      <c r="J865" s="104"/>
      <c r="K865" s="104"/>
      <c r="L865" s="102"/>
      <c r="M865" s="102"/>
      <c r="N865" s="102"/>
      <c r="O865" s="102"/>
      <c r="P865" s="103"/>
      <c r="Q865" s="103"/>
      <c r="R865" s="103"/>
      <c r="S865" s="103"/>
      <c r="T865" s="79"/>
      <c r="U865" s="79"/>
      <c r="V865" s="79"/>
      <c r="W865" s="79"/>
      <c r="X865" s="79"/>
      <c r="Y865" s="79"/>
      <c r="Z865" s="79"/>
    </row>
    <row r="866" ht="21.0" customHeight="1">
      <c r="A866" s="79"/>
      <c r="B866" s="79"/>
      <c r="C866" s="104"/>
      <c r="D866" s="104"/>
      <c r="E866" s="104"/>
      <c r="F866" s="104"/>
      <c r="G866" s="104"/>
      <c r="H866" s="104"/>
      <c r="I866" s="104"/>
      <c r="J866" s="104"/>
      <c r="K866" s="104"/>
      <c r="L866" s="102"/>
      <c r="M866" s="102"/>
      <c r="N866" s="102"/>
      <c r="O866" s="102"/>
      <c r="P866" s="103"/>
      <c r="Q866" s="103"/>
      <c r="R866" s="103"/>
      <c r="S866" s="103"/>
      <c r="T866" s="79"/>
      <c r="U866" s="79"/>
      <c r="V866" s="79"/>
      <c r="W866" s="79"/>
      <c r="X866" s="79"/>
      <c r="Y866" s="79"/>
      <c r="Z866" s="79"/>
    </row>
    <row r="867" ht="21.0" customHeight="1">
      <c r="A867" s="79"/>
      <c r="B867" s="79"/>
      <c r="C867" s="104"/>
      <c r="D867" s="104"/>
      <c r="E867" s="104"/>
      <c r="F867" s="104"/>
      <c r="G867" s="104"/>
      <c r="H867" s="104"/>
      <c r="I867" s="104"/>
      <c r="J867" s="104"/>
      <c r="K867" s="104"/>
      <c r="L867" s="102"/>
      <c r="M867" s="102"/>
      <c r="N867" s="102"/>
      <c r="O867" s="102"/>
      <c r="P867" s="103"/>
      <c r="Q867" s="103"/>
      <c r="R867" s="103"/>
      <c r="S867" s="103"/>
      <c r="T867" s="79"/>
      <c r="U867" s="79"/>
      <c r="V867" s="79"/>
      <c r="W867" s="79"/>
      <c r="X867" s="79"/>
      <c r="Y867" s="79"/>
      <c r="Z867" s="79"/>
    </row>
    <row r="868" ht="21.0" customHeight="1">
      <c r="A868" s="79"/>
      <c r="B868" s="79"/>
      <c r="C868" s="104"/>
      <c r="D868" s="104"/>
      <c r="E868" s="104"/>
      <c r="F868" s="104"/>
      <c r="G868" s="104"/>
      <c r="H868" s="104"/>
      <c r="I868" s="104"/>
      <c r="J868" s="104"/>
      <c r="K868" s="104"/>
      <c r="L868" s="102"/>
      <c r="M868" s="102"/>
      <c r="N868" s="102"/>
      <c r="O868" s="102"/>
      <c r="P868" s="103"/>
      <c r="Q868" s="103"/>
      <c r="R868" s="103"/>
      <c r="S868" s="103"/>
      <c r="T868" s="79"/>
      <c r="U868" s="79"/>
      <c r="V868" s="79"/>
      <c r="W868" s="79"/>
      <c r="X868" s="79"/>
      <c r="Y868" s="79"/>
      <c r="Z868" s="79"/>
    </row>
    <row r="869" ht="21.0" customHeight="1">
      <c r="A869" s="79"/>
      <c r="B869" s="79"/>
      <c r="C869" s="104"/>
      <c r="D869" s="104"/>
      <c r="E869" s="104"/>
      <c r="F869" s="104"/>
      <c r="G869" s="104"/>
      <c r="H869" s="104"/>
      <c r="I869" s="104"/>
      <c r="J869" s="104"/>
      <c r="K869" s="104"/>
      <c r="L869" s="102"/>
      <c r="M869" s="102"/>
      <c r="N869" s="102"/>
      <c r="O869" s="102"/>
      <c r="P869" s="103"/>
      <c r="Q869" s="103"/>
      <c r="R869" s="103"/>
      <c r="S869" s="103"/>
      <c r="T869" s="79"/>
      <c r="U869" s="79"/>
      <c r="V869" s="79"/>
      <c r="W869" s="79"/>
      <c r="X869" s="79"/>
      <c r="Y869" s="79"/>
      <c r="Z869" s="79"/>
    </row>
    <row r="870" ht="21.0" customHeight="1">
      <c r="A870" s="79"/>
      <c r="B870" s="79"/>
      <c r="C870" s="104"/>
      <c r="D870" s="104"/>
      <c r="E870" s="104"/>
      <c r="F870" s="104"/>
      <c r="G870" s="104"/>
      <c r="H870" s="104"/>
      <c r="I870" s="104"/>
      <c r="J870" s="104"/>
      <c r="K870" s="104"/>
      <c r="L870" s="102"/>
      <c r="M870" s="102"/>
      <c r="N870" s="102"/>
      <c r="O870" s="102"/>
      <c r="P870" s="103"/>
      <c r="Q870" s="103"/>
      <c r="R870" s="103"/>
      <c r="S870" s="103"/>
      <c r="T870" s="79"/>
      <c r="U870" s="79"/>
      <c r="V870" s="79"/>
      <c r="W870" s="79"/>
      <c r="X870" s="79"/>
      <c r="Y870" s="79"/>
      <c r="Z870" s="79"/>
    </row>
    <row r="871" ht="21.0" customHeight="1">
      <c r="A871" s="79"/>
      <c r="B871" s="79"/>
      <c r="C871" s="104"/>
      <c r="D871" s="104"/>
      <c r="E871" s="104"/>
      <c r="F871" s="104"/>
      <c r="G871" s="104"/>
      <c r="H871" s="104"/>
      <c r="I871" s="104"/>
      <c r="J871" s="104"/>
      <c r="K871" s="104"/>
      <c r="L871" s="102"/>
      <c r="M871" s="102"/>
      <c r="N871" s="102"/>
      <c r="O871" s="102"/>
      <c r="P871" s="103"/>
      <c r="Q871" s="103"/>
      <c r="R871" s="103"/>
      <c r="S871" s="103"/>
      <c r="T871" s="79"/>
      <c r="U871" s="79"/>
      <c r="V871" s="79"/>
      <c r="W871" s="79"/>
      <c r="X871" s="79"/>
      <c r="Y871" s="79"/>
      <c r="Z871" s="79"/>
    </row>
    <row r="872" ht="21.0" customHeight="1">
      <c r="A872" s="79"/>
      <c r="B872" s="79"/>
      <c r="C872" s="104"/>
      <c r="D872" s="104"/>
      <c r="E872" s="104"/>
      <c r="F872" s="104"/>
      <c r="G872" s="104"/>
      <c r="H872" s="104"/>
      <c r="I872" s="104"/>
      <c r="J872" s="104"/>
      <c r="K872" s="104"/>
      <c r="L872" s="102"/>
      <c r="M872" s="102"/>
      <c r="N872" s="102"/>
      <c r="O872" s="102"/>
      <c r="P872" s="103"/>
      <c r="Q872" s="103"/>
      <c r="R872" s="103"/>
      <c r="S872" s="103"/>
      <c r="T872" s="79"/>
      <c r="U872" s="79"/>
      <c r="V872" s="79"/>
      <c r="W872" s="79"/>
      <c r="X872" s="79"/>
      <c r="Y872" s="79"/>
      <c r="Z872" s="79"/>
    </row>
    <row r="873" ht="21.0" customHeight="1">
      <c r="A873" s="79"/>
      <c r="B873" s="79"/>
      <c r="C873" s="104"/>
      <c r="D873" s="104"/>
      <c r="E873" s="104"/>
      <c r="F873" s="104"/>
      <c r="G873" s="104"/>
      <c r="H873" s="104"/>
      <c r="I873" s="104"/>
      <c r="J873" s="104"/>
      <c r="K873" s="104"/>
      <c r="L873" s="102"/>
      <c r="M873" s="102"/>
      <c r="N873" s="102"/>
      <c r="O873" s="102"/>
      <c r="P873" s="103"/>
      <c r="Q873" s="103"/>
      <c r="R873" s="103"/>
      <c r="S873" s="103"/>
      <c r="T873" s="79"/>
      <c r="U873" s="79"/>
      <c r="V873" s="79"/>
      <c r="W873" s="79"/>
      <c r="X873" s="79"/>
      <c r="Y873" s="79"/>
      <c r="Z873" s="79"/>
    </row>
    <row r="874" ht="21.0" customHeight="1">
      <c r="A874" s="79"/>
      <c r="B874" s="79"/>
      <c r="C874" s="104"/>
      <c r="D874" s="104"/>
      <c r="E874" s="104"/>
      <c r="F874" s="104"/>
      <c r="G874" s="104"/>
      <c r="H874" s="104"/>
      <c r="I874" s="104"/>
      <c r="J874" s="104"/>
      <c r="K874" s="104"/>
      <c r="L874" s="102"/>
      <c r="M874" s="102"/>
      <c r="N874" s="102"/>
      <c r="O874" s="102"/>
      <c r="P874" s="103"/>
      <c r="Q874" s="103"/>
      <c r="R874" s="103"/>
      <c r="S874" s="103"/>
      <c r="T874" s="79"/>
      <c r="U874" s="79"/>
      <c r="V874" s="79"/>
      <c r="W874" s="79"/>
      <c r="X874" s="79"/>
      <c r="Y874" s="79"/>
      <c r="Z874" s="79"/>
    </row>
    <row r="875" ht="21.0" customHeight="1">
      <c r="A875" s="79"/>
      <c r="B875" s="79"/>
      <c r="C875" s="104"/>
      <c r="D875" s="104"/>
      <c r="E875" s="104"/>
      <c r="F875" s="104"/>
      <c r="G875" s="104"/>
      <c r="H875" s="104"/>
      <c r="I875" s="104"/>
      <c r="J875" s="104"/>
      <c r="K875" s="104"/>
      <c r="L875" s="102"/>
      <c r="M875" s="102"/>
      <c r="N875" s="102"/>
      <c r="O875" s="102"/>
      <c r="P875" s="103"/>
      <c r="Q875" s="103"/>
      <c r="R875" s="103"/>
      <c r="S875" s="103"/>
      <c r="T875" s="79"/>
      <c r="U875" s="79"/>
      <c r="V875" s="79"/>
      <c r="W875" s="79"/>
      <c r="X875" s="79"/>
      <c r="Y875" s="79"/>
      <c r="Z875" s="79"/>
    </row>
    <row r="876" ht="21.0" customHeight="1">
      <c r="A876" s="79"/>
      <c r="B876" s="79"/>
      <c r="C876" s="104"/>
      <c r="D876" s="104"/>
      <c r="E876" s="104"/>
      <c r="F876" s="104"/>
      <c r="G876" s="104"/>
      <c r="H876" s="104"/>
      <c r="I876" s="104"/>
      <c r="J876" s="104"/>
      <c r="K876" s="104"/>
      <c r="L876" s="102"/>
      <c r="M876" s="102"/>
      <c r="N876" s="102"/>
      <c r="O876" s="102"/>
      <c r="P876" s="103"/>
      <c r="Q876" s="103"/>
      <c r="R876" s="103"/>
      <c r="S876" s="103"/>
      <c r="T876" s="79"/>
      <c r="U876" s="79"/>
      <c r="V876" s="79"/>
      <c r="W876" s="79"/>
      <c r="X876" s="79"/>
      <c r="Y876" s="79"/>
      <c r="Z876" s="79"/>
    </row>
    <row r="877" ht="21.0" customHeight="1">
      <c r="A877" s="79"/>
      <c r="B877" s="79"/>
      <c r="C877" s="104"/>
      <c r="D877" s="104"/>
      <c r="E877" s="104"/>
      <c r="F877" s="104"/>
      <c r="G877" s="104"/>
      <c r="H877" s="104"/>
      <c r="I877" s="104"/>
      <c r="J877" s="104"/>
      <c r="K877" s="104"/>
      <c r="L877" s="102"/>
      <c r="M877" s="102"/>
      <c r="N877" s="102"/>
      <c r="O877" s="102"/>
      <c r="P877" s="103"/>
      <c r="Q877" s="103"/>
      <c r="R877" s="103"/>
      <c r="S877" s="103"/>
      <c r="T877" s="79"/>
      <c r="U877" s="79"/>
      <c r="V877" s="79"/>
      <c r="W877" s="79"/>
      <c r="X877" s="79"/>
      <c r="Y877" s="79"/>
      <c r="Z877" s="79"/>
    </row>
    <row r="878" ht="21.0" customHeight="1">
      <c r="A878" s="79"/>
      <c r="B878" s="79"/>
      <c r="C878" s="104"/>
      <c r="D878" s="104"/>
      <c r="E878" s="104"/>
      <c r="F878" s="104"/>
      <c r="G878" s="104"/>
      <c r="H878" s="104"/>
      <c r="I878" s="104"/>
      <c r="J878" s="104"/>
      <c r="K878" s="104"/>
      <c r="L878" s="102"/>
      <c r="M878" s="102"/>
      <c r="N878" s="102"/>
      <c r="O878" s="102"/>
      <c r="P878" s="103"/>
      <c r="Q878" s="103"/>
      <c r="R878" s="103"/>
      <c r="S878" s="103"/>
      <c r="T878" s="79"/>
      <c r="U878" s="79"/>
      <c r="V878" s="79"/>
      <c r="W878" s="79"/>
      <c r="X878" s="79"/>
      <c r="Y878" s="79"/>
      <c r="Z878" s="79"/>
    </row>
    <row r="879" ht="21.0" customHeight="1">
      <c r="A879" s="79"/>
      <c r="B879" s="79"/>
      <c r="C879" s="104"/>
      <c r="D879" s="104"/>
      <c r="E879" s="104"/>
      <c r="F879" s="104"/>
      <c r="G879" s="104"/>
      <c r="H879" s="104"/>
      <c r="I879" s="104"/>
      <c r="J879" s="104"/>
      <c r="K879" s="104"/>
      <c r="L879" s="102"/>
      <c r="M879" s="102"/>
      <c r="N879" s="102"/>
      <c r="O879" s="102"/>
      <c r="P879" s="103"/>
      <c r="Q879" s="103"/>
      <c r="R879" s="103"/>
      <c r="S879" s="103"/>
      <c r="T879" s="79"/>
      <c r="U879" s="79"/>
      <c r="V879" s="79"/>
      <c r="W879" s="79"/>
      <c r="X879" s="79"/>
      <c r="Y879" s="79"/>
      <c r="Z879" s="79"/>
    </row>
    <row r="880" ht="21.0" customHeight="1">
      <c r="A880" s="79"/>
      <c r="B880" s="79"/>
      <c r="C880" s="104"/>
      <c r="D880" s="104"/>
      <c r="E880" s="104"/>
      <c r="F880" s="104"/>
      <c r="G880" s="104"/>
      <c r="H880" s="104"/>
      <c r="I880" s="104"/>
      <c r="J880" s="104"/>
      <c r="K880" s="104"/>
      <c r="L880" s="102"/>
      <c r="M880" s="102"/>
      <c r="N880" s="102"/>
      <c r="O880" s="102"/>
      <c r="P880" s="103"/>
      <c r="Q880" s="103"/>
      <c r="R880" s="103"/>
      <c r="S880" s="103"/>
      <c r="T880" s="79"/>
      <c r="U880" s="79"/>
      <c r="V880" s="79"/>
      <c r="W880" s="79"/>
      <c r="X880" s="79"/>
      <c r="Y880" s="79"/>
      <c r="Z880" s="79"/>
    </row>
    <row r="881" ht="21.0" customHeight="1">
      <c r="A881" s="79"/>
      <c r="B881" s="79"/>
      <c r="C881" s="104"/>
      <c r="D881" s="104"/>
      <c r="E881" s="104"/>
      <c r="F881" s="104"/>
      <c r="G881" s="104"/>
      <c r="H881" s="104"/>
      <c r="I881" s="104"/>
      <c r="J881" s="104"/>
      <c r="K881" s="104"/>
      <c r="L881" s="102"/>
      <c r="M881" s="102"/>
      <c r="N881" s="102"/>
      <c r="O881" s="102"/>
      <c r="P881" s="103"/>
      <c r="Q881" s="103"/>
      <c r="R881" s="103"/>
      <c r="S881" s="103"/>
      <c r="T881" s="79"/>
      <c r="U881" s="79"/>
      <c r="V881" s="79"/>
      <c r="W881" s="79"/>
      <c r="X881" s="79"/>
      <c r="Y881" s="79"/>
      <c r="Z881" s="79"/>
    </row>
    <row r="882" ht="21.0" customHeight="1">
      <c r="A882" s="79"/>
      <c r="B882" s="79"/>
      <c r="C882" s="104"/>
      <c r="D882" s="104"/>
      <c r="E882" s="104"/>
      <c r="F882" s="104"/>
      <c r="G882" s="104"/>
      <c r="H882" s="104"/>
      <c r="I882" s="104"/>
      <c r="J882" s="104"/>
      <c r="K882" s="104"/>
      <c r="L882" s="102"/>
      <c r="M882" s="102"/>
      <c r="N882" s="102"/>
      <c r="O882" s="102"/>
      <c r="P882" s="103"/>
      <c r="Q882" s="103"/>
      <c r="R882" s="103"/>
      <c r="S882" s="103"/>
      <c r="T882" s="79"/>
      <c r="U882" s="79"/>
      <c r="V882" s="79"/>
      <c r="W882" s="79"/>
      <c r="X882" s="79"/>
      <c r="Y882" s="79"/>
      <c r="Z882" s="79"/>
    </row>
    <row r="883" ht="21.0" customHeight="1">
      <c r="A883" s="79"/>
      <c r="B883" s="79"/>
      <c r="C883" s="104"/>
      <c r="D883" s="104"/>
      <c r="E883" s="104"/>
      <c r="F883" s="104"/>
      <c r="G883" s="104"/>
      <c r="H883" s="104"/>
      <c r="I883" s="104"/>
      <c r="J883" s="104"/>
      <c r="K883" s="104"/>
      <c r="L883" s="102"/>
      <c r="M883" s="102"/>
      <c r="N883" s="102"/>
      <c r="O883" s="102"/>
      <c r="P883" s="103"/>
      <c r="Q883" s="103"/>
      <c r="R883" s="103"/>
      <c r="S883" s="103"/>
      <c r="T883" s="79"/>
      <c r="U883" s="79"/>
      <c r="V883" s="79"/>
      <c r="W883" s="79"/>
      <c r="X883" s="79"/>
      <c r="Y883" s="79"/>
      <c r="Z883" s="79"/>
    </row>
    <row r="884" ht="21.0" customHeight="1">
      <c r="A884" s="79"/>
      <c r="B884" s="79"/>
      <c r="C884" s="104"/>
      <c r="D884" s="104"/>
      <c r="E884" s="104"/>
      <c r="F884" s="104"/>
      <c r="G884" s="104"/>
      <c r="H884" s="104"/>
      <c r="I884" s="104"/>
      <c r="J884" s="104"/>
      <c r="K884" s="104"/>
      <c r="L884" s="102"/>
      <c r="M884" s="102"/>
      <c r="N884" s="102"/>
      <c r="O884" s="102"/>
      <c r="P884" s="103"/>
      <c r="Q884" s="103"/>
      <c r="R884" s="103"/>
      <c r="S884" s="103"/>
      <c r="T884" s="79"/>
      <c r="U884" s="79"/>
      <c r="V884" s="79"/>
      <c r="W884" s="79"/>
      <c r="X884" s="79"/>
      <c r="Y884" s="79"/>
      <c r="Z884" s="79"/>
    </row>
    <row r="885" ht="21.0" customHeight="1">
      <c r="A885" s="79"/>
      <c r="B885" s="79"/>
      <c r="C885" s="104"/>
      <c r="D885" s="104"/>
      <c r="E885" s="104"/>
      <c r="F885" s="104"/>
      <c r="G885" s="104"/>
      <c r="H885" s="104"/>
      <c r="I885" s="104"/>
      <c r="J885" s="104"/>
      <c r="K885" s="104"/>
      <c r="L885" s="102"/>
      <c r="M885" s="102"/>
      <c r="N885" s="102"/>
      <c r="O885" s="102"/>
      <c r="P885" s="103"/>
      <c r="Q885" s="103"/>
      <c r="R885" s="103"/>
      <c r="S885" s="103"/>
      <c r="T885" s="79"/>
      <c r="U885" s="79"/>
      <c r="V885" s="79"/>
      <c r="W885" s="79"/>
      <c r="X885" s="79"/>
      <c r="Y885" s="79"/>
      <c r="Z885" s="79"/>
    </row>
    <row r="886" ht="21.0" customHeight="1">
      <c r="A886" s="79"/>
      <c r="B886" s="79"/>
      <c r="C886" s="104"/>
      <c r="D886" s="104"/>
      <c r="E886" s="104"/>
      <c r="F886" s="104"/>
      <c r="G886" s="104"/>
      <c r="H886" s="104"/>
      <c r="I886" s="104"/>
      <c r="J886" s="104"/>
      <c r="K886" s="104"/>
      <c r="L886" s="102"/>
      <c r="M886" s="102"/>
      <c r="N886" s="102"/>
      <c r="O886" s="102"/>
      <c r="P886" s="103"/>
      <c r="Q886" s="103"/>
      <c r="R886" s="103"/>
      <c r="S886" s="103"/>
      <c r="T886" s="79"/>
      <c r="U886" s="79"/>
      <c r="V886" s="79"/>
      <c r="W886" s="79"/>
      <c r="X886" s="79"/>
      <c r="Y886" s="79"/>
      <c r="Z886" s="79"/>
    </row>
    <row r="887" ht="21.0" customHeight="1">
      <c r="A887" s="79"/>
      <c r="B887" s="79"/>
      <c r="C887" s="104"/>
      <c r="D887" s="104"/>
      <c r="E887" s="104"/>
      <c r="F887" s="104"/>
      <c r="G887" s="104"/>
      <c r="H887" s="104"/>
      <c r="I887" s="104"/>
      <c r="J887" s="104"/>
      <c r="K887" s="104"/>
      <c r="L887" s="102"/>
      <c r="M887" s="102"/>
      <c r="N887" s="102"/>
      <c r="O887" s="102"/>
      <c r="P887" s="103"/>
      <c r="Q887" s="103"/>
      <c r="R887" s="103"/>
      <c r="S887" s="103"/>
      <c r="T887" s="79"/>
      <c r="U887" s="79"/>
      <c r="V887" s="79"/>
      <c r="W887" s="79"/>
      <c r="X887" s="79"/>
      <c r="Y887" s="79"/>
      <c r="Z887" s="79"/>
    </row>
    <row r="888" ht="21.0" customHeight="1">
      <c r="A888" s="79"/>
      <c r="B888" s="79"/>
      <c r="C888" s="104"/>
      <c r="D888" s="104"/>
      <c r="E888" s="104"/>
      <c r="F888" s="104"/>
      <c r="G888" s="104"/>
      <c r="H888" s="104"/>
      <c r="I888" s="104"/>
      <c r="J888" s="104"/>
      <c r="K888" s="104"/>
      <c r="L888" s="102"/>
      <c r="M888" s="102"/>
      <c r="N888" s="102"/>
      <c r="O888" s="102"/>
      <c r="P888" s="103"/>
      <c r="Q888" s="103"/>
      <c r="R888" s="103"/>
      <c r="S888" s="103"/>
      <c r="T888" s="79"/>
      <c r="U888" s="79"/>
      <c r="V888" s="79"/>
      <c r="W888" s="79"/>
      <c r="X888" s="79"/>
      <c r="Y888" s="79"/>
      <c r="Z888" s="79"/>
    </row>
    <row r="889" ht="21.0" customHeight="1">
      <c r="A889" s="79"/>
      <c r="B889" s="79"/>
      <c r="C889" s="104"/>
      <c r="D889" s="104"/>
      <c r="E889" s="104"/>
      <c r="F889" s="104"/>
      <c r="G889" s="104"/>
      <c r="H889" s="104"/>
      <c r="I889" s="104"/>
      <c r="J889" s="104"/>
      <c r="K889" s="104"/>
      <c r="L889" s="102"/>
      <c r="M889" s="102"/>
      <c r="N889" s="102"/>
      <c r="O889" s="102"/>
      <c r="P889" s="103"/>
      <c r="Q889" s="103"/>
      <c r="R889" s="103"/>
      <c r="S889" s="103"/>
      <c r="T889" s="79"/>
      <c r="U889" s="79"/>
      <c r="V889" s="79"/>
      <c r="W889" s="79"/>
      <c r="X889" s="79"/>
      <c r="Y889" s="79"/>
      <c r="Z889" s="79"/>
    </row>
    <row r="890" ht="21.0" customHeight="1">
      <c r="A890" s="79"/>
      <c r="B890" s="79"/>
      <c r="C890" s="104"/>
      <c r="D890" s="104"/>
      <c r="E890" s="104"/>
      <c r="F890" s="104"/>
      <c r="G890" s="104"/>
      <c r="H890" s="104"/>
      <c r="I890" s="104"/>
      <c r="J890" s="104"/>
      <c r="K890" s="104"/>
      <c r="L890" s="102"/>
      <c r="M890" s="102"/>
      <c r="N890" s="102"/>
      <c r="O890" s="102"/>
      <c r="P890" s="103"/>
      <c r="Q890" s="103"/>
      <c r="R890" s="103"/>
      <c r="S890" s="103"/>
      <c r="T890" s="79"/>
      <c r="U890" s="79"/>
      <c r="V890" s="79"/>
      <c r="W890" s="79"/>
      <c r="X890" s="79"/>
      <c r="Y890" s="79"/>
      <c r="Z890" s="79"/>
    </row>
    <row r="891" ht="21.0" customHeight="1">
      <c r="A891" s="79"/>
      <c r="B891" s="79"/>
      <c r="C891" s="104"/>
      <c r="D891" s="104"/>
      <c r="E891" s="104"/>
      <c r="F891" s="104"/>
      <c r="G891" s="104"/>
      <c r="H891" s="104"/>
      <c r="I891" s="104"/>
      <c r="J891" s="104"/>
      <c r="K891" s="104"/>
      <c r="L891" s="102"/>
      <c r="M891" s="102"/>
      <c r="N891" s="102"/>
      <c r="O891" s="102"/>
      <c r="P891" s="103"/>
      <c r="Q891" s="103"/>
      <c r="R891" s="103"/>
      <c r="S891" s="103"/>
      <c r="T891" s="79"/>
      <c r="U891" s="79"/>
      <c r="V891" s="79"/>
      <c r="W891" s="79"/>
      <c r="X891" s="79"/>
      <c r="Y891" s="79"/>
      <c r="Z891" s="79"/>
    </row>
    <row r="892" ht="21.0" customHeight="1">
      <c r="A892" s="79"/>
      <c r="B892" s="79"/>
      <c r="C892" s="104"/>
      <c r="D892" s="104"/>
      <c r="E892" s="104"/>
      <c r="F892" s="104"/>
      <c r="G892" s="104"/>
      <c r="H892" s="104"/>
      <c r="I892" s="104"/>
      <c r="J892" s="104"/>
      <c r="K892" s="104"/>
      <c r="L892" s="102"/>
      <c r="M892" s="102"/>
      <c r="N892" s="102"/>
      <c r="O892" s="102"/>
      <c r="P892" s="103"/>
      <c r="Q892" s="103"/>
      <c r="R892" s="103"/>
      <c r="S892" s="103"/>
      <c r="T892" s="79"/>
      <c r="U892" s="79"/>
      <c r="V892" s="79"/>
      <c r="W892" s="79"/>
      <c r="X892" s="79"/>
      <c r="Y892" s="79"/>
      <c r="Z892" s="79"/>
    </row>
    <row r="893" ht="21.0" customHeight="1">
      <c r="A893" s="79"/>
      <c r="B893" s="79"/>
      <c r="C893" s="104"/>
      <c r="D893" s="104"/>
      <c r="E893" s="104"/>
      <c r="F893" s="104"/>
      <c r="G893" s="104"/>
      <c r="H893" s="104"/>
      <c r="I893" s="104"/>
      <c r="J893" s="104"/>
      <c r="K893" s="104"/>
      <c r="L893" s="102"/>
      <c r="M893" s="102"/>
      <c r="N893" s="102"/>
      <c r="O893" s="102"/>
      <c r="P893" s="103"/>
      <c r="Q893" s="103"/>
      <c r="R893" s="103"/>
      <c r="S893" s="103"/>
      <c r="T893" s="79"/>
      <c r="U893" s="79"/>
      <c r="V893" s="79"/>
      <c r="W893" s="79"/>
      <c r="X893" s="79"/>
      <c r="Y893" s="79"/>
      <c r="Z893" s="79"/>
    </row>
    <row r="894" ht="21.0" customHeight="1">
      <c r="A894" s="79"/>
      <c r="B894" s="79"/>
      <c r="C894" s="104"/>
      <c r="D894" s="104"/>
      <c r="E894" s="104"/>
      <c r="F894" s="104"/>
      <c r="G894" s="104"/>
      <c r="H894" s="104"/>
      <c r="I894" s="104"/>
      <c r="J894" s="104"/>
      <c r="K894" s="104"/>
      <c r="L894" s="102"/>
      <c r="M894" s="102"/>
      <c r="N894" s="102"/>
      <c r="O894" s="102"/>
      <c r="P894" s="103"/>
      <c r="Q894" s="103"/>
      <c r="R894" s="103"/>
      <c r="S894" s="103"/>
      <c r="T894" s="79"/>
      <c r="U894" s="79"/>
      <c r="V894" s="79"/>
      <c r="W894" s="79"/>
      <c r="X894" s="79"/>
      <c r="Y894" s="79"/>
      <c r="Z894" s="79"/>
    </row>
    <row r="895" ht="21.0" customHeight="1">
      <c r="A895" s="79"/>
      <c r="B895" s="79"/>
      <c r="C895" s="104"/>
      <c r="D895" s="104"/>
      <c r="E895" s="104"/>
      <c r="F895" s="104"/>
      <c r="G895" s="104"/>
      <c r="H895" s="104"/>
      <c r="I895" s="104"/>
      <c r="J895" s="104"/>
      <c r="K895" s="104"/>
      <c r="L895" s="102"/>
      <c r="M895" s="102"/>
      <c r="N895" s="102"/>
      <c r="O895" s="102"/>
      <c r="P895" s="103"/>
      <c r="Q895" s="103"/>
      <c r="R895" s="103"/>
      <c r="S895" s="103"/>
      <c r="T895" s="79"/>
      <c r="U895" s="79"/>
      <c r="V895" s="79"/>
      <c r="W895" s="79"/>
      <c r="X895" s="79"/>
      <c r="Y895" s="79"/>
      <c r="Z895" s="79"/>
    </row>
    <row r="896" ht="21.0" customHeight="1">
      <c r="A896" s="79"/>
      <c r="B896" s="79"/>
      <c r="C896" s="104"/>
      <c r="D896" s="104"/>
      <c r="E896" s="104"/>
      <c r="F896" s="104"/>
      <c r="G896" s="104"/>
      <c r="H896" s="104"/>
      <c r="I896" s="104"/>
      <c r="J896" s="104"/>
      <c r="K896" s="104"/>
      <c r="L896" s="102"/>
      <c r="M896" s="102"/>
      <c r="N896" s="102"/>
      <c r="O896" s="102"/>
      <c r="P896" s="103"/>
      <c r="Q896" s="103"/>
      <c r="R896" s="103"/>
      <c r="S896" s="103"/>
      <c r="T896" s="79"/>
      <c r="U896" s="79"/>
      <c r="V896" s="79"/>
      <c r="W896" s="79"/>
      <c r="X896" s="79"/>
      <c r="Y896" s="79"/>
      <c r="Z896" s="79"/>
    </row>
    <row r="897" ht="21.0" customHeight="1">
      <c r="A897" s="79"/>
      <c r="B897" s="79"/>
      <c r="C897" s="104"/>
      <c r="D897" s="104"/>
      <c r="E897" s="104"/>
      <c r="F897" s="104"/>
      <c r="G897" s="104"/>
      <c r="H897" s="104"/>
      <c r="I897" s="104"/>
      <c r="J897" s="104"/>
      <c r="K897" s="104"/>
      <c r="L897" s="102"/>
      <c r="M897" s="102"/>
      <c r="N897" s="102"/>
      <c r="O897" s="102"/>
      <c r="P897" s="103"/>
      <c r="Q897" s="103"/>
      <c r="R897" s="103"/>
      <c r="S897" s="103"/>
      <c r="T897" s="79"/>
      <c r="U897" s="79"/>
      <c r="V897" s="79"/>
      <c r="W897" s="79"/>
      <c r="X897" s="79"/>
      <c r="Y897" s="79"/>
      <c r="Z897" s="79"/>
    </row>
    <row r="898" ht="21.0" customHeight="1">
      <c r="A898" s="79"/>
      <c r="B898" s="79"/>
      <c r="C898" s="104"/>
      <c r="D898" s="104"/>
      <c r="E898" s="104"/>
      <c r="F898" s="104"/>
      <c r="G898" s="104"/>
      <c r="H898" s="104"/>
      <c r="I898" s="104"/>
      <c r="J898" s="104"/>
      <c r="K898" s="104"/>
      <c r="L898" s="102"/>
      <c r="M898" s="102"/>
      <c r="N898" s="102"/>
      <c r="O898" s="102"/>
      <c r="P898" s="103"/>
      <c r="Q898" s="103"/>
      <c r="R898" s="103"/>
      <c r="S898" s="103"/>
      <c r="T898" s="79"/>
      <c r="U898" s="79"/>
      <c r="V898" s="79"/>
      <c r="W898" s="79"/>
      <c r="X898" s="79"/>
      <c r="Y898" s="79"/>
      <c r="Z898" s="79"/>
    </row>
    <row r="899" ht="21.0" customHeight="1">
      <c r="A899" s="79"/>
      <c r="B899" s="79"/>
      <c r="C899" s="104"/>
      <c r="D899" s="104"/>
      <c r="E899" s="104"/>
      <c r="F899" s="104"/>
      <c r="G899" s="104"/>
      <c r="H899" s="104"/>
      <c r="I899" s="104"/>
      <c r="J899" s="104"/>
      <c r="K899" s="104"/>
      <c r="L899" s="102"/>
      <c r="M899" s="102"/>
      <c r="N899" s="102"/>
      <c r="O899" s="102"/>
      <c r="P899" s="103"/>
      <c r="Q899" s="103"/>
      <c r="R899" s="103"/>
      <c r="S899" s="103"/>
      <c r="T899" s="79"/>
      <c r="U899" s="79"/>
      <c r="V899" s="79"/>
      <c r="W899" s="79"/>
      <c r="X899" s="79"/>
      <c r="Y899" s="79"/>
      <c r="Z899" s="79"/>
    </row>
    <row r="900" ht="21.0" customHeight="1">
      <c r="A900" s="79"/>
      <c r="B900" s="79"/>
      <c r="C900" s="104"/>
      <c r="D900" s="104"/>
      <c r="E900" s="104"/>
      <c r="F900" s="104"/>
      <c r="G900" s="104"/>
      <c r="H900" s="104"/>
      <c r="I900" s="104"/>
      <c r="J900" s="104"/>
      <c r="K900" s="104"/>
      <c r="L900" s="102"/>
      <c r="M900" s="102"/>
      <c r="N900" s="102"/>
      <c r="O900" s="102"/>
      <c r="P900" s="103"/>
      <c r="Q900" s="103"/>
      <c r="R900" s="103"/>
      <c r="S900" s="103"/>
      <c r="T900" s="79"/>
      <c r="U900" s="79"/>
      <c r="V900" s="79"/>
      <c r="W900" s="79"/>
      <c r="X900" s="79"/>
      <c r="Y900" s="79"/>
      <c r="Z900" s="79"/>
    </row>
    <row r="901" ht="21.0" customHeight="1">
      <c r="A901" s="79"/>
      <c r="B901" s="79"/>
      <c r="C901" s="104"/>
      <c r="D901" s="104"/>
      <c r="E901" s="104"/>
      <c r="F901" s="104"/>
      <c r="G901" s="104"/>
      <c r="H901" s="104"/>
      <c r="I901" s="104"/>
      <c r="J901" s="104"/>
      <c r="K901" s="104"/>
      <c r="L901" s="102"/>
      <c r="M901" s="102"/>
      <c r="N901" s="102"/>
      <c r="O901" s="102"/>
      <c r="P901" s="103"/>
      <c r="Q901" s="103"/>
      <c r="R901" s="103"/>
      <c r="S901" s="103"/>
      <c r="T901" s="79"/>
      <c r="U901" s="79"/>
      <c r="V901" s="79"/>
      <c r="W901" s="79"/>
      <c r="X901" s="79"/>
      <c r="Y901" s="79"/>
      <c r="Z901" s="79"/>
    </row>
    <row r="902" ht="21.0" customHeight="1">
      <c r="A902" s="79"/>
      <c r="B902" s="79"/>
      <c r="C902" s="104"/>
      <c r="D902" s="104"/>
      <c r="E902" s="104"/>
      <c r="F902" s="104"/>
      <c r="G902" s="104"/>
      <c r="H902" s="104"/>
      <c r="I902" s="104"/>
      <c r="J902" s="104"/>
      <c r="K902" s="104"/>
      <c r="L902" s="102"/>
      <c r="M902" s="102"/>
      <c r="N902" s="102"/>
      <c r="O902" s="102"/>
      <c r="P902" s="103"/>
      <c r="Q902" s="103"/>
      <c r="R902" s="103"/>
      <c r="S902" s="103"/>
      <c r="T902" s="79"/>
      <c r="U902" s="79"/>
      <c r="V902" s="79"/>
      <c r="W902" s="79"/>
      <c r="X902" s="79"/>
      <c r="Y902" s="79"/>
      <c r="Z902" s="79"/>
    </row>
    <row r="903" ht="21.0" customHeight="1">
      <c r="A903" s="79"/>
      <c r="B903" s="79"/>
      <c r="C903" s="104"/>
      <c r="D903" s="104"/>
      <c r="E903" s="104"/>
      <c r="F903" s="104"/>
      <c r="G903" s="104"/>
      <c r="H903" s="104"/>
      <c r="I903" s="104"/>
      <c r="J903" s="104"/>
      <c r="K903" s="104"/>
      <c r="L903" s="102"/>
      <c r="M903" s="102"/>
      <c r="N903" s="102"/>
      <c r="O903" s="102"/>
      <c r="P903" s="103"/>
      <c r="Q903" s="103"/>
      <c r="R903" s="103"/>
      <c r="S903" s="103"/>
      <c r="T903" s="79"/>
      <c r="U903" s="79"/>
      <c r="V903" s="79"/>
      <c r="W903" s="79"/>
      <c r="X903" s="79"/>
      <c r="Y903" s="79"/>
      <c r="Z903" s="79"/>
    </row>
    <row r="904" ht="21.0" customHeight="1">
      <c r="A904" s="79"/>
      <c r="B904" s="79"/>
      <c r="C904" s="104"/>
      <c r="D904" s="104"/>
      <c r="E904" s="104"/>
      <c r="F904" s="104"/>
      <c r="G904" s="104"/>
      <c r="H904" s="104"/>
      <c r="I904" s="104"/>
      <c r="J904" s="104"/>
      <c r="K904" s="104"/>
      <c r="L904" s="102"/>
      <c r="M904" s="102"/>
      <c r="N904" s="102"/>
      <c r="O904" s="102"/>
      <c r="P904" s="103"/>
      <c r="Q904" s="103"/>
      <c r="R904" s="103"/>
      <c r="S904" s="103"/>
      <c r="T904" s="79"/>
      <c r="U904" s="79"/>
      <c r="V904" s="79"/>
      <c r="W904" s="79"/>
      <c r="X904" s="79"/>
      <c r="Y904" s="79"/>
      <c r="Z904" s="79"/>
    </row>
    <row r="905" ht="21.0" customHeight="1">
      <c r="A905" s="79"/>
      <c r="B905" s="79"/>
      <c r="C905" s="104"/>
      <c r="D905" s="104"/>
      <c r="E905" s="104"/>
      <c r="F905" s="104"/>
      <c r="G905" s="104"/>
      <c r="H905" s="104"/>
      <c r="I905" s="104"/>
      <c r="J905" s="104"/>
      <c r="K905" s="104"/>
      <c r="L905" s="102"/>
      <c r="M905" s="102"/>
      <c r="N905" s="102"/>
      <c r="O905" s="102"/>
      <c r="P905" s="103"/>
      <c r="Q905" s="103"/>
      <c r="R905" s="103"/>
      <c r="S905" s="103"/>
      <c r="T905" s="79"/>
      <c r="U905" s="79"/>
      <c r="V905" s="79"/>
      <c r="W905" s="79"/>
      <c r="X905" s="79"/>
      <c r="Y905" s="79"/>
      <c r="Z905" s="79"/>
    </row>
    <row r="906" ht="21.0" customHeight="1">
      <c r="A906" s="79"/>
      <c r="B906" s="79"/>
      <c r="C906" s="104"/>
      <c r="D906" s="104"/>
      <c r="E906" s="104"/>
      <c r="F906" s="104"/>
      <c r="G906" s="104"/>
      <c r="H906" s="104"/>
      <c r="I906" s="104"/>
      <c r="J906" s="104"/>
      <c r="K906" s="104"/>
      <c r="L906" s="102"/>
      <c r="M906" s="102"/>
      <c r="N906" s="102"/>
      <c r="O906" s="102"/>
      <c r="P906" s="103"/>
      <c r="Q906" s="103"/>
      <c r="R906" s="103"/>
      <c r="S906" s="103"/>
      <c r="T906" s="79"/>
      <c r="U906" s="79"/>
      <c r="V906" s="79"/>
      <c r="W906" s="79"/>
      <c r="X906" s="79"/>
      <c r="Y906" s="79"/>
      <c r="Z906" s="79"/>
    </row>
    <row r="907" ht="21.0" customHeight="1">
      <c r="A907" s="79"/>
      <c r="B907" s="79"/>
      <c r="C907" s="104"/>
      <c r="D907" s="104"/>
      <c r="E907" s="104"/>
      <c r="F907" s="104"/>
      <c r="G907" s="104"/>
      <c r="H907" s="104"/>
      <c r="I907" s="104"/>
      <c r="J907" s="104"/>
      <c r="K907" s="104"/>
      <c r="L907" s="102"/>
      <c r="M907" s="102"/>
      <c r="N907" s="102"/>
      <c r="O907" s="102"/>
      <c r="P907" s="103"/>
      <c r="Q907" s="103"/>
      <c r="R907" s="103"/>
      <c r="S907" s="103"/>
      <c r="T907" s="79"/>
      <c r="U907" s="79"/>
      <c r="V907" s="79"/>
      <c r="W907" s="79"/>
      <c r="X907" s="79"/>
      <c r="Y907" s="79"/>
      <c r="Z907" s="79"/>
    </row>
    <row r="908" ht="21.0" customHeight="1">
      <c r="A908" s="79"/>
      <c r="B908" s="79"/>
      <c r="C908" s="104"/>
      <c r="D908" s="104"/>
      <c r="E908" s="104"/>
      <c r="F908" s="104"/>
      <c r="G908" s="104"/>
      <c r="H908" s="104"/>
      <c r="I908" s="104"/>
      <c r="J908" s="104"/>
      <c r="K908" s="104"/>
      <c r="L908" s="102"/>
      <c r="M908" s="102"/>
      <c r="N908" s="102"/>
      <c r="O908" s="102"/>
      <c r="P908" s="103"/>
      <c r="Q908" s="103"/>
      <c r="R908" s="103"/>
      <c r="S908" s="103"/>
      <c r="T908" s="79"/>
      <c r="U908" s="79"/>
      <c r="V908" s="79"/>
      <c r="W908" s="79"/>
      <c r="X908" s="79"/>
      <c r="Y908" s="79"/>
      <c r="Z908" s="79"/>
    </row>
    <row r="909" ht="21.0" customHeight="1">
      <c r="A909" s="79"/>
      <c r="B909" s="79"/>
      <c r="C909" s="104"/>
      <c r="D909" s="104"/>
      <c r="E909" s="104"/>
      <c r="F909" s="104"/>
      <c r="G909" s="104"/>
      <c r="H909" s="104"/>
      <c r="I909" s="104"/>
      <c r="J909" s="104"/>
      <c r="K909" s="104"/>
      <c r="L909" s="102"/>
      <c r="M909" s="102"/>
      <c r="N909" s="102"/>
      <c r="O909" s="102"/>
      <c r="P909" s="103"/>
      <c r="Q909" s="103"/>
      <c r="R909" s="103"/>
      <c r="S909" s="103"/>
      <c r="T909" s="79"/>
      <c r="U909" s="79"/>
      <c r="V909" s="79"/>
      <c r="W909" s="79"/>
      <c r="X909" s="79"/>
      <c r="Y909" s="79"/>
      <c r="Z909" s="79"/>
    </row>
    <row r="910" ht="21.0" customHeight="1">
      <c r="A910" s="79"/>
      <c r="B910" s="79"/>
      <c r="C910" s="104"/>
      <c r="D910" s="104"/>
      <c r="E910" s="104"/>
      <c r="F910" s="104"/>
      <c r="G910" s="104"/>
      <c r="H910" s="104"/>
      <c r="I910" s="104"/>
      <c r="J910" s="104"/>
      <c r="K910" s="104"/>
      <c r="L910" s="102"/>
      <c r="M910" s="102"/>
      <c r="N910" s="102"/>
      <c r="O910" s="102"/>
      <c r="P910" s="103"/>
      <c r="Q910" s="103"/>
      <c r="R910" s="103"/>
      <c r="S910" s="103"/>
      <c r="T910" s="79"/>
      <c r="U910" s="79"/>
      <c r="V910" s="79"/>
      <c r="W910" s="79"/>
      <c r="X910" s="79"/>
      <c r="Y910" s="79"/>
      <c r="Z910" s="79"/>
    </row>
    <row r="911" ht="21.0" customHeight="1">
      <c r="A911" s="79"/>
      <c r="B911" s="79"/>
      <c r="C911" s="104"/>
      <c r="D911" s="104"/>
      <c r="E911" s="104"/>
      <c r="F911" s="104"/>
      <c r="G911" s="104"/>
      <c r="H911" s="104"/>
      <c r="I911" s="104"/>
      <c r="J911" s="104"/>
      <c r="K911" s="104"/>
      <c r="L911" s="102"/>
      <c r="M911" s="102"/>
      <c r="N911" s="102"/>
      <c r="O911" s="102"/>
      <c r="P911" s="103"/>
      <c r="Q911" s="103"/>
      <c r="R911" s="103"/>
      <c r="S911" s="103"/>
      <c r="T911" s="79"/>
      <c r="U911" s="79"/>
      <c r="V911" s="79"/>
      <c r="W911" s="79"/>
      <c r="X911" s="79"/>
      <c r="Y911" s="79"/>
      <c r="Z911" s="79"/>
    </row>
    <row r="912" ht="21.0" customHeight="1">
      <c r="A912" s="79"/>
      <c r="B912" s="79"/>
      <c r="C912" s="104"/>
      <c r="D912" s="104"/>
      <c r="E912" s="104"/>
      <c r="F912" s="104"/>
      <c r="G912" s="104"/>
      <c r="H912" s="104"/>
      <c r="I912" s="104"/>
      <c r="J912" s="104"/>
      <c r="K912" s="104"/>
      <c r="L912" s="102"/>
      <c r="M912" s="102"/>
      <c r="N912" s="102"/>
      <c r="O912" s="102"/>
      <c r="P912" s="103"/>
      <c r="Q912" s="103"/>
      <c r="R912" s="103"/>
      <c r="S912" s="103"/>
      <c r="T912" s="79"/>
      <c r="U912" s="79"/>
      <c r="V912" s="79"/>
      <c r="W912" s="79"/>
      <c r="X912" s="79"/>
      <c r="Y912" s="79"/>
      <c r="Z912" s="79"/>
    </row>
    <row r="913" ht="21.0" customHeight="1">
      <c r="A913" s="79"/>
      <c r="B913" s="79"/>
      <c r="C913" s="104"/>
      <c r="D913" s="104"/>
      <c r="E913" s="104"/>
      <c r="F913" s="104"/>
      <c r="G913" s="104"/>
      <c r="H913" s="104"/>
      <c r="I913" s="104"/>
      <c r="J913" s="104"/>
      <c r="K913" s="104"/>
      <c r="L913" s="102"/>
      <c r="M913" s="102"/>
      <c r="N913" s="102"/>
      <c r="O913" s="102"/>
      <c r="P913" s="103"/>
      <c r="Q913" s="103"/>
      <c r="R913" s="103"/>
      <c r="S913" s="103"/>
      <c r="T913" s="79"/>
      <c r="U913" s="79"/>
      <c r="V913" s="79"/>
      <c r="W913" s="79"/>
      <c r="X913" s="79"/>
      <c r="Y913" s="79"/>
      <c r="Z913" s="79"/>
    </row>
    <row r="914" ht="21.0" customHeight="1">
      <c r="A914" s="79"/>
      <c r="B914" s="79"/>
      <c r="C914" s="104"/>
      <c r="D914" s="104"/>
      <c r="E914" s="104"/>
      <c r="F914" s="104"/>
      <c r="G914" s="104"/>
      <c r="H914" s="104"/>
      <c r="I914" s="104"/>
      <c r="J914" s="104"/>
      <c r="K914" s="104"/>
      <c r="L914" s="102"/>
      <c r="M914" s="102"/>
      <c r="N914" s="102"/>
      <c r="O914" s="102"/>
      <c r="P914" s="103"/>
      <c r="Q914" s="103"/>
      <c r="R914" s="103"/>
      <c r="S914" s="103"/>
      <c r="T914" s="79"/>
      <c r="U914" s="79"/>
      <c r="V914" s="79"/>
      <c r="W914" s="79"/>
      <c r="X914" s="79"/>
      <c r="Y914" s="79"/>
      <c r="Z914" s="79"/>
    </row>
    <row r="915" ht="21.0" customHeight="1">
      <c r="A915" s="79"/>
      <c r="B915" s="79"/>
      <c r="C915" s="104"/>
      <c r="D915" s="104"/>
      <c r="E915" s="104"/>
      <c r="F915" s="104"/>
      <c r="G915" s="104"/>
      <c r="H915" s="104"/>
      <c r="I915" s="104"/>
      <c r="J915" s="104"/>
      <c r="K915" s="104"/>
      <c r="L915" s="102"/>
      <c r="M915" s="102"/>
      <c r="N915" s="102"/>
      <c r="O915" s="102"/>
      <c r="P915" s="103"/>
      <c r="Q915" s="103"/>
      <c r="R915" s="103"/>
      <c r="S915" s="103"/>
      <c r="T915" s="79"/>
      <c r="U915" s="79"/>
      <c r="V915" s="79"/>
      <c r="W915" s="79"/>
      <c r="X915" s="79"/>
      <c r="Y915" s="79"/>
      <c r="Z915" s="79"/>
    </row>
    <row r="916" ht="21.0" customHeight="1">
      <c r="A916" s="79"/>
      <c r="B916" s="79"/>
      <c r="C916" s="104"/>
      <c r="D916" s="104"/>
      <c r="E916" s="104"/>
      <c r="F916" s="104"/>
      <c r="G916" s="104"/>
      <c r="H916" s="104"/>
      <c r="I916" s="104"/>
      <c r="J916" s="104"/>
      <c r="K916" s="104"/>
      <c r="L916" s="102"/>
      <c r="M916" s="102"/>
      <c r="N916" s="102"/>
      <c r="O916" s="102"/>
      <c r="P916" s="103"/>
      <c r="Q916" s="103"/>
      <c r="R916" s="103"/>
      <c r="S916" s="103"/>
      <c r="T916" s="79"/>
      <c r="U916" s="79"/>
      <c r="V916" s="79"/>
      <c r="W916" s="79"/>
      <c r="X916" s="79"/>
      <c r="Y916" s="79"/>
      <c r="Z916" s="79"/>
    </row>
    <row r="917" ht="21.0" customHeight="1">
      <c r="A917" s="79"/>
      <c r="B917" s="79"/>
      <c r="C917" s="104"/>
      <c r="D917" s="104"/>
      <c r="E917" s="104"/>
      <c r="F917" s="104"/>
      <c r="G917" s="104"/>
      <c r="H917" s="104"/>
      <c r="I917" s="104"/>
      <c r="J917" s="104"/>
      <c r="K917" s="104"/>
      <c r="L917" s="102"/>
      <c r="M917" s="102"/>
      <c r="N917" s="102"/>
      <c r="O917" s="102"/>
      <c r="P917" s="103"/>
      <c r="Q917" s="103"/>
      <c r="R917" s="103"/>
      <c r="S917" s="103"/>
      <c r="T917" s="79"/>
      <c r="U917" s="79"/>
      <c r="V917" s="79"/>
      <c r="W917" s="79"/>
      <c r="X917" s="79"/>
      <c r="Y917" s="79"/>
      <c r="Z917" s="79"/>
    </row>
    <row r="918" ht="21.0" customHeight="1">
      <c r="A918" s="79"/>
      <c r="B918" s="79"/>
      <c r="C918" s="104"/>
      <c r="D918" s="104"/>
      <c r="E918" s="104"/>
      <c r="F918" s="104"/>
      <c r="G918" s="104"/>
      <c r="H918" s="104"/>
      <c r="I918" s="104"/>
      <c r="J918" s="104"/>
      <c r="K918" s="104"/>
      <c r="L918" s="102"/>
      <c r="M918" s="102"/>
      <c r="N918" s="102"/>
      <c r="O918" s="102"/>
      <c r="P918" s="103"/>
      <c r="Q918" s="103"/>
      <c r="R918" s="103"/>
      <c r="S918" s="103"/>
      <c r="T918" s="79"/>
      <c r="U918" s="79"/>
      <c r="V918" s="79"/>
      <c r="W918" s="79"/>
      <c r="X918" s="79"/>
      <c r="Y918" s="79"/>
      <c r="Z918" s="79"/>
    </row>
    <row r="919" ht="21.0" customHeight="1">
      <c r="A919" s="79"/>
      <c r="B919" s="79"/>
      <c r="C919" s="104"/>
      <c r="D919" s="104"/>
      <c r="E919" s="104"/>
      <c r="F919" s="104"/>
      <c r="G919" s="104"/>
      <c r="H919" s="104"/>
      <c r="I919" s="104"/>
      <c r="J919" s="104"/>
      <c r="K919" s="104"/>
      <c r="L919" s="102"/>
      <c r="M919" s="102"/>
      <c r="N919" s="102"/>
      <c r="O919" s="102"/>
      <c r="P919" s="103"/>
      <c r="Q919" s="103"/>
      <c r="R919" s="103"/>
      <c r="S919" s="103"/>
      <c r="T919" s="79"/>
      <c r="U919" s="79"/>
      <c r="V919" s="79"/>
      <c r="W919" s="79"/>
      <c r="X919" s="79"/>
      <c r="Y919" s="79"/>
      <c r="Z919" s="79"/>
    </row>
    <row r="920" ht="21.0" customHeight="1">
      <c r="A920" s="79"/>
      <c r="B920" s="79"/>
      <c r="C920" s="104"/>
      <c r="D920" s="104"/>
      <c r="E920" s="104"/>
      <c r="F920" s="104"/>
      <c r="G920" s="104"/>
      <c r="H920" s="104"/>
      <c r="I920" s="104"/>
      <c r="J920" s="104"/>
      <c r="K920" s="104"/>
      <c r="L920" s="102"/>
      <c r="M920" s="102"/>
      <c r="N920" s="102"/>
      <c r="O920" s="102"/>
      <c r="P920" s="103"/>
      <c r="Q920" s="103"/>
      <c r="R920" s="103"/>
      <c r="S920" s="103"/>
      <c r="T920" s="79"/>
      <c r="U920" s="79"/>
      <c r="V920" s="79"/>
      <c r="W920" s="79"/>
      <c r="X920" s="79"/>
      <c r="Y920" s="79"/>
      <c r="Z920" s="79"/>
    </row>
    <row r="921" ht="21.0" customHeight="1">
      <c r="A921" s="79"/>
      <c r="B921" s="79"/>
      <c r="C921" s="104"/>
      <c r="D921" s="104"/>
      <c r="E921" s="104"/>
      <c r="F921" s="104"/>
      <c r="G921" s="104"/>
      <c r="H921" s="104"/>
      <c r="I921" s="104"/>
      <c r="J921" s="104"/>
      <c r="K921" s="104"/>
      <c r="L921" s="102"/>
      <c r="M921" s="102"/>
      <c r="N921" s="102"/>
      <c r="O921" s="102"/>
      <c r="P921" s="103"/>
      <c r="Q921" s="103"/>
      <c r="R921" s="103"/>
      <c r="S921" s="103"/>
      <c r="T921" s="79"/>
      <c r="U921" s="79"/>
      <c r="V921" s="79"/>
      <c r="W921" s="79"/>
      <c r="X921" s="79"/>
      <c r="Y921" s="79"/>
      <c r="Z921" s="79"/>
    </row>
    <row r="922" ht="21.0" customHeight="1">
      <c r="A922" s="79"/>
      <c r="B922" s="79"/>
      <c r="C922" s="104"/>
      <c r="D922" s="104"/>
      <c r="E922" s="104"/>
      <c r="F922" s="104"/>
      <c r="G922" s="104"/>
      <c r="H922" s="104"/>
      <c r="I922" s="104"/>
      <c r="J922" s="104"/>
      <c r="K922" s="104"/>
      <c r="L922" s="102"/>
      <c r="M922" s="102"/>
      <c r="N922" s="102"/>
      <c r="O922" s="102"/>
      <c r="P922" s="103"/>
      <c r="Q922" s="103"/>
      <c r="R922" s="103"/>
      <c r="S922" s="103"/>
      <c r="T922" s="79"/>
      <c r="U922" s="79"/>
      <c r="V922" s="79"/>
      <c r="W922" s="79"/>
      <c r="X922" s="79"/>
      <c r="Y922" s="79"/>
      <c r="Z922" s="79"/>
    </row>
    <row r="923" ht="21.0" customHeight="1">
      <c r="A923" s="79"/>
      <c r="B923" s="79"/>
      <c r="C923" s="104"/>
      <c r="D923" s="104"/>
      <c r="E923" s="104"/>
      <c r="F923" s="104"/>
      <c r="G923" s="104"/>
      <c r="H923" s="104"/>
      <c r="I923" s="104"/>
      <c r="J923" s="104"/>
      <c r="K923" s="104"/>
      <c r="L923" s="102"/>
      <c r="M923" s="102"/>
      <c r="N923" s="102"/>
      <c r="O923" s="102"/>
      <c r="P923" s="103"/>
      <c r="Q923" s="103"/>
      <c r="R923" s="103"/>
      <c r="S923" s="103"/>
      <c r="T923" s="79"/>
      <c r="U923" s="79"/>
      <c r="V923" s="79"/>
      <c r="W923" s="79"/>
      <c r="X923" s="79"/>
      <c r="Y923" s="79"/>
      <c r="Z923" s="79"/>
    </row>
    <row r="924" ht="21.0" customHeight="1">
      <c r="A924" s="79"/>
      <c r="B924" s="79"/>
      <c r="C924" s="104"/>
      <c r="D924" s="104"/>
      <c r="E924" s="104"/>
      <c r="F924" s="104"/>
      <c r="G924" s="104"/>
      <c r="H924" s="104"/>
      <c r="I924" s="104"/>
      <c r="J924" s="104"/>
      <c r="K924" s="104"/>
      <c r="L924" s="102"/>
      <c r="M924" s="102"/>
      <c r="N924" s="102"/>
      <c r="O924" s="102"/>
      <c r="P924" s="103"/>
      <c r="Q924" s="103"/>
      <c r="R924" s="103"/>
      <c r="S924" s="103"/>
      <c r="T924" s="79"/>
      <c r="U924" s="79"/>
      <c r="V924" s="79"/>
      <c r="W924" s="79"/>
      <c r="X924" s="79"/>
      <c r="Y924" s="79"/>
      <c r="Z924" s="79"/>
    </row>
    <row r="925" ht="21.0" customHeight="1">
      <c r="A925" s="79"/>
      <c r="B925" s="79"/>
      <c r="C925" s="104"/>
      <c r="D925" s="104"/>
      <c r="E925" s="104"/>
      <c r="F925" s="104"/>
      <c r="G925" s="104"/>
      <c r="H925" s="104"/>
      <c r="I925" s="104"/>
      <c r="J925" s="104"/>
      <c r="K925" s="104"/>
      <c r="L925" s="102"/>
      <c r="M925" s="102"/>
      <c r="N925" s="102"/>
      <c r="O925" s="102"/>
      <c r="P925" s="103"/>
      <c r="Q925" s="103"/>
      <c r="R925" s="103"/>
      <c r="S925" s="103"/>
      <c r="T925" s="79"/>
      <c r="U925" s="79"/>
      <c r="V925" s="79"/>
      <c r="W925" s="79"/>
      <c r="X925" s="79"/>
      <c r="Y925" s="79"/>
      <c r="Z925" s="79"/>
    </row>
    <row r="926" ht="21.0" customHeight="1">
      <c r="A926" s="79"/>
      <c r="B926" s="79"/>
      <c r="C926" s="104"/>
      <c r="D926" s="104"/>
      <c r="E926" s="104"/>
      <c r="F926" s="104"/>
      <c r="G926" s="104"/>
      <c r="H926" s="104"/>
      <c r="I926" s="104"/>
      <c r="J926" s="104"/>
      <c r="K926" s="104"/>
      <c r="L926" s="102"/>
      <c r="M926" s="102"/>
      <c r="N926" s="102"/>
      <c r="O926" s="102"/>
      <c r="P926" s="103"/>
      <c r="Q926" s="103"/>
      <c r="R926" s="103"/>
      <c r="S926" s="103"/>
      <c r="T926" s="79"/>
      <c r="U926" s="79"/>
      <c r="V926" s="79"/>
      <c r="W926" s="79"/>
      <c r="X926" s="79"/>
      <c r="Y926" s="79"/>
      <c r="Z926" s="79"/>
    </row>
    <row r="927" ht="21.0" customHeight="1">
      <c r="A927" s="79"/>
      <c r="B927" s="79"/>
      <c r="C927" s="104"/>
      <c r="D927" s="104"/>
      <c r="E927" s="104"/>
      <c r="F927" s="104"/>
      <c r="G927" s="104"/>
      <c r="H927" s="104"/>
      <c r="I927" s="104"/>
      <c r="J927" s="104"/>
      <c r="K927" s="104"/>
      <c r="L927" s="102"/>
      <c r="M927" s="102"/>
      <c r="N927" s="102"/>
      <c r="O927" s="102"/>
      <c r="P927" s="103"/>
      <c r="Q927" s="103"/>
      <c r="R927" s="103"/>
      <c r="S927" s="103"/>
      <c r="T927" s="79"/>
      <c r="U927" s="79"/>
      <c r="V927" s="79"/>
      <c r="W927" s="79"/>
      <c r="X927" s="79"/>
      <c r="Y927" s="79"/>
      <c r="Z927" s="79"/>
    </row>
    <row r="928" ht="21.0" customHeight="1">
      <c r="A928" s="79"/>
      <c r="B928" s="79"/>
      <c r="C928" s="104"/>
      <c r="D928" s="104"/>
      <c r="E928" s="104"/>
      <c r="F928" s="104"/>
      <c r="G928" s="104"/>
      <c r="H928" s="104"/>
      <c r="I928" s="104"/>
      <c r="J928" s="104"/>
      <c r="K928" s="104"/>
      <c r="L928" s="102"/>
      <c r="M928" s="102"/>
      <c r="N928" s="102"/>
      <c r="O928" s="102"/>
      <c r="P928" s="103"/>
      <c r="Q928" s="103"/>
      <c r="R928" s="103"/>
      <c r="S928" s="103"/>
      <c r="T928" s="79"/>
      <c r="U928" s="79"/>
      <c r="V928" s="79"/>
      <c r="W928" s="79"/>
      <c r="X928" s="79"/>
      <c r="Y928" s="79"/>
      <c r="Z928" s="79"/>
    </row>
    <row r="929" ht="21.0" customHeight="1">
      <c r="A929" s="79"/>
      <c r="B929" s="79"/>
      <c r="C929" s="104"/>
      <c r="D929" s="104"/>
      <c r="E929" s="104"/>
      <c r="F929" s="104"/>
      <c r="G929" s="104"/>
      <c r="H929" s="104"/>
      <c r="I929" s="104"/>
      <c r="J929" s="104"/>
      <c r="K929" s="104"/>
      <c r="L929" s="102"/>
      <c r="M929" s="102"/>
      <c r="N929" s="102"/>
      <c r="O929" s="102"/>
      <c r="P929" s="103"/>
      <c r="Q929" s="103"/>
      <c r="R929" s="103"/>
      <c r="S929" s="103"/>
      <c r="T929" s="79"/>
      <c r="U929" s="79"/>
      <c r="V929" s="79"/>
      <c r="W929" s="79"/>
      <c r="X929" s="79"/>
      <c r="Y929" s="79"/>
      <c r="Z929" s="79"/>
    </row>
    <row r="930" ht="21.0" customHeight="1">
      <c r="A930" s="79"/>
      <c r="B930" s="79"/>
      <c r="C930" s="104"/>
      <c r="D930" s="104"/>
      <c r="E930" s="104"/>
      <c r="F930" s="104"/>
      <c r="G930" s="104"/>
      <c r="H930" s="104"/>
      <c r="I930" s="104"/>
      <c r="J930" s="104"/>
      <c r="K930" s="104"/>
      <c r="L930" s="102"/>
      <c r="M930" s="102"/>
      <c r="N930" s="102"/>
      <c r="O930" s="102"/>
      <c r="P930" s="103"/>
      <c r="Q930" s="103"/>
      <c r="R930" s="103"/>
      <c r="S930" s="103"/>
      <c r="T930" s="79"/>
      <c r="U930" s="79"/>
      <c r="V930" s="79"/>
      <c r="W930" s="79"/>
      <c r="X930" s="79"/>
      <c r="Y930" s="79"/>
      <c r="Z930" s="79"/>
    </row>
    <row r="931" ht="21.0" customHeight="1">
      <c r="A931" s="79"/>
      <c r="B931" s="79"/>
      <c r="C931" s="104"/>
      <c r="D931" s="104"/>
      <c r="E931" s="104"/>
      <c r="F931" s="104"/>
      <c r="G931" s="104"/>
      <c r="H931" s="104"/>
      <c r="I931" s="104"/>
      <c r="J931" s="104"/>
      <c r="K931" s="104"/>
      <c r="L931" s="102"/>
      <c r="M931" s="102"/>
      <c r="N931" s="102"/>
      <c r="O931" s="102"/>
      <c r="P931" s="103"/>
      <c r="Q931" s="103"/>
      <c r="R931" s="103"/>
      <c r="S931" s="103"/>
      <c r="T931" s="79"/>
      <c r="U931" s="79"/>
      <c r="V931" s="79"/>
      <c r="W931" s="79"/>
      <c r="X931" s="79"/>
      <c r="Y931" s="79"/>
      <c r="Z931" s="79"/>
    </row>
    <row r="932" ht="21.0" customHeight="1">
      <c r="A932" s="79"/>
      <c r="B932" s="79"/>
      <c r="C932" s="104"/>
      <c r="D932" s="104"/>
      <c r="E932" s="104"/>
      <c r="F932" s="104"/>
      <c r="G932" s="104"/>
      <c r="H932" s="104"/>
      <c r="I932" s="104"/>
      <c r="J932" s="104"/>
      <c r="K932" s="104"/>
      <c r="L932" s="102"/>
      <c r="M932" s="102"/>
      <c r="N932" s="102"/>
      <c r="O932" s="102"/>
      <c r="P932" s="103"/>
      <c r="Q932" s="103"/>
      <c r="R932" s="103"/>
      <c r="S932" s="103"/>
      <c r="T932" s="79"/>
      <c r="U932" s="79"/>
      <c r="V932" s="79"/>
      <c r="W932" s="79"/>
      <c r="X932" s="79"/>
      <c r="Y932" s="79"/>
      <c r="Z932" s="79"/>
    </row>
    <row r="933" ht="21.0" customHeight="1">
      <c r="A933" s="79"/>
      <c r="B933" s="79"/>
      <c r="C933" s="104"/>
      <c r="D933" s="104"/>
      <c r="E933" s="104"/>
      <c r="F933" s="104"/>
      <c r="G933" s="104"/>
      <c r="H933" s="104"/>
      <c r="I933" s="104"/>
      <c r="J933" s="104"/>
      <c r="K933" s="104"/>
      <c r="L933" s="102"/>
      <c r="M933" s="102"/>
      <c r="N933" s="102"/>
      <c r="O933" s="102"/>
      <c r="P933" s="103"/>
      <c r="Q933" s="103"/>
      <c r="R933" s="103"/>
      <c r="S933" s="103"/>
      <c r="T933" s="79"/>
      <c r="U933" s="79"/>
      <c r="V933" s="79"/>
      <c r="W933" s="79"/>
      <c r="X933" s="79"/>
      <c r="Y933" s="79"/>
      <c r="Z933" s="79"/>
    </row>
    <row r="934" ht="21.0" customHeight="1">
      <c r="A934" s="79"/>
      <c r="B934" s="79"/>
      <c r="C934" s="104"/>
      <c r="D934" s="104"/>
      <c r="E934" s="104"/>
      <c r="F934" s="104"/>
      <c r="G934" s="104"/>
      <c r="H934" s="104"/>
      <c r="I934" s="104"/>
      <c r="J934" s="104"/>
      <c r="K934" s="104"/>
      <c r="L934" s="102"/>
      <c r="M934" s="102"/>
      <c r="N934" s="102"/>
      <c r="O934" s="102"/>
      <c r="P934" s="103"/>
      <c r="Q934" s="103"/>
      <c r="R934" s="103"/>
      <c r="S934" s="103"/>
      <c r="T934" s="79"/>
      <c r="U934" s="79"/>
      <c r="V934" s="79"/>
      <c r="W934" s="79"/>
      <c r="X934" s="79"/>
      <c r="Y934" s="79"/>
      <c r="Z934" s="79"/>
    </row>
    <row r="935" ht="21.0" customHeight="1">
      <c r="A935" s="79"/>
      <c r="B935" s="79"/>
      <c r="C935" s="104"/>
      <c r="D935" s="104"/>
      <c r="E935" s="104"/>
      <c r="F935" s="104"/>
      <c r="G935" s="104"/>
      <c r="H935" s="104"/>
      <c r="I935" s="104"/>
      <c r="J935" s="104"/>
      <c r="K935" s="104"/>
      <c r="L935" s="102"/>
      <c r="M935" s="102"/>
      <c r="N935" s="102"/>
      <c r="O935" s="102"/>
      <c r="P935" s="103"/>
      <c r="Q935" s="103"/>
      <c r="R935" s="103"/>
      <c r="S935" s="103"/>
      <c r="T935" s="79"/>
      <c r="U935" s="79"/>
      <c r="V935" s="79"/>
      <c r="W935" s="79"/>
      <c r="X935" s="79"/>
      <c r="Y935" s="79"/>
      <c r="Z935" s="79"/>
    </row>
    <row r="936" ht="21.0" customHeight="1">
      <c r="A936" s="79"/>
      <c r="B936" s="79"/>
      <c r="C936" s="104"/>
      <c r="D936" s="104"/>
      <c r="E936" s="104"/>
      <c r="F936" s="104"/>
      <c r="G936" s="104"/>
      <c r="H936" s="104"/>
      <c r="I936" s="104"/>
      <c r="J936" s="104"/>
      <c r="K936" s="104"/>
      <c r="L936" s="102"/>
      <c r="M936" s="102"/>
      <c r="N936" s="102"/>
      <c r="O936" s="102"/>
      <c r="P936" s="103"/>
      <c r="Q936" s="103"/>
      <c r="R936" s="103"/>
      <c r="S936" s="103"/>
      <c r="T936" s="79"/>
      <c r="U936" s="79"/>
      <c r="V936" s="79"/>
      <c r="W936" s="79"/>
      <c r="X936" s="79"/>
      <c r="Y936" s="79"/>
      <c r="Z936" s="79"/>
    </row>
    <row r="937" ht="21.0" customHeight="1">
      <c r="A937" s="79"/>
      <c r="B937" s="79"/>
      <c r="C937" s="104"/>
      <c r="D937" s="104"/>
      <c r="E937" s="104"/>
      <c r="F937" s="104"/>
      <c r="G937" s="104"/>
      <c r="H937" s="104"/>
      <c r="I937" s="104"/>
      <c r="J937" s="104"/>
      <c r="K937" s="104"/>
      <c r="L937" s="102"/>
      <c r="M937" s="102"/>
      <c r="N937" s="102"/>
      <c r="O937" s="102"/>
      <c r="P937" s="103"/>
      <c r="Q937" s="103"/>
      <c r="R937" s="103"/>
      <c r="S937" s="103"/>
      <c r="T937" s="79"/>
      <c r="U937" s="79"/>
      <c r="V937" s="79"/>
      <c r="W937" s="79"/>
      <c r="X937" s="79"/>
      <c r="Y937" s="79"/>
      <c r="Z937" s="79"/>
    </row>
    <row r="938" ht="21.0" customHeight="1">
      <c r="A938" s="79"/>
      <c r="B938" s="79"/>
      <c r="C938" s="104"/>
      <c r="D938" s="104"/>
      <c r="E938" s="104"/>
      <c r="F938" s="104"/>
      <c r="G938" s="104"/>
      <c r="H938" s="104"/>
      <c r="I938" s="104"/>
      <c r="J938" s="104"/>
      <c r="K938" s="104"/>
      <c r="L938" s="102"/>
      <c r="M938" s="102"/>
      <c r="N938" s="102"/>
      <c r="O938" s="102"/>
      <c r="P938" s="103"/>
      <c r="Q938" s="103"/>
      <c r="R938" s="103"/>
      <c r="S938" s="103"/>
      <c r="T938" s="79"/>
      <c r="U938" s="79"/>
      <c r="V938" s="79"/>
      <c r="W938" s="79"/>
      <c r="X938" s="79"/>
      <c r="Y938" s="79"/>
      <c r="Z938" s="79"/>
    </row>
    <row r="939" ht="21.0" customHeight="1">
      <c r="A939" s="79"/>
      <c r="B939" s="79"/>
      <c r="C939" s="104"/>
      <c r="D939" s="104"/>
      <c r="E939" s="104"/>
      <c r="F939" s="104"/>
      <c r="G939" s="104"/>
      <c r="H939" s="104"/>
      <c r="I939" s="104"/>
      <c r="J939" s="104"/>
      <c r="K939" s="104"/>
      <c r="L939" s="102"/>
      <c r="M939" s="102"/>
      <c r="N939" s="102"/>
      <c r="O939" s="102"/>
      <c r="P939" s="103"/>
      <c r="Q939" s="103"/>
      <c r="R939" s="103"/>
      <c r="S939" s="103"/>
      <c r="T939" s="79"/>
      <c r="U939" s="79"/>
      <c r="V939" s="79"/>
      <c r="W939" s="79"/>
      <c r="X939" s="79"/>
      <c r="Y939" s="79"/>
      <c r="Z939" s="79"/>
    </row>
    <row r="940" ht="21.0" customHeight="1">
      <c r="A940" s="79"/>
      <c r="B940" s="79"/>
      <c r="C940" s="104"/>
      <c r="D940" s="104"/>
      <c r="E940" s="104"/>
      <c r="F940" s="104"/>
      <c r="G940" s="104"/>
      <c r="H940" s="104"/>
      <c r="I940" s="104"/>
      <c r="J940" s="104"/>
      <c r="K940" s="104"/>
      <c r="L940" s="102"/>
      <c r="M940" s="102"/>
      <c r="N940" s="102"/>
      <c r="O940" s="102"/>
      <c r="P940" s="103"/>
      <c r="Q940" s="103"/>
      <c r="R940" s="103"/>
      <c r="S940" s="103"/>
      <c r="T940" s="79"/>
      <c r="U940" s="79"/>
      <c r="V940" s="79"/>
      <c r="W940" s="79"/>
      <c r="X940" s="79"/>
      <c r="Y940" s="79"/>
      <c r="Z940" s="79"/>
    </row>
    <row r="941" ht="21.0" customHeight="1">
      <c r="A941" s="79"/>
      <c r="B941" s="79"/>
      <c r="C941" s="104"/>
      <c r="D941" s="104"/>
      <c r="E941" s="104"/>
      <c r="F941" s="104"/>
      <c r="G941" s="104"/>
      <c r="H941" s="104"/>
      <c r="I941" s="104"/>
      <c r="J941" s="104"/>
      <c r="K941" s="104"/>
      <c r="L941" s="102"/>
      <c r="M941" s="102"/>
      <c r="N941" s="102"/>
      <c r="O941" s="102"/>
      <c r="P941" s="103"/>
      <c r="Q941" s="103"/>
      <c r="R941" s="103"/>
      <c r="S941" s="103"/>
      <c r="T941" s="79"/>
      <c r="U941" s="79"/>
      <c r="V941" s="79"/>
      <c r="W941" s="79"/>
      <c r="X941" s="79"/>
      <c r="Y941" s="79"/>
      <c r="Z941" s="79"/>
    </row>
    <row r="942" ht="21.0" customHeight="1">
      <c r="A942" s="79"/>
      <c r="B942" s="79"/>
      <c r="C942" s="104"/>
      <c r="D942" s="104"/>
      <c r="E942" s="104"/>
      <c r="F942" s="104"/>
      <c r="G942" s="104"/>
      <c r="H942" s="104"/>
      <c r="I942" s="104"/>
      <c r="J942" s="104"/>
      <c r="K942" s="104"/>
      <c r="L942" s="102"/>
      <c r="M942" s="102"/>
      <c r="N942" s="102"/>
      <c r="O942" s="102"/>
      <c r="P942" s="103"/>
      <c r="Q942" s="103"/>
      <c r="R942" s="103"/>
      <c r="S942" s="103"/>
      <c r="T942" s="79"/>
      <c r="U942" s="79"/>
      <c r="V942" s="79"/>
      <c r="W942" s="79"/>
      <c r="X942" s="79"/>
      <c r="Y942" s="79"/>
      <c r="Z942" s="79"/>
    </row>
    <row r="943" ht="21.0" customHeight="1">
      <c r="A943" s="79"/>
      <c r="B943" s="79"/>
      <c r="C943" s="104"/>
      <c r="D943" s="104"/>
      <c r="E943" s="104"/>
      <c r="F943" s="104"/>
      <c r="G943" s="104"/>
      <c r="H943" s="104"/>
      <c r="I943" s="104"/>
      <c r="J943" s="104"/>
      <c r="K943" s="104"/>
      <c r="L943" s="102"/>
      <c r="M943" s="102"/>
      <c r="N943" s="102"/>
      <c r="O943" s="102"/>
      <c r="P943" s="103"/>
      <c r="Q943" s="103"/>
      <c r="R943" s="103"/>
      <c r="S943" s="103"/>
      <c r="T943" s="79"/>
      <c r="U943" s="79"/>
      <c r="V943" s="79"/>
      <c r="W943" s="79"/>
      <c r="X943" s="79"/>
      <c r="Y943" s="79"/>
      <c r="Z943" s="79"/>
    </row>
    <row r="944" ht="21.0" customHeight="1">
      <c r="A944" s="79"/>
      <c r="B944" s="79"/>
      <c r="C944" s="104"/>
      <c r="D944" s="104"/>
      <c r="E944" s="104"/>
      <c r="F944" s="104"/>
      <c r="G944" s="104"/>
      <c r="H944" s="104"/>
      <c r="I944" s="104"/>
      <c r="J944" s="104"/>
      <c r="K944" s="104"/>
      <c r="L944" s="102"/>
      <c r="M944" s="102"/>
      <c r="N944" s="102"/>
      <c r="O944" s="102"/>
      <c r="P944" s="103"/>
      <c r="Q944" s="103"/>
      <c r="R944" s="103"/>
      <c r="S944" s="103"/>
      <c r="T944" s="79"/>
      <c r="U944" s="79"/>
      <c r="V944" s="79"/>
      <c r="W944" s="79"/>
      <c r="X944" s="79"/>
      <c r="Y944" s="79"/>
      <c r="Z944" s="79"/>
    </row>
    <row r="945" ht="21.0" customHeight="1">
      <c r="A945" s="79"/>
      <c r="B945" s="79"/>
      <c r="C945" s="104"/>
      <c r="D945" s="104"/>
      <c r="E945" s="104"/>
      <c r="F945" s="104"/>
      <c r="G945" s="104"/>
      <c r="H945" s="104"/>
      <c r="I945" s="104"/>
      <c r="J945" s="104"/>
      <c r="K945" s="104"/>
      <c r="L945" s="102"/>
      <c r="M945" s="102"/>
      <c r="N945" s="102"/>
      <c r="O945" s="102"/>
      <c r="P945" s="103"/>
      <c r="Q945" s="103"/>
      <c r="R945" s="103"/>
      <c r="S945" s="103"/>
      <c r="T945" s="79"/>
      <c r="U945" s="79"/>
      <c r="V945" s="79"/>
      <c r="W945" s="79"/>
      <c r="X945" s="79"/>
      <c r="Y945" s="79"/>
      <c r="Z945" s="79"/>
    </row>
    <row r="946" ht="21.0" customHeight="1">
      <c r="A946" s="79"/>
      <c r="B946" s="79"/>
      <c r="C946" s="104"/>
      <c r="D946" s="104"/>
      <c r="E946" s="104"/>
      <c r="F946" s="104"/>
      <c r="G946" s="104"/>
      <c r="H946" s="104"/>
      <c r="I946" s="104"/>
      <c r="J946" s="104"/>
      <c r="K946" s="104"/>
      <c r="L946" s="102"/>
      <c r="M946" s="102"/>
      <c r="N946" s="102"/>
      <c r="O946" s="102"/>
      <c r="P946" s="103"/>
      <c r="Q946" s="103"/>
      <c r="R946" s="103"/>
      <c r="S946" s="103"/>
      <c r="T946" s="79"/>
      <c r="U946" s="79"/>
      <c r="V946" s="79"/>
      <c r="W946" s="79"/>
      <c r="X946" s="79"/>
      <c r="Y946" s="79"/>
      <c r="Z946" s="79"/>
    </row>
    <row r="947" ht="21.0" customHeight="1">
      <c r="A947" s="79"/>
      <c r="B947" s="79"/>
      <c r="C947" s="104"/>
      <c r="D947" s="104"/>
      <c r="E947" s="104"/>
      <c r="F947" s="104"/>
      <c r="G947" s="104"/>
      <c r="H947" s="104"/>
      <c r="I947" s="104"/>
      <c r="J947" s="104"/>
      <c r="K947" s="104"/>
      <c r="L947" s="102"/>
      <c r="M947" s="102"/>
      <c r="N947" s="102"/>
      <c r="O947" s="102"/>
      <c r="P947" s="103"/>
      <c r="Q947" s="103"/>
      <c r="R947" s="103"/>
      <c r="S947" s="103"/>
      <c r="T947" s="79"/>
      <c r="U947" s="79"/>
      <c r="V947" s="79"/>
      <c r="W947" s="79"/>
      <c r="X947" s="79"/>
      <c r="Y947" s="79"/>
      <c r="Z947" s="79"/>
    </row>
    <row r="948" ht="21.0" customHeight="1">
      <c r="A948" s="79"/>
      <c r="B948" s="79"/>
      <c r="C948" s="104"/>
      <c r="D948" s="104"/>
      <c r="E948" s="104"/>
      <c r="F948" s="104"/>
      <c r="G948" s="104"/>
      <c r="H948" s="104"/>
      <c r="I948" s="104"/>
      <c r="J948" s="104"/>
      <c r="K948" s="104"/>
      <c r="L948" s="102"/>
      <c r="M948" s="102"/>
      <c r="N948" s="102"/>
      <c r="O948" s="102"/>
      <c r="P948" s="103"/>
      <c r="Q948" s="103"/>
      <c r="R948" s="103"/>
      <c r="S948" s="103"/>
      <c r="T948" s="79"/>
      <c r="U948" s="79"/>
      <c r="V948" s="79"/>
      <c r="W948" s="79"/>
      <c r="X948" s="79"/>
      <c r="Y948" s="79"/>
      <c r="Z948" s="79"/>
    </row>
    <row r="949" ht="21.0" customHeight="1">
      <c r="A949" s="79"/>
      <c r="B949" s="79"/>
      <c r="C949" s="104"/>
      <c r="D949" s="104"/>
      <c r="E949" s="104"/>
      <c r="F949" s="104"/>
      <c r="G949" s="104"/>
      <c r="H949" s="104"/>
      <c r="I949" s="104"/>
      <c r="J949" s="104"/>
      <c r="K949" s="104"/>
      <c r="L949" s="102"/>
      <c r="M949" s="102"/>
      <c r="N949" s="102"/>
      <c r="O949" s="102"/>
      <c r="P949" s="103"/>
      <c r="Q949" s="103"/>
      <c r="R949" s="103"/>
      <c r="S949" s="103"/>
      <c r="T949" s="79"/>
      <c r="U949" s="79"/>
      <c r="V949" s="79"/>
      <c r="W949" s="79"/>
      <c r="X949" s="79"/>
      <c r="Y949" s="79"/>
      <c r="Z949" s="79"/>
    </row>
    <row r="950" ht="21.0" customHeight="1">
      <c r="A950" s="79"/>
      <c r="B950" s="79"/>
      <c r="C950" s="104"/>
      <c r="D950" s="104"/>
      <c r="E950" s="104"/>
      <c r="F950" s="104"/>
      <c r="G950" s="104"/>
      <c r="H950" s="104"/>
      <c r="I950" s="104"/>
      <c r="J950" s="104"/>
      <c r="K950" s="104"/>
      <c r="L950" s="102"/>
      <c r="M950" s="102"/>
      <c r="N950" s="102"/>
      <c r="O950" s="102"/>
      <c r="P950" s="103"/>
      <c r="Q950" s="103"/>
      <c r="R950" s="103"/>
      <c r="S950" s="103"/>
      <c r="T950" s="79"/>
      <c r="U950" s="79"/>
      <c r="V950" s="79"/>
      <c r="W950" s="79"/>
      <c r="X950" s="79"/>
      <c r="Y950" s="79"/>
      <c r="Z950" s="79"/>
    </row>
    <row r="951" ht="21.0" customHeight="1">
      <c r="A951" s="79"/>
      <c r="B951" s="79"/>
      <c r="C951" s="104"/>
      <c r="D951" s="104"/>
      <c r="E951" s="104"/>
      <c r="F951" s="104"/>
      <c r="G951" s="104"/>
      <c r="H951" s="104"/>
      <c r="I951" s="104"/>
      <c r="J951" s="104"/>
      <c r="K951" s="104"/>
      <c r="L951" s="102"/>
      <c r="M951" s="102"/>
      <c r="N951" s="102"/>
      <c r="O951" s="102"/>
      <c r="P951" s="103"/>
      <c r="Q951" s="103"/>
      <c r="R951" s="103"/>
      <c r="S951" s="103"/>
      <c r="T951" s="79"/>
      <c r="U951" s="79"/>
      <c r="V951" s="79"/>
      <c r="W951" s="79"/>
      <c r="X951" s="79"/>
      <c r="Y951" s="79"/>
      <c r="Z951" s="79"/>
    </row>
    <row r="952" ht="21.0" customHeight="1">
      <c r="A952" s="79"/>
      <c r="B952" s="79"/>
      <c r="C952" s="104"/>
      <c r="D952" s="104"/>
      <c r="E952" s="104"/>
      <c r="F952" s="104"/>
      <c r="G952" s="104"/>
      <c r="H952" s="104"/>
      <c r="I952" s="104"/>
      <c r="J952" s="104"/>
      <c r="K952" s="104"/>
      <c r="L952" s="102"/>
      <c r="M952" s="102"/>
      <c r="N952" s="102"/>
      <c r="O952" s="102"/>
      <c r="P952" s="103"/>
      <c r="Q952" s="103"/>
      <c r="R952" s="103"/>
      <c r="S952" s="103"/>
      <c r="T952" s="79"/>
      <c r="U952" s="79"/>
      <c r="V952" s="79"/>
      <c r="W952" s="79"/>
      <c r="X952" s="79"/>
      <c r="Y952" s="79"/>
      <c r="Z952" s="79"/>
    </row>
    <row r="953" ht="21.0" customHeight="1">
      <c r="A953" s="79"/>
      <c r="B953" s="79"/>
      <c r="C953" s="104"/>
      <c r="D953" s="104"/>
      <c r="E953" s="104"/>
      <c r="F953" s="104"/>
      <c r="G953" s="104"/>
      <c r="H953" s="104"/>
      <c r="I953" s="104"/>
      <c r="J953" s="104"/>
      <c r="K953" s="104"/>
      <c r="L953" s="102"/>
      <c r="M953" s="102"/>
      <c r="N953" s="102"/>
      <c r="O953" s="102"/>
      <c r="P953" s="103"/>
      <c r="Q953" s="103"/>
      <c r="R953" s="103"/>
      <c r="S953" s="103"/>
      <c r="T953" s="79"/>
      <c r="U953" s="79"/>
      <c r="V953" s="79"/>
      <c r="W953" s="79"/>
      <c r="X953" s="79"/>
      <c r="Y953" s="79"/>
      <c r="Z953" s="79"/>
    </row>
    <row r="954" ht="21.0" customHeight="1">
      <c r="A954" s="79"/>
      <c r="B954" s="79"/>
      <c r="C954" s="104"/>
      <c r="D954" s="104"/>
      <c r="E954" s="104"/>
      <c r="F954" s="104"/>
      <c r="G954" s="104"/>
      <c r="H954" s="104"/>
      <c r="I954" s="104"/>
      <c r="J954" s="104"/>
      <c r="K954" s="104"/>
      <c r="L954" s="102"/>
      <c r="M954" s="102"/>
      <c r="N954" s="102"/>
      <c r="O954" s="102"/>
      <c r="P954" s="103"/>
      <c r="Q954" s="103"/>
      <c r="R954" s="103"/>
      <c r="S954" s="103"/>
      <c r="T954" s="79"/>
      <c r="U954" s="79"/>
      <c r="V954" s="79"/>
      <c r="W954" s="79"/>
      <c r="X954" s="79"/>
      <c r="Y954" s="79"/>
      <c r="Z954" s="79"/>
    </row>
    <row r="955" ht="21.0" customHeight="1">
      <c r="A955" s="79"/>
      <c r="B955" s="79"/>
      <c r="C955" s="104"/>
      <c r="D955" s="104"/>
      <c r="E955" s="104"/>
      <c r="F955" s="104"/>
      <c r="G955" s="104"/>
      <c r="H955" s="104"/>
      <c r="I955" s="104"/>
      <c r="J955" s="104"/>
      <c r="K955" s="104"/>
      <c r="L955" s="102"/>
      <c r="M955" s="102"/>
      <c r="N955" s="102"/>
      <c r="O955" s="102"/>
      <c r="P955" s="103"/>
      <c r="Q955" s="103"/>
      <c r="R955" s="103"/>
      <c r="S955" s="103"/>
      <c r="T955" s="79"/>
      <c r="U955" s="79"/>
      <c r="V955" s="79"/>
      <c r="W955" s="79"/>
      <c r="X955" s="79"/>
      <c r="Y955" s="79"/>
      <c r="Z955" s="79"/>
    </row>
    <row r="956" ht="21.0" customHeight="1">
      <c r="A956" s="79"/>
      <c r="B956" s="79"/>
      <c r="C956" s="104"/>
      <c r="D956" s="104"/>
      <c r="E956" s="104"/>
      <c r="F956" s="104"/>
      <c r="G956" s="104"/>
      <c r="H956" s="104"/>
      <c r="I956" s="104"/>
      <c r="J956" s="104"/>
      <c r="K956" s="104"/>
      <c r="L956" s="102"/>
      <c r="M956" s="102"/>
      <c r="N956" s="102"/>
      <c r="O956" s="102"/>
      <c r="P956" s="103"/>
      <c r="Q956" s="103"/>
      <c r="R956" s="103"/>
      <c r="S956" s="103"/>
      <c r="T956" s="79"/>
      <c r="U956" s="79"/>
      <c r="V956" s="79"/>
      <c r="W956" s="79"/>
      <c r="X956" s="79"/>
      <c r="Y956" s="79"/>
      <c r="Z956" s="79"/>
    </row>
    <row r="957" ht="21.0" customHeight="1">
      <c r="A957" s="79"/>
      <c r="B957" s="79"/>
      <c r="C957" s="104"/>
      <c r="D957" s="104"/>
      <c r="E957" s="104"/>
      <c r="F957" s="104"/>
      <c r="G957" s="104"/>
      <c r="H957" s="104"/>
      <c r="I957" s="104"/>
      <c r="J957" s="104"/>
      <c r="K957" s="104"/>
      <c r="L957" s="102"/>
      <c r="M957" s="102"/>
      <c r="N957" s="102"/>
      <c r="O957" s="102"/>
      <c r="P957" s="103"/>
      <c r="Q957" s="103"/>
      <c r="R957" s="103"/>
      <c r="S957" s="103"/>
      <c r="T957" s="79"/>
      <c r="U957" s="79"/>
      <c r="V957" s="79"/>
      <c r="W957" s="79"/>
      <c r="X957" s="79"/>
      <c r="Y957" s="79"/>
      <c r="Z957" s="79"/>
    </row>
    <row r="958" ht="21.0" customHeight="1">
      <c r="A958" s="79"/>
      <c r="B958" s="79"/>
      <c r="C958" s="104"/>
      <c r="D958" s="104"/>
      <c r="E958" s="104"/>
      <c r="F958" s="104"/>
      <c r="G958" s="104"/>
      <c r="H958" s="104"/>
      <c r="I958" s="104"/>
      <c r="J958" s="104"/>
      <c r="K958" s="104"/>
      <c r="L958" s="102"/>
      <c r="M958" s="102"/>
      <c r="N958" s="102"/>
      <c r="O958" s="102"/>
      <c r="P958" s="103"/>
      <c r="Q958" s="103"/>
      <c r="R958" s="103"/>
      <c r="S958" s="103"/>
      <c r="T958" s="79"/>
      <c r="U958" s="79"/>
      <c r="V958" s="79"/>
      <c r="W958" s="79"/>
      <c r="X958" s="79"/>
      <c r="Y958" s="79"/>
      <c r="Z958" s="79"/>
    </row>
    <row r="959" ht="21.0" customHeight="1">
      <c r="A959" s="79"/>
      <c r="B959" s="79"/>
      <c r="C959" s="104"/>
      <c r="D959" s="104"/>
      <c r="E959" s="104"/>
      <c r="F959" s="104"/>
      <c r="G959" s="104"/>
      <c r="H959" s="104"/>
      <c r="I959" s="104"/>
      <c r="J959" s="104"/>
      <c r="K959" s="104"/>
      <c r="L959" s="102"/>
      <c r="M959" s="102"/>
      <c r="N959" s="102"/>
      <c r="O959" s="102"/>
      <c r="P959" s="103"/>
      <c r="Q959" s="103"/>
      <c r="R959" s="103"/>
      <c r="S959" s="103"/>
      <c r="T959" s="79"/>
      <c r="U959" s="79"/>
      <c r="V959" s="79"/>
      <c r="W959" s="79"/>
      <c r="X959" s="79"/>
      <c r="Y959" s="79"/>
      <c r="Z959" s="79"/>
    </row>
    <row r="960" ht="21.0" customHeight="1">
      <c r="A960" s="79"/>
      <c r="B960" s="79"/>
      <c r="C960" s="104"/>
      <c r="D960" s="104"/>
      <c r="E960" s="104"/>
      <c r="F960" s="104"/>
      <c r="G960" s="104"/>
      <c r="H960" s="104"/>
      <c r="I960" s="104"/>
      <c r="J960" s="104"/>
      <c r="K960" s="104"/>
      <c r="L960" s="102"/>
      <c r="M960" s="102"/>
      <c r="N960" s="102"/>
      <c r="O960" s="102"/>
      <c r="P960" s="103"/>
      <c r="Q960" s="103"/>
      <c r="R960" s="103"/>
      <c r="S960" s="103"/>
      <c r="T960" s="79"/>
      <c r="U960" s="79"/>
      <c r="V960" s="79"/>
      <c r="W960" s="79"/>
      <c r="X960" s="79"/>
      <c r="Y960" s="79"/>
      <c r="Z960" s="79"/>
    </row>
    <row r="961" ht="21.0" customHeight="1">
      <c r="A961" s="79"/>
      <c r="B961" s="79"/>
      <c r="C961" s="104"/>
      <c r="D961" s="104"/>
      <c r="E961" s="104"/>
      <c r="F961" s="104"/>
      <c r="G961" s="104"/>
      <c r="H961" s="104"/>
      <c r="I961" s="104"/>
      <c r="J961" s="104"/>
      <c r="K961" s="104"/>
      <c r="L961" s="102"/>
      <c r="M961" s="102"/>
      <c r="N961" s="102"/>
      <c r="O961" s="102"/>
      <c r="P961" s="103"/>
      <c r="Q961" s="103"/>
      <c r="R961" s="103"/>
      <c r="S961" s="103"/>
      <c r="T961" s="79"/>
      <c r="U961" s="79"/>
      <c r="V961" s="79"/>
      <c r="W961" s="79"/>
      <c r="X961" s="79"/>
      <c r="Y961" s="79"/>
      <c r="Z961" s="79"/>
    </row>
    <row r="962" ht="21.0" customHeight="1">
      <c r="A962" s="79"/>
      <c r="B962" s="79"/>
      <c r="C962" s="104"/>
      <c r="D962" s="104"/>
      <c r="E962" s="104"/>
      <c r="F962" s="104"/>
      <c r="G962" s="104"/>
      <c r="H962" s="104"/>
      <c r="I962" s="104"/>
      <c r="J962" s="104"/>
      <c r="K962" s="104"/>
      <c r="L962" s="102"/>
      <c r="M962" s="102"/>
      <c r="N962" s="102"/>
      <c r="O962" s="102"/>
      <c r="P962" s="103"/>
      <c r="Q962" s="103"/>
      <c r="R962" s="103"/>
      <c r="S962" s="103"/>
      <c r="T962" s="79"/>
      <c r="U962" s="79"/>
      <c r="V962" s="79"/>
      <c r="W962" s="79"/>
      <c r="X962" s="79"/>
      <c r="Y962" s="79"/>
      <c r="Z962" s="79"/>
    </row>
    <row r="963" ht="21.0" customHeight="1">
      <c r="A963" s="79"/>
      <c r="B963" s="79"/>
      <c r="C963" s="104"/>
      <c r="D963" s="104"/>
      <c r="E963" s="104"/>
      <c r="F963" s="104"/>
      <c r="G963" s="104"/>
      <c r="H963" s="104"/>
      <c r="I963" s="104"/>
      <c r="J963" s="104"/>
      <c r="K963" s="104"/>
      <c r="L963" s="102"/>
      <c r="M963" s="102"/>
      <c r="N963" s="102"/>
      <c r="O963" s="102"/>
      <c r="P963" s="103"/>
      <c r="Q963" s="103"/>
      <c r="R963" s="103"/>
      <c r="S963" s="103"/>
      <c r="T963" s="79"/>
      <c r="U963" s="79"/>
      <c r="V963" s="79"/>
      <c r="W963" s="79"/>
      <c r="X963" s="79"/>
      <c r="Y963" s="79"/>
      <c r="Z963" s="79"/>
    </row>
    <row r="964" ht="21.0" customHeight="1">
      <c r="A964" s="79"/>
      <c r="B964" s="79"/>
      <c r="C964" s="104"/>
      <c r="D964" s="104"/>
      <c r="E964" s="104"/>
      <c r="F964" s="104"/>
      <c r="G964" s="104"/>
      <c r="H964" s="104"/>
      <c r="I964" s="104"/>
      <c r="J964" s="104"/>
      <c r="K964" s="104"/>
      <c r="L964" s="102"/>
      <c r="M964" s="102"/>
      <c r="N964" s="102"/>
      <c r="O964" s="102"/>
      <c r="P964" s="103"/>
      <c r="Q964" s="103"/>
      <c r="R964" s="103"/>
      <c r="S964" s="103"/>
      <c r="T964" s="79"/>
      <c r="U964" s="79"/>
      <c r="V964" s="79"/>
      <c r="W964" s="79"/>
      <c r="X964" s="79"/>
      <c r="Y964" s="79"/>
      <c r="Z964" s="79"/>
    </row>
    <row r="965" ht="21.0" customHeight="1">
      <c r="A965" s="79"/>
      <c r="B965" s="79"/>
      <c r="C965" s="104"/>
      <c r="D965" s="104"/>
      <c r="E965" s="104"/>
      <c r="F965" s="104"/>
      <c r="G965" s="104"/>
      <c r="H965" s="104"/>
      <c r="I965" s="104"/>
      <c r="J965" s="104"/>
      <c r="K965" s="104"/>
      <c r="L965" s="102"/>
      <c r="M965" s="102"/>
      <c r="N965" s="102"/>
      <c r="O965" s="102"/>
      <c r="P965" s="103"/>
      <c r="Q965" s="103"/>
      <c r="R965" s="103"/>
      <c r="S965" s="103"/>
      <c r="T965" s="79"/>
      <c r="U965" s="79"/>
      <c r="V965" s="79"/>
      <c r="W965" s="79"/>
      <c r="X965" s="79"/>
      <c r="Y965" s="79"/>
      <c r="Z965" s="79"/>
    </row>
    <row r="966" ht="21.0" customHeight="1">
      <c r="A966" s="79"/>
      <c r="B966" s="79"/>
      <c r="C966" s="104"/>
      <c r="D966" s="104"/>
      <c r="E966" s="104"/>
      <c r="F966" s="104"/>
      <c r="G966" s="104"/>
      <c r="H966" s="104"/>
      <c r="I966" s="104"/>
      <c r="J966" s="104"/>
      <c r="K966" s="104"/>
      <c r="L966" s="102"/>
      <c r="M966" s="102"/>
      <c r="N966" s="102"/>
      <c r="O966" s="102"/>
      <c r="P966" s="103"/>
      <c r="Q966" s="103"/>
      <c r="R966" s="103"/>
      <c r="S966" s="103"/>
      <c r="T966" s="79"/>
      <c r="U966" s="79"/>
      <c r="V966" s="79"/>
      <c r="W966" s="79"/>
      <c r="X966" s="79"/>
      <c r="Y966" s="79"/>
      <c r="Z966" s="79"/>
    </row>
    <row r="967" ht="21.0" customHeight="1">
      <c r="A967" s="79"/>
      <c r="B967" s="79"/>
      <c r="C967" s="104"/>
      <c r="D967" s="104"/>
      <c r="E967" s="104"/>
      <c r="F967" s="104"/>
      <c r="G967" s="104"/>
      <c r="H967" s="104"/>
      <c r="I967" s="104"/>
      <c r="J967" s="104"/>
      <c r="K967" s="104"/>
      <c r="L967" s="102"/>
      <c r="M967" s="102"/>
      <c r="N967" s="102"/>
      <c r="O967" s="102"/>
      <c r="P967" s="103"/>
      <c r="Q967" s="103"/>
      <c r="R967" s="103"/>
      <c r="S967" s="103"/>
      <c r="T967" s="79"/>
      <c r="U967" s="79"/>
      <c r="V967" s="79"/>
      <c r="W967" s="79"/>
      <c r="X967" s="79"/>
      <c r="Y967" s="79"/>
      <c r="Z967" s="79"/>
    </row>
    <row r="968" ht="21.0" customHeight="1">
      <c r="A968" s="79"/>
      <c r="B968" s="79"/>
      <c r="C968" s="104"/>
      <c r="D968" s="104"/>
      <c r="E968" s="104"/>
      <c r="F968" s="104"/>
      <c r="G968" s="104"/>
      <c r="H968" s="104"/>
      <c r="I968" s="104"/>
      <c r="J968" s="104"/>
      <c r="K968" s="104"/>
      <c r="L968" s="102"/>
      <c r="M968" s="102"/>
      <c r="N968" s="102"/>
      <c r="O968" s="102"/>
      <c r="P968" s="103"/>
      <c r="Q968" s="103"/>
      <c r="R968" s="103"/>
      <c r="S968" s="103"/>
      <c r="T968" s="79"/>
      <c r="U968" s="79"/>
      <c r="V968" s="79"/>
      <c r="W968" s="79"/>
      <c r="X968" s="79"/>
      <c r="Y968" s="79"/>
      <c r="Z968" s="79"/>
    </row>
    <row r="969" ht="21.0" customHeight="1">
      <c r="A969" s="79"/>
      <c r="B969" s="79"/>
      <c r="C969" s="104"/>
      <c r="D969" s="104"/>
      <c r="E969" s="104"/>
      <c r="F969" s="104"/>
      <c r="G969" s="104"/>
      <c r="H969" s="104"/>
      <c r="I969" s="104"/>
      <c r="J969" s="104"/>
      <c r="K969" s="104"/>
      <c r="L969" s="102"/>
      <c r="M969" s="102"/>
      <c r="N969" s="102"/>
      <c r="O969" s="102"/>
      <c r="P969" s="103"/>
      <c r="Q969" s="103"/>
      <c r="R969" s="103"/>
      <c r="S969" s="103"/>
      <c r="T969" s="79"/>
      <c r="U969" s="79"/>
      <c r="V969" s="79"/>
      <c r="W969" s="79"/>
      <c r="X969" s="79"/>
      <c r="Y969" s="79"/>
      <c r="Z969" s="79"/>
    </row>
    <row r="970" ht="21.0" customHeight="1">
      <c r="A970" s="79"/>
      <c r="B970" s="79"/>
      <c r="C970" s="104"/>
      <c r="D970" s="104"/>
      <c r="E970" s="104"/>
      <c r="F970" s="104"/>
      <c r="G970" s="104"/>
      <c r="H970" s="104"/>
      <c r="I970" s="104"/>
      <c r="J970" s="104"/>
      <c r="K970" s="104"/>
      <c r="L970" s="102"/>
      <c r="M970" s="102"/>
      <c r="N970" s="102"/>
      <c r="O970" s="102"/>
      <c r="P970" s="103"/>
      <c r="Q970" s="103"/>
      <c r="R970" s="103"/>
      <c r="S970" s="103"/>
      <c r="T970" s="79"/>
      <c r="U970" s="79"/>
      <c r="V970" s="79"/>
      <c r="W970" s="79"/>
      <c r="X970" s="79"/>
      <c r="Y970" s="79"/>
      <c r="Z970" s="79"/>
    </row>
    <row r="971" ht="21.0" customHeight="1">
      <c r="A971" s="79"/>
      <c r="B971" s="79"/>
      <c r="C971" s="104"/>
      <c r="D971" s="104"/>
      <c r="E971" s="104"/>
      <c r="F971" s="104"/>
      <c r="G971" s="104"/>
      <c r="H971" s="104"/>
      <c r="I971" s="104"/>
      <c r="J971" s="104"/>
      <c r="K971" s="104"/>
      <c r="L971" s="102"/>
      <c r="M971" s="102"/>
      <c r="N971" s="102"/>
      <c r="O971" s="102"/>
      <c r="P971" s="103"/>
      <c r="Q971" s="103"/>
      <c r="R971" s="103"/>
      <c r="S971" s="103"/>
      <c r="T971" s="79"/>
      <c r="U971" s="79"/>
      <c r="V971" s="79"/>
      <c r="W971" s="79"/>
      <c r="X971" s="79"/>
      <c r="Y971" s="79"/>
      <c r="Z971" s="79"/>
    </row>
    <row r="972" ht="21.0" customHeight="1">
      <c r="A972" s="79"/>
      <c r="B972" s="79"/>
      <c r="C972" s="104"/>
      <c r="D972" s="104"/>
      <c r="E972" s="104"/>
      <c r="F972" s="104"/>
      <c r="G972" s="104"/>
      <c r="H972" s="104"/>
      <c r="I972" s="104"/>
      <c r="J972" s="104"/>
      <c r="K972" s="104"/>
      <c r="L972" s="102"/>
      <c r="M972" s="102"/>
      <c r="N972" s="102"/>
      <c r="O972" s="102"/>
      <c r="P972" s="103"/>
      <c r="Q972" s="103"/>
      <c r="R972" s="103"/>
      <c r="S972" s="103"/>
      <c r="T972" s="79"/>
      <c r="U972" s="79"/>
      <c r="V972" s="79"/>
      <c r="W972" s="79"/>
      <c r="X972" s="79"/>
      <c r="Y972" s="79"/>
      <c r="Z972" s="79"/>
    </row>
    <row r="973" ht="21.0" customHeight="1">
      <c r="A973" s="79"/>
      <c r="B973" s="79"/>
      <c r="C973" s="104"/>
      <c r="D973" s="104"/>
      <c r="E973" s="104"/>
      <c r="F973" s="104"/>
      <c r="G973" s="104"/>
      <c r="H973" s="104"/>
      <c r="I973" s="104"/>
      <c r="J973" s="104"/>
      <c r="K973" s="104"/>
      <c r="L973" s="102"/>
      <c r="M973" s="102"/>
      <c r="N973" s="102"/>
      <c r="O973" s="102"/>
      <c r="P973" s="103"/>
      <c r="Q973" s="103"/>
      <c r="R973" s="103"/>
      <c r="S973" s="103"/>
      <c r="T973" s="79"/>
      <c r="U973" s="79"/>
      <c r="V973" s="79"/>
      <c r="W973" s="79"/>
      <c r="X973" s="79"/>
      <c r="Y973" s="79"/>
      <c r="Z973" s="79"/>
    </row>
    <row r="974" ht="21.0" customHeight="1">
      <c r="A974" s="79"/>
      <c r="B974" s="79"/>
      <c r="C974" s="104"/>
      <c r="D974" s="104"/>
      <c r="E974" s="104"/>
      <c r="F974" s="104"/>
      <c r="G974" s="104"/>
      <c r="H974" s="104"/>
      <c r="I974" s="104"/>
      <c r="J974" s="104"/>
      <c r="K974" s="104"/>
      <c r="L974" s="102"/>
      <c r="M974" s="102"/>
      <c r="N974" s="102"/>
      <c r="O974" s="102"/>
      <c r="P974" s="103"/>
      <c r="Q974" s="103"/>
      <c r="R974" s="103"/>
      <c r="S974" s="103"/>
      <c r="T974" s="79"/>
      <c r="U974" s="79"/>
      <c r="V974" s="79"/>
      <c r="W974" s="79"/>
      <c r="X974" s="79"/>
      <c r="Y974" s="79"/>
      <c r="Z974" s="79"/>
    </row>
    <row r="975" ht="21.0" customHeight="1">
      <c r="A975" s="79"/>
      <c r="B975" s="79"/>
      <c r="C975" s="104"/>
      <c r="D975" s="104"/>
      <c r="E975" s="104"/>
      <c r="F975" s="104"/>
      <c r="G975" s="104"/>
      <c r="H975" s="104"/>
      <c r="I975" s="104"/>
      <c r="J975" s="104"/>
      <c r="K975" s="104"/>
      <c r="L975" s="102"/>
      <c r="M975" s="102"/>
      <c r="N975" s="102"/>
      <c r="O975" s="102"/>
      <c r="P975" s="103"/>
      <c r="Q975" s="103"/>
      <c r="R975" s="103"/>
      <c r="S975" s="103"/>
      <c r="T975" s="79"/>
      <c r="U975" s="79"/>
      <c r="V975" s="79"/>
      <c r="W975" s="79"/>
      <c r="X975" s="79"/>
      <c r="Y975" s="79"/>
      <c r="Z975" s="79"/>
    </row>
    <row r="976" ht="21.0" customHeight="1">
      <c r="A976" s="79"/>
      <c r="B976" s="79"/>
      <c r="C976" s="104"/>
      <c r="D976" s="104"/>
      <c r="E976" s="104"/>
      <c r="F976" s="104"/>
      <c r="G976" s="104"/>
      <c r="H976" s="104"/>
      <c r="I976" s="104"/>
      <c r="J976" s="104"/>
      <c r="K976" s="104"/>
      <c r="L976" s="102"/>
      <c r="M976" s="102"/>
      <c r="N976" s="102"/>
      <c r="O976" s="102"/>
      <c r="P976" s="103"/>
      <c r="Q976" s="103"/>
      <c r="R976" s="103"/>
      <c r="S976" s="103"/>
      <c r="T976" s="79"/>
      <c r="U976" s="79"/>
      <c r="V976" s="79"/>
      <c r="W976" s="79"/>
      <c r="X976" s="79"/>
      <c r="Y976" s="79"/>
      <c r="Z976" s="79"/>
    </row>
    <row r="977" ht="21.0" customHeight="1">
      <c r="A977" s="79"/>
      <c r="B977" s="79"/>
      <c r="C977" s="104"/>
      <c r="D977" s="104"/>
      <c r="E977" s="104"/>
      <c r="F977" s="104"/>
      <c r="G977" s="104"/>
      <c r="H977" s="104"/>
      <c r="I977" s="104"/>
      <c r="J977" s="104"/>
      <c r="K977" s="104"/>
      <c r="L977" s="102"/>
      <c r="M977" s="102"/>
      <c r="N977" s="102"/>
      <c r="O977" s="102"/>
      <c r="P977" s="103"/>
      <c r="Q977" s="103"/>
      <c r="R977" s="103"/>
      <c r="S977" s="103"/>
      <c r="T977" s="79"/>
      <c r="U977" s="79"/>
      <c r="V977" s="79"/>
      <c r="W977" s="79"/>
      <c r="X977" s="79"/>
      <c r="Y977" s="79"/>
      <c r="Z977" s="79"/>
    </row>
    <row r="978" ht="21.0" customHeight="1">
      <c r="A978" s="79"/>
      <c r="B978" s="79"/>
      <c r="C978" s="104"/>
      <c r="D978" s="104"/>
      <c r="E978" s="104"/>
      <c r="F978" s="104"/>
      <c r="G978" s="104"/>
      <c r="H978" s="104"/>
      <c r="I978" s="104"/>
      <c r="J978" s="104"/>
      <c r="K978" s="104"/>
      <c r="L978" s="102"/>
      <c r="M978" s="102"/>
      <c r="N978" s="102"/>
      <c r="O978" s="102"/>
      <c r="P978" s="103"/>
      <c r="Q978" s="103"/>
      <c r="R978" s="103"/>
      <c r="S978" s="103"/>
      <c r="T978" s="79"/>
      <c r="U978" s="79"/>
      <c r="V978" s="79"/>
      <c r="W978" s="79"/>
      <c r="X978" s="79"/>
      <c r="Y978" s="79"/>
      <c r="Z978" s="79"/>
    </row>
    <row r="979" ht="21.0" customHeight="1">
      <c r="A979" s="79"/>
      <c r="B979" s="79"/>
      <c r="C979" s="104"/>
      <c r="D979" s="104"/>
      <c r="E979" s="104"/>
      <c r="F979" s="104"/>
      <c r="G979" s="104"/>
      <c r="H979" s="104"/>
      <c r="I979" s="104"/>
      <c r="J979" s="104"/>
      <c r="K979" s="104"/>
      <c r="L979" s="102"/>
      <c r="M979" s="102"/>
      <c r="N979" s="102"/>
      <c r="O979" s="102"/>
      <c r="P979" s="103"/>
      <c r="Q979" s="103"/>
      <c r="R979" s="103"/>
      <c r="S979" s="103"/>
      <c r="T979" s="79"/>
      <c r="U979" s="79"/>
      <c r="V979" s="79"/>
      <c r="W979" s="79"/>
      <c r="X979" s="79"/>
      <c r="Y979" s="79"/>
      <c r="Z979" s="79"/>
    </row>
    <row r="980" ht="21.0" customHeight="1">
      <c r="A980" s="79"/>
      <c r="B980" s="79"/>
      <c r="C980" s="104"/>
      <c r="D980" s="104"/>
      <c r="E980" s="104"/>
      <c r="F980" s="104"/>
      <c r="G980" s="104"/>
      <c r="H980" s="104"/>
      <c r="I980" s="104"/>
      <c r="J980" s="104"/>
      <c r="K980" s="104"/>
      <c r="L980" s="102"/>
      <c r="M980" s="102"/>
      <c r="N980" s="102"/>
      <c r="O980" s="102"/>
      <c r="P980" s="103"/>
      <c r="Q980" s="103"/>
      <c r="R980" s="103"/>
      <c r="S980" s="103"/>
      <c r="T980" s="79"/>
      <c r="U980" s="79"/>
      <c r="V980" s="79"/>
      <c r="W980" s="79"/>
      <c r="X980" s="79"/>
      <c r="Y980" s="79"/>
      <c r="Z980" s="79"/>
    </row>
    <row r="981" ht="21.0" customHeight="1">
      <c r="A981" s="79"/>
      <c r="B981" s="79"/>
      <c r="C981" s="104"/>
      <c r="D981" s="104"/>
      <c r="E981" s="104"/>
      <c r="F981" s="104"/>
      <c r="G981" s="104"/>
      <c r="H981" s="104"/>
      <c r="I981" s="104"/>
      <c r="J981" s="104"/>
      <c r="K981" s="104"/>
      <c r="L981" s="102"/>
      <c r="M981" s="102"/>
      <c r="N981" s="102"/>
      <c r="O981" s="102"/>
      <c r="P981" s="103"/>
      <c r="Q981" s="103"/>
      <c r="R981" s="103"/>
      <c r="S981" s="103"/>
      <c r="T981" s="79"/>
      <c r="U981" s="79"/>
      <c r="V981" s="79"/>
      <c r="W981" s="79"/>
      <c r="X981" s="79"/>
      <c r="Y981" s="79"/>
      <c r="Z981" s="79"/>
    </row>
    <row r="982" ht="21.0" customHeight="1">
      <c r="A982" s="79"/>
      <c r="B982" s="79"/>
      <c r="C982" s="104"/>
      <c r="D982" s="104"/>
      <c r="E982" s="104"/>
      <c r="F982" s="104"/>
      <c r="G982" s="104"/>
      <c r="H982" s="104"/>
      <c r="I982" s="104"/>
      <c r="J982" s="104"/>
      <c r="K982" s="104"/>
      <c r="L982" s="102"/>
      <c r="M982" s="102"/>
      <c r="N982" s="102"/>
      <c r="O982" s="102"/>
      <c r="P982" s="103"/>
      <c r="Q982" s="103"/>
      <c r="R982" s="103"/>
      <c r="S982" s="103"/>
      <c r="T982" s="79"/>
      <c r="U982" s="79"/>
      <c r="V982" s="79"/>
      <c r="W982" s="79"/>
      <c r="X982" s="79"/>
      <c r="Y982" s="79"/>
      <c r="Z982" s="79"/>
    </row>
    <row r="983" ht="21.0" customHeight="1">
      <c r="A983" s="79"/>
      <c r="B983" s="79"/>
      <c r="C983" s="104"/>
      <c r="D983" s="104"/>
      <c r="E983" s="104"/>
      <c r="F983" s="104"/>
      <c r="G983" s="104"/>
      <c r="H983" s="104"/>
      <c r="I983" s="104"/>
      <c r="J983" s="104"/>
      <c r="K983" s="104"/>
      <c r="L983" s="102"/>
      <c r="M983" s="102"/>
      <c r="N983" s="102"/>
      <c r="O983" s="102"/>
      <c r="P983" s="103"/>
      <c r="Q983" s="103"/>
      <c r="R983" s="103"/>
      <c r="S983" s="103"/>
      <c r="T983" s="79"/>
      <c r="U983" s="79"/>
      <c r="V983" s="79"/>
      <c r="W983" s="79"/>
      <c r="X983" s="79"/>
      <c r="Y983" s="79"/>
      <c r="Z983" s="79"/>
    </row>
    <row r="984" ht="21.0" customHeight="1">
      <c r="A984" s="79"/>
      <c r="B984" s="79"/>
      <c r="C984" s="104"/>
      <c r="D984" s="104"/>
      <c r="E984" s="104"/>
      <c r="F984" s="104"/>
      <c r="G984" s="104"/>
      <c r="H984" s="104"/>
      <c r="I984" s="104"/>
      <c r="J984" s="104"/>
      <c r="K984" s="104"/>
      <c r="L984" s="102"/>
      <c r="M984" s="102"/>
      <c r="N984" s="102"/>
      <c r="O984" s="102"/>
      <c r="P984" s="103"/>
      <c r="Q984" s="103"/>
      <c r="R984" s="103"/>
      <c r="S984" s="103"/>
      <c r="T984" s="79"/>
      <c r="U984" s="79"/>
      <c r="V984" s="79"/>
      <c r="W984" s="79"/>
      <c r="X984" s="79"/>
      <c r="Y984" s="79"/>
      <c r="Z984" s="79"/>
    </row>
    <row r="985" ht="21.0" customHeight="1">
      <c r="A985" s="79"/>
      <c r="B985" s="79"/>
      <c r="C985" s="104"/>
      <c r="D985" s="104"/>
      <c r="E985" s="104"/>
      <c r="F985" s="104"/>
      <c r="G985" s="104"/>
      <c r="H985" s="104"/>
      <c r="I985" s="104"/>
      <c r="J985" s="104"/>
      <c r="K985" s="104"/>
      <c r="L985" s="102"/>
      <c r="M985" s="102"/>
      <c r="N985" s="102"/>
      <c r="O985" s="102"/>
      <c r="P985" s="103"/>
      <c r="Q985" s="103"/>
      <c r="R985" s="103"/>
      <c r="S985" s="103"/>
      <c r="T985" s="79"/>
      <c r="U985" s="79"/>
      <c r="V985" s="79"/>
      <c r="W985" s="79"/>
      <c r="X985" s="79"/>
      <c r="Y985" s="79"/>
      <c r="Z985" s="79"/>
    </row>
    <row r="986" ht="21.0" customHeight="1">
      <c r="A986" s="79"/>
      <c r="B986" s="79"/>
      <c r="C986" s="104"/>
      <c r="D986" s="104"/>
      <c r="E986" s="104"/>
      <c r="F986" s="104"/>
      <c r="G986" s="104"/>
      <c r="H986" s="104"/>
      <c r="I986" s="104"/>
      <c r="J986" s="104"/>
      <c r="K986" s="104"/>
      <c r="L986" s="102"/>
      <c r="M986" s="102"/>
      <c r="N986" s="102"/>
      <c r="O986" s="102"/>
      <c r="P986" s="103"/>
      <c r="Q986" s="103"/>
      <c r="R986" s="103"/>
      <c r="S986" s="103"/>
      <c r="T986" s="79"/>
      <c r="U986" s="79"/>
      <c r="V986" s="79"/>
      <c r="W986" s="79"/>
      <c r="X986" s="79"/>
      <c r="Y986" s="79"/>
      <c r="Z986" s="79"/>
    </row>
    <row r="987" ht="21.0" customHeight="1">
      <c r="A987" s="79"/>
      <c r="B987" s="79"/>
      <c r="C987" s="104"/>
      <c r="D987" s="104"/>
      <c r="E987" s="104"/>
      <c r="F987" s="104"/>
      <c r="G987" s="104"/>
      <c r="H987" s="104"/>
      <c r="I987" s="104"/>
      <c r="J987" s="104"/>
      <c r="K987" s="104"/>
      <c r="L987" s="102"/>
      <c r="M987" s="102"/>
      <c r="N987" s="102"/>
      <c r="O987" s="102"/>
      <c r="P987" s="103"/>
      <c r="Q987" s="103"/>
      <c r="R987" s="103"/>
      <c r="S987" s="103"/>
      <c r="T987" s="79"/>
      <c r="U987" s="79"/>
      <c r="V987" s="79"/>
      <c r="W987" s="79"/>
      <c r="X987" s="79"/>
      <c r="Y987" s="79"/>
      <c r="Z987" s="79"/>
    </row>
    <row r="988" ht="21.0" customHeight="1">
      <c r="A988" s="79"/>
      <c r="B988" s="79"/>
      <c r="C988" s="104"/>
      <c r="D988" s="104"/>
      <c r="E988" s="104"/>
      <c r="F988" s="104"/>
      <c r="G988" s="104"/>
      <c r="H988" s="104"/>
      <c r="I988" s="104"/>
      <c r="J988" s="104"/>
      <c r="K988" s="104"/>
      <c r="L988" s="102"/>
      <c r="M988" s="102"/>
      <c r="N988" s="102"/>
      <c r="O988" s="102"/>
      <c r="P988" s="103"/>
      <c r="Q988" s="103"/>
      <c r="R988" s="103"/>
      <c r="S988" s="103"/>
      <c r="T988" s="79"/>
      <c r="U988" s="79"/>
      <c r="V988" s="79"/>
      <c r="W988" s="79"/>
      <c r="X988" s="79"/>
      <c r="Y988" s="79"/>
      <c r="Z988" s="79"/>
    </row>
    <row r="989" ht="21.0" customHeight="1">
      <c r="A989" s="79"/>
      <c r="B989" s="79"/>
      <c r="C989" s="104"/>
      <c r="D989" s="104"/>
      <c r="E989" s="104"/>
      <c r="F989" s="104"/>
      <c r="G989" s="104"/>
      <c r="H989" s="104"/>
      <c r="I989" s="104"/>
      <c r="J989" s="104"/>
      <c r="K989" s="104"/>
      <c r="L989" s="102"/>
      <c r="M989" s="102"/>
      <c r="N989" s="102"/>
      <c r="O989" s="102"/>
      <c r="P989" s="103"/>
      <c r="Q989" s="103"/>
      <c r="R989" s="103"/>
      <c r="S989" s="103"/>
      <c r="T989" s="79"/>
      <c r="U989" s="79"/>
      <c r="V989" s="79"/>
      <c r="W989" s="79"/>
      <c r="X989" s="79"/>
      <c r="Y989" s="79"/>
      <c r="Z989" s="79"/>
    </row>
    <row r="990" ht="21.0" customHeight="1">
      <c r="A990" s="79"/>
      <c r="B990" s="79"/>
      <c r="C990" s="104"/>
      <c r="D990" s="104"/>
      <c r="E990" s="104"/>
      <c r="F990" s="104"/>
      <c r="G990" s="104"/>
      <c r="H990" s="104"/>
      <c r="I990" s="104"/>
      <c r="J990" s="104"/>
      <c r="K990" s="104"/>
      <c r="L990" s="102"/>
      <c r="M990" s="102"/>
      <c r="N990" s="102"/>
      <c r="O990" s="102"/>
      <c r="P990" s="103"/>
      <c r="Q990" s="103"/>
      <c r="R990" s="103"/>
      <c r="S990" s="103"/>
      <c r="T990" s="79"/>
      <c r="U990" s="79"/>
      <c r="V990" s="79"/>
      <c r="W990" s="79"/>
      <c r="X990" s="79"/>
      <c r="Y990" s="79"/>
      <c r="Z990" s="79"/>
    </row>
    <row r="991" ht="21.0" customHeight="1">
      <c r="A991" s="79"/>
      <c r="B991" s="79"/>
      <c r="C991" s="104"/>
      <c r="D991" s="104"/>
      <c r="E991" s="104"/>
      <c r="F991" s="104"/>
      <c r="G991" s="104"/>
      <c r="H991" s="104"/>
      <c r="I991" s="104"/>
      <c r="J991" s="104"/>
      <c r="K991" s="104"/>
      <c r="L991" s="102"/>
      <c r="M991" s="102"/>
      <c r="N991" s="102"/>
      <c r="O991" s="102"/>
      <c r="P991" s="103"/>
      <c r="Q991" s="103"/>
      <c r="R991" s="103"/>
      <c r="S991" s="103"/>
      <c r="T991" s="79"/>
      <c r="U991" s="79"/>
      <c r="V991" s="79"/>
      <c r="W991" s="79"/>
      <c r="X991" s="79"/>
      <c r="Y991" s="79"/>
      <c r="Z991" s="79"/>
    </row>
    <row r="992" ht="21.0" customHeight="1">
      <c r="A992" s="79"/>
      <c r="B992" s="79"/>
      <c r="C992" s="104"/>
      <c r="D992" s="104"/>
      <c r="E992" s="104"/>
      <c r="F992" s="104"/>
      <c r="G992" s="104"/>
      <c r="H992" s="104"/>
      <c r="I992" s="104"/>
      <c r="J992" s="104"/>
      <c r="K992" s="104"/>
      <c r="L992" s="102"/>
      <c r="M992" s="102"/>
      <c r="N992" s="102"/>
      <c r="O992" s="102"/>
      <c r="P992" s="103"/>
      <c r="Q992" s="103"/>
      <c r="R992" s="103"/>
      <c r="S992" s="103"/>
      <c r="T992" s="79"/>
      <c r="U992" s="79"/>
      <c r="V992" s="79"/>
      <c r="W992" s="79"/>
      <c r="X992" s="79"/>
      <c r="Y992" s="79"/>
      <c r="Z992" s="79"/>
    </row>
    <row r="993" ht="21.0" customHeight="1">
      <c r="A993" s="79"/>
      <c r="B993" s="79"/>
      <c r="C993" s="104"/>
      <c r="D993" s="104"/>
      <c r="E993" s="104"/>
      <c r="F993" s="104"/>
      <c r="G993" s="104"/>
      <c r="H993" s="104"/>
      <c r="I993" s="104"/>
      <c r="J993" s="104"/>
      <c r="K993" s="104"/>
      <c r="L993" s="102"/>
      <c r="M993" s="102"/>
      <c r="N993" s="102"/>
      <c r="O993" s="102"/>
      <c r="P993" s="103"/>
      <c r="Q993" s="103"/>
      <c r="R993" s="103"/>
      <c r="S993" s="103"/>
      <c r="T993" s="79"/>
      <c r="U993" s="79"/>
      <c r="V993" s="79"/>
      <c r="W993" s="79"/>
      <c r="X993" s="79"/>
      <c r="Y993" s="79"/>
      <c r="Z993" s="79"/>
    </row>
    <row r="994" ht="21.0" customHeight="1">
      <c r="A994" s="79"/>
      <c r="B994" s="79"/>
      <c r="C994" s="104"/>
      <c r="D994" s="104"/>
      <c r="E994" s="104"/>
      <c r="F994" s="104"/>
      <c r="G994" s="104"/>
      <c r="H994" s="104"/>
      <c r="I994" s="104"/>
      <c r="J994" s="104"/>
      <c r="K994" s="104"/>
      <c r="L994" s="102"/>
      <c r="M994" s="102"/>
      <c r="N994" s="102"/>
      <c r="O994" s="102"/>
      <c r="P994" s="103"/>
      <c r="Q994" s="103"/>
      <c r="R994" s="103"/>
      <c r="S994" s="103"/>
      <c r="T994" s="79"/>
      <c r="U994" s="79"/>
      <c r="V994" s="79"/>
      <c r="W994" s="79"/>
      <c r="X994" s="79"/>
      <c r="Y994" s="79"/>
      <c r="Z994" s="79"/>
    </row>
    <row r="995" ht="21.0" customHeight="1">
      <c r="A995" s="79"/>
      <c r="B995" s="79"/>
      <c r="C995" s="104"/>
      <c r="D995" s="104"/>
      <c r="E995" s="104"/>
      <c r="F995" s="104"/>
      <c r="G995" s="104"/>
      <c r="H995" s="104"/>
      <c r="I995" s="104"/>
      <c r="J995" s="104"/>
      <c r="K995" s="104"/>
      <c r="L995" s="102"/>
      <c r="M995" s="102"/>
      <c r="N995" s="102"/>
      <c r="O995" s="102"/>
      <c r="P995" s="103"/>
      <c r="Q995" s="103"/>
      <c r="R995" s="103"/>
      <c r="S995" s="103"/>
      <c r="T995" s="79"/>
      <c r="U995" s="79"/>
      <c r="V995" s="79"/>
      <c r="W995" s="79"/>
      <c r="X995" s="79"/>
      <c r="Y995" s="79"/>
      <c r="Z995" s="79"/>
    </row>
    <row r="996" ht="21.0" customHeight="1">
      <c r="A996" s="79"/>
      <c r="B996" s="79"/>
      <c r="C996" s="104"/>
      <c r="D996" s="104"/>
      <c r="E996" s="104"/>
      <c r="F996" s="104"/>
      <c r="G996" s="104"/>
      <c r="H996" s="104"/>
      <c r="I996" s="104"/>
      <c r="J996" s="104"/>
      <c r="K996" s="104"/>
      <c r="L996" s="102"/>
      <c r="M996" s="102"/>
      <c r="N996" s="102"/>
      <c r="O996" s="102"/>
      <c r="P996" s="103"/>
      <c r="Q996" s="103"/>
      <c r="R996" s="103"/>
      <c r="S996" s="103"/>
      <c r="T996" s="79"/>
      <c r="U996" s="79"/>
      <c r="V996" s="79"/>
      <c r="W996" s="79"/>
      <c r="X996" s="79"/>
      <c r="Y996" s="79"/>
      <c r="Z996" s="79"/>
    </row>
    <row r="997" ht="21.0" customHeight="1">
      <c r="A997" s="79"/>
      <c r="B997" s="79"/>
      <c r="C997" s="104"/>
      <c r="D997" s="104"/>
      <c r="E997" s="104"/>
      <c r="F997" s="104"/>
      <c r="G997" s="104"/>
      <c r="H997" s="104"/>
      <c r="I997" s="104"/>
      <c r="J997" s="104"/>
      <c r="K997" s="104"/>
      <c r="L997" s="102"/>
      <c r="M997" s="102"/>
      <c r="N997" s="102"/>
      <c r="O997" s="102"/>
      <c r="P997" s="103"/>
      <c r="Q997" s="103"/>
      <c r="R997" s="103"/>
      <c r="S997" s="103"/>
      <c r="T997" s="79"/>
      <c r="U997" s="79"/>
      <c r="V997" s="79"/>
      <c r="W997" s="79"/>
      <c r="X997" s="79"/>
      <c r="Y997" s="79"/>
      <c r="Z997" s="79"/>
    </row>
    <row r="998" ht="21.0" customHeight="1">
      <c r="A998" s="79"/>
      <c r="B998" s="79"/>
      <c r="C998" s="104"/>
      <c r="D998" s="104"/>
      <c r="E998" s="104"/>
      <c r="F998" s="104"/>
      <c r="G998" s="104"/>
      <c r="H998" s="104"/>
      <c r="I998" s="104"/>
      <c r="J998" s="104"/>
      <c r="K998" s="104"/>
      <c r="L998" s="102"/>
      <c r="M998" s="102"/>
      <c r="N998" s="102"/>
      <c r="O998" s="102"/>
      <c r="P998" s="103"/>
      <c r="Q998" s="103"/>
      <c r="R998" s="103"/>
      <c r="S998" s="103"/>
      <c r="T998" s="79"/>
      <c r="U998" s="79"/>
      <c r="V998" s="79"/>
      <c r="W998" s="79"/>
      <c r="X998" s="79"/>
      <c r="Y998" s="79"/>
      <c r="Z998" s="79"/>
    </row>
    <row r="999" ht="21.0" customHeight="1">
      <c r="A999" s="79"/>
      <c r="B999" s="79"/>
      <c r="C999" s="104"/>
      <c r="D999" s="104"/>
      <c r="E999" s="104"/>
      <c r="F999" s="104"/>
      <c r="G999" s="104"/>
      <c r="H999" s="104"/>
      <c r="I999" s="104"/>
      <c r="J999" s="104"/>
      <c r="K999" s="104"/>
      <c r="L999" s="102"/>
      <c r="M999" s="102"/>
      <c r="N999" s="102"/>
      <c r="O999" s="102"/>
      <c r="P999" s="103"/>
      <c r="Q999" s="103"/>
      <c r="R999" s="103"/>
      <c r="S999" s="103"/>
      <c r="T999" s="79"/>
      <c r="U999" s="79"/>
      <c r="V999" s="79"/>
      <c r="W999" s="79"/>
      <c r="X999" s="79"/>
      <c r="Y999" s="79"/>
      <c r="Z999" s="79"/>
    </row>
    <row r="1000" ht="21.0" customHeight="1">
      <c r="A1000" s="79"/>
      <c r="B1000" s="79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2"/>
      <c r="M1000" s="102"/>
      <c r="N1000" s="102"/>
      <c r="O1000" s="102"/>
      <c r="P1000" s="103"/>
      <c r="Q1000" s="103"/>
      <c r="R1000" s="103"/>
      <c r="S1000" s="103"/>
      <c r="T1000" s="79"/>
      <c r="U1000" s="79"/>
      <c r="V1000" s="79"/>
      <c r="W1000" s="79"/>
      <c r="X1000" s="79"/>
      <c r="Y1000" s="79"/>
      <c r="Z1000" s="79"/>
    </row>
  </sheetData>
  <autoFilter ref="$A$3:$S$50"/>
  <mergeCells count="9">
    <mergeCell ref="A56:F56"/>
    <mergeCell ref="A57:F57"/>
    <mergeCell ref="A1:S1"/>
    <mergeCell ref="A2:F2"/>
    <mergeCell ref="G2:K2"/>
    <mergeCell ref="L2:O2"/>
    <mergeCell ref="P2:R2"/>
    <mergeCell ref="A54:F54"/>
    <mergeCell ref="A55:F55"/>
  </mergeCells>
  <conditionalFormatting sqref="S4:S50">
    <cfRule type="cellIs" dxfId="0" priority="1" operator="equal">
      <formula>"Dead Weight"</formula>
    </cfRule>
  </conditionalFormatting>
  <conditionalFormatting sqref="S4:S50">
    <cfRule type="cellIs" dxfId="1" priority="2" operator="equal">
      <formula>"Need Improvement"</formula>
    </cfRule>
  </conditionalFormatting>
  <conditionalFormatting sqref="S4:S50">
    <cfRule type="cellIs" dxfId="2" priority="3" operator="equal">
      <formula>"Good"</formula>
    </cfRule>
  </conditionalFormatting>
  <conditionalFormatting sqref="S4:S50">
    <cfRule type="cellIs" dxfId="3" priority="4" operator="equal">
      <formula>"Excellent"</formula>
    </cfRule>
  </conditionalFormatting>
  <dataValidations>
    <dataValidation type="list" allowBlank="1" showErrorMessage="1" sqref="S4:S50">
      <formula1>"Excellent,Good,Need Improvement,Dead Weight"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16.0"/>
    <col customWidth="1" min="3" max="3" width="19.88"/>
    <col customWidth="1" min="4" max="4" width="20.0"/>
    <col customWidth="1" min="5" max="6" width="18.25"/>
    <col customWidth="1" min="7" max="7" width="19.0"/>
    <col customWidth="1" min="8" max="10" width="16.75"/>
    <col customWidth="1" min="11" max="11" width="17.63"/>
    <col customWidth="1" min="12" max="12" width="28.38"/>
    <col customWidth="1" min="13" max="16" width="16.75"/>
    <col customWidth="1" min="17" max="17" width="18.13"/>
    <col customWidth="1" min="18" max="18" width="22.5"/>
    <col customWidth="1" min="19" max="19" width="18.13"/>
    <col customWidth="1" min="20" max="20" width="16.75"/>
    <col customWidth="1" min="21" max="41" width="9.13"/>
  </cols>
  <sheetData>
    <row r="1" ht="33.0" customHeight="1">
      <c r="A1" s="79"/>
      <c r="B1" s="79"/>
      <c r="C1" s="104"/>
      <c r="D1" s="104"/>
      <c r="E1" s="113" t="s">
        <v>151</v>
      </c>
      <c r="F1" s="41"/>
      <c r="G1" s="12"/>
      <c r="H1" s="114" t="s">
        <v>152</v>
      </c>
      <c r="I1" s="41"/>
      <c r="J1" s="41"/>
      <c r="K1" s="12"/>
      <c r="L1" s="115" t="s">
        <v>153</v>
      </c>
      <c r="M1" s="116" t="s">
        <v>84</v>
      </c>
      <c r="N1" s="41"/>
      <c r="O1" s="41"/>
      <c r="P1" s="41"/>
      <c r="Q1" s="12"/>
      <c r="R1" s="117"/>
      <c r="S1" s="118" t="s">
        <v>154</v>
      </c>
      <c r="T1" s="12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</row>
    <row r="2" ht="21.0" customHeight="1">
      <c r="A2" s="88" t="s">
        <v>155</v>
      </c>
      <c r="B2" s="88" t="s">
        <v>64</v>
      </c>
      <c r="C2" s="89" t="s">
        <v>65</v>
      </c>
      <c r="D2" s="89" t="s">
        <v>82</v>
      </c>
      <c r="E2" s="119" t="s">
        <v>156</v>
      </c>
      <c r="F2" s="119" t="s">
        <v>157</v>
      </c>
      <c r="G2" s="119" t="s">
        <v>66</v>
      </c>
      <c r="H2" s="120" t="s">
        <v>158</v>
      </c>
      <c r="I2" s="120" t="s">
        <v>159</v>
      </c>
      <c r="J2" s="120" t="s">
        <v>160</v>
      </c>
      <c r="K2" s="120" t="s">
        <v>161</v>
      </c>
      <c r="L2" s="121" t="s">
        <v>162</v>
      </c>
      <c r="M2" s="122" t="s">
        <v>163</v>
      </c>
      <c r="N2" s="122" t="s">
        <v>164</v>
      </c>
      <c r="O2" s="122" t="s">
        <v>165</v>
      </c>
      <c r="P2" s="122" t="s">
        <v>166</v>
      </c>
      <c r="Q2" s="122" t="s">
        <v>69</v>
      </c>
      <c r="R2" s="122" t="s">
        <v>70</v>
      </c>
      <c r="S2" s="123" t="s">
        <v>167</v>
      </c>
      <c r="T2" s="123" t="s">
        <v>168</v>
      </c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</row>
    <row r="3" ht="21.0" customHeight="1">
      <c r="A3" s="94">
        <v>1.0047682E8</v>
      </c>
      <c r="B3" s="94" t="s">
        <v>169</v>
      </c>
      <c r="C3" s="124">
        <v>5.012479E7</v>
      </c>
      <c r="D3" s="95">
        <v>1.86185651E8</v>
      </c>
      <c r="E3" s="125">
        <v>5.0120466E7</v>
      </c>
      <c r="F3" s="125">
        <v>4.6102618E7</v>
      </c>
      <c r="G3" s="126">
        <f t="shared" ref="G3:G25" si="1">F3</f>
        <v>46102618</v>
      </c>
      <c r="H3" s="127">
        <f>SUM(9238,46000)</f>
        <v>55238</v>
      </c>
      <c r="I3" s="127">
        <f>SUM(732880,393412,439217)</f>
        <v>1565509</v>
      </c>
      <c r="J3" s="127">
        <v>0.0</v>
      </c>
      <c r="K3" s="128">
        <f t="shared" ref="K3:K6" si="2">SUM(H3:J3)</f>
        <v>1620747</v>
      </c>
      <c r="L3" s="129">
        <f t="shared" ref="L3:L25" si="3">K3*0.5</f>
        <v>810373.5</v>
      </c>
      <c r="M3" s="130">
        <v>1522325.0</v>
      </c>
      <c r="N3" s="130">
        <f>VLOOKUP(A3,Sheet4!A:H,5,FALSE)</f>
        <v>0</v>
      </c>
      <c r="O3" s="130">
        <v>24502.0</v>
      </c>
      <c r="P3" s="130">
        <f t="shared" ref="P3:P25" si="4">(M3+N3)-O3</f>
        <v>1497823</v>
      </c>
      <c r="Q3" s="130">
        <f t="shared" ref="Q3:Q25" si="5">SUM(O3,P3)</f>
        <v>1522325</v>
      </c>
      <c r="R3" s="130">
        <f t="shared" ref="R3:R25" si="6">G3-C3</f>
        <v>-4022172</v>
      </c>
      <c r="S3" s="131">
        <v>1.8785473611859222</v>
      </c>
      <c r="T3" s="131">
        <v>0.8639033838113098</v>
      </c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</row>
    <row r="4" ht="21.0" customHeight="1">
      <c r="A4" s="94">
        <v>1.71945722E8</v>
      </c>
      <c r="B4" s="94" t="s">
        <v>170</v>
      </c>
      <c r="C4" s="124">
        <v>5.2492163E7</v>
      </c>
      <c r="D4" s="95">
        <v>7.8096381E7</v>
      </c>
      <c r="E4" s="125">
        <v>4.3616907E7</v>
      </c>
      <c r="F4" s="125">
        <v>4.4964065E7</v>
      </c>
      <c r="G4" s="126">
        <f t="shared" si="1"/>
        <v>44964065</v>
      </c>
      <c r="H4" s="127">
        <v>0.0</v>
      </c>
      <c r="I4" s="127">
        <f>SUM(522137,614796,1118085,827192)</f>
        <v>3082210</v>
      </c>
      <c r="J4" s="127">
        <v>0.0</v>
      </c>
      <c r="K4" s="128">
        <f t="shared" si="2"/>
        <v>3082210</v>
      </c>
      <c r="L4" s="129">
        <f t="shared" si="3"/>
        <v>1541105</v>
      </c>
      <c r="M4" s="130">
        <v>2321210.0</v>
      </c>
      <c r="N4" s="130">
        <f>VLOOKUP(A4,Sheet4!A:H,5,FALSE)</f>
        <v>0</v>
      </c>
      <c r="O4" s="130">
        <v>2321210.0</v>
      </c>
      <c r="P4" s="130">
        <f t="shared" si="4"/>
        <v>0</v>
      </c>
      <c r="Q4" s="130">
        <f t="shared" si="5"/>
        <v>2321210</v>
      </c>
      <c r="R4" s="130">
        <f t="shared" si="6"/>
        <v>-7528098</v>
      </c>
      <c r="S4" s="131">
        <v>1.5061984744712398</v>
      </c>
      <c r="T4" s="131">
        <v>0.6450944506613842</v>
      </c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</row>
    <row r="5" ht="21.0" customHeight="1">
      <c r="A5" s="94">
        <v>8.1160164E7</v>
      </c>
      <c r="B5" s="94" t="s">
        <v>171</v>
      </c>
      <c r="C5" s="124">
        <v>6.1661058E7</v>
      </c>
      <c r="D5" s="95">
        <v>5.01462936E8</v>
      </c>
      <c r="E5" s="125">
        <v>5.8147322E7</v>
      </c>
      <c r="F5" s="125">
        <v>5.5836886E7</v>
      </c>
      <c r="G5" s="126">
        <f t="shared" si="1"/>
        <v>55836886</v>
      </c>
      <c r="H5" s="127">
        <v>0.0</v>
      </c>
      <c r="I5" s="127">
        <f>SUM(974000,1152000,622000)</f>
        <v>2748000</v>
      </c>
      <c r="J5" s="127">
        <v>0.0</v>
      </c>
      <c r="K5" s="128">
        <f t="shared" si="2"/>
        <v>2748000</v>
      </c>
      <c r="L5" s="129">
        <f t="shared" si="3"/>
        <v>1374000</v>
      </c>
      <c r="M5" s="130">
        <v>1822567.0</v>
      </c>
      <c r="N5" s="130">
        <f>VLOOKUP(A5,Sheet4!A:H,5,FALSE)</f>
        <v>0</v>
      </c>
      <c r="O5" s="130">
        <v>782647.0</v>
      </c>
      <c r="P5" s="130">
        <f t="shared" si="4"/>
        <v>1039920</v>
      </c>
      <c r="Q5" s="130">
        <f t="shared" si="5"/>
        <v>1822567</v>
      </c>
      <c r="R5" s="130">
        <f t="shared" si="6"/>
        <v>-5824172</v>
      </c>
      <c r="S5" s="131">
        <v>1.326467976710335</v>
      </c>
      <c r="T5" s="131">
        <v>0.6005884718863049</v>
      </c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</row>
    <row r="6" ht="21.0" customHeight="1">
      <c r="A6" s="132">
        <v>1.71355737E8</v>
      </c>
      <c r="B6" s="132" t="s">
        <v>172</v>
      </c>
      <c r="C6" s="133">
        <v>7.3437676E7</v>
      </c>
      <c r="D6" s="134">
        <v>7.68996565E8</v>
      </c>
      <c r="E6" s="135">
        <v>7.3476736E7</v>
      </c>
      <c r="F6" s="135">
        <v>5.6058626E7</v>
      </c>
      <c r="G6" s="136">
        <f t="shared" si="1"/>
        <v>56058626</v>
      </c>
      <c r="H6" s="137">
        <v>0.0</v>
      </c>
      <c r="I6" s="137">
        <f>SUM(124142,69507,108804)</f>
        <v>302453</v>
      </c>
      <c r="J6" s="137">
        <f>SUM(645469,423866,667104)</f>
        <v>1736439</v>
      </c>
      <c r="K6" s="138">
        <f t="shared" si="2"/>
        <v>2038892</v>
      </c>
      <c r="L6" s="139">
        <f t="shared" si="3"/>
        <v>1019446</v>
      </c>
      <c r="M6" s="140">
        <v>201137.0</v>
      </c>
      <c r="N6" s="140">
        <f>VLOOKUP(A6,Sheet4!A:H,5,FALSE)</f>
        <v>1264519</v>
      </c>
      <c r="O6" s="140">
        <v>0.0</v>
      </c>
      <c r="P6" s="140">
        <f t="shared" si="4"/>
        <v>1465656</v>
      </c>
      <c r="Q6" s="140">
        <f t="shared" si="5"/>
        <v>1465656</v>
      </c>
      <c r="R6" s="140">
        <f t="shared" si="6"/>
        <v>-17379050</v>
      </c>
      <c r="S6" s="141">
        <v>1.4376985146834653</v>
      </c>
      <c r="T6" s="141">
        <v>0.5487333459149489</v>
      </c>
      <c r="U6" s="94" t="s">
        <v>173</v>
      </c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</row>
    <row r="7" ht="21.0" customHeight="1">
      <c r="A7" s="94">
        <v>1.0996021E8</v>
      </c>
      <c r="B7" s="94" t="s">
        <v>174</v>
      </c>
      <c r="C7" s="95">
        <v>2.0028214E7</v>
      </c>
      <c r="D7" s="95">
        <v>2.2931005E7</v>
      </c>
      <c r="E7" s="125">
        <v>1.9240623E7</v>
      </c>
      <c r="F7" s="125">
        <v>1.7982492E7</v>
      </c>
      <c r="G7" s="126">
        <f t="shared" si="1"/>
        <v>17982492</v>
      </c>
      <c r="H7" s="127"/>
      <c r="I7" s="127"/>
      <c r="J7" s="127"/>
      <c r="K7" s="128">
        <v>794000.0</v>
      </c>
      <c r="L7" s="129">
        <f t="shared" si="3"/>
        <v>397000</v>
      </c>
      <c r="M7" s="130">
        <v>453678.0</v>
      </c>
      <c r="N7" s="130">
        <f>VLOOKUP(A7,Sheet4!A:H,5,FALSE)</f>
        <v>0</v>
      </c>
      <c r="O7" s="130">
        <v>103371.0</v>
      </c>
      <c r="P7" s="130">
        <f t="shared" si="4"/>
        <v>350307</v>
      </c>
      <c r="Q7" s="130">
        <f t="shared" si="5"/>
        <v>453678</v>
      </c>
      <c r="R7" s="130">
        <f t="shared" si="6"/>
        <v>-2045722</v>
      </c>
      <c r="S7" s="131">
        <v>1.1427657430730478</v>
      </c>
      <c r="T7" s="131">
        <v>0.5130206775473124</v>
      </c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</row>
    <row r="8" ht="21.0" customHeight="1">
      <c r="A8" s="94">
        <v>1.6901814E8</v>
      </c>
      <c r="B8" s="94" t="s">
        <v>175</v>
      </c>
      <c r="C8" s="124">
        <v>5.2048528E7</v>
      </c>
      <c r="D8" s="95">
        <v>1.98244825E8</v>
      </c>
      <c r="E8" s="125">
        <v>5.2340829E7</v>
      </c>
      <c r="F8" s="125">
        <v>4.8252278E7</v>
      </c>
      <c r="G8" s="126">
        <f t="shared" si="1"/>
        <v>48252278</v>
      </c>
      <c r="H8" s="127">
        <v>0.0</v>
      </c>
      <c r="I8" s="127">
        <f>SUM(1051041,1071718,704248)</f>
        <v>2827007</v>
      </c>
      <c r="J8" s="127">
        <v>0.0</v>
      </c>
      <c r="K8" s="128">
        <f t="shared" ref="K8:K10" si="7">SUM(H8:J8)</f>
        <v>2827007</v>
      </c>
      <c r="L8" s="129">
        <f t="shared" si="3"/>
        <v>1413503.5</v>
      </c>
      <c r="M8" s="130">
        <v>1448821.0</v>
      </c>
      <c r="N8" s="130">
        <f>VLOOKUP(A8,Sheet4!A:H,5,FALSE)</f>
        <v>0</v>
      </c>
      <c r="O8" s="130">
        <v>0.0</v>
      </c>
      <c r="P8" s="130">
        <f t="shared" si="4"/>
        <v>1448821</v>
      </c>
      <c r="Q8" s="130">
        <f t="shared" si="5"/>
        <v>1448821</v>
      </c>
      <c r="R8" s="130">
        <f t="shared" si="6"/>
        <v>-3796250</v>
      </c>
      <c r="S8" s="131">
        <v>1.0249857888572613</v>
      </c>
      <c r="T8" s="131">
        <v>0.4751133329840747</v>
      </c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</row>
    <row r="9" ht="21.0" customHeight="1">
      <c r="A9" s="94">
        <v>1.5633938E8</v>
      </c>
      <c r="B9" s="94" t="s">
        <v>176</v>
      </c>
      <c r="C9" s="124">
        <v>7.3574936E7</v>
      </c>
      <c r="D9" s="95">
        <v>6.82813861E8</v>
      </c>
      <c r="E9" s="125">
        <v>7.1528496E7</v>
      </c>
      <c r="F9" s="125">
        <v>6.644163E7</v>
      </c>
      <c r="G9" s="126">
        <f t="shared" si="1"/>
        <v>66441630</v>
      </c>
      <c r="H9" s="127">
        <f>SUM(58000,62000,66000,64000)</f>
        <v>250000</v>
      </c>
      <c r="I9" s="127">
        <v>0.0</v>
      </c>
      <c r="J9" s="127">
        <f>SUM(390915,549525,383479,292197)</f>
        <v>1616116</v>
      </c>
      <c r="K9" s="128">
        <f t="shared" si="7"/>
        <v>1866116</v>
      </c>
      <c r="L9" s="129">
        <f t="shared" si="3"/>
        <v>933058</v>
      </c>
      <c r="M9" s="130">
        <v>0.0</v>
      </c>
      <c r="N9" s="130">
        <f>VLOOKUP(A9,Sheet4!A:H,5,FALSE)</f>
        <v>937717</v>
      </c>
      <c r="O9" s="130">
        <v>155784.0</v>
      </c>
      <c r="P9" s="130">
        <f t="shared" si="4"/>
        <v>781933</v>
      </c>
      <c r="Q9" s="130">
        <f t="shared" si="5"/>
        <v>937717</v>
      </c>
      <c r="R9" s="130">
        <f t="shared" si="6"/>
        <v>-7133306</v>
      </c>
      <c r="S9" s="131">
        <v>1.0049932587256099</v>
      </c>
      <c r="T9" s="131">
        <v>0.45377810623403897</v>
      </c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</row>
    <row r="10" ht="21.0" customHeight="1">
      <c r="A10" s="94">
        <v>5.2078022E7</v>
      </c>
      <c r="B10" s="94" t="s">
        <v>177</v>
      </c>
      <c r="C10" s="95">
        <v>4.6587407E7</v>
      </c>
      <c r="D10" s="95">
        <v>1.31812498E8</v>
      </c>
      <c r="E10" s="125">
        <v>4.5490087E7</v>
      </c>
      <c r="F10" s="125">
        <v>4.3235676E7</v>
      </c>
      <c r="G10" s="126">
        <f t="shared" si="1"/>
        <v>43235676</v>
      </c>
      <c r="H10" s="127">
        <v>0.0</v>
      </c>
      <c r="I10" s="127">
        <f>SUM(642290,438779,671643)</f>
        <v>1752712</v>
      </c>
      <c r="J10" s="127">
        <v>0.0</v>
      </c>
      <c r="K10" s="128">
        <f t="shared" si="7"/>
        <v>1752712</v>
      </c>
      <c r="L10" s="129">
        <f t="shared" si="3"/>
        <v>876356</v>
      </c>
      <c r="M10" s="130">
        <v>774958.0</v>
      </c>
      <c r="N10" s="130">
        <f>VLOOKUP(A10,Sheet4!A:H,5,FALSE)</f>
        <v>0</v>
      </c>
      <c r="O10" s="130">
        <v>158832.0</v>
      </c>
      <c r="P10" s="130">
        <f t="shared" si="4"/>
        <v>616126</v>
      </c>
      <c r="Q10" s="130">
        <f t="shared" si="5"/>
        <v>774958</v>
      </c>
      <c r="R10" s="130">
        <f t="shared" si="6"/>
        <v>-3351731</v>
      </c>
      <c r="S10" s="131">
        <v>0.8842958797566286</v>
      </c>
      <c r="T10" s="131">
        <v>0.4103376063116429</v>
      </c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</row>
    <row r="11" ht="21.0" customHeight="1">
      <c r="A11" s="94">
        <v>7.9647211E7</v>
      </c>
      <c r="B11" s="94" t="s">
        <v>178</v>
      </c>
      <c r="C11" s="95">
        <v>2.7239345E7</v>
      </c>
      <c r="D11" s="95">
        <v>5.2995157E7</v>
      </c>
      <c r="E11" s="125">
        <v>2.6952002E7</v>
      </c>
      <c r="F11" s="125">
        <v>2.5432213E7</v>
      </c>
      <c r="G11" s="126">
        <f t="shared" si="1"/>
        <v>25432213</v>
      </c>
      <c r="H11" s="127"/>
      <c r="I11" s="127"/>
      <c r="J11" s="127"/>
      <c r="K11" s="128">
        <v>1034000.0</v>
      </c>
      <c r="L11" s="129">
        <f t="shared" si="3"/>
        <v>517000</v>
      </c>
      <c r="M11" s="130">
        <v>452830.0</v>
      </c>
      <c r="N11" s="130">
        <f>VLOOKUP(A11,Sheet4!A:H,5,FALSE)</f>
        <v>0</v>
      </c>
      <c r="O11" s="130">
        <v>22748.0</v>
      </c>
      <c r="P11" s="130">
        <f t="shared" si="4"/>
        <v>430082</v>
      </c>
      <c r="Q11" s="130">
        <f t="shared" si="5"/>
        <v>452830</v>
      </c>
      <c r="R11" s="130">
        <f t="shared" si="6"/>
        <v>-1807132</v>
      </c>
      <c r="S11" s="131">
        <v>0.8758800773694391</v>
      </c>
      <c r="T11" s="131">
        <v>0.40888590915302947</v>
      </c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</row>
    <row r="12" ht="21.0" customHeight="1">
      <c r="A12" s="94">
        <v>1.77526978E8</v>
      </c>
      <c r="B12" s="94" t="s">
        <v>179</v>
      </c>
      <c r="C12" s="124">
        <v>8.2145722E7</v>
      </c>
      <c r="D12" s="95">
        <v>1.46767742E8</v>
      </c>
      <c r="E12" s="125">
        <v>7.0006046E7</v>
      </c>
      <c r="F12" s="125">
        <v>6.7364884E7</v>
      </c>
      <c r="G12" s="126">
        <f t="shared" si="1"/>
        <v>67364884</v>
      </c>
      <c r="H12" s="127">
        <v>0.0</v>
      </c>
      <c r="I12" s="127">
        <f>SUM(298207,215604,263213)</f>
        <v>777024</v>
      </c>
      <c r="J12" s="127">
        <f>SUM(1152360,661337,403188,70000)</f>
        <v>2286885</v>
      </c>
      <c r="K12" s="128">
        <f t="shared" ref="K12:K25" si="8">SUM(H12:J12)</f>
        <v>3063909</v>
      </c>
      <c r="L12" s="129">
        <f t="shared" si="3"/>
        <v>1531954.5</v>
      </c>
      <c r="M12" s="130">
        <v>148954.0</v>
      </c>
      <c r="N12" s="130">
        <f>VLOOKUP(A12,Sheet4!A:H,5,FALSE)</f>
        <v>1361168</v>
      </c>
      <c r="O12" s="130">
        <v>1297123.0</v>
      </c>
      <c r="P12" s="130">
        <f t="shared" si="4"/>
        <v>212999</v>
      </c>
      <c r="Q12" s="130">
        <f t="shared" si="5"/>
        <v>1510122</v>
      </c>
      <c r="R12" s="130">
        <f t="shared" si="6"/>
        <v>-14780838</v>
      </c>
      <c r="S12" s="131">
        <v>0.9857485976247989</v>
      </c>
      <c r="T12" s="131">
        <v>0.40418927678398914</v>
      </c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</row>
    <row r="13" ht="21.0" customHeight="1">
      <c r="A13" s="94">
        <v>1.69461237E8</v>
      </c>
      <c r="B13" s="94" t="s">
        <v>180</v>
      </c>
      <c r="C13" s="124">
        <v>7.1818907E7</v>
      </c>
      <c r="D13" s="95">
        <v>4.34945307E8</v>
      </c>
      <c r="E13" s="125">
        <v>6.8317165E7</v>
      </c>
      <c r="F13" s="125">
        <v>6.4054543E7</v>
      </c>
      <c r="G13" s="126">
        <f t="shared" si="1"/>
        <v>64054543</v>
      </c>
      <c r="H13" s="127">
        <v>0.0</v>
      </c>
      <c r="I13" s="127">
        <f>SUM(100696,98000)</f>
        <v>198696</v>
      </c>
      <c r="J13" s="127">
        <f>SUM(424910,683683,1027116)</f>
        <v>2135709</v>
      </c>
      <c r="K13" s="128">
        <f t="shared" si="8"/>
        <v>2334405</v>
      </c>
      <c r="L13" s="129">
        <f t="shared" si="3"/>
        <v>1167202.5</v>
      </c>
      <c r="M13" s="130">
        <v>0.0</v>
      </c>
      <c r="N13" s="130">
        <f>VLOOKUP(A13,Sheet4!A:H,5,FALSE)</f>
        <v>1049064</v>
      </c>
      <c r="O13" s="130">
        <v>242800.0</v>
      </c>
      <c r="P13" s="130">
        <f t="shared" si="4"/>
        <v>806264</v>
      </c>
      <c r="Q13" s="130">
        <f t="shared" si="5"/>
        <v>1049064</v>
      </c>
      <c r="R13" s="130">
        <f t="shared" si="6"/>
        <v>-7764364</v>
      </c>
      <c r="S13" s="131">
        <v>0.898784915213941</v>
      </c>
      <c r="T13" s="131">
        <v>0.4008085015783012</v>
      </c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</row>
    <row r="14" ht="21.0" customHeight="1">
      <c r="A14" s="94">
        <v>6.4010776E7</v>
      </c>
      <c r="B14" s="94" t="s">
        <v>181</v>
      </c>
      <c r="C14" s="124">
        <v>7.6904541E7</v>
      </c>
      <c r="D14" s="95">
        <v>2.4715917E9</v>
      </c>
      <c r="E14" s="125">
        <v>7.0121453E7</v>
      </c>
      <c r="F14" s="125">
        <v>6.6158351E7</v>
      </c>
      <c r="G14" s="126">
        <f t="shared" si="1"/>
        <v>66158351</v>
      </c>
      <c r="H14" s="127">
        <v>0.0</v>
      </c>
      <c r="I14" s="127">
        <f>SUM(50102,2000,46110)</f>
        <v>98212</v>
      </c>
      <c r="J14" s="127">
        <f>SUM(434708,1053289,400476)</f>
        <v>1888473</v>
      </c>
      <c r="K14" s="128">
        <f t="shared" si="8"/>
        <v>1986685</v>
      </c>
      <c r="L14" s="129">
        <f t="shared" si="3"/>
        <v>993342.5</v>
      </c>
      <c r="M14" s="130">
        <v>7264.0</v>
      </c>
      <c r="N14" s="130">
        <f>VLOOKUP(A14,Sheet4!A:H,5,FALSE)</f>
        <v>790083</v>
      </c>
      <c r="O14" s="130">
        <v>546311.0</v>
      </c>
      <c r="P14" s="130">
        <f t="shared" si="4"/>
        <v>251036</v>
      </c>
      <c r="Q14" s="130">
        <f t="shared" si="5"/>
        <v>797347</v>
      </c>
      <c r="R14" s="130">
        <f t="shared" si="6"/>
        <v>-10746190</v>
      </c>
      <c r="S14" s="131">
        <v>0.8026909147650483</v>
      </c>
      <c r="T14" s="131">
        <v>0.34526379452376643</v>
      </c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</row>
    <row r="15" ht="21.0" customHeight="1">
      <c r="A15" s="94">
        <v>1.69446634E8</v>
      </c>
      <c r="B15" s="94" t="s">
        <v>182</v>
      </c>
      <c r="C15" s="124">
        <v>6.9506898E7</v>
      </c>
      <c r="D15" s="95">
        <v>3.92726626E8</v>
      </c>
      <c r="E15" s="125">
        <v>6.8377588E7</v>
      </c>
      <c r="F15" s="125">
        <v>6.3158274E7</v>
      </c>
      <c r="G15" s="126">
        <f t="shared" si="1"/>
        <v>63158274</v>
      </c>
      <c r="H15" s="127">
        <v>0.0</v>
      </c>
      <c r="I15" s="127">
        <v>0.0</v>
      </c>
      <c r="J15" s="127">
        <f>SUM(254743,662510,302354)</f>
        <v>1219607</v>
      </c>
      <c r="K15" s="128">
        <f t="shared" si="8"/>
        <v>1219607</v>
      </c>
      <c r="L15" s="129">
        <f t="shared" si="3"/>
        <v>609803.5</v>
      </c>
      <c r="M15" s="130">
        <v>0.0</v>
      </c>
      <c r="N15" s="130">
        <f>VLOOKUP(A15,Sheet4!A:H,5,FALSE)</f>
        <v>435150</v>
      </c>
      <c r="O15" s="130">
        <v>131976.0</v>
      </c>
      <c r="P15" s="130">
        <f t="shared" si="4"/>
        <v>303174</v>
      </c>
      <c r="Q15" s="130">
        <f t="shared" si="5"/>
        <v>435150</v>
      </c>
      <c r="R15" s="130">
        <f t="shared" si="6"/>
        <v>-6348624</v>
      </c>
      <c r="S15" s="131">
        <v>0.7135905254725498</v>
      </c>
      <c r="T15" s="131">
        <v>0.32420628188298145</v>
      </c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</row>
    <row r="16" ht="21.0" customHeight="1">
      <c r="A16" s="94">
        <v>1.1363981E7</v>
      </c>
      <c r="B16" s="94" t="s">
        <v>183</v>
      </c>
      <c r="C16" s="124">
        <v>3.2452626E7</v>
      </c>
      <c r="D16" s="95">
        <v>2.1353624E8</v>
      </c>
      <c r="E16" s="125">
        <v>3.0428822E7</v>
      </c>
      <c r="F16" s="125">
        <v>3.0714274E7</v>
      </c>
      <c r="G16" s="126">
        <f t="shared" si="1"/>
        <v>30714274</v>
      </c>
      <c r="H16" s="127">
        <v>0.0</v>
      </c>
      <c r="I16" s="127">
        <f>SUM(353555,501886,349149)</f>
        <v>1204590</v>
      </c>
      <c r="J16" s="127">
        <v>0.0</v>
      </c>
      <c r="K16" s="128">
        <f t="shared" si="8"/>
        <v>1204590</v>
      </c>
      <c r="L16" s="129">
        <f t="shared" si="3"/>
        <v>602295</v>
      </c>
      <c r="M16" s="130">
        <v>375315.0</v>
      </c>
      <c r="N16" s="130">
        <f>VLOOKUP(A16,Sheet4!A:H,5,FALSE)</f>
        <v>0</v>
      </c>
      <c r="O16" s="130">
        <v>262785.0</v>
      </c>
      <c r="P16" s="130">
        <f t="shared" si="4"/>
        <v>112530</v>
      </c>
      <c r="Q16" s="130">
        <f t="shared" si="5"/>
        <v>375315</v>
      </c>
      <c r="R16" s="130">
        <f t="shared" si="6"/>
        <v>-1738352</v>
      </c>
      <c r="S16" s="131">
        <v>0.6231414838243717</v>
      </c>
      <c r="T16" s="131">
        <v>0.29488119505257177</v>
      </c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</row>
    <row r="17" ht="21.0" customHeight="1">
      <c r="A17" s="94">
        <v>6.6847214E7</v>
      </c>
      <c r="B17" s="94" t="s">
        <v>184</v>
      </c>
      <c r="C17" s="124">
        <v>3.6521366E7</v>
      </c>
      <c r="D17" s="95">
        <v>1.61681836E8</v>
      </c>
      <c r="E17" s="125">
        <v>3.6531578E7</v>
      </c>
      <c r="F17" s="125">
        <v>3.5068538E7</v>
      </c>
      <c r="G17" s="126">
        <f t="shared" si="1"/>
        <v>35068538</v>
      </c>
      <c r="H17" s="127">
        <v>0.0</v>
      </c>
      <c r="I17" s="127">
        <f>SUM(343041,270952,368664)</f>
        <v>982657</v>
      </c>
      <c r="J17" s="127">
        <v>0.0</v>
      </c>
      <c r="K17" s="128">
        <f t="shared" si="8"/>
        <v>982657</v>
      </c>
      <c r="L17" s="129">
        <f t="shared" si="3"/>
        <v>491328.5</v>
      </c>
      <c r="M17" s="130">
        <v>244994.0</v>
      </c>
      <c r="N17" s="130">
        <f>VLOOKUP(A17,Sheet4!A:H,5,FALSE)</f>
        <v>0</v>
      </c>
      <c r="O17" s="130">
        <v>0.0</v>
      </c>
      <c r="P17" s="130">
        <f t="shared" si="4"/>
        <v>244994</v>
      </c>
      <c r="Q17" s="130">
        <f t="shared" si="5"/>
        <v>244994</v>
      </c>
      <c r="R17" s="130">
        <f t="shared" si="6"/>
        <v>-1452828</v>
      </c>
      <c r="S17" s="131">
        <v>0.49863584139735434</v>
      </c>
      <c r="T17" s="131">
        <v>0.23939999878708115</v>
      </c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</row>
    <row r="18" ht="21.0" customHeight="1">
      <c r="A18" s="94">
        <v>1.69446444E8</v>
      </c>
      <c r="B18" s="94" t="s">
        <v>185</v>
      </c>
      <c r="C18" s="124">
        <v>7.0002453E7</v>
      </c>
      <c r="D18" s="95">
        <v>1.831297197E9</v>
      </c>
      <c r="E18" s="125">
        <v>6.6414196E7</v>
      </c>
      <c r="F18" s="125">
        <v>6.6414116E7</v>
      </c>
      <c r="G18" s="126">
        <f t="shared" si="1"/>
        <v>66414116</v>
      </c>
      <c r="H18" s="127">
        <f>SUM(85447,1428)</f>
        <v>86875</v>
      </c>
      <c r="I18" s="127">
        <f>SUM(206536,52834,50810)</f>
        <v>310180</v>
      </c>
      <c r="J18" s="127">
        <f>SUM(214268,572567,1059610)</f>
        <v>1846445</v>
      </c>
      <c r="K18" s="128">
        <f t="shared" si="8"/>
        <v>2243500</v>
      </c>
      <c r="L18" s="129">
        <f t="shared" si="3"/>
        <v>1121750</v>
      </c>
      <c r="M18" s="130">
        <v>76358.0</v>
      </c>
      <c r="N18" s="130">
        <f>VLOOKUP(A18,Sheet4!A:H,5,FALSE)</f>
        <v>370328</v>
      </c>
      <c r="O18" s="130">
        <v>363469.0</v>
      </c>
      <c r="P18" s="130">
        <f t="shared" si="4"/>
        <v>83217</v>
      </c>
      <c r="Q18" s="130">
        <f t="shared" si="5"/>
        <v>446686</v>
      </c>
      <c r="R18" s="130">
        <f t="shared" si="6"/>
        <v>-3588337</v>
      </c>
      <c r="S18" s="131">
        <v>0.3982045910407845</v>
      </c>
      <c r="T18" s="131">
        <v>0.18889627982833132</v>
      </c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</row>
    <row r="19" ht="20.25" customHeight="1">
      <c r="A19" s="94">
        <v>1.66394798E8</v>
      </c>
      <c r="B19" s="94" t="s">
        <v>186</v>
      </c>
      <c r="C19" s="95">
        <v>2.5486538E7</v>
      </c>
      <c r="D19" s="95">
        <v>5.3857455E7</v>
      </c>
      <c r="E19" s="125">
        <v>2.5288718E7</v>
      </c>
      <c r="F19" s="125">
        <v>2.435683E7</v>
      </c>
      <c r="G19" s="126">
        <f t="shared" si="1"/>
        <v>24356830</v>
      </c>
      <c r="H19" s="127">
        <v>0.0</v>
      </c>
      <c r="I19" s="127">
        <f>SUM(400366,411555,400139)</f>
        <v>1212060</v>
      </c>
      <c r="J19" s="127">
        <v>0.0</v>
      </c>
      <c r="K19" s="128">
        <f t="shared" si="8"/>
        <v>1212060</v>
      </c>
      <c r="L19" s="129">
        <f t="shared" si="3"/>
        <v>606030</v>
      </c>
      <c r="M19" s="130">
        <v>233771.0</v>
      </c>
      <c r="N19" s="130">
        <f>VLOOKUP(A19,Sheet4!A:H,5,FALSE)</f>
        <v>0</v>
      </c>
      <c r="O19" s="130">
        <v>51117.0</v>
      </c>
      <c r="P19" s="130">
        <f t="shared" si="4"/>
        <v>182654</v>
      </c>
      <c r="Q19" s="130">
        <f t="shared" si="5"/>
        <v>233771</v>
      </c>
      <c r="R19" s="130">
        <f t="shared" si="6"/>
        <v>-1129708</v>
      </c>
      <c r="S19" s="131">
        <v>0.3857416299523126</v>
      </c>
      <c r="T19" s="131">
        <v>0.18432168591652945</v>
      </c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</row>
    <row r="20" ht="21.0" customHeight="1">
      <c r="A20" s="94">
        <v>7521367.0</v>
      </c>
      <c r="B20" s="94" t="s">
        <v>187</v>
      </c>
      <c r="C20" s="95">
        <v>2.1270469E7</v>
      </c>
      <c r="D20" s="95">
        <v>6.2089554E7</v>
      </c>
      <c r="E20" s="125">
        <v>2.0955181E7</v>
      </c>
      <c r="F20" s="125">
        <v>2.0070202E7</v>
      </c>
      <c r="G20" s="126">
        <f t="shared" si="1"/>
        <v>20070202</v>
      </c>
      <c r="H20" s="127">
        <v>0.0</v>
      </c>
      <c r="I20" s="127">
        <f>SUM(655030,493729,362013,89700)</f>
        <v>1600472</v>
      </c>
      <c r="J20" s="127">
        <v>0.0</v>
      </c>
      <c r="K20" s="128">
        <f t="shared" si="8"/>
        <v>1600472</v>
      </c>
      <c r="L20" s="129">
        <f t="shared" si="3"/>
        <v>800236</v>
      </c>
      <c r="M20" s="130">
        <v>266989.0</v>
      </c>
      <c r="N20" s="130">
        <f>VLOOKUP(A20,Sheet4!A:H,5,FALSE)</f>
        <v>0</v>
      </c>
      <c r="O20" s="130">
        <v>219.0</v>
      </c>
      <c r="P20" s="130">
        <f t="shared" si="4"/>
        <v>266770</v>
      </c>
      <c r="Q20" s="130">
        <f t="shared" si="5"/>
        <v>266989</v>
      </c>
      <c r="R20" s="130">
        <f t="shared" si="6"/>
        <v>-1200267</v>
      </c>
      <c r="S20" s="131">
        <v>0.3336378268410819</v>
      </c>
      <c r="T20" s="131">
        <v>0.1574055226413093</v>
      </c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</row>
    <row r="21" ht="21.0" customHeight="1">
      <c r="A21" s="94">
        <v>1.72508036E8</v>
      </c>
      <c r="B21" s="94" t="s">
        <v>188</v>
      </c>
      <c r="C21" s="95">
        <v>2.916448E7</v>
      </c>
      <c r="D21" s="95">
        <v>8119778.0</v>
      </c>
      <c r="E21" s="125">
        <v>2.8793898E7</v>
      </c>
      <c r="F21" s="125">
        <v>2.9643351E7</v>
      </c>
      <c r="G21" s="126">
        <f t="shared" si="1"/>
        <v>29643351</v>
      </c>
      <c r="H21" s="127">
        <v>0.0</v>
      </c>
      <c r="I21" s="127">
        <f>SUM(492417,652940,543505)</f>
        <v>1688862</v>
      </c>
      <c r="J21" s="127">
        <v>0.0</v>
      </c>
      <c r="K21" s="128">
        <f t="shared" si="8"/>
        <v>1688862</v>
      </c>
      <c r="L21" s="129">
        <f t="shared" si="3"/>
        <v>844431</v>
      </c>
      <c r="M21" s="130">
        <v>207462.0</v>
      </c>
      <c r="N21" s="130">
        <f>VLOOKUP(A21,Sheet4!A:H,5,FALSE)</f>
        <v>0</v>
      </c>
      <c r="O21" s="130">
        <v>95597.0</v>
      </c>
      <c r="P21" s="130">
        <f t="shared" si="4"/>
        <v>111865</v>
      </c>
      <c r="Q21" s="130">
        <f t="shared" si="5"/>
        <v>207462</v>
      </c>
      <c r="R21" s="130">
        <f t="shared" si="6"/>
        <v>478871</v>
      </c>
      <c r="S21" s="131">
        <v>0.24568259573606369</v>
      </c>
      <c r="T21" s="131">
        <v>0.12485831086299566</v>
      </c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</row>
    <row r="22" ht="21.0" customHeight="1">
      <c r="A22" s="94">
        <v>1.86763477E8</v>
      </c>
      <c r="B22" s="94" t="s">
        <v>189</v>
      </c>
      <c r="C22" s="124">
        <v>2.982036E7</v>
      </c>
      <c r="D22" s="95">
        <v>1.7177138E7</v>
      </c>
      <c r="E22" s="125">
        <v>2.98304E7</v>
      </c>
      <c r="F22" s="125">
        <v>3.1317668E7</v>
      </c>
      <c r="G22" s="126">
        <f t="shared" si="1"/>
        <v>31317668</v>
      </c>
      <c r="H22" s="127">
        <v>0.0</v>
      </c>
      <c r="I22" s="127">
        <f>SUM(402678,327574,440898)</f>
        <v>1171150</v>
      </c>
      <c r="J22" s="127">
        <v>0.0</v>
      </c>
      <c r="K22" s="128">
        <f t="shared" si="8"/>
        <v>1171150</v>
      </c>
      <c r="L22" s="129">
        <f t="shared" si="3"/>
        <v>585575</v>
      </c>
      <c r="M22" s="130">
        <v>108744.0</v>
      </c>
      <c r="N22" s="130">
        <f>VLOOKUP(A22,Sheet4!A:H,5,FALSE)</f>
        <v>0</v>
      </c>
      <c r="O22" s="130">
        <v>108744.0</v>
      </c>
      <c r="P22" s="130">
        <f t="shared" si="4"/>
        <v>0</v>
      </c>
      <c r="Q22" s="130">
        <f t="shared" si="5"/>
        <v>108744</v>
      </c>
      <c r="R22" s="130">
        <f t="shared" si="6"/>
        <v>1497308</v>
      </c>
      <c r="S22" s="131">
        <v>0.1857046492763523</v>
      </c>
      <c r="T22" s="131">
        <v>0.0975145261843459</v>
      </c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</row>
    <row r="23" ht="21.0" customHeight="1">
      <c r="A23" s="94">
        <v>1.75650426E8</v>
      </c>
      <c r="B23" s="94" t="s">
        <v>190</v>
      </c>
      <c r="C23" s="124">
        <v>4.1222501E7</v>
      </c>
      <c r="D23" s="95">
        <v>2.26417932E8</v>
      </c>
      <c r="E23" s="125">
        <v>4.1488501E7</v>
      </c>
      <c r="F23" s="125">
        <v>4.0286529E7</v>
      </c>
      <c r="G23" s="126">
        <f t="shared" si="1"/>
        <v>40286529</v>
      </c>
      <c r="H23" s="127">
        <v>0.0</v>
      </c>
      <c r="I23" s="127">
        <f>SUM(358436,343705,322413)</f>
        <v>1024554</v>
      </c>
      <c r="J23" s="127">
        <v>0.0</v>
      </c>
      <c r="K23" s="128">
        <f t="shared" si="8"/>
        <v>1024554</v>
      </c>
      <c r="L23" s="129">
        <f t="shared" si="3"/>
        <v>512277</v>
      </c>
      <c r="M23" s="130">
        <v>95252.0</v>
      </c>
      <c r="N23" s="130">
        <f>VLOOKUP(A23,Sheet4!A:H,5,FALSE)</f>
        <v>0</v>
      </c>
      <c r="O23" s="130">
        <v>0.0</v>
      </c>
      <c r="P23" s="130">
        <f t="shared" si="4"/>
        <v>95252</v>
      </c>
      <c r="Q23" s="130">
        <f t="shared" si="5"/>
        <v>95252</v>
      </c>
      <c r="R23" s="130">
        <f t="shared" si="6"/>
        <v>-935972</v>
      </c>
      <c r="S23" s="131">
        <v>0.18593846688412713</v>
      </c>
      <c r="T23" s="131">
        <v>0.09085833290831781</v>
      </c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</row>
    <row r="24" ht="21.0" customHeight="1">
      <c r="A24" s="94">
        <v>1.58392134E8</v>
      </c>
      <c r="B24" s="94" t="s">
        <v>191</v>
      </c>
      <c r="C24" s="95">
        <v>2.4093862E7</v>
      </c>
      <c r="D24" s="95">
        <v>5.2585333E7</v>
      </c>
      <c r="E24" s="125">
        <v>2.3955186E7</v>
      </c>
      <c r="F24" s="125">
        <v>2.3522966E7</v>
      </c>
      <c r="G24" s="126">
        <f t="shared" si="1"/>
        <v>23522966</v>
      </c>
      <c r="H24" s="127">
        <v>0.0</v>
      </c>
      <c r="I24" s="127">
        <f>SUM(349621,389428,278288)</f>
        <v>1017337</v>
      </c>
      <c r="J24" s="127">
        <v>0.0</v>
      </c>
      <c r="K24" s="128">
        <f t="shared" si="8"/>
        <v>1017337</v>
      </c>
      <c r="L24" s="129">
        <f t="shared" si="3"/>
        <v>508668.5</v>
      </c>
      <c r="M24" s="130">
        <v>91442.0</v>
      </c>
      <c r="N24" s="130">
        <f>VLOOKUP(A24,Sheet4!A:H,5,FALSE)</f>
        <v>0</v>
      </c>
      <c r="O24" s="130">
        <v>106.0</v>
      </c>
      <c r="P24" s="130">
        <f t="shared" si="4"/>
        <v>91336</v>
      </c>
      <c r="Q24" s="130">
        <f t="shared" si="5"/>
        <v>91442</v>
      </c>
      <c r="R24" s="130">
        <f t="shared" si="6"/>
        <v>-570896</v>
      </c>
      <c r="S24" s="131">
        <v>0.17976737305337367</v>
      </c>
      <c r="T24" s="131">
        <v>0.08775392264311602</v>
      </c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</row>
    <row r="25" ht="21.0" customHeight="1">
      <c r="A25" s="94">
        <v>1.67637163E8</v>
      </c>
      <c r="B25" s="94" t="s">
        <v>192</v>
      </c>
      <c r="C25" s="124">
        <v>5.8173981E7</v>
      </c>
      <c r="D25" s="95">
        <v>5.24641688E8</v>
      </c>
      <c r="E25" s="125">
        <v>6.0645883E7</v>
      </c>
      <c r="F25" s="125">
        <v>5.5436271E7</v>
      </c>
      <c r="G25" s="126">
        <f t="shared" si="1"/>
        <v>55436271</v>
      </c>
      <c r="H25" s="127"/>
      <c r="I25" s="127"/>
      <c r="J25" s="127"/>
      <c r="K25" s="128">
        <f t="shared" si="8"/>
        <v>0</v>
      </c>
      <c r="L25" s="129">
        <f t="shared" si="3"/>
        <v>0</v>
      </c>
      <c r="M25" s="130">
        <v>367800.0</v>
      </c>
      <c r="N25" s="130">
        <f>VLOOKUP(A25,Sheet4!A:H,5,FALSE)</f>
        <v>362935</v>
      </c>
      <c r="O25" s="130">
        <v>0.0</v>
      </c>
      <c r="P25" s="130">
        <f t="shared" si="4"/>
        <v>730735</v>
      </c>
      <c r="Q25" s="130">
        <f t="shared" si="5"/>
        <v>730735</v>
      </c>
      <c r="R25" s="130">
        <f t="shared" si="6"/>
        <v>-2737710</v>
      </c>
      <c r="S25" s="131">
        <v>0.0</v>
      </c>
      <c r="T25" s="131">
        <v>0.0</v>
      </c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</row>
    <row r="26" ht="21.0" customHeight="1">
      <c r="A26" s="94"/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142"/>
      <c r="T26" s="142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</row>
    <row r="27" ht="21.0" customHeight="1">
      <c r="A27" s="94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142"/>
      <c r="T27" s="142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</row>
    <row r="28" ht="21.0" customHeight="1">
      <c r="A28" s="94"/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142"/>
      <c r="T28" s="142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</row>
    <row r="29" ht="21.0" customHeight="1">
      <c r="A29" s="94"/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142"/>
      <c r="T29" s="142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</row>
    <row r="30" ht="21.0" customHeight="1">
      <c r="A30" s="94"/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42"/>
      <c r="T30" s="142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</row>
    <row r="31" ht="21.0" customHeight="1">
      <c r="A31" s="94"/>
      <c r="B31" s="94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142"/>
      <c r="T31" s="142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</row>
    <row r="32" ht="21.0" customHeight="1">
      <c r="A32" s="94"/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142"/>
      <c r="T32" s="142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</row>
    <row r="33" ht="21.0" customHeight="1">
      <c r="A33" s="94"/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142"/>
      <c r="T33" s="142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</row>
    <row r="34" ht="21.0" customHeight="1">
      <c r="A34" s="94"/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142"/>
      <c r="T34" s="142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</row>
    <row r="35" ht="21.0" customHeight="1">
      <c r="A35" s="94"/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142"/>
      <c r="T35" s="142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</row>
    <row r="36" ht="21.0" customHeight="1">
      <c r="A36" s="94"/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142"/>
      <c r="T36" s="142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</row>
    <row r="37" ht="21.0" customHeight="1">
      <c r="A37" s="94"/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142"/>
      <c r="T37" s="142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</row>
    <row r="38" ht="21.0" customHeight="1">
      <c r="A38" s="94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42"/>
      <c r="T38" s="142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</row>
    <row r="39" ht="21.0" customHeight="1">
      <c r="A39" s="94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142"/>
      <c r="T39" s="142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</row>
    <row r="40" ht="21.0" customHeight="1">
      <c r="A40" s="94"/>
      <c r="B40" s="94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142"/>
      <c r="T40" s="142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</row>
    <row r="41" ht="21.0" customHeight="1">
      <c r="A41" s="94"/>
      <c r="B41" s="94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142"/>
      <c r="T41" s="142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</row>
    <row r="42" ht="21.0" customHeight="1">
      <c r="A42" s="94"/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142"/>
      <c r="T42" s="142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</row>
    <row r="43" ht="21.0" customHeight="1">
      <c r="A43" s="94"/>
      <c r="B43" s="94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42"/>
      <c r="T43" s="142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</row>
    <row r="44" ht="21.0" customHeight="1">
      <c r="A44" s="94"/>
      <c r="B44" s="94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142"/>
      <c r="T44" s="142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</row>
    <row r="45" ht="21.0" customHeight="1">
      <c r="A45" s="94"/>
      <c r="B45" s="94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42"/>
      <c r="T45" s="142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</row>
    <row r="46" ht="21.0" customHeight="1">
      <c r="A46" s="94"/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142"/>
      <c r="T46" s="142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</row>
    <row r="47" ht="21.0" customHeight="1">
      <c r="A47" s="94"/>
      <c r="B47" s="94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142"/>
      <c r="T47" s="142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</row>
    <row r="48" ht="21.0" customHeight="1">
      <c r="A48" s="94"/>
      <c r="B48" s="94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142"/>
      <c r="T48" s="142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</row>
    <row r="49" ht="21.0" customHeight="1">
      <c r="A49" s="94"/>
      <c r="B49" s="94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142"/>
      <c r="T49" s="142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</row>
    <row r="50" ht="21.0" customHeight="1">
      <c r="A50" s="94"/>
      <c r="B50" s="94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142"/>
      <c r="T50" s="142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</row>
    <row r="51" ht="21.0" customHeight="1">
      <c r="A51" s="94"/>
      <c r="B51" s="94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142"/>
      <c r="T51" s="142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</row>
    <row r="52" ht="21.0" customHeight="1">
      <c r="A52" s="94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42"/>
      <c r="T52" s="142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</row>
    <row r="53" ht="21.0" customHeight="1">
      <c r="A53" s="9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142"/>
      <c r="T53" s="142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</row>
    <row r="54" ht="21.0" customHeight="1">
      <c r="A54" s="94"/>
      <c r="B54" s="94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142"/>
      <c r="T54" s="142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</row>
    <row r="55" ht="21.0" customHeight="1">
      <c r="A55" s="94"/>
      <c r="B55" s="94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142"/>
      <c r="T55" s="142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</row>
    <row r="56" ht="21.0" customHeight="1">
      <c r="A56" s="94"/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142"/>
      <c r="T56" s="142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</row>
    <row r="57" ht="21.0" customHeight="1">
      <c r="A57" s="94"/>
      <c r="B57" s="94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142"/>
      <c r="T57" s="142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</row>
    <row r="58" ht="21.0" customHeight="1">
      <c r="A58" s="94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42"/>
      <c r="T58" s="142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</row>
    <row r="59" ht="21.0" customHeight="1">
      <c r="A59" s="94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142"/>
      <c r="T59" s="142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</row>
    <row r="60" ht="21.0" customHeight="1">
      <c r="A60" s="94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142"/>
      <c r="T60" s="142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</row>
    <row r="61" ht="21.0" customHeight="1">
      <c r="A61" s="94"/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142"/>
      <c r="T61" s="142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</row>
    <row r="62" ht="21.0" customHeight="1">
      <c r="A62" s="94"/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142"/>
      <c r="T62" s="142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</row>
    <row r="63" ht="21.0" customHeight="1">
      <c r="A63" s="94"/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142"/>
      <c r="T63" s="142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</row>
    <row r="64" ht="21.0" customHeight="1">
      <c r="A64" s="9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142"/>
      <c r="T64" s="142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</row>
    <row r="65" ht="21.0" customHeight="1">
      <c r="A65" s="94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142"/>
      <c r="T65" s="142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</row>
    <row r="66" ht="21.0" customHeight="1">
      <c r="A66" s="94"/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142"/>
      <c r="T66" s="142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</row>
    <row r="67" ht="21.0" customHeight="1">
      <c r="A67" s="94"/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142"/>
      <c r="T67" s="142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</row>
    <row r="68" ht="21.0" customHeight="1">
      <c r="A68" s="94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142"/>
      <c r="T68" s="142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</row>
    <row r="69" ht="21.0" customHeight="1">
      <c r="A69" s="94"/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142"/>
      <c r="T69" s="142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</row>
    <row r="70" ht="21.0" customHeight="1">
      <c r="A70" s="94"/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142"/>
      <c r="T70" s="142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</row>
    <row r="71" ht="21.0" customHeight="1">
      <c r="A71" s="94"/>
      <c r="B71" s="94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142"/>
      <c r="T71" s="142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</row>
    <row r="72" ht="21.0" customHeight="1">
      <c r="A72" s="94"/>
      <c r="B72" s="94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142"/>
      <c r="T72" s="142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</row>
    <row r="73" ht="21.0" customHeight="1">
      <c r="A73" s="94"/>
      <c r="B73" s="94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42"/>
      <c r="T73" s="142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</row>
    <row r="74" ht="21.0" customHeight="1">
      <c r="A74" s="94"/>
      <c r="B74" s="94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142"/>
      <c r="T74" s="142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</row>
    <row r="75" ht="21.0" customHeight="1">
      <c r="A75" s="94"/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142"/>
      <c r="T75" s="142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</row>
    <row r="76" ht="21.0" customHeight="1">
      <c r="A76" s="94"/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142"/>
      <c r="T76" s="142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</row>
    <row r="77" ht="21.0" customHeight="1">
      <c r="A77" s="94"/>
      <c r="B77" s="94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142"/>
      <c r="T77" s="142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</row>
    <row r="78" ht="21.0" customHeight="1">
      <c r="A78" s="94"/>
      <c r="B78" s="94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142"/>
      <c r="T78" s="142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</row>
    <row r="79" ht="21.0" customHeight="1">
      <c r="A79" s="94"/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142"/>
      <c r="T79" s="142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</row>
    <row r="80" ht="21.0" customHeight="1">
      <c r="A80" s="94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142"/>
      <c r="T80" s="142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</row>
    <row r="81" ht="21.0" customHeight="1">
      <c r="A81" s="94"/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142"/>
      <c r="T81" s="142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</row>
    <row r="82" ht="21.0" customHeight="1">
      <c r="A82" s="94"/>
      <c r="B82" s="94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142"/>
      <c r="T82" s="142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</row>
    <row r="83" ht="21.0" customHeight="1">
      <c r="A83" s="94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142"/>
      <c r="T83" s="142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</row>
    <row r="84" ht="21.0" customHeight="1">
      <c r="A84" s="94"/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142"/>
      <c r="T84" s="142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</row>
    <row r="85" ht="21.0" customHeight="1">
      <c r="A85" s="94"/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142"/>
      <c r="T85" s="142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</row>
    <row r="86" ht="21.0" customHeight="1">
      <c r="A86" s="94"/>
      <c r="B86" s="94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142"/>
      <c r="T86" s="142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</row>
    <row r="87" ht="21.0" customHeight="1">
      <c r="A87" s="94"/>
      <c r="B87" s="94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142"/>
      <c r="T87" s="142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</row>
    <row r="88" ht="21.0" customHeight="1">
      <c r="A88" s="94"/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42"/>
      <c r="T88" s="142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</row>
    <row r="89" ht="21.0" customHeight="1">
      <c r="A89" s="94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142"/>
      <c r="T89" s="142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</row>
    <row r="90" ht="21.0" customHeight="1">
      <c r="A90" s="94"/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142"/>
      <c r="T90" s="142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</row>
    <row r="91" ht="21.0" customHeight="1">
      <c r="A91" s="94"/>
      <c r="B91" s="94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142"/>
      <c r="T91" s="142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</row>
    <row r="92" ht="21.0" customHeight="1">
      <c r="A92" s="94"/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142"/>
      <c r="T92" s="142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</row>
    <row r="93" ht="21.0" customHeight="1">
      <c r="A93" s="94"/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142"/>
      <c r="T93" s="142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</row>
    <row r="94" ht="21.0" customHeight="1">
      <c r="A94" s="94"/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142"/>
      <c r="T94" s="142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</row>
    <row r="95" ht="21.0" customHeight="1">
      <c r="A95" s="94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142"/>
      <c r="T95" s="142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</row>
    <row r="96" ht="21.0" customHeight="1">
      <c r="A96" s="94"/>
      <c r="B96" s="94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142"/>
      <c r="T96" s="142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</row>
    <row r="97" ht="21.0" customHeight="1">
      <c r="A97" s="94"/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142"/>
      <c r="T97" s="142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</row>
    <row r="98" ht="21.0" customHeight="1">
      <c r="A98" s="94"/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142"/>
      <c r="T98" s="142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</row>
    <row r="99" ht="21.0" customHeight="1">
      <c r="A99" s="94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142"/>
      <c r="T99" s="142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</row>
    <row r="100" ht="21.0" customHeight="1">
      <c r="A100" s="94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142"/>
      <c r="T100" s="142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</row>
    <row r="101" ht="21.0" customHeight="1">
      <c r="A101" s="94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142"/>
      <c r="T101" s="142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</row>
    <row r="102" ht="21.0" customHeight="1">
      <c r="A102" s="94"/>
      <c r="B102" s="94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42"/>
      <c r="T102" s="142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</row>
    <row r="103" ht="21.0" customHeight="1">
      <c r="A103" s="94"/>
      <c r="B103" s="94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142"/>
      <c r="T103" s="142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</row>
    <row r="104" ht="21.0" customHeight="1">
      <c r="A104" s="94"/>
      <c r="B104" s="94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142"/>
      <c r="T104" s="142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</row>
    <row r="105" ht="21.0" customHeight="1">
      <c r="A105" s="94"/>
      <c r="B105" s="94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142"/>
      <c r="T105" s="142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</row>
    <row r="106" ht="21.0" customHeight="1">
      <c r="A106" s="94"/>
      <c r="B106" s="94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142"/>
      <c r="T106" s="142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</row>
    <row r="107" ht="21.0" customHeight="1">
      <c r="A107" s="94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142"/>
      <c r="T107" s="142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</row>
    <row r="108" ht="21.0" customHeight="1">
      <c r="A108" s="94"/>
      <c r="B108" s="94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142"/>
      <c r="T108" s="142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</row>
    <row r="109" ht="21.0" customHeight="1">
      <c r="A109" s="94"/>
      <c r="B109" s="94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42"/>
      <c r="T109" s="142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</row>
    <row r="110" ht="21.0" customHeight="1">
      <c r="A110" s="94"/>
      <c r="B110" s="94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142"/>
      <c r="T110" s="142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</row>
    <row r="111" ht="21.0" customHeight="1">
      <c r="A111" s="94"/>
      <c r="B111" s="94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142"/>
      <c r="T111" s="142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</row>
    <row r="112" ht="21.0" customHeight="1">
      <c r="A112" s="94"/>
      <c r="B112" s="94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142"/>
      <c r="T112" s="142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</row>
    <row r="113" ht="21.0" customHeight="1">
      <c r="A113" s="94"/>
      <c r="B113" s="94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142"/>
      <c r="T113" s="142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</row>
    <row r="114" ht="21.0" customHeight="1">
      <c r="A114" s="94"/>
      <c r="B114" s="94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142"/>
      <c r="T114" s="142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</row>
    <row r="115" ht="21.0" customHeight="1">
      <c r="A115" s="94"/>
      <c r="B115" s="94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142"/>
      <c r="T115" s="142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</row>
    <row r="116" ht="21.0" customHeight="1">
      <c r="A116" s="94"/>
      <c r="B116" s="94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42"/>
      <c r="T116" s="142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</row>
    <row r="117" ht="21.0" customHeight="1">
      <c r="A117" s="94"/>
      <c r="B117" s="94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142"/>
      <c r="T117" s="142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</row>
    <row r="118" ht="21.0" customHeight="1">
      <c r="A118" s="94"/>
      <c r="B118" s="94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142"/>
      <c r="T118" s="142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</row>
    <row r="119" ht="21.0" customHeight="1">
      <c r="A119" s="94"/>
      <c r="B119" s="94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142"/>
      <c r="T119" s="142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</row>
    <row r="120" ht="21.0" customHeight="1">
      <c r="A120" s="94"/>
      <c r="B120" s="94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142"/>
      <c r="T120" s="142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</row>
    <row r="121" ht="21.0" customHeight="1">
      <c r="A121" s="94"/>
      <c r="B121" s="94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142"/>
      <c r="T121" s="142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</row>
    <row r="122" ht="21.0" customHeight="1">
      <c r="A122" s="94"/>
      <c r="B122" s="94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142"/>
      <c r="T122" s="142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</row>
    <row r="123" ht="21.0" customHeight="1">
      <c r="A123" s="94"/>
      <c r="B123" s="94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142"/>
      <c r="T123" s="142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</row>
    <row r="124" ht="21.0" customHeight="1">
      <c r="A124" s="94"/>
      <c r="B124" s="94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142"/>
      <c r="T124" s="142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</row>
    <row r="125" ht="21.0" customHeight="1">
      <c r="A125" s="94"/>
      <c r="B125" s="94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142"/>
      <c r="T125" s="142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</row>
    <row r="126" ht="21.0" customHeight="1">
      <c r="A126" s="94"/>
      <c r="B126" s="94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142"/>
      <c r="T126" s="142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</row>
    <row r="127" ht="21.0" customHeight="1">
      <c r="A127" s="94"/>
      <c r="B127" s="94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142"/>
      <c r="T127" s="142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</row>
    <row r="128" ht="21.0" customHeight="1">
      <c r="A128" s="94"/>
      <c r="B128" s="94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142"/>
      <c r="T128" s="142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</row>
    <row r="129" ht="21.0" customHeight="1">
      <c r="A129" s="94"/>
      <c r="B129" s="94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42"/>
      <c r="T129" s="142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</row>
    <row r="130" ht="21.0" customHeight="1">
      <c r="A130" s="94"/>
      <c r="B130" s="94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142"/>
      <c r="T130" s="142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</row>
    <row r="131" ht="21.0" customHeight="1">
      <c r="A131" s="94"/>
      <c r="B131" s="94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142"/>
      <c r="T131" s="142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</row>
    <row r="132" ht="21.0" customHeight="1">
      <c r="A132" s="94"/>
      <c r="B132" s="94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142"/>
      <c r="T132" s="142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</row>
    <row r="133" ht="21.0" customHeight="1">
      <c r="A133" s="94"/>
      <c r="B133" s="94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142"/>
      <c r="T133" s="142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</row>
    <row r="134" ht="21.0" customHeight="1">
      <c r="A134" s="94"/>
      <c r="B134" s="94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142"/>
      <c r="T134" s="142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</row>
    <row r="135" ht="21.0" customHeight="1">
      <c r="A135" s="94"/>
      <c r="B135" s="94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142"/>
      <c r="T135" s="142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</row>
    <row r="136" ht="21.0" customHeight="1">
      <c r="A136" s="94"/>
      <c r="B136" s="94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42"/>
      <c r="T136" s="142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</row>
    <row r="137" ht="21.0" customHeight="1">
      <c r="A137" s="94"/>
      <c r="B137" s="94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142"/>
      <c r="T137" s="142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</row>
    <row r="138" ht="21.0" customHeight="1">
      <c r="A138" s="94"/>
      <c r="B138" s="94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142"/>
      <c r="T138" s="142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</row>
    <row r="139" ht="21.0" customHeight="1">
      <c r="A139" s="94"/>
      <c r="B139" s="94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142"/>
      <c r="T139" s="142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</row>
    <row r="140" ht="21.0" customHeight="1">
      <c r="A140" s="94"/>
      <c r="B140" s="94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142"/>
      <c r="T140" s="142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</row>
    <row r="141" ht="21.0" customHeight="1">
      <c r="A141" s="94"/>
      <c r="B141" s="94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142"/>
      <c r="T141" s="142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</row>
    <row r="142" ht="21.0" customHeight="1">
      <c r="A142" s="94"/>
      <c r="B142" s="94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142"/>
      <c r="T142" s="142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ht="21.0" customHeight="1">
      <c r="A143" s="94"/>
      <c r="B143" s="94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142"/>
      <c r="T143" s="142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</row>
    <row r="144" ht="21.0" customHeight="1">
      <c r="A144" s="94"/>
      <c r="B144" s="94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142"/>
      <c r="T144" s="142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</row>
    <row r="145" ht="21.0" customHeight="1">
      <c r="A145" s="94"/>
      <c r="B145" s="94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142"/>
      <c r="T145" s="142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ht="21.0" customHeight="1">
      <c r="A146" s="94"/>
      <c r="B146" s="94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142"/>
      <c r="T146" s="142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ht="21.0" customHeight="1">
      <c r="A147" s="94"/>
      <c r="B147" s="94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142"/>
      <c r="T147" s="142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ht="21.0" customHeight="1">
      <c r="A148" s="94"/>
      <c r="B148" s="94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142"/>
      <c r="T148" s="142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</row>
    <row r="149" ht="21.0" customHeight="1">
      <c r="A149" s="94"/>
      <c r="B149" s="94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142"/>
      <c r="T149" s="142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</row>
    <row r="150" ht="21.0" customHeight="1">
      <c r="A150" s="94"/>
      <c r="B150" s="94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142"/>
      <c r="T150" s="142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ht="21.0" customHeight="1">
      <c r="A151" s="94"/>
      <c r="B151" s="94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142"/>
      <c r="T151" s="142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ht="21.0" customHeight="1">
      <c r="A152" s="94"/>
      <c r="B152" s="94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142"/>
      <c r="T152" s="142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</row>
    <row r="153" ht="21.0" customHeight="1">
      <c r="A153" s="94"/>
      <c r="B153" s="94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142"/>
      <c r="T153" s="142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</row>
    <row r="154" ht="21.0" customHeight="1">
      <c r="A154" s="94"/>
      <c r="B154" s="94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142"/>
      <c r="T154" s="142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</row>
    <row r="155" ht="21.0" customHeight="1">
      <c r="A155" s="94"/>
      <c r="B155" s="94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142"/>
      <c r="T155" s="142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</row>
    <row r="156" ht="21.0" customHeight="1">
      <c r="A156" s="94"/>
      <c r="B156" s="94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42"/>
      <c r="T156" s="142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</row>
    <row r="157" ht="21.0" customHeight="1">
      <c r="A157" s="94"/>
      <c r="B157" s="94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142"/>
      <c r="T157" s="142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</row>
    <row r="158" ht="21.0" customHeight="1">
      <c r="A158" s="94"/>
      <c r="B158" s="94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142"/>
      <c r="T158" s="142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</row>
    <row r="159" ht="21.0" customHeight="1">
      <c r="A159" s="94"/>
      <c r="B159" s="94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142"/>
      <c r="T159" s="142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</row>
    <row r="160" ht="21.0" customHeight="1">
      <c r="A160" s="94"/>
      <c r="B160" s="94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142"/>
      <c r="T160" s="142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</row>
    <row r="161" ht="21.0" customHeight="1">
      <c r="A161" s="94"/>
      <c r="B161" s="94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142"/>
      <c r="T161" s="142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</row>
    <row r="162" ht="21.0" customHeight="1">
      <c r="A162" s="94"/>
      <c r="B162" s="94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142"/>
      <c r="T162" s="142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</row>
    <row r="163" ht="21.0" customHeight="1">
      <c r="A163" s="94"/>
      <c r="B163" s="94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42"/>
      <c r="T163" s="142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</row>
    <row r="164" ht="21.0" customHeight="1">
      <c r="A164" s="94"/>
      <c r="B164" s="94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142"/>
      <c r="T164" s="142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</row>
    <row r="165" ht="21.0" customHeight="1">
      <c r="A165" s="94"/>
      <c r="B165" s="94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142"/>
      <c r="T165" s="142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</row>
    <row r="166" ht="21.0" customHeight="1">
      <c r="A166" s="94"/>
      <c r="B166" s="94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142"/>
      <c r="T166" s="142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</row>
    <row r="167" ht="21.0" customHeight="1">
      <c r="A167" s="94"/>
      <c r="B167" s="94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142"/>
      <c r="T167" s="142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</row>
    <row r="168" ht="21.0" customHeight="1">
      <c r="A168" s="94"/>
      <c r="B168" s="94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142"/>
      <c r="T168" s="142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</row>
    <row r="169" ht="21.0" customHeight="1">
      <c r="A169" s="94"/>
      <c r="B169" s="94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142"/>
      <c r="T169" s="142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</row>
    <row r="170" ht="21.0" customHeight="1">
      <c r="A170" s="94"/>
      <c r="B170" s="94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42"/>
      <c r="T170" s="142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</row>
    <row r="171" ht="21.0" customHeight="1">
      <c r="A171" s="94"/>
      <c r="B171" s="94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142"/>
      <c r="T171" s="142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</row>
    <row r="172" ht="21.0" customHeight="1">
      <c r="A172" s="94"/>
      <c r="B172" s="94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142"/>
      <c r="T172" s="142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</row>
    <row r="173" ht="21.0" customHeight="1">
      <c r="A173" s="94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142"/>
      <c r="T173" s="142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</row>
    <row r="174" ht="21.0" customHeight="1">
      <c r="A174" s="94"/>
      <c r="B174" s="94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142"/>
      <c r="T174" s="142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</row>
    <row r="175" ht="21.0" customHeight="1">
      <c r="A175" s="94"/>
      <c r="B175" s="94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142"/>
      <c r="T175" s="142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</row>
    <row r="176" ht="21.0" customHeight="1">
      <c r="A176" s="94"/>
      <c r="B176" s="94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142"/>
      <c r="T176" s="142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</row>
    <row r="177" ht="21.0" customHeight="1">
      <c r="A177" s="94"/>
      <c r="B177" s="94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142"/>
      <c r="T177" s="142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</row>
    <row r="178" ht="21.0" customHeight="1">
      <c r="A178" s="94"/>
      <c r="B178" s="94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142"/>
      <c r="T178" s="142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</row>
    <row r="179" ht="21.0" customHeight="1">
      <c r="A179" s="94"/>
      <c r="B179" s="94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142"/>
      <c r="T179" s="142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</row>
    <row r="180" ht="21.0" customHeight="1">
      <c r="A180" s="94"/>
      <c r="B180" s="94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142"/>
      <c r="T180" s="142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</row>
    <row r="181" ht="21.0" customHeight="1">
      <c r="A181" s="94"/>
      <c r="B181" s="94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142"/>
      <c r="T181" s="142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</row>
    <row r="182" ht="21.0" customHeight="1">
      <c r="A182" s="94"/>
      <c r="B182" s="94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142"/>
      <c r="T182" s="142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</row>
    <row r="183" ht="21.0" customHeight="1">
      <c r="A183" s="94"/>
      <c r="B183" s="94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142"/>
      <c r="T183" s="142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</row>
    <row r="184" ht="21.0" customHeight="1">
      <c r="A184" s="94"/>
      <c r="B184" s="94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142"/>
      <c r="T184" s="142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</row>
    <row r="185" ht="21.0" customHeight="1">
      <c r="A185" s="94"/>
      <c r="B185" s="94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142"/>
      <c r="T185" s="142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ht="21.0" customHeight="1">
      <c r="A186" s="94"/>
      <c r="B186" s="94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42"/>
      <c r="T186" s="142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</row>
    <row r="187" ht="21.0" customHeight="1">
      <c r="A187" s="94"/>
      <c r="B187" s="94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142"/>
      <c r="T187" s="142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</row>
    <row r="188" ht="21.0" customHeight="1">
      <c r="A188" s="94"/>
      <c r="B188" s="94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142"/>
      <c r="T188" s="142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</row>
    <row r="189" ht="21.0" customHeight="1">
      <c r="A189" s="94"/>
      <c r="B189" s="94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142"/>
      <c r="T189" s="142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</row>
    <row r="190" ht="21.0" customHeight="1">
      <c r="A190" s="94"/>
      <c r="B190" s="94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142"/>
      <c r="T190" s="142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ht="21.0" customHeight="1">
      <c r="A191" s="94"/>
      <c r="B191" s="94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142"/>
      <c r="T191" s="142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</row>
    <row r="192" ht="21.0" customHeight="1">
      <c r="A192" s="94"/>
      <c r="B192" s="94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142"/>
      <c r="T192" s="142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</row>
    <row r="193" ht="21.0" customHeight="1">
      <c r="A193" s="94"/>
      <c r="B193" s="94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142"/>
      <c r="T193" s="142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</row>
    <row r="194" ht="21.0" customHeight="1">
      <c r="A194" s="94"/>
      <c r="B194" s="94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142"/>
      <c r="T194" s="142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</row>
    <row r="195" ht="21.0" customHeight="1">
      <c r="A195" s="94"/>
      <c r="B195" s="94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42"/>
      <c r="T195" s="142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</row>
    <row r="196" ht="21.0" customHeight="1">
      <c r="A196" s="94"/>
      <c r="B196" s="94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142"/>
      <c r="T196" s="142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</row>
    <row r="197" ht="21.0" customHeight="1">
      <c r="A197" s="94"/>
      <c r="B197" s="94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142"/>
      <c r="T197" s="142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</row>
    <row r="198" ht="21.0" customHeight="1">
      <c r="A198" s="94"/>
      <c r="B198" s="94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142"/>
      <c r="T198" s="142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</row>
    <row r="199" ht="21.0" customHeight="1">
      <c r="A199" s="94"/>
      <c r="B199" s="94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142"/>
      <c r="T199" s="142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</row>
    <row r="200" ht="21.0" customHeight="1">
      <c r="A200" s="94"/>
      <c r="B200" s="94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142"/>
      <c r="T200" s="142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</row>
    <row r="201" ht="21.0" customHeight="1">
      <c r="A201" s="94"/>
      <c r="B201" s="94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142"/>
      <c r="T201" s="142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</row>
    <row r="202" ht="21.0" customHeight="1">
      <c r="A202" s="94"/>
      <c r="B202" s="94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142"/>
      <c r="T202" s="142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</row>
    <row r="203" ht="21.0" customHeight="1">
      <c r="A203" s="94"/>
      <c r="B203" s="94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142"/>
      <c r="T203" s="142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</row>
    <row r="204" ht="21.0" customHeight="1">
      <c r="A204" s="94"/>
      <c r="B204" s="94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142"/>
      <c r="T204" s="142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</row>
    <row r="205" ht="21.0" customHeight="1">
      <c r="A205" s="94"/>
      <c r="B205" s="94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142"/>
      <c r="T205" s="142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</row>
    <row r="206" ht="21.0" customHeight="1">
      <c r="A206" s="94"/>
      <c r="B206" s="94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142"/>
      <c r="T206" s="142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</row>
    <row r="207" ht="21.0" customHeight="1">
      <c r="A207" s="94"/>
      <c r="B207" s="94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142"/>
      <c r="T207" s="142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</row>
    <row r="208" ht="21.0" customHeight="1">
      <c r="A208" s="94"/>
      <c r="B208" s="94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142"/>
      <c r="T208" s="142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</row>
    <row r="209" ht="21.0" customHeight="1">
      <c r="A209" s="94"/>
      <c r="B209" s="94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142"/>
      <c r="T209" s="142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</row>
    <row r="210" ht="21.0" customHeight="1">
      <c r="A210" s="94"/>
      <c r="B210" s="94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142"/>
      <c r="T210" s="142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</row>
    <row r="211" ht="21.0" customHeight="1">
      <c r="A211" s="94"/>
      <c r="B211" s="94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142"/>
      <c r="T211" s="142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</row>
    <row r="212" ht="21.0" customHeight="1">
      <c r="A212" s="94"/>
      <c r="B212" s="94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142"/>
      <c r="T212" s="142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</row>
    <row r="213" ht="21.0" customHeight="1">
      <c r="A213" s="94"/>
      <c r="B213" s="94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142"/>
      <c r="T213" s="142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</row>
    <row r="214" ht="21.0" customHeight="1">
      <c r="A214" s="94"/>
      <c r="B214" s="94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142"/>
      <c r="T214" s="142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</row>
    <row r="215" ht="21.0" customHeight="1">
      <c r="A215" s="94"/>
      <c r="B215" s="94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142"/>
      <c r="T215" s="142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</row>
    <row r="216" ht="21.0" customHeight="1">
      <c r="A216" s="94"/>
      <c r="B216" s="94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142"/>
      <c r="T216" s="142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</row>
    <row r="217" ht="21.0" customHeight="1">
      <c r="A217" s="94"/>
      <c r="B217" s="94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142"/>
      <c r="T217" s="142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</row>
    <row r="218" ht="21.0" customHeight="1">
      <c r="A218" s="94"/>
      <c r="B218" s="94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142"/>
      <c r="T218" s="142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</row>
    <row r="219" ht="21.0" customHeight="1">
      <c r="A219" s="94"/>
      <c r="B219" s="94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142"/>
      <c r="T219" s="142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</row>
    <row r="220" ht="21.0" customHeight="1">
      <c r="A220" s="94"/>
      <c r="B220" s="94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142"/>
      <c r="T220" s="142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</row>
    <row r="221" ht="21.0" customHeight="1">
      <c r="A221" s="94"/>
      <c r="B221" s="94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142"/>
      <c r="T221" s="142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</row>
    <row r="222" ht="21.0" customHeight="1">
      <c r="A222" s="94"/>
      <c r="B222" s="94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142"/>
      <c r="T222" s="142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</row>
    <row r="223" ht="21.0" customHeight="1">
      <c r="A223" s="94"/>
      <c r="B223" s="94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142"/>
      <c r="T223" s="142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</row>
    <row r="224" ht="21.0" customHeight="1">
      <c r="A224" s="94"/>
      <c r="B224" s="94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142"/>
      <c r="T224" s="142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</row>
    <row r="225" ht="21.0" customHeight="1">
      <c r="A225" s="94"/>
      <c r="B225" s="94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142"/>
      <c r="T225" s="142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</row>
    <row r="226" ht="21.0" customHeight="1">
      <c r="A226" s="79"/>
      <c r="B226" s="79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43"/>
      <c r="T226" s="143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</row>
    <row r="227" ht="21.0" customHeight="1">
      <c r="A227" s="79"/>
      <c r="B227" s="79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43"/>
      <c r="T227" s="143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</row>
    <row r="228" ht="21.0" customHeight="1">
      <c r="A228" s="79"/>
      <c r="B228" s="79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43"/>
      <c r="T228" s="143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</row>
    <row r="229" ht="21.0" customHeight="1">
      <c r="A229" s="79"/>
      <c r="B229" s="79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43"/>
      <c r="T229" s="143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</row>
    <row r="230" ht="21.0" customHeight="1">
      <c r="A230" s="79"/>
      <c r="B230" s="79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43"/>
      <c r="T230" s="143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</row>
    <row r="231" ht="21.0" customHeight="1">
      <c r="A231" s="79"/>
      <c r="B231" s="79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43"/>
      <c r="T231" s="143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</row>
    <row r="232" ht="21.0" customHeight="1">
      <c r="A232" s="79"/>
      <c r="B232" s="79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43"/>
      <c r="T232" s="143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</row>
    <row r="233" ht="21.0" customHeight="1">
      <c r="A233" s="79"/>
      <c r="B233" s="79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43"/>
      <c r="T233" s="143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</row>
    <row r="234" ht="21.0" customHeight="1">
      <c r="A234" s="79"/>
      <c r="B234" s="79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43"/>
      <c r="T234" s="143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</row>
    <row r="235" ht="21.0" customHeight="1">
      <c r="A235" s="79"/>
      <c r="B235" s="79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43"/>
      <c r="T235" s="143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</row>
    <row r="236" ht="21.0" customHeight="1">
      <c r="A236" s="79"/>
      <c r="B236" s="79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43"/>
      <c r="T236" s="143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</row>
    <row r="237" ht="21.0" customHeight="1">
      <c r="A237" s="79"/>
      <c r="B237" s="79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43"/>
      <c r="T237" s="143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</row>
    <row r="238" ht="21.0" customHeight="1">
      <c r="A238" s="79"/>
      <c r="B238" s="79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43"/>
      <c r="T238" s="143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</row>
    <row r="239" ht="21.0" customHeight="1">
      <c r="A239" s="79"/>
      <c r="B239" s="79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43"/>
      <c r="T239" s="143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</row>
    <row r="240" ht="21.0" customHeight="1">
      <c r="A240" s="79"/>
      <c r="B240" s="79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43"/>
      <c r="T240" s="143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</row>
    <row r="241" ht="21.0" customHeight="1">
      <c r="A241" s="79"/>
      <c r="B241" s="79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43"/>
      <c r="T241" s="143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</row>
    <row r="242" ht="21.0" customHeight="1">
      <c r="A242" s="79"/>
      <c r="B242" s="79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43"/>
      <c r="T242" s="143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</row>
    <row r="243" ht="21.0" customHeight="1">
      <c r="A243" s="79"/>
      <c r="B243" s="79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43"/>
      <c r="T243" s="143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</row>
    <row r="244" ht="21.0" customHeight="1">
      <c r="A244" s="79"/>
      <c r="B244" s="79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43"/>
      <c r="T244" s="143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</row>
    <row r="245" ht="21.0" customHeight="1">
      <c r="A245" s="79"/>
      <c r="B245" s="79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43"/>
      <c r="T245" s="143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</row>
    <row r="246" ht="21.0" customHeight="1">
      <c r="A246" s="79"/>
      <c r="B246" s="79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43"/>
      <c r="T246" s="143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</row>
    <row r="247" ht="21.0" customHeight="1">
      <c r="A247" s="79"/>
      <c r="B247" s="79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43"/>
      <c r="T247" s="143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</row>
    <row r="248" ht="21.0" customHeight="1">
      <c r="A248" s="79"/>
      <c r="B248" s="7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43"/>
      <c r="T248" s="143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</row>
    <row r="249" ht="21.0" customHeight="1">
      <c r="A249" s="79"/>
      <c r="B249" s="7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43"/>
      <c r="T249" s="143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</row>
    <row r="250" ht="21.0" customHeight="1">
      <c r="A250" s="79"/>
      <c r="B250" s="7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43"/>
      <c r="T250" s="143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</row>
    <row r="251" ht="21.0" customHeight="1">
      <c r="A251" s="79"/>
      <c r="B251" s="7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43"/>
      <c r="T251" s="143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</row>
    <row r="252" ht="21.0" customHeight="1">
      <c r="A252" s="79"/>
      <c r="B252" s="79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43"/>
      <c r="T252" s="143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</row>
    <row r="253" ht="21.0" customHeight="1">
      <c r="A253" s="79"/>
      <c r="B253" s="79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43"/>
      <c r="T253" s="143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</row>
    <row r="254" ht="21.0" customHeight="1">
      <c r="A254" s="79"/>
      <c r="B254" s="79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43"/>
      <c r="T254" s="143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</row>
    <row r="255" ht="21.0" customHeight="1">
      <c r="A255" s="79"/>
      <c r="B255" s="79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43"/>
      <c r="T255" s="143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</row>
    <row r="256" ht="21.0" customHeight="1">
      <c r="A256" s="79"/>
      <c r="B256" s="79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43"/>
      <c r="T256" s="143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</row>
    <row r="257" ht="21.0" customHeight="1">
      <c r="A257" s="79"/>
      <c r="B257" s="79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43"/>
      <c r="T257" s="143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</row>
    <row r="258" ht="21.0" customHeight="1">
      <c r="A258" s="79"/>
      <c r="B258" s="79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43"/>
      <c r="T258" s="143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</row>
    <row r="259" ht="21.0" customHeight="1">
      <c r="A259" s="79"/>
      <c r="B259" s="79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43"/>
      <c r="T259" s="143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</row>
    <row r="260" ht="21.0" customHeight="1">
      <c r="A260" s="79"/>
      <c r="B260" s="79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43"/>
      <c r="T260" s="143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</row>
    <row r="261" ht="21.0" customHeight="1">
      <c r="A261" s="79"/>
      <c r="B261" s="79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43"/>
      <c r="T261" s="143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</row>
    <row r="262" ht="21.0" customHeight="1">
      <c r="A262" s="79"/>
      <c r="B262" s="79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43"/>
      <c r="T262" s="143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</row>
    <row r="263" ht="21.0" customHeight="1">
      <c r="A263" s="79"/>
      <c r="B263" s="79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43"/>
      <c r="T263" s="143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</row>
    <row r="264" ht="21.0" customHeight="1">
      <c r="A264" s="79"/>
      <c r="B264" s="79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43"/>
      <c r="T264" s="143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</row>
    <row r="265" ht="21.0" customHeight="1">
      <c r="A265" s="79"/>
      <c r="B265" s="79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43"/>
      <c r="T265" s="143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</row>
    <row r="266" ht="21.0" customHeight="1">
      <c r="A266" s="79"/>
      <c r="B266" s="79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43"/>
      <c r="T266" s="143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</row>
    <row r="267" ht="21.0" customHeight="1">
      <c r="A267" s="79"/>
      <c r="B267" s="79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43"/>
      <c r="T267" s="143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</row>
    <row r="268" ht="21.0" customHeight="1">
      <c r="A268" s="79"/>
      <c r="B268" s="79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43"/>
      <c r="T268" s="143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</row>
    <row r="269" ht="21.0" customHeight="1">
      <c r="A269" s="79"/>
      <c r="B269" s="79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43"/>
      <c r="T269" s="143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</row>
    <row r="270" ht="21.0" customHeight="1">
      <c r="A270" s="79"/>
      <c r="B270" s="79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43"/>
      <c r="T270" s="143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</row>
    <row r="271" ht="21.0" customHeight="1">
      <c r="A271" s="79"/>
      <c r="B271" s="79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43"/>
      <c r="T271" s="143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</row>
    <row r="272" ht="21.0" customHeight="1">
      <c r="A272" s="79"/>
      <c r="B272" s="79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43"/>
      <c r="T272" s="143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</row>
    <row r="273" ht="21.0" customHeight="1">
      <c r="A273" s="79"/>
      <c r="B273" s="79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43"/>
      <c r="T273" s="143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</row>
    <row r="274" ht="21.0" customHeight="1">
      <c r="A274" s="79"/>
      <c r="B274" s="79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43"/>
      <c r="T274" s="143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</row>
    <row r="275" ht="21.0" customHeight="1">
      <c r="A275" s="79"/>
      <c r="B275" s="79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43"/>
      <c r="T275" s="143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</row>
    <row r="276" ht="21.0" customHeight="1">
      <c r="A276" s="79"/>
      <c r="B276" s="79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43"/>
      <c r="T276" s="143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</row>
    <row r="277" ht="21.0" customHeight="1">
      <c r="A277" s="79"/>
      <c r="B277" s="79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43"/>
      <c r="T277" s="143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</row>
    <row r="278" ht="21.0" customHeight="1">
      <c r="A278" s="79"/>
      <c r="B278" s="79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43"/>
      <c r="T278" s="143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</row>
    <row r="279" ht="21.0" customHeight="1">
      <c r="A279" s="79"/>
      <c r="B279" s="79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43"/>
      <c r="T279" s="143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</row>
    <row r="280" ht="21.0" customHeight="1">
      <c r="A280" s="79"/>
      <c r="B280" s="79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43"/>
      <c r="T280" s="143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</row>
    <row r="281" ht="21.0" customHeight="1">
      <c r="A281" s="79"/>
      <c r="B281" s="79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43"/>
      <c r="T281" s="143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</row>
    <row r="282" ht="21.0" customHeight="1">
      <c r="A282" s="79"/>
      <c r="B282" s="79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43"/>
      <c r="T282" s="143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</row>
    <row r="283" ht="21.0" customHeight="1">
      <c r="A283" s="79"/>
      <c r="B283" s="79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43"/>
      <c r="T283" s="143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</row>
    <row r="284" ht="21.0" customHeight="1">
      <c r="A284" s="79"/>
      <c r="B284" s="79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43"/>
      <c r="T284" s="143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</row>
    <row r="285" ht="21.0" customHeight="1">
      <c r="A285" s="79"/>
      <c r="B285" s="79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43"/>
      <c r="T285" s="143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</row>
    <row r="286" ht="21.0" customHeight="1">
      <c r="A286" s="79"/>
      <c r="B286" s="79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43"/>
      <c r="T286" s="143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</row>
    <row r="287" ht="21.0" customHeight="1">
      <c r="A287" s="79"/>
      <c r="B287" s="79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43"/>
      <c r="T287" s="143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</row>
    <row r="288" ht="21.0" customHeight="1">
      <c r="A288" s="79"/>
      <c r="B288" s="79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43"/>
      <c r="T288" s="143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</row>
    <row r="289" ht="21.0" customHeight="1">
      <c r="A289" s="79"/>
      <c r="B289" s="79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43"/>
      <c r="T289" s="143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</row>
    <row r="290" ht="21.0" customHeight="1">
      <c r="A290" s="79"/>
      <c r="B290" s="79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43"/>
      <c r="T290" s="143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</row>
    <row r="291" ht="21.0" customHeight="1">
      <c r="A291" s="79"/>
      <c r="B291" s="79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43"/>
      <c r="T291" s="143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</row>
    <row r="292" ht="21.0" customHeight="1">
      <c r="A292" s="79"/>
      <c r="B292" s="79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43"/>
      <c r="T292" s="143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</row>
    <row r="293" ht="21.0" customHeight="1">
      <c r="A293" s="79"/>
      <c r="B293" s="79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43"/>
      <c r="T293" s="143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</row>
    <row r="294" ht="21.0" customHeight="1">
      <c r="A294" s="79"/>
      <c r="B294" s="79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43"/>
      <c r="T294" s="143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</row>
    <row r="295" ht="21.0" customHeight="1">
      <c r="A295" s="79"/>
      <c r="B295" s="79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43"/>
      <c r="T295" s="143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</row>
    <row r="296" ht="21.0" customHeight="1">
      <c r="A296" s="79"/>
      <c r="B296" s="79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43"/>
      <c r="T296" s="143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</row>
    <row r="297" ht="21.0" customHeight="1">
      <c r="A297" s="79"/>
      <c r="B297" s="79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43"/>
      <c r="T297" s="143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</row>
    <row r="298" ht="21.0" customHeight="1">
      <c r="A298" s="79"/>
      <c r="B298" s="79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43"/>
      <c r="T298" s="143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</row>
    <row r="299" ht="21.0" customHeight="1">
      <c r="A299" s="79"/>
      <c r="B299" s="79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43"/>
      <c r="T299" s="143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</row>
    <row r="300" ht="21.0" customHeight="1">
      <c r="A300" s="79"/>
      <c r="B300" s="79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43"/>
      <c r="T300" s="143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</row>
    <row r="301" ht="21.0" customHeight="1">
      <c r="A301" s="79"/>
      <c r="B301" s="79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43"/>
      <c r="T301" s="143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</row>
    <row r="302" ht="21.0" customHeight="1">
      <c r="A302" s="79"/>
      <c r="B302" s="79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43"/>
      <c r="T302" s="143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</row>
    <row r="303" ht="21.0" customHeight="1">
      <c r="A303" s="79"/>
      <c r="B303" s="79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43"/>
      <c r="T303" s="143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</row>
    <row r="304" ht="21.0" customHeight="1">
      <c r="A304" s="79"/>
      <c r="B304" s="79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43"/>
      <c r="T304" s="143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</row>
    <row r="305" ht="21.0" customHeight="1">
      <c r="A305" s="79"/>
      <c r="B305" s="79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43"/>
      <c r="T305" s="143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</row>
    <row r="306" ht="21.0" customHeight="1">
      <c r="A306" s="79"/>
      <c r="B306" s="79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43"/>
      <c r="T306" s="143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</row>
    <row r="307" ht="21.0" customHeight="1">
      <c r="A307" s="79"/>
      <c r="B307" s="79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43"/>
      <c r="T307" s="143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</row>
    <row r="308" ht="21.0" customHeight="1">
      <c r="A308" s="79"/>
      <c r="B308" s="79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43"/>
      <c r="T308" s="143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</row>
    <row r="309" ht="21.0" customHeight="1">
      <c r="A309" s="79"/>
      <c r="B309" s="79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43"/>
      <c r="T309" s="143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</row>
    <row r="310" ht="21.0" customHeight="1">
      <c r="A310" s="79"/>
      <c r="B310" s="79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43"/>
      <c r="T310" s="143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</row>
    <row r="311" ht="21.0" customHeight="1">
      <c r="A311" s="79"/>
      <c r="B311" s="79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43"/>
      <c r="T311" s="143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</row>
    <row r="312" ht="21.0" customHeight="1">
      <c r="A312" s="79"/>
      <c r="B312" s="79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43"/>
      <c r="T312" s="143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</row>
    <row r="313" ht="21.0" customHeight="1">
      <c r="A313" s="79"/>
      <c r="B313" s="79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43"/>
      <c r="T313" s="143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</row>
    <row r="314" ht="21.0" customHeight="1">
      <c r="A314" s="79"/>
      <c r="B314" s="79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43"/>
      <c r="T314" s="143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</row>
    <row r="315" ht="21.0" customHeight="1">
      <c r="A315" s="79"/>
      <c r="B315" s="79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43"/>
      <c r="T315" s="143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</row>
    <row r="316" ht="21.0" customHeight="1">
      <c r="A316" s="79"/>
      <c r="B316" s="79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43"/>
      <c r="T316" s="143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</row>
    <row r="317" ht="21.0" customHeight="1">
      <c r="A317" s="79"/>
      <c r="B317" s="79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43"/>
      <c r="T317" s="143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</row>
    <row r="318" ht="21.0" customHeight="1">
      <c r="A318" s="79"/>
      <c r="B318" s="79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43"/>
      <c r="T318" s="143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</row>
    <row r="319" ht="21.0" customHeight="1">
      <c r="A319" s="79"/>
      <c r="B319" s="79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43"/>
      <c r="T319" s="143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</row>
    <row r="320" ht="21.0" customHeight="1">
      <c r="A320" s="79"/>
      <c r="B320" s="79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43"/>
      <c r="T320" s="143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</row>
    <row r="321" ht="21.0" customHeight="1">
      <c r="A321" s="79"/>
      <c r="B321" s="79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43"/>
      <c r="T321" s="143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</row>
    <row r="322" ht="21.0" customHeight="1">
      <c r="A322" s="79"/>
      <c r="B322" s="79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43"/>
      <c r="T322" s="143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</row>
    <row r="323" ht="21.0" customHeight="1">
      <c r="A323" s="79"/>
      <c r="B323" s="79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43"/>
      <c r="T323" s="143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</row>
    <row r="324" ht="21.0" customHeight="1">
      <c r="A324" s="79"/>
      <c r="B324" s="79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43"/>
      <c r="T324" s="143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</row>
    <row r="325" ht="21.0" customHeight="1">
      <c r="A325" s="79"/>
      <c r="B325" s="79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43"/>
      <c r="T325" s="143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</row>
    <row r="326" ht="21.0" customHeight="1">
      <c r="A326" s="79"/>
      <c r="B326" s="79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43"/>
      <c r="T326" s="143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</row>
    <row r="327" ht="21.0" customHeight="1">
      <c r="A327" s="79"/>
      <c r="B327" s="79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43"/>
      <c r="T327" s="143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</row>
    <row r="328" ht="21.0" customHeight="1">
      <c r="A328" s="79"/>
      <c r="B328" s="79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43"/>
      <c r="T328" s="143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</row>
    <row r="329" ht="21.0" customHeight="1">
      <c r="A329" s="79"/>
      <c r="B329" s="79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43"/>
      <c r="T329" s="143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</row>
    <row r="330" ht="21.0" customHeight="1">
      <c r="A330" s="79"/>
      <c r="B330" s="79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43"/>
      <c r="T330" s="143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</row>
    <row r="331" ht="21.0" customHeight="1">
      <c r="A331" s="79"/>
      <c r="B331" s="79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43"/>
      <c r="T331" s="143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</row>
    <row r="332" ht="21.0" customHeight="1">
      <c r="A332" s="79"/>
      <c r="B332" s="79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43"/>
      <c r="T332" s="143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</row>
    <row r="333" ht="21.0" customHeight="1">
      <c r="A333" s="79"/>
      <c r="B333" s="79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43"/>
      <c r="T333" s="143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</row>
    <row r="334" ht="21.0" customHeight="1">
      <c r="A334" s="79"/>
      <c r="B334" s="79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43"/>
      <c r="T334" s="143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</row>
    <row r="335" ht="21.0" customHeight="1">
      <c r="A335" s="79"/>
      <c r="B335" s="79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43"/>
      <c r="T335" s="143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</row>
    <row r="336" ht="21.0" customHeight="1">
      <c r="A336" s="79"/>
      <c r="B336" s="79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43"/>
      <c r="T336" s="143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</row>
    <row r="337" ht="21.0" customHeight="1">
      <c r="A337" s="79"/>
      <c r="B337" s="79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43"/>
      <c r="T337" s="143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</row>
    <row r="338" ht="21.0" customHeight="1">
      <c r="A338" s="79"/>
      <c r="B338" s="79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43"/>
      <c r="T338" s="143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</row>
    <row r="339" ht="21.0" customHeight="1">
      <c r="A339" s="79"/>
      <c r="B339" s="79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43"/>
      <c r="T339" s="143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</row>
    <row r="340" ht="21.0" customHeight="1">
      <c r="A340" s="79"/>
      <c r="B340" s="79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43"/>
      <c r="T340" s="143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</row>
    <row r="341" ht="21.0" customHeight="1">
      <c r="A341" s="79"/>
      <c r="B341" s="79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43"/>
      <c r="T341" s="143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</row>
    <row r="342" ht="21.0" customHeight="1">
      <c r="A342" s="79"/>
      <c r="B342" s="79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43"/>
      <c r="T342" s="143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</row>
    <row r="343" ht="21.0" customHeight="1">
      <c r="A343" s="79"/>
      <c r="B343" s="79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43"/>
      <c r="T343" s="143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</row>
    <row r="344" ht="21.0" customHeight="1">
      <c r="A344" s="79"/>
      <c r="B344" s="79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43"/>
      <c r="T344" s="143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</row>
    <row r="345" ht="21.0" customHeight="1">
      <c r="A345" s="79"/>
      <c r="B345" s="79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43"/>
      <c r="T345" s="143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</row>
    <row r="346" ht="21.0" customHeight="1">
      <c r="A346" s="79"/>
      <c r="B346" s="79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43"/>
      <c r="T346" s="143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</row>
    <row r="347" ht="21.0" customHeight="1">
      <c r="A347" s="79"/>
      <c r="B347" s="79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43"/>
      <c r="T347" s="143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</row>
    <row r="348" ht="21.0" customHeight="1">
      <c r="A348" s="79"/>
      <c r="B348" s="79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43"/>
      <c r="T348" s="143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</row>
    <row r="349" ht="21.0" customHeight="1">
      <c r="A349" s="79"/>
      <c r="B349" s="79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43"/>
      <c r="T349" s="143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</row>
    <row r="350" ht="21.0" customHeight="1">
      <c r="A350" s="79"/>
      <c r="B350" s="79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43"/>
      <c r="T350" s="143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</row>
    <row r="351" ht="21.0" customHeight="1">
      <c r="A351" s="79"/>
      <c r="B351" s="79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43"/>
      <c r="T351" s="143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</row>
    <row r="352" ht="21.0" customHeight="1">
      <c r="A352" s="79"/>
      <c r="B352" s="79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43"/>
      <c r="T352" s="143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</row>
    <row r="353" ht="21.0" customHeight="1">
      <c r="A353" s="79"/>
      <c r="B353" s="79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43"/>
      <c r="T353" s="143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</row>
    <row r="354" ht="21.0" customHeight="1">
      <c r="A354" s="79"/>
      <c r="B354" s="79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43"/>
      <c r="T354" s="143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</row>
    <row r="355" ht="21.0" customHeight="1">
      <c r="A355" s="79"/>
      <c r="B355" s="79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43"/>
      <c r="T355" s="143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</row>
    <row r="356" ht="21.0" customHeight="1">
      <c r="A356" s="79"/>
      <c r="B356" s="79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43"/>
      <c r="T356" s="143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</row>
    <row r="357" ht="21.0" customHeight="1">
      <c r="A357" s="79"/>
      <c r="B357" s="79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43"/>
      <c r="T357" s="143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</row>
    <row r="358" ht="21.0" customHeight="1">
      <c r="A358" s="79"/>
      <c r="B358" s="79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43"/>
      <c r="T358" s="143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</row>
    <row r="359" ht="21.0" customHeight="1">
      <c r="A359" s="79"/>
      <c r="B359" s="79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43"/>
      <c r="T359" s="143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</row>
    <row r="360" ht="21.0" customHeight="1">
      <c r="A360" s="79"/>
      <c r="B360" s="79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43"/>
      <c r="T360" s="143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</row>
    <row r="361" ht="21.0" customHeight="1">
      <c r="A361" s="79"/>
      <c r="B361" s="79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43"/>
      <c r="T361" s="143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</row>
    <row r="362" ht="21.0" customHeight="1">
      <c r="A362" s="79"/>
      <c r="B362" s="79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43"/>
      <c r="T362" s="143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</row>
    <row r="363" ht="21.0" customHeight="1">
      <c r="A363" s="79"/>
      <c r="B363" s="79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43"/>
      <c r="T363" s="143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</row>
    <row r="364" ht="21.0" customHeight="1">
      <c r="A364" s="79"/>
      <c r="B364" s="79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43"/>
      <c r="T364" s="143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</row>
    <row r="365" ht="21.0" customHeight="1">
      <c r="A365" s="79"/>
      <c r="B365" s="79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43"/>
      <c r="T365" s="143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</row>
    <row r="366" ht="21.0" customHeight="1">
      <c r="A366" s="79"/>
      <c r="B366" s="79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43"/>
      <c r="T366" s="143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</row>
    <row r="367" ht="21.0" customHeight="1">
      <c r="A367" s="79"/>
      <c r="B367" s="79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43"/>
      <c r="T367" s="143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</row>
    <row r="368" ht="21.0" customHeight="1">
      <c r="A368" s="79"/>
      <c r="B368" s="79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43"/>
      <c r="T368" s="143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</row>
    <row r="369" ht="21.0" customHeight="1">
      <c r="A369" s="79"/>
      <c r="B369" s="79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43"/>
      <c r="T369" s="143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</row>
    <row r="370" ht="21.0" customHeight="1">
      <c r="A370" s="79"/>
      <c r="B370" s="79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43"/>
      <c r="T370" s="143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</row>
    <row r="371" ht="21.0" customHeight="1">
      <c r="A371" s="79"/>
      <c r="B371" s="79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43"/>
      <c r="T371" s="143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</row>
    <row r="372" ht="21.0" customHeight="1">
      <c r="A372" s="79"/>
      <c r="B372" s="79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43"/>
      <c r="T372" s="143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</row>
    <row r="373" ht="21.0" customHeight="1">
      <c r="A373" s="79"/>
      <c r="B373" s="79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43"/>
      <c r="T373" s="143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</row>
    <row r="374" ht="21.0" customHeight="1">
      <c r="A374" s="79"/>
      <c r="B374" s="79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43"/>
      <c r="T374" s="143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</row>
    <row r="375" ht="21.0" customHeight="1">
      <c r="A375" s="79"/>
      <c r="B375" s="79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43"/>
      <c r="T375" s="143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</row>
    <row r="376" ht="21.0" customHeight="1">
      <c r="A376" s="79"/>
      <c r="B376" s="79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43"/>
      <c r="T376" s="143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</row>
    <row r="377" ht="21.0" customHeight="1">
      <c r="A377" s="79"/>
      <c r="B377" s="79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43"/>
      <c r="T377" s="143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</row>
    <row r="378" ht="21.0" customHeight="1">
      <c r="A378" s="79"/>
      <c r="B378" s="79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43"/>
      <c r="T378" s="143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</row>
    <row r="379" ht="21.0" customHeight="1">
      <c r="A379" s="79"/>
      <c r="B379" s="79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43"/>
      <c r="T379" s="143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</row>
    <row r="380" ht="21.0" customHeight="1">
      <c r="A380" s="79"/>
      <c r="B380" s="79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43"/>
      <c r="T380" s="143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</row>
    <row r="381" ht="21.0" customHeight="1">
      <c r="A381" s="79"/>
      <c r="B381" s="79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43"/>
      <c r="T381" s="143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</row>
    <row r="382" ht="21.0" customHeight="1">
      <c r="A382" s="79"/>
      <c r="B382" s="79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43"/>
      <c r="T382" s="143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</row>
    <row r="383" ht="21.0" customHeight="1">
      <c r="A383" s="79"/>
      <c r="B383" s="79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43"/>
      <c r="T383" s="143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</row>
    <row r="384" ht="21.0" customHeight="1">
      <c r="A384" s="79"/>
      <c r="B384" s="79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43"/>
      <c r="T384" s="143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</row>
    <row r="385" ht="21.0" customHeight="1">
      <c r="A385" s="79"/>
      <c r="B385" s="79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43"/>
      <c r="T385" s="143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</row>
    <row r="386" ht="21.0" customHeight="1">
      <c r="A386" s="79"/>
      <c r="B386" s="79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43"/>
      <c r="T386" s="143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</row>
    <row r="387" ht="21.0" customHeight="1">
      <c r="A387" s="79"/>
      <c r="B387" s="79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43"/>
      <c r="T387" s="143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</row>
    <row r="388" ht="21.0" customHeight="1">
      <c r="A388" s="79"/>
      <c r="B388" s="79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43"/>
      <c r="T388" s="143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</row>
    <row r="389" ht="21.0" customHeight="1">
      <c r="A389" s="79"/>
      <c r="B389" s="79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43"/>
      <c r="T389" s="143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</row>
    <row r="390" ht="21.0" customHeight="1">
      <c r="A390" s="79"/>
      <c r="B390" s="79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43"/>
      <c r="T390" s="143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</row>
    <row r="391" ht="21.0" customHeight="1">
      <c r="A391" s="79"/>
      <c r="B391" s="79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43"/>
      <c r="T391" s="143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</row>
    <row r="392" ht="21.0" customHeight="1">
      <c r="A392" s="79"/>
      <c r="B392" s="79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43"/>
      <c r="T392" s="143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</row>
    <row r="393" ht="21.0" customHeight="1">
      <c r="A393" s="79"/>
      <c r="B393" s="79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43"/>
      <c r="T393" s="143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</row>
    <row r="394" ht="21.0" customHeight="1">
      <c r="A394" s="79"/>
      <c r="B394" s="79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43"/>
      <c r="T394" s="143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</row>
    <row r="395" ht="21.0" customHeight="1">
      <c r="A395" s="79"/>
      <c r="B395" s="79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43"/>
      <c r="T395" s="143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</row>
    <row r="396" ht="21.0" customHeight="1">
      <c r="A396" s="79"/>
      <c r="B396" s="79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43"/>
      <c r="T396" s="143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</row>
    <row r="397" ht="21.0" customHeight="1">
      <c r="A397" s="79"/>
      <c r="B397" s="79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43"/>
      <c r="T397" s="143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</row>
    <row r="398" ht="21.0" customHeight="1">
      <c r="A398" s="79"/>
      <c r="B398" s="79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43"/>
      <c r="T398" s="143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</row>
    <row r="399" ht="21.0" customHeight="1">
      <c r="A399" s="79"/>
      <c r="B399" s="79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43"/>
      <c r="T399" s="143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</row>
    <row r="400" ht="21.0" customHeight="1">
      <c r="A400" s="79"/>
      <c r="B400" s="79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43"/>
      <c r="T400" s="143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</row>
    <row r="401" ht="21.0" customHeight="1">
      <c r="A401" s="79"/>
      <c r="B401" s="79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43"/>
      <c r="T401" s="143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</row>
    <row r="402" ht="21.0" customHeight="1">
      <c r="A402" s="79"/>
      <c r="B402" s="79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43"/>
      <c r="T402" s="143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</row>
    <row r="403" ht="21.0" customHeight="1">
      <c r="A403" s="79"/>
      <c r="B403" s="79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43"/>
      <c r="T403" s="143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</row>
    <row r="404" ht="21.0" customHeight="1">
      <c r="A404" s="79"/>
      <c r="B404" s="79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43"/>
      <c r="T404" s="143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</row>
    <row r="405" ht="21.0" customHeight="1">
      <c r="A405" s="79"/>
      <c r="B405" s="79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43"/>
      <c r="T405" s="143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</row>
    <row r="406" ht="21.0" customHeight="1">
      <c r="A406" s="79"/>
      <c r="B406" s="79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43"/>
      <c r="T406" s="143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</row>
    <row r="407" ht="21.0" customHeight="1">
      <c r="A407" s="79"/>
      <c r="B407" s="79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43"/>
      <c r="T407" s="143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</row>
    <row r="408" ht="21.0" customHeight="1">
      <c r="A408" s="79"/>
      <c r="B408" s="79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43"/>
      <c r="T408" s="143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</row>
    <row r="409" ht="21.0" customHeight="1">
      <c r="A409" s="79"/>
      <c r="B409" s="79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43"/>
      <c r="T409" s="143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</row>
    <row r="410" ht="21.0" customHeight="1">
      <c r="A410" s="79"/>
      <c r="B410" s="79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43"/>
      <c r="T410" s="143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</row>
    <row r="411" ht="21.0" customHeight="1">
      <c r="A411" s="79"/>
      <c r="B411" s="79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43"/>
      <c r="T411" s="143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</row>
    <row r="412" ht="21.0" customHeight="1">
      <c r="A412" s="79"/>
      <c r="B412" s="79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43"/>
      <c r="T412" s="143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</row>
    <row r="413" ht="21.0" customHeight="1">
      <c r="A413" s="79"/>
      <c r="B413" s="79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43"/>
      <c r="T413" s="143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</row>
    <row r="414" ht="21.0" customHeight="1">
      <c r="A414" s="79"/>
      <c r="B414" s="79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43"/>
      <c r="T414" s="143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</row>
    <row r="415" ht="21.0" customHeight="1">
      <c r="A415" s="79"/>
      <c r="B415" s="79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43"/>
      <c r="T415" s="143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</row>
    <row r="416" ht="21.0" customHeight="1">
      <c r="A416" s="79"/>
      <c r="B416" s="79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43"/>
      <c r="T416" s="143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</row>
    <row r="417" ht="21.0" customHeight="1">
      <c r="A417" s="79"/>
      <c r="B417" s="79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43"/>
      <c r="T417" s="143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</row>
    <row r="418" ht="21.0" customHeight="1">
      <c r="A418" s="79"/>
      <c r="B418" s="79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43"/>
      <c r="T418" s="143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</row>
    <row r="419" ht="21.0" customHeight="1">
      <c r="A419" s="79"/>
      <c r="B419" s="79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43"/>
      <c r="T419" s="143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</row>
    <row r="420" ht="21.0" customHeight="1">
      <c r="A420" s="79"/>
      <c r="B420" s="79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43"/>
      <c r="T420" s="143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</row>
    <row r="421" ht="21.0" customHeight="1">
      <c r="A421" s="79"/>
      <c r="B421" s="79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43"/>
      <c r="T421" s="143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</row>
    <row r="422" ht="21.0" customHeight="1">
      <c r="A422" s="79"/>
      <c r="B422" s="79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43"/>
      <c r="T422" s="143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</row>
    <row r="423" ht="21.0" customHeight="1">
      <c r="A423" s="79"/>
      <c r="B423" s="79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43"/>
      <c r="T423" s="143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</row>
    <row r="424" ht="21.0" customHeight="1">
      <c r="A424" s="79"/>
      <c r="B424" s="79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43"/>
      <c r="T424" s="143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</row>
    <row r="425" ht="21.0" customHeight="1">
      <c r="A425" s="79"/>
      <c r="B425" s="79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43"/>
      <c r="T425" s="143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</row>
    <row r="426" ht="21.0" customHeight="1">
      <c r="A426" s="79"/>
      <c r="B426" s="79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43"/>
      <c r="T426" s="143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</row>
    <row r="427" ht="21.0" customHeight="1">
      <c r="A427" s="79"/>
      <c r="B427" s="79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43"/>
      <c r="T427" s="143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</row>
    <row r="428" ht="21.0" customHeight="1">
      <c r="A428" s="79"/>
      <c r="B428" s="79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43"/>
      <c r="T428" s="143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</row>
    <row r="429" ht="21.0" customHeight="1">
      <c r="A429" s="79"/>
      <c r="B429" s="79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43"/>
      <c r="T429" s="143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</row>
    <row r="430" ht="21.0" customHeight="1">
      <c r="A430" s="79"/>
      <c r="B430" s="79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43"/>
      <c r="T430" s="143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</row>
    <row r="431" ht="21.0" customHeight="1">
      <c r="A431" s="79"/>
      <c r="B431" s="79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43"/>
      <c r="T431" s="143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</row>
    <row r="432" ht="21.0" customHeight="1">
      <c r="A432" s="79"/>
      <c r="B432" s="79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43"/>
      <c r="T432" s="143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</row>
    <row r="433" ht="21.0" customHeight="1">
      <c r="A433" s="79"/>
      <c r="B433" s="79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43"/>
      <c r="T433" s="143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</row>
    <row r="434" ht="21.0" customHeight="1">
      <c r="A434" s="79"/>
      <c r="B434" s="79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43"/>
      <c r="T434" s="143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</row>
    <row r="435" ht="21.0" customHeight="1">
      <c r="A435" s="79"/>
      <c r="B435" s="79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43"/>
      <c r="T435" s="143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</row>
    <row r="436" ht="21.0" customHeight="1">
      <c r="A436" s="79"/>
      <c r="B436" s="79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43"/>
      <c r="T436" s="143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</row>
    <row r="437" ht="21.0" customHeight="1">
      <c r="A437" s="79"/>
      <c r="B437" s="79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43"/>
      <c r="T437" s="143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</row>
    <row r="438" ht="21.0" customHeight="1">
      <c r="A438" s="79"/>
      <c r="B438" s="79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43"/>
      <c r="T438" s="143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</row>
    <row r="439" ht="21.0" customHeight="1">
      <c r="A439" s="79"/>
      <c r="B439" s="79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43"/>
      <c r="T439" s="143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</row>
    <row r="440" ht="21.0" customHeight="1">
      <c r="A440" s="79"/>
      <c r="B440" s="79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43"/>
      <c r="T440" s="143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</row>
    <row r="441" ht="21.0" customHeight="1">
      <c r="A441" s="79"/>
      <c r="B441" s="79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43"/>
      <c r="T441" s="143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</row>
    <row r="442" ht="21.0" customHeight="1">
      <c r="A442" s="79"/>
      <c r="B442" s="79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43"/>
      <c r="T442" s="143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</row>
    <row r="443" ht="21.0" customHeight="1">
      <c r="A443" s="79"/>
      <c r="B443" s="79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43"/>
      <c r="T443" s="143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</row>
    <row r="444" ht="21.0" customHeight="1">
      <c r="A444" s="79"/>
      <c r="B444" s="79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43"/>
      <c r="T444" s="143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</row>
    <row r="445" ht="21.0" customHeight="1">
      <c r="A445" s="79"/>
      <c r="B445" s="79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43"/>
      <c r="T445" s="143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</row>
    <row r="446" ht="21.0" customHeight="1">
      <c r="A446" s="79"/>
      <c r="B446" s="79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43"/>
      <c r="T446" s="143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</row>
    <row r="447" ht="21.0" customHeight="1">
      <c r="A447" s="79"/>
      <c r="B447" s="79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43"/>
      <c r="T447" s="143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</row>
    <row r="448" ht="21.0" customHeight="1">
      <c r="A448" s="79"/>
      <c r="B448" s="79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43"/>
      <c r="T448" s="143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</row>
    <row r="449" ht="21.0" customHeight="1">
      <c r="A449" s="79"/>
      <c r="B449" s="79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43"/>
      <c r="T449" s="143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</row>
    <row r="450" ht="21.0" customHeight="1">
      <c r="A450" s="79"/>
      <c r="B450" s="79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43"/>
      <c r="T450" s="143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</row>
    <row r="451" ht="21.0" customHeight="1">
      <c r="A451" s="79"/>
      <c r="B451" s="79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43"/>
      <c r="T451" s="143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</row>
    <row r="452" ht="21.0" customHeight="1">
      <c r="A452" s="79"/>
      <c r="B452" s="79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43"/>
      <c r="T452" s="143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</row>
    <row r="453" ht="21.0" customHeight="1">
      <c r="A453" s="79"/>
      <c r="B453" s="79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43"/>
      <c r="T453" s="143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</row>
    <row r="454" ht="21.0" customHeight="1">
      <c r="A454" s="79"/>
      <c r="B454" s="79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43"/>
      <c r="T454" s="143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</row>
    <row r="455" ht="21.0" customHeight="1">
      <c r="A455" s="79"/>
      <c r="B455" s="79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43"/>
      <c r="T455" s="143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</row>
    <row r="456" ht="21.0" customHeight="1">
      <c r="A456" s="79"/>
      <c r="B456" s="79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43"/>
      <c r="T456" s="143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</row>
    <row r="457" ht="21.0" customHeight="1">
      <c r="A457" s="79"/>
      <c r="B457" s="79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43"/>
      <c r="T457" s="143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</row>
    <row r="458" ht="21.0" customHeight="1">
      <c r="A458" s="79"/>
      <c r="B458" s="79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43"/>
      <c r="T458" s="143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</row>
    <row r="459" ht="21.0" customHeight="1">
      <c r="A459" s="79"/>
      <c r="B459" s="79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43"/>
      <c r="T459" s="143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</row>
    <row r="460" ht="21.0" customHeight="1">
      <c r="A460" s="79"/>
      <c r="B460" s="79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43"/>
      <c r="T460" s="143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</row>
    <row r="461" ht="21.0" customHeight="1">
      <c r="A461" s="79"/>
      <c r="B461" s="79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43"/>
      <c r="T461" s="143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</row>
    <row r="462" ht="21.0" customHeight="1">
      <c r="A462" s="79"/>
      <c r="B462" s="79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43"/>
      <c r="T462" s="143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</row>
    <row r="463" ht="21.0" customHeight="1">
      <c r="A463" s="79"/>
      <c r="B463" s="79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43"/>
      <c r="T463" s="143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</row>
    <row r="464" ht="21.0" customHeight="1">
      <c r="A464" s="79"/>
      <c r="B464" s="79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43"/>
      <c r="T464" s="143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</row>
    <row r="465" ht="21.0" customHeight="1">
      <c r="A465" s="79"/>
      <c r="B465" s="79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43"/>
      <c r="T465" s="143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</row>
    <row r="466" ht="21.0" customHeight="1">
      <c r="A466" s="79"/>
      <c r="B466" s="79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43"/>
      <c r="T466" s="143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</row>
    <row r="467" ht="21.0" customHeight="1">
      <c r="A467" s="79"/>
      <c r="B467" s="79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43"/>
      <c r="T467" s="143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</row>
    <row r="468" ht="21.0" customHeight="1">
      <c r="A468" s="79"/>
      <c r="B468" s="79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43"/>
      <c r="T468" s="143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</row>
    <row r="469" ht="21.0" customHeight="1">
      <c r="A469" s="79"/>
      <c r="B469" s="79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43"/>
      <c r="T469" s="143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</row>
    <row r="470" ht="21.0" customHeight="1">
      <c r="A470" s="79"/>
      <c r="B470" s="79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43"/>
      <c r="T470" s="143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</row>
    <row r="471" ht="21.0" customHeight="1">
      <c r="A471" s="79"/>
      <c r="B471" s="79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43"/>
      <c r="T471" s="143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</row>
    <row r="472" ht="21.0" customHeight="1">
      <c r="A472" s="79"/>
      <c r="B472" s="79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43"/>
      <c r="T472" s="143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</row>
    <row r="473" ht="21.0" customHeight="1">
      <c r="A473" s="79"/>
      <c r="B473" s="79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43"/>
      <c r="T473" s="143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</row>
    <row r="474" ht="21.0" customHeight="1">
      <c r="A474" s="79"/>
      <c r="B474" s="79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43"/>
      <c r="T474" s="143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</row>
    <row r="475" ht="21.0" customHeight="1">
      <c r="A475" s="79"/>
      <c r="B475" s="79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43"/>
      <c r="T475" s="143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</row>
    <row r="476" ht="21.0" customHeight="1">
      <c r="A476" s="79"/>
      <c r="B476" s="79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43"/>
      <c r="T476" s="143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</row>
    <row r="477" ht="21.0" customHeight="1">
      <c r="A477" s="79"/>
      <c r="B477" s="79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43"/>
      <c r="T477" s="143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</row>
    <row r="478" ht="21.0" customHeight="1">
      <c r="A478" s="79"/>
      <c r="B478" s="79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43"/>
      <c r="T478" s="143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</row>
    <row r="479" ht="21.0" customHeight="1">
      <c r="A479" s="79"/>
      <c r="B479" s="79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43"/>
      <c r="T479" s="143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</row>
    <row r="480" ht="21.0" customHeight="1">
      <c r="A480" s="79"/>
      <c r="B480" s="79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43"/>
      <c r="T480" s="143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</row>
    <row r="481" ht="21.0" customHeight="1">
      <c r="A481" s="79"/>
      <c r="B481" s="79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43"/>
      <c r="T481" s="143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</row>
    <row r="482" ht="21.0" customHeight="1">
      <c r="A482" s="79"/>
      <c r="B482" s="79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43"/>
      <c r="T482" s="143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</row>
    <row r="483" ht="21.0" customHeight="1">
      <c r="A483" s="79"/>
      <c r="B483" s="79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43"/>
      <c r="T483" s="143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</row>
    <row r="484" ht="21.0" customHeight="1">
      <c r="A484" s="79"/>
      <c r="B484" s="79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43"/>
      <c r="T484" s="143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</row>
    <row r="485" ht="21.0" customHeight="1">
      <c r="A485" s="79"/>
      <c r="B485" s="79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43"/>
      <c r="T485" s="143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</row>
    <row r="486" ht="21.0" customHeight="1">
      <c r="A486" s="79"/>
      <c r="B486" s="79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43"/>
      <c r="T486" s="143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</row>
    <row r="487" ht="21.0" customHeight="1">
      <c r="A487" s="79"/>
      <c r="B487" s="79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43"/>
      <c r="T487" s="143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</row>
    <row r="488" ht="21.0" customHeight="1">
      <c r="A488" s="79"/>
      <c r="B488" s="79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43"/>
      <c r="T488" s="143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</row>
    <row r="489" ht="21.0" customHeight="1">
      <c r="A489" s="79"/>
      <c r="B489" s="79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43"/>
      <c r="T489" s="143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</row>
    <row r="490" ht="21.0" customHeight="1">
      <c r="A490" s="79"/>
      <c r="B490" s="79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43"/>
      <c r="T490" s="143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</row>
    <row r="491" ht="21.0" customHeight="1">
      <c r="A491" s="79"/>
      <c r="B491" s="79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43"/>
      <c r="T491" s="143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</row>
    <row r="492" ht="21.0" customHeight="1">
      <c r="A492" s="79"/>
      <c r="B492" s="79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43"/>
      <c r="T492" s="143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</row>
    <row r="493" ht="21.0" customHeight="1">
      <c r="A493" s="79"/>
      <c r="B493" s="79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43"/>
      <c r="T493" s="143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</row>
    <row r="494" ht="21.0" customHeight="1">
      <c r="A494" s="79"/>
      <c r="B494" s="79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43"/>
      <c r="T494" s="143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</row>
    <row r="495" ht="21.0" customHeight="1">
      <c r="A495" s="79"/>
      <c r="B495" s="79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43"/>
      <c r="T495" s="143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</row>
    <row r="496" ht="21.0" customHeight="1">
      <c r="A496" s="79"/>
      <c r="B496" s="79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43"/>
      <c r="T496" s="143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</row>
    <row r="497" ht="21.0" customHeight="1">
      <c r="A497" s="79"/>
      <c r="B497" s="79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43"/>
      <c r="T497" s="143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</row>
    <row r="498" ht="21.0" customHeight="1">
      <c r="A498" s="79"/>
      <c r="B498" s="79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43"/>
      <c r="T498" s="143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</row>
    <row r="499" ht="21.0" customHeight="1">
      <c r="A499" s="79"/>
      <c r="B499" s="79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43"/>
      <c r="T499" s="143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</row>
    <row r="500" ht="21.0" customHeight="1">
      <c r="A500" s="79"/>
      <c r="B500" s="79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43"/>
      <c r="T500" s="143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</row>
    <row r="501" ht="21.0" customHeight="1">
      <c r="A501" s="79"/>
      <c r="B501" s="79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43"/>
      <c r="T501" s="143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</row>
    <row r="502" ht="21.0" customHeight="1">
      <c r="A502" s="79"/>
      <c r="B502" s="79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43"/>
      <c r="T502" s="143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</row>
    <row r="503" ht="21.0" customHeight="1">
      <c r="A503" s="79"/>
      <c r="B503" s="79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43"/>
      <c r="T503" s="143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</row>
    <row r="504" ht="21.0" customHeight="1">
      <c r="A504" s="79"/>
      <c r="B504" s="79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43"/>
      <c r="T504" s="143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</row>
    <row r="505" ht="21.0" customHeight="1">
      <c r="A505" s="79"/>
      <c r="B505" s="79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43"/>
      <c r="T505" s="143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</row>
    <row r="506" ht="21.0" customHeight="1">
      <c r="A506" s="79"/>
      <c r="B506" s="79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43"/>
      <c r="T506" s="143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</row>
    <row r="507" ht="21.0" customHeight="1">
      <c r="A507" s="79"/>
      <c r="B507" s="79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43"/>
      <c r="T507" s="143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</row>
    <row r="508" ht="21.0" customHeight="1">
      <c r="A508" s="79"/>
      <c r="B508" s="79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43"/>
      <c r="T508" s="143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</row>
    <row r="509" ht="21.0" customHeight="1">
      <c r="A509" s="79"/>
      <c r="B509" s="79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43"/>
      <c r="T509" s="143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</row>
    <row r="510" ht="21.0" customHeight="1">
      <c r="A510" s="79"/>
      <c r="B510" s="79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43"/>
      <c r="T510" s="143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</row>
    <row r="511" ht="21.0" customHeight="1">
      <c r="A511" s="79"/>
      <c r="B511" s="79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43"/>
      <c r="T511" s="143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</row>
    <row r="512" ht="21.0" customHeight="1">
      <c r="A512" s="79"/>
      <c r="B512" s="79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43"/>
      <c r="T512" s="143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</row>
    <row r="513" ht="21.0" customHeight="1">
      <c r="A513" s="79"/>
      <c r="B513" s="79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43"/>
      <c r="T513" s="143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</row>
    <row r="514" ht="21.0" customHeight="1">
      <c r="A514" s="79"/>
      <c r="B514" s="79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43"/>
      <c r="T514" s="143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</row>
    <row r="515" ht="21.0" customHeight="1">
      <c r="A515" s="79"/>
      <c r="B515" s="79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43"/>
      <c r="T515" s="143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</row>
    <row r="516" ht="21.0" customHeight="1">
      <c r="A516" s="79"/>
      <c r="B516" s="79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43"/>
      <c r="T516" s="143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</row>
    <row r="517" ht="21.0" customHeight="1">
      <c r="A517" s="79"/>
      <c r="B517" s="79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43"/>
      <c r="T517" s="143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</row>
    <row r="518" ht="21.0" customHeight="1">
      <c r="A518" s="79"/>
      <c r="B518" s="79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43"/>
      <c r="T518" s="143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</row>
    <row r="519" ht="21.0" customHeight="1">
      <c r="A519" s="79"/>
      <c r="B519" s="79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43"/>
      <c r="T519" s="143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</row>
    <row r="520" ht="21.0" customHeight="1">
      <c r="A520" s="79"/>
      <c r="B520" s="79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43"/>
      <c r="T520" s="143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</row>
    <row r="521" ht="21.0" customHeight="1">
      <c r="A521" s="79"/>
      <c r="B521" s="79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43"/>
      <c r="T521" s="143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</row>
    <row r="522" ht="21.0" customHeight="1">
      <c r="A522" s="79"/>
      <c r="B522" s="79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43"/>
      <c r="T522" s="143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</row>
    <row r="523" ht="21.0" customHeight="1">
      <c r="A523" s="79"/>
      <c r="B523" s="79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43"/>
      <c r="T523" s="143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</row>
    <row r="524" ht="21.0" customHeight="1">
      <c r="A524" s="79"/>
      <c r="B524" s="79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43"/>
      <c r="T524" s="143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</row>
    <row r="525" ht="21.0" customHeight="1">
      <c r="A525" s="79"/>
      <c r="B525" s="79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43"/>
      <c r="T525" s="143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</row>
    <row r="526" ht="21.0" customHeight="1">
      <c r="A526" s="79"/>
      <c r="B526" s="79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43"/>
      <c r="T526" s="143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</row>
    <row r="527" ht="21.0" customHeight="1">
      <c r="A527" s="79"/>
      <c r="B527" s="79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43"/>
      <c r="T527" s="143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</row>
    <row r="528" ht="21.0" customHeight="1">
      <c r="A528" s="79"/>
      <c r="B528" s="79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43"/>
      <c r="T528" s="143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</row>
    <row r="529" ht="21.0" customHeight="1">
      <c r="A529" s="79"/>
      <c r="B529" s="79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43"/>
      <c r="T529" s="143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</row>
    <row r="530" ht="21.0" customHeight="1">
      <c r="A530" s="79"/>
      <c r="B530" s="79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43"/>
      <c r="T530" s="143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</row>
    <row r="531" ht="21.0" customHeight="1">
      <c r="A531" s="79"/>
      <c r="B531" s="79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43"/>
      <c r="T531" s="143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</row>
    <row r="532" ht="21.0" customHeight="1">
      <c r="A532" s="79"/>
      <c r="B532" s="79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43"/>
      <c r="T532" s="143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</row>
    <row r="533" ht="21.0" customHeight="1">
      <c r="A533" s="79"/>
      <c r="B533" s="79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43"/>
      <c r="T533" s="143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</row>
    <row r="534" ht="21.0" customHeight="1">
      <c r="A534" s="79"/>
      <c r="B534" s="79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43"/>
      <c r="T534" s="143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</row>
    <row r="535" ht="21.0" customHeight="1">
      <c r="A535" s="79"/>
      <c r="B535" s="79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43"/>
      <c r="T535" s="143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</row>
    <row r="536" ht="21.0" customHeight="1">
      <c r="A536" s="79"/>
      <c r="B536" s="79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43"/>
      <c r="T536" s="143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</row>
    <row r="537" ht="21.0" customHeight="1">
      <c r="A537" s="79"/>
      <c r="B537" s="79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43"/>
      <c r="T537" s="143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</row>
    <row r="538" ht="21.0" customHeight="1">
      <c r="A538" s="79"/>
      <c r="B538" s="79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43"/>
      <c r="T538" s="143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</row>
    <row r="539" ht="21.0" customHeight="1">
      <c r="A539" s="79"/>
      <c r="B539" s="79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43"/>
      <c r="T539" s="143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</row>
    <row r="540" ht="21.0" customHeight="1">
      <c r="A540" s="79"/>
      <c r="B540" s="79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43"/>
      <c r="T540" s="143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</row>
    <row r="541" ht="21.0" customHeight="1">
      <c r="A541" s="79"/>
      <c r="B541" s="79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43"/>
      <c r="T541" s="143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</row>
    <row r="542" ht="21.0" customHeight="1">
      <c r="A542" s="79"/>
      <c r="B542" s="79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43"/>
      <c r="T542" s="143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</row>
    <row r="543" ht="21.0" customHeight="1">
      <c r="A543" s="79"/>
      <c r="B543" s="79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43"/>
      <c r="T543" s="143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</row>
    <row r="544" ht="21.0" customHeight="1">
      <c r="A544" s="79"/>
      <c r="B544" s="79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43"/>
      <c r="T544" s="143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</row>
    <row r="545" ht="21.0" customHeight="1">
      <c r="A545" s="79"/>
      <c r="B545" s="79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43"/>
      <c r="T545" s="143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</row>
    <row r="546" ht="21.0" customHeight="1">
      <c r="A546" s="79"/>
      <c r="B546" s="79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43"/>
      <c r="T546" s="143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</row>
    <row r="547" ht="21.0" customHeight="1">
      <c r="A547" s="79"/>
      <c r="B547" s="79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43"/>
      <c r="T547" s="143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</row>
    <row r="548" ht="21.0" customHeight="1">
      <c r="A548" s="79"/>
      <c r="B548" s="79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43"/>
      <c r="T548" s="143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</row>
    <row r="549" ht="21.0" customHeight="1">
      <c r="A549" s="79"/>
      <c r="B549" s="79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43"/>
      <c r="T549" s="143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</row>
    <row r="550" ht="21.0" customHeight="1">
      <c r="A550" s="79"/>
      <c r="B550" s="79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43"/>
      <c r="T550" s="143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</row>
    <row r="551" ht="21.0" customHeight="1">
      <c r="A551" s="79"/>
      <c r="B551" s="79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43"/>
      <c r="T551" s="143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</row>
    <row r="552" ht="21.0" customHeight="1">
      <c r="A552" s="79"/>
      <c r="B552" s="79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43"/>
      <c r="T552" s="143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</row>
    <row r="553" ht="21.0" customHeight="1">
      <c r="A553" s="79"/>
      <c r="B553" s="79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43"/>
      <c r="T553" s="143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</row>
    <row r="554" ht="21.0" customHeight="1">
      <c r="A554" s="79"/>
      <c r="B554" s="79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43"/>
      <c r="T554" s="143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</row>
    <row r="555" ht="21.0" customHeight="1">
      <c r="A555" s="79"/>
      <c r="B555" s="79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43"/>
      <c r="T555" s="143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</row>
    <row r="556" ht="21.0" customHeight="1">
      <c r="A556" s="79"/>
      <c r="B556" s="79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43"/>
      <c r="T556" s="143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</row>
    <row r="557" ht="21.0" customHeight="1">
      <c r="A557" s="79"/>
      <c r="B557" s="79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43"/>
      <c r="T557" s="143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</row>
    <row r="558" ht="21.0" customHeight="1">
      <c r="A558" s="79"/>
      <c r="B558" s="79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43"/>
      <c r="T558" s="143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</row>
    <row r="559" ht="21.0" customHeight="1">
      <c r="A559" s="79"/>
      <c r="B559" s="79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43"/>
      <c r="T559" s="143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</row>
    <row r="560" ht="21.0" customHeight="1">
      <c r="A560" s="79"/>
      <c r="B560" s="79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43"/>
      <c r="T560" s="143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</row>
    <row r="561" ht="21.0" customHeight="1">
      <c r="A561" s="79"/>
      <c r="B561" s="79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43"/>
      <c r="T561" s="143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</row>
    <row r="562" ht="21.0" customHeight="1">
      <c r="A562" s="79"/>
      <c r="B562" s="79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43"/>
      <c r="T562" s="143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</row>
    <row r="563" ht="21.0" customHeight="1">
      <c r="A563" s="79"/>
      <c r="B563" s="79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43"/>
      <c r="T563" s="143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</row>
    <row r="564" ht="21.0" customHeight="1">
      <c r="A564" s="79"/>
      <c r="B564" s="79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43"/>
      <c r="T564" s="143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</row>
    <row r="565" ht="21.0" customHeight="1">
      <c r="A565" s="79"/>
      <c r="B565" s="79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43"/>
      <c r="T565" s="143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</row>
    <row r="566" ht="21.0" customHeight="1">
      <c r="A566" s="79"/>
      <c r="B566" s="79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43"/>
      <c r="T566" s="143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</row>
    <row r="567" ht="21.0" customHeight="1">
      <c r="A567" s="79"/>
      <c r="B567" s="79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43"/>
      <c r="T567" s="143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</row>
    <row r="568" ht="21.0" customHeight="1">
      <c r="A568" s="79"/>
      <c r="B568" s="79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43"/>
      <c r="T568" s="143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</row>
    <row r="569" ht="21.0" customHeight="1">
      <c r="A569" s="79"/>
      <c r="B569" s="79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43"/>
      <c r="T569" s="143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</row>
    <row r="570" ht="21.0" customHeight="1">
      <c r="A570" s="79"/>
      <c r="B570" s="79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43"/>
      <c r="T570" s="143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</row>
    <row r="571" ht="21.0" customHeight="1">
      <c r="A571" s="79"/>
      <c r="B571" s="79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43"/>
      <c r="T571" s="143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</row>
    <row r="572" ht="21.0" customHeight="1">
      <c r="A572" s="79"/>
      <c r="B572" s="79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43"/>
      <c r="T572" s="143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</row>
    <row r="573" ht="21.0" customHeight="1">
      <c r="A573" s="79"/>
      <c r="B573" s="79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43"/>
      <c r="T573" s="143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</row>
    <row r="574" ht="21.0" customHeight="1">
      <c r="A574" s="79"/>
      <c r="B574" s="79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43"/>
      <c r="T574" s="143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</row>
    <row r="575" ht="21.0" customHeight="1">
      <c r="A575" s="79"/>
      <c r="B575" s="79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43"/>
      <c r="T575" s="143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</row>
    <row r="576" ht="21.0" customHeight="1">
      <c r="A576" s="79"/>
      <c r="B576" s="79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43"/>
      <c r="T576" s="143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</row>
    <row r="577" ht="21.0" customHeight="1">
      <c r="A577" s="79"/>
      <c r="B577" s="79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43"/>
      <c r="T577" s="143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</row>
    <row r="578" ht="21.0" customHeight="1">
      <c r="A578" s="79"/>
      <c r="B578" s="79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43"/>
      <c r="T578" s="143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</row>
    <row r="579" ht="21.0" customHeight="1">
      <c r="A579" s="79"/>
      <c r="B579" s="79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43"/>
      <c r="T579" s="143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</row>
    <row r="580" ht="21.0" customHeight="1">
      <c r="A580" s="79"/>
      <c r="B580" s="79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43"/>
      <c r="T580" s="143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</row>
    <row r="581" ht="21.0" customHeight="1">
      <c r="A581" s="79"/>
      <c r="B581" s="79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43"/>
      <c r="T581" s="143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</row>
    <row r="582" ht="21.0" customHeight="1">
      <c r="A582" s="79"/>
      <c r="B582" s="79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43"/>
      <c r="T582" s="143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</row>
    <row r="583" ht="21.0" customHeight="1">
      <c r="A583" s="79"/>
      <c r="B583" s="79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43"/>
      <c r="T583" s="143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</row>
    <row r="584" ht="21.0" customHeight="1">
      <c r="A584" s="79"/>
      <c r="B584" s="79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43"/>
      <c r="T584" s="143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</row>
    <row r="585" ht="21.0" customHeight="1">
      <c r="A585" s="79"/>
      <c r="B585" s="79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43"/>
      <c r="T585" s="143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</row>
    <row r="586" ht="21.0" customHeight="1">
      <c r="A586" s="79"/>
      <c r="B586" s="79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43"/>
      <c r="T586" s="143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</row>
    <row r="587" ht="21.0" customHeight="1">
      <c r="A587" s="79"/>
      <c r="B587" s="79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43"/>
      <c r="T587" s="143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</row>
    <row r="588" ht="21.0" customHeight="1">
      <c r="A588" s="79"/>
      <c r="B588" s="79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43"/>
      <c r="T588" s="143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</row>
    <row r="589" ht="21.0" customHeight="1">
      <c r="A589" s="79"/>
      <c r="B589" s="79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43"/>
      <c r="T589" s="143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</row>
    <row r="590" ht="21.0" customHeight="1">
      <c r="A590" s="79"/>
      <c r="B590" s="79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43"/>
      <c r="T590" s="143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</row>
    <row r="591" ht="21.0" customHeight="1">
      <c r="A591" s="79"/>
      <c r="B591" s="79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43"/>
      <c r="T591" s="143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</row>
    <row r="592" ht="21.0" customHeight="1">
      <c r="A592" s="79"/>
      <c r="B592" s="79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43"/>
      <c r="T592" s="143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</row>
    <row r="593" ht="21.0" customHeight="1">
      <c r="A593" s="79"/>
      <c r="B593" s="79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43"/>
      <c r="T593" s="143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</row>
    <row r="594" ht="21.0" customHeight="1">
      <c r="A594" s="79"/>
      <c r="B594" s="79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43"/>
      <c r="T594" s="143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</row>
    <row r="595" ht="21.0" customHeight="1">
      <c r="A595" s="79"/>
      <c r="B595" s="79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43"/>
      <c r="T595" s="143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</row>
    <row r="596" ht="21.0" customHeight="1">
      <c r="A596" s="79"/>
      <c r="B596" s="79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43"/>
      <c r="T596" s="143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</row>
    <row r="597" ht="21.0" customHeight="1">
      <c r="A597" s="79"/>
      <c r="B597" s="79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43"/>
      <c r="T597" s="143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</row>
    <row r="598" ht="21.0" customHeight="1">
      <c r="A598" s="79"/>
      <c r="B598" s="79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43"/>
      <c r="T598" s="143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</row>
    <row r="599" ht="21.0" customHeight="1">
      <c r="A599" s="79"/>
      <c r="B599" s="79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43"/>
      <c r="T599" s="143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</row>
    <row r="600" ht="21.0" customHeight="1">
      <c r="A600" s="79"/>
      <c r="B600" s="79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43"/>
      <c r="T600" s="143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</row>
    <row r="601" ht="21.0" customHeight="1">
      <c r="A601" s="79"/>
      <c r="B601" s="79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43"/>
      <c r="T601" s="143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</row>
    <row r="602" ht="21.0" customHeight="1">
      <c r="A602" s="79"/>
      <c r="B602" s="79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43"/>
      <c r="T602" s="143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</row>
    <row r="603" ht="21.0" customHeight="1">
      <c r="A603" s="79"/>
      <c r="B603" s="79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43"/>
      <c r="T603" s="143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</row>
    <row r="604" ht="21.0" customHeight="1">
      <c r="A604" s="79"/>
      <c r="B604" s="79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43"/>
      <c r="T604" s="143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</row>
    <row r="605" ht="21.0" customHeight="1">
      <c r="A605" s="79"/>
      <c r="B605" s="79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43"/>
      <c r="T605" s="143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</row>
    <row r="606" ht="21.0" customHeight="1">
      <c r="A606" s="79"/>
      <c r="B606" s="79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43"/>
      <c r="T606" s="143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</row>
    <row r="607" ht="21.0" customHeight="1">
      <c r="A607" s="79"/>
      <c r="B607" s="79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43"/>
      <c r="T607" s="143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</row>
    <row r="608" ht="21.0" customHeight="1">
      <c r="A608" s="79"/>
      <c r="B608" s="79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43"/>
      <c r="T608" s="143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</row>
    <row r="609" ht="21.0" customHeight="1">
      <c r="A609" s="79"/>
      <c r="B609" s="79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43"/>
      <c r="T609" s="143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</row>
    <row r="610" ht="21.0" customHeight="1">
      <c r="A610" s="79"/>
      <c r="B610" s="79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43"/>
      <c r="T610" s="143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</row>
    <row r="611" ht="21.0" customHeight="1">
      <c r="A611" s="79"/>
      <c r="B611" s="79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43"/>
      <c r="T611" s="143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</row>
    <row r="612" ht="21.0" customHeight="1">
      <c r="A612" s="79"/>
      <c r="B612" s="79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43"/>
      <c r="T612" s="143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</row>
    <row r="613" ht="21.0" customHeight="1">
      <c r="A613" s="79"/>
      <c r="B613" s="79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43"/>
      <c r="T613" s="143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</row>
    <row r="614" ht="21.0" customHeight="1">
      <c r="A614" s="79"/>
      <c r="B614" s="79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43"/>
      <c r="T614" s="143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</row>
    <row r="615" ht="21.0" customHeight="1">
      <c r="A615" s="79"/>
      <c r="B615" s="79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43"/>
      <c r="T615" s="143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</row>
    <row r="616" ht="21.0" customHeight="1">
      <c r="A616" s="79"/>
      <c r="B616" s="79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43"/>
      <c r="T616" s="143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</row>
    <row r="617" ht="21.0" customHeight="1">
      <c r="A617" s="79"/>
      <c r="B617" s="79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43"/>
      <c r="T617" s="143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</row>
    <row r="618" ht="21.0" customHeight="1">
      <c r="A618" s="79"/>
      <c r="B618" s="79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43"/>
      <c r="T618" s="143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</row>
    <row r="619" ht="21.0" customHeight="1">
      <c r="A619" s="79"/>
      <c r="B619" s="79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43"/>
      <c r="T619" s="143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</row>
    <row r="620" ht="21.0" customHeight="1">
      <c r="A620" s="79"/>
      <c r="B620" s="79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43"/>
      <c r="T620" s="143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</row>
    <row r="621" ht="21.0" customHeight="1">
      <c r="A621" s="79"/>
      <c r="B621" s="79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43"/>
      <c r="T621" s="143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</row>
    <row r="622" ht="21.0" customHeight="1">
      <c r="A622" s="79"/>
      <c r="B622" s="79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43"/>
      <c r="T622" s="143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</row>
    <row r="623" ht="21.0" customHeight="1">
      <c r="A623" s="79"/>
      <c r="B623" s="79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43"/>
      <c r="T623" s="143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</row>
    <row r="624" ht="21.0" customHeight="1">
      <c r="A624" s="79"/>
      <c r="B624" s="79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43"/>
      <c r="T624" s="143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</row>
    <row r="625" ht="21.0" customHeight="1">
      <c r="A625" s="79"/>
      <c r="B625" s="79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43"/>
      <c r="T625" s="143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</row>
    <row r="626" ht="21.0" customHeight="1">
      <c r="A626" s="79"/>
      <c r="B626" s="79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43"/>
      <c r="T626" s="143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</row>
    <row r="627" ht="21.0" customHeight="1">
      <c r="A627" s="79"/>
      <c r="B627" s="79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43"/>
      <c r="T627" s="143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</row>
    <row r="628" ht="21.0" customHeight="1">
      <c r="A628" s="79"/>
      <c r="B628" s="79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43"/>
      <c r="T628" s="143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</row>
    <row r="629" ht="21.0" customHeight="1">
      <c r="A629" s="79"/>
      <c r="B629" s="79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43"/>
      <c r="T629" s="143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</row>
    <row r="630" ht="21.0" customHeight="1">
      <c r="A630" s="79"/>
      <c r="B630" s="79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43"/>
      <c r="T630" s="143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</row>
    <row r="631" ht="21.0" customHeight="1">
      <c r="A631" s="79"/>
      <c r="B631" s="79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43"/>
      <c r="T631" s="143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</row>
    <row r="632" ht="21.0" customHeight="1">
      <c r="A632" s="79"/>
      <c r="B632" s="79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43"/>
      <c r="T632" s="143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</row>
    <row r="633" ht="21.0" customHeight="1">
      <c r="A633" s="79"/>
      <c r="B633" s="79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43"/>
      <c r="T633" s="143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</row>
    <row r="634" ht="21.0" customHeight="1">
      <c r="A634" s="79"/>
      <c r="B634" s="79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43"/>
      <c r="T634" s="143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</row>
    <row r="635" ht="21.0" customHeight="1">
      <c r="A635" s="79"/>
      <c r="B635" s="79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43"/>
      <c r="T635" s="143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</row>
    <row r="636" ht="21.0" customHeight="1">
      <c r="A636" s="79"/>
      <c r="B636" s="79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43"/>
      <c r="T636" s="143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</row>
    <row r="637" ht="21.0" customHeight="1">
      <c r="A637" s="79"/>
      <c r="B637" s="79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43"/>
      <c r="T637" s="143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</row>
    <row r="638" ht="21.0" customHeight="1">
      <c r="A638" s="79"/>
      <c r="B638" s="79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43"/>
      <c r="T638" s="143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</row>
    <row r="639" ht="21.0" customHeight="1">
      <c r="A639" s="79"/>
      <c r="B639" s="79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43"/>
      <c r="T639" s="143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</row>
    <row r="640" ht="21.0" customHeight="1">
      <c r="A640" s="79"/>
      <c r="B640" s="79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43"/>
      <c r="T640" s="143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</row>
    <row r="641" ht="21.0" customHeight="1">
      <c r="A641" s="79"/>
      <c r="B641" s="79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43"/>
      <c r="T641" s="143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</row>
    <row r="642" ht="21.0" customHeight="1">
      <c r="A642" s="79"/>
      <c r="B642" s="79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43"/>
      <c r="T642" s="143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</row>
    <row r="643" ht="21.0" customHeight="1">
      <c r="A643" s="79"/>
      <c r="B643" s="79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43"/>
      <c r="T643" s="143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</row>
    <row r="644" ht="21.0" customHeight="1">
      <c r="A644" s="79"/>
      <c r="B644" s="79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43"/>
      <c r="T644" s="143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</row>
    <row r="645" ht="21.0" customHeight="1">
      <c r="A645" s="79"/>
      <c r="B645" s="79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43"/>
      <c r="T645" s="143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</row>
    <row r="646" ht="21.0" customHeight="1">
      <c r="A646" s="79"/>
      <c r="B646" s="79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43"/>
      <c r="T646" s="143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</row>
    <row r="647" ht="21.0" customHeight="1">
      <c r="A647" s="79"/>
      <c r="B647" s="79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43"/>
      <c r="T647" s="143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</row>
    <row r="648" ht="21.0" customHeight="1">
      <c r="A648" s="79"/>
      <c r="B648" s="79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43"/>
      <c r="T648" s="143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</row>
    <row r="649" ht="21.0" customHeight="1">
      <c r="A649" s="79"/>
      <c r="B649" s="79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43"/>
      <c r="T649" s="143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</row>
    <row r="650" ht="21.0" customHeight="1">
      <c r="A650" s="79"/>
      <c r="B650" s="79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43"/>
      <c r="T650" s="143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</row>
    <row r="651" ht="21.0" customHeight="1">
      <c r="A651" s="79"/>
      <c r="B651" s="79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43"/>
      <c r="T651" s="143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</row>
    <row r="652" ht="21.0" customHeight="1">
      <c r="A652" s="79"/>
      <c r="B652" s="79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43"/>
      <c r="T652" s="143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</row>
    <row r="653" ht="21.0" customHeight="1">
      <c r="A653" s="79"/>
      <c r="B653" s="79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43"/>
      <c r="T653" s="143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</row>
    <row r="654" ht="21.0" customHeight="1">
      <c r="A654" s="79"/>
      <c r="B654" s="79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43"/>
      <c r="T654" s="143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</row>
    <row r="655" ht="21.0" customHeight="1">
      <c r="A655" s="79"/>
      <c r="B655" s="79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43"/>
      <c r="T655" s="143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</row>
    <row r="656" ht="21.0" customHeight="1">
      <c r="A656" s="79"/>
      <c r="B656" s="79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43"/>
      <c r="T656" s="143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</row>
    <row r="657" ht="21.0" customHeight="1">
      <c r="A657" s="79"/>
      <c r="B657" s="79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43"/>
      <c r="T657" s="143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</row>
    <row r="658" ht="21.0" customHeight="1">
      <c r="A658" s="79"/>
      <c r="B658" s="79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43"/>
      <c r="T658" s="143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</row>
    <row r="659" ht="21.0" customHeight="1">
      <c r="A659" s="79"/>
      <c r="B659" s="79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43"/>
      <c r="T659" s="143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</row>
    <row r="660" ht="21.0" customHeight="1">
      <c r="A660" s="79"/>
      <c r="B660" s="79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43"/>
      <c r="T660" s="143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</row>
    <row r="661" ht="21.0" customHeight="1">
      <c r="A661" s="79"/>
      <c r="B661" s="79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43"/>
      <c r="T661" s="143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</row>
    <row r="662" ht="21.0" customHeight="1">
      <c r="A662" s="79"/>
      <c r="B662" s="79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43"/>
      <c r="T662" s="143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</row>
    <row r="663" ht="21.0" customHeight="1">
      <c r="A663" s="79"/>
      <c r="B663" s="79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43"/>
      <c r="T663" s="143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</row>
    <row r="664" ht="21.0" customHeight="1">
      <c r="A664" s="79"/>
      <c r="B664" s="79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43"/>
      <c r="T664" s="143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</row>
    <row r="665" ht="21.0" customHeight="1">
      <c r="A665" s="79"/>
      <c r="B665" s="79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43"/>
      <c r="T665" s="143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</row>
    <row r="666" ht="21.0" customHeight="1">
      <c r="A666" s="79"/>
      <c r="B666" s="79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43"/>
      <c r="T666" s="143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</row>
    <row r="667" ht="21.0" customHeight="1">
      <c r="A667" s="79"/>
      <c r="B667" s="79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43"/>
      <c r="T667" s="143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</row>
    <row r="668" ht="21.0" customHeight="1">
      <c r="A668" s="79"/>
      <c r="B668" s="79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43"/>
      <c r="T668" s="143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</row>
    <row r="669" ht="21.0" customHeight="1">
      <c r="A669" s="79"/>
      <c r="B669" s="79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43"/>
      <c r="T669" s="143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</row>
    <row r="670" ht="21.0" customHeight="1">
      <c r="A670" s="79"/>
      <c r="B670" s="79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43"/>
      <c r="T670" s="143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</row>
    <row r="671" ht="21.0" customHeight="1">
      <c r="A671" s="79"/>
      <c r="B671" s="79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43"/>
      <c r="T671" s="143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</row>
    <row r="672" ht="21.0" customHeight="1">
      <c r="A672" s="79"/>
      <c r="B672" s="79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43"/>
      <c r="T672" s="143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</row>
    <row r="673" ht="21.0" customHeight="1">
      <c r="A673" s="79"/>
      <c r="B673" s="79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43"/>
      <c r="T673" s="143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</row>
    <row r="674" ht="21.0" customHeight="1">
      <c r="A674" s="79"/>
      <c r="B674" s="79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43"/>
      <c r="T674" s="143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</row>
    <row r="675" ht="21.0" customHeight="1">
      <c r="A675" s="79"/>
      <c r="B675" s="79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43"/>
      <c r="T675" s="143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</row>
    <row r="676" ht="21.0" customHeight="1">
      <c r="A676" s="79"/>
      <c r="B676" s="79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43"/>
      <c r="T676" s="143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</row>
    <row r="677" ht="21.0" customHeight="1">
      <c r="A677" s="79"/>
      <c r="B677" s="79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43"/>
      <c r="T677" s="143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</row>
    <row r="678" ht="21.0" customHeight="1">
      <c r="A678" s="79"/>
      <c r="B678" s="79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43"/>
      <c r="T678" s="143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</row>
    <row r="679" ht="21.0" customHeight="1">
      <c r="A679" s="79"/>
      <c r="B679" s="79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43"/>
      <c r="T679" s="143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</row>
    <row r="680" ht="21.0" customHeight="1">
      <c r="A680" s="79"/>
      <c r="B680" s="79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43"/>
      <c r="T680" s="143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</row>
    <row r="681" ht="21.0" customHeight="1">
      <c r="A681" s="79"/>
      <c r="B681" s="79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43"/>
      <c r="T681" s="143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</row>
    <row r="682" ht="21.0" customHeight="1">
      <c r="A682" s="79"/>
      <c r="B682" s="79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43"/>
      <c r="T682" s="143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</row>
    <row r="683" ht="21.0" customHeight="1">
      <c r="A683" s="79"/>
      <c r="B683" s="79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43"/>
      <c r="T683" s="143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</row>
    <row r="684" ht="21.0" customHeight="1">
      <c r="A684" s="79"/>
      <c r="B684" s="79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43"/>
      <c r="T684" s="143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</row>
    <row r="685" ht="21.0" customHeight="1">
      <c r="A685" s="79"/>
      <c r="B685" s="79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43"/>
      <c r="T685" s="143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</row>
    <row r="686" ht="21.0" customHeight="1">
      <c r="A686" s="79"/>
      <c r="B686" s="79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43"/>
      <c r="T686" s="143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</row>
    <row r="687" ht="21.0" customHeight="1">
      <c r="A687" s="79"/>
      <c r="B687" s="79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43"/>
      <c r="T687" s="143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</row>
    <row r="688" ht="21.0" customHeight="1">
      <c r="A688" s="79"/>
      <c r="B688" s="79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43"/>
      <c r="T688" s="143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</row>
    <row r="689" ht="21.0" customHeight="1">
      <c r="A689" s="79"/>
      <c r="B689" s="79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43"/>
      <c r="T689" s="143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</row>
    <row r="690" ht="21.0" customHeight="1">
      <c r="A690" s="79"/>
      <c r="B690" s="79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43"/>
      <c r="T690" s="143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</row>
    <row r="691" ht="21.0" customHeight="1">
      <c r="A691" s="79"/>
      <c r="B691" s="79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43"/>
      <c r="T691" s="143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</row>
    <row r="692" ht="21.0" customHeight="1">
      <c r="A692" s="79"/>
      <c r="B692" s="79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43"/>
      <c r="T692" s="143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</row>
    <row r="693" ht="21.0" customHeight="1">
      <c r="A693" s="79"/>
      <c r="B693" s="79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43"/>
      <c r="T693" s="143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</row>
    <row r="694" ht="21.0" customHeight="1">
      <c r="A694" s="79"/>
      <c r="B694" s="79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43"/>
      <c r="T694" s="143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</row>
    <row r="695" ht="21.0" customHeight="1">
      <c r="A695" s="79"/>
      <c r="B695" s="79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43"/>
      <c r="T695" s="143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</row>
    <row r="696" ht="21.0" customHeight="1">
      <c r="A696" s="79"/>
      <c r="B696" s="79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43"/>
      <c r="T696" s="143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</row>
    <row r="697" ht="21.0" customHeight="1">
      <c r="A697" s="79"/>
      <c r="B697" s="79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43"/>
      <c r="T697" s="143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</row>
    <row r="698" ht="21.0" customHeight="1">
      <c r="A698" s="79"/>
      <c r="B698" s="79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43"/>
      <c r="T698" s="143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</row>
    <row r="699" ht="21.0" customHeight="1">
      <c r="A699" s="79"/>
      <c r="B699" s="79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43"/>
      <c r="T699" s="143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</row>
    <row r="700" ht="21.0" customHeight="1">
      <c r="A700" s="79"/>
      <c r="B700" s="79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43"/>
      <c r="T700" s="143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</row>
    <row r="701" ht="21.0" customHeight="1">
      <c r="A701" s="79"/>
      <c r="B701" s="79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43"/>
      <c r="T701" s="143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</row>
    <row r="702" ht="21.0" customHeight="1">
      <c r="A702" s="79"/>
      <c r="B702" s="79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43"/>
      <c r="T702" s="143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</row>
    <row r="703" ht="21.0" customHeight="1">
      <c r="A703" s="79"/>
      <c r="B703" s="79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43"/>
      <c r="T703" s="143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</row>
    <row r="704" ht="21.0" customHeight="1">
      <c r="A704" s="79"/>
      <c r="B704" s="79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43"/>
      <c r="T704" s="143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</row>
    <row r="705" ht="21.0" customHeight="1">
      <c r="A705" s="79"/>
      <c r="B705" s="79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43"/>
      <c r="T705" s="143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</row>
    <row r="706" ht="21.0" customHeight="1">
      <c r="A706" s="79"/>
      <c r="B706" s="79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43"/>
      <c r="T706" s="143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</row>
    <row r="707" ht="21.0" customHeight="1">
      <c r="A707" s="79"/>
      <c r="B707" s="79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43"/>
      <c r="T707" s="143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</row>
    <row r="708" ht="21.0" customHeight="1">
      <c r="A708" s="79"/>
      <c r="B708" s="79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43"/>
      <c r="T708" s="143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</row>
    <row r="709" ht="21.0" customHeight="1">
      <c r="A709" s="79"/>
      <c r="B709" s="79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43"/>
      <c r="T709" s="143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</row>
    <row r="710" ht="21.0" customHeight="1">
      <c r="A710" s="79"/>
      <c r="B710" s="79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43"/>
      <c r="T710" s="143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</row>
    <row r="711" ht="21.0" customHeight="1">
      <c r="A711" s="79"/>
      <c r="B711" s="79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43"/>
      <c r="T711" s="143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</row>
    <row r="712" ht="21.0" customHeight="1">
      <c r="A712" s="79"/>
      <c r="B712" s="79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43"/>
      <c r="T712" s="143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</row>
    <row r="713" ht="21.0" customHeight="1">
      <c r="A713" s="79"/>
      <c r="B713" s="79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43"/>
      <c r="T713" s="143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</row>
    <row r="714" ht="21.0" customHeight="1">
      <c r="A714" s="79"/>
      <c r="B714" s="79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43"/>
      <c r="T714" s="143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</row>
    <row r="715" ht="21.0" customHeight="1">
      <c r="A715" s="79"/>
      <c r="B715" s="79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43"/>
      <c r="T715" s="143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</row>
    <row r="716" ht="21.0" customHeight="1">
      <c r="A716" s="79"/>
      <c r="B716" s="79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43"/>
      <c r="T716" s="143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</row>
    <row r="717" ht="21.0" customHeight="1">
      <c r="A717" s="79"/>
      <c r="B717" s="79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43"/>
      <c r="T717" s="143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</row>
    <row r="718" ht="21.0" customHeight="1">
      <c r="A718" s="79"/>
      <c r="B718" s="79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43"/>
      <c r="T718" s="143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</row>
    <row r="719" ht="21.0" customHeight="1">
      <c r="A719" s="79"/>
      <c r="B719" s="79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43"/>
      <c r="T719" s="143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</row>
    <row r="720" ht="21.0" customHeight="1">
      <c r="A720" s="79"/>
      <c r="B720" s="79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43"/>
      <c r="T720" s="143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</row>
    <row r="721" ht="21.0" customHeight="1">
      <c r="A721" s="79"/>
      <c r="B721" s="79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43"/>
      <c r="T721" s="143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</row>
    <row r="722" ht="21.0" customHeight="1">
      <c r="A722" s="79"/>
      <c r="B722" s="79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43"/>
      <c r="T722" s="143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</row>
    <row r="723" ht="21.0" customHeight="1">
      <c r="A723" s="79"/>
      <c r="B723" s="79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43"/>
      <c r="T723" s="143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</row>
    <row r="724" ht="21.0" customHeight="1">
      <c r="A724" s="79"/>
      <c r="B724" s="79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43"/>
      <c r="T724" s="143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</row>
    <row r="725" ht="21.0" customHeight="1">
      <c r="A725" s="79"/>
      <c r="B725" s="79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43"/>
      <c r="T725" s="143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</row>
    <row r="726" ht="21.0" customHeight="1">
      <c r="A726" s="79"/>
      <c r="B726" s="79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43"/>
      <c r="T726" s="143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</row>
    <row r="727" ht="21.0" customHeight="1">
      <c r="A727" s="79"/>
      <c r="B727" s="79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43"/>
      <c r="T727" s="143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</row>
    <row r="728" ht="21.0" customHeight="1">
      <c r="A728" s="79"/>
      <c r="B728" s="79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43"/>
      <c r="T728" s="143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</row>
    <row r="729" ht="21.0" customHeight="1">
      <c r="A729" s="79"/>
      <c r="B729" s="79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43"/>
      <c r="T729" s="143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</row>
    <row r="730" ht="21.0" customHeight="1">
      <c r="A730" s="79"/>
      <c r="B730" s="79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43"/>
      <c r="T730" s="143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</row>
    <row r="731" ht="21.0" customHeight="1">
      <c r="A731" s="79"/>
      <c r="B731" s="79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43"/>
      <c r="T731" s="143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</row>
    <row r="732" ht="21.0" customHeight="1">
      <c r="A732" s="79"/>
      <c r="B732" s="79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43"/>
      <c r="T732" s="143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</row>
    <row r="733" ht="21.0" customHeight="1">
      <c r="A733" s="79"/>
      <c r="B733" s="79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43"/>
      <c r="T733" s="143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</row>
    <row r="734" ht="21.0" customHeight="1">
      <c r="A734" s="79"/>
      <c r="B734" s="79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43"/>
      <c r="T734" s="143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</row>
    <row r="735" ht="21.0" customHeight="1">
      <c r="A735" s="79"/>
      <c r="B735" s="79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43"/>
      <c r="T735" s="143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</row>
    <row r="736" ht="21.0" customHeight="1">
      <c r="A736" s="79"/>
      <c r="B736" s="79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43"/>
      <c r="T736" s="143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</row>
    <row r="737" ht="21.0" customHeight="1">
      <c r="A737" s="79"/>
      <c r="B737" s="79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43"/>
      <c r="T737" s="143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</row>
    <row r="738" ht="21.0" customHeight="1">
      <c r="A738" s="79"/>
      <c r="B738" s="79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43"/>
      <c r="T738" s="143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</row>
    <row r="739" ht="21.0" customHeight="1">
      <c r="A739" s="79"/>
      <c r="B739" s="79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43"/>
      <c r="T739" s="143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</row>
    <row r="740" ht="21.0" customHeight="1">
      <c r="A740" s="79"/>
      <c r="B740" s="79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43"/>
      <c r="T740" s="143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</row>
    <row r="741" ht="21.0" customHeight="1">
      <c r="A741" s="79"/>
      <c r="B741" s="79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43"/>
      <c r="T741" s="143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</row>
    <row r="742" ht="21.0" customHeight="1">
      <c r="A742" s="79"/>
      <c r="B742" s="79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43"/>
      <c r="T742" s="143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</row>
    <row r="743" ht="21.0" customHeight="1">
      <c r="A743" s="79"/>
      <c r="B743" s="79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43"/>
      <c r="T743" s="143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</row>
    <row r="744" ht="21.0" customHeight="1">
      <c r="A744" s="79"/>
      <c r="B744" s="79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43"/>
      <c r="T744" s="143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</row>
    <row r="745" ht="21.0" customHeight="1">
      <c r="A745" s="79"/>
      <c r="B745" s="79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43"/>
      <c r="T745" s="143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</row>
    <row r="746" ht="21.0" customHeight="1">
      <c r="A746" s="79"/>
      <c r="B746" s="79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43"/>
      <c r="T746" s="143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</row>
    <row r="747" ht="21.0" customHeight="1">
      <c r="A747" s="79"/>
      <c r="B747" s="79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43"/>
      <c r="T747" s="143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</row>
    <row r="748" ht="21.0" customHeight="1">
      <c r="A748" s="79"/>
      <c r="B748" s="79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43"/>
      <c r="T748" s="143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</row>
    <row r="749" ht="21.0" customHeight="1">
      <c r="A749" s="79"/>
      <c r="B749" s="79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43"/>
      <c r="T749" s="143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</row>
    <row r="750" ht="21.0" customHeight="1">
      <c r="A750" s="79"/>
      <c r="B750" s="79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43"/>
      <c r="T750" s="143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</row>
    <row r="751" ht="21.0" customHeight="1">
      <c r="A751" s="79"/>
      <c r="B751" s="79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43"/>
      <c r="T751" s="143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</row>
    <row r="752" ht="21.0" customHeight="1">
      <c r="A752" s="79"/>
      <c r="B752" s="79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43"/>
      <c r="T752" s="143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</row>
    <row r="753" ht="21.0" customHeight="1">
      <c r="A753" s="79"/>
      <c r="B753" s="79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43"/>
      <c r="T753" s="143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</row>
    <row r="754" ht="21.0" customHeight="1">
      <c r="A754" s="79"/>
      <c r="B754" s="79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43"/>
      <c r="T754" s="143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</row>
    <row r="755" ht="21.0" customHeight="1">
      <c r="A755" s="79"/>
      <c r="B755" s="79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43"/>
      <c r="T755" s="143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</row>
    <row r="756" ht="21.0" customHeight="1">
      <c r="A756" s="79"/>
      <c r="B756" s="79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43"/>
      <c r="T756" s="143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</row>
    <row r="757" ht="21.0" customHeight="1">
      <c r="A757" s="79"/>
      <c r="B757" s="79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43"/>
      <c r="T757" s="143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</row>
    <row r="758" ht="21.0" customHeight="1">
      <c r="A758" s="79"/>
      <c r="B758" s="79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43"/>
      <c r="T758" s="143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</row>
    <row r="759" ht="21.0" customHeight="1">
      <c r="A759" s="79"/>
      <c r="B759" s="79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43"/>
      <c r="T759" s="143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</row>
    <row r="760" ht="21.0" customHeight="1">
      <c r="A760" s="79"/>
      <c r="B760" s="79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43"/>
      <c r="T760" s="143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</row>
    <row r="761" ht="21.0" customHeight="1">
      <c r="A761" s="79"/>
      <c r="B761" s="79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43"/>
      <c r="T761" s="143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</row>
    <row r="762" ht="21.0" customHeight="1">
      <c r="A762" s="79"/>
      <c r="B762" s="79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43"/>
      <c r="T762" s="143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</row>
    <row r="763" ht="21.0" customHeight="1">
      <c r="A763" s="79"/>
      <c r="B763" s="79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43"/>
      <c r="T763" s="143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</row>
    <row r="764" ht="21.0" customHeight="1">
      <c r="A764" s="79"/>
      <c r="B764" s="79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43"/>
      <c r="T764" s="143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</row>
    <row r="765" ht="21.0" customHeight="1">
      <c r="A765" s="79"/>
      <c r="B765" s="79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43"/>
      <c r="T765" s="143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</row>
    <row r="766" ht="21.0" customHeight="1">
      <c r="A766" s="79"/>
      <c r="B766" s="79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43"/>
      <c r="T766" s="143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</row>
    <row r="767" ht="21.0" customHeight="1">
      <c r="A767" s="79"/>
      <c r="B767" s="79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43"/>
      <c r="T767" s="143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</row>
    <row r="768" ht="21.0" customHeight="1">
      <c r="A768" s="79"/>
      <c r="B768" s="79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43"/>
      <c r="T768" s="143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</row>
    <row r="769" ht="21.0" customHeight="1">
      <c r="A769" s="79"/>
      <c r="B769" s="79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43"/>
      <c r="T769" s="143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</row>
    <row r="770" ht="21.0" customHeight="1">
      <c r="A770" s="79"/>
      <c r="B770" s="79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43"/>
      <c r="T770" s="143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</row>
    <row r="771" ht="21.0" customHeight="1">
      <c r="A771" s="79"/>
      <c r="B771" s="79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43"/>
      <c r="T771" s="143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</row>
    <row r="772" ht="21.0" customHeight="1">
      <c r="A772" s="79"/>
      <c r="B772" s="79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43"/>
      <c r="T772" s="143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</row>
    <row r="773" ht="21.0" customHeight="1">
      <c r="A773" s="79"/>
      <c r="B773" s="79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43"/>
      <c r="T773" s="143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</row>
    <row r="774" ht="21.0" customHeight="1">
      <c r="A774" s="79"/>
      <c r="B774" s="79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43"/>
      <c r="T774" s="143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</row>
    <row r="775" ht="21.0" customHeight="1">
      <c r="A775" s="79"/>
      <c r="B775" s="79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43"/>
      <c r="T775" s="143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</row>
    <row r="776" ht="21.0" customHeight="1">
      <c r="A776" s="79"/>
      <c r="B776" s="79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43"/>
      <c r="T776" s="143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</row>
    <row r="777" ht="21.0" customHeight="1">
      <c r="A777" s="79"/>
      <c r="B777" s="79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43"/>
      <c r="T777" s="143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</row>
    <row r="778" ht="21.0" customHeight="1">
      <c r="A778" s="79"/>
      <c r="B778" s="79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43"/>
      <c r="T778" s="143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</row>
    <row r="779" ht="21.0" customHeight="1">
      <c r="A779" s="79"/>
      <c r="B779" s="79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43"/>
      <c r="T779" s="143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</row>
    <row r="780" ht="21.0" customHeight="1">
      <c r="A780" s="79"/>
      <c r="B780" s="79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43"/>
      <c r="T780" s="143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</row>
    <row r="781" ht="21.0" customHeight="1">
      <c r="A781" s="79"/>
      <c r="B781" s="79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43"/>
      <c r="T781" s="143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</row>
    <row r="782" ht="21.0" customHeight="1">
      <c r="A782" s="79"/>
      <c r="B782" s="79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43"/>
      <c r="T782" s="143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</row>
    <row r="783" ht="21.0" customHeight="1">
      <c r="A783" s="79"/>
      <c r="B783" s="79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43"/>
      <c r="T783" s="143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</row>
    <row r="784" ht="21.0" customHeight="1">
      <c r="A784" s="79"/>
      <c r="B784" s="79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43"/>
      <c r="T784" s="143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</row>
    <row r="785" ht="21.0" customHeight="1">
      <c r="A785" s="79"/>
      <c r="B785" s="79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43"/>
      <c r="T785" s="143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</row>
    <row r="786" ht="21.0" customHeight="1">
      <c r="A786" s="79"/>
      <c r="B786" s="79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43"/>
      <c r="T786" s="143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</row>
    <row r="787" ht="21.0" customHeight="1">
      <c r="A787" s="79"/>
      <c r="B787" s="79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43"/>
      <c r="T787" s="143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</row>
    <row r="788" ht="21.0" customHeight="1">
      <c r="A788" s="79"/>
      <c r="B788" s="79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43"/>
      <c r="T788" s="143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</row>
    <row r="789" ht="21.0" customHeight="1">
      <c r="A789" s="79"/>
      <c r="B789" s="79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43"/>
      <c r="T789" s="143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</row>
    <row r="790" ht="21.0" customHeight="1">
      <c r="A790" s="79"/>
      <c r="B790" s="79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43"/>
      <c r="T790" s="143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</row>
    <row r="791" ht="21.0" customHeight="1">
      <c r="A791" s="79"/>
      <c r="B791" s="79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43"/>
      <c r="T791" s="143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</row>
    <row r="792" ht="21.0" customHeight="1">
      <c r="A792" s="79"/>
      <c r="B792" s="79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43"/>
      <c r="T792" s="143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</row>
    <row r="793" ht="21.0" customHeight="1">
      <c r="A793" s="79"/>
      <c r="B793" s="79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43"/>
      <c r="T793" s="143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</row>
    <row r="794" ht="21.0" customHeight="1">
      <c r="A794" s="79"/>
      <c r="B794" s="79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43"/>
      <c r="T794" s="143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</row>
    <row r="795" ht="21.0" customHeight="1">
      <c r="A795" s="79"/>
      <c r="B795" s="79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43"/>
      <c r="T795" s="143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</row>
    <row r="796" ht="21.0" customHeight="1">
      <c r="A796" s="79"/>
      <c r="B796" s="79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43"/>
      <c r="T796" s="143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</row>
    <row r="797" ht="21.0" customHeight="1">
      <c r="A797" s="79"/>
      <c r="B797" s="79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43"/>
      <c r="T797" s="143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</row>
    <row r="798" ht="21.0" customHeight="1">
      <c r="A798" s="79"/>
      <c r="B798" s="79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43"/>
      <c r="T798" s="143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</row>
    <row r="799" ht="21.0" customHeight="1">
      <c r="A799" s="79"/>
      <c r="B799" s="79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43"/>
      <c r="T799" s="143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</row>
    <row r="800" ht="21.0" customHeight="1">
      <c r="A800" s="79"/>
      <c r="B800" s="79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43"/>
      <c r="T800" s="143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</row>
    <row r="801" ht="21.0" customHeight="1">
      <c r="A801" s="79"/>
      <c r="B801" s="79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43"/>
      <c r="T801" s="143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</row>
    <row r="802" ht="21.0" customHeight="1">
      <c r="A802" s="79"/>
      <c r="B802" s="79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43"/>
      <c r="T802" s="143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</row>
    <row r="803" ht="21.0" customHeight="1">
      <c r="A803" s="79"/>
      <c r="B803" s="79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43"/>
      <c r="T803" s="143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</row>
    <row r="804" ht="21.0" customHeight="1">
      <c r="A804" s="79"/>
      <c r="B804" s="79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43"/>
      <c r="T804" s="143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</row>
    <row r="805" ht="21.0" customHeight="1">
      <c r="A805" s="79"/>
      <c r="B805" s="79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43"/>
      <c r="T805" s="143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</row>
    <row r="806" ht="21.0" customHeight="1">
      <c r="A806" s="79"/>
      <c r="B806" s="79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43"/>
      <c r="T806" s="143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</row>
    <row r="807" ht="21.0" customHeight="1">
      <c r="A807" s="79"/>
      <c r="B807" s="79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43"/>
      <c r="T807" s="143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</row>
    <row r="808" ht="21.0" customHeight="1">
      <c r="A808" s="79"/>
      <c r="B808" s="79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43"/>
      <c r="T808" s="143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</row>
    <row r="809" ht="21.0" customHeight="1">
      <c r="A809" s="79"/>
      <c r="B809" s="79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43"/>
      <c r="T809" s="143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</row>
    <row r="810" ht="21.0" customHeight="1">
      <c r="A810" s="79"/>
      <c r="B810" s="79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43"/>
      <c r="T810" s="143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</row>
    <row r="811" ht="21.0" customHeight="1">
      <c r="A811" s="79"/>
      <c r="B811" s="79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43"/>
      <c r="T811" s="143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</row>
    <row r="812" ht="21.0" customHeight="1">
      <c r="A812" s="79"/>
      <c r="B812" s="79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43"/>
      <c r="T812" s="143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</row>
    <row r="813" ht="21.0" customHeight="1">
      <c r="A813" s="79"/>
      <c r="B813" s="79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43"/>
      <c r="T813" s="143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</row>
    <row r="814" ht="21.0" customHeight="1">
      <c r="A814" s="79"/>
      <c r="B814" s="79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43"/>
      <c r="T814" s="143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</row>
    <row r="815" ht="21.0" customHeight="1">
      <c r="A815" s="79"/>
      <c r="B815" s="79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43"/>
      <c r="T815" s="143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</row>
    <row r="816" ht="21.0" customHeight="1">
      <c r="A816" s="79"/>
      <c r="B816" s="79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43"/>
      <c r="T816" s="143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</row>
    <row r="817" ht="21.0" customHeight="1">
      <c r="A817" s="79"/>
      <c r="B817" s="79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43"/>
      <c r="T817" s="143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</row>
    <row r="818" ht="21.0" customHeight="1">
      <c r="A818" s="79"/>
      <c r="B818" s="79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43"/>
      <c r="T818" s="143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</row>
    <row r="819" ht="21.0" customHeight="1">
      <c r="A819" s="79"/>
      <c r="B819" s="79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43"/>
      <c r="T819" s="143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</row>
    <row r="820" ht="21.0" customHeight="1">
      <c r="A820" s="79"/>
      <c r="B820" s="79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43"/>
      <c r="T820" s="143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</row>
    <row r="821" ht="21.0" customHeight="1">
      <c r="A821" s="79"/>
      <c r="B821" s="79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43"/>
      <c r="T821" s="143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</row>
    <row r="822" ht="21.0" customHeight="1">
      <c r="A822" s="79"/>
      <c r="B822" s="79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43"/>
      <c r="T822" s="143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</row>
    <row r="823" ht="21.0" customHeight="1">
      <c r="A823" s="79"/>
      <c r="B823" s="79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43"/>
      <c r="T823" s="143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</row>
    <row r="824" ht="21.0" customHeight="1">
      <c r="A824" s="79"/>
      <c r="B824" s="79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43"/>
      <c r="T824" s="143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</row>
    <row r="825" ht="21.0" customHeight="1">
      <c r="A825" s="79"/>
      <c r="B825" s="79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43"/>
      <c r="T825" s="143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</row>
    <row r="826" ht="21.0" customHeight="1">
      <c r="A826" s="79"/>
      <c r="B826" s="79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43"/>
      <c r="T826" s="143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</row>
    <row r="827" ht="21.0" customHeight="1">
      <c r="A827" s="79"/>
      <c r="B827" s="79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43"/>
      <c r="T827" s="143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</row>
    <row r="828" ht="21.0" customHeight="1">
      <c r="A828" s="79"/>
      <c r="B828" s="79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43"/>
      <c r="T828" s="143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</row>
    <row r="829" ht="21.0" customHeight="1">
      <c r="A829" s="79"/>
      <c r="B829" s="79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43"/>
      <c r="T829" s="143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</row>
    <row r="830" ht="21.0" customHeight="1">
      <c r="A830" s="79"/>
      <c r="B830" s="79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43"/>
      <c r="T830" s="143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</row>
    <row r="831" ht="21.0" customHeight="1">
      <c r="A831" s="79"/>
      <c r="B831" s="79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43"/>
      <c r="T831" s="143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</row>
    <row r="832" ht="21.0" customHeight="1">
      <c r="A832" s="79"/>
      <c r="B832" s="79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43"/>
      <c r="T832" s="143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</row>
    <row r="833" ht="21.0" customHeight="1">
      <c r="A833" s="79"/>
      <c r="B833" s="79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43"/>
      <c r="T833" s="143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</row>
    <row r="834" ht="21.0" customHeight="1">
      <c r="A834" s="79"/>
      <c r="B834" s="79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43"/>
      <c r="T834" s="143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</row>
    <row r="835" ht="21.0" customHeight="1">
      <c r="A835" s="79"/>
      <c r="B835" s="79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43"/>
      <c r="T835" s="143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</row>
    <row r="836" ht="21.0" customHeight="1">
      <c r="A836" s="79"/>
      <c r="B836" s="79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43"/>
      <c r="T836" s="143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</row>
    <row r="837" ht="21.0" customHeight="1">
      <c r="A837" s="79"/>
      <c r="B837" s="79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43"/>
      <c r="T837" s="143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</row>
    <row r="838" ht="21.0" customHeight="1">
      <c r="A838" s="79"/>
      <c r="B838" s="79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43"/>
      <c r="T838" s="143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</row>
    <row r="839" ht="21.0" customHeight="1">
      <c r="A839" s="79"/>
      <c r="B839" s="79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43"/>
      <c r="T839" s="143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</row>
    <row r="840" ht="21.0" customHeight="1">
      <c r="A840" s="79"/>
      <c r="B840" s="79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43"/>
      <c r="T840" s="143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</row>
    <row r="841" ht="21.0" customHeight="1">
      <c r="A841" s="79"/>
      <c r="B841" s="79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43"/>
      <c r="T841" s="143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</row>
    <row r="842" ht="21.0" customHeight="1">
      <c r="A842" s="79"/>
      <c r="B842" s="79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43"/>
      <c r="T842" s="143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</row>
    <row r="843" ht="21.0" customHeight="1">
      <c r="A843" s="79"/>
      <c r="B843" s="79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43"/>
      <c r="T843" s="143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</row>
    <row r="844" ht="21.0" customHeight="1">
      <c r="A844" s="79"/>
      <c r="B844" s="79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43"/>
      <c r="T844" s="143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</row>
    <row r="845" ht="21.0" customHeight="1">
      <c r="A845" s="79"/>
      <c r="B845" s="79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43"/>
      <c r="T845" s="143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</row>
    <row r="846" ht="21.0" customHeight="1">
      <c r="A846" s="79"/>
      <c r="B846" s="79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43"/>
      <c r="T846" s="143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</row>
    <row r="847" ht="21.0" customHeight="1">
      <c r="A847" s="79"/>
      <c r="B847" s="79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43"/>
      <c r="T847" s="143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</row>
    <row r="848" ht="21.0" customHeight="1">
      <c r="A848" s="79"/>
      <c r="B848" s="79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43"/>
      <c r="T848" s="143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</row>
    <row r="849" ht="21.0" customHeight="1">
      <c r="A849" s="79"/>
      <c r="B849" s="79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43"/>
      <c r="T849" s="143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</row>
    <row r="850" ht="21.0" customHeight="1">
      <c r="A850" s="79"/>
      <c r="B850" s="79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43"/>
      <c r="T850" s="143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</row>
    <row r="851" ht="21.0" customHeight="1">
      <c r="A851" s="79"/>
      <c r="B851" s="79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43"/>
      <c r="T851" s="143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</row>
    <row r="852" ht="21.0" customHeight="1">
      <c r="A852" s="79"/>
      <c r="B852" s="79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43"/>
      <c r="T852" s="143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</row>
    <row r="853" ht="21.0" customHeight="1">
      <c r="A853" s="79"/>
      <c r="B853" s="79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43"/>
      <c r="T853" s="143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</row>
    <row r="854" ht="21.0" customHeight="1">
      <c r="A854" s="79"/>
      <c r="B854" s="79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43"/>
      <c r="T854" s="143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</row>
    <row r="855" ht="21.0" customHeight="1">
      <c r="A855" s="79"/>
      <c r="B855" s="79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43"/>
      <c r="T855" s="143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</row>
    <row r="856" ht="21.0" customHeight="1">
      <c r="A856" s="79"/>
      <c r="B856" s="79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43"/>
      <c r="T856" s="143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</row>
    <row r="857" ht="21.0" customHeight="1">
      <c r="A857" s="79"/>
      <c r="B857" s="79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43"/>
      <c r="T857" s="143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</row>
    <row r="858" ht="21.0" customHeight="1">
      <c r="A858" s="79"/>
      <c r="B858" s="79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43"/>
      <c r="T858" s="143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</row>
    <row r="859" ht="21.0" customHeight="1">
      <c r="A859" s="79"/>
      <c r="B859" s="79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43"/>
      <c r="T859" s="143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</row>
    <row r="860" ht="21.0" customHeight="1">
      <c r="A860" s="79"/>
      <c r="B860" s="79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43"/>
      <c r="T860" s="143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</row>
    <row r="861" ht="21.0" customHeight="1">
      <c r="A861" s="79"/>
      <c r="B861" s="79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43"/>
      <c r="T861" s="143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</row>
    <row r="862" ht="21.0" customHeight="1">
      <c r="A862" s="79"/>
      <c r="B862" s="79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43"/>
      <c r="T862" s="143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</row>
    <row r="863" ht="21.0" customHeight="1">
      <c r="A863" s="79"/>
      <c r="B863" s="79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43"/>
      <c r="T863" s="143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</row>
    <row r="864" ht="21.0" customHeight="1">
      <c r="A864" s="79"/>
      <c r="B864" s="79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43"/>
      <c r="T864" s="143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</row>
    <row r="865" ht="21.0" customHeight="1">
      <c r="A865" s="79"/>
      <c r="B865" s="79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43"/>
      <c r="T865" s="143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</row>
    <row r="866" ht="21.0" customHeight="1">
      <c r="A866" s="79"/>
      <c r="B866" s="79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43"/>
      <c r="T866" s="143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</row>
    <row r="867" ht="21.0" customHeight="1">
      <c r="A867" s="79"/>
      <c r="B867" s="79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43"/>
      <c r="T867" s="143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</row>
    <row r="868" ht="21.0" customHeight="1">
      <c r="A868" s="79"/>
      <c r="B868" s="79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43"/>
      <c r="T868" s="143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</row>
    <row r="869" ht="21.0" customHeight="1">
      <c r="A869" s="79"/>
      <c r="B869" s="79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43"/>
      <c r="T869" s="143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</row>
    <row r="870" ht="21.0" customHeight="1">
      <c r="A870" s="79"/>
      <c r="B870" s="79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43"/>
      <c r="T870" s="143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</row>
    <row r="871" ht="21.0" customHeight="1">
      <c r="A871" s="79"/>
      <c r="B871" s="79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43"/>
      <c r="T871" s="143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</row>
    <row r="872" ht="21.0" customHeight="1">
      <c r="A872" s="79"/>
      <c r="B872" s="79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43"/>
      <c r="T872" s="143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</row>
    <row r="873" ht="21.0" customHeight="1">
      <c r="A873" s="79"/>
      <c r="B873" s="79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43"/>
      <c r="T873" s="143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</row>
    <row r="874" ht="21.0" customHeight="1">
      <c r="A874" s="79"/>
      <c r="B874" s="79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43"/>
      <c r="T874" s="143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</row>
    <row r="875" ht="21.0" customHeight="1">
      <c r="A875" s="79"/>
      <c r="B875" s="79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43"/>
      <c r="T875" s="143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</row>
    <row r="876" ht="21.0" customHeight="1">
      <c r="A876" s="79"/>
      <c r="B876" s="79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43"/>
      <c r="T876" s="143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</row>
    <row r="877" ht="21.0" customHeight="1">
      <c r="A877" s="79"/>
      <c r="B877" s="79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43"/>
      <c r="T877" s="143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</row>
    <row r="878" ht="21.0" customHeight="1">
      <c r="A878" s="79"/>
      <c r="B878" s="79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43"/>
      <c r="T878" s="143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</row>
    <row r="879" ht="21.0" customHeight="1">
      <c r="A879" s="79"/>
      <c r="B879" s="79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43"/>
      <c r="T879" s="143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</row>
    <row r="880" ht="21.0" customHeight="1">
      <c r="A880" s="79"/>
      <c r="B880" s="79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43"/>
      <c r="T880" s="143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</row>
    <row r="881" ht="21.0" customHeight="1">
      <c r="A881" s="79"/>
      <c r="B881" s="79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43"/>
      <c r="T881" s="143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</row>
    <row r="882" ht="21.0" customHeight="1">
      <c r="A882" s="79"/>
      <c r="B882" s="79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43"/>
      <c r="T882" s="143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</row>
    <row r="883" ht="21.0" customHeight="1">
      <c r="A883" s="79"/>
      <c r="B883" s="79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43"/>
      <c r="T883" s="143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</row>
    <row r="884" ht="21.0" customHeight="1">
      <c r="A884" s="79"/>
      <c r="B884" s="79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43"/>
      <c r="T884" s="143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</row>
    <row r="885" ht="21.0" customHeight="1">
      <c r="A885" s="79"/>
      <c r="B885" s="79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43"/>
      <c r="T885" s="143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</row>
    <row r="886" ht="21.0" customHeight="1">
      <c r="A886" s="79"/>
      <c r="B886" s="79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43"/>
      <c r="T886" s="143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</row>
    <row r="887" ht="21.0" customHeight="1">
      <c r="A887" s="79"/>
      <c r="B887" s="79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43"/>
      <c r="T887" s="143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</row>
    <row r="888" ht="21.0" customHeight="1">
      <c r="A888" s="79"/>
      <c r="B888" s="79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43"/>
      <c r="T888" s="143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</row>
    <row r="889" ht="21.0" customHeight="1">
      <c r="A889" s="79"/>
      <c r="B889" s="79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43"/>
      <c r="T889" s="143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</row>
    <row r="890" ht="21.0" customHeight="1">
      <c r="A890" s="79"/>
      <c r="B890" s="79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43"/>
      <c r="T890" s="143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</row>
    <row r="891" ht="21.0" customHeight="1">
      <c r="A891" s="79"/>
      <c r="B891" s="79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43"/>
      <c r="T891" s="143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</row>
    <row r="892" ht="21.0" customHeight="1">
      <c r="A892" s="79"/>
      <c r="B892" s="79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43"/>
      <c r="T892" s="143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</row>
    <row r="893" ht="21.0" customHeight="1">
      <c r="A893" s="79"/>
      <c r="B893" s="79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43"/>
      <c r="T893" s="143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</row>
    <row r="894" ht="21.0" customHeight="1">
      <c r="A894" s="79"/>
      <c r="B894" s="79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43"/>
      <c r="T894" s="143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</row>
    <row r="895" ht="21.0" customHeight="1">
      <c r="A895" s="79"/>
      <c r="B895" s="79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43"/>
      <c r="T895" s="143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</row>
    <row r="896" ht="21.0" customHeight="1">
      <c r="A896" s="79"/>
      <c r="B896" s="79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43"/>
      <c r="T896" s="143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</row>
    <row r="897" ht="21.0" customHeight="1">
      <c r="A897" s="79"/>
      <c r="B897" s="79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43"/>
      <c r="T897" s="143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</row>
    <row r="898" ht="21.0" customHeight="1">
      <c r="A898" s="79"/>
      <c r="B898" s="79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43"/>
      <c r="T898" s="143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</row>
    <row r="899" ht="21.0" customHeight="1">
      <c r="A899" s="79"/>
      <c r="B899" s="79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43"/>
      <c r="T899" s="143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</row>
    <row r="900" ht="21.0" customHeight="1">
      <c r="A900" s="79"/>
      <c r="B900" s="79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43"/>
      <c r="T900" s="143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</row>
    <row r="901" ht="21.0" customHeight="1">
      <c r="A901" s="79"/>
      <c r="B901" s="79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43"/>
      <c r="T901" s="143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</row>
    <row r="902" ht="21.0" customHeight="1">
      <c r="A902" s="79"/>
      <c r="B902" s="79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43"/>
      <c r="T902" s="143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</row>
    <row r="903" ht="21.0" customHeight="1">
      <c r="A903" s="79"/>
      <c r="B903" s="79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43"/>
      <c r="T903" s="143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</row>
    <row r="904" ht="21.0" customHeight="1">
      <c r="A904" s="79"/>
      <c r="B904" s="79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43"/>
      <c r="T904" s="143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</row>
    <row r="905" ht="21.0" customHeight="1">
      <c r="A905" s="79"/>
      <c r="B905" s="79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43"/>
      <c r="T905" s="143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</row>
    <row r="906" ht="21.0" customHeight="1">
      <c r="A906" s="79"/>
      <c r="B906" s="79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43"/>
      <c r="T906" s="143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</row>
    <row r="907" ht="21.0" customHeight="1">
      <c r="A907" s="79"/>
      <c r="B907" s="79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43"/>
      <c r="T907" s="143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</row>
    <row r="908" ht="21.0" customHeight="1">
      <c r="A908" s="79"/>
      <c r="B908" s="79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43"/>
      <c r="T908" s="143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</row>
    <row r="909" ht="21.0" customHeight="1">
      <c r="A909" s="79"/>
      <c r="B909" s="79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43"/>
      <c r="T909" s="143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</row>
    <row r="910" ht="21.0" customHeight="1">
      <c r="A910" s="79"/>
      <c r="B910" s="79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43"/>
      <c r="T910" s="143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</row>
    <row r="911" ht="21.0" customHeight="1">
      <c r="A911" s="79"/>
      <c r="B911" s="79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43"/>
      <c r="T911" s="143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</row>
    <row r="912" ht="21.0" customHeight="1">
      <c r="A912" s="79"/>
      <c r="B912" s="79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43"/>
      <c r="T912" s="143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</row>
    <row r="913" ht="21.0" customHeight="1">
      <c r="A913" s="79"/>
      <c r="B913" s="79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43"/>
      <c r="T913" s="143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</row>
    <row r="914" ht="21.0" customHeight="1">
      <c r="A914" s="79"/>
      <c r="B914" s="79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43"/>
      <c r="T914" s="143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</row>
    <row r="915" ht="21.0" customHeight="1">
      <c r="A915" s="79"/>
      <c r="B915" s="79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43"/>
      <c r="T915" s="143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</row>
    <row r="916" ht="21.0" customHeight="1">
      <c r="A916" s="79"/>
      <c r="B916" s="79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43"/>
      <c r="T916" s="143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</row>
    <row r="917" ht="21.0" customHeight="1">
      <c r="A917" s="79"/>
      <c r="B917" s="79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43"/>
      <c r="T917" s="143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</row>
    <row r="918" ht="21.0" customHeight="1">
      <c r="A918" s="79"/>
      <c r="B918" s="79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43"/>
      <c r="T918" s="143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</row>
    <row r="919" ht="21.0" customHeight="1">
      <c r="A919" s="79"/>
      <c r="B919" s="79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43"/>
      <c r="T919" s="143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</row>
    <row r="920" ht="21.0" customHeight="1">
      <c r="A920" s="79"/>
      <c r="B920" s="79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43"/>
      <c r="T920" s="143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</row>
    <row r="921" ht="21.0" customHeight="1">
      <c r="A921" s="79"/>
      <c r="B921" s="79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43"/>
      <c r="T921" s="143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</row>
    <row r="922" ht="21.0" customHeight="1">
      <c r="A922" s="79"/>
      <c r="B922" s="79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43"/>
      <c r="T922" s="143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</row>
    <row r="923" ht="21.0" customHeight="1">
      <c r="A923" s="79"/>
      <c r="B923" s="79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43"/>
      <c r="T923" s="143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</row>
    <row r="924" ht="21.0" customHeight="1">
      <c r="A924" s="79"/>
      <c r="B924" s="79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43"/>
      <c r="T924" s="143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</row>
    <row r="925" ht="21.0" customHeight="1">
      <c r="A925" s="79"/>
      <c r="B925" s="79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43"/>
      <c r="T925" s="143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</row>
    <row r="926" ht="21.0" customHeight="1">
      <c r="A926" s="79"/>
      <c r="B926" s="79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43"/>
      <c r="T926" s="143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</row>
    <row r="927" ht="21.0" customHeight="1">
      <c r="A927" s="79"/>
      <c r="B927" s="79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43"/>
      <c r="T927" s="143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</row>
    <row r="928" ht="21.0" customHeight="1">
      <c r="A928" s="79"/>
      <c r="B928" s="79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43"/>
      <c r="T928" s="143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</row>
    <row r="929" ht="21.0" customHeight="1">
      <c r="A929" s="79"/>
      <c r="B929" s="79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43"/>
      <c r="T929" s="143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</row>
    <row r="930" ht="21.0" customHeight="1">
      <c r="A930" s="79"/>
      <c r="B930" s="79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43"/>
      <c r="T930" s="143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</row>
    <row r="931" ht="21.0" customHeight="1">
      <c r="A931" s="79"/>
      <c r="B931" s="79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43"/>
      <c r="T931" s="143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</row>
    <row r="932" ht="21.0" customHeight="1">
      <c r="A932" s="79"/>
      <c r="B932" s="79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43"/>
      <c r="T932" s="143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</row>
    <row r="933" ht="21.0" customHeight="1">
      <c r="A933" s="79"/>
      <c r="B933" s="79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43"/>
      <c r="T933" s="143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</row>
    <row r="934" ht="21.0" customHeight="1">
      <c r="A934" s="79"/>
      <c r="B934" s="79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43"/>
      <c r="T934" s="143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</row>
    <row r="935" ht="21.0" customHeight="1">
      <c r="A935" s="79"/>
      <c r="B935" s="79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43"/>
      <c r="T935" s="143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</row>
    <row r="936" ht="21.0" customHeight="1">
      <c r="A936" s="79"/>
      <c r="B936" s="79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43"/>
      <c r="T936" s="143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</row>
    <row r="937" ht="21.0" customHeight="1">
      <c r="A937" s="79"/>
      <c r="B937" s="79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43"/>
      <c r="T937" s="143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</row>
    <row r="938" ht="21.0" customHeight="1">
      <c r="A938" s="79"/>
      <c r="B938" s="79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43"/>
      <c r="T938" s="143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</row>
    <row r="939" ht="21.0" customHeight="1">
      <c r="A939" s="79"/>
      <c r="B939" s="79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43"/>
      <c r="T939" s="143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</row>
    <row r="940" ht="21.0" customHeight="1">
      <c r="A940" s="79"/>
      <c r="B940" s="79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43"/>
      <c r="T940" s="143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</row>
    <row r="941" ht="21.0" customHeight="1">
      <c r="A941" s="79"/>
      <c r="B941" s="79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43"/>
      <c r="T941" s="143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</row>
    <row r="942" ht="21.0" customHeight="1">
      <c r="A942" s="79"/>
      <c r="B942" s="79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43"/>
      <c r="T942" s="143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</row>
    <row r="943" ht="21.0" customHeight="1">
      <c r="A943" s="79"/>
      <c r="B943" s="79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43"/>
      <c r="T943" s="143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</row>
    <row r="944" ht="21.0" customHeight="1">
      <c r="A944" s="79"/>
      <c r="B944" s="79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43"/>
      <c r="T944" s="143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</row>
    <row r="945" ht="21.0" customHeight="1">
      <c r="A945" s="79"/>
      <c r="B945" s="79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43"/>
      <c r="T945" s="143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</row>
    <row r="946" ht="21.0" customHeight="1">
      <c r="A946" s="79"/>
      <c r="B946" s="79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43"/>
      <c r="T946" s="143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</row>
    <row r="947" ht="21.0" customHeight="1">
      <c r="A947" s="79"/>
      <c r="B947" s="79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43"/>
      <c r="T947" s="143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</row>
    <row r="948" ht="21.0" customHeight="1">
      <c r="A948" s="79"/>
      <c r="B948" s="79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43"/>
      <c r="T948" s="143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</row>
    <row r="949" ht="21.0" customHeight="1">
      <c r="A949" s="79"/>
      <c r="B949" s="79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43"/>
      <c r="T949" s="143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</row>
    <row r="950" ht="21.0" customHeight="1">
      <c r="A950" s="79"/>
      <c r="B950" s="79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43"/>
      <c r="T950" s="143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</row>
    <row r="951" ht="21.0" customHeight="1">
      <c r="A951" s="79"/>
      <c r="B951" s="79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43"/>
      <c r="T951" s="143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</row>
    <row r="952" ht="21.0" customHeight="1">
      <c r="A952" s="79"/>
      <c r="B952" s="79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43"/>
      <c r="T952" s="143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</row>
    <row r="953" ht="21.0" customHeight="1">
      <c r="A953" s="79"/>
      <c r="B953" s="79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43"/>
      <c r="T953" s="143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</row>
    <row r="954" ht="21.0" customHeight="1">
      <c r="A954" s="79"/>
      <c r="B954" s="79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43"/>
      <c r="T954" s="143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</row>
    <row r="955" ht="21.0" customHeight="1">
      <c r="A955" s="79"/>
      <c r="B955" s="79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43"/>
      <c r="T955" s="143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</row>
    <row r="956" ht="21.0" customHeight="1">
      <c r="A956" s="79"/>
      <c r="B956" s="79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43"/>
      <c r="T956" s="143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</row>
    <row r="957" ht="21.0" customHeight="1">
      <c r="A957" s="79"/>
      <c r="B957" s="79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43"/>
      <c r="T957" s="143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</row>
    <row r="958" ht="21.0" customHeight="1">
      <c r="A958" s="79"/>
      <c r="B958" s="79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43"/>
      <c r="T958" s="143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</row>
    <row r="959" ht="21.0" customHeight="1">
      <c r="A959" s="79"/>
      <c r="B959" s="79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43"/>
      <c r="T959" s="143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</row>
    <row r="960" ht="21.0" customHeight="1">
      <c r="A960" s="79"/>
      <c r="B960" s="79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43"/>
      <c r="T960" s="143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</row>
    <row r="961" ht="21.0" customHeight="1">
      <c r="A961" s="79"/>
      <c r="B961" s="79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43"/>
      <c r="T961" s="143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</row>
    <row r="962" ht="21.0" customHeight="1">
      <c r="A962" s="79"/>
      <c r="B962" s="79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43"/>
      <c r="T962" s="143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</row>
    <row r="963" ht="21.0" customHeight="1">
      <c r="A963" s="79"/>
      <c r="B963" s="79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43"/>
      <c r="T963" s="143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</row>
    <row r="964" ht="21.0" customHeight="1">
      <c r="A964" s="79"/>
      <c r="B964" s="79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43"/>
      <c r="T964" s="143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</row>
    <row r="965" ht="21.0" customHeight="1">
      <c r="A965" s="79"/>
      <c r="B965" s="79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43"/>
      <c r="T965" s="143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</row>
    <row r="966" ht="21.0" customHeight="1">
      <c r="A966" s="79"/>
      <c r="B966" s="79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43"/>
      <c r="T966" s="143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</row>
    <row r="967" ht="21.0" customHeight="1">
      <c r="A967" s="79"/>
      <c r="B967" s="79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43"/>
      <c r="T967" s="143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</row>
    <row r="968" ht="21.0" customHeight="1">
      <c r="A968" s="79"/>
      <c r="B968" s="79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43"/>
      <c r="T968" s="143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</row>
    <row r="969" ht="21.0" customHeight="1">
      <c r="A969" s="79"/>
      <c r="B969" s="79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43"/>
      <c r="T969" s="143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</row>
    <row r="970" ht="21.0" customHeight="1">
      <c r="A970" s="79"/>
      <c r="B970" s="79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43"/>
      <c r="T970" s="143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</row>
    <row r="971" ht="21.0" customHeight="1">
      <c r="A971" s="79"/>
      <c r="B971" s="79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43"/>
      <c r="T971" s="143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</row>
    <row r="972" ht="21.0" customHeight="1">
      <c r="A972" s="79"/>
      <c r="B972" s="79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43"/>
      <c r="T972" s="143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</row>
    <row r="973" ht="21.0" customHeight="1">
      <c r="A973" s="79"/>
      <c r="B973" s="79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43"/>
      <c r="T973" s="143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</row>
    <row r="974" ht="21.0" customHeight="1">
      <c r="A974" s="79"/>
      <c r="B974" s="79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43"/>
      <c r="T974" s="143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</row>
    <row r="975" ht="21.0" customHeight="1">
      <c r="A975" s="79"/>
      <c r="B975" s="79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43"/>
      <c r="T975" s="143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</row>
    <row r="976" ht="21.0" customHeight="1">
      <c r="A976" s="79"/>
      <c r="B976" s="79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43"/>
      <c r="T976" s="143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</row>
    <row r="977" ht="21.0" customHeight="1">
      <c r="A977" s="79"/>
      <c r="B977" s="79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43"/>
      <c r="T977" s="143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</row>
    <row r="978" ht="21.0" customHeight="1">
      <c r="A978" s="79"/>
      <c r="B978" s="79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43"/>
      <c r="T978" s="143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</row>
    <row r="979" ht="21.0" customHeight="1">
      <c r="A979" s="79"/>
      <c r="B979" s="79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43"/>
      <c r="T979" s="143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</row>
    <row r="980" ht="21.0" customHeight="1">
      <c r="A980" s="79"/>
      <c r="B980" s="79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43"/>
      <c r="T980" s="143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</row>
    <row r="981" ht="21.0" customHeight="1">
      <c r="A981" s="79"/>
      <c r="B981" s="79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43"/>
      <c r="T981" s="143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</row>
    <row r="982" ht="21.0" customHeight="1">
      <c r="A982" s="79"/>
      <c r="B982" s="79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43"/>
      <c r="T982" s="143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</row>
    <row r="983" ht="21.0" customHeight="1">
      <c r="A983" s="79"/>
      <c r="B983" s="79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43"/>
      <c r="T983" s="143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</row>
    <row r="984" ht="21.0" customHeight="1">
      <c r="A984" s="79"/>
      <c r="B984" s="79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43"/>
      <c r="T984" s="143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</row>
    <row r="985" ht="21.0" customHeight="1">
      <c r="A985" s="79"/>
      <c r="B985" s="79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43"/>
      <c r="T985" s="143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</row>
    <row r="986" ht="21.0" customHeight="1">
      <c r="A986" s="79"/>
      <c r="B986" s="79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43"/>
      <c r="T986" s="143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</row>
    <row r="987" ht="21.0" customHeight="1">
      <c r="A987" s="79"/>
      <c r="B987" s="79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43"/>
      <c r="T987" s="143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</row>
    <row r="988" ht="21.0" customHeight="1">
      <c r="A988" s="79"/>
      <c r="B988" s="79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43"/>
      <c r="T988" s="143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</row>
    <row r="989" ht="21.0" customHeight="1">
      <c r="A989" s="79"/>
      <c r="B989" s="79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43"/>
      <c r="T989" s="143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</row>
    <row r="990" ht="21.0" customHeight="1">
      <c r="A990" s="79"/>
      <c r="B990" s="79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43"/>
      <c r="T990" s="143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</row>
    <row r="991" ht="21.0" customHeight="1">
      <c r="A991" s="79"/>
      <c r="B991" s="79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43"/>
      <c r="T991" s="143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</row>
    <row r="992" ht="21.0" customHeight="1">
      <c r="A992" s="79"/>
      <c r="B992" s="79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43"/>
      <c r="T992" s="143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</row>
    <row r="993" ht="21.0" customHeight="1">
      <c r="A993" s="79"/>
      <c r="B993" s="79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43"/>
      <c r="T993" s="143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</row>
    <row r="994" ht="21.0" customHeight="1">
      <c r="A994" s="79"/>
      <c r="B994" s="79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43"/>
      <c r="T994" s="143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</row>
    <row r="995" ht="21.0" customHeight="1">
      <c r="A995" s="79"/>
      <c r="B995" s="79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43"/>
      <c r="T995" s="143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</row>
    <row r="996" ht="21.0" customHeight="1">
      <c r="A996" s="79"/>
      <c r="B996" s="79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43"/>
      <c r="T996" s="143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</row>
    <row r="997" ht="21.0" customHeight="1">
      <c r="A997" s="79"/>
      <c r="B997" s="79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43"/>
      <c r="T997" s="143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</row>
    <row r="998" ht="21.0" customHeight="1">
      <c r="A998" s="79"/>
      <c r="B998" s="79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43"/>
      <c r="T998" s="143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</row>
    <row r="999" ht="21.0" customHeight="1">
      <c r="A999" s="79"/>
      <c r="B999" s="79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43"/>
      <c r="T999" s="143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</row>
    <row r="1000" ht="21.0" customHeight="1">
      <c r="A1000" s="79"/>
      <c r="B1000" s="79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43"/>
      <c r="T1000" s="143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</row>
  </sheetData>
  <autoFilter ref="$A$2:$U$25"/>
  <mergeCells count="4">
    <mergeCell ref="E1:G1"/>
    <mergeCell ref="H1:K1"/>
    <mergeCell ref="M1:Q1"/>
    <mergeCell ref="S1:T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2.0"/>
    <col customWidth="1" min="3" max="3" width="18.13"/>
    <col customWidth="1" min="4" max="4" width="20.5"/>
    <col customWidth="1" min="5" max="5" width="25.38"/>
    <col customWidth="1" min="6" max="9" width="20.5"/>
    <col customWidth="1" min="10" max="10" width="24.25"/>
    <col customWidth="1" min="11" max="11" width="20.88"/>
    <col customWidth="1" min="12" max="13" width="17.38"/>
    <col customWidth="1" min="14" max="15" width="17.5"/>
    <col customWidth="1" min="16" max="16" width="13.63"/>
    <col customWidth="1" min="17" max="17" width="21.38"/>
    <col customWidth="1" min="18" max="19" width="24.63"/>
    <col customWidth="1" min="20" max="20" width="15.88"/>
    <col customWidth="1" min="21" max="21" width="21.38"/>
    <col customWidth="1" min="22" max="22" width="21.5"/>
    <col customWidth="1" min="23" max="23" width="17.63"/>
    <col customWidth="1" min="24" max="24" width="16.75"/>
    <col customWidth="1" min="25" max="25" width="15.38"/>
    <col customWidth="1" min="26" max="27" width="16.38"/>
    <col customWidth="1" min="28" max="39" width="8.63"/>
  </cols>
  <sheetData>
    <row r="1" ht="36.0" customHeight="1">
      <c r="A1" s="78" t="s">
        <v>193</v>
      </c>
      <c r="Z1" s="103"/>
      <c r="AA1" s="103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</row>
    <row r="2" ht="34.5" customHeight="1">
      <c r="A2" s="80" t="s">
        <v>194</v>
      </c>
      <c r="B2" s="81"/>
      <c r="C2" s="81"/>
      <c r="D2" s="81"/>
      <c r="E2" s="81"/>
      <c r="F2" s="81"/>
      <c r="G2" s="81"/>
      <c r="H2" s="81"/>
      <c r="I2" s="81"/>
      <c r="J2" s="144" t="s">
        <v>195</v>
      </c>
      <c r="K2" s="84"/>
      <c r="L2" s="145" t="s">
        <v>196</v>
      </c>
      <c r="M2" s="82" t="s">
        <v>197</v>
      </c>
      <c r="N2" s="83"/>
      <c r="O2" s="83"/>
      <c r="P2" s="83"/>
      <c r="Q2" s="83"/>
      <c r="R2" s="83"/>
      <c r="S2" s="83"/>
      <c r="T2" s="83"/>
      <c r="U2" s="83"/>
      <c r="V2" s="84"/>
      <c r="W2" s="85" t="s">
        <v>135</v>
      </c>
      <c r="X2" s="83"/>
      <c r="Y2" s="84"/>
      <c r="Z2" s="86" t="s">
        <v>198</v>
      </c>
      <c r="AA2" s="84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</row>
    <row r="3" ht="21.0" customHeight="1">
      <c r="A3" s="88" t="s">
        <v>81</v>
      </c>
      <c r="B3" s="88" t="s">
        <v>64</v>
      </c>
      <c r="C3" s="89" t="s">
        <v>5</v>
      </c>
      <c r="D3" s="89" t="s">
        <v>82</v>
      </c>
      <c r="E3" s="89" t="s">
        <v>199</v>
      </c>
      <c r="F3" s="89" t="s">
        <v>200</v>
      </c>
      <c r="G3" s="89" t="s">
        <v>201</v>
      </c>
      <c r="H3" s="89" t="s">
        <v>202</v>
      </c>
      <c r="I3" s="89" t="s">
        <v>166</v>
      </c>
      <c r="J3" s="122" t="s">
        <v>203</v>
      </c>
      <c r="K3" s="122" t="s">
        <v>204</v>
      </c>
      <c r="L3" s="146" t="s">
        <v>205</v>
      </c>
      <c r="M3" s="90" t="s">
        <v>206</v>
      </c>
      <c r="N3" s="90" t="s">
        <v>207</v>
      </c>
      <c r="O3" s="90" t="s">
        <v>208</v>
      </c>
      <c r="P3" s="90" t="s">
        <v>138</v>
      </c>
      <c r="Q3" s="90" t="s">
        <v>139</v>
      </c>
      <c r="R3" s="90" t="s">
        <v>209</v>
      </c>
      <c r="S3" s="90" t="s">
        <v>210</v>
      </c>
      <c r="T3" s="90" t="s">
        <v>69</v>
      </c>
      <c r="U3" s="90" t="s">
        <v>70</v>
      </c>
      <c r="V3" s="90" t="s">
        <v>71</v>
      </c>
      <c r="W3" s="91" t="s">
        <v>140</v>
      </c>
      <c r="X3" s="91" t="s">
        <v>141</v>
      </c>
      <c r="Y3" s="91" t="s">
        <v>143</v>
      </c>
      <c r="Z3" s="92" t="s">
        <v>211</v>
      </c>
      <c r="AA3" s="92" t="s">
        <v>27</v>
      </c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</row>
    <row r="4" ht="21.0" customHeight="1">
      <c r="A4" s="94">
        <v>1.72021868E8</v>
      </c>
      <c r="B4" s="94" t="s">
        <v>53</v>
      </c>
      <c r="C4" s="95">
        <v>8.130095E7</v>
      </c>
      <c r="D4" s="95">
        <v>2.911734497E9</v>
      </c>
      <c r="E4" s="95">
        <v>4.93255744E8</v>
      </c>
      <c r="F4" s="95">
        <v>3060977.0</v>
      </c>
      <c r="G4" s="95">
        <v>2.3131629E7</v>
      </c>
      <c r="H4" s="95">
        <v>6461692.0</v>
      </c>
      <c r="I4" s="95">
        <v>612626.0</v>
      </c>
      <c r="J4" s="147">
        <v>2.794935936173155E8</v>
      </c>
      <c r="K4" s="147">
        <v>1.4419658058912042E8</v>
      </c>
      <c r="L4" s="148">
        <v>4.28657931989607E8</v>
      </c>
      <c r="M4" s="149">
        <v>5766.0</v>
      </c>
      <c r="N4" s="149">
        <v>4755581.0</v>
      </c>
      <c r="O4" s="149">
        <v>4.0653077E7</v>
      </c>
      <c r="P4" s="96">
        <v>4.5408658E7</v>
      </c>
      <c r="Q4" s="96">
        <v>1.13058E7</v>
      </c>
      <c r="R4" s="96">
        <v>0.0</v>
      </c>
      <c r="S4" s="96">
        <v>824155.0</v>
      </c>
      <c r="T4" s="96">
        <v>824155.0</v>
      </c>
      <c r="U4" s="96">
        <v>-2005450.0</v>
      </c>
      <c r="V4" s="96">
        <v>8.60632087E8</v>
      </c>
      <c r="W4" s="97">
        <v>3.07925514807464</v>
      </c>
      <c r="X4" s="97">
        <v>1.1430992283352137</v>
      </c>
      <c r="Y4" s="97">
        <v>2.00773629221182</v>
      </c>
      <c r="Z4" s="98">
        <f t="shared" ref="Z4:Z50" si="1">RANK(Y4,($Y$4:$Y$50),0)+COUNTIF($Y4:Y$50,Y4)-1</f>
        <v>1</v>
      </c>
      <c r="AA4" s="98">
        <f t="shared" ref="AA4:AA50" si="2">RANK(V4,($V$4:$V$50),0)+COUNTIF($V4:V$50,V4)-1</f>
        <v>4</v>
      </c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</row>
    <row r="5" ht="21.0" customHeight="1">
      <c r="A5" s="94">
        <v>6.7071592E7</v>
      </c>
      <c r="B5" s="94" t="s">
        <v>91</v>
      </c>
      <c r="C5" s="95">
        <v>8.7838354E7</v>
      </c>
      <c r="D5" s="95">
        <v>1.2752558673E10</v>
      </c>
      <c r="E5" s="95">
        <v>5.75717045E8</v>
      </c>
      <c r="F5" s="95">
        <v>3041960.0</v>
      </c>
      <c r="G5" s="95">
        <v>2.7263162E7</v>
      </c>
      <c r="H5" s="95">
        <v>7295535.0</v>
      </c>
      <c r="I5" s="95">
        <v>46282.0</v>
      </c>
      <c r="J5" s="147">
        <v>3.29870958304223E8</v>
      </c>
      <c r="K5" s="147">
        <v>1.6599433370356545E8</v>
      </c>
      <c r="L5" s="148">
        <v>4.989693552592312E8</v>
      </c>
      <c r="M5" s="149">
        <v>9165.0</v>
      </c>
      <c r="N5" s="149">
        <v>5500139.0</v>
      </c>
      <c r="O5" s="149">
        <v>4.2524619E7</v>
      </c>
      <c r="P5" s="96">
        <v>4.8024758E7</v>
      </c>
      <c r="Q5" s="96">
        <v>1.1586902E7</v>
      </c>
      <c r="R5" s="96">
        <v>2511.0</v>
      </c>
      <c r="S5" s="96">
        <v>153967.0</v>
      </c>
      <c r="T5" s="96">
        <v>156478.0</v>
      </c>
      <c r="U5" s="96">
        <v>-1454555.0</v>
      </c>
      <c r="V5" s="96">
        <v>9.05541751E8</v>
      </c>
      <c r="W5" s="97">
        <v>2.745139358903082</v>
      </c>
      <c r="X5" s="97">
        <v>0.18702144409001104</v>
      </c>
      <c r="Y5" s="97">
        <v>1.8148243804061692</v>
      </c>
      <c r="Z5" s="98">
        <f t="shared" si="1"/>
        <v>2</v>
      </c>
      <c r="AA5" s="98">
        <f t="shared" si="2"/>
        <v>3</v>
      </c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</row>
    <row r="6" ht="21.0" customHeight="1">
      <c r="A6" s="94">
        <v>1.4361245E8</v>
      </c>
      <c r="B6" s="94" t="s">
        <v>131</v>
      </c>
      <c r="C6" s="95">
        <v>6.9036342E7</v>
      </c>
      <c r="D6" s="95">
        <v>1.086140242E9</v>
      </c>
      <c r="E6" s="95">
        <v>1.79980551E8</v>
      </c>
      <c r="F6" s="95">
        <v>1310213.0</v>
      </c>
      <c r="G6" s="95">
        <v>8343490.0</v>
      </c>
      <c r="H6" s="95">
        <v>2654034.0</v>
      </c>
      <c r="I6" s="95">
        <v>949769.0</v>
      </c>
      <c r="J6" s="147">
        <v>8.451634223689097E7</v>
      </c>
      <c r="K6" s="147">
        <v>4.090529053794592E7</v>
      </c>
      <c r="L6" s="148">
        <v>1.3733209299332517E8</v>
      </c>
      <c r="M6" s="149">
        <v>543.0</v>
      </c>
      <c r="N6" s="149">
        <v>1511463.0</v>
      </c>
      <c r="O6" s="149">
        <v>1.0489826E7</v>
      </c>
      <c r="P6" s="96">
        <v>1.2001289E7</v>
      </c>
      <c r="Q6" s="96">
        <v>3254255.0</v>
      </c>
      <c r="R6" s="96">
        <v>826623.0</v>
      </c>
      <c r="S6" s="96">
        <v>174573.0</v>
      </c>
      <c r="T6" s="96">
        <v>1001196.0</v>
      </c>
      <c r="U6" s="96">
        <v>1.9926283E7</v>
      </c>
      <c r="V6" s="96">
        <v>2.24920104E8</v>
      </c>
      <c r="W6" s="97">
        <v>2.6612616926744312</v>
      </c>
      <c r="X6" s="97">
        <v>2.874369023022326</v>
      </c>
      <c r="Y6" s="97">
        <v>1.6377825393728755</v>
      </c>
      <c r="Z6" s="98">
        <f t="shared" si="1"/>
        <v>3</v>
      </c>
      <c r="AA6" s="98">
        <f t="shared" si="2"/>
        <v>18</v>
      </c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</row>
    <row r="7" ht="21.0" customHeight="1">
      <c r="A7" s="94">
        <v>2463403.0</v>
      </c>
      <c r="B7" s="94" t="s">
        <v>90</v>
      </c>
      <c r="C7" s="95">
        <v>8.0833891E7</v>
      </c>
      <c r="D7" s="95">
        <v>1.029504633E10</v>
      </c>
      <c r="E7" s="95">
        <v>3.62763718E8</v>
      </c>
      <c r="F7" s="95">
        <v>2954834.0</v>
      </c>
      <c r="G7" s="95">
        <v>1.6659822E7</v>
      </c>
      <c r="H7" s="95">
        <v>5191078.0</v>
      </c>
      <c r="I7" s="95">
        <v>736690.0</v>
      </c>
      <c r="J7" s="147">
        <v>3.5499018447162634E8</v>
      </c>
      <c r="K7" s="147">
        <v>1.7649281732316664E8</v>
      </c>
      <c r="L7" s="148">
        <v>5.336524959861897E8</v>
      </c>
      <c r="M7" s="149">
        <v>11092.0</v>
      </c>
      <c r="N7" s="149">
        <v>5378551.0</v>
      </c>
      <c r="O7" s="149">
        <v>3.7071713E7</v>
      </c>
      <c r="P7" s="96">
        <v>4.2450264E7</v>
      </c>
      <c r="Q7" s="96">
        <v>1.1070436E7</v>
      </c>
      <c r="R7" s="96">
        <v>0.0</v>
      </c>
      <c r="S7" s="96">
        <v>1681534.0</v>
      </c>
      <c r="T7" s="96">
        <v>1681534.0</v>
      </c>
      <c r="U7" s="96">
        <v>-2861720.0</v>
      </c>
      <c r="V7" s="96">
        <v>7.95295E8</v>
      </c>
      <c r="W7" s="97">
        <v>2.2403295493472055</v>
      </c>
      <c r="X7" s="97">
        <v>1.905498507535332</v>
      </c>
      <c r="Y7" s="97">
        <v>1.4902862930122625</v>
      </c>
      <c r="Z7" s="98">
        <f t="shared" si="1"/>
        <v>4</v>
      </c>
      <c r="AA7" s="98">
        <f t="shared" si="2"/>
        <v>5</v>
      </c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</row>
    <row r="8" ht="21.0" customHeight="1">
      <c r="A8" s="94">
        <v>1.36662717E8</v>
      </c>
      <c r="B8" s="94" t="s">
        <v>128</v>
      </c>
      <c r="C8" s="95">
        <v>5.2278441E7</v>
      </c>
      <c r="D8" s="95">
        <v>1.083803066E9</v>
      </c>
      <c r="E8" s="95">
        <v>1.56870949E8</v>
      </c>
      <c r="F8" s="95">
        <v>1447970.0</v>
      </c>
      <c r="G8" s="95">
        <v>7119520.0</v>
      </c>
      <c r="H8" s="95">
        <v>2181337.0</v>
      </c>
      <c r="I8" s="95">
        <v>970925.0</v>
      </c>
      <c r="J8" s="147">
        <v>1.0667761826132219E8</v>
      </c>
      <c r="K8" s="147">
        <v>5.566598881126424E7</v>
      </c>
      <c r="L8" s="148">
        <v>1.735081102992313E8</v>
      </c>
      <c r="M8" s="149">
        <v>915.0</v>
      </c>
      <c r="N8" s="149">
        <v>1731863.0</v>
      </c>
      <c r="O8" s="149">
        <v>1.1586582E7</v>
      </c>
      <c r="P8" s="96">
        <v>1.3318445E7</v>
      </c>
      <c r="Q8" s="96">
        <v>3395446.0</v>
      </c>
      <c r="R8" s="96">
        <v>1054618.0</v>
      </c>
      <c r="S8" s="96">
        <v>0.0</v>
      </c>
      <c r="T8" s="96">
        <v>1054618.0</v>
      </c>
      <c r="U8" s="96">
        <v>-2534518.0</v>
      </c>
      <c r="V8" s="96">
        <v>2.49052307E8</v>
      </c>
      <c r="W8" s="97">
        <v>2.3346256793051987</v>
      </c>
      <c r="X8" s="97">
        <v>1.8945464232669729</v>
      </c>
      <c r="Y8" s="97">
        <v>1.4353928849232784</v>
      </c>
      <c r="Z8" s="98">
        <f t="shared" si="1"/>
        <v>5</v>
      </c>
      <c r="AA8" s="98">
        <f t="shared" si="2"/>
        <v>14</v>
      </c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</row>
    <row r="9" ht="21.0" customHeight="1">
      <c r="A9" s="94">
        <v>7.5481347E7</v>
      </c>
      <c r="B9" s="94" t="s">
        <v>55</v>
      </c>
      <c r="C9" s="95">
        <v>1.23003111E8</v>
      </c>
      <c r="D9" s="95">
        <v>1.4748158651E10</v>
      </c>
      <c r="E9" s="95">
        <v>6.2096691E8</v>
      </c>
      <c r="F9" s="95">
        <v>4862207.0</v>
      </c>
      <c r="G9" s="95">
        <v>2.861374E7</v>
      </c>
      <c r="H9" s="95">
        <v>1.0085372E7</v>
      </c>
      <c r="I9" s="95">
        <v>2779426.0</v>
      </c>
      <c r="J9" s="147">
        <v>5.974473289798528E8</v>
      </c>
      <c r="K9" s="147">
        <v>2.6952066418450874E8</v>
      </c>
      <c r="L9" s="148">
        <v>8.599981135136765E8</v>
      </c>
      <c r="M9" s="149">
        <v>69572.0</v>
      </c>
      <c r="N9" s="149">
        <v>8655227.0</v>
      </c>
      <c r="O9" s="149">
        <v>5.4376764E7</v>
      </c>
      <c r="P9" s="96">
        <v>6.3031991E7</v>
      </c>
      <c r="Q9" s="96">
        <v>1.8444267E7</v>
      </c>
      <c r="R9" s="96">
        <v>0.0</v>
      </c>
      <c r="S9" s="96">
        <v>3262800.0</v>
      </c>
      <c r="T9" s="96">
        <v>3262800.0</v>
      </c>
      <c r="U9" s="96">
        <v>9573080.0</v>
      </c>
      <c r="V9" s="96">
        <v>1.174227156E9</v>
      </c>
      <c r="W9" s="97">
        <v>1.965406989106478</v>
      </c>
      <c r="X9" s="97">
        <v>2.4211872658241513</v>
      </c>
      <c r="Y9" s="97">
        <v>1.3653834090431716</v>
      </c>
      <c r="Z9" s="98">
        <f t="shared" si="1"/>
        <v>6</v>
      </c>
      <c r="AA9" s="98">
        <f t="shared" si="2"/>
        <v>1</v>
      </c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</row>
    <row r="10" ht="21.0" customHeight="1">
      <c r="A10" s="94">
        <v>1.71503078E8</v>
      </c>
      <c r="B10" s="94" t="s">
        <v>101</v>
      </c>
      <c r="C10" s="95">
        <v>7.431588E7</v>
      </c>
      <c r="D10" s="95">
        <v>2.588998207E9</v>
      </c>
      <c r="E10" s="95">
        <v>1.8843228E8</v>
      </c>
      <c r="F10" s="95">
        <v>847207.0</v>
      </c>
      <c r="G10" s="95">
        <v>8997955.0</v>
      </c>
      <c r="H10" s="95">
        <v>2366075.0</v>
      </c>
      <c r="I10" s="95">
        <v>302903.0</v>
      </c>
      <c r="J10" s="147">
        <v>2.5461936073519295E8</v>
      </c>
      <c r="K10" s="147">
        <v>1.3299623835683888E8</v>
      </c>
      <c r="L10" s="148">
        <v>3.934973199668402E8</v>
      </c>
      <c r="M10" s="149">
        <v>11823.0</v>
      </c>
      <c r="N10" s="149">
        <v>2511412.0</v>
      </c>
      <c r="O10" s="149">
        <v>2.3392872E7</v>
      </c>
      <c r="P10" s="96">
        <v>2.5904284E7</v>
      </c>
      <c r="Q10" s="96">
        <v>6124323.0</v>
      </c>
      <c r="R10" s="96">
        <v>74155.0</v>
      </c>
      <c r="S10" s="96">
        <v>662332.0</v>
      </c>
      <c r="T10" s="96">
        <v>736487.0</v>
      </c>
      <c r="U10" s="96">
        <v>-802054.0</v>
      </c>
      <c r="V10" s="96">
        <v>4.93161035E8</v>
      </c>
      <c r="W10" s="97">
        <v>1.9368559938884347</v>
      </c>
      <c r="X10" s="97">
        <v>1.0517733563613008</v>
      </c>
      <c r="Y10" s="97">
        <v>1.253276731443961</v>
      </c>
      <c r="Z10" s="98">
        <f t="shared" si="1"/>
        <v>7</v>
      </c>
      <c r="AA10" s="98">
        <f t="shared" si="2"/>
        <v>7</v>
      </c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</row>
    <row r="11" ht="21.0" customHeight="1">
      <c r="A11" s="94">
        <v>6.496634E7</v>
      </c>
      <c r="B11" s="94" t="s">
        <v>88</v>
      </c>
      <c r="C11" s="95">
        <v>9.8341047E7</v>
      </c>
      <c r="D11" s="95">
        <v>7.368885225E9</v>
      </c>
      <c r="E11" s="95">
        <v>4.7731424E8</v>
      </c>
      <c r="F11" s="95">
        <v>3610640.0</v>
      </c>
      <c r="G11" s="95">
        <v>2.2057819E7</v>
      </c>
      <c r="H11" s="95">
        <v>6085071.0</v>
      </c>
      <c r="I11" s="95">
        <v>1430541.0</v>
      </c>
      <c r="J11" s="147">
        <v>6.192070661400057E8</v>
      </c>
      <c r="K11" s="147">
        <v>2.7734079016736907E8</v>
      </c>
      <c r="L11" s="148">
        <v>8.887501920815704E8</v>
      </c>
      <c r="M11" s="149">
        <v>91800.0</v>
      </c>
      <c r="N11" s="149">
        <v>6906023.0</v>
      </c>
      <c r="O11" s="149">
        <v>4.2853094E7</v>
      </c>
      <c r="P11" s="96">
        <v>4.9759117E7</v>
      </c>
      <c r="Q11" s="96">
        <v>1.1851581E7</v>
      </c>
      <c r="R11" s="96">
        <v>0.0</v>
      </c>
      <c r="S11" s="96">
        <v>2404483.0</v>
      </c>
      <c r="T11" s="96">
        <v>2404483.0</v>
      </c>
      <c r="U11" s="96">
        <v>-1.047919E7</v>
      </c>
      <c r="V11" s="96">
        <v>9.26173606E8</v>
      </c>
      <c r="W11" s="97">
        <v>1.4957413386341876</v>
      </c>
      <c r="X11" s="97">
        <v>1.7339555415191161</v>
      </c>
      <c r="Y11" s="97">
        <v>1.0421079109201417</v>
      </c>
      <c r="Z11" s="98">
        <f t="shared" si="1"/>
        <v>8</v>
      </c>
      <c r="AA11" s="98">
        <f t="shared" si="2"/>
        <v>2</v>
      </c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</row>
    <row r="12" ht="21.0" customHeight="1">
      <c r="A12" s="94">
        <v>1.1726598E7</v>
      </c>
      <c r="B12" s="94" t="s">
        <v>93</v>
      </c>
      <c r="C12" s="95">
        <v>8.2106789E7</v>
      </c>
      <c r="D12" s="95">
        <v>1.235069065E10</v>
      </c>
      <c r="E12" s="95">
        <v>4.36369367E8</v>
      </c>
      <c r="F12" s="95">
        <v>2404350.0</v>
      </c>
      <c r="G12" s="95">
        <v>2.0611646E7</v>
      </c>
      <c r="H12" s="95">
        <v>5991047.0</v>
      </c>
      <c r="I12" s="95">
        <v>292435.0</v>
      </c>
      <c r="J12" s="147">
        <v>3.024315912095581E8</v>
      </c>
      <c r="K12" s="147">
        <v>1.5425583840224063E8</v>
      </c>
      <c r="L12" s="148">
        <v>4.6080852131225973E8</v>
      </c>
      <c r="M12" s="149">
        <v>154906.0</v>
      </c>
      <c r="N12" s="149">
        <v>2955170.0</v>
      </c>
      <c r="O12" s="149">
        <v>2.2274652E7</v>
      </c>
      <c r="P12" s="96">
        <v>2.5229822E7</v>
      </c>
      <c r="Q12" s="96">
        <v>6462964.0</v>
      </c>
      <c r="R12" s="96">
        <v>7226.0</v>
      </c>
      <c r="S12" s="96">
        <v>365166.0</v>
      </c>
      <c r="T12" s="96">
        <v>372392.0</v>
      </c>
      <c r="U12" s="96">
        <v>-5162772.0</v>
      </c>
      <c r="V12" s="96">
        <v>4.75156945E8</v>
      </c>
      <c r="W12" s="97">
        <v>1.5711220613548886</v>
      </c>
      <c r="X12" s="97">
        <v>0.47813943876583065</v>
      </c>
      <c r="Y12" s="97">
        <v>1.0311374964310116</v>
      </c>
      <c r="Z12" s="98">
        <f t="shared" si="1"/>
        <v>9</v>
      </c>
      <c r="AA12" s="98">
        <f t="shared" si="2"/>
        <v>8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</row>
    <row r="13" ht="21.0" customHeight="1">
      <c r="A13" s="94">
        <v>1.68923934E8</v>
      </c>
      <c r="B13" s="94" t="s">
        <v>122</v>
      </c>
      <c r="C13" s="95">
        <v>7.7716675E7</v>
      </c>
      <c r="D13" s="95">
        <v>1.152786125E9</v>
      </c>
      <c r="E13" s="95">
        <v>2.1516087E8</v>
      </c>
      <c r="F13" s="95">
        <v>3007874.0</v>
      </c>
      <c r="G13" s="95">
        <v>9238250.0</v>
      </c>
      <c r="H13" s="95">
        <v>3173821.0</v>
      </c>
      <c r="I13" s="95">
        <v>1667547.0</v>
      </c>
      <c r="J13" s="147">
        <v>1.8075171451593858E8</v>
      </c>
      <c r="K13" s="147">
        <v>9.737597179741414E7</v>
      </c>
      <c r="L13" s="148">
        <v>2.866898454299124E8</v>
      </c>
      <c r="M13" s="149">
        <v>535467.0</v>
      </c>
      <c r="N13" s="149">
        <v>3366640.0</v>
      </c>
      <c r="O13" s="149">
        <v>1.253933E7</v>
      </c>
      <c r="P13" s="96">
        <v>1.590597E7</v>
      </c>
      <c r="Q13" s="96">
        <v>4142875.0</v>
      </c>
      <c r="R13" s="96">
        <v>441034.0</v>
      </c>
      <c r="S13" s="96">
        <v>1290517.0</v>
      </c>
      <c r="T13" s="96">
        <v>1731551.0</v>
      </c>
      <c r="U13" s="96">
        <v>8699857.0</v>
      </c>
      <c r="V13" s="96">
        <v>2.84800611E8</v>
      </c>
      <c r="W13" s="97">
        <v>1.5756454192576217</v>
      </c>
      <c r="X13" s="97">
        <v>3.1035048423313936</v>
      </c>
      <c r="Y13" s="97">
        <v>0.9934101801649816</v>
      </c>
      <c r="Z13" s="98">
        <f t="shared" si="1"/>
        <v>10</v>
      </c>
      <c r="AA13" s="98">
        <f t="shared" si="2"/>
        <v>12</v>
      </c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</row>
    <row r="14" ht="21.0" customHeight="1">
      <c r="A14" s="94">
        <v>1.71604682E8</v>
      </c>
      <c r="B14" s="94" t="s">
        <v>105</v>
      </c>
      <c r="C14" s="95">
        <v>7.6882042E7</v>
      </c>
      <c r="D14" s="95">
        <v>2.36517621E9</v>
      </c>
      <c r="E14" s="95">
        <v>1.07637964E8</v>
      </c>
      <c r="F14" s="95">
        <v>1233049.0</v>
      </c>
      <c r="G14" s="95">
        <v>4764710.0</v>
      </c>
      <c r="H14" s="95">
        <v>1635119.0</v>
      </c>
      <c r="I14" s="95">
        <v>127635.0</v>
      </c>
      <c r="J14" s="147">
        <v>2.3449364952964163E8</v>
      </c>
      <c r="K14" s="147">
        <v>1.2367845343020658E8</v>
      </c>
      <c r="L14" s="148">
        <v>3.647896582873156E8</v>
      </c>
      <c r="M14" s="149">
        <v>239412.0</v>
      </c>
      <c r="N14" s="149">
        <v>2692623.0</v>
      </c>
      <c r="O14" s="149">
        <v>1.4572298E7</v>
      </c>
      <c r="P14" s="96">
        <v>1.7264921E7</v>
      </c>
      <c r="Q14" s="96">
        <v>4783907.0</v>
      </c>
      <c r="R14" s="96">
        <v>0.0</v>
      </c>
      <c r="S14" s="96">
        <v>293911.0</v>
      </c>
      <c r="T14" s="96">
        <v>293911.0</v>
      </c>
      <c r="U14" s="96">
        <v>679740.0</v>
      </c>
      <c r="V14" s="96">
        <v>3.18517989E8</v>
      </c>
      <c r="W14" s="97">
        <v>1.358322451967882</v>
      </c>
      <c r="X14" s="97">
        <v>0.47528246327216234</v>
      </c>
      <c r="Y14" s="97">
        <v>0.8731552053735275</v>
      </c>
      <c r="Z14" s="98">
        <f t="shared" si="1"/>
        <v>11</v>
      </c>
      <c r="AA14" s="98">
        <f t="shared" si="2"/>
        <v>11</v>
      </c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</row>
    <row r="15" ht="21.0" customHeight="1">
      <c r="A15" s="94">
        <v>9.8107237E7</v>
      </c>
      <c r="B15" s="94" t="s">
        <v>102</v>
      </c>
      <c r="C15" s="95">
        <v>7.3847547E7</v>
      </c>
      <c r="D15" s="95">
        <v>3.801581773E9</v>
      </c>
      <c r="E15" s="95">
        <v>2.76413725E8</v>
      </c>
      <c r="F15" s="95">
        <v>1548440.0</v>
      </c>
      <c r="G15" s="95">
        <v>1.304635E7</v>
      </c>
      <c r="H15" s="95">
        <v>4329301.0</v>
      </c>
      <c r="I15" s="95">
        <v>686755.0</v>
      </c>
      <c r="J15" s="147">
        <v>2.5446954554448926E8</v>
      </c>
      <c r="K15" s="147">
        <v>1.3292776733548917E8</v>
      </c>
      <c r="L15" s="148">
        <v>3.9328452400457865E8</v>
      </c>
      <c r="M15" s="149">
        <v>1559.0</v>
      </c>
      <c r="N15" s="149">
        <v>1934914.0</v>
      </c>
      <c r="O15" s="149">
        <v>1.5676172E7</v>
      </c>
      <c r="P15" s="96">
        <v>1.7611086E7</v>
      </c>
      <c r="Q15" s="96">
        <v>5192971.0</v>
      </c>
      <c r="R15" s="96">
        <v>0.0</v>
      </c>
      <c r="S15" s="96">
        <v>686755.0</v>
      </c>
      <c r="T15" s="96">
        <v>686755.0</v>
      </c>
      <c r="U15" s="96">
        <v>-7611360.0</v>
      </c>
      <c r="V15" s="96">
        <v>3.32874905E8</v>
      </c>
      <c r="W15" s="97">
        <v>1.3081129385748167</v>
      </c>
      <c r="X15" s="97">
        <v>1.0332754604487357</v>
      </c>
      <c r="Y15" s="97">
        <v>0.8463971620610341</v>
      </c>
      <c r="Z15" s="98">
        <f t="shared" si="1"/>
        <v>12</v>
      </c>
      <c r="AA15" s="98">
        <f t="shared" si="2"/>
        <v>10</v>
      </c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</row>
    <row r="16" ht="21.0" customHeight="1">
      <c r="A16" s="94">
        <v>6.2576249E7</v>
      </c>
      <c r="B16" s="94" t="s">
        <v>92</v>
      </c>
      <c r="C16" s="95">
        <v>8.2142556E7</v>
      </c>
      <c r="D16" s="95">
        <v>4.512755982E9</v>
      </c>
      <c r="E16" s="95">
        <v>2.20833572E8</v>
      </c>
      <c r="F16" s="95">
        <v>2285575.0</v>
      </c>
      <c r="G16" s="95">
        <v>9895918.0</v>
      </c>
      <c r="H16" s="95">
        <v>3150870.0</v>
      </c>
      <c r="I16" s="95">
        <v>290874.0</v>
      </c>
      <c r="J16" s="147">
        <v>3.2762173301382947E8</v>
      </c>
      <c r="K16" s="147">
        <v>1.6504321775404564E8</v>
      </c>
      <c r="L16" s="148">
        <v>4.958525391499891E8</v>
      </c>
      <c r="M16" s="149">
        <v>270519.0</v>
      </c>
      <c r="N16" s="149">
        <v>3773654.0</v>
      </c>
      <c r="O16" s="149">
        <v>1.7930622E7</v>
      </c>
      <c r="P16" s="96">
        <v>2.1704276E7</v>
      </c>
      <c r="Q16" s="96">
        <v>5769399.0</v>
      </c>
      <c r="R16" s="96">
        <v>0.0</v>
      </c>
      <c r="S16" s="96">
        <v>1139841.0</v>
      </c>
      <c r="T16" s="96">
        <v>1139841.0</v>
      </c>
      <c r="U16" s="96">
        <v>-1384954.0</v>
      </c>
      <c r="V16" s="96">
        <v>3.96421221E8</v>
      </c>
      <c r="W16" s="97">
        <v>1.2099967158871796</v>
      </c>
      <c r="X16" s="97">
        <v>1.3812636659794637</v>
      </c>
      <c r="Y16" s="97">
        <v>0.7994740163669659</v>
      </c>
      <c r="Z16" s="98">
        <f t="shared" si="1"/>
        <v>13</v>
      </c>
      <c r="AA16" s="98">
        <f t="shared" si="2"/>
        <v>9</v>
      </c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</row>
    <row r="17" ht="21.0" customHeight="1">
      <c r="A17" s="94">
        <v>1.71697263E8</v>
      </c>
      <c r="B17" s="94" t="s">
        <v>123</v>
      </c>
      <c r="C17" s="95">
        <v>5.9861978E7</v>
      </c>
      <c r="D17" s="95">
        <v>8.27805832E8</v>
      </c>
      <c r="E17" s="95">
        <v>1.04535514E8</v>
      </c>
      <c r="F17" s="95">
        <v>1085420.0</v>
      </c>
      <c r="G17" s="95">
        <v>4681163.0</v>
      </c>
      <c r="H17" s="95">
        <v>1571022.0</v>
      </c>
      <c r="I17" s="95">
        <v>598824.0</v>
      </c>
      <c r="J17" s="147">
        <v>1.788224138843601E8</v>
      </c>
      <c r="K17" s="147">
        <v>9.638474009347095E7</v>
      </c>
      <c r="L17" s="148">
        <v>2.8383845173615384E8</v>
      </c>
      <c r="M17" s="149">
        <v>97576.0</v>
      </c>
      <c r="N17" s="149">
        <v>2271453.0</v>
      </c>
      <c r="O17" s="149">
        <v>9689127.0</v>
      </c>
      <c r="P17" s="96">
        <v>1.196058E7</v>
      </c>
      <c r="Q17" s="96">
        <v>3414432.0</v>
      </c>
      <c r="R17" s="96">
        <v>779834.0</v>
      </c>
      <c r="S17" s="96">
        <v>1156475.0</v>
      </c>
      <c r="T17" s="96">
        <v>1936309.0</v>
      </c>
      <c r="U17" s="96">
        <v>-222599.0</v>
      </c>
      <c r="V17" s="96">
        <v>2.1657427E8</v>
      </c>
      <c r="W17" s="97">
        <v>1.2111136702362886</v>
      </c>
      <c r="X17" s="97">
        <v>3.2087901020438645</v>
      </c>
      <c r="Y17" s="97">
        <v>0.7630194875827457</v>
      </c>
      <c r="Z17" s="98">
        <f t="shared" si="1"/>
        <v>14</v>
      </c>
      <c r="AA17" s="98">
        <f t="shared" si="2"/>
        <v>22</v>
      </c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</row>
    <row r="18" ht="21.0" customHeight="1">
      <c r="A18" s="94">
        <v>7.4556991E7</v>
      </c>
      <c r="B18" s="94" t="s">
        <v>108</v>
      </c>
      <c r="C18" s="95">
        <v>7.3353827E7</v>
      </c>
      <c r="D18" s="95">
        <v>3.438932532E9</v>
      </c>
      <c r="E18" s="95">
        <v>1.00067829E8</v>
      </c>
      <c r="F18" s="95">
        <v>1164171.0</v>
      </c>
      <c r="G18" s="95">
        <v>4417018.0</v>
      </c>
      <c r="H18" s="95">
        <v>1442086.0</v>
      </c>
      <c r="I18" s="95">
        <v>358433.0</v>
      </c>
      <c r="J18" s="147">
        <v>1.8997611496931458E8</v>
      </c>
      <c r="K18" s="147">
        <v>1.0206431819446735E8</v>
      </c>
      <c r="L18" s="148">
        <v>3.002712977045341E8</v>
      </c>
      <c r="M18" s="149">
        <v>327985.0</v>
      </c>
      <c r="N18" s="149">
        <v>1716734.0</v>
      </c>
      <c r="O18" s="149">
        <v>9984392.0</v>
      </c>
      <c r="P18" s="96">
        <v>1.1701126E7</v>
      </c>
      <c r="Q18" s="96">
        <v>3050412.0</v>
      </c>
      <c r="R18" s="96">
        <v>109282.0</v>
      </c>
      <c r="S18" s="96">
        <v>426816.0</v>
      </c>
      <c r="T18" s="96">
        <v>536098.0</v>
      </c>
      <c r="U18" s="96">
        <v>-2762340.0</v>
      </c>
      <c r="V18" s="96">
        <v>2.16954097E8</v>
      </c>
      <c r="W18" s="97">
        <v>1.1420072309355467</v>
      </c>
      <c r="X18" s="97">
        <v>0.9434384288594573</v>
      </c>
      <c r="Y18" s="97">
        <v>0.7225269236804713</v>
      </c>
      <c r="Z18" s="98">
        <f t="shared" si="1"/>
        <v>15</v>
      </c>
      <c r="AA18" s="98">
        <f t="shared" si="2"/>
        <v>21</v>
      </c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</row>
    <row r="19" ht="21.0" customHeight="1">
      <c r="A19" s="94">
        <v>1.70728362E8</v>
      </c>
      <c r="B19" s="94" t="s">
        <v>117</v>
      </c>
      <c r="C19" s="95">
        <v>6.9518172E7</v>
      </c>
      <c r="D19" s="95">
        <v>8.88418699E8</v>
      </c>
      <c r="E19" s="95">
        <v>1.59112534E8</v>
      </c>
      <c r="F19" s="95">
        <v>1192518.0</v>
      </c>
      <c r="G19" s="95">
        <v>7359300.0</v>
      </c>
      <c r="H19" s="95">
        <v>2505577.0</v>
      </c>
      <c r="I19" s="95">
        <v>420866.0</v>
      </c>
      <c r="J19" s="147">
        <v>2.0423407729552832E8</v>
      </c>
      <c r="K19" s="147">
        <v>1.0915740520815828E8</v>
      </c>
      <c r="L19" s="148">
        <v>3.211080774959652E8</v>
      </c>
      <c r="M19" s="149">
        <v>260.0</v>
      </c>
      <c r="N19" s="149">
        <v>1467013.0</v>
      </c>
      <c r="O19" s="149">
        <v>1.0455274E7</v>
      </c>
      <c r="P19" s="96">
        <v>1.1922287E7</v>
      </c>
      <c r="Q19" s="96">
        <v>3621934.0</v>
      </c>
      <c r="R19" s="96">
        <v>65828.0</v>
      </c>
      <c r="S19" s="96">
        <v>619404.0</v>
      </c>
      <c r="T19" s="96">
        <v>685232.0</v>
      </c>
      <c r="U19" s="96">
        <v>-1405388.0</v>
      </c>
      <c r="V19" s="96">
        <v>2.2377958E8</v>
      </c>
      <c r="W19" s="97">
        <v>1.095701476282967</v>
      </c>
      <c r="X19" s="97">
        <v>1.1951878093035626</v>
      </c>
      <c r="Y19" s="97">
        <v>0.696898009371352</v>
      </c>
      <c r="Z19" s="98">
        <f t="shared" si="1"/>
        <v>16</v>
      </c>
      <c r="AA19" s="98">
        <f t="shared" si="2"/>
        <v>19</v>
      </c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ht="21.0" customHeight="1">
      <c r="A20" s="94">
        <v>1.68455139E8</v>
      </c>
      <c r="B20" s="94" t="s">
        <v>89</v>
      </c>
      <c r="C20" s="95">
        <v>9.876883E7</v>
      </c>
      <c r="D20" s="95">
        <v>4.366583035E9</v>
      </c>
      <c r="E20" s="95">
        <v>9.8309133E7</v>
      </c>
      <c r="F20" s="95">
        <v>1196751.0</v>
      </c>
      <c r="G20" s="95">
        <v>4316933.0</v>
      </c>
      <c r="H20" s="95">
        <v>1531532.0</v>
      </c>
      <c r="I20" s="95">
        <v>658284.0</v>
      </c>
      <c r="J20" s="147">
        <v>5.510641452631804E8</v>
      </c>
      <c r="K20" s="147">
        <v>2.5261626788874376E8</v>
      </c>
      <c r="L20" s="148">
        <v>7.984716867951767E8</v>
      </c>
      <c r="M20" s="149">
        <v>29614.0</v>
      </c>
      <c r="N20" s="149">
        <v>3864888.0</v>
      </c>
      <c r="O20" s="149">
        <v>2.5600115E7</v>
      </c>
      <c r="P20" s="96">
        <v>2.9465003E7</v>
      </c>
      <c r="Q20" s="96">
        <v>8116166.0</v>
      </c>
      <c r="R20" s="96">
        <v>11.0</v>
      </c>
      <c r="S20" s="96">
        <v>1487561.0</v>
      </c>
      <c r="T20" s="96">
        <v>1487572.0</v>
      </c>
      <c r="U20" s="96">
        <v>-4486041.0</v>
      </c>
      <c r="V20" s="96">
        <v>5.50698365E8</v>
      </c>
      <c r="W20" s="97">
        <v>0.9993362292460424</v>
      </c>
      <c r="X20" s="97">
        <v>1.177728190217067</v>
      </c>
      <c r="Y20" s="97">
        <v>0.6896905351902161</v>
      </c>
      <c r="Z20" s="98">
        <f t="shared" si="1"/>
        <v>17</v>
      </c>
      <c r="AA20" s="98">
        <f t="shared" si="2"/>
        <v>6</v>
      </c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ht="21.0" customHeight="1">
      <c r="A21" s="94">
        <v>5.524249E7</v>
      </c>
      <c r="B21" s="94" t="s">
        <v>112</v>
      </c>
      <c r="C21" s="95">
        <v>7.0573379E7</v>
      </c>
      <c r="D21" s="95">
        <v>1.84453319E9</v>
      </c>
      <c r="E21" s="95">
        <v>1.65400477E8</v>
      </c>
      <c r="F21" s="95">
        <v>2699348.0</v>
      </c>
      <c r="G21" s="95">
        <v>6871455.0</v>
      </c>
      <c r="H21" s="95">
        <v>2113349.0</v>
      </c>
      <c r="I21" s="95">
        <v>488658.0</v>
      </c>
      <c r="J21" s="147">
        <v>2.1853393806571114E8</v>
      </c>
      <c r="K21" s="147">
        <v>1.1610315634292121E8</v>
      </c>
      <c r="L21" s="148">
        <v>3.418355057216193E8</v>
      </c>
      <c r="M21" s="149">
        <v>999475.0</v>
      </c>
      <c r="N21" s="149">
        <v>3234896.0</v>
      </c>
      <c r="O21" s="149">
        <v>9788181.0</v>
      </c>
      <c r="P21" s="96">
        <v>1.3023077E7</v>
      </c>
      <c r="Q21" s="96">
        <v>3069003.0</v>
      </c>
      <c r="R21" s="96">
        <v>406089.0</v>
      </c>
      <c r="S21" s="96">
        <v>421263.0</v>
      </c>
      <c r="T21" s="96">
        <v>827352.0</v>
      </c>
      <c r="U21" s="96">
        <v>1918695.0</v>
      </c>
      <c r="V21" s="96">
        <v>2.29098579E8</v>
      </c>
      <c r="W21" s="97">
        <v>1.0483432506081145</v>
      </c>
      <c r="X21" s="97">
        <v>1.0754358790316623</v>
      </c>
      <c r="Y21" s="97">
        <v>0.6702012376285191</v>
      </c>
      <c r="Z21" s="98">
        <f t="shared" si="1"/>
        <v>18</v>
      </c>
      <c r="AA21" s="98">
        <f t="shared" si="2"/>
        <v>17</v>
      </c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ht="21.0" customHeight="1">
      <c r="A22" s="94">
        <v>1.7160984E8</v>
      </c>
      <c r="B22" s="94" t="s">
        <v>114</v>
      </c>
      <c r="C22" s="95">
        <v>6.2060731E7</v>
      </c>
      <c r="D22" s="95">
        <v>1.046303379E9</v>
      </c>
      <c r="E22" s="95">
        <v>1.13738109E8</v>
      </c>
      <c r="F22" s="95">
        <v>1257178.0</v>
      </c>
      <c r="G22" s="95">
        <v>5056522.0</v>
      </c>
      <c r="H22" s="95">
        <v>1768743.0</v>
      </c>
      <c r="I22" s="95">
        <v>681684.0</v>
      </c>
      <c r="J22" s="147">
        <v>2.1345500815868214E8</v>
      </c>
      <c r="K22" s="147">
        <v>1.1365428269830503E8</v>
      </c>
      <c r="L22" s="148">
        <v>3.34492005430737E8</v>
      </c>
      <c r="M22" s="149">
        <v>58120.0</v>
      </c>
      <c r="N22" s="149">
        <v>2142639.0</v>
      </c>
      <c r="O22" s="149">
        <v>9905021.0</v>
      </c>
      <c r="P22" s="96">
        <v>1.204766E7</v>
      </c>
      <c r="Q22" s="96">
        <v>3438284.0</v>
      </c>
      <c r="R22" s="96">
        <v>100897.0</v>
      </c>
      <c r="S22" s="96">
        <v>1083419.0</v>
      </c>
      <c r="T22" s="96">
        <v>1184316.0</v>
      </c>
      <c r="U22" s="96">
        <v>-4954591.0</v>
      </c>
      <c r="V22" s="96">
        <v>2.19590914E8</v>
      </c>
      <c r="W22" s="97">
        <v>1.028745663520607</v>
      </c>
      <c r="X22" s="97">
        <v>1.9952921668774208</v>
      </c>
      <c r="Y22" s="97">
        <v>0.6564907693899145</v>
      </c>
      <c r="Z22" s="98">
        <f t="shared" si="1"/>
        <v>19</v>
      </c>
      <c r="AA22" s="98">
        <f t="shared" si="2"/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</row>
    <row r="23" ht="21.0" customHeight="1">
      <c r="A23" s="94">
        <v>1.70866748E8</v>
      </c>
      <c r="B23" s="94" t="s">
        <v>118</v>
      </c>
      <c r="C23" s="95">
        <v>6.8772995E7</v>
      </c>
      <c r="D23" s="95">
        <v>1.047166515E9</v>
      </c>
      <c r="E23" s="95">
        <v>1.33968644E8</v>
      </c>
      <c r="F23" s="95">
        <v>596754.0</v>
      </c>
      <c r="G23" s="95">
        <v>6400032.0</v>
      </c>
      <c r="H23" s="95">
        <v>2065405.0</v>
      </c>
      <c r="I23" s="95">
        <v>382889.0</v>
      </c>
      <c r="J23" s="147">
        <v>2.012547081055163E8</v>
      </c>
      <c r="K23" s="147">
        <v>1.0768972852462335E8</v>
      </c>
      <c r="L23" s="148">
        <v>3.1676870158011603E8</v>
      </c>
      <c r="M23" s="149">
        <v>168.0</v>
      </c>
      <c r="N23" s="149">
        <v>861744.0</v>
      </c>
      <c r="O23" s="149">
        <v>9717024.0</v>
      </c>
      <c r="P23" s="96">
        <v>1.0578768E7</v>
      </c>
      <c r="Q23" s="96">
        <v>3090211.0</v>
      </c>
      <c r="R23" s="96">
        <v>479162.0</v>
      </c>
      <c r="S23" s="96">
        <v>85043.0</v>
      </c>
      <c r="T23" s="96">
        <v>564205.0</v>
      </c>
      <c r="U23" s="96">
        <v>-3890944.0</v>
      </c>
      <c r="V23" s="96">
        <v>2.02958402E8</v>
      </c>
      <c r="W23" s="97">
        <v>1.0084653616828205</v>
      </c>
      <c r="X23" s="97">
        <v>0.6028875816615592</v>
      </c>
      <c r="Y23" s="97">
        <v>0.6407148212168571</v>
      </c>
      <c r="Z23" s="98">
        <f t="shared" si="1"/>
        <v>20</v>
      </c>
      <c r="AA23" s="98">
        <f t="shared" si="2"/>
        <v>23</v>
      </c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</row>
    <row r="24" ht="21.0" customHeight="1">
      <c r="A24" s="94">
        <v>1.81734011E8</v>
      </c>
      <c r="B24" s="94" t="s">
        <v>132</v>
      </c>
      <c r="C24" s="95">
        <v>3.2392119E7</v>
      </c>
      <c r="D24" s="95">
        <v>1.58474683E8</v>
      </c>
      <c r="E24" s="95">
        <v>1.949672E7</v>
      </c>
      <c r="F24" s="95">
        <v>412707.0</v>
      </c>
      <c r="G24" s="95">
        <v>766849.0</v>
      </c>
      <c r="H24" s="95">
        <v>372041.0</v>
      </c>
      <c r="I24" s="95">
        <v>580246.0</v>
      </c>
      <c r="J24" s="147">
        <v>4.6267504857155226E7</v>
      </c>
      <c r="K24" s="147">
        <v>9200474.64473447</v>
      </c>
      <c r="L24" s="148">
        <v>6.857691403617933E7</v>
      </c>
      <c r="M24" s="149">
        <v>271646.0</v>
      </c>
      <c r="N24" s="149">
        <v>1200283.0</v>
      </c>
      <c r="O24" s="149">
        <v>1560158.0</v>
      </c>
      <c r="P24" s="96">
        <v>2760441.0</v>
      </c>
      <c r="Q24" s="96">
        <v>830961.0</v>
      </c>
      <c r="R24" s="96">
        <v>1313927.0</v>
      </c>
      <c r="S24" s="96">
        <v>0.0</v>
      </c>
      <c r="T24" s="96">
        <v>1313927.0</v>
      </c>
      <c r="U24" s="96">
        <v>-1088222.0</v>
      </c>
      <c r="V24" s="96">
        <v>4.3304725E7</v>
      </c>
      <c r="W24" s="97">
        <v>0.9359641314935306</v>
      </c>
      <c r="X24" s="97">
        <v>14.281078430578301</v>
      </c>
      <c r="Y24" s="97">
        <v>0.6314767237434101</v>
      </c>
      <c r="Z24" s="98">
        <f t="shared" si="1"/>
        <v>21</v>
      </c>
      <c r="AA24" s="98">
        <f t="shared" si="2"/>
        <v>39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</row>
    <row r="25" ht="21.0" customHeight="1">
      <c r="A25" s="94">
        <v>2.708355E7</v>
      </c>
      <c r="B25" s="94" t="s">
        <v>95</v>
      </c>
      <c r="C25" s="95">
        <v>7.5716145E7</v>
      </c>
      <c r="D25" s="95">
        <v>3.775376479E9</v>
      </c>
      <c r="E25" s="95">
        <v>1.88431431E8</v>
      </c>
      <c r="F25" s="95">
        <v>1630172.0</v>
      </c>
      <c r="G25" s="95">
        <v>8600338.0</v>
      </c>
      <c r="H25" s="95">
        <v>2975645.0</v>
      </c>
      <c r="I25" s="95">
        <v>1030394.0</v>
      </c>
      <c r="J25" s="147">
        <v>2.8420991203177094E8</v>
      </c>
      <c r="K25" s="147">
        <v>1.4628477071258456E8</v>
      </c>
      <c r="L25" s="148">
        <v>4.352886403409525E8</v>
      </c>
      <c r="M25" s="149">
        <v>7034.0</v>
      </c>
      <c r="N25" s="149">
        <v>2465892.0</v>
      </c>
      <c r="O25" s="149">
        <v>1.1679952E7</v>
      </c>
      <c r="P25" s="96">
        <v>1.4145844E7</v>
      </c>
      <c r="Q25" s="96">
        <v>4358146.0</v>
      </c>
      <c r="R25" s="96">
        <v>646.0</v>
      </c>
      <c r="S25" s="96">
        <v>1893795.0</v>
      </c>
      <c r="T25" s="96">
        <v>1894441.0</v>
      </c>
      <c r="U25" s="96">
        <v>-2044936.0</v>
      </c>
      <c r="V25" s="96">
        <v>2.58381337E8</v>
      </c>
      <c r="W25" s="97">
        <v>0.9091214840216986</v>
      </c>
      <c r="X25" s="97">
        <v>2.5896311567818633</v>
      </c>
      <c r="Y25" s="97">
        <v>0.5935862162578267</v>
      </c>
      <c r="Z25" s="98">
        <f t="shared" si="1"/>
        <v>22</v>
      </c>
      <c r="AA25" s="98">
        <f t="shared" si="2"/>
        <v>13</v>
      </c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</row>
    <row r="26" ht="21.0" customHeight="1">
      <c r="A26" s="94">
        <v>1.6942777E8</v>
      </c>
      <c r="B26" s="94" t="s">
        <v>96</v>
      </c>
      <c r="C26" s="95">
        <v>7.3673928E7</v>
      </c>
      <c r="D26" s="95">
        <v>1.343155756E9</v>
      </c>
      <c r="E26" s="95">
        <v>1.65193613E8</v>
      </c>
      <c r="F26" s="95">
        <v>1291466.0</v>
      </c>
      <c r="G26" s="95">
        <v>7613648.0</v>
      </c>
      <c r="H26" s="95">
        <v>2662553.0</v>
      </c>
      <c r="I26" s="95">
        <v>708435.0</v>
      </c>
      <c r="J26" s="147">
        <v>2.799131765851483E8</v>
      </c>
      <c r="K26" s="147">
        <v>1.443827898634805E8</v>
      </c>
      <c r="L26" s="148">
        <v>4.292482684767149E8</v>
      </c>
      <c r="M26" s="149">
        <v>15794.0</v>
      </c>
      <c r="N26" s="149">
        <v>2329244.0</v>
      </c>
      <c r="O26" s="149">
        <v>1.0995225E7</v>
      </c>
      <c r="P26" s="96">
        <v>1.3324469E7</v>
      </c>
      <c r="Q26" s="96">
        <v>4115803.0</v>
      </c>
      <c r="R26" s="96">
        <v>68097.0</v>
      </c>
      <c r="S26" s="96">
        <v>1462044.0</v>
      </c>
      <c r="T26" s="96">
        <v>1530141.0</v>
      </c>
      <c r="U26" s="96">
        <v>-2574874.0</v>
      </c>
      <c r="V26" s="96">
        <v>2.43204505E8</v>
      </c>
      <c r="W26" s="97">
        <v>0.8688569361650552</v>
      </c>
      <c r="X26" s="97">
        <v>2.0723972731301465</v>
      </c>
      <c r="Y26" s="97">
        <v>0.5665823786851056</v>
      </c>
      <c r="Z26" s="98">
        <f t="shared" si="1"/>
        <v>23</v>
      </c>
      <c r="AA26" s="98">
        <f t="shared" si="2"/>
        <v>15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ht="21.0" customHeight="1">
      <c r="A27" s="94">
        <v>4.8741756E7</v>
      </c>
      <c r="B27" s="94" t="s">
        <v>98</v>
      </c>
      <c r="C27" s="95">
        <v>7.8050678E7</v>
      </c>
      <c r="D27" s="95">
        <v>3.644222697E9</v>
      </c>
      <c r="E27" s="95">
        <v>1.31537835E8</v>
      </c>
      <c r="F27" s="95">
        <v>1604085.0</v>
      </c>
      <c r="G27" s="95">
        <v>5671894.0</v>
      </c>
      <c r="H27" s="95">
        <v>1798725.0</v>
      </c>
      <c r="I27" s="95">
        <v>465545.0</v>
      </c>
      <c r="J27" s="147">
        <v>2.743012446534003E8</v>
      </c>
      <c r="K27" s="147">
        <v>1.4188506252110064E8</v>
      </c>
      <c r="L27" s="148">
        <v>4.2134522778596056E8</v>
      </c>
      <c r="M27" s="149">
        <v>144793.0</v>
      </c>
      <c r="N27" s="149">
        <v>2219197.0</v>
      </c>
      <c r="O27" s="149">
        <v>1.0533114E7</v>
      </c>
      <c r="P27" s="96">
        <v>1.2752311E7</v>
      </c>
      <c r="Q27" s="96">
        <v>3454625.0</v>
      </c>
      <c r="R27" s="96">
        <v>0.0</v>
      </c>
      <c r="S27" s="96">
        <v>704677.0</v>
      </c>
      <c r="T27" s="96">
        <v>704677.0</v>
      </c>
      <c r="U27" s="96">
        <v>-1951000.0</v>
      </c>
      <c r="V27" s="96">
        <v>2.34913355E8</v>
      </c>
      <c r="W27" s="97">
        <v>0.856406449401388</v>
      </c>
      <c r="X27" s="97">
        <v>0.993306818179261</v>
      </c>
      <c r="Y27" s="97">
        <v>0.5575317803749609</v>
      </c>
      <c r="Z27" s="98">
        <f t="shared" si="1"/>
        <v>24</v>
      </c>
      <c r="AA27" s="98">
        <f t="shared" si="2"/>
        <v>16</v>
      </c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ht="21.0" customHeight="1">
      <c r="A28" s="94">
        <v>1.69672885E8</v>
      </c>
      <c r="B28" s="94" t="s">
        <v>127</v>
      </c>
      <c r="C28" s="95">
        <v>5.8172762E7</v>
      </c>
      <c r="D28" s="95">
        <v>6.45556233E8</v>
      </c>
      <c r="E28" s="95">
        <v>9.8740501E7</v>
      </c>
      <c r="F28" s="95">
        <v>1561784.0</v>
      </c>
      <c r="G28" s="95">
        <v>4143497.0</v>
      </c>
      <c r="H28" s="95">
        <v>1640283.0</v>
      </c>
      <c r="I28" s="95">
        <v>565081.0</v>
      </c>
      <c r="J28" s="147">
        <v>1.3977746864324647E8</v>
      </c>
      <c r="K28" s="147">
        <v>7.538144439997675E7</v>
      </c>
      <c r="L28" s="148">
        <v>2.251759585317049E8</v>
      </c>
      <c r="M28" s="149">
        <v>691412.0</v>
      </c>
      <c r="N28" s="149">
        <v>1786013.0</v>
      </c>
      <c r="O28" s="149">
        <v>5248423.0</v>
      </c>
      <c r="P28" s="96">
        <v>7034436.0</v>
      </c>
      <c r="Q28" s="96">
        <v>2098079.0</v>
      </c>
      <c r="R28" s="96">
        <v>88685.0</v>
      </c>
      <c r="S28" s="96">
        <v>660689.0</v>
      </c>
      <c r="T28" s="96">
        <v>749374.0</v>
      </c>
      <c r="U28" s="96">
        <v>-2400718.0</v>
      </c>
      <c r="V28" s="96">
        <v>1.23081326E8</v>
      </c>
      <c r="W28" s="97">
        <v>0.8805519744683603</v>
      </c>
      <c r="X28" s="97">
        <v>1.8705704185212388</v>
      </c>
      <c r="Y28" s="97">
        <v>0.5466006531184371</v>
      </c>
      <c r="Z28" s="98">
        <f t="shared" si="1"/>
        <v>25</v>
      </c>
      <c r="AA28" s="98">
        <f t="shared" si="2"/>
        <v>29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ht="21.0" customHeight="1">
      <c r="A29" s="94">
        <v>1.72041454E8</v>
      </c>
      <c r="B29" s="94" t="s">
        <v>104</v>
      </c>
      <c r="C29" s="95">
        <v>6.3509767E7</v>
      </c>
      <c r="D29" s="95">
        <v>9.75741526E8</v>
      </c>
      <c r="E29" s="95">
        <v>1.37363924E8</v>
      </c>
      <c r="F29" s="95">
        <v>1299409.0</v>
      </c>
      <c r="G29" s="95">
        <v>6216436.0</v>
      </c>
      <c r="H29" s="95">
        <v>2376476.0</v>
      </c>
      <c r="I29" s="95">
        <v>840212.0</v>
      </c>
      <c r="J29" s="147">
        <v>2.3888651150606143E8</v>
      </c>
      <c r="K29" s="147">
        <v>1.2573354945742168E8</v>
      </c>
      <c r="L29" s="148">
        <v>3.710773090845359E8</v>
      </c>
      <c r="M29" s="149">
        <v>74783.0</v>
      </c>
      <c r="N29" s="149">
        <v>2045703.0</v>
      </c>
      <c r="O29" s="149">
        <v>9054480.0</v>
      </c>
      <c r="P29" s="96">
        <v>1.1100183E7</v>
      </c>
      <c r="Q29" s="96">
        <v>3804003.0</v>
      </c>
      <c r="R29" s="96">
        <v>0.0</v>
      </c>
      <c r="S29" s="96">
        <v>2025575.0</v>
      </c>
      <c r="T29" s="96">
        <v>2025575.0</v>
      </c>
      <c r="U29" s="96">
        <v>-3216876.0</v>
      </c>
      <c r="V29" s="96">
        <v>2.01593853E8</v>
      </c>
      <c r="W29" s="97">
        <v>0.8438896433668455</v>
      </c>
      <c r="X29" s="97">
        <v>3.2220119590053238</v>
      </c>
      <c r="Y29" s="97">
        <v>0.5432664516656676</v>
      </c>
      <c r="Z29" s="98">
        <f t="shared" si="1"/>
        <v>26</v>
      </c>
      <c r="AA29" s="98">
        <f t="shared" si="2"/>
        <v>24</v>
      </c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ht="21.0" customHeight="1">
      <c r="A30" s="94">
        <v>1.4461836E8</v>
      </c>
      <c r="B30" s="94" t="s">
        <v>125</v>
      </c>
      <c r="C30" s="95">
        <v>6.2267521E7</v>
      </c>
      <c r="D30" s="95">
        <v>4.68826008E8</v>
      </c>
      <c r="E30" s="95">
        <v>5.5228553E7</v>
      </c>
      <c r="F30" s="95">
        <v>705287.0</v>
      </c>
      <c r="G30" s="95">
        <v>2406974.0</v>
      </c>
      <c r="H30" s="95">
        <v>850468.0</v>
      </c>
      <c r="I30" s="95">
        <v>401213.0</v>
      </c>
      <c r="J30" s="147">
        <v>1.5232201467168745E8</v>
      </c>
      <c r="K30" s="147">
        <v>8.234624737856379E7</v>
      </c>
      <c r="L30" s="148">
        <v>2.442431849639656E8</v>
      </c>
      <c r="M30" s="149">
        <v>301612.0</v>
      </c>
      <c r="N30" s="149">
        <v>1152594.0</v>
      </c>
      <c r="O30" s="149">
        <v>5226300.0</v>
      </c>
      <c r="P30" s="96">
        <v>6378894.0</v>
      </c>
      <c r="Q30" s="96">
        <v>1778246.0</v>
      </c>
      <c r="R30" s="96">
        <v>597399.0</v>
      </c>
      <c r="S30" s="96">
        <v>260586.0</v>
      </c>
      <c r="T30" s="96">
        <v>857985.0</v>
      </c>
      <c r="U30" s="96">
        <v>-74906.0</v>
      </c>
      <c r="V30" s="96">
        <v>1.16234169E8</v>
      </c>
      <c r="W30" s="97">
        <v>0.7630818778922361</v>
      </c>
      <c r="X30" s="97">
        <v>1.3583751969384632</v>
      </c>
      <c r="Y30" s="97">
        <v>0.47589523948088297</v>
      </c>
      <c r="Z30" s="98">
        <f t="shared" si="1"/>
        <v>27</v>
      </c>
      <c r="AA30" s="98">
        <f t="shared" si="2"/>
        <v>30</v>
      </c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ht="21.0" customHeight="1">
      <c r="A31" s="94">
        <v>1.69247313E8</v>
      </c>
      <c r="B31" s="94" t="s">
        <v>100</v>
      </c>
      <c r="C31" s="95">
        <v>6.8597398E7</v>
      </c>
      <c r="D31" s="95">
        <v>9.08219268E8</v>
      </c>
      <c r="E31" s="95">
        <v>1.24343147E8</v>
      </c>
      <c r="F31" s="95">
        <v>2066863.0</v>
      </c>
      <c r="G31" s="95">
        <v>5177449.0</v>
      </c>
      <c r="H31" s="95">
        <v>1906691.0</v>
      </c>
      <c r="I31" s="95">
        <v>1060997.0</v>
      </c>
      <c r="J31" s="147">
        <v>2.7230744977936107E8</v>
      </c>
      <c r="K31" s="147">
        <v>1.409938885709689E8</v>
      </c>
      <c r="L31" s="148">
        <v>4.1853361185371244E8</v>
      </c>
      <c r="M31" s="149">
        <v>244291.0</v>
      </c>
      <c r="N31" s="149">
        <v>2786451.0</v>
      </c>
      <c r="O31" s="149">
        <v>8510753.0</v>
      </c>
      <c r="P31" s="96">
        <v>1.1297204E7</v>
      </c>
      <c r="Q31" s="96">
        <v>3289892.0</v>
      </c>
      <c r="R31" s="96">
        <v>0.0</v>
      </c>
      <c r="S31" s="96">
        <v>1839980.0</v>
      </c>
      <c r="T31" s="96">
        <v>1839980.0</v>
      </c>
      <c r="U31" s="96">
        <v>-7094651.0</v>
      </c>
      <c r="V31" s="96">
        <v>1.98237574E8</v>
      </c>
      <c r="W31" s="97">
        <v>0.7279917393395712</v>
      </c>
      <c r="X31" s="97">
        <v>2.610013836271848</v>
      </c>
      <c r="Y31" s="97">
        <v>0.4736479183165074</v>
      </c>
      <c r="Z31" s="98">
        <f t="shared" si="1"/>
        <v>28</v>
      </c>
      <c r="AA31" s="98">
        <f t="shared" si="2"/>
        <v>25</v>
      </c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ht="21.0" customHeight="1">
      <c r="A32" s="94">
        <v>1.20029911E8</v>
      </c>
      <c r="B32" s="94" t="s">
        <v>103</v>
      </c>
      <c r="C32" s="95">
        <v>6.9418228E7</v>
      </c>
      <c r="D32" s="95">
        <v>1.314837262E9</v>
      </c>
      <c r="E32" s="95">
        <v>1.29056133E8</v>
      </c>
      <c r="F32" s="95">
        <v>2198336.0</v>
      </c>
      <c r="G32" s="95">
        <v>5327944.0</v>
      </c>
      <c r="H32" s="95">
        <v>2110861.0</v>
      </c>
      <c r="I32" s="95">
        <v>1006878.0</v>
      </c>
      <c r="J32" s="147">
        <v>2.4262680466066334E8</v>
      </c>
      <c r="K32" s="147">
        <v>1.274737281602954E8</v>
      </c>
      <c r="L32" s="148">
        <v>3.764211501366612E8</v>
      </c>
      <c r="M32" s="149">
        <v>951214.0</v>
      </c>
      <c r="N32" s="149">
        <v>2815704.0</v>
      </c>
      <c r="O32" s="149">
        <v>7350957.0</v>
      </c>
      <c r="P32" s="96">
        <v>1.0166661E7</v>
      </c>
      <c r="Q32" s="96">
        <v>2948708.0</v>
      </c>
      <c r="R32" s="96">
        <v>0.0</v>
      </c>
      <c r="S32" s="96">
        <v>1438633.0</v>
      </c>
      <c r="T32" s="96">
        <v>1438633.0</v>
      </c>
      <c r="U32" s="96">
        <v>-6346065.0</v>
      </c>
      <c r="V32" s="96">
        <v>1.75744646E8</v>
      </c>
      <c r="W32" s="97">
        <v>0.724341427344747</v>
      </c>
      <c r="X32" s="97">
        <v>2.257144308497749</v>
      </c>
      <c r="Y32" s="97">
        <v>0.4668830269930242</v>
      </c>
      <c r="Z32" s="98">
        <f t="shared" si="1"/>
        <v>29</v>
      </c>
      <c r="AA32" s="98">
        <f t="shared" si="2"/>
        <v>26</v>
      </c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ht="21.0" customHeight="1">
      <c r="A33" s="94">
        <v>1.76044158E8</v>
      </c>
      <c r="B33" s="94" t="s">
        <v>129</v>
      </c>
      <c r="C33" s="95">
        <v>5.1668726E7</v>
      </c>
      <c r="D33" s="95">
        <v>3.03254558E8</v>
      </c>
      <c r="E33" s="95">
        <v>4.0725047E7</v>
      </c>
      <c r="F33" s="95">
        <v>598090.0</v>
      </c>
      <c r="G33" s="95">
        <v>1734694.0</v>
      </c>
      <c r="H33" s="95">
        <v>810302.0</v>
      </c>
      <c r="I33" s="95">
        <v>865221.0</v>
      </c>
      <c r="J33" s="147">
        <v>1.0491612680474353E8</v>
      </c>
      <c r="K33" s="147">
        <v>5.4548212971927695E7</v>
      </c>
      <c r="L33" s="148">
        <v>1.706889281560852E8</v>
      </c>
      <c r="M33" s="149">
        <v>96588.0</v>
      </c>
      <c r="N33" s="149">
        <v>1066217.0</v>
      </c>
      <c r="O33" s="149">
        <v>3298618.0</v>
      </c>
      <c r="P33" s="96">
        <v>4364835.0</v>
      </c>
      <c r="Q33" s="96">
        <v>1469968.0</v>
      </c>
      <c r="R33" s="96">
        <v>1629089.0</v>
      </c>
      <c r="S33" s="96">
        <v>0.0</v>
      </c>
      <c r="T33" s="96">
        <v>1629089.0</v>
      </c>
      <c r="U33" s="96">
        <v>-1209845.0</v>
      </c>
      <c r="V33" s="96">
        <v>7.6686986E7</v>
      </c>
      <c r="W33" s="97">
        <v>0.7309361137846807</v>
      </c>
      <c r="X33" s="97">
        <v>2.9865121353074993</v>
      </c>
      <c r="Y33" s="97">
        <v>0.44927920532651167</v>
      </c>
      <c r="Z33" s="98">
        <f t="shared" si="1"/>
        <v>30</v>
      </c>
      <c r="AA33" s="98">
        <f t="shared" si="2"/>
        <v>34</v>
      </c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ht="21.0" customHeight="1">
      <c r="A34" s="94">
        <v>1.39292614E8</v>
      </c>
      <c r="B34" s="94" t="s">
        <v>120</v>
      </c>
      <c r="C34" s="95">
        <v>6.7213851E7</v>
      </c>
      <c r="D34" s="95">
        <v>1.013412664E9</v>
      </c>
      <c r="E34" s="95">
        <v>2.4417211E7</v>
      </c>
      <c r="F34" s="95">
        <v>155059.0</v>
      </c>
      <c r="G34" s="95">
        <v>1143327.0</v>
      </c>
      <c r="H34" s="95">
        <v>399565.0</v>
      </c>
      <c r="I34" s="95">
        <v>88975.0</v>
      </c>
      <c r="J34" s="147">
        <v>1.9342602806348985E8</v>
      </c>
      <c r="K34" s="147">
        <v>1.0379705411958736E8</v>
      </c>
      <c r="L34" s="148">
        <v>3.0532974726415485E8</v>
      </c>
      <c r="M34" s="149">
        <v>402.0</v>
      </c>
      <c r="N34" s="149">
        <v>736305.0</v>
      </c>
      <c r="O34" s="149">
        <v>6120157.0</v>
      </c>
      <c r="P34" s="96">
        <v>6856462.0</v>
      </c>
      <c r="Q34" s="96">
        <v>2061452.0</v>
      </c>
      <c r="R34" s="96">
        <v>30498.0</v>
      </c>
      <c r="S34" s="96">
        <v>545291.0</v>
      </c>
      <c r="T34" s="96">
        <v>575789.0</v>
      </c>
      <c r="U34" s="96">
        <v>437182.0</v>
      </c>
      <c r="V34" s="96">
        <v>1.29766345E8</v>
      </c>
      <c r="W34" s="97">
        <v>0.670883573938693</v>
      </c>
      <c r="X34" s="97">
        <v>1.0800691883879225</v>
      </c>
      <c r="Y34" s="97">
        <v>0.42500393807922404</v>
      </c>
      <c r="Z34" s="98">
        <f t="shared" si="1"/>
        <v>31</v>
      </c>
      <c r="AA34" s="98">
        <f t="shared" si="2"/>
        <v>28</v>
      </c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ht="21.0" customHeight="1">
      <c r="A35" s="94">
        <v>1.66497805E8</v>
      </c>
      <c r="B35" s="94" t="s">
        <v>109</v>
      </c>
      <c r="C35" s="95">
        <v>6.9380728E7</v>
      </c>
      <c r="D35" s="95">
        <v>9.30372943E8</v>
      </c>
      <c r="E35" s="95">
        <v>7.4127964E7</v>
      </c>
      <c r="F35" s="95">
        <v>384792.0</v>
      </c>
      <c r="G35" s="95">
        <v>3514001.0</v>
      </c>
      <c r="H35" s="95">
        <v>1254764.0</v>
      </c>
      <c r="I35" s="95">
        <v>370144.0</v>
      </c>
      <c r="J35" s="147">
        <v>2.267479585462819E8</v>
      </c>
      <c r="K35" s="147">
        <v>1.2002391950061996E8</v>
      </c>
      <c r="L35" s="148">
        <v>3.536716527798619E8</v>
      </c>
      <c r="M35" s="149">
        <v>13.0</v>
      </c>
      <c r="N35" s="149">
        <v>829315.0</v>
      </c>
      <c r="O35" s="149">
        <v>6382620.0</v>
      </c>
      <c r="P35" s="96">
        <v>7211935.0</v>
      </c>
      <c r="Q35" s="96">
        <v>2513588.0</v>
      </c>
      <c r="R35" s="96">
        <v>0.0</v>
      </c>
      <c r="S35" s="96">
        <v>958330.0</v>
      </c>
      <c r="T35" s="96">
        <v>958330.0</v>
      </c>
      <c r="U35" s="96">
        <v>-2081727.0</v>
      </c>
      <c r="V35" s="96">
        <v>1.35945574E8</v>
      </c>
      <c r="W35" s="97">
        <v>0.5995448641371204</v>
      </c>
      <c r="X35" s="97">
        <v>1.5968983582394174</v>
      </c>
      <c r="Y35" s="97">
        <v>0.3843835742318242</v>
      </c>
      <c r="Z35" s="98">
        <f t="shared" si="1"/>
        <v>32</v>
      </c>
      <c r="AA35" s="98">
        <f t="shared" si="2"/>
        <v>27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ht="21.0" customHeight="1">
      <c r="A36" s="94">
        <v>1.72029365E8</v>
      </c>
      <c r="B36" s="94" t="s">
        <v>130</v>
      </c>
      <c r="C36" s="95">
        <v>4.8235452E7</v>
      </c>
      <c r="D36" s="95">
        <v>3.39708236E8</v>
      </c>
      <c r="E36" s="95">
        <v>2.8031891E7</v>
      </c>
      <c r="F36" s="95">
        <v>360366.0</v>
      </c>
      <c r="G36" s="95">
        <v>1221019.0</v>
      </c>
      <c r="H36" s="95">
        <v>534181.0</v>
      </c>
      <c r="I36" s="95">
        <v>561511.0</v>
      </c>
      <c r="J36" s="147">
        <v>8.868252494996233E7</v>
      </c>
      <c r="K36" s="147">
        <v>4.3809641131619684E7</v>
      </c>
      <c r="L36" s="148">
        <v>1.442642402687882E8</v>
      </c>
      <c r="M36" s="149">
        <v>128810.0</v>
      </c>
      <c r="N36" s="149">
        <v>763216.0</v>
      </c>
      <c r="O36" s="149">
        <v>2314914.0</v>
      </c>
      <c r="P36" s="96">
        <v>3078130.0</v>
      </c>
      <c r="Q36" s="96">
        <v>1081841.0</v>
      </c>
      <c r="R36" s="96">
        <v>1023934.0</v>
      </c>
      <c r="S36" s="96">
        <v>0.0</v>
      </c>
      <c r="T36" s="96">
        <v>1023934.0</v>
      </c>
      <c r="U36" s="96">
        <v>-707541.0</v>
      </c>
      <c r="V36" s="96">
        <v>5.3964534E7</v>
      </c>
      <c r="W36" s="97">
        <v>0.6085137295137752</v>
      </c>
      <c r="X36" s="97">
        <v>2.3372343930500126</v>
      </c>
      <c r="Y36" s="97">
        <v>0.3740672941503392</v>
      </c>
      <c r="Z36" s="98">
        <f t="shared" si="1"/>
        <v>33</v>
      </c>
      <c r="AA36" s="98">
        <f t="shared" si="2"/>
        <v>37</v>
      </c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ht="21.0" customHeight="1">
      <c r="A37" s="94">
        <v>1.71972257E8</v>
      </c>
      <c r="B37" s="94" t="s">
        <v>115</v>
      </c>
      <c r="C37" s="95">
        <v>6.5638315E7</v>
      </c>
      <c r="D37" s="95">
        <v>9.39624187E8</v>
      </c>
      <c r="E37" s="95">
        <v>5.701148E7</v>
      </c>
      <c r="F37" s="95">
        <v>726989.0</v>
      </c>
      <c r="G37" s="95">
        <v>2486761.0</v>
      </c>
      <c r="H37" s="95">
        <v>950123.0</v>
      </c>
      <c r="I37" s="95">
        <v>581929.0</v>
      </c>
      <c r="J37" s="147">
        <v>2.1243736419319785E8</v>
      </c>
      <c r="K37" s="147">
        <v>1.1316126999238002E8</v>
      </c>
      <c r="L37" s="148">
        <v>3.3301824337009805E8</v>
      </c>
      <c r="M37" s="149">
        <v>63373.0</v>
      </c>
      <c r="N37" s="149">
        <v>1179886.0</v>
      </c>
      <c r="O37" s="149">
        <v>4258252.0</v>
      </c>
      <c r="P37" s="96">
        <v>5438138.0</v>
      </c>
      <c r="Q37" s="96">
        <v>1724589.0</v>
      </c>
      <c r="R37" s="96">
        <v>344841.0</v>
      </c>
      <c r="S37" s="96">
        <v>670367.0</v>
      </c>
      <c r="T37" s="96">
        <v>1015208.0</v>
      </c>
      <c r="U37" s="96">
        <v>-3395543.0</v>
      </c>
      <c r="V37" s="96">
        <v>9.7019715E7</v>
      </c>
      <c r="W37" s="97">
        <v>0.45669797951252555</v>
      </c>
      <c r="X37" s="97">
        <v>1.4895334774110454</v>
      </c>
      <c r="Y37" s="97">
        <v>0.29133453476354343</v>
      </c>
      <c r="Z37" s="98">
        <f t="shared" si="1"/>
        <v>34</v>
      </c>
      <c r="AA37" s="98">
        <f t="shared" si="2"/>
        <v>32</v>
      </c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 ht="21.0" customHeight="1">
      <c r="A38" s="94">
        <v>1.61646318E8</v>
      </c>
      <c r="B38" s="94" t="s">
        <v>126</v>
      </c>
      <c r="C38" s="95">
        <v>5.569214E7</v>
      </c>
      <c r="D38" s="95">
        <v>3.91668097E8</v>
      </c>
      <c r="E38" s="95">
        <v>2.1718956E7</v>
      </c>
      <c r="F38" s="95">
        <v>528673.0</v>
      </c>
      <c r="G38" s="95">
        <v>820873.0</v>
      </c>
      <c r="H38" s="95">
        <v>424587.0</v>
      </c>
      <c r="I38" s="95">
        <v>573906.0</v>
      </c>
      <c r="J38" s="147">
        <v>1.4794936885767826E8</v>
      </c>
      <c r="K38" s="147">
        <v>7.994464989109594E7</v>
      </c>
      <c r="L38" s="148">
        <v>2.376234252936399E8</v>
      </c>
      <c r="M38" s="149">
        <v>71442.0</v>
      </c>
      <c r="N38" s="149">
        <v>1126331.0</v>
      </c>
      <c r="O38" s="149">
        <v>2344056.0</v>
      </c>
      <c r="P38" s="96">
        <v>3470387.0</v>
      </c>
      <c r="Q38" s="96">
        <v>1150642.0</v>
      </c>
      <c r="R38" s="96">
        <v>895323.0</v>
      </c>
      <c r="S38" s="96">
        <v>526490.0</v>
      </c>
      <c r="T38" s="96">
        <v>1421813.0</v>
      </c>
      <c r="U38" s="96">
        <v>-2936270.0</v>
      </c>
      <c r="V38" s="96">
        <v>5.8255005E7</v>
      </c>
      <c r="W38" s="97">
        <v>0.39374960129798947</v>
      </c>
      <c r="X38" s="97">
        <v>2.437064897593601</v>
      </c>
      <c r="Y38" s="97">
        <v>0.24515682714367143</v>
      </c>
      <c r="Z38" s="98">
        <f t="shared" si="1"/>
        <v>35</v>
      </c>
      <c r="AA38" s="98">
        <f t="shared" si="2"/>
        <v>35</v>
      </c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ht="21.0" customHeight="1">
      <c r="A39" s="94">
        <v>7.7394861E7</v>
      </c>
      <c r="B39" s="94" t="s">
        <v>97</v>
      </c>
      <c r="C39" s="95">
        <v>7.3844595E7</v>
      </c>
      <c r="D39" s="95">
        <v>2.976589665E9</v>
      </c>
      <c r="E39" s="95">
        <v>4.1429403E7</v>
      </c>
      <c r="F39" s="95">
        <v>544949.0</v>
      </c>
      <c r="G39" s="95">
        <v>1798898.0</v>
      </c>
      <c r="H39" s="95">
        <v>837135.0</v>
      </c>
      <c r="I39" s="95">
        <v>693608.0</v>
      </c>
      <c r="J39" s="147">
        <v>2.7961515845363647E8</v>
      </c>
      <c r="K39" s="147">
        <v>1.4425053941299838E8</v>
      </c>
      <c r="L39" s="148">
        <v>4.288289778145109E8</v>
      </c>
      <c r="M39" s="149">
        <v>25.0</v>
      </c>
      <c r="N39" s="149">
        <v>972912.0</v>
      </c>
      <c r="O39" s="149">
        <v>4681805.0</v>
      </c>
      <c r="P39" s="96">
        <v>5654717.0</v>
      </c>
      <c r="Q39" s="96">
        <v>1934979.0</v>
      </c>
      <c r="R39" s="96">
        <v>2402.0</v>
      </c>
      <c r="S39" s="96">
        <v>806017.0</v>
      </c>
      <c r="T39" s="96">
        <v>808419.0</v>
      </c>
      <c r="U39" s="96">
        <v>-4744390.0</v>
      </c>
      <c r="V39" s="96">
        <v>1.03367173E8</v>
      </c>
      <c r="W39" s="97">
        <v>0.3696765710831071</v>
      </c>
      <c r="X39" s="97">
        <v>1.1191888824607914</v>
      </c>
      <c r="Y39" s="97">
        <v>0.24104521463731693</v>
      </c>
      <c r="Z39" s="98">
        <f t="shared" si="1"/>
        <v>36</v>
      </c>
      <c r="AA39" s="98">
        <f t="shared" si="2"/>
        <v>31</v>
      </c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ht="21.0" customHeight="1">
      <c r="A40" s="94">
        <v>1.70708608E8</v>
      </c>
      <c r="B40" s="94" t="s">
        <v>107</v>
      </c>
      <c r="C40" s="95">
        <v>7.5747328E7</v>
      </c>
      <c r="D40" s="95">
        <v>5.82975543E8</v>
      </c>
      <c r="E40" s="95">
        <v>3.6608349E7</v>
      </c>
      <c r="F40" s="95">
        <v>329959.0</v>
      </c>
      <c r="G40" s="95">
        <v>1665372.0</v>
      </c>
      <c r="H40" s="95">
        <v>566157.0</v>
      </c>
      <c r="I40" s="95">
        <v>174844.0</v>
      </c>
      <c r="J40" s="147">
        <v>2.3193811979806966E8</v>
      </c>
      <c r="K40" s="147">
        <v>1.2247714695200679E8</v>
      </c>
      <c r="L40" s="148">
        <v>3.611259978130639E8</v>
      </c>
      <c r="M40" s="149">
        <v>7635.0</v>
      </c>
      <c r="N40" s="149">
        <v>634478.0</v>
      </c>
      <c r="O40" s="149">
        <v>3696201.0</v>
      </c>
      <c r="P40" s="96">
        <v>4330679.0</v>
      </c>
      <c r="Q40" s="96">
        <v>1191495.0</v>
      </c>
      <c r="R40" s="96">
        <v>141757.0</v>
      </c>
      <c r="S40" s="96">
        <v>75920.0</v>
      </c>
      <c r="T40" s="96">
        <v>217677.0</v>
      </c>
      <c r="U40" s="96">
        <v>-1374435.0</v>
      </c>
      <c r="V40" s="96">
        <v>8.0275213E7</v>
      </c>
      <c r="W40" s="97">
        <v>0.3461061643074857</v>
      </c>
      <c r="X40" s="97">
        <v>0.23971574069654586</v>
      </c>
      <c r="Y40" s="97">
        <v>0.22229142594589463</v>
      </c>
      <c r="Z40" s="98">
        <f t="shared" si="1"/>
        <v>37</v>
      </c>
      <c r="AA40" s="98">
        <f t="shared" si="2"/>
        <v>33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ht="21.0" customHeight="1">
      <c r="A41" s="94">
        <v>1.71910225E8</v>
      </c>
      <c r="B41" s="94" t="s">
        <v>113</v>
      </c>
      <c r="C41" s="95">
        <v>7.3278294E7</v>
      </c>
      <c r="D41" s="95">
        <v>4.87464451E8</v>
      </c>
      <c r="E41" s="95">
        <v>3.2977102E7</v>
      </c>
      <c r="F41" s="95">
        <v>424671.0</v>
      </c>
      <c r="G41" s="95">
        <v>1435754.0</v>
      </c>
      <c r="H41" s="95">
        <v>639052.0</v>
      </c>
      <c r="I41" s="95">
        <v>563858.0</v>
      </c>
      <c r="J41" s="147">
        <v>2.1452750152462956E8</v>
      </c>
      <c r="K41" s="147">
        <v>1.1417301289439641E8</v>
      </c>
      <c r="L41" s="148">
        <v>3.3604433360320973E8</v>
      </c>
      <c r="M41" s="149">
        <v>74061.0</v>
      </c>
      <c r="N41" s="149">
        <v>577176.0</v>
      </c>
      <c r="O41" s="149">
        <v>2551472.0</v>
      </c>
      <c r="P41" s="96">
        <v>3128648.0</v>
      </c>
      <c r="Q41" s="96">
        <v>1062404.0</v>
      </c>
      <c r="R41" s="96">
        <v>0.0</v>
      </c>
      <c r="S41" s="96">
        <v>701504.0</v>
      </c>
      <c r="T41" s="96">
        <v>701504.0</v>
      </c>
      <c r="U41" s="96">
        <v>420051.0</v>
      </c>
      <c r="V41" s="96">
        <v>5.6817074E7</v>
      </c>
      <c r="W41" s="97">
        <v>0.26484750717836014</v>
      </c>
      <c r="X41" s="97">
        <v>1.2288438085607</v>
      </c>
      <c r="Y41" s="97">
        <v>0.16907612573252837</v>
      </c>
      <c r="Z41" s="98">
        <f t="shared" si="1"/>
        <v>38</v>
      </c>
      <c r="AA41" s="98">
        <f t="shared" si="2"/>
        <v>36</v>
      </c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ht="21.0" customHeight="1">
      <c r="A42" s="94">
        <v>1.71879011E8</v>
      </c>
      <c r="B42" s="94" t="s">
        <v>106</v>
      </c>
      <c r="C42" s="95">
        <v>7.6619501E7</v>
      </c>
      <c r="D42" s="95">
        <v>7.31556912E8</v>
      </c>
      <c r="E42" s="95">
        <v>2.1486934E7</v>
      </c>
      <c r="F42" s="95">
        <v>220577.0</v>
      </c>
      <c r="G42" s="95">
        <v>963841.0</v>
      </c>
      <c r="H42" s="95">
        <v>398980.0</v>
      </c>
      <c r="I42" s="95">
        <v>301481.0</v>
      </c>
      <c r="J42" s="147">
        <v>1.90179016255199E8</v>
      </c>
      <c r="K42" s="147">
        <v>1.0216652938997649E8</v>
      </c>
      <c r="L42" s="148">
        <v>3.0056910991687346E8</v>
      </c>
      <c r="M42" s="149">
        <v>96.0</v>
      </c>
      <c r="N42" s="149">
        <v>326445.0</v>
      </c>
      <c r="O42" s="149">
        <v>2143612.0</v>
      </c>
      <c r="P42" s="96">
        <v>2470057.0</v>
      </c>
      <c r="Q42" s="96">
        <v>790743.0</v>
      </c>
      <c r="R42" s="96">
        <v>6163.0</v>
      </c>
      <c r="S42" s="96">
        <v>301474.0</v>
      </c>
      <c r="T42" s="96">
        <v>307637.0</v>
      </c>
      <c r="U42" s="96">
        <v>-1327786.0</v>
      </c>
      <c r="V42" s="96">
        <v>4.6172389E7</v>
      </c>
      <c r="W42" s="97">
        <v>0.24278382499382484</v>
      </c>
      <c r="X42" s="97">
        <v>0.5961942757935748</v>
      </c>
      <c r="Y42" s="97">
        <v>0.1536165476644277</v>
      </c>
      <c r="Z42" s="98">
        <f t="shared" si="1"/>
        <v>39</v>
      </c>
      <c r="AA42" s="98">
        <f t="shared" si="2"/>
        <v>38</v>
      </c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ht="21.0" customHeight="1">
      <c r="A43" s="94">
        <v>1.68091444E8</v>
      </c>
      <c r="B43" s="94" t="s">
        <v>124</v>
      </c>
      <c r="C43" s="95">
        <v>6.4035361E7</v>
      </c>
      <c r="D43" s="95">
        <v>2.02838347E8</v>
      </c>
      <c r="E43" s="95">
        <v>2341060.0</v>
      </c>
      <c r="F43" s="95">
        <v>39475.0</v>
      </c>
      <c r="G43" s="95">
        <v>97304.0</v>
      </c>
      <c r="H43" s="95">
        <v>70380.0</v>
      </c>
      <c r="I43" s="95">
        <v>164371.0</v>
      </c>
      <c r="J43" s="147">
        <v>1.762164706173976E8</v>
      </c>
      <c r="K43" s="147">
        <v>9.503975321315613E7</v>
      </c>
      <c r="L43" s="148">
        <v>2.7998082115904075E8</v>
      </c>
      <c r="M43" s="149">
        <v>614.0</v>
      </c>
      <c r="N43" s="149">
        <v>316754.0</v>
      </c>
      <c r="O43" s="149">
        <v>1409930.0</v>
      </c>
      <c r="P43" s="96">
        <v>1726684.0</v>
      </c>
      <c r="Q43" s="96">
        <v>931999.0</v>
      </c>
      <c r="R43" s="96">
        <v>908733.0</v>
      </c>
      <c r="S43" s="96">
        <v>508167.0</v>
      </c>
      <c r="T43" s="96">
        <v>1416900.0</v>
      </c>
      <c r="U43" s="96">
        <v>1862780.0</v>
      </c>
      <c r="V43" s="96">
        <v>3.1366979E7</v>
      </c>
      <c r="W43" s="97">
        <v>0.1780025379585782</v>
      </c>
      <c r="X43" s="97">
        <v>2.0255387192372436</v>
      </c>
      <c r="Y43" s="97">
        <v>0.11203259876926445</v>
      </c>
      <c r="Z43" s="98">
        <f t="shared" si="1"/>
        <v>40</v>
      </c>
      <c r="AA43" s="98">
        <f t="shared" si="2"/>
        <v>43</v>
      </c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ht="21.0" customHeight="1">
      <c r="A44" s="94">
        <v>1.71753933E8</v>
      </c>
      <c r="B44" s="94" t="s">
        <v>111</v>
      </c>
      <c r="C44" s="95">
        <v>7.1017017E7</v>
      </c>
      <c r="D44" s="95">
        <v>1.36474014E8</v>
      </c>
      <c r="E44" s="95">
        <v>2.5901565E7</v>
      </c>
      <c r="F44" s="95">
        <v>149133.0</v>
      </c>
      <c r="G44" s="95">
        <v>1220020.0</v>
      </c>
      <c r="H44" s="95">
        <v>470668.0</v>
      </c>
      <c r="I44" s="95">
        <v>145364.0</v>
      </c>
      <c r="J44" s="147">
        <v>2.211843220432473E8</v>
      </c>
      <c r="K44" s="147">
        <v>1.1737351385767943E8</v>
      </c>
      <c r="L44" s="148">
        <v>3.45659962554154E8</v>
      </c>
      <c r="M44" s="149">
        <v>48076.0</v>
      </c>
      <c r="N44" s="149">
        <v>193598.0</v>
      </c>
      <c r="O44" s="149">
        <v>1759678.0</v>
      </c>
      <c r="P44" s="96">
        <v>1953276.0</v>
      </c>
      <c r="Q44" s="96">
        <v>844497.0</v>
      </c>
      <c r="R44" s="96">
        <v>113151.0</v>
      </c>
      <c r="S44" s="96">
        <v>632435.0</v>
      </c>
      <c r="T44" s="96">
        <v>745586.0</v>
      </c>
      <c r="U44" s="96">
        <v>-605458.0</v>
      </c>
      <c r="V44" s="96">
        <v>3.7139375E7</v>
      </c>
      <c r="W44" s="97">
        <v>0.1679114263475613</v>
      </c>
      <c r="X44" s="97">
        <v>1.1740476660440713</v>
      </c>
      <c r="Y44" s="97">
        <v>0.10744482735451732</v>
      </c>
      <c r="Z44" s="98">
        <f t="shared" si="1"/>
        <v>41</v>
      </c>
      <c r="AA44" s="98">
        <f t="shared" si="2"/>
        <v>40</v>
      </c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ht="21.0" customHeight="1">
      <c r="A45" s="94">
        <v>1.71701107E8</v>
      </c>
      <c r="B45" s="94" t="s">
        <v>99</v>
      </c>
      <c r="C45" s="95">
        <v>8.1628304E7</v>
      </c>
      <c r="D45" s="95">
        <v>7.86141258E8</v>
      </c>
      <c r="E45" s="95">
        <v>2.6939667E7</v>
      </c>
      <c r="F45" s="95">
        <v>238869.0</v>
      </c>
      <c r="G45" s="95">
        <v>1227296.0</v>
      </c>
      <c r="H45" s="95">
        <v>493437.0</v>
      </c>
      <c r="I45" s="95">
        <v>294051.0</v>
      </c>
      <c r="J45" s="147">
        <v>2.735892242785524E8</v>
      </c>
      <c r="K45" s="147">
        <v>1.4156703889343703E8</v>
      </c>
      <c r="L45" s="148">
        <v>4.203413827312435E8</v>
      </c>
      <c r="M45" s="149">
        <v>4046.0</v>
      </c>
      <c r="N45" s="149">
        <v>261303.0</v>
      </c>
      <c r="O45" s="149">
        <v>1686588.0</v>
      </c>
      <c r="P45" s="96">
        <v>1947891.0</v>
      </c>
      <c r="Q45" s="96">
        <v>664795.0</v>
      </c>
      <c r="R45" s="96">
        <v>0.0</v>
      </c>
      <c r="S45" s="96">
        <v>295225.0</v>
      </c>
      <c r="T45" s="96">
        <v>295225.0</v>
      </c>
      <c r="U45" s="96">
        <v>-159524.0</v>
      </c>
      <c r="V45" s="96">
        <v>3.6356502E7</v>
      </c>
      <c r="W45" s="97">
        <v>0.13288718550911915</v>
      </c>
      <c r="X45" s="97">
        <v>0.4170815499252298</v>
      </c>
      <c r="Y45" s="97">
        <v>0.08649279726818024</v>
      </c>
      <c r="Z45" s="98">
        <f t="shared" si="1"/>
        <v>42</v>
      </c>
      <c r="AA45" s="98">
        <f t="shared" si="2"/>
        <v>41</v>
      </c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ht="21.0" customHeight="1">
      <c r="A46" s="94">
        <v>7.9650085E7</v>
      </c>
      <c r="B46" s="94" t="s">
        <v>94</v>
      </c>
      <c r="C46" s="95">
        <v>8.468128E7</v>
      </c>
      <c r="D46" s="95">
        <v>2.546179997E9</v>
      </c>
      <c r="E46" s="95">
        <v>1.7439867E7</v>
      </c>
      <c r="F46" s="95">
        <v>242124.0</v>
      </c>
      <c r="G46" s="95">
        <v>750924.0</v>
      </c>
      <c r="H46" s="95">
        <v>319072.0</v>
      </c>
      <c r="I46" s="95">
        <v>296257.0</v>
      </c>
      <c r="J46" s="147">
        <v>3.006702360616879E8</v>
      </c>
      <c r="K46" s="147">
        <v>1.5349178367987686E8</v>
      </c>
      <c r="L46" s="148">
        <v>4.583482445674274E8</v>
      </c>
      <c r="M46" s="149">
        <v>474.0</v>
      </c>
      <c r="N46" s="149">
        <v>375974.0</v>
      </c>
      <c r="O46" s="149">
        <v>1604683.0</v>
      </c>
      <c r="P46" s="96">
        <v>1980657.0</v>
      </c>
      <c r="Q46" s="96">
        <v>597124.0</v>
      </c>
      <c r="R46" s="96">
        <v>72477.0</v>
      </c>
      <c r="S46" s="96">
        <v>360377.0</v>
      </c>
      <c r="T46" s="96">
        <v>432854.0</v>
      </c>
      <c r="U46" s="96">
        <v>-1369798.0</v>
      </c>
      <c r="V46" s="96">
        <v>3.5853547E7</v>
      </c>
      <c r="W46" s="97">
        <v>0.1192454147428281</v>
      </c>
      <c r="X46" s="97">
        <v>0.5167905284457219</v>
      </c>
      <c r="Y46" s="97">
        <v>0.0782233758391227</v>
      </c>
      <c r="Z46" s="98">
        <f t="shared" si="1"/>
        <v>43</v>
      </c>
      <c r="AA46" s="98">
        <f t="shared" si="2"/>
        <v>42</v>
      </c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</row>
    <row r="47" ht="21.0" customHeight="1">
      <c r="A47" s="94">
        <v>1.67614515E8</v>
      </c>
      <c r="B47" s="94" t="s">
        <v>121</v>
      </c>
      <c r="C47" s="95">
        <v>7.3439026E7</v>
      </c>
      <c r="D47" s="95">
        <v>2.96579506E8</v>
      </c>
      <c r="E47" s="95">
        <v>0.0</v>
      </c>
      <c r="F47" s="95">
        <v>0.0</v>
      </c>
      <c r="G47" s="95">
        <v>0.0</v>
      </c>
      <c r="H47" s="95">
        <v>0.0</v>
      </c>
      <c r="I47" s="95">
        <v>0.0</v>
      </c>
      <c r="J47" s="147">
        <v>1.901572787582586E8</v>
      </c>
      <c r="K47" s="147">
        <v>1.0215558098994231E8</v>
      </c>
      <c r="L47" s="148">
        <v>3.0053720614839923E8</v>
      </c>
      <c r="M47" s="149">
        <v>0.0</v>
      </c>
      <c r="N47" s="149">
        <v>128475.0</v>
      </c>
      <c r="O47" s="149">
        <v>969055.0</v>
      </c>
      <c r="P47" s="96">
        <v>1097530.0</v>
      </c>
      <c r="Q47" s="96">
        <v>496804.0</v>
      </c>
      <c r="R47" s="96">
        <v>41329.0</v>
      </c>
      <c r="S47" s="96">
        <v>130757.0</v>
      </c>
      <c r="T47" s="96">
        <v>172086.0</v>
      </c>
      <c r="U47" s="96">
        <v>6119246.0</v>
      </c>
      <c r="V47" s="96">
        <v>2.066585E7</v>
      </c>
      <c r="W47" s="97">
        <v>0.10867767005790975</v>
      </c>
      <c r="X47" s="97">
        <v>0.2964527214913655</v>
      </c>
      <c r="Y47" s="97">
        <v>0.0687630335852514</v>
      </c>
      <c r="Z47" s="98">
        <f t="shared" si="1"/>
        <v>44</v>
      </c>
      <c r="AA47" s="98">
        <f t="shared" si="2"/>
        <v>44</v>
      </c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ht="21.0" customHeight="1">
      <c r="A48" s="94">
        <v>1.71927851E8</v>
      </c>
      <c r="B48" s="94" t="s">
        <v>116</v>
      </c>
      <c r="C48" s="95">
        <v>7.5177476E7</v>
      </c>
      <c r="D48" s="95">
        <v>4.2992916E8</v>
      </c>
      <c r="E48" s="95">
        <v>0.0</v>
      </c>
      <c r="F48" s="95">
        <v>0.0</v>
      </c>
      <c r="G48" s="95">
        <v>0.0</v>
      </c>
      <c r="H48" s="95">
        <v>0.0</v>
      </c>
      <c r="I48" s="95">
        <v>0.0</v>
      </c>
      <c r="J48" s="147">
        <v>2.1053637423505637E8</v>
      </c>
      <c r="K48" s="147">
        <v>1.1223816830051649E8</v>
      </c>
      <c r="L48" s="148">
        <v>3.302630414177404E8</v>
      </c>
      <c r="M48" s="149">
        <v>0.0</v>
      </c>
      <c r="N48" s="149">
        <v>94518.0</v>
      </c>
      <c r="O48" s="149">
        <v>692007.0</v>
      </c>
      <c r="P48" s="96">
        <v>786525.0</v>
      </c>
      <c r="Q48" s="96">
        <v>204513.0</v>
      </c>
      <c r="R48" s="96">
        <v>20939.0</v>
      </c>
      <c r="S48" s="96">
        <v>33967.0</v>
      </c>
      <c r="T48" s="96">
        <v>54906.0</v>
      </c>
      <c r="U48" s="96">
        <v>2761085.0</v>
      </c>
      <c r="V48" s="96">
        <v>1.478532E7</v>
      </c>
      <c r="W48" s="97">
        <v>0.07022691472539902</v>
      </c>
      <c r="X48" s="97">
        <v>0.07918251103496585</v>
      </c>
      <c r="Y48" s="97">
        <v>0.044768315390454075</v>
      </c>
      <c r="Z48" s="98">
        <f t="shared" si="1"/>
        <v>45</v>
      </c>
      <c r="AA48" s="98">
        <f t="shared" si="2"/>
        <v>45</v>
      </c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ht="21.0" customHeight="1">
      <c r="A49" s="94">
        <v>1.69326547E8</v>
      </c>
      <c r="B49" s="94" t="s">
        <v>110</v>
      </c>
      <c r="C49" s="95">
        <v>7.6315125E7</v>
      </c>
      <c r="D49" s="95">
        <v>4.583688869E9</v>
      </c>
      <c r="E49" s="95">
        <v>0.0</v>
      </c>
      <c r="F49" s="95">
        <v>0.0</v>
      </c>
      <c r="G49" s="95">
        <v>0.0</v>
      </c>
      <c r="H49" s="95">
        <v>0.0</v>
      </c>
      <c r="I49" s="95">
        <v>0.0</v>
      </c>
      <c r="J49" s="147">
        <v>2.2302032356246924E8</v>
      </c>
      <c r="K49" s="147">
        <v>1.1825056276141424E8</v>
      </c>
      <c r="L49" s="148">
        <v>3.4830627128518116E8</v>
      </c>
      <c r="M49" s="149">
        <v>0.0</v>
      </c>
      <c r="N49" s="149">
        <v>0.0</v>
      </c>
      <c r="O49" s="149">
        <v>16369.0</v>
      </c>
      <c r="P49" s="96">
        <v>16369.0</v>
      </c>
      <c r="Q49" s="96">
        <v>0.0</v>
      </c>
      <c r="R49" s="96">
        <v>0.0</v>
      </c>
      <c r="S49" s="96">
        <v>0.0</v>
      </c>
      <c r="T49" s="96">
        <v>0.0</v>
      </c>
      <c r="U49" s="96">
        <v>492122.0</v>
      </c>
      <c r="V49" s="96">
        <v>327380.0</v>
      </c>
      <c r="W49" s="97">
        <v>0.001467937965341078</v>
      </c>
      <c r="X49" s="97">
        <v>0.0</v>
      </c>
      <c r="Y49" s="97">
        <v>9.39919912415107E-4</v>
      </c>
      <c r="Z49" s="98">
        <f t="shared" si="1"/>
        <v>46</v>
      </c>
      <c r="AA49" s="98">
        <f t="shared" si="2"/>
        <v>46</v>
      </c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ht="21.0" customHeight="1">
      <c r="A50" s="94">
        <v>7887352.0</v>
      </c>
      <c r="B50" s="94" t="s">
        <v>119</v>
      </c>
      <c r="C50" s="95">
        <v>7.2762353E7</v>
      </c>
      <c r="D50" s="95">
        <v>2.328650208E9</v>
      </c>
      <c r="E50" s="95">
        <v>0.0</v>
      </c>
      <c r="F50" s="95">
        <v>0.0</v>
      </c>
      <c r="G50" s="95">
        <v>0.0</v>
      </c>
      <c r="H50" s="95">
        <v>0.0</v>
      </c>
      <c r="I50" s="95">
        <v>0.0</v>
      </c>
      <c r="J50" s="147">
        <v>1.9970645478651837E8</v>
      </c>
      <c r="K50" s="147">
        <v>1.0692409584580106E8</v>
      </c>
      <c r="L50" s="148">
        <v>3.145107251043694E8</v>
      </c>
      <c r="M50" s="149">
        <v>1.0</v>
      </c>
      <c r="N50" s="149">
        <v>0.0</v>
      </c>
      <c r="O50" s="149">
        <v>0.0</v>
      </c>
      <c r="P50" s="96">
        <v>0.0</v>
      </c>
      <c r="Q50" s="96">
        <v>0.0</v>
      </c>
      <c r="R50" s="96">
        <v>0.0</v>
      </c>
      <c r="S50" s="96">
        <v>0.0</v>
      </c>
      <c r="T50" s="96">
        <v>0.0</v>
      </c>
      <c r="U50" s="96">
        <v>0.0</v>
      </c>
      <c r="V50" s="96">
        <v>0.0</v>
      </c>
      <c r="W50" s="97">
        <v>0.0</v>
      </c>
      <c r="X50" s="97">
        <v>0.0</v>
      </c>
      <c r="Y50" s="97">
        <v>0.0</v>
      </c>
      <c r="Z50" s="98">
        <f t="shared" si="1"/>
        <v>47</v>
      </c>
      <c r="AA50" s="98">
        <f t="shared" si="2"/>
        <v>47</v>
      </c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</row>
    <row r="51" ht="21.0" customHeight="1">
      <c r="A51" s="94"/>
      <c r="B51" s="94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100">
        <f t="shared" ref="M51:P51" si="3">SUM(M4:M50)</f>
        <v>6113972</v>
      </c>
      <c r="N51" s="100">
        <f t="shared" si="3"/>
        <v>95616611</v>
      </c>
      <c r="O51" s="100">
        <f t="shared" si="3"/>
        <v>547170134</v>
      </c>
      <c r="P51" s="100">
        <f t="shared" si="3"/>
        <v>642786745</v>
      </c>
      <c r="Q51" s="100"/>
      <c r="R51" s="100">
        <f t="shared" ref="R51:V51" si="4">SUM(R4:R50)</f>
        <v>11646660</v>
      </c>
      <c r="S51" s="100">
        <f t="shared" si="4"/>
        <v>35052315</v>
      </c>
      <c r="T51" s="100">
        <f t="shared" si="4"/>
        <v>46698975</v>
      </c>
      <c r="U51" s="100">
        <f t="shared" si="4"/>
        <v>-45832920</v>
      </c>
      <c r="V51" s="100">
        <f t="shared" si="4"/>
        <v>11905889375</v>
      </c>
      <c r="W51" s="101"/>
      <c r="X51" s="101"/>
      <c r="Y51" s="102"/>
      <c r="Z51" s="103"/>
      <c r="AA51" s="103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ht="21.0" customHeight="1">
      <c r="A52" s="94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101"/>
      <c r="X52" s="101"/>
      <c r="Y52" s="102"/>
      <c r="Z52" s="103"/>
      <c r="AA52" s="103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ht="21.0" customHeight="1">
      <c r="A53" s="9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101"/>
      <c r="X53" s="101"/>
      <c r="Y53" s="102"/>
      <c r="Z53" s="103"/>
      <c r="AA53" s="103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</row>
    <row r="54" ht="21.0" customHeight="1">
      <c r="A54" s="94"/>
      <c r="B54" s="94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101"/>
      <c r="X54" s="101"/>
      <c r="Y54" s="102"/>
      <c r="Z54" s="103"/>
      <c r="AA54" s="103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</row>
    <row r="55" ht="21.0" customHeight="1">
      <c r="A55" s="94"/>
      <c r="B55" s="94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101"/>
      <c r="X55" s="101"/>
      <c r="Y55" s="102"/>
      <c r="Z55" s="103"/>
      <c r="AA55" s="103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</row>
    <row r="56" ht="21.0" customHeight="1">
      <c r="A56" s="94"/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101"/>
      <c r="X56" s="101"/>
      <c r="Y56" s="102"/>
      <c r="Z56" s="103"/>
      <c r="AA56" s="103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</row>
    <row r="57" ht="21.0" customHeight="1">
      <c r="A57" s="94"/>
      <c r="B57" s="94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101"/>
      <c r="X57" s="101"/>
      <c r="Y57" s="102"/>
      <c r="Z57" s="103"/>
      <c r="AA57" s="103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</row>
    <row r="58" ht="21.0" customHeight="1">
      <c r="A58" s="94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101"/>
      <c r="X58" s="101"/>
      <c r="Y58" s="102"/>
      <c r="Z58" s="103"/>
      <c r="AA58" s="103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</row>
    <row r="59" ht="21.0" customHeight="1">
      <c r="A59" s="94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101"/>
      <c r="X59" s="101"/>
      <c r="Y59" s="102"/>
      <c r="Z59" s="103"/>
      <c r="AA59" s="103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</row>
    <row r="60" ht="21.0" customHeight="1">
      <c r="A60" s="94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101"/>
      <c r="X60" s="101"/>
      <c r="Y60" s="102"/>
      <c r="Z60" s="103"/>
      <c r="AA60" s="103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</row>
    <row r="61" ht="21.0" customHeight="1">
      <c r="A61" s="94"/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101"/>
      <c r="X61" s="101"/>
      <c r="Y61" s="102"/>
      <c r="Z61" s="103"/>
      <c r="AA61" s="103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</row>
    <row r="62" ht="21.0" customHeight="1">
      <c r="A62" s="94"/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101"/>
      <c r="X62" s="101"/>
      <c r="Y62" s="102"/>
      <c r="Z62" s="103"/>
      <c r="AA62" s="103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</row>
    <row r="63" ht="21.0" customHeight="1">
      <c r="A63" s="94"/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101"/>
      <c r="X63" s="101"/>
      <c r="Y63" s="102"/>
      <c r="Z63" s="103"/>
      <c r="AA63" s="103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</row>
    <row r="64" ht="21.0" customHeight="1">
      <c r="A64" s="9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101"/>
      <c r="X64" s="101"/>
      <c r="Y64" s="102"/>
      <c r="Z64" s="103"/>
      <c r="AA64" s="103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</row>
    <row r="65" ht="21.0" customHeight="1">
      <c r="A65" s="94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101"/>
      <c r="X65" s="101"/>
      <c r="Y65" s="102"/>
      <c r="Z65" s="103"/>
      <c r="AA65" s="103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</row>
    <row r="66" ht="21.0" customHeight="1">
      <c r="A66" s="94"/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101"/>
      <c r="X66" s="101"/>
      <c r="Y66" s="102"/>
      <c r="Z66" s="103"/>
      <c r="AA66" s="103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</row>
    <row r="67" ht="21.0" customHeight="1">
      <c r="A67" s="94"/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101"/>
      <c r="X67" s="101"/>
      <c r="Y67" s="102"/>
      <c r="Z67" s="103"/>
      <c r="AA67" s="103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</row>
    <row r="68" ht="21.0" customHeight="1">
      <c r="A68" s="94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101"/>
      <c r="X68" s="101"/>
      <c r="Y68" s="102"/>
      <c r="Z68" s="103"/>
      <c r="AA68" s="103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</row>
    <row r="69" ht="21.0" customHeight="1">
      <c r="A69" s="94"/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101"/>
      <c r="X69" s="101"/>
      <c r="Y69" s="102"/>
      <c r="Z69" s="103"/>
      <c r="AA69" s="103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</row>
    <row r="70" ht="21.0" customHeight="1">
      <c r="A70" s="94"/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101"/>
      <c r="X70" s="101"/>
      <c r="Y70" s="102"/>
      <c r="Z70" s="103"/>
      <c r="AA70" s="103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</row>
    <row r="71" ht="21.0" customHeight="1">
      <c r="A71" s="94"/>
      <c r="B71" s="94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101"/>
      <c r="X71" s="101"/>
      <c r="Y71" s="102"/>
      <c r="Z71" s="103"/>
      <c r="AA71" s="103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</row>
    <row r="72" ht="21.0" customHeight="1">
      <c r="A72" s="94"/>
      <c r="B72" s="94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101"/>
      <c r="X72" s="101"/>
      <c r="Y72" s="102"/>
      <c r="Z72" s="103"/>
      <c r="AA72" s="103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</row>
    <row r="73" ht="21.0" customHeight="1">
      <c r="A73" s="94"/>
      <c r="B73" s="94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101"/>
      <c r="X73" s="101"/>
      <c r="Y73" s="102"/>
      <c r="Z73" s="103"/>
      <c r="AA73" s="103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</row>
    <row r="74" ht="21.0" customHeight="1">
      <c r="A74" s="94"/>
      <c r="B74" s="94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101"/>
      <c r="X74" s="101"/>
      <c r="Y74" s="102"/>
      <c r="Z74" s="103"/>
      <c r="AA74" s="103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</row>
    <row r="75" ht="21.0" customHeight="1">
      <c r="A75" s="94"/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101"/>
      <c r="X75" s="101"/>
      <c r="Y75" s="102"/>
      <c r="Z75" s="103"/>
      <c r="AA75" s="103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</row>
    <row r="76" ht="21.0" customHeight="1">
      <c r="A76" s="94"/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101"/>
      <c r="X76" s="101"/>
      <c r="Y76" s="102"/>
      <c r="Z76" s="103"/>
      <c r="AA76" s="103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</row>
    <row r="77" ht="21.0" customHeight="1">
      <c r="A77" s="94"/>
      <c r="B77" s="94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101"/>
      <c r="X77" s="101"/>
      <c r="Y77" s="102"/>
      <c r="Z77" s="103"/>
      <c r="AA77" s="103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</row>
    <row r="78" ht="21.0" customHeight="1">
      <c r="A78" s="94"/>
      <c r="B78" s="94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101"/>
      <c r="X78" s="101"/>
      <c r="Y78" s="102"/>
      <c r="Z78" s="103"/>
      <c r="AA78" s="103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</row>
    <row r="79" ht="21.0" customHeight="1">
      <c r="A79" s="94"/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101"/>
      <c r="X79" s="101"/>
      <c r="Y79" s="102"/>
      <c r="Z79" s="103"/>
      <c r="AA79" s="103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</row>
    <row r="80" ht="21.0" customHeight="1">
      <c r="A80" s="94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101"/>
      <c r="X80" s="101"/>
      <c r="Y80" s="102"/>
      <c r="Z80" s="103"/>
      <c r="AA80" s="103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</row>
    <row r="81" ht="21.0" customHeight="1">
      <c r="A81" s="94"/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101"/>
      <c r="X81" s="101"/>
      <c r="Y81" s="102"/>
      <c r="Z81" s="103"/>
      <c r="AA81" s="103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</row>
    <row r="82" ht="21.0" customHeight="1">
      <c r="A82" s="94"/>
      <c r="B82" s="94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101"/>
      <c r="X82" s="101"/>
      <c r="Y82" s="102"/>
      <c r="Z82" s="103"/>
      <c r="AA82" s="103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</row>
    <row r="83" ht="21.0" customHeight="1">
      <c r="A83" s="94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101"/>
      <c r="X83" s="101"/>
      <c r="Y83" s="102"/>
      <c r="Z83" s="103"/>
      <c r="AA83" s="103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</row>
    <row r="84" ht="21.0" customHeight="1">
      <c r="A84" s="94"/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101"/>
      <c r="X84" s="101"/>
      <c r="Y84" s="102"/>
      <c r="Z84" s="103"/>
      <c r="AA84" s="103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</row>
    <row r="85" ht="21.0" customHeight="1">
      <c r="A85" s="94"/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101"/>
      <c r="X85" s="101"/>
      <c r="Y85" s="102"/>
      <c r="Z85" s="103"/>
      <c r="AA85" s="103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</row>
    <row r="86" ht="21.0" customHeight="1">
      <c r="A86" s="94"/>
      <c r="B86" s="94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101"/>
      <c r="X86" s="101"/>
      <c r="Y86" s="102"/>
      <c r="Z86" s="103"/>
      <c r="AA86" s="103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</row>
    <row r="87" ht="21.0" customHeight="1">
      <c r="A87" s="94"/>
      <c r="B87" s="94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101"/>
      <c r="X87" s="101"/>
      <c r="Y87" s="102"/>
      <c r="Z87" s="103"/>
      <c r="AA87" s="103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</row>
    <row r="88" ht="21.0" customHeight="1">
      <c r="A88" s="94"/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101"/>
      <c r="X88" s="101"/>
      <c r="Y88" s="102"/>
      <c r="Z88" s="103"/>
      <c r="AA88" s="103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</row>
    <row r="89" ht="21.0" customHeight="1">
      <c r="A89" s="94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101"/>
      <c r="X89" s="101"/>
      <c r="Y89" s="102"/>
      <c r="Z89" s="103"/>
      <c r="AA89" s="103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</row>
    <row r="90" ht="21.0" customHeight="1">
      <c r="A90" s="94"/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101"/>
      <c r="X90" s="101"/>
      <c r="Y90" s="102"/>
      <c r="Z90" s="103"/>
      <c r="AA90" s="103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</row>
    <row r="91" ht="21.0" customHeight="1">
      <c r="A91" s="94"/>
      <c r="B91" s="94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101"/>
      <c r="X91" s="101"/>
      <c r="Y91" s="102"/>
      <c r="Z91" s="103"/>
      <c r="AA91" s="103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</row>
    <row r="92" ht="21.0" customHeight="1">
      <c r="A92" s="94"/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101"/>
      <c r="X92" s="101"/>
      <c r="Y92" s="102"/>
      <c r="Z92" s="103"/>
      <c r="AA92" s="103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</row>
    <row r="93" ht="21.0" customHeight="1">
      <c r="A93" s="94"/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101"/>
      <c r="X93" s="101"/>
      <c r="Y93" s="102"/>
      <c r="Z93" s="103"/>
      <c r="AA93" s="103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</row>
    <row r="94" ht="21.0" customHeight="1">
      <c r="A94" s="94"/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101"/>
      <c r="X94" s="101"/>
      <c r="Y94" s="102"/>
      <c r="Z94" s="103"/>
      <c r="AA94" s="103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</row>
    <row r="95" ht="21.0" customHeight="1">
      <c r="A95" s="94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101"/>
      <c r="X95" s="101"/>
      <c r="Y95" s="102"/>
      <c r="Z95" s="103"/>
      <c r="AA95" s="103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</row>
    <row r="96" ht="21.0" customHeight="1">
      <c r="A96" s="94"/>
      <c r="B96" s="94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101"/>
      <c r="X96" s="101"/>
      <c r="Y96" s="102"/>
      <c r="Z96" s="103"/>
      <c r="AA96" s="103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</row>
    <row r="97" ht="21.0" customHeight="1">
      <c r="A97" s="94"/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101"/>
      <c r="X97" s="101"/>
      <c r="Y97" s="102"/>
      <c r="Z97" s="103"/>
      <c r="AA97" s="103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</row>
    <row r="98" ht="21.0" customHeight="1">
      <c r="A98" s="94"/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101"/>
      <c r="X98" s="101"/>
      <c r="Y98" s="102"/>
      <c r="Z98" s="103"/>
      <c r="AA98" s="103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</row>
    <row r="99" ht="21.0" customHeight="1">
      <c r="A99" s="94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101"/>
      <c r="X99" s="101"/>
      <c r="Y99" s="102"/>
      <c r="Z99" s="103"/>
      <c r="AA99" s="103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</row>
    <row r="100" ht="21.0" customHeight="1">
      <c r="A100" s="94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101"/>
      <c r="X100" s="101"/>
      <c r="Y100" s="102"/>
      <c r="Z100" s="103"/>
      <c r="AA100" s="103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</row>
    <row r="101" ht="21.0" customHeight="1">
      <c r="A101" s="94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101"/>
      <c r="X101" s="101"/>
      <c r="Y101" s="102"/>
      <c r="Z101" s="103"/>
      <c r="AA101" s="103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</row>
    <row r="102" ht="21.0" customHeight="1">
      <c r="A102" s="94"/>
      <c r="B102" s="94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101"/>
      <c r="X102" s="101"/>
      <c r="Y102" s="102"/>
      <c r="Z102" s="103"/>
      <c r="AA102" s="103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</row>
    <row r="103" ht="21.0" customHeight="1">
      <c r="A103" s="94"/>
      <c r="B103" s="94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101"/>
      <c r="X103" s="101"/>
      <c r="Y103" s="102"/>
      <c r="Z103" s="103"/>
      <c r="AA103" s="103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</row>
    <row r="104" ht="21.0" customHeight="1">
      <c r="A104" s="94"/>
      <c r="B104" s="94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101"/>
      <c r="X104" s="101"/>
      <c r="Y104" s="102"/>
      <c r="Z104" s="103"/>
      <c r="AA104" s="103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</row>
    <row r="105" ht="21.0" customHeight="1">
      <c r="A105" s="94"/>
      <c r="B105" s="94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101"/>
      <c r="X105" s="101"/>
      <c r="Y105" s="102"/>
      <c r="Z105" s="103"/>
      <c r="AA105" s="103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</row>
    <row r="106" ht="21.0" customHeight="1">
      <c r="A106" s="94"/>
      <c r="B106" s="94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101"/>
      <c r="X106" s="101"/>
      <c r="Y106" s="102"/>
      <c r="Z106" s="103"/>
      <c r="AA106" s="103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</row>
    <row r="107" ht="21.0" customHeight="1">
      <c r="A107" s="94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101"/>
      <c r="X107" s="101"/>
      <c r="Y107" s="102"/>
      <c r="Z107" s="103"/>
      <c r="AA107" s="103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</row>
    <row r="108" ht="21.0" customHeight="1">
      <c r="A108" s="94"/>
      <c r="B108" s="94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101"/>
      <c r="X108" s="101"/>
      <c r="Y108" s="102"/>
      <c r="Z108" s="103"/>
      <c r="AA108" s="103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</row>
    <row r="109" ht="21.0" customHeight="1">
      <c r="A109" s="94"/>
      <c r="B109" s="94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101"/>
      <c r="X109" s="101"/>
      <c r="Y109" s="102"/>
      <c r="Z109" s="103"/>
      <c r="AA109" s="103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</row>
    <row r="110" ht="21.0" customHeight="1">
      <c r="A110" s="94"/>
      <c r="B110" s="94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101"/>
      <c r="X110" s="101"/>
      <c r="Y110" s="102"/>
      <c r="Z110" s="103"/>
      <c r="AA110" s="103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</row>
    <row r="111" ht="21.0" customHeight="1">
      <c r="A111" s="94"/>
      <c r="B111" s="94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101"/>
      <c r="X111" s="101"/>
      <c r="Y111" s="102"/>
      <c r="Z111" s="103"/>
      <c r="AA111" s="103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</row>
    <row r="112" ht="21.0" customHeight="1">
      <c r="A112" s="94"/>
      <c r="B112" s="94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101"/>
      <c r="X112" s="101"/>
      <c r="Y112" s="102"/>
      <c r="Z112" s="103"/>
      <c r="AA112" s="103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</row>
    <row r="113" ht="21.0" customHeight="1">
      <c r="A113" s="94"/>
      <c r="B113" s="94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101"/>
      <c r="X113" s="101"/>
      <c r="Y113" s="102"/>
      <c r="Z113" s="103"/>
      <c r="AA113" s="103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</row>
    <row r="114" ht="21.0" customHeight="1">
      <c r="A114" s="94"/>
      <c r="B114" s="94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101"/>
      <c r="X114" s="101"/>
      <c r="Y114" s="102"/>
      <c r="Z114" s="103"/>
      <c r="AA114" s="103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</row>
    <row r="115" ht="21.0" customHeight="1">
      <c r="A115" s="94"/>
      <c r="B115" s="94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101"/>
      <c r="X115" s="101"/>
      <c r="Y115" s="102"/>
      <c r="Z115" s="103"/>
      <c r="AA115" s="103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</row>
    <row r="116" ht="21.0" customHeight="1">
      <c r="A116" s="94"/>
      <c r="B116" s="94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101"/>
      <c r="X116" s="101"/>
      <c r="Y116" s="102"/>
      <c r="Z116" s="103"/>
      <c r="AA116" s="103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</row>
    <row r="117" ht="21.0" customHeight="1">
      <c r="A117" s="94"/>
      <c r="B117" s="94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101"/>
      <c r="X117" s="101"/>
      <c r="Y117" s="102"/>
      <c r="Z117" s="103"/>
      <c r="AA117" s="103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</row>
    <row r="118" ht="21.0" customHeight="1">
      <c r="A118" s="79"/>
      <c r="B118" s="79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2"/>
      <c r="X118" s="102"/>
      <c r="Y118" s="102"/>
      <c r="Z118" s="103"/>
      <c r="AA118" s="103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</row>
    <row r="119" ht="21.0" customHeight="1">
      <c r="A119" s="79"/>
      <c r="B119" s="79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2"/>
      <c r="X119" s="102"/>
      <c r="Y119" s="102"/>
      <c r="Z119" s="103"/>
      <c r="AA119" s="103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</row>
    <row r="120" ht="21.0" customHeight="1">
      <c r="A120" s="79"/>
      <c r="B120" s="79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2"/>
      <c r="X120" s="102"/>
      <c r="Y120" s="102"/>
      <c r="Z120" s="103"/>
      <c r="AA120" s="103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</row>
    <row r="121" ht="21.0" customHeight="1">
      <c r="A121" s="79"/>
      <c r="B121" s="79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2"/>
      <c r="X121" s="102"/>
      <c r="Y121" s="102"/>
      <c r="Z121" s="103"/>
      <c r="AA121" s="103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</row>
    <row r="122" ht="21.0" customHeight="1">
      <c r="A122" s="79"/>
      <c r="B122" s="79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2"/>
      <c r="X122" s="102"/>
      <c r="Y122" s="102"/>
      <c r="Z122" s="103"/>
      <c r="AA122" s="103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</row>
    <row r="123" ht="21.0" customHeight="1">
      <c r="A123" s="79"/>
      <c r="B123" s="79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2"/>
      <c r="X123" s="102"/>
      <c r="Y123" s="102"/>
      <c r="Z123" s="103"/>
      <c r="AA123" s="103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</row>
    <row r="124" ht="21.0" customHeight="1">
      <c r="A124" s="79"/>
      <c r="B124" s="79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2"/>
      <c r="X124" s="102"/>
      <c r="Y124" s="102"/>
      <c r="Z124" s="103"/>
      <c r="AA124" s="103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</row>
    <row r="125" ht="21.0" customHeight="1">
      <c r="A125" s="79"/>
      <c r="B125" s="79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2"/>
      <c r="X125" s="102"/>
      <c r="Y125" s="102"/>
      <c r="Z125" s="103"/>
      <c r="AA125" s="103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</row>
    <row r="126" ht="21.0" customHeight="1">
      <c r="A126" s="79"/>
      <c r="B126" s="79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2"/>
      <c r="X126" s="102"/>
      <c r="Y126" s="102"/>
      <c r="Z126" s="103"/>
      <c r="AA126" s="103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</row>
    <row r="127" ht="21.0" customHeight="1">
      <c r="A127" s="79"/>
      <c r="B127" s="79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2"/>
      <c r="X127" s="102"/>
      <c r="Y127" s="102"/>
      <c r="Z127" s="103"/>
      <c r="AA127" s="103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</row>
    <row r="128" ht="21.0" customHeight="1">
      <c r="A128" s="79"/>
      <c r="B128" s="79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2"/>
      <c r="X128" s="102"/>
      <c r="Y128" s="102"/>
      <c r="Z128" s="103"/>
      <c r="AA128" s="103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</row>
    <row r="129" ht="21.0" customHeight="1">
      <c r="A129" s="79"/>
      <c r="B129" s="79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2"/>
      <c r="X129" s="102"/>
      <c r="Y129" s="102"/>
      <c r="Z129" s="103"/>
      <c r="AA129" s="103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</row>
    <row r="130" ht="21.0" customHeight="1">
      <c r="A130" s="79"/>
      <c r="B130" s="79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2"/>
      <c r="X130" s="102"/>
      <c r="Y130" s="102"/>
      <c r="Z130" s="103"/>
      <c r="AA130" s="103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</row>
    <row r="131" ht="21.0" customHeight="1">
      <c r="A131" s="79"/>
      <c r="B131" s="79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2"/>
      <c r="X131" s="102"/>
      <c r="Y131" s="102"/>
      <c r="Z131" s="103"/>
      <c r="AA131" s="103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</row>
    <row r="132" ht="21.0" customHeight="1">
      <c r="A132" s="79"/>
      <c r="B132" s="79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2"/>
      <c r="X132" s="102"/>
      <c r="Y132" s="102"/>
      <c r="Z132" s="103"/>
      <c r="AA132" s="103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</row>
    <row r="133" ht="21.0" customHeight="1">
      <c r="A133" s="79"/>
      <c r="B133" s="79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2"/>
      <c r="X133" s="102"/>
      <c r="Y133" s="102"/>
      <c r="Z133" s="103"/>
      <c r="AA133" s="103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</row>
    <row r="134" ht="21.0" customHeight="1">
      <c r="A134" s="79"/>
      <c r="B134" s="79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2"/>
      <c r="X134" s="102"/>
      <c r="Y134" s="102"/>
      <c r="Z134" s="103"/>
      <c r="AA134" s="103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</row>
    <row r="135" ht="21.0" customHeight="1">
      <c r="A135" s="79"/>
      <c r="B135" s="79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2"/>
      <c r="X135" s="102"/>
      <c r="Y135" s="102"/>
      <c r="Z135" s="103"/>
      <c r="AA135" s="103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</row>
    <row r="136" ht="21.0" customHeight="1">
      <c r="A136" s="79"/>
      <c r="B136" s="79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2"/>
      <c r="X136" s="102"/>
      <c r="Y136" s="102"/>
      <c r="Z136" s="103"/>
      <c r="AA136" s="103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</row>
    <row r="137" ht="21.0" customHeight="1">
      <c r="A137" s="79"/>
      <c r="B137" s="79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2"/>
      <c r="X137" s="102"/>
      <c r="Y137" s="102"/>
      <c r="Z137" s="103"/>
      <c r="AA137" s="103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</row>
    <row r="138" ht="21.0" customHeight="1">
      <c r="A138" s="79"/>
      <c r="B138" s="79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2"/>
      <c r="X138" s="102"/>
      <c r="Y138" s="102"/>
      <c r="Z138" s="103"/>
      <c r="AA138" s="103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</row>
    <row r="139" ht="21.0" customHeight="1">
      <c r="A139" s="79"/>
      <c r="B139" s="79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2"/>
      <c r="X139" s="102"/>
      <c r="Y139" s="102"/>
      <c r="Z139" s="103"/>
      <c r="AA139" s="103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</row>
    <row r="140" ht="21.0" customHeight="1">
      <c r="A140" s="79"/>
      <c r="B140" s="79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2"/>
      <c r="X140" s="102"/>
      <c r="Y140" s="102"/>
      <c r="Z140" s="103"/>
      <c r="AA140" s="103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</row>
    <row r="141" ht="21.0" customHeight="1">
      <c r="A141" s="79"/>
      <c r="B141" s="79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2"/>
      <c r="X141" s="102"/>
      <c r="Y141" s="102"/>
      <c r="Z141" s="103"/>
      <c r="AA141" s="103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</row>
    <row r="142" ht="21.0" customHeight="1">
      <c r="A142" s="79"/>
      <c r="B142" s="79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2"/>
      <c r="X142" s="102"/>
      <c r="Y142" s="102"/>
      <c r="Z142" s="103"/>
      <c r="AA142" s="103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</row>
    <row r="143" ht="21.0" customHeight="1">
      <c r="A143" s="79"/>
      <c r="B143" s="79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2"/>
      <c r="X143" s="102"/>
      <c r="Y143" s="102"/>
      <c r="Z143" s="103"/>
      <c r="AA143" s="103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</row>
    <row r="144" ht="21.0" customHeight="1">
      <c r="A144" s="79"/>
      <c r="B144" s="79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2"/>
      <c r="X144" s="102"/>
      <c r="Y144" s="102"/>
      <c r="Z144" s="103"/>
      <c r="AA144" s="103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</row>
    <row r="145" ht="21.0" customHeight="1">
      <c r="A145" s="79"/>
      <c r="B145" s="79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2"/>
      <c r="X145" s="102"/>
      <c r="Y145" s="102"/>
      <c r="Z145" s="103"/>
      <c r="AA145" s="103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</row>
    <row r="146" ht="21.0" customHeight="1">
      <c r="A146" s="79"/>
      <c r="B146" s="79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2"/>
      <c r="X146" s="102"/>
      <c r="Y146" s="102"/>
      <c r="Z146" s="103"/>
      <c r="AA146" s="103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</row>
    <row r="147" ht="21.0" customHeight="1">
      <c r="A147" s="79"/>
      <c r="B147" s="79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2"/>
      <c r="X147" s="102"/>
      <c r="Y147" s="102"/>
      <c r="Z147" s="103"/>
      <c r="AA147" s="103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</row>
    <row r="148" ht="21.0" customHeight="1">
      <c r="A148" s="79"/>
      <c r="B148" s="79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2"/>
      <c r="X148" s="102"/>
      <c r="Y148" s="102"/>
      <c r="Z148" s="103"/>
      <c r="AA148" s="103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</row>
    <row r="149" ht="21.0" customHeight="1">
      <c r="A149" s="79"/>
      <c r="B149" s="79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2"/>
      <c r="X149" s="102"/>
      <c r="Y149" s="102"/>
      <c r="Z149" s="103"/>
      <c r="AA149" s="103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</row>
    <row r="150" ht="21.0" customHeight="1">
      <c r="A150" s="79"/>
      <c r="B150" s="79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2"/>
      <c r="X150" s="102"/>
      <c r="Y150" s="102"/>
      <c r="Z150" s="103"/>
      <c r="AA150" s="103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</row>
    <row r="151" ht="21.0" customHeight="1">
      <c r="A151" s="79"/>
      <c r="B151" s="79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2"/>
      <c r="X151" s="102"/>
      <c r="Y151" s="102"/>
      <c r="Z151" s="103"/>
      <c r="AA151" s="103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</row>
    <row r="152" ht="21.0" customHeight="1">
      <c r="A152" s="79"/>
      <c r="B152" s="79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2"/>
      <c r="X152" s="102"/>
      <c r="Y152" s="102"/>
      <c r="Z152" s="103"/>
      <c r="AA152" s="103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</row>
    <row r="153" ht="21.0" customHeight="1">
      <c r="A153" s="79"/>
      <c r="B153" s="79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2"/>
      <c r="X153" s="102"/>
      <c r="Y153" s="102"/>
      <c r="Z153" s="103"/>
      <c r="AA153" s="103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</row>
    <row r="154" ht="21.0" customHeight="1">
      <c r="A154" s="79"/>
      <c r="B154" s="79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2"/>
      <c r="X154" s="102"/>
      <c r="Y154" s="102"/>
      <c r="Z154" s="103"/>
      <c r="AA154" s="103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</row>
    <row r="155" ht="21.0" customHeight="1">
      <c r="A155" s="79"/>
      <c r="B155" s="79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2"/>
      <c r="X155" s="102"/>
      <c r="Y155" s="102"/>
      <c r="Z155" s="103"/>
      <c r="AA155" s="103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</row>
    <row r="156" ht="21.0" customHeight="1">
      <c r="A156" s="79"/>
      <c r="B156" s="79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2"/>
      <c r="X156" s="102"/>
      <c r="Y156" s="102"/>
      <c r="Z156" s="103"/>
      <c r="AA156" s="103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</row>
    <row r="157" ht="21.0" customHeight="1">
      <c r="A157" s="79"/>
      <c r="B157" s="79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2"/>
      <c r="X157" s="102"/>
      <c r="Y157" s="102"/>
      <c r="Z157" s="103"/>
      <c r="AA157" s="103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</row>
    <row r="158" ht="21.0" customHeight="1">
      <c r="A158" s="79"/>
      <c r="B158" s="79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2"/>
      <c r="X158" s="102"/>
      <c r="Y158" s="102"/>
      <c r="Z158" s="103"/>
      <c r="AA158" s="103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</row>
    <row r="159" ht="21.0" customHeight="1">
      <c r="A159" s="79"/>
      <c r="B159" s="79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2"/>
      <c r="X159" s="102"/>
      <c r="Y159" s="102"/>
      <c r="Z159" s="103"/>
      <c r="AA159" s="103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</row>
    <row r="160" ht="21.0" customHeight="1">
      <c r="A160" s="79"/>
      <c r="B160" s="79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2"/>
      <c r="X160" s="102"/>
      <c r="Y160" s="102"/>
      <c r="Z160" s="103"/>
      <c r="AA160" s="103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</row>
    <row r="161" ht="21.0" customHeight="1">
      <c r="A161" s="79"/>
      <c r="B161" s="79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2"/>
      <c r="X161" s="102"/>
      <c r="Y161" s="102"/>
      <c r="Z161" s="103"/>
      <c r="AA161" s="103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</row>
    <row r="162" ht="21.0" customHeight="1">
      <c r="A162" s="79"/>
      <c r="B162" s="79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2"/>
      <c r="X162" s="102"/>
      <c r="Y162" s="102"/>
      <c r="Z162" s="103"/>
      <c r="AA162" s="103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</row>
    <row r="163" ht="21.0" customHeight="1">
      <c r="A163" s="79"/>
      <c r="B163" s="79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2"/>
      <c r="X163" s="102"/>
      <c r="Y163" s="102"/>
      <c r="Z163" s="103"/>
      <c r="AA163" s="103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</row>
    <row r="164" ht="21.0" customHeight="1">
      <c r="A164" s="79"/>
      <c r="B164" s="79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2"/>
      <c r="X164" s="102"/>
      <c r="Y164" s="102"/>
      <c r="Z164" s="103"/>
      <c r="AA164" s="103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</row>
    <row r="165" ht="21.0" customHeight="1">
      <c r="A165" s="79"/>
      <c r="B165" s="79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2"/>
      <c r="X165" s="102"/>
      <c r="Y165" s="102"/>
      <c r="Z165" s="103"/>
      <c r="AA165" s="103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</row>
    <row r="166" ht="21.0" customHeight="1">
      <c r="A166" s="79"/>
      <c r="B166" s="79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2"/>
      <c r="X166" s="102"/>
      <c r="Y166" s="102"/>
      <c r="Z166" s="103"/>
      <c r="AA166" s="103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</row>
    <row r="167" ht="21.0" customHeight="1">
      <c r="A167" s="79"/>
      <c r="B167" s="79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2"/>
      <c r="X167" s="102"/>
      <c r="Y167" s="102"/>
      <c r="Z167" s="103"/>
      <c r="AA167" s="103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</row>
    <row r="168" ht="21.0" customHeight="1">
      <c r="A168" s="79"/>
      <c r="B168" s="79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2"/>
      <c r="X168" s="102"/>
      <c r="Y168" s="102"/>
      <c r="Z168" s="103"/>
      <c r="AA168" s="103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</row>
    <row r="169" ht="21.0" customHeight="1">
      <c r="A169" s="79"/>
      <c r="B169" s="79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2"/>
      <c r="X169" s="102"/>
      <c r="Y169" s="102"/>
      <c r="Z169" s="103"/>
      <c r="AA169" s="103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</row>
    <row r="170" ht="21.0" customHeight="1">
      <c r="A170" s="79"/>
      <c r="B170" s="79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2"/>
      <c r="X170" s="102"/>
      <c r="Y170" s="102"/>
      <c r="Z170" s="103"/>
      <c r="AA170" s="103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</row>
    <row r="171" ht="21.0" customHeight="1">
      <c r="A171" s="79"/>
      <c r="B171" s="79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2"/>
      <c r="X171" s="102"/>
      <c r="Y171" s="102"/>
      <c r="Z171" s="103"/>
      <c r="AA171" s="103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</row>
    <row r="172" ht="21.0" customHeight="1">
      <c r="A172" s="79"/>
      <c r="B172" s="79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2"/>
      <c r="X172" s="102"/>
      <c r="Y172" s="102"/>
      <c r="Z172" s="103"/>
      <c r="AA172" s="103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</row>
    <row r="173" ht="21.0" customHeight="1">
      <c r="A173" s="79"/>
      <c r="B173" s="79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2"/>
      <c r="X173" s="102"/>
      <c r="Y173" s="102"/>
      <c r="Z173" s="103"/>
      <c r="AA173" s="103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</row>
    <row r="174" ht="21.0" customHeight="1">
      <c r="A174" s="79"/>
      <c r="B174" s="79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2"/>
      <c r="X174" s="102"/>
      <c r="Y174" s="102"/>
      <c r="Z174" s="103"/>
      <c r="AA174" s="103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</row>
    <row r="175" ht="21.0" customHeight="1">
      <c r="A175" s="79"/>
      <c r="B175" s="79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2"/>
      <c r="X175" s="102"/>
      <c r="Y175" s="102"/>
      <c r="Z175" s="103"/>
      <c r="AA175" s="103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</row>
    <row r="176" ht="21.0" customHeight="1">
      <c r="A176" s="79"/>
      <c r="B176" s="79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2"/>
      <c r="X176" s="102"/>
      <c r="Y176" s="102"/>
      <c r="Z176" s="103"/>
      <c r="AA176" s="103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</row>
    <row r="177" ht="21.0" customHeight="1">
      <c r="A177" s="79"/>
      <c r="B177" s="79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2"/>
      <c r="X177" s="102"/>
      <c r="Y177" s="102"/>
      <c r="Z177" s="103"/>
      <c r="AA177" s="103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</row>
    <row r="178" ht="21.0" customHeight="1">
      <c r="A178" s="79"/>
      <c r="B178" s="79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2"/>
      <c r="X178" s="102"/>
      <c r="Y178" s="102"/>
      <c r="Z178" s="103"/>
      <c r="AA178" s="103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</row>
    <row r="179" ht="21.0" customHeight="1">
      <c r="A179" s="79"/>
      <c r="B179" s="79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2"/>
      <c r="X179" s="102"/>
      <c r="Y179" s="102"/>
      <c r="Z179" s="103"/>
      <c r="AA179" s="103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</row>
    <row r="180" ht="21.0" customHeight="1">
      <c r="A180" s="79"/>
      <c r="B180" s="79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2"/>
      <c r="X180" s="102"/>
      <c r="Y180" s="102"/>
      <c r="Z180" s="103"/>
      <c r="AA180" s="103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</row>
    <row r="181" ht="21.0" customHeight="1">
      <c r="A181" s="79"/>
      <c r="B181" s="79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2"/>
      <c r="X181" s="102"/>
      <c r="Y181" s="102"/>
      <c r="Z181" s="103"/>
      <c r="AA181" s="103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</row>
    <row r="182" ht="21.0" customHeight="1">
      <c r="A182" s="79"/>
      <c r="B182" s="79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2"/>
      <c r="X182" s="102"/>
      <c r="Y182" s="102"/>
      <c r="Z182" s="103"/>
      <c r="AA182" s="103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</row>
    <row r="183" ht="21.0" customHeight="1">
      <c r="A183" s="79"/>
      <c r="B183" s="79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2"/>
      <c r="X183" s="102"/>
      <c r="Y183" s="102"/>
      <c r="Z183" s="103"/>
      <c r="AA183" s="103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</row>
    <row r="184" ht="21.0" customHeight="1">
      <c r="A184" s="79"/>
      <c r="B184" s="79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2"/>
      <c r="X184" s="102"/>
      <c r="Y184" s="102"/>
      <c r="Z184" s="103"/>
      <c r="AA184" s="103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</row>
    <row r="185" ht="21.0" customHeight="1">
      <c r="A185" s="79"/>
      <c r="B185" s="79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2"/>
      <c r="X185" s="102"/>
      <c r="Y185" s="102"/>
      <c r="Z185" s="103"/>
      <c r="AA185" s="103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</row>
    <row r="186" ht="21.0" customHeight="1">
      <c r="A186" s="79"/>
      <c r="B186" s="79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2"/>
      <c r="X186" s="102"/>
      <c r="Y186" s="102"/>
      <c r="Z186" s="103"/>
      <c r="AA186" s="103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</row>
    <row r="187" ht="21.0" customHeight="1">
      <c r="A187" s="79"/>
      <c r="B187" s="7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2"/>
      <c r="X187" s="102"/>
      <c r="Y187" s="102"/>
      <c r="Z187" s="103"/>
      <c r="AA187" s="103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</row>
    <row r="188" ht="21.0" customHeight="1">
      <c r="A188" s="79"/>
      <c r="B188" s="7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2"/>
      <c r="X188" s="102"/>
      <c r="Y188" s="102"/>
      <c r="Z188" s="103"/>
      <c r="AA188" s="103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</row>
    <row r="189" ht="21.0" customHeight="1">
      <c r="A189" s="79"/>
      <c r="B189" s="79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2"/>
      <c r="X189" s="102"/>
      <c r="Y189" s="102"/>
      <c r="Z189" s="103"/>
      <c r="AA189" s="103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</row>
    <row r="190" ht="21.0" customHeight="1">
      <c r="A190" s="79"/>
      <c r="B190" s="79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2"/>
      <c r="X190" s="102"/>
      <c r="Y190" s="102"/>
      <c r="Z190" s="103"/>
      <c r="AA190" s="103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</row>
    <row r="191" ht="21.0" customHeight="1">
      <c r="A191" s="79"/>
      <c r="B191" s="79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2"/>
      <c r="X191" s="102"/>
      <c r="Y191" s="102"/>
      <c r="Z191" s="103"/>
      <c r="AA191" s="103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</row>
    <row r="192" ht="21.0" customHeight="1">
      <c r="A192" s="79"/>
      <c r="B192" s="79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2"/>
      <c r="X192" s="102"/>
      <c r="Y192" s="102"/>
      <c r="Z192" s="103"/>
      <c r="AA192" s="103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</row>
    <row r="193" ht="21.0" customHeight="1">
      <c r="A193" s="79"/>
      <c r="B193" s="79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2"/>
      <c r="X193" s="102"/>
      <c r="Y193" s="102"/>
      <c r="Z193" s="103"/>
      <c r="AA193" s="103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</row>
    <row r="194" ht="21.0" customHeight="1">
      <c r="A194" s="79"/>
      <c r="B194" s="79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2"/>
      <c r="X194" s="102"/>
      <c r="Y194" s="102"/>
      <c r="Z194" s="103"/>
      <c r="AA194" s="103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</row>
    <row r="195" ht="21.0" customHeight="1">
      <c r="A195" s="79"/>
      <c r="B195" s="79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2"/>
      <c r="X195" s="102"/>
      <c r="Y195" s="102"/>
      <c r="Z195" s="103"/>
      <c r="AA195" s="103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</row>
    <row r="196" ht="21.0" customHeight="1">
      <c r="A196" s="79"/>
      <c r="B196" s="79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2"/>
      <c r="X196" s="102"/>
      <c r="Y196" s="102"/>
      <c r="Z196" s="103"/>
      <c r="AA196" s="103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</row>
    <row r="197" ht="21.0" customHeight="1">
      <c r="A197" s="79"/>
      <c r="B197" s="79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2"/>
      <c r="X197" s="102"/>
      <c r="Y197" s="102"/>
      <c r="Z197" s="103"/>
      <c r="AA197" s="103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</row>
    <row r="198" ht="21.0" customHeight="1">
      <c r="A198" s="79"/>
      <c r="B198" s="79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2"/>
      <c r="X198" s="102"/>
      <c r="Y198" s="102"/>
      <c r="Z198" s="103"/>
      <c r="AA198" s="103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</row>
    <row r="199" ht="21.0" customHeight="1">
      <c r="A199" s="79"/>
      <c r="B199" s="79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2"/>
      <c r="X199" s="102"/>
      <c r="Y199" s="102"/>
      <c r="Z199" s="103"/>
      <c r="AA199" s="103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</row>
    <row r="200" ht="21.0" customHeight="1">
      <c r="A200" s="79"/>
      <c r="B200" s="79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2"/>
      <c r="X200" s="102"/>
      <c r="Y200" s="102"/>
      <c r="Z200" s="103"/>
      <c r="AA200" s="103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</row>
    <row r="201" ht="21.0" customHeight="1">
      <c r="A201" s="79"/>
      <c r="B201" s="79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2"/>
      <c r="X201" s="102"/>
      <c r="Y201" s="102"/>
      <c r="Z201" s="103"/>
      <c r="AA201" s="103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</row>
    <row r="202" ht="21.0" customHeight="1">
      <c r="A202" s="79"/>
      <c r="B202" s="79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2"/>
      <c r="X202" s="102"/>
      <c r="Y202" s="102"/>
      <c r="Z202" s="103"/>
      <c r="AA202" s="103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</row>
    <row r="203" ht="21.0" customHeight="1">
      <c r="A203" s="79"/>
      <c r="B203" s="79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2"/>
      <c r="X203" s="102"/>
      <c r="Y203" s="102"/>
      <c r="Z203" s="103"/>
      <c r="AA203" s="103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</row>
    <row r="204" ht="21.0" customHeight="1">
      <c r="A204" s="79"/>
      <c r="B204" s="79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2"/>
      <c r="X204" s="102"/>
      <c r="Y204" s="102"/>
      <c r="Z204" s="103"/>
      <c r="AA204" s="103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</row>
    <row r="205" ht="21.0" customHeight="1">
      <c r="A205" s="79"/>
      <c r="B205" s="79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2"/>
      <c r="X205" s="102"/>
      <c r="Y205" s="102"/>
      <c r="Z205" s="103"/>
      <c r="AA205" s="103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</row>
    <row r="206" ht="21.0" customHeight="1">
      <c r="A206" s="79"/>
      <c r="B206" s="79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2"/>
      <c r="X206" s="102"/>
      <c r="Y206" s="102"/>
      <c r="Z206" s="103"/>
      <c r="AA206" s="103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</row>
    <row r="207" ht="21.0" customHeight="1">
      <c r="A207" s="79"/>
      <c r="B207" s="79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2"/>
      <c r="X207" s="102"/>
      <c r="Y207" s="102"/>
      <c r="Z207" s="103"/>
      <c r="AA207" s="103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</row>
    <row r="208" ht="21.0" customHeight="1">
      <c r="A208" s="79"/>
      <c r="B208" s="79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2"/>
      <c r="X208" s="102"/>
      <c r="Y208" s="102"/>
      <c r="Z208" s="103"/>
      <c r="AA208" s="103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</row>
    <row r="209" ht="21.0" customHeight="1">
      <c r="A209" s="79"/>
      <c r="B209" s="79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2"/>
      <c r="X209" s="102"/>
      <c r="Y209" s="102"/>
      <c r="Z209" s="103"/>
      <c r="AA209" s="103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</row>
    <row r="210" ht="21.0" customHeight="1">
      <c r="A210" s="79"/>
      <c r="B210" s="79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2"/>
      <c r="X210" s="102"/>
      <c r="Y210" s="102"/>
      <c r="Z210" s="103"/>
      <c r="AA210" s="103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</row>
    <row r="211" ht="21.0" customHeight="1">
      <c r="A211" s="79"/>
      <c r="B211" s="79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2"/>
      <c r="X211" s="102"/>
      <c r="Y211" s="102"/>
      <c r="Z211" s="103"/>
      <c r="AA211" s="103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</row>
    <row r="212" ht="21.0" customHeight="1">
      <c r="A212" s="79"/>
      <c r="B212" s="79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2"/>
      <c r="X212" s="102"/>
      <c r="Y212" s="102"/>
      <c r="Z212" s="103"/>
      <c r="AA212" s="103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</row>
    <row r="213" ht="21.0" customHeight="1">
      <c r="A213" s="79"/>
      <c r="B213" s="79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2"/>
      <c r="X213" s="102"/>
      <c r="Y213" s="102"/>
      <c r="Z213" s="103"/>
      <c r="AA213" s="103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</row>
    <row r="214" ht="21.0" customHeight="1">
      <c r="A214" s="79"/>
      <c r="B214" s="79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2"/>
      <c r="X214" s="102"/>
      <c r="Y214" s="102"/>
      <c r="Z214" s="103"/>
      <c r="AA214" s="103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</row>
    <row r="215" ht="21.0" customHeight="1">
      <c r="A215" s="79"/>
      <c r="B215" s="79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2"/>
      <c r="X215" s="102"/>
      <c r="Y215" s="102"/>
      <c r="Z215" s="103"/>
      <c r="AA215" s="103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</row>
    <row r="216" ht="21.0" customHeight="1">
      <c r="A216" s="79"/>
      <c r="B216" s="79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2"/>
      <c r="X216" s="102"/>
      <c r="Y216" s="102"/>
      <c r="Z216" s="103"/>
      <c r="AA216" s="103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</row>
    <row r="217" ht="21.0" customHeight="1">
      <c r="A217" s="79"/>
      <c r="B217" s="79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2"/>
      <c r="X217" s="102"/>
      <c r="Y217" s="102"/>
      <c r="Z217" s="103"/>
      <c r="AA217" s="103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</row>
    <row r="218" ht="21.0" customHeight="1">
      <c r="A218" s="79"/>
      <c r="B218" s="79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2"/>
      <c r="X218" s="102"/>
      <c r="Y218" s="102"/>
      <c r="Z218" s="103"/>
      <c r="AA218" s="103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</row>
    <row r="219" ht="21.0" customHeight="1">
      <c r="A219" s="79"/>
      <c r="B219" s="79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2"/>
      <c r="X219" s="102"/>
      <c r="Y219" s="102"/>
      <c r="Z219" s="103"/>
      <c r="AA219" s="103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</row>
    <row r="220" ht="21.0" customHeight="1">
      <c r="A220" s="79"/>
      <c r="B220" s="79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2"/>
      <c r="X220" s="102"/>
      <c r="Y220" s="102"/>
      <c r="Z220" s="103"/>
      <c r="AA220" s="103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</row>
    <row r="221" ht="21.0" customHeight="1">
      <c r="A221" s="79"/>
      <c r="B221" s="79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2"/>
      <c r="X221" s="102"/>
      <c r="Y221" s="102"/>
      <c r="Z221" s="103"/>
      <c r="AA221" s="103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</row>
    <row r="222" ht="21.0" customHeight="1">
      <c r="A222" s="79"/>
      <c r="B222" s="79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2"/>
      <c r="X222" s="102"/>
      <c r="Y222" s="102"/>
      <c r="Z222" s="103"/>
      <c r="AA222" s="103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</row>
    <row r="223" ht="21.0" customHeight="1">
      <c r="A223" s="79"/>
      <c r="B223" s="79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2"/>
      <c r="X223" s="102"/>
      <c r="Y223" s="102"/>
      <c r="Z223" s="103"/>
      <c r="AA223" s="103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</row>
    <row r="224" ht="21.0" customHeight="1">
      <c r="A224" s="79"/>
      <c r="B224" s="79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2"/>
      <c r="X224" s="102"/>
      <c r="Y224" s="102"/>
      <c r="Z224" s="103"/>
      <c r="AA224" s="103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</row>
    <row r="225" ht="21.0" customHeight="1">
      <c r="A225" s="79"/>
      <c r="B225" s="79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2"/>
      <c r="X225" s="102"/>
      <c r="Y225" s="102"/>
      <c r="Z225" s="103"/>
      <c r="AA225" s="103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</row>
    <row r="226" ht="21.0" customHeight="1">
      <c r="A226" s="79"/>
      <c r="B226" s="79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2"/>
      <c r="X226" s="102"/>
      <c r="Y226" s="102"/>
      <c r="Z226" s="103"/>
      <c r="AA226" s="103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</row>
    <row r="227" ht="21.0" customHeight="1">
      <c r="A227" s="79"/>
      <c r="B227" s="79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2"/>
      <c r="X227" s="102"/>
      <c r="Y227" s="102"/>
      <c r="Z227" s="103"/>
      <c r="AA227" s="103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</row>
    <row r="228" ht="21.0" customHeight="1">
      <c r="A228" s="79"/>
      <c r="B228" s="79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2"/>
      <c r="X228" s="102"/>
      <c r="Y228" s="102"/>
      <c r="Z228" s="103"/>
      <c r="AA228" s="103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</row>
    <row r="229" ht="21.0" customHeight="1">
      <c r="A229" s="79"/>
      <c r="B229" s="79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2"/>
      <c r="X229" s="102"/>
      <c r="Y229" s="102"/>
      <c r="Z229" s="103"/>
      <c r="AA229" s="103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</row>
    <row r="230" ht="21.0" customHeight="1">
      <c r="A230" s="79"/>
      <c r="B230" s="79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2"/>
      <c r="X230" s="102"/>
      <c r="Y230" s="102"/>
      <c r="Z230" s="103"/>
      <c r="AA230" s="103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</row>
    <row r="231" ht="21.0" customHeight="1">
      <c r="A231" s="79"/>
      <c r="B231" s="79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2"/>
      <c r="X231" s="102"/>
      <c r="Y231" s="102"/>
      <c r="Z231" s="103"/>
      <c r="AA231" s="103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</row>
    <row r="232" ht="21.0" customHeight="1">
      <c r="A232" s="79"/>
      <c r="B232" s="79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2"/>
      <c r="X232" s="102"/>
      <c r="Y232" s="102"/>
      <c r="Z232" s="103"/>
      <c r="AA232" s="103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</row>
    <row r="233" ht="21.0" customHeight="1">
      <c r="A233" s="79"/>
      <c r="B233" s="79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2"/>
      <c r="X233" s="102"/>
      <c r="Y233" s="102"/>
      <c r="Z233" s="103"/>
      <c r="AA233" s="103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</row>
    <row r="234" ht="21.0" customHeight="1">
      <c r="A234" s="79"/>
      <c r="B234" s="79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2"/>
      <c r="X234" s="102"/>
      <c r="Y234" s="102"/>
      <c r="Z234" s="103"/>
      <c r="AA234" s="103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</row>
    <row r="235" ht="21.0" customHeight="1">
      <c r="A235" s="79"/>
      <c r="B235" s="79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2"/>
      <c r="X235" s="102"/>
      <c r="Y235" s="102"/>
      <c r="Z235" s="103"/>
      <c r="AA235" s="103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</row>
    <row r="236" ht="21.0" customHeight="1">
      <c r="A236" s="79"/>
      <c r="B236" s="79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2"/>
      <c r="X236" s="102"/>
      <c r="Y236" s="102"/>
      <c r="Z236" s="103"/>
      <c r="AA236" s="103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</row>
    <row r="237" ht="21.0" customHeight="1">
      <c r="A237" s="79"/>
      <c r="B237" s="79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2"/>
      <c r="X237" s="102"/>
      <c r="Y237" s="102"/>
      <c r="Z237" s="103"/>
      <c r="AA237" s="103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</row>
    <row r="238" ht="21.0" customHeight="1">
      <c r="A238" s="79"/>
      <c r="B238" s="79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2"/>
      <c r="X238" s="102"/>
      <c r="Y238" s="102"/>
      <c r="Z238" s="103"/>
      <c r="AA238" s="103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</row>
    <row r="239" ht="21.0" customHeight="1">
      <c r="A239" s="79"/>
      <c r="B239" s="79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2"/>
      <c r="X239" s="102"/>
      <c r="Y239" s="102"/>
      <c r="Z239" s="103"/>
      <c r="AA239" s="103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</row>
    <row r="240" ht="21.0" customHeight="1">
      <c r="A240" s="79"/>
      <c r="B240" s="79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2"/>
      <c r="X240" s="102"/>
      <c r="Y240" s="102"/>
      <c r="Z240" s="103"/>
      <c r="AA240" s="103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</row>
    <row r="241" ht="21.0" customHeight="1">
      <c r="A241" s="79"/>
      <c r="B241" s="79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2"/>
      <c r="X241" s="102"/>
      <c r="Y241" s="102"/>
      <c r="Z241" s="103"/>
      <c r="AA241" s="103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</row>
    <row r="242" ht="21.0" customHeight="1">
      <c r="A242" s="79"/>
      <c r="B242" s="79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2"/>
      <c r="X242" s="102"/>
      <c r="Y242" s="102"/>
      <c r="Z242" s="103"/>
      <c r="AA242" s="103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</row>
    <row r="243" ht="21.0" customHeight="1">
      <c r="A243" s="79"/>
      <c r="B243" s="79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2"/>
      <c r="X243" s="102"/>
      <c r="Y243" s="102"/>
      <c r="Z243" s="103"/>
      <c r="AA243" s="103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</row>
    <row r="244" ht="21.0" customHeight="1">
      <c r="A244" s="79"/>
      <c r="B244" s="79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2"/>
      <c r="X244" s="102"/>
      <c r="Y244" s="102"/>
      <c r="Z244" s="103"/>
      <c r="AA244" s="103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</row>
    <row r="245" ht="21.0" customHeight="1">
      <c r="A245" s="79"/>
      <c r="B245" s="79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2"/>
      <c r="X245" s="102"/>
      <c r="Y245" s="102"/>
      <c r="Z245" s="103"/>
      <c r="AA245" s="103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</row>
    <row r="246" ht="21.0" customHeight="1">
      <c r="A246" s="79"/>
      <c r="B246" s="79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2"/>
      <c r="X246" s="102"/>
      <c r="Y246" s="102"/>
      <c r="Z246" s="103"/>
      <c r="AA246" s="103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</row>
    <row r="247" ht="21.0" customHeight="1">
      <c r="A247" s="79"/>
      <c r="B247" s="79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2"/>
      <c r="X247" s="102"/>
      <c r="Y247" s="102"/>
      <c r="Z247" s="103"/>
      <c r="AA247" s="103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</row>
    <row r="248" ht="21.0" customHeight="1">
      <c r="A248" s="79"/>
      <c r="B248" s="7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2"/>
      <c r="X248" s="102"/>
      <c r="Y248" s="102"/>
      <c r="Z248" s="103"/>
      <c r="AA248" s="103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</row>
    <row r="249" ht="21.0" customHeight="1">
      <c r="A249" s="79"/>
      <c r="B249" s="7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2"/>
      <c r="X249" s="102"/>
      <c r="Y249" s="102"/>
      <c r="Z249" s="103"/>
      <c r="AA249" s="103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</row>
    <row r="250" ht="21.0" customHeight="1">
      <c r="A250" s="79"/>
      <c r="B250" s="7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2"/>
      <c r="X250" s="102"/>
      <c r="Y250" s="102"/>
      <c r="Z250" s="103"/>
      <c r="AA250" s="103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</row>
    <row r="251" ht="21.0" customHeight="1">
      <c r="A251" s="79"/>
      <c r="B251" s="7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2"/>
      <c r="X251" s="102"/>
      <c r="Y251" s="102"/>
      <c r="Z251" s="103"/>
      <c r="AA251" s="103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</row>
    <row r="252" ht="21.0" customHeight="1">
      <c r="A252" s="79"/>
      <c r="B252" s="79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2"/>
      <c r="X252" s="102"/>
      <c r="Y252" s="102"/>
      <c r="Z252" s="103"/>
      <c r="AA252" s="103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</row>
    <row r="253" ht="21.0" customHeight="1">
      <c r="A253" s="79"/>
      <c r="B253" s="79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2"/>
      <c r="X253" s="102"/>
      <c r="Y253" s="102"/>
      <c r="Z253" s="103"/>
      <c r="AA253" s="103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</row>
    <row r="254" ht="21.0" customHeight="1">
      <c r="A254" s="79"/>
      <c r="B254" s="79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2"/>
      <c r="X254" s="102"/>
      <c r="Y254" s="102"/>
      <c r="Z254" s="103"/>
      <c r="AA254" s="103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</row>
    <row r="255" ht="21.0" customHeight="1">
      <c r="A255" s="79"/>
      <c r="B255" s="79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2"/>
      <c r="X255" s="102"/>
      <c r="Y255" s="102"/>
      <c r="Z255" s="103"/>
      <c r="AA255" s="103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</row>
    <row r="256" ht="21.0" customHeight="1">
      <c r="A256" s="79"/>
      <c r="B256" s="79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2"/>
      <c r="X256" s="102"/>
      <c r="Y256" s="102"/>
      <c r="Z256" s="103"/>
      <c r="AA256" s="103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</row>
    <row r="257" ht="21.0" customHeight="1">
      <c r="A257" s="79"/>
      <c r="B257" s="79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2"/>
      <c r="X257" s="102"/>
      <c r="Y257" s="102"/>
      <c r="Z257" s="103"/>
      <c r="AA257" s="103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</row>
    <row r="258" ht="21.0" customHeight="1">
      <c r="A258" s="79"/>
      <c r="B258" s="79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2"/>
      <c r="X258" s="102"/>
      <c r="Y258" s="102"/>
      <c r="Z258" s="103"/>
      <c r="AA258" s="103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</row>
    <row r="259" ht="21.0" customHeight="1">
      <c r="A259" s="79"/>
      <c r="B259" s="79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2"/>
      <c r="X259" s="102"/>
      <c r="Y259" s="102"/>
      <c r="Z259" s="103"/>
      <c r="AA259" s="103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</row>
    <row r="260" ht="21.0" customHeight="1">
      <c r="A260" s="79"/>
      <c r="B260" s="79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2"/>
      <c r="X260" s="102"/>
      <c r="Y260" s="102"/>
      <c r="Z260" s="103"/>
      <c r="AA260" s="103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</row>
    <row r="261" ht="21.0" customHeight="1">
      <c r="A261" s="79"/>
      <c r="B261" s="79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2"/>
      <c r="X261" s="102"/>
      <c r="Y261" s="102"/>
      <c r="Z261" s="103"/>
      <c r="AA261" s="103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</row>
    <row r="262" ht="21.0" customHeight="1">
      <c r="A262" s="79"/>
      <c r="B262" s="79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2"/>
      <c r="X262" s="102"/>
      <c r="Y262" s="102"/>
      <c r="Z262" s="103"/>
      <c r="AA262" s="103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</row>
    <row r="263" ht="21.0" customHeight="1">
      <c r="A263" s="79"/>
      <c r="B263" s="79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2"/>
      <c r="X263" s="102"/>
      <c r="Y263" s="102"/>
      <c r="Z263" s="103"/>
      <c r="AA263" s="103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</row>
    <row r="264" ht="21.0" customHeight="1">
      <c r="A264" s="79"/>
      <c r="B264" s="79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2"/>
      <c r="X264" s="102"/>
      <c r="Y264" s="102"/>
      <c r="Z264" s="103"/>
      <c r="AA264" s="103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</row>
    <row r="265" ht="21.0" customHeight="1">
      <c r="A265" s="79"/>
      <c r="B265" s="79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2"/>
      <c r="X265" s="102"/>
      <c r="Y265" s="102"/>
      <c r="Z265" s="103"/>
      <c r="AA265" s="103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</row>
    <row r="266" ht="21.0" customHeight="1">
      <c r="A266" s="79"/>
      <c r="B266" s="79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2"/>
      <c r="X266" s="102"/>
      <c r="Y266" s="102"/>
      <c r="Z266" s="103"/>
      <c r="AA266" s="103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</row>
    <row r="267" ht="21.0" customHeight="1">
      <c r="A267" s="79"/>
      <c r="B267" s="79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2"/>
      <c r="X267" s="102"/>
      <c r="Y267" s="102"/>
      <c r="Z267" s="103"/>
      <c r="AA267" s="103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</row>
    <row r="268" ht="21.0" customHeight="1">
      <c r="A268" s="79"/>
      <c r="B268" s="79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2"/>
      <c r="X268" s="102"/>
      <c r="Y268" s="102"/>
      <c r="Z268" s="103"/>
      <c r="AA268" s="103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</row>
    <row r="269" ht="21.0" customHeight="1">
      <c r="A269" s="79"/>
      <c r="B269" s="79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2"/>
      <c r="X269" s="102"/>
      <c r="Y269" s="102"/>
      <c r="Z269" s="103"/>
      <c r="AA269" s="103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</row>
    <row r="270" ht="21.0" customHeight="1">
      <c r="A270" s="79"/>
      <c r="B270" s="79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2"/>
      <c r="X270" s="102"/>
      <c r="Y270" s="102"/>
      <c r="Z270" s="103"/>
      <c r="AA270" s="103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</row>
    <row r="271" ht="21.0" customHeight="1">
      <c r="A271" s="79"/>
      <c r="B271" s="79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2"/>
      <c r="X271" s="102"/>
      <c r="Y271" s="102"/>
      <c r="Z271" s="103"/>
      <c r="AA271" s="103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</row>
    <row r="272" ht="21.0" customHeight="1">
      <c r="A272" s="79"/>
      <c r="B272" s="79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2"/>
      <c r="X272" s="102"/>
      <c r="Y272" s="102"/>
      <c r="Z272" s="103"/>
      <c r="AA272" s="103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</row>
    <row r="273" ht="21.0" customHeight="1">
      <c r="A273" s="79"/>
      <c r="B273" s="79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2"/>
      <c r="X273" s="102"/>
      <c r="Y273" s="102"/>
      <c r="Z273" s="103"/>
      <c r="AA273" s="103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</row>
    <row r="274" ht="21.0" customHeight="1">
      <c r="A274" s="79"/>
      <c r="B274" s="79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2"/>
      <c r="X274" s="102"/>
      <c r="Y274" s="102"/>
      <c r="Z274" s="103"/>
      <c r="AA274" s="103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</row>
    <row r="275" ht="21.0" customHeight="1">
      <c r="A275" s="79"/>
      <c r="B275" s="79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2"/>
      <c r="X275" s="102"/>
      <c r="Y275" s="102"/>
      <c r="Z275" s="103"/>
      <c r="AA275" s="103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</row>
    <row r="276" ht="21.0" customHeight="1">
      <c r="A276" s="79"/>
      <c r="B276" s="79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2"/>
      <c r="X276" s="102"/>
      <c r="Y276" s="102"/>
      <c r="Z276" s="103"/>
      <c r="AA276" s="103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</row>
    <row r="277" ht="21.0" customHeight="1">
      <c r="A277" s="79"/>
      <c r="B277" s="79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2"/>
      <c r="X277" s="102"/>
      <c r="Y277" s="102"/>
      <c r="Z277" s="103"/>
      <c r="AA277" s="103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</row>
    <row r="278" ht="21.0" customHeight="1">
      <c r="A278" s="79"/>
      <c r="B278" s="79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2"/>
      <c r="X278" s="102"/>
      <c r="Y278" s="102"/>
      <c r="Z278" s="103"/>
      <c r="AA278" s="103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</row>
    <row r="279" ht="21.0" customHeight="1">
      <c r="A279" s="79"/>
      <c r="B279" s="79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2"/>
      <c r="X279" s="102"/>
      <c r="Y279" s="102"/>
      <c r="Z279" s="103"/>
      <c r="AA279" s="103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</row>
    <row r="280" ht="21.0" customHeight="1">
      <c r="A280" s="79"/>
      <c r="B280" s="79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2"/>
      <c r="X280" s="102"/>
      <c r="Y280" s="102"/>
      <c r="Z280" s="103"/>
      <c r="AA280" s="103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</row>
    <row r="281" ht="21.0" customHeight="1">
      <c r="A281" s="79"/>
      <c r="B281" s="79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2"/>
      <c r="X281" s="102"/>
      <c r="Y281" s="102"/>
      <c r="Z281" s="103"/>
      <c r="AA281" s="103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</row>
    <row r="282" ht="21.0" customHeight="1">
      <c r="A282" s="79"/>
      <c r="B282" s="79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2"/>
      <c r="X282" s="102"/>
      <c r="Y282" s="102"/>
      <c r="Z282" s="103"/>
      <c r="AA282" s="103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</row>
    <row r="283" ht="21.0" customHeight="1">
      <c r="A283" s="79"/>
      <c r="B283" s="79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2"/>
      <c r="X283" s="102"/>
      <c r="Y283" s="102"/>
      <c r="Z283" s="103"/>
      <c r="AA283" s="103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</row>
    <row r="284" ht="21.0" customHeight="1">
      <c r="A284" s="79"/>
      <c r="B284" s="79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2"/>
      <c r="X284" s="102"/>
      <c r="Y284" s="102"/>
      <c r="Z284" s="103"/>
      <c r="AA284" s="103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</row>
    <row r="285" ht="21.0" customHeight="1">
      <c r="A285" s="79"/>
      <c r="B285" s="79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2"/>
      <c r="X285" s="102"/>
      <c r="Y285" s="102"/>
      <c r="Z285" s="103"/>
      <c r="AA285" s="103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</row>
    <row r="286" ht="21.0" customHeight="1">
      <c r="A286" s="79"/>
      <c r="B286" s="79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2"/>
      <c r="X286" s="102"/>
      <c r="Y286" s="102"/>
      <c r="Z286" s="103"/>
      <c r="AA286" s="103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</row>
    <row r="287" ht="21.0" customHeight="1">
      <c r="A287" s="79"/>
      <c r="B287" s="79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2"/>
      <c r="X287" s="102"/>
      <c r="Y287" s="102"/>
      <c r="Z287" s="103"/>
      <c r="AA287" s="103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</row>
    <row r="288" ht="21.0" customHeight="1">
      <c r="A288" s="79"/>
      <c r="B288" s="79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2"/>
      <c r="X288" s="102"/>
      <c r="Y288" s="102"/>
      <c r="Z288" s="103"/>
      <c r="AA288" s="103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</row>
    <row r="289" ht="21.0" customHeight="1">
      <c r="A289" s="79"/>
      <c r="B289" s="79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2"/>
      <c r="X289" s="102"/>
      <c r="Y289" s="102"/>
      <c r="Z289" s="103"/>
      <c r="AA289" s="103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</row>
    <row r="290" ht="21.0" customHeight="1">
      <c r="A290" s="79"/>
      <c r="B290" s="79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2"/>
      <c r="X290" s="102"/>
      <c r="Y290" s="102"/>
      <c r="Z290" s="103"/>
      <c r="AA290" s="103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</row>
    <row r="291" ht="21.0" customHeight="1">
      <c r="A291" s="79"/>
      <c r="B291" s="79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2"/>
      <c r="X291" s="102"/>
      <c r="Y291" s="102"/>
      <c r="Z291" s="103"/>
      <c r="AA291" s="103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</row>
    <row r="292" ht="21.0" customHeight="1">
      <c r="A292" s="79"/>
      <c r="B292" s="79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2"/>
      <c r="X292" s="102"/>
      <c r="Y292" s="102"/>
      <c r="Z292" s="103"/>
      <c r="AA292" s="103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</row>
    <row r="293" ht="21.0" customHeight="1">
      <c r="A293" s="79"/>
      <c r="B293" s="79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2"/>
      <c r="X293" s="102"/>
      <c r="Y293" s="102"/>
      <c r="Z293" s="103"/>
      <c r="AA293" s="103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</row>
    <row r="294" ht="21.0" customHeight="1">
      <c r="A294" s="79"/>
      <c r="B294" s="79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2"/>
      <c r="X294" s="102"/>
      <c r="Y294" s="102"/>
      <c r="Z294" s="103"/>
      <c r="AA294" s="103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</row>
    <row r="295" ht="21.0" customHeight="1">
      <c r="A295" s="79"/>
      <c r="B295" s="79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2"/>
      <c r="X295" s="102"/>
      <c r="Y295" s="102"/>
      <c r="Z295" s="103"/>
      <c r="AA295" s="103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</row>
    <row r="296" ht="21.0" customHeight="1">
      <c r="A296" s="79"/>
      <c r="B296" s="79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2"/>
      <c r="X296" s="102"/>
      <c r="Y296" s="102"/>
      <c r="Z296" s="103"/>
      <c r="AA296" s="103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</row>
    <row r="297" ht="21.0" customHeight="1">
      <c r="A297" s="79"/>
      <c r="B297" s="79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2"/>
      <c r="X297" s="102"/>
      <c r="Y297" s="102"/>
      <c r="Z297" s="103"/>
      <c r="AA297" s="103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</row>
    <row r="298" ht="21.0" customHeight="1">
      <c r="A298" s="79"/>
      <c r="B298" s="79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2"/>
      <c r="X298" s="102"/>
      <c r="Y298" s="102"/>
      <c r="Z298" s="103"/>
      <c r="AA298" s="103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</row>
    <row r="299" ht="21.0" customHeight="1">
      <c r="A299" s="79"/>
      <c r="B299" s="79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2"/>
      <c r="X299" s="102"/>
      <c r="Y299" s="102"/>
      <c r="Z299" s="103"/>
      <c r="AA299" s="103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</row>
    <row r="300" ht="21.0" customHeight="1">
      <c r="A300" s="79"/>
      <c r="B300" s="79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2"/>
      <c r="X300" s="102"/>
      <c r="Y300" s="102"/>
      <c r="Z300" s="103"/>
      <c r="AA300" s="103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</row>
    <row r="301" ht="21.0" customHeight="1">
      <c r="A301" s="79"/>
      <c r="B301" s="79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2"/>
      <c r="X301" s="102"/>
      <c r="Y301" s="102"/>
      <c r="Z301" s="103"/>
      <c r="AA301" s="103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</row>
    <row r="302" ht="21.0" customHeight="1">
      <c r="A302" s="79"/>
      <c r="B302" s="79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2"/>
      <c r="X302" s="102"/>
      <c r="Y302" s="102"/>
      <c r="Z302" s="103"/>
      <c r="AA302" s="103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</row>
    <row r="303" ht="21.0" customHeight="1">
      <c r="A303" s="79"/>
      <c r="B303" s="79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2"/>
      <c r="X303" s="102"/>
      <c r="Y303" s="102"/>
      <c r="Z303" s="103"/>
      <c r="AA303" s="103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</row>
    <row r="304" ht="21.0" customHeight="1">
      <c r="A304" s="79"/>
      <c r="B304" s="79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2"/>
      <c r="X304" s="102"/>
      <c r="Y304" s="102"/>
      <c r="Z304" s="103"/>
      <c r="AA304" s="103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</row>
    <row r="305" ht="21.0" customHeight="1">
      <c r="A305" s="79"/>
      <c r="B305" s="79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2"/>
      <c r="X305" s="102"/>
      <c r="Y305" s="102"/>
      <c r="Z305" s="103"/>
      <c r="AA305" s="103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</row>
    <row r="306" ht="21.0" customHeight="1">
      <c r="A306" s="79"/>
      <c r="B306" s="79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2"/>
      <c r="X306" s="102"/>
      <c r="Y306" s="102"/>
      <c r="Z306" s="103"/>
      <c r="AA306" s="103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</row>
    <row r="307" ht="21.0" customHeight="1">
      <c r="A307" s="79"/>
      <c r="B307" s="79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2"/>
      <c r="X307" s="102"/>
      <c r="Y307" s="102"/>
      <c r="Z307" s="103"/>
      <c r="AA307" s="103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</row>
    <row r="308" ht="21.0" customHeight="1">
      <c r="A308" s="79"/>
      <c r="B308" s="79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2"/>
      <c r="X308" s="102"/>
      <c r="Y308" s="102"/>
      <c r="Z308" s="103"/>
      <c r="AA308" s="103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</row>
    <row r="309" ht="21.0" customHeight="1">
      <c r="A309" s="79"/>
      <c r="B309" s="79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2"/>
      <c r="X309" s="102"/>
      <c r="Y309" s="102"/>
      <c r="Z309" s="103"/>
      <c r="AA309" s="103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</row>
    <row r="310" ht="21.0" customHeight="1">
      <c r="A310" s="79"/>
      <c r="B310" s="79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2"/>
      <c r="X310" s="102"/>
      <c r="Y310" s="102"/>
      <c r="Z310" s="103"/>
      <c r="AA310" s="103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</row>
    <row r="311" ht="21.0" customHeight="1">
      <c r="A311" s="79"/>
      <c r="B311" s="79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2"/>
      <c r="X311" s="102"/>
      <c r="Y311" s="102"/>
      <c r="Z311" s="103"/>
      <c r="AA311" s="103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</row>
    <row r="312" ht="21.0" customHeight="1">
      <c r="A312" s="79"/>
      <c r="B312" s="79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2"/>
      <c r="X312" s="102"/>
      <c r="Y312" s="102"/>
      <c r="Z312" s="103"/>
      <c r="AA312" s="103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</row>
    <row r="313" ht="21.0" customHeight="1">
      <c r="A313" s="79"/>
      <c r="B313" s="79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2"/>
      <c r="X313" s="102"/>
      <c r="Y313" s="102"/>
      <c r="Z313" s="103"/>
      <c r="AA313" s="103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</row>
    <row r="314" ht="21.0" customHeight="1">
      <c r="A314" s="79"/>
      <c r="B314" s="79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2"/>
      <c r="X314" s="102"/>
      <c r="Y314" s="102"/>
      <c r="Z314" s="103"/>
      <c r="AA314" s="103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</row>
    <row r="315" ht="21.0" customHeight="1">
      <c r="A315" s="79"/>
      <c r="B315" s="79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2"/>
      <c r="X315" s="102"/>
      <c r="Y315" s="102"/>
      <c r="Z315" s="103"/>
      <c r="AA315" s="103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</row>
    <row r="316" ht="21.0" customHeight="1">
      <c r="A316" s="79"/>
      <c r="B316" s="79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2"/>
      <c r="X316" s="102"/>
      <c r="Y316" s="102"/>
      <c r="Z316" s="103"/>
      <c r="AA316" s="103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</row>
    <row r="317" ht="21.0" customHeight="1">
      <c r="A317" s="79"/>
      <c r="B317" s="79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2"/>
      <c r="X317" s="102"/>
      <c r="Y317" s="102"/>
      <c r="Z317" s="103"/>
      <c r="AA317" s="103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</row>
    <row r="318" ht="21.0" customHeight="1">
      <c r="A318" s="79"/>
      <c r="B318" s="79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2"/>
      <c r="X318" s="102"/>
      <c r="Y318" s="102"/>
      <c r="Z318" s="103"/>
      <c r="AA318" s="103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</row>
    <row r="319" ht="21.0" customHeight="1">
      <c r="A319" s="79"/>
      <c r="B319" s="79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2"/>
      <c r="X319" s="102"/>
      <c r="Y319" s="102"/>
      <c r="Z319" s="103"/>
      <c r="AA319" s="103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</row>
    <row r="320" ht="21.0" customHeight="1">
      <c r="A320" s="79"/>
      <c r="B320" s="79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2"/>
      <c r="X320" s="102"/>
      <c r="Y320" s="102"/>
      <c r="Z320" s="103"/>
      <c r="AA320" s="103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</row>
    <row r="321" ht="21.0" customHeight="1">
      <c r="A321" s="79"/>
      <c r="B321" s="79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2"/>
      <c r="X321" s="102"/>
      <c r="Y321" s="102"/>
      <c r="Z321" s="103"/>
      <c r="AA321" s="103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</row>
    <row r="322" ht="21.0" customHeight="1">
      <c r="A322" s="79"/>
      <c r="B322" s="79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2"/>
      <c r="X322" s="102"/>
      <c r="Y322" s="102"/>
      <c r="Z322" s="103"/>
      <c r="AA322" s="103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</row>
    <row r="323" ht="21.0" customHeight="1">
      <c r="A323" s="79"/>
      <c r="B323" s="79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2"/>
      <c r="X323" s="102"/>
      <c r="Y323" s="102"/>
      <c r="Z323" s="103"/>
      <c r="AA323" s="103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</row>
    <row r="324" ht="21.0" customHeight="1">
      <c r="A324" s="79"/>
      <c r="B324" s="79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2"/>
      <c r="X324" s="102"/>
      <c r="Y324" s="102"/>
      <c r="Z324" s="103"/>
      <c r="AA324" s="103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</row>
    <row r="325" ht="21.0" customHeight="1">
      <c r="A325" s="79"/>
      <c r="B325" s="79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2"/>
      <c r="X325" s="102"/>
      <c r="Y325" s="102"/>
      <c r="Z325" s="103"/>
      <c r="AA325" s="103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</row>
    <row r="326" ht="21.0" customHeight="1">
      <c r="A326" s="79"/>
      <c r="B326" s="79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2"/>
      <c r="X326" s="102"/>
      <c r="Y326" s="102"/>
      <c r="Z326" s="103"/>
      <c r="AA326" s="103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</row>
    <row r="327" ht="21.0" customHeight="1">
      <c r="A327" s="79"/>
      <c r="B327" s="79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2"/>
      <c r="X327" s="102"/>
      <c r="Y327" s="102"/>
      <c r="Z327" s="103"/>
      <c r="AA327" s="103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</row>
    <row r="328" ht="21.0" customHeight="1">
      <c r="A328" s="79"/>
      <c r="B328" s="79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2"/>
      <c r="X328" s="102"/>
      <c r="Y328" s="102"/>
      <c r="Z328" s="103"/>
      <c r="AA328" s="103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</row>
    <row r="329" ht="21.0" customHeight="1">
      <c r="A329" s="79"/>
      <c r="B329" s="79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2"/>
      <c r="X329" s="102"/>
      <c r="Y329" s="102"/>
      <c r="Z329" s="103"/>
      <c r="AA329" s="103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</row>
    <row r="330" ht="21.0" customHeight="1">
      <c r="A330" s="79"/>
      <c r="B330" s="79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2"/>
      <c r="X330" s="102"/>
      <c r="Y330" s="102"/>
      <c r="Z330" s="103"/>
      <c r="AA330" s="103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</row>
    <row r="331" ht="21.0" customHeight="1">
      <c r="A331" s="79"/>
      <c r="B331" s="79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2"/>
      <c r="X331" s="102"/>
      <c r="Y331" s="102"/>
      <c r="Z331" s="103"/>
      <c r="AA331" s="103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</row>
    <row r="332" ht="21.0" customHeight="1">
      <c r="A332" s="79"/>
      <c r="B332" s="79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2"/>
      <c r="X332" s="102"/>
      <c r="Y332" s="102"/>
      <c r="Z332" s="103"/>
      <c r="AA332" s="103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</row>
    <row r="333" ht="21.0" customHeight="1">
      <c r="A333" s="79"/>
      <c r="B333" s="79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2"/>
      <c r="X333" s="102"/>
      <c r="Y333" s="102"/>
      <c r="Z333" s="103"/>
      <c r="AA333" s="103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</row>
    <row r="334" ht="21.0" customHeight="1">
      <c r="A334" s="79"/>
      <c r="B334" s="79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2"/>
      <c r="X334" s="102"/>
      <c r="Y334" s="102"/>
      <c r="Z334" s="103"/>
      <c r="AA334" s="103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</row>
    <row r="335" ht="21.0" customHeight="1">
      <c r="A335" s="79"/>
      <c r="B335" s="79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2"/>
      <c r="X335" s="102"/>
      <c r="Y335" s="102"/>
      <c r="Z335" s="103"/>
      <c r="AA335" s="103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</row>
    <row r="336" ht="21.0" customHeight="1">
      <c r="A336" s="79"/>
      <c r="B336" s="79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2"/>
      <c r="X336" s="102"/>
      <c r="Y336" s="102"/>
      <c r="Z336" s="103"/>
      <c r="AA336" s="103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</row>
    <row r="337" ht="21.0" customHeight="1">
      <c r="A337" s="79"/>
      <c r="B337" s="79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2"/>
      <c r="X337" s="102"/>
      <c r="Y337" s="102"/>
      <c r="Z337" s="103"/>
      <c r="AA337" s="103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</row>
    <row r="338" ht="21.0" customHeight="1">
      <c r="A338" s="79"/>
      <c r="B338" s="79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2"/>
      <c r="X338" s="102"/>
      <c r="Y338" s="102"/>
      <c r="Z338" s="103"/>
      <c r="AA338" s="103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</row>
    <row r="339" ht="21.0" customHeight="1">
      <c r="A339" s="79"/>
      <c r="B339" s="79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2"/>
      <c r="X339" s="102"/>
      <c r="Y339" s="102"/>
      <c r="Z339" s="103"/>
      <c r="AA339" s="103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</row>
    <row r="340" ht="21.0" customHeight="1">
      <c r="A340" s="79"/>
      <c r="B340" s="79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2"/>
      <c r="X340" s="102"/>
      <c r="Y340" s="102"/>
      <c r="Z340" s="103"/>
      <c r="AA340" s="103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</row>
    <row r="341" ht="21.0" customHeight="1">
      <c r="A341" s="79"/>
      <c r="B341" s="79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2"/>
      <c r="X341" s="102"/>
      <c r="Y341" s="102"/>
      <c r="Z341" s="103"/>
      <c r="AA341" s="103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</row>
    <row r="342" ht="21.0" customHeight="1">
      <c r="A342" s="79"/>
      <c r="B342" s="79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2"/>
      <c r="X342" s="102"/>
      <c r="Y342" s="102"/>
      <c r="Z342" s="103"/>
      <c r="AA342" s="103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</row>
    <row r="343" ht="21.0" customHeight="1">
      <c r="A343" s="79"/>
      <c r="B343" s="79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2"/>
      <c r="X343" s="102"/>
      <c r="Y343" s="102"/>
      <c r="Z343" s="103"/>
      <c r="AA343" s="103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</row>
    <row r="344" ht="21.0" customHeight="1">
      <c r="A344" s="79"/>
      <c r="B344" s="79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2"/>
      <c r="X344" s="102"/>
      <c r="Y344" s="102"/>
      <c r="Z344" s="103"/>
      <c r="AA344" s="103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</row>
    <row r="345" ht="21.0" customHeight="1">
      <c r="A345" s="79"/>
      <c r="B345" s="79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2"/>
      <c r="X345" s="102"/>
      <c r="Y345" s="102"/>
      <c r="Z345" s="103"/>
      <c r="AA345" s="103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</row>
    <row r="346" ht="21.0" customHeight="1">
      <c r="A346" s="79"/>
      <c r="B346" s="79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2"/>
      <c r="X346" s="102"/>
      <c r="Y346" s="102"/>
      <c r="Z346" s="103"/>
      <c r="AA346" s="103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</row>
    <row r="347" ht="21.0" customHeight="1">
      <c r="A347" s="79"/>
      <c r="B347" s="79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2"/>
      <c r="X347" s="102"/>
      <c r="Y347" s="102"/>
      <c r="Z347" s="103"/>
      <c r="AA347" s="103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</row>
    <row r="348" ht="21.0" customHeight="1">
      <c r="A348" s="79"/>
      <c r="B348" s="79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2"/>
      <c r="X348" s="102"/>
      <c r="Y348" s="102"/>
      <c r="Z348" s="103"/>
      <c r="AA348" s="103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</row>
    <row r="349" ht="21.0" customHeight="1">
      <c r="A349" s="79"/>
      <c r="B349" s="79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2"/>
      <c r="X349" s="102"/>
      <c r="Y349" s="102"/>
      <c r="Z349" s="103"/>
      <c r="AA349" s="103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</row>
    <row r="350" ht="21.0" customHeight="1">
      <c r="A350" s="79"/>
      <c r="B350" s="79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2"/>
      <c r="X350" s="102"/>
      <c r="Y350" s="102"/>
      <c r="Z350" s="103"/>
      <c r="AA350" s="103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</row>
    <row r="351" ht="21.0" customHeight="1">
      <c r="A351" s="79"/>
      <c r="B351" s="79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2"/>
      <c r="X351" s="102"/>
      <c r="Y351" s="102"/>
      <c r="Z351" s="103"/>
      <c r="AA351" s="103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</row>
    <row r="352" ht="21.0" customHeight="1">
      <c r="A352" s="79"/>
      <c r="B352" s="79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2"/>
      <c r="X352" s="102"/>
      <c r="Y352" s="102"/>
      <c r="Z352" s="103"/>
      <c r="AA352" s="103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</row>
    <row r="353" ht="21.0" customHeight="1">
      <c r="A353" s="79"/>
      <c r="B353" s="79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2"/>
      <c r="X353" s="102"/>
      <c r="Y353" s="102"/>
      <c r="Z353" s="103"/>
      <c r="AA353" s="103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</row>
    <row r="354" ht="21.0" customHeight="1">
      <c r="A354" s="79"/>
      <c r="B354" s="79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2"/>
      <c r="X354" s="102"/>
      <c r="Y354" s="102"/>
      <c r="Z354" s="103"/>
      <c r="AA354" s="103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</row>
    <row r="355" ht="21.0" customHeight="1">
      <c r="A355" s="79"/>
      <c r="B355" s="79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2"/>
      <c r="X355" s="102"/>
      <c r="Y355" s="102"/>
      <c r="Z355" s="103"/>
      <c r="AA355" s="103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</row>
    <row r="356" ht="21.0" customHeight="1">
      <c r="A356" s="79"/>
      <c r="B356" s="79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2"/>
      <c r="X356" s="102"/>
      <c r="Y356" s="102"/>
      <c r="Z356" s="103"/>
      <c r="AA356" s="103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</row>
    <row r="357" ht="21.0" customHeight="1">
      <c r="A357" s="79"/>
      <c r="B357" s="79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2"/>
      <c r="X357" s="102"/>
      <c r="Y357" s="102"/>
      <c r="Z357" s="103"/>
      <c r="AA357" s="103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</row>
    <row r="358" ht="21.0" customHeight="1">
      <c r="A358" s="79"/>
      <c r="B358" s="79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2"/>
      <c r="X358" s="102"/>
      <c r="Y358" s="102"/>
      <c r="Z358" s="103"/>
      <c r="AA358" s="103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</row>
    <row r="359" ht="21.0" customHeight="1">
      <c r="A359" s="79"/>
      <c r="B359" s="79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2"/>
      <c r="X359" s="102"/>
      <c r="Y359" s="102"/>
      <c r="Z359" s="103"/>
      <c r="AA359" s="103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</row>
    <row r="360" ht="21.0" customHeight="1">
      <c r="A360" s="79"/>
      <c r="B360" s="79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2"/>
      <c r="X360" s="102"/>
      <c r="Y360" s="102"/>
      <c r="Z360" s="103"/>
      <c r="AA360" s="103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</row>
    <row r="361" ht="21.0" customHeight="1">
      <c r="A361" s="79"/>
      <c r="B361" s="79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2"/>
      <c r="X361" s="102"/>
      <c r="Y361" s="102"/>
      <c r="Z361" s="103"/>
      <c r="AA361" s="103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</row>
    <row r="362" ht="21.0" customHeight="1">
      <c r="A362" s="79"/>
      <c r="B362" s="79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2"/>
      <c r="X362" s="102"/>
      <c r="Y362" s="102"/>
      <c r="Z362" s="103"/>
      <c r="AA362" s="103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</row>
    <row r="363" ht="21.0" customHeight="1">
      <c r="A363" s="79"/>
      <c r="B363" s="79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2"/>
      <c r="X363" s="102"/>
      <c r="Y363" s="102"/>
      <c r="Z363" s="103"/>
      <c r="AA363" s="103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</row>
    <row r="364" ht="21.0" customHeight="1">
      <c r="A364" s="79"/>
      <c r="B364" s="79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2"/>
      <c r="X364" s="102"/>
      <c r="Y364" s="102"/>
      <c r="Z364" s="103"/>
      <c r="AA364" s="103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</row>
    <row r="365" ht="21.0" customHeight="1">
      <c r="A365" s="79"/>
      <c r="B365" s="79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2"/>
      <c r="X365" s="102"/>
      <c r="Y365" s="102"/>
      <c r="Z365" s="103"/>
      <c r="AA365" s="103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</row>
    <row r="366" ht="21.0" customHeight="1">
      <c r="A366" s="79"/>
      <c r="B366" s="79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2"/>
      <c r="X366" s="102"/>
      <c r="Y366" s="102"/>
      <c r="Z366" s="103"/>
      <c r="AA366" s="103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</row>
    <row r="367" ht="21.0" customHeight="1">
      <c r="A367" s="79"/>
      <c r="B367" s="79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2"/>
      <c r="X367" s="102"/>
      <c r="Y367" s="102"/>
      <c r="Z367" s="103"/>
      <c r="AA367" s="103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</row>
    <row r="368" ht="21.0" customHeight="1">
      <c r="A368" s="79"/>
      <c r="B368" s="79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2"/>
      <c r="X368" s="102"/>
      <c r="Y368" s="102"/>
      <c r="Z368" s="103"/>
      <c r="AA368" s="103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</row>
    <row r="369" ht="21.0" customHeight="1">
      <c r="A369" s="79"/>
      <c r="B369" s="79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2"/>
      <c r="X369" s="102"/>
      <c r="Y369" s="102"/>
      <c r="Z369" s="103"/>
      <c r="AA369" s="103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</row>
    <row r="370" ht="21.0" customHeight="1">
      <c r="A370" s="79"/>
      <c r="B370" s="79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2"/>
      <c r="X370" s="102"/>
      <c r="Y370" s="102"/>
      <c r="Z370" s="103"/>
      <c r="AA370" s="103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</row>
    <row r="371" ht="21.0" customHeight="1">
      <c r="A371" s="79"/>
      <c r="B371" s="79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2"/>
      <c r="X371" s="102"/>
      <c r="Y371" s="102"/>
      <c r="Z371" s="103"/>
      <c r="AA371" s="103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</row>
    <row r="372" ht="21.0" customHeight="1">
      <c r="A372" s="79"/>
      <c r="B372" s="79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2"/>
      <c r="X372" s="102"/>
      <c r="Y372" s="102"/>
      <c r="Z372" s="103"/>
      <c r="AA372" s="103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</row>
    <row r="373" ht="21.0" customHeight="1">
      <c r="A373" s="79"/>
      <c r="B373" s="79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2"/>
      <c r="X373" s="102"/>
      <c r="Y373" s="102"/>
      <c r="Z373" s="103"/>
      <c r="AA373" s="103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</row>
    <row r="374" ht="21.0" customHeight="1">
      <c r="A374" s="79"/>
      <c r="B374" s="79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2"/>
      <c r="X374" s="102"/>
      <c r="Y374" s="102"/>
      <c r="Z374" s="103"/>
      <c r="AA374" s="103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</row>
    <row r="375" ht="21.0" customHeight="1">
      <c r="A375" s="79"/>
      <c r="B375" s="79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2"/>
      <c r="X375" s="102"/>
      <c r="Y375" s="102"/>
      <c r="Z375" s="103"/>
      <c r="AA375" s="103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</row>
    <row r="376" ht="21.0" customHeight="1">
      <c r="A376" s="79"/>
      <c r="B376" s="79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2"/>
      <c r="X376" s="102"/>
      <c r="Y376" s="102"/>
      <c r="Z376" s="103"/>
      <c r="AA376" s="103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</row>
    <row r="377" ht="21.0" customHeight="1">
      <c r="A377" s="79"/>
      <c r="B377" s="79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2"/>
      <c r="X377" s="102"/>
      <c r="Y377" s="102"/>
      <c r="Z377" s="103"/>
      <c r="AA377" s="103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</row>
    <row r="378" ht="21.0" customHeight="1">
      <c r="A378" s="79"/>
      <c r="B378" s="79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2"/>
      <c r="X378" s="102"/>
      <c r="Y378" s="102"/>
      <c r="Z378" s="103"/>
      <c r="AA378" s="103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</row>
    <row r="379" ht="21.0" customHeight="1">
      <c r="A379" s="79"/>
      <c r="B379" s="79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2"/>
      <c r="X379" s="102"/>
      <c r="Y379" s="102"/>
      <c r="Z379" s="103"/>
      <c r="AA379" s="103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</row>
    <row r="380" ht="21.0" customHeight="1">
      <c r="A380" s="79"/>
      <c r="B380" s="79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2"/>
      <c r="X380" s="102"/>
      <c r="Y380" s="102"/>
      <c r="Z380" s="103"/>
      <c r="AA380" s="103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</row>
    <row r="381" ht="21.0" customHeight="1">
      <c r="A381" s="79"/>
      <c r="B381" s="79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2"/>
      <c r="X381" s="102"/>
      <c r="Y381" s="102"/>
      <c r="Z381" s="103"/>
      <c r="AA381" s="103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</row>
    <row r="382" ht="21.0" customHeight="1">
      <c r="A382" s="79"/>
      <c r="B382" s="79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2"/>
      <c r="X382" s="102"/>
      <c r="Y382" s="102"/>
      <c r="Z382" s="103"/>
      <c r="AA382" s="103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</row>
    <row r="383" ht="21.0" customHeight="1">
      <c r="A383" s="79"/>
      <c r="B383" s="79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2"/>
      <c r="X383" s="102"/>
      <c r="Y383" s="102"/>
      <c r="Z383" s="103"/>
      <c r="AA383" s="103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</row>
    <row r="384" ht="21.0" customHeight="1">
      <c r="A384" s="79"/>
      <c r="B384" s="79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2"/>
      <c r="X384" s="102"/>
      <c r="Y384" s="102"/>
      <c r="Z384" s="103"/>
      <c r="AA384" s="103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</row>
    <row r="385" ht="21.0" customHeight="1">
      <c r="A385" s="79"/>
      <c r="B385" s="79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2"/>
      <c r="X385" s="102"/>
      <c r="Y385" s="102"/>
      <c r="Z385" s="103"/>
      <c r="AA385" s="103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</row>
    <row r="386" ht="21.0" customHeight="1">
      <c r="A386" s="79"/>
      <c r="B386" s="79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2"/>
      <c r="X386" s="102"/>
      <c r="Y386" s="102"/>
      <c r="Z386" s="103"/>
      <c r="AA386" s="103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</row>
    <row r="387" ht="21.0" customHeight="1">
      <c r="A387" s="79"/>
      <c r="B387" s="79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2"/>
      <c r="X387" s="102"/>
      <c r="Y387" s="102"/>
      <c r="Z387" s="103"/>
      <c r="AA387" s="103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</row>
    <row r="388" ht="21.0" customHeight="1">
      <c r="A388" s="79"/>
      <c r="B388" s="79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2"/>
      <c r="X388" s="102"/>
      <c r="Y388" s="102"/>
      <c r="Z388" s="103"/>
      <c r="AA388" s="103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</row>
    <row r="389" ht="21.0" customHeight="1">
      <c r="A389" s="79"/>
      <c r="B389" s="79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2"/>
      <c r="X389" s="102"/>
      <c r="Y389" s="102"/>
      <c r="Z389" s="103"/>
      <c r="AA389" s="103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</row>
    <row r="390" ht="21.0" customHeight="1">
      <c r="A390" s="79"/>
      <c r="B390" s="79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2"/>
      <c r="X390" s="102"/>
      <c r="Y390" s="102"/>
      <c r="Z390" s="103"/>
      <c r="AA390" s="103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</row>
    <row r="391" ht="21.0" customHeight="1">
      <c r="A391" s="79"/>
      <c r="B391" s="79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2"/>
      <c r="X391" s="102"/>
      <c r="Y391" s="102"/>
      <c r="Z391" s="103"/>
      <c r="AA391" s="103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</row>
    <row r="392" ht="21.0" customHeight="1">
      <c r="A392" s="79"/>
      <c r="B392" s="79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2"/>
      <c r="X392" s="102"/>
      <c r="Y392" s="102"/>
      <c r="Z392" s="103"/>
      <c r="AA392" s="103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</row>
    <row r="393" ht="21.0" customHeight="1">
      <c r="A393" s="79"/>
      <c r="B393" s="79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2"/>
      <c r="X393" s="102"/>
      <c r="Y393" s="102"/>
      <c r="Z393" s="103"/>
      <c r="AA393" s="103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</row>
    <row r="394" ht="21.0" customHeight="1">
      <c r="A394" s="79"/>
      <c r="B394" s="79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2"/>
      <c r="X394" s="102"/>
      <c r="Y394" s="102"/>
      <c r="Z394" s="103"/>
      <c r="AA394" s="103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</row>
    <row r="395" ht="21.0" customHeight="1">
      <c r="A395" s="79"/>
      <c r="B395" s="79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2"/>
      <c r="X395" s="102"/>
      <c r="Y395" s="102"/>
      <c r="Z395" s="103"/>
      <c r="AA395" s="103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</row>
    <row r="396" ht="21.0" customHeight="1">
      <c r="A396" s="79"/>
      <c r="B396" s="79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2"/>
      <c r="X396" s="102"/>
      <c r="Y396" s="102"/>
      <c r="Z396" s="103"/>
      <c r="AA396" s="103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</row>
    <row r="397" ht="21.0" customHeight="1">
      <c r="A397" s="79"/>
      <c r="B397" s="79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2"/>
      <c r="X397" s="102"/>
      <c r="Y397" s="102"/>
      <c r="Z397" s="103"/>
      <c r="AA397" s="103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</row>
    <row r="398" ht="21.0" customHeight="1">
      <c r="A398" s="79"/>
      <c r="B398" s="79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2"/>
      <c r="X398" s="102"/>
      <c r="Y398" s="102"/>
      <c r="Z398" s="103"/>
      <c r="AA398" s="103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</row>
    <row r="399" ht="21.0" customHeight="1">
      <c r="A399" s="79"/>
      <c r="B399" s="79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2"/>
      <c r="X399" s="102"/>
      <c r="Y399" s="102"/>
      <c r="Z399" s="103"/>
      <c r="AA399" s="103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</row>
    <row r="400" ht="21.0" customHeight="1">
      <c r="A400" s="79"/>
      <c r="B400" s="79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2"/>
      <c r="X400" s="102"/>
      <c r="Y400" s="102"/>
      <c r="Z400" s="103"/>
      <c r="AA400" s="103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</row>
    <row r="401" ht="21.0" customHeight="1">
      <c r="A401" s="79"/>
      <c r="B401" s="79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2"/>
      <c r="X401" s="102"/>
      <c r="Y401" s="102"/>
      <c r="Z401" s="103"/>
      <c r="AA401" s="103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</row>
    <row r="402" ht="21.0" customHeight="1">
      <c r="A402" s="79"/>
      <c r="B402" s="79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2"/>
      <c r="X402" s="102"/>
      <c r="Y402" s="102"/>
      <c r="Z402" s="103"/>
      <c r="AA402" s="103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</row>
    <row r="403" ht="21.0" customHeight="1">
      <c r="A403" s="79"/>
      <c r="B403" s="79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2"/>
      <c r="X403" s="102"/>
      <c r="Y403" s="102"/>
      <c r="Z403" s="103"/>
      <c r="AA403" s="103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</row>
    <row r="404" ht="21.0" customHeight="1">
      <c r="A404" s="79"/>
      <c r="B404" s="79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2"/>
      <c r="X404" s="102"/>
      <c r="Y404" s="102"/>
      <c r="Z404" s="103"/>
      <c r="AA404" s="103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</row>
    <row r="405" ht="21.0" customHeight="1">
      <c r="A405" s="79"/>
      <c r="B405" s="79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2"/>
      <c r="X405" s="102"/>
      <c r="Y405" s="102"/>
      <c r="Z405" s="103"/>
      <c r="AA405" s="103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</row>
    <row r="406" ht="21.0" customHeight="1">
      <c r="A406" s="79"/>
      <c r="B406" s="79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2"/>
      <c r="X406" s="102"/>
      <c r="Y406" s="102"/>
      <c r="Z406" s="103"/>
      <c r="AA406" s="103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</row>
    <row r="407" ht="21.0" customHeight="1">
      <c r="A407" s="79"/>
      <c r="B407" s="79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2"/>
      <c r="X407" s="102"/>
      <c r="Y407" s="102"/>
      <c r="Z407" s="103"/>
      <c r="AA407" s="103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</row>
    <row r="408" ht="21.0" customHeight="1">
      <c r="A408" s="79"/>
      <c r="B408" s="79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2"/>
      <c r="X408" s="102"/>
      <c r="Y408" s="102"/>
      <c r="Z408" s="103"/>
      <c r="AA408" s="103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</row>
    <row r="409" ht="21.0" customHeight="1">
      <c r="A409" s="79"/>
      <c r="B409" s="79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2"/>
      <c r="X409" s="102"/>
      <c r="Y409" s="102"/>
      <c r="Z409" s="103"/>
      <c r="AA409" s="103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</row>
    <row r="410" ht="21.0" customHeight="1">
      <c r="A410" s="79"/>
      <c r="B410" s="79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2"/>
      <c r="X410" s="102"/>
      <c r="Y410" s="102"/>
      <c r="Z410" s="103"/>
      <c r="AA410" s="103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</row>
    <row r="411" ht="21.0" customHeight="1">
      <c r="A411" s="79"/>
      <c r="B411" s="79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2"/>
      <c r="X411" s="102"/>
      <c r="Y411" s="102"/>
      <c r="Z411" s="103"/>
      <c r="AA411" s="103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</row>
    <row r="412" ht="21.0" customHeight="1">
      <c r="A412" s="79"/>
      <c r="B412" s="79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2"/>
      <c r="X412" s="102"/>
      <c r="Y412" s="102"/>
      <c r="Z412" s="103"/>
      <c r="AA412" s="103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</row>
    <row r="413" ht="21.0" customHeight="1">
      <c r="A413" s="79"/>
      <c r="B413" s="79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2"/>
      <c r="X413" s="102"/>
      <c r="Y413" s="102"/>
      <c r="Z413" s="103"/>
      <c r="AA413" s="103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</row>
    <row r="414" ht="21.0" customHeight="1">
      <c r="A414" s="79"/>
      <c r="B414" s="79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2"/>
      <c r="X414" s="102"/>
      <c r="Y414" s="102"/>
      <c r="Z414" s="103"/>
      <c r="AA414" s="103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</row>
    <row r="415" ht="21.0" customHeight="1">
      <c r="A415" s="79"/>
      <c r="B415" s="79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2"/>
      <c r="X415" s="102"/>
      <c r="Y415" s="102"/>
      <c r="Z415" s="103"/>
      <c r="AA415" s="103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</row>
    <row r="416" ht="21.0" customHeight="1">
      <c r="A416" s="79"/>
      <c r="B416" s="79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2"/>
      <c r="X416" s="102"/>
      <c r="Y416" s="102"/>
      <c r="Z416" s="103"/>
      <c r="AA416" s="103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</row>
    <row r="417" ht="21.0" customHeight="1">
      <c r="A417" s="79"/>
      <c r="B417" s="79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2"/>
      <c r="X417" s="102"/>
      <c r="Y417" s="102"/>
      <c r="Z417" s="103"/>
      <c r="AA417" s="103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</row>
    <row r="418" ht="21.0" customHeight="1">
      <c r="A418" s="79"/>
      <c r="B418" s="79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2"/>
      <c r="X418" s="102"/>
      <c r="Y418" s="102"/>
      <c r="Z418" s="103"/>
      <c r="AA418" s="103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</row>
    <row r="419" ht="21.0" customHeight="1">
      <c r="A419" s="79"/>
      <c r="B419" s="79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2"/>
      <c r="X419" s="102"/>
      <c r="Y419" s="102"/>
      <c r="Z419" s="103"/>
      <c r="AA419" s="103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</row>
    <row r="420" ht="21.0" customHeight="1">
      <c r="A420" s="79"/>
      <c r="B420" s="79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2"/>
      <c r="X420" s="102"/>
      <c r="Y420" s="102"/>
      <c r="Z420" s="103"/>
      <c r="AA420" s="103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</row>
    <row r="421" ht="21.0" customHeight="1">
      <c r="A421" s="79"/>
      <c r="B421" s="79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2"/>
      <c r="X421" s="102"/>
      <c r="Y421" s="102"/>
      <c r="Z421" s="103"/>
      <c r="AA421" s="103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</row>
    <row r="422" ht="21.0" customHeight="1">
      <c r="A422" s="79"/>
      <c r="B422" s="79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2"/>
      <c r="X422" s="102"/>
      <c r="Y422" s="102"/>
      <c r="Z422" s="103"/>
      <c r="AA422" s="103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</row>
    <row r="423" ht="21.0" customHeight="1">
      <c r="A423" s="79"/>
      <c r="B423" s="79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2"/>
      <c r="X423" s="102"/>
      <c r="Y423" s="102"/>
      <c r="Z423" s="103"/>
      <c r="AA423" s="103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</row>
    <row r="424" ht="21.0" customHeight="1">
      <c r="A424" s="79"/>
      <c r="B424" s="79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2"/>
      <c r="X424" s="102"/>
      <c r="Y424" s="102"/>
      <c r="Z424" s="103"/>
      <c r="AA424" s="103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</row>
    <row r="425" ht="21.0" customHeight="1">
      <c r="A425" s="79"/>
      <c r="B425" s="79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2"/>
      <c r="X425" s="102"/>
      <c r="Y425" s="102"/>
      <c r="Z425" s="103"/>
      <c r="AA425" s="103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</row>
    <row r="426" ht="21.0" customHeight="1">
      <c r="A426" s="79"/>
      <c r="B426" s="79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2"/>
      <c r="X426" s="102"/>
      <c r="Y426" s="102"/>
      <c r="Z426" s="103"/>
      <c r="AA426" s="103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</row>
    <row r="427" ht="21.0" customHeight="1">
      <c r="A427" s="79"/>
      <c r="B427" s="79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2"/>
      <c r="X427" s="102"/>
      <c r="Y427" s="102"/>
      <c r="Z427" s="103"/>
      <c r="AA427" s="103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</row>
    <row r="428" ht="21.0" customHeight="1">
      <c r="A428" s="79"/>
      <c r="B428" s="79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2"/>
      <c r="X428" s="102"/>
      <c r="Y428" s="102"/>
      <c r="Z428" s="103"/>
      <c r="AA428" s="103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</row>
    <row r="429" ht="21.0" customHeight="1">
      <c r="A429" s="79"/>
      <c r="B429" s="79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2"/>
      <c r="X429" s="102"/>
      <c r="Y429" s="102"/>
      <c r="Z429" s="103"/>
      <c r="AA429" s="103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</row>
    <row r="430" ht="21.0" customHeight="1">
      <c r="A430" s="79"/>
      <c r="B430" s="79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2"/>
      <c r="X430" s="102"/>
      <c r="Y430" s="102"/>
      <c r="Z430" s="103"/>
      <c r="AA430" s="103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</row>
    <row r="431" ht="21.0" customHeight="1">
      <c r="A431" s="79"/>
      <c r="B431" s="79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2"/>
      <c r="X431" s="102"/>
      <c r="Y431" s="102"/>
      <c r="Z431" s="103"/>
      <c r="AA431" s="103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</row>
    <row r="432" ht="21.0" customHeight="1">
      <c r="A432" s="79"/>
      <c r="B432" s="79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2"/>
      <c r="X432" s="102"/>
      <c r="Y432" s="102"/>
      <c r="Z432" s="103"/>
      <c r="AA432" s="103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</row>
    <row r="433" ht="21.0" customHeight="1">
      <c r="A433" s="79"/>
      <c r="B433" s="79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2"/>
      <c r="X433" s="102"/>
      <c r="Y433" s="102"/>
      <c r="Z433" s="103"/>
      <c r="AA433" s="103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</row>
    <row r="434" ht="21.0" customHeight="1">
      <c r="A434" s="79"/>
      <c r="B434" s="79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2"/>
      <c r="X434" s="102"/>
      <c r="Y434" s="102"/>
      <c r="Z434" s="103"/>
      <c r="AA434" s="103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</row>
    <row r="435" ht="21.0" customHeight="1">
      <c r="A435" s="79"/>
      <c r="B435" s="79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2"/>
      <c r="X435" s="102"/>
      <c r="Y435" s="102"/>
      <c r="Z435" s="103"/>
      <c r="AA435" s="103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</row>
    <row r="436" ht="21.0" customHeight="1">
      <c r="A436" s="79"/>
      <c r="B436" s="79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2"/>
      <c r="X436" s="102"/>
      <c r="Y436" s="102"/>
      <c r="Z436" s="103"/>
      <c r="AA436" s="103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</row>
    <row r="437" ht="21.0" customHeight="1">
      <c r="A437" s="79"/>
      <c r="B437" s="79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2"/>
      <c r="X437" s="102"/>
      <c r="Y437" s="102"/>
      <c r="Z437" s="103"/>
      <c r="AA437" s="103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</row>
    <row r="438" ht="21.0" customHeight="1">
      <c r="A438" s="79"/>
      <c r="B438" s="79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2"/>
      <c r="X438" s="102"/>
      <c r="Y438" s="102"/>
      <c r="Z438" s="103"/>
      <c r="AA438" s="103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</row>
    <row r="439" ht="21.0" customHeight="1">
      <c r="A439" s="79"/>
      <c r="B439" s="79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2"/>
      <c r="X439" s="102"/>
      <c r="Y439" s="102"/>
      <c r="Z439" s="103"/>
      <c r="AA439" s="103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</row>
    <row r="440" ht="21.0" customHeight="1">
      <c r="A440" s="79"/>
      <c r="B440" s="79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2"/>
      <c r="X440" s="102"/>
      <c r="Y440" s="102"/>
      <c r="Z440" s="103"/>
      <c r="AA440" s="103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</row>
    <row r="441" ht="21.0" customHeight="1">
      <c r="A441" s="79"/>
      <c r="B441" s="79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2"/>
      <c r="X441" s="102"/>
      <c r="Y441" s="102"/>
      <c r="Z441" s="103"/>
      <c r="AA441" s="103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</row>
    <row r="442" ht="21.0" customHeight="1">
      <c r="A442" s="79"/>
      <c r="B442" s="79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2"/>
      <c r="X442" s="102"/>
      <c r="Y442" s="102"/>
      <c r="Z442" s="103"/>
      <c r="AA442" s="103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</row>
    <row r="443" ht="21.0" customHeight="1">
      <c r="A443" s="79"/>
      <c r="B443" s="79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2"/>
      <c r="X443" s="102"/>
      <c r="Y443" s="102"/>
      <c r="Z443" s="103"/>
      <c r="AA443" s="103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</row>
    <row r="444" ht="21.0" customHeight="1">
      <c r="A444" s="79"/>
      <c r="B444" s="79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2"/>
      <c r="X444" s="102"/>
      <c r="Y444" s="102"/>
      <c r="Z444" s="103"/>
      <c r="AA444" s="103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</row>
    <row r="445" ht="21.0" customHeight="1">
      <c r="A445" s="79"/>
      <c r="B445" s="79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2"/>
      <c r="X445" s="102"/>
      <c r="Y445" s="102"/>
      <c r="Z445" s="103"/>
      <c r="AA445" s="103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</row>
    <row r="446" ht="21.0" customHeight="1">
      <c r="A446" s="79"/>
      <c r="B446" s="79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2"/>
      <c r="X446" s="102"/>
      <c r="Y446" s="102"/>
      <c r="Z446" s="103"/>
      <c r="AA446" s="103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</row>
    <row r="447" ht="21.0" customHeight="1">
      <c r="A447" s="79"/>
      <c r="B447" s="79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2"/>
      <c r="X447" s="102"/>
      <c r="Y447" s="102"/>
      <c r="Z447" s="103"/>
      <c r="AA447" s="103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</row>
    <row r="448" ht="21.0" customHeight="1">
      <c r="A448" s="79"/>
      <c r="B448" s="79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2"/>
      <c r="X448" s="102"/>
      <c r="Y448" s="102"/>
      <c r="Z448" s="103"/>
      <c r="AA448" s="103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</row>
    <row r="449" ht="21.0" customHeight="1">
      <c r="A449" s="79"/>
      <c r="B449" s="79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2"/>
      <c r="X449" s="102"/>
      <c r="Y449" s="102"/>
      <c r="Z449" s="103"/>
      <c r="AA449" s="103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</row>
    <row r="450" ht="21.0" customHeight="1">
      <c r="A450" s="79"/>
      <c r="B450" s="79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2"/>
      <c r="X450" s="102"/>
      <c r="Y450" s="102"/>
      <c r="Z450" s="103"/>
      <c r="AA450" s="103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</row>
    <row r="451" ht="21.0" customHeight="1">
      <c r="A451" s="79"/>
      <c r="B451" s="79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2"/>
      <c r="X451" s="102"/>
      <c r="Y451" s="102"/>
      <c r="Z451" s="103"/>
      <c r="AA451" s="103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</row>
    <row r="452" ht="21.0" customHeight="1">
      <c r="A452" s="79"/>
      <c r="B452" s="79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2"/>
      <c r="X452" s="102"/>
      <c r="Y452" s="102"/>
      <c r="Z452" s="103"/>
      <c r="AA452" s="103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</row>
    <row r="453" ht="21.0" customHeight="1">
      <c r="A453" s="79"/>
      <c r="B453" s="79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2"/>
      <c r="X453" s="102"/>
      <c r="Y453" s="102"/>
      <c r="Z453" s="103"/>
      <c r="AA453" s="103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</row>
    <row r="454" ht="21.0" customHeight="1">
      <c r="A454" s="79"/>
      <c r="B454" s="79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2"/>
      <c r="X454" s="102"/>
      <c r="Y454" s="102"/>
      <c r="Z454" s="103"/>
      <c r="AA454" s="103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</row>
    <row r="455" ht="21.0" customHeight="1">
      <c r="A455" s="79"/>
      <c r="B455" s="79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2"/>
      <c r="X455" s="102"/>
      <c r="Y455" s="102"/>
      <c r="Z455" s="103"/>
      <c r="AA455" s="103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</row>
    <row r="456" ht="21.0" customHeight="1">
      <c r="A456" s="79"/>
      <c r="B456" s="79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2"/>
      <c r="X456" s="102"/>
      <c r="Y456" s="102"/>
      <c r="Z456" s="103"/>
      <c r="AA456" s="103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</row>
    <row r="457" ht="21.0" customHeight="1">
      <c r="A457" s="79"/>
      <c r="B457" s="79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2"/>
      <c r="X457" s="102"/>
      <c r="Y457" s="102"/>
      <c r="Z457" s="103"/>
      <c r="AA457" s="103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</row>
    <row r="458" ht="21.0" customHeight="1">
      <c r="A458" s="79"/>
      <c r="B458" s="79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2"/>
      <c r="X458" s="102"/>
      <c r="Y458" s="102"/>
      <c r="Z458" s="103"/>
      <c r="AA458" s="103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</row>
    <row r="459" ht="21.0" customHeight="1">
      <c r="A459" s="79"/>
      <c r="B459" s="79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2"/>
      <c r="X459" s="102"/>
      <c r="Y459" s="102"/>
      <c r="Z459" s="103"/>
      <c r="AA459" s="103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</row>
    <row r="460" ht="21.0" customHeight="1">
      <c r="A460" s="79"/>
      <c r="B460" s="79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2"/>
      <c r="X460" s="102"/>
      <c r="Y460" s="102"/>
      <c r="Z460" s="103"/>
      <c r="AA460" s="103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</row>
    <row r="461" ht="21.0" customHeight="1">
      <c r="A461" s="79"/>
      <c r="B461" s="79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2"/>
      <c r="X461" s="102"/>
      <c r="Y461" s="102"/>
      <c r="Z461" s="103"/>
      <c r="AA461" s="103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</row>
    <row r="462" ht="21.0" customHeight="1">
      <c r="A462" s="79"/>
      <c r="B462" s="79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2"/>
      <c r="X462" s="102"/>
      <c r="Y462" s="102"/>
      <c r="Z462" s="103"/>
      <c r="AA462" s="103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</row>
    <row r="463" ht="21.0" customHeight="1">
      <c r="A463" s="79"/>
      <c r="B463" s="79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2"/>
      <c r="X463" s="102"/>
      <c r="Y463" s="102"/>
      <c r="Z463" s="103"/>
      <c r="AA463" s="103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</row>
    <row r="464" ht="21.0" customHeight="1">
      <c r="A464" s="79"/>
      <c r="B464" s="79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2"/>
      <c r="X464" s="102"/>
      <c r="Y464" s="102"/>
      <c r="Z464" s="103"/>
      <c r="AA464" s="103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</row>
    <row r="465" ht="21.0" customHeight="1">
      <c r="A465" s="79"/>
      <c r="B465" s="79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2"/>
      <c r="X465" s="102"/>
      <c r="Y465" s="102"/>
      <c r="Z465" s="103"/>
      <c r="AA465" s="103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</row>
    <row r="466" ht="21.0" customHeight="1">
      <c r="A466" s="79"/>
      <c r="B466" s="79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2"/>
      <c r="X466" s="102"/>
      <c r="Y466" s="102"/>
      <c r="Z466" s="103"/>
      <c r="AA466" s="103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</row>
    <row r="467" ht="21.0" customHeight="1">
      <c r="A467" s="79"/>
      <c r="B467" s="79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2"/>
      <c r="X467" s="102"/>
      <c r="Y467" s="102"/>
      <c r="Z467" s="103"/>
      <c r="AA467" s="103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</row>
    <row r="468" ht="21.0" customHeight="1">
      <c r="A468" s="79"/>
      <c r="B468" s="79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2"/>
      <c r="X468" s="102"/>
      <c r="Y468" s="102"/>
      <c r="Z468" s="103"/>
      <c r="AA468" s="103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</row>
    <row r="469" ht="21.0" customHeight="1">
      <c r="A469" s="79"/>
      <c r="B469" s="79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2"/>
      <c r="X469" s="102"/>
      <c r="Y469" s="102"/>
      <c r="Z469" s="103"/>
      <c r="AA469" s="103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</row>
    <row r="470" ht="21.0" customHeight="1">
      <c r="A470" s="79"/>
      <c r="B470" s="79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2"/>
      <c r="X470" s="102"/>
      <c r="Y470" s="102"/>
      <c r="Z470" s="103"/>
      <c r="AA470" s="103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</row>
    <row r="471" ht="21.0" customHeight="1">
      <c r="A471" s="79"/>
      <c r="B471" s="79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2"/>
      <c r="X471" s="102"/>
      <c r="Y471" s="102"/>
      <c r="Z471" s="103"/>
      <c r="AA471" s="103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</row>
    <row r="472" ht="21.0" customHeight="1">
      <c r="A472" s="79"/>
      <c r="B472" s="79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2"/>
      <c r="X472" s="102"/>
      <c r="Y472" s="102"/>
      <c r="Z472" s="103"/>
      <c r="AA472" s="103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</row>
    <row r="473" ht="21.0" customHeight="1">
      <c r="A473" s="79"/>
      <c r="B473" s="79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2"/>
      <c r="X473" s="102"/>
      <c r="Y473" s="102"/>
      <c r="Z473" s="103"/>
      <c r="AA473" s="103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</row>
    <row r="474" ht="21.0" customHeight="1">
      <c r="A474" s="79"/>
      <c r="B474" s="79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2"/>
      <c r="X474" s="102"/>
      <c r="Y474" s="102"/>
      <c r="Z474" s="103"/>
      <c r="AA474" s="103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</row>
    <row r="475" ht="21.0" customHeight="1">
      <c r="A475" s="79"/>
      <c r="B475" s="79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2"/>
      <c r="X475" s="102"/>
      <c r="Y475" s="102"/>
      <c r="Z475" s="103"/>
      <c r="AA475" s="103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</row>
    <row r="476" ht="21.0" customHeight="1">
      <c r="A476" s="79"/>
      <c r="B476" s="79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2"/>
      <c r="X476" s="102"/>
      <c r="Y476" s="102"/>
      <c r="Z476" s="103"/>
      <c r="AA476" s="103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</row>
    <row r="477" ht="21.0" customHeight="1">
      <c r="A477" s="79"/>
      <c r="B477" s="79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2"/>
      <c r="X477" s="102"/>
      <c r="Y477" s="102"/>
      <c r="Z477" s="103"/>
      <c r="AA477" s="103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</row>
    <row r="478" ht="21.0" customHeight="1">
      <c r="A478" s="79"/>
      <c r="B478" s="79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2"/>
      <c r="X478" s="102"/>
      <c r="Y478" s="102"/>
      <c r="Z478" s="103"/>
      <c r="AA478" s="103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</row>
    <row r="479" ht="21.0" customHeight="1">
      <c r="A479" s="79"/>
      <c r="B479" s="79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2"/>
      <c r="X479" s="102"/>
      <c r="Y479" s="102"/>
      <c r="Z479" s="103"/>
      <c r="AA479" s="103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</row>
    <row r="480" ht="21.0" customHeight="1">
      <c r="A480" s="79"/>
      <c r="B480" s="79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2"/>
      <c r="X480" s="102"/>
      <c r="Y480" s="102"/>
      <c r="Z480" s="103"/>
      <c r="AA480" s="103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</row>
    <row r="481" ht="21.0" customHeight="1">
      <c r="A481" s="79"/>
      <c r="B481" s="79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2"/>
      <c r="X481" s="102"/>
      <c r="Y481" s="102"/>
      <c r="Z481" s="103"/>
      <c r="AA481" s="103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</row>
    <row r="482" ht="21.0" customHeight="1">
      <c r="A482" s="79"/>
      <c r="B482" s="79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2"/>
      <c r="X482" s="102"/>
      <c r="Y482" s="102"/>
      <c r="Z482" s="103"/>
      <c r="AA482" s="103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</row>
    <row r="483" ht="21.0" customHeight="1">
      <c r="A483" s="79"/>
      <c r="B483" s="79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2"/>
      <c r="X483" s="102"/>
      <c r="Y483" s="102"/>
      <c r="Z483" s="103"/>
      <c r="AA483" s="103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</row>
    <row r="484" ht="21.0" customHeight="1">
      <c r="A484" s="79"/>
      <c r="B484" s="79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2"/>
      <c r="X484" s="102"/>
      <c r="Y484" s="102"/>
      <c r="Z484" s="103"/>
      <c r="AA484" s="103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</row>
    <row r="485" ht="21.0" customHeight="1">
      <c r="A485" s="79"/>
      <c r="B485" s="79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2"/>
      <c r="X485" s="102"/>
      <c r="Y485" s="102"/>
      <c r="Z485" s="103"/>
      <c r="AA485" s="103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</row>
    <row r="486" ht="21.0" customHeight="1">
      <c r="A486" s="79"/>
      <c r="B486" s="79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2"/>
      <c r="X486" s="102"/>
      <c r="Y486" s="102"/>
      <c r="Z486" s="103"/>
      <c r="AA486" s="103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</row>
    <row r="487" ht="21.0" customHeight="1">
      <c r="A487" s="79"/>
      <c r="B487" s="79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2"/>
      <c r="X487" s="102"/>
      <c r="Y487" s="102"/>
      <c r="Z487" s="103"/>
      <c r="AA487" s="103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</row>
    <row r="488" ht="21.0" customHeight="1">
      <c r="A488" s="79"/>
      <c r="B488" s="79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2"/>
      <c r="X488" s="102"/>
      <c r="Y488" s="102"/>
      <c r="Z488" s="103"/>
      <c r="AA488" s="103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</row>
    <row r="489" ht="21.0" customHeight="1">
      <c r="A489" s="79"/>
      <c r="B489" s="79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2"/>
      <c r="X489" s="102"/>
      <c r="Y489" s="102"/>
      <c r="Z489" s="103"/>
      <c r="AA489" s="103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</row>
    <row r="490" ht="21.0" customHeight="1">
      <c r="A490" s="79"/>
      <c r="B490" s="79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2"/>
      <c r="X490" s="102"/>
      <c r="Y490" s="102"/>
      <c r="Z490" s="103"/>
      <c r="AA490" s="103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</row>
    <row r="491" ht="21.0" customHeight="1">
      <c r="A491" s="79"/>
      <c r="B491" s="79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2"/>
      <c r="X491" s="102"/>
      <c r="Y491" s="102"/>
      <c r="Z491" s="103"/>
      <c r="AA491" s="103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</row>
    <row r="492" ht="21.0" customHeight="1">
      <c r="A492" s="79"/>
      <c r="B492" s="79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2"/>
      <c r="X492" s="102"/>
      <c r="Y492" s="102"/>
      <c r="Z492" s="103"/>
      <c r="AA492" s="103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</row>
    <row r="493" ht="21.0" customHeight="1">
      <c r="A493" s="79"/>
      <c r="B493" s="79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2"/>
      <c r="X493" s="102"/>
      <c r="Y493" s="102"/>
      <c r="Z493" s="103"/>
      <c r="AA493" s="103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</row>
    <row r="494" ht="21.0" customHeight="1">
      <c r="A494" s="79"/>
      <c r="B494" s="79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2"/>
      <c r="X494" s="102"/>
      <c r="Y494" s="102"/>
      <c r="Z494" s="103"/>
      <c r="AA494" s="103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</row>
    <row r="495" ht="21.0" customHeight="1">
      <c r="A495" s="79"/>
      <c r="B495" s="79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2"/>
      <c r="X495" s="102"/>
      <c r="Y495" s="102"/>
      <c r="Z495" s="103"/>
      <c r="AA495" s="103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</row>
    <row r="496" ht="21.0" customHeight="1">
      <c r="A496" s="79"/>
      <c r="B496" s="79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2"/>
      <c r="X496" s="102"/>
      <c r="Y496" s="102"/>
      <c r="Z496" s="103"/>
      <c r="AA496" s="103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</row>
    <row r="497" ht="21.0" customHeight="1">
      <c r="A497" s="79"/>
      <c r="B497" s="79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2"/>
      <c r="X497" s="102"/>
      <c r="Y497" s="102"/>
      <c r="Z497" s="103"/>
      <c r="AA497" s="103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</row>
    <row r="498" ht="21.0" customHeight="1">
      <c r="A498" s="79"/>
      <c r="B498" s="79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2"/>
      <c r="X498" s="102"/>
      <c r="Y498" s="102"/>
      <c r="Z498" s="103"/>
      <c r="AA498" s="103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</row>
    <row r="499" ht="21.0" customHeight="1">
      <c r="A499" s="79"/>
      <c r="B499" s="79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2"/>
      <c r="X499" s="102"/>
      <c r="Y499" s="102"/>
      <c r="Z499" s="103"/>
      <c r="AA499" s="103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</row>
    <row r="500" ht="21.0" customHeight="1">
      <c r="A500" s="79"/>
      <c r="B500" s="79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2"/>
      <c r="X500" s="102"/>
      <c r="Y500" s="102"/>
      <c r="Z500" s="103"/>
      <c r="AA500" s="103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</row>
    <row r="501" ht="21.0" customHeight="1">
      <c r="A501" s="79"/>
      <c r="B501" s="79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2"/>
      <c r="X501" s="102"/>
      <c r="Y501" s="102"/>
      <c r="Z501" s="103"/>
      <c r="AA501" s="103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</row>
    <row r="502" ht="21.0" customHeight="1">
      <c r="A502" s="79"/>
      <c r="B502" s="79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2"/>
      <c r="X502" s="102"/>
      <c r="Y502" s="102"/>
      <c r="Z502" s="103"/>
      <c r="AA502" s="103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</row>
    <row r="503" ht="21.0" customHeight="1">
      <c r="A503" s="79"/>
      <c r="B503" s="79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2"/>
      <c r="X503" s="102"/>
      <c r="Y503" s="102"/>
      <c r="Z503" s="103"/>
      <c r="AA503" s="103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</row>
    <row r="504" ht="21.0" customHeight="1">
      <c r="A504" s="79"/>
      <c r="B504" s="79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2"/>
      <c r="X504" s="102"/>
      <c r="Y504" s="102"/>
      <c r="Z504" s="103"/>
      <c r="AA504" s="103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</row>
    <row r="505" ht="21.0" customHeight="1">
      <c r="A505" s="79"/>
      <c r="B505" s="79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2"/>
      <c r="X505" s="102"/>
      <c r="Y505" s="102"/>
      <c r="Z505" s="103"/>
      <c r="AA505" s="103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</row>
    <row r="506" ht="21.0" customHeight="1">
      <c r="A506" s="79"/>
      <c r="B506" s="79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2"/>
      <c r="X506" s="102"/>
      <c r="Y506" s="102"/>
      <c r="Z506" s="103"/>
      <c r="AA506" s="103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</row>
    <row r="507" ht="21.0" customHeight="1">
      <c r="A507" s="79"/>
      <c r="B507" s="79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2"/>
      <c r="X507" s="102"/>
      <c r="Y507" s="102"/>
      <c r="Z507" s="103"/>
      <c r="AA507" s="103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</row>
    <row r="508" ht="21.0" customHeight="1">
      <c r="A508" s="79"/>
      <c r="B508" s="79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2"/>
      <c r="X508" s="102"/>
      <c r="Y508" s="102"/>
      <c r="Z508" s="103"/>
      <c r="AA508" s="103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</row>
    <row r="509" ht="21.0" customHeight="1">
      <c r="A509" s="79"/>
      <c r="B509" s="79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2"/>
      <c r="X509" s="102"/>
      <c r="Y509" s="102"/>
      <c r="Z509" s="103"/>
      <c r="AA509" s="103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</row>
    <row r="510" ht="21.0" customHeight="1">
      <c r="A510" s="79"/>
      <c r="B510" s="79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2"/>
      <c r="X510" s="102"/>
      <c r="Y510" s="102"/>
      <c r="Z510" s="103"/>
      <c r="AA510" s="103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</row>
    <row r="511" ht="21.0" customHeight="1">
      <c r="A511" s="79"/>
      <c r="B511" s="79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2"/>
      <c r="X511" s="102"/>
      <c r="Y511" s="102"/>
      <c r="Z511" s="103"/>
      <c r="AA511" s="103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</row>
    <row r="512" ht="21.0" customHeight="1">
      <c r="A512" s="79"/>
      <c r="B512" s="79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2"/>
      <c r="X512" s="102"/>
      <c r="Y512" s="102"/>
      <c r="Z512" s="103"/>
      <c r="AA512" s="103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</row>
    <row r="513" ht="21.0" customHeight="1">
      <c r="A513" s="79"/>
      <c r="B513" s="79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2"/>
      <c r="X513" s="102"/>
      <c r="Y513" s="102"/>
      <c r="Z513" s="103"/>
      <c r="AA513" s="103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</row>
    <row r="514" ht="21.0" customHeight="1">
      <c r="A514" s="79"/>
      <c r="B514" s="79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2"/>
      <c r="X514" s="102"/>
      <c r="Y514" s="102"/>
      <c r="Z514" s="103"/>
      <c r="AA514" s="103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</row>
    <row r="515" ht="21.0" customHeight="1">
      <c r="A515" s="79"/>
      <c r="B515" s="79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2"/>
      <c r="X515" s="102"/>
      <c r="Y515" s="102"/>
      <c r="Z515" s="103"/>
      <c r="AA515" s="103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</row>
    <row r="516" ht="21.0" customHeight="1">
      <c r="A516" s="79"/>
      <c r="B516" s="79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2"/>
      <c r="X516" s="102"/>
      <c r="Y516" s="102"/>
      <c r="Z516" s="103"/>
      <c r="AA516" s="103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</row>
    <row r="517" ht="21.0" customHeight="1">
      <c r="A517" s="79"/>
      <c r="B517" s="79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2"/>
      <c r="X517" s="102"/>
      <c r="Y517" s="102"/>
      <c r="Z517" s="103"/>
      <c r="AA517" s="103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</row>
    <row r="518" ht="21.0" customHeight="1">
      <c r="A518" s="79"/>
      <c r="B518" s="79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2"/>
      <c r="X518" s="102"/>
      <c r="Y518" s="102"/>
      <c r="Z518" s="103"/>
      <c r="AA518" s="103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</row>
    <row r="519" ht="21.0" customHeight="1">
      <c r="A519" s="79"/>
      <c r="B519" s="79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2"/>
      <c r="X519" s="102"/>
      <c r="Y519" s="102"/>
      <c r="Z519" s="103"/>
      <c r="AA519" s="103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</row>
    <row r="520" ht="21.0" customHeight="1">
      <c r="A520" s="79"/>
      <c r="B520" s="79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2"/>
      <c r="X520" s="102"/>
      <c r="Y520" s="102"/>
      <c r="Z520" s="103"/>
      <c r="AA520" s="103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</row>
    <row r="521" ht="21.0" customHeight="1">
      <c r="A521" s="79"/>
      <c r="B521" s="79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2"/>
      <c r="X521" s="102"/>
      <c r="Y521" s="102"/>
      <c r="Z521" s="103"/>
      <c r="AA521" s="103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</row>
    <row r="522" ht="21.0" customHeight="1">
      <c r="A522" s="79"/>
      <c r="B522" s="79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2"/>
      <c r="X522" s="102"/>
      <c r="Y522" s="102"/>
      <c r="Z522" s="103"/>
      <c r="AA522" s="103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</row>
    <row r="523" ht="21.0" customHeight="1">
      <c r="A523" s="79"/>
      <c r="B523" s="79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2"/>
      <c r="X523" s="102"/>
      <c r="Y523" s="102"/>
      <c r="Z523" s="103"/>
      <c r="AA523" s="103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</row>
    <row r="524" ht="21.0" customHeight="1">
      <c r="A524" s="79"/>
      <c r="B524" s="79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2"/>
      <c r="X524" s="102"/>
      <c r="Y524" s="102"/>
      <c r="Z524" s="103"/>
      <c r="AA524" s="103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</row>
    <row r="525" ht="21.0" customHeight="1">
      <c r="A525" s="79"/>
      <c r="B525" s="79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2"/>
      <c r="X525" s="102"/>
      <c r="Y525" s="102"/>
      <c r="Z525" s="103"/>
      <c r="AA525" s="103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</row>
    <row r="526" ht="21.0" customHeight="1">
      <c r="A526" s="79"/>
      <c r="B526" s="79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2"/>
      <c r="X526" s="102"/>
      <c r="Y526" s="102"/>
      <c r="Z526" s="103"/>
      <c r="AA526" s="103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</row>
    <row r="527" ht="21.0" customHeight="1">
      <c r="A527" s="79"/>
      <c r="B527" s="79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2"/>
      <c r="X527" s="102"/>
      <c r="Y527" s="102"/>
      <c r="Z527" s="103"/>
      <c r="AA527" s="103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</row>
    <row r="528" ht="21.0" customHeight="1">
      <c r="A528" s="79"/>
      <c r="B528" s="79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2"/>
      <c r="X528" s="102"/>
      <c r="Y528" s="102"/>
      <c r="Z528" s="103"/>
      <c r="AA528" s="103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</row>
    <row r="529" ht="21.0" customHeight="1">
      <c r="A529" s="79"/>
      <c r="B529" s="79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2"/>
      <c r="X529" s="102"/>
      <c r="Y529" s="102"/>
      <c r="Z529" s="103"/>
      <c r="AA529" s="103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</row>
    <row r="530" ht="21.0" customHeight="1">
      <c r="A530" s="79"/>
      <c r="B530" s="79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2"/>
      <c r="X530" s="102"/>
      <c r="Y530" s="102"/>
      <c r="Z530" s="103"/>
      <c r="AA530" s="103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</row>
    <row r="531" ht="21.0" customHeight="1">
      <c r="A531" s="79"/>
      <c r="B531" s="79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2"/>
      <c r="X531" s="102"/>
      <c r="Y531" s="102"/>
      <c r="Z531" s="103"/>
      <c r="AA531" s="103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</row>
    <row r="532" ht="21.0" customHeight="1">
      <c r="A532" s="79"/>
      <c r="B532" s="79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2"/>
      <c r="X532" s="102"/>
      <c r="Y532" s="102"/>
      <c r="Z532" s="103"/>
      <c r="AA532" s="103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</row>
    <row r="533" ht="21.0" customHeight="1">
      <c r="A533" s="79"/>
      <c r="B533" s="79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2"/>
      <c r="X533" s="102"/>
      <c r="Y533" s="102"/>
      <c r="Z533" s="103"/>
      <c r="AA533" s="103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</row>
    <row r="534" ht="21.0" customHeight="1">
      <c r="A534" s="79"/>
      <c r="B534" s="79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2"/>
      <c r="X534" s="102"/>
      <c r="Y534" s="102"/>
      <c r="Z534" s="103"/>
      <c r="AA534" s="103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</row>
    <row r="535" ht="21.0" customHeight="1">
      <c r="A535" s="79"/>
      <c r="B535" s="79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2"/>
      <c r="X535" s="102"/>
      <c r="Y535" s="102"/>
      <c r="Z535" s="103"/>
      <c r="AA535" s="103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</row>
    <row r="536" ht="21.0" customHeight="1">
      <c r="A536" s="79"/>
      <c r="B536" s="79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2"/>
      <c r="X536" s="102"/>
      <c r="Y536" s="102"/>
      <c r="Z536" s="103"/>
      <c r="AA536" s="103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</row>
    <row r="537" ht="21.0" customHeight="1">
      <c r="A537" s="79"/>
      <c r="B537" s="79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2"/>
      <c r="X537" s="102"/>
      <c r="Y537" s="102"/>
      <c r="Z537" s="103"/>
      <c r="AA537" s="103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</row>
    <row r="538" ht="21.0" customHeight="1">
      <c r="A538" s="79"/>
      <c r="B538" s="79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2"/>
      <c r="X538" s="102"/>
      <c r="Y538" s="102"/>
      <c r="Z538" s="103"/>
      <c r="AA538" s="103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</row>
    <row r="539" ht="21.0" customHeight="1">
      <c r="A539" s="79"/>
      <c r="B539" s="79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2"/>
      <c r="X539" s="102"/>
      <c r="Y539" s="102"/>
      <c r="Z539" s="103"/>
      <c r="AA539" s="103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</row>
    <row r="540" ht="21.0" customHeight="1">
      <c r="A540" s="79"/>
      <c r="B540" s="79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2"/>
      <c r="X540" s="102"/>
      <c r="Y540" s="102"/>
      <c r="Z540" s="103"/>
      <c r="AA540" s="103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</row>
    <row r="541" ht="21.0" customHeight="1">
      <c r="A541" s="79"/>
      <c r="B541" s="79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2"/>
      <c r="X541" s="102"/>
      <c r="Y541" s="102"/>
      <c r="Z541" s="103"/>
      <c r="AA541" s="103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</row>
    <row r="542" ht="21.0" customHeight="1">
      <c r="A542" s="79"/>
      <c r="B542" s="79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2"/>
      <c r="X542" s="102"/>
      <c r="Y542" s="102"/>
      <c r="Z542" s="103"/>
      <c r="AA542" s="103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</row>
    <row r="543" ht="21.0" customHeight="1">
      <c r="A543" s="79"/>
      <c r="B543" s="79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2"/>
      <c r="X543" s="102"/>
      <c r="Y543" s="102"/>
      <c r="Z543" s="103"/>
      <c r="AA543" s="103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</row>
    <row r="544" ht="21.0" customHeight="1">
      <c r="A544" s="79"/>
      <c r="B544" s="79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2"/>
      <c r="X544" s="102"/>
      <c r="Y544" s="102"/>
      <c r="Z544" s="103"/>
      <c r="AA544" s="103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</row>
    <row r="545" ht="21.0" customHeight="1">
      <c r="A545" s="79"/>
      <c r="B545" s="79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2"/>
      <c r="X545" s="102"/>
      <c r="Y545" s="102"/>
      <c r="Z545" s="103"/>
      <c r="AA545" s="103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</row>
    <row r="546" ht="21.0" customHeight="1">
      <c r="A546" s="79"/>
      <c r="B546" s="79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2"/>
      <c r="X546" s="102"/>
      <c r="Y546" s="102"/>
      <c r="Z546" s="103"/>
      <c r="AA546" s="103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</row>
    <row r="547" ht="21.0" customHeight="1">
      <c r="A547" s="79"/>
      <c r="B547" s="79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2"/>
      <c r="X547" s="102"/>
      <c r="Y547" s="102"/>
      <c r="Z547" s="103"/>
      <c r="AA547" s="103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</row>
    <row r="548" ht="21.0" customHeight="1">
      <c r="A548" s="79"/>
      <c r="B548" s="79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2"/>
      <c r="X548" s="102"/>
      <c r="Y548" s="102"/>
      <c r="Z548" s="103"/>
      <c r="AA548" s="103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</row>
    <row r="549" ht="21.0" customHeight="1">
      <c r="A549" s="79"/>
      <c r="B549" s="79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2"/>
      <c r="X549" s="102"/>
      <c r="Y549" s="102"/>
      <c r="Z549" s="103"/>
      <c r="AA549" s="103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</row>
    <row r="550" ht="21.0" customHeight="1">
      <c r="A550" s="79"/>
      <c r="B550" s="79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2"/>
      <c r="X550" s="102"/>
      <c r="Y550" s="102"/>
      <c r="Z550" s="103"/>
      <c r="AA550" s="103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</row>
    <row r="551" ht="21.0" customHeight="1">
      <c r="A551" s="79"/>
      <c r="B551" s="79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2"/>
      <c r="X551" s="102"/>
      <c r="Y551" s="102"/>
      <c r="Z551" s="103"/>
      <c r="AA551" s="103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</row>
    <row r="552" ht="21.0" customHeight="1">
      <c r="A552" s="79"/>
      <c r="B552" s="79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2"/>
      <c r="X552" s="102"/>
      <c r="Y552" s="102"/>
      <c r="Z552" s="103"/>
      <c r="AA552" s="103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</row>
    <row r="553" ht="21.0" customHeight="1">
      <c r="A553" s="79"/>
      <c r="B553" s="79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2"/>
      <c r="X553" s="102"/>
      <c r="Y553" s="102"/>
      <c r="Z553" s="103"/>
      <c r="AA553" s="103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</row>
    <row r="554" ht="21.0" customHeight="1">
      <c r="A554" s="79"/>
      <c r="B554" s="79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2"/>
      <c r="X554" s="102"/>
      <c r="Y554" s="102"/>
      <c r="Z554" s="103"/>
      <c r="AA554" s="103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</row>
    <row r="555" ht="21.0" customHeight="1">
      <c r="A555" s="79"/>
      <c r="B555" s="79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2"/>
      <c r="X555" s="102"/>
      <c r="Y555" s="102"/>
      <c r="Z555" s="103"/>
      <c r="AA555" s="103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</row>
    <row r="556" ht="21.0" customHeight="1">
      <c r="A556" s="79"/>
      <c r="B556" s="79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2"/>
      <c r="X556" s="102"/>
      <c r="Y556" s="102"/>
      <c r="Z556" s="103"/>
      <c r="AA556" s="103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</row>
    <row r="557" ht="21.0" customHeight="1">
      <c r="A557" s="79"/>
      <c r="B557" s="79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2"/>
      <c r="X557" s="102"/>
      <c r="Y557" s="102"/>
      <c r="Z557" s="103"/>
      <c r="AA557" s="103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</row>
    <row r="558" ht="21.0" customHeight="1">
      <c r="A558" s="79"/>
      <c r="B558" s="79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2"/>
      <c r="X558" s="102"/>
      <c r="Y558" s="102"/>
      <c r="Z558" s="103"/>
      <c r="AA558" s="103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</row>
    <row r="559" ht="21.0" customHeight="1">
      <c r="A559" s="79"/>
      <c r="B559" s="79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2"/>
      <c r="X559" s="102"/>
      <c r="Y559" s="102"/>
      <c r="Z559" s="103"/>
      <c r="AA559" s="103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</row>
    <row r="560" ht="21.0" customHeight="1">
      <c r="A560" s="79"/>
      <c r="B560" s="79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2"/>
      <c r="X560" s="102"/>
      <c r="Y560" s="102"/>
      <c r="Z560" s="103"/>
      <c r="AA560" s="103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</row>
    <row r="561" ht="21.0" customHeight="1">
      <c r="A561" s="79"/>
      <c r="B561" s="79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2"/>
      <c r="X561" s="102"/>
      <c r="Y561" s="102"/>
      <c r="Z561" s="103"/>
      <c r="AA561" s="103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</row>
    <row r="562" ht="21.0" customHeight="1">
      <c r="A562" s="79"/>
      <c r="B562" s="79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2"/>
      <c r="X562" s="102"/>
      <c r="Y562" s="102"/>
      <c r="Z562" s="103"/>
      <c r="AA562" s="103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</row>
    <row r="563" ht="21.0" customHeight="1">
      <c r="A563" s="79"/>
      <c r="B563" s="79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2"/>
      <c r="X563" s="102"/>
      <c r="Y563" s="102"/>
      <c r="Z563" s="103"/>
      <c r="AA563" s="103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</row>
    <row r="564" ht="21.0" customHeight="1">
      <c r="A564" s="79"/>
      <c r="B564" s="79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2"/>
      <c r="X564" s="102"/>
      <c r="Y564" s="102"/>
      <c r="Z564" s="103"/>
      <c r="AA564" s="103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</row>
    <row r="565" ht="21.0" customHeight="1">
      <c r="A565" s="79"/>
      <c r="B565" s="79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2"/>
      <c r="X565" s="102"/>
      <c r="Y565" s="102"/>
      <c r="Z565" s="103"/>
      <c r="AA565" s="103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</row>
    <row r="566" ht="21.0" customHeight="1">
      <c r="A566" s="79"/>
      <c r="B566" s="79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2"/>
      <c r="X566" s="102"/>
      <c r="Y566" s="102"/>
      <c r="Z566" s="103"/>
      <c r="AA566" s="103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</row>
    <row r="567" ht="21.0" customHeight="1">
      <c r="A567" s="79"/>
      <c r="B567" s="79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2"/>
      <c r="X567" s="102"/>
      <c r="Y567" s="102"/>
      <c r="Z567" s="103"/>
      <c r="AA567" s="103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</row>
    <row r="568" ht="21.0" customHeight="1">
      <c r="A568" s="79"/>
      <c r="B568" s="79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2"/>
      <c r="X568" s="102"/>
      <c r="Y568" s="102"/>
      <c r="Z568" s="103"/>
      <c r="AA568" s="103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</row>
    <row r="569" ht="21.0" customHeight="1">
      <c r="A569" s="79"/>
      <c r="B569" s="79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2"/>
      <c r="X569" s="102"/>
      <c r="Y569" s="102"/>
      <c r="Z569" s="103"/>
      <c r="AA569" s="103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</row>
    <row r="570" ht="21.0" customHeight="1">
      <c r="A570" s="79"/>
      <c r="B570" s="79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2"/>
      <c r="X570" s="102"/>
      <c r="Y570" s="102"/>
      <c r="Z570" s="103"/>
      <c r="AA570" s="103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</row>
    <row r="571" ht="21.0" customHeight="1">
      <c r="A571" s="79"/>
      <c r="B571" s="79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2"/>
      <c r="X571" s="102"/>
      <c r="Y571" s="102"/>
      <c r="Z571" s="103"/>
      <c r="AA571" s="103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</row>
    <row r="572" ht="21.0" customHeight="1">
      <c r="A572" s="79"/>
      <c r="B572" s="79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2"/>
      <c r="X572" s="102"/>
      <c r="Y572" s="102"/>
      <c r="Z572" s="103"/>
      <c r="AA572" s="103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</row>
    <row r="573" ht="21.0" customHeight="1">
      <c r="A573" s="79"/>
      <c r="B573" s="79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2"/>
      <c r="X573" s="102"/>
      <c r="Y573" s="102"/>
      <c r="Z573" s="103"/>
      <c r="AA573" s="103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</row>
    <row r="574" ht="21.0" customHeight="1">
      <c r="A574" s="79"/>
      <c r="B574" s="79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2"/>
      <c r="X574" s="102"/>
      <c r="Y574" s="102"/>
      <c r="Z574" s="103"/>
      <c r="AA574" s="103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</row>
    <row r="575" ht="21.0" customHeight="1">
      <c r="A575" s="79"/>
      <c r="B575" s="79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2"/>
      <c r="X575" s="102"/>
      <c r="Y575" s="102"/>
      <c r="Z575" s="103"/>
      <c r="AA575" s="103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</row>
    <row r="576" ht="21.0" customHeight="1">
      <c r="A576" s="79"/>
      <c r="B576" s="79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2"/>
      <c r="X576" s="102"/>
      <c r="Y576" s="102"/>
      <c r="Z576" s="103"/>
      <c r="AA576" s="103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</row>
    <row r="577" ht="21.0" customHeight="1">
      <c r="A577" s="79"/>
      <c r="B577" s="79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2"/>
      <c r="X577" s="102"/>
      <c r="Y577" s="102"/>
      <c r="Z577" s="103"/>
      <c r="AA577" s="103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</row>
    <row r="578" ht="21.0" customHeight="1">
      <c r="A578" s="79"/>
      <c r="B578" s="79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2"/>
      <c r="X578" s="102"/>
      <c r="Y578" s="102"/>
      <c r="Z578" s="103"/>
      <c r="AA578" s="103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</row>
    <row r="579" ht="21.0" customHeight="1">
      <c r="A579" s="79"/>
      <c r="B579" s="79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2"/>
      <c r="X579" s="102"/>
      <c r="Y579" s="102"/>
      <c r="Z579" s="103"/>
      <c r="AA579" s="103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</row>
    <row r="580" ht="21.0" customHeight="1">
      <c r="A580" s="79"/>
      <c r="B580" s="79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2"/>
      <c r="X580" s="102"/>
      <c r="Y580" s="102"/>
      <c r="Z580" s="103"/>
      <c r="AA580" s="103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</row>
    <row r="581" ht="21.0" customHeight="1">
      <c r="A581" s="79"/>
      <c r="B581" s="79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2"/>
      <c r="X581" s="102"/>
      <c r="Y581" s="102"/>
      <c r="Z581" s="103"/>
      <c r="AA581" s="103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</row>
    <row r="582" ht="21.0" customHeight="1">
      <c r="A582" s="79"/>
      <c r="B582" s="79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2"/>
      <c r="X582" s="102"/>
      <c r="Y582" s="102"/>
      <c r="Z582" s="103"/>
      <c r="AA582" s="103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</row>
    <row r="583" ht="21.0" customHeight="1">
      <c r="A583" s="79"/>
      <c r="B583" s="79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2"/>
      <c r="X583" s="102"/>
      <c r="Y583" s="102"/>
      <c r="Z583" s="103"/>
      <c r="AA583" s="103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</row>
    <row r="584" ht="21.0" customHeight="1">
      <c r="A584" s="79"/>
      <c r="B584" s="79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2"/>
      <c r="X584" s="102"/>
      <c r="Y584" s="102"/>
      <c r="Z584" s="103"/>
      <c r="AA584" s="103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</row>
    <row r="585" ht="21.0" customHeight="1">
      <c r="A585" s="79"/>
      <c r="B585" s="79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2"/>
      <c r="X585" s="102"/>
      <c r="Y585" s="102"/>
      <c r="Z585" s="103"/>
      <c r="AA585" s="103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</row>
    <row r="586" ht="21.0" customHeight="1">
      <c r="A586" s="79"/>
      <c r="B586" s="79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2"/>
      <c r="X586" s="102"/>
      <c r="Y586" s="102"/>
      <c r="Z586" s="103"/>
      <c r="AA586" s="103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</row>
    <row r="587" ht="21.0" customHeight="1">
      <c r="A587" s="79"/>
      <c r="B587" s="79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2"/>
      <c r="X587" s="102"/>
      <c r="Y587" s="102"/>
      <c r="Z587" s="103"/>
      <c r="AA587" s="103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</row>
    <row r="588" ht="21.0" customHeight="1">
      <c r="A588" s="79"/>
      <c r="B588" s="79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2"/>
      <c r="X588" s="102"/>
      <c r="Y588" s="102"/>
      <c r="Z588" s="103"/>
      <c r="AA588" s="103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</row>
    <row r="589" ht="21.0" customHeight="1">
      <c r="A589" s="79"/>
      <c r="B589" s="79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2"/>
      <c r="X589" s="102"/>
      <c r="Y589" s="102"/>
      <c r="Z589" s="103"/>
      <c r="AA589" s="103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</row>
    <row r="590" ht="21.0" customHeight="1">
      <c r="A590" s="79"/>
      <c r="B590" s="79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2"/>
      <c r="X590" s="102"/>
      <c r="Y590" s="102"/>
      <c r="Z590" s="103"/>
      <c r="AA590" s="103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</row>
    <row r="591" ht="21.0" customHeight="1">
      <c r="A591" s="79"/>
      <c r="B591" s="79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2"/>
      <c r="X591" s="102"/>
      <c r="Y591" s="102"/>
      <c r="Z591" s="103"/>
      <c r="AA591" s="103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</row>
    <row r="592" ht="21.0" customHeight="1">
      <c r="A592" s="79"/>
      <c r="B592" s="79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2"/>
      <c r="X592" s="102"/>
      <c r="Y592" s="102"/>
      <c r="Z592" s="103"/>
      <c r="AA592" s="103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</row>
    <row r="593" ht="21.0" customHeight="1">
      <c r="A593" s="79"/>
      <c r="B593" s="79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2"/>
      <c r="X593" s="102"/>
      <c r="Y593" s="102"/>
      <c r="Z593" s="103"/>
      <c r="AA593" s="103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</row>
    <row r="594" ht="21.0" customHeight="1">
      <c r="A594" s="79"/>
      <c r="B594" s="79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2"/>
      <c r="X594" s="102"/>
      <c r="Y594" s="102"/>
      <c r="Z594" s="103"/>
      <c r="AA594" s="103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</row>
    <row r="595" ht="21.0" customHeight="1">
      <c r="A595" s="79"/>
      <c r="B595" s="79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2"/>
      <c r="X595" s="102"/>
      <c r="Y595" s="102"/>
      <c r="Z595" s="103"/>
      <c r="AA595" s="103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</row>
    <row r="596" ht="21.0" customHeight="1">
      <c r="A596" s="79"/>
      <c r="B596" s="79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2"/>
      <c r="X596" s="102"/>
      <c r="Y596" s="102"/>
      <c r="Z596" s="103"/>
      <c r="AA596" s="103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</row>
    <row r="597" ht="21.0" customHeight="1">
      <c r="A597" s="79"/>
      <c r="B597" s="79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2"/>
      <c r="X597" s="102"/>
      <c r="Y597" s="102"/>
      <c r="Z597" s="103"/>
      <c r="AA597" s="103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</row>
    <row r="598" ht="21.0" customHeight="1">
      <c r="A598" s="79"/>
      <c r="B598" s="79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2"/>
      <c r="X598" s="102"/>
      <c r="Y598" s="102"/>
      <c r="Z598" s="103"/>
      <c r="AA598" s="103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</row>
    <row r="599" ht="21.0" customHeight="1">
      <c r="A599" s="79"/>
      <c r="B599" s="79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2"/>
      <c r="X599" s="102"/>
      <c r="Y599" s="102"/>
      <c r="Z599" s="103"/>
      <c r="AA599" s="103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</row>
    <row r="600" ht="21.0" customHeight="1">
      <c r="A600" s="79"/>
      <c r="B600" s="79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2"/>
      <c r="X600" s="102"/>
      <c r="Y600" s="102"/>
      <c r="Z600" s="103"/>
      <c r="AA600" s="103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</row>
    <row r="601" ht="21.0" customHeight="1">
      <c r="A601" s="79"/>
      <c r="B601" s="79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2"/>
      <c r="X601" s="102"/>
      <c r="Y601" s="102"/>
      <c r="Z601" s="103"/>
      <c r="AA601" s="103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</row>
    <row r="602" ht="21.0" customHeight="1">
      <c r="A602" s="79"/>
      <c r="B602" s="79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2"/>
      <c r="X602" s="102"/>
      <c r="Y602" s="102"/>
      <c r="Z602" s="103"/>
      <c r="AA602" s="103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</row>
    <row r="603" ht="21.0" customHeight="1">
      <c r="A603" s="79"/>
      <c r="B603" s="79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2"/>
      <c r="X603" s="102"/>
      <c r="Y603" s="102"/>
      <c r="Z603" s="103"/>
      <c r="AA603" s="103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</row>
    <row r="604" ht="21.0" customHeight="1">
      <c r="A604" s="79"/>
      <c r="B604" s="79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2"/>
      <c r="X604" s="102"/>
      <c r="Y604" s="102"/>
      <c r="Z604" s="103"/>
      <c r="AA604" s="103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</row>
    <row r="605" ht="21.0" customHeight="1">
      <c r="A605" s="79"/>
      <c r="B605" s="79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2"/>
      <c r="X605" s="102"/>
      <c r="Y605" s="102"/>
      <c r="Z605" s="103"/>
      <c r="AA605" s="103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</row>
    <row r="606" ht="21.0" customHeight="1">
      <c r="A606" s="79"/>
      <c r="B606" s="79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2"/>
      <c r="X606" s="102"/>
      <c r="Y606" s="102"/>
      <c r="Z606" s="103"/>
      <c r="AA606" s="103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</row>
    <row r="607" ht="21.0" customHeight="1">
      <c r="A607" s="79"/>
      <c r="B607" s="79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2"/>
      <c r="X607" s="102"/>
      <c r="Y607" s="102"/>
      <c r="Z607" s="103"/>
      <c r="AA607" s="103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</row>
    <row r="608" ht="21.0" customHeight="1">
      <c r="A608" s="79"/>
      <c r="B608" s="79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2"/>
      <c r="X608" s="102"/>
      <c r="Y608" s="102"/>
      <c r="Z608" s="103"/>
      <c r="AA608" s="103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</row>
    <row r="609" ht="21.0" customHeight="1">
      <c r="A609" s="79"/>
      <c r="B609" s="79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2"/>
      <c r="X609" s="102"/>
      <c r="Y609" s="102"/>
      <c r="Z609" s="103"/>
      <c r="AA609" s="103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</row>
    <row r="610" ht="21.0" customHeight="1">
      <c r="A610" s="79"/>
      <c r="B610" s="79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2"/>
      <c r="X610" s="102"/>
      <c r="Y610" s="102"/>
      <c r="Z610" s="103"/>
      <c r="AA610" s="103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</row>
    <row r="611" ht="21.0" customHeight="1">
      <c r="A611" s="79"/>
      <c r="B611" s="79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2"/>
      <c r="X611" s="102"/>
      <c r="Y611" s="102"/>
      <c r="Z611" s="103"/>
      <c r="AA611" s="103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</row>
    <row r="612" ht="21.0" customHeight="1">
      <c r="A612" s="79"/>
      <c r="B612" s="79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2"/>
      <c r="X612" s="102"/>
      <c r="Y612" s="102"/>
      <c r="Z612" s="103"/>
      <c r="AA612" s="103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</row>
    <row r="613" ht="21.0" customHeight="1">
      <c r="A613" s="79"/>
      <c r="B613" s="79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2"/>
      <c r="X613" s="102"/>
      <c r="Y613" s="102"/>
      <c r="Z613" s="103"/>
      <c r="AA613" s="103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</row>
    <row r="614" ht="21.0" customHeight="1">
      <c r="A614" s="79"/>
      <c r="B614" s="79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2"/>
      <c r="X614" s="102"/>
      <c r="Y614" s="102"/>
      <c r="Z614" s="103"/>
      <c r="AA614" s="103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</row>
    <row r="615" ht="21.0" customHeight="1">
      <c r="A615" s="79"/>
      <c r="B615" s="79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2"/>
      <c r="X615" s="102"/>
      <c r="Y615" s="102"/>
      <c r="Z615" s="103"/>
      <c r="AA615" s="103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</row>
    <row r="616" ht="21.0" customHeight="1">
      <c r="A616" s="79"/>
      <c r="B616" s="79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2"/>
      <c r="X616" s="102"/>
      <c r="Y616" s="102"/>
      <c r="Z616" s="103"/>
      <c r="AA616" s="103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</row>
    <row r="617" ht="21.0" customHeight="1">
      <c r="A617" s="79"/>
      <c r="B617" s="79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2"/>
      <c r="X617" s="102"/>
      <c r="Y617" s="102"/>
      <c r="Z617" s="103"/>
      <c r="AA617" s="103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</row>
    <row r="618" ht="21.0" customHeight="1">
      <c r="A618" s="79"/>
      <c r="B618" s="79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2"/>
      <c r="X618" s="102"/>
      <c r="Y618" s="102"/>
      <c r="Z618" s="103"/>
      <c r="AA618" s="103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</row>
    <row r="619" ht="21.0" customHeight="1">
      <c r="A619" s="79"/>
      <c r="B619" s="79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2"/>
      <c r="X619" s="102"/>
      <c r="Y619" s="102"/>
      <c r="Z619" s="103"/>
      <c r="AA619" s="103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</row>
    <row r="620" ht="21.0" customHeight="1">
      <c r="A620" s="79"/>
      <c r="B620" s="79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2"/>
      <c r="X620" s="102"/>
      <c r="Y620" s="102"/>
      <c r="Z620" s="103"/>
      <c r="AA620" s="103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</row>
    <row r="621" ht="21.0" customHeight="1">
      <c r="A621" s="79"/>
      <c r="B621" s="79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2"/>
      <c r="X621" s="102"/>
      <c r="Y621" s="102"/>
      <c r="Z621" s="103"/>
      <c r="AA621" s="103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</row>
    <row r="622" ht="21.0" customHeight="1">
      <c r="A622" s="79"/>
      <c r="B622" s="79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2"/>
      <c r="X622" s="102"/>
      <c r="Y622" s="102"/>
      <c r="Z622" s="103"/>
      <c r="AA622" s="103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</row>
    <row r="623" ht="21.0" customHeight="1">
      <c r="A623" s="79"/>
      <c r="B623" s="79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2"/>
      <c r="X623" s="102"/>
      <c r="Y623" s="102"/>
      <c r="Z623" s="103"/>
      <c r="AA623" s="103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</row>
    <row r="624" ht="21.0" customHeight="1">
      <c r="A624" s="79"/>
      <c r="B624" s="79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2"/>
      <c r="X624" s="102"/>
      <c r="Y624" s="102"/>
      <c r="Z624" s="103"/>
      <c r="AA624" s="103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</row>
    <row r="625" ht="21.0" customHeight="1">
      <c r="A625" s="79"/>
      <c r="B625" s="79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2"/>
      <c r="X625" s="102"/>
      <c r="Y625" s="102"/>
      <c r="Z625" s="103"/>
      <c r="AA625" s="103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</row>
    <row r="626" ht="21.0" customHeight="1">
      <c r="A626" s="79"/>
      <c r="B626" s="79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2"/>
      <c r="X626" s="102"/>
      <c r="Y626" s="102"/>
      <c r="Z626" s="103"/>
      <c r="AA626" s="103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</row>
    <row r="627" ht="21.0" customHeight="1">
      <c r="A627" s="79"/>
      <c r="B627" s="79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2"/>
      <c r="X627" s="102"/>
      <c r="Y627" s="102"/>
      <c r="Z627" s="103"/>
      <c r="AA627" s="103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</row>
    <row r="628" ht="21.0" customHeight="1">
      <c r="A628" s="79"/>
      <c r="B628" s="79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2"/>
      <c r="X628" s="102"/>
      <c r="Y628" s="102"/>
      <c r="Z628" s="103"/>
      <c r="AA628" s="103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</row>
    <row r="629" ht="21.0" customHeight="1">
      <c r="A629" s="79"/>
      <c r="B629" s="79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2"/>
      <c r="X629" s="102"/>
      <c r="Y629" s="102"/>
      <c r="Z629" s="103"/>
      <c r="AA629" s="103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</row>
    <row r="630" ht="21.0" customHeight="1">
      <c r="A630" s="79"/>
      <c r="B630" s="79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2"/>
      <c r="X630" s="102"/>
      <c r="Y630" s="102"/>
      <c r="Z630" s="103"/>
      <c r="AA630" s="103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</row>
    <row r="631" ht="21.0" customHeight="1">
      <c r="A631" s="79"/>
      <c r="B631" s="79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2"/>
      <c r="X631" s="102"/>
      <c r="Y631" s="102"/>
      <c r="Z631" s="103"/>
      <c r="AA631" s="103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</row>
    <row r="632" ht="21.0" customHeight="1">
      <c r="A632" s="79"/>
      <c r="B632" s="79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2"/>
      <c r="X632" s="102"/>
      <c r="Y632" s="102"/>
      <c r="Z632" s="103"/>
      <c r="AA632" s="103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</row>
    <row r="633" ht="21.0" customHeight="1">
      <c r="A633" s="79"/>
      <c r="B633" s="79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2"/>
      <c r="X633" s="102"/>
      <c r="Y633" s="102"/>
      <c r="Z633" s="103"/>
      <c r="AA633" s="103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</row>
    <row r="634" ht="21.0" customHeight="1">
      <c r="A634" s="79"/>
      <c r="B634" s="79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2"/>
      <c r="X634" s="102"/>
      <c r="Y634" s="102"/>
      <c r="Z634" s="103"/>
      <c r="AA634" s="103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</row>
    <row r="635" ht="21.0" customHeight="1">
      <c r="A635" s="79"/>
      <c r="B635" s="79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2"/>
      <c r="X635" s="102"/>
      <c r="Y635" s="102"/>
      <c r="Z635" s="103"/>
      <c r="AA635" s="103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</row>
    <row r="636" ht="21.0" customHeight="1">
      <c r="A636" s="79"/>
      <c r="B636" s="79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2"/>
      <c r="X636" s="102"/>
      <c r="Y636" s="102"/>
      <c r="Z636" s="103"/>
      <c r="AA636" s="103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</row>
    <row r="637" ht="21.0" customHeight="1">
      <c r="A637" s="79"/>
      <c r="B637" s="79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2"/>
      <c r="X637" s="102"/>
      <c r="Y637" s="102"/>
      <c r="Z637" s="103"/>
      <c r="AA637" s="103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</row>
    <row r="638" ht="21.0" customHeight="1">
      <c r="A638" s="79"/>
      <c r="B638" s="79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2"/>
      <c r="X638" s="102"/>
      <c r="Y638" s="102"/>
      <c r="Z638" s="103"/>
      <c r="AA638" s="103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</row>
    <row r="639" ht="21.0" customHeight="1">
      <c r="A639" s="79"/>
      <c r="B639" s="79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2"/>
      <c r="X639" s="102"/>
      <c r="Y639" s="102"/>
      <c r="Z639" s="103"/>
      <c r="AA639" s="103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</row>
    <row r="640" ht="21.0" customHeight="1">
      <c r="A640" s="79"/>
      <c r="B640" s="79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2"/>
      <c r="X640" s="102"/>
      <c r="Y640" s="102"/>
      <c r="Z640" s="103"/>
      <c r="AA640" s="103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</row>
    <row r="641" ht="21.0" customHeight="1">
      <c r="A641" s="79"/>
      <c r="B641" s="79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2"/>
      <c r="X641" s="102"/>
      <c r="Y641" s="102"/>
      <c r="Z641" s="103"/>
      <c r="AA641" s="103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</row>
    <row r="642" ht="21.0" customHeight="1">
      <c r="A642" s="79"/>
      <c r="B642" s="79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2"/>
      <c r="X642" s="102"/>
      <c r="Y642" s="102"/>
      <c r="Z642" s="103"/>
      <c r="AA642" s="103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</row>
    <row r="643" ht="21.0" customHeight="1">
      <c r="A643" s="79"/>
      <c r="B643" s="79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2"/>
      <c r="X643" s="102"/>
      <c r="Y643" s="102"/>
      <c r="Z643" s="103"/>
      <c r="AA643" s="103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</row>
    <row r="644" ht="21.0" customHeight="1">
      <c r="A644" s="79"/>
      <c r="B644" s="79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2"/>
      <c r="X644" s="102"/>
      <c r="Y644" s="102"/>
      <c r="Z644" s="103"/>
      <c r="AA644" s="103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</row>
    <row r="645" ht="21.0" customHeight="1">
      <c r="A645" s="79"/>
      <c r="B645" s="79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2"/>
      <c r="X645" s="102"/>
      <c r="Y645" s="102"/>
      <c r="Z645" s="103"/>
      <c r="AA645" s="103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</row>
    <row r="646" ht="21.0" customHeight="1">
      <c r="A646" s="79"/>
      <c r="B646" s="79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2"/>
      <c r="X646" s="102"/>
      <c r="Y646" s="102"/>
      <c r="Z646" s="103"/>
      <c r="AA646" s="103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</row>
    <row r="647" ht="21.0" customHeight="1">
      <c r="A647" s="79"/>
      <c r="B647" s="79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2"/>
      <c r="X647" s="102"/>
      <c r="Y647" s="102"/>
      <c r="Z647" s="103"/>
      <c r="AA647" s="103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</row>
    <row r="648" ht="21.0" customHeight="1">
      <c r="A648" s="79"/>
      <c r="B648" s="79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2"/>
      <c r="X648" s="102"/>
      <c r="Y648" s="102"/>
      <c r="Z648" s="103"/>
      <c r="AA648" s="103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</row>
    <row r="649" ht="21.0" customHeight="1">
      <c r="A649" s="79"/>
      <c r="B649" s="79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2"/>
      <c r="X649" s="102"/>
      <c r="Y649" s="102"/>
      <c r="Z649" s="103"/>
      <c r="AA649" s="103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</row>
    <row r="650" ht="21.0" customHeight="1">
      <c r="A650" s="79"/>
      <c r="B650" s="79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2"/>
      <c r="X650" s="102"/>
      <c r="Y650" s="102"/>
      <c r="Z650" s="103"/>
      <c r="AA650" s="103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</row>
    <row r="651" ht="21.0" customHeight="1">
      <c r="A651" s="79"/>
      <c r="B651" s="79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2"/>
      <c r="X651" s="102"/>
      <c r="Y651" s="102"/>
      <c r="Z651" s="103"/>
      <c r="AA651" s="103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</row>
    <row r="652" ht="21.0" customHeight="1">
      <c r="A652" s="79"/>
      <c r="B652" s="79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2"/>
      <c r="X652" s="102"/>
      <c r="Y652" s="102"/>
      <c r="Z652" s="103"/>
      <c r="AA652" s="103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</row>
    <row r="653" ht="21.0" customHeight="1">
      <c r="A653" s="79"/>
      <c r="B653" s="79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2"/>
      <c r="X653" s="102"/>
      <c r="Y653" s="102"/>
      <c r="Z653" s="103"/>
      <c r="AA653" s="103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</row>
    <row r="654" ht="21.0" customHeight="1">
      <c r="A654" s="79"/>
      <c r="B654" s="79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2"/>
      <c r="X654" s="102"/>
      <c r="Y654" s="102"/>
      <c r="Z654" s="103"/>
      <c r="AA654" s="103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</row>
    <row r="655" ht="21.0" customHeight="1">
      <c r="A655" s="79"/>
      <c r="B655" s="79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2"/>
      <c r="X655" s="102"/>
      <c r="Y655" s="102"/>
      <c r="Z655" s="103"/>
      <c r="AA655" s="103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</row>
    <row r="656" ht="21.0" customHeight="1">
      <c r="A656" s="79"/>
      <c r="B656" s="79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2"/>
      <c r="X656" s="102"/>
      <c r="Y656" s="102"/>
      <c r="Z656" s="103"/>
      <c r="AA656" s="103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</row>
    <row r="657" ht="21.0" customHeight="1">
      <c r="A657" s="79"/>
      <c r="B657" s="79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2"/>
      <c r="X657" s="102"/>
      <c r="Y657" s="102"/>
      <c r="Z657" s="103"/>
      <c r="AA657" s="103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</row>
    <row r="658" ht="21.0" customHeight="1">
      <c r="A658" s="79"/>
      <c r="B658" s="79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2"/>
      <c r="X658" s="102"/>
      <c r="Y658" s="102"/>
      <c r="Z658" s="103"/>
      <c r="AA658" s="103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</row>
    <row r="659" ht="21.0" customHeight="1">
      <c r="A659" s="79"/>
      <c r="B659" s="79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2"/>
      <c r="X659" s="102"/>
      <c r="Y659" s="102"/>
      <c r="Z659" s="103"/>
      <c r="AA659" s="103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</row>
    <row r="660" ht="21.0" customHeight="1">
      <c r="A660" s="79"/>
      <c r="B660" s="79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2"/>
      <c r="X660" s="102"/>
      <c r="Y660" s="102"/>
      <c r="Z660" s="103"/>
      <c r="AA660" s="103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</row>
    <row r="661" ht="21.0" customHeight="1">
      <c r="A661" s="79"/>
      <c r="B661" s="79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2"/>
      <c r="X661" s="102"/>
      <c r="Y661" s="102"/>
      <c r="Z661" s="103"/>
      <c r="AA661" s="103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</row>
    <row r="662" ht="21.0" customHeight="1">
      <c r="A662" s="79"/>
      <c r="B662" s="79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2"/>
      <c r="X662" s="102"/>
      <c r="Y662" s="102"/>
      <c r="Z662" s="103"/>
      <c r="AA662" s="103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</row>
    <row r="663" ht="21.0" customHeight="1">
      <c r="A663" s="79"/>
      <c r="B663" s="79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2"/>
      <c r="X663" s="102"/>
      <c r="Y663" s="102"/>
      <c r="Z663" s="103"/>
      <c r="AA663" s="103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</row>
    <row r="664" ht="21.0" customHeight="1">
      <c r="A664" s="79"/>
      <c r="B664" s="79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2"/>
      <c r="X664" s="102"/>
      <c r="Y664" s="102"/>
      <c r="Z664" s="103"/>
      <c r="AA664" s="103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</row>
    <row r="665" ht="21.0" customHeight="1">
      <c r="A665" s="79"/>
      <c r="B665" s="79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2"/>
      <c r="X665" s="102"/>
      <c r="Y665" s="102"/>
      <c r="Z665" s="103"/>
      <c r="AA665" s="103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</row>
    <row r="666" ht="21.0" customHeight="1">
      <c r="A666" s="79"/>
      <c r="B666" s="79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2"/>
      <c r="X666" s="102"/>
      <c r="Y666" s="102"/>
      <c r="Z666" s="103"/>
      <c r="AA666" s="103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</row>
    <row r="667" ht="21.0" customHeight="1">
      <c r="A667" s="79"/>
      <c r="B667" s="79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2"/>
      <c r="X667" s="102"/>
      <c r="Y667" s="102"/>
      <c r="Z667" s="103"/>
      <c r="AA667" s="103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</row>
    <row r="668" ht="21.0" customHeight="1">
      <c r="A668" s="79"/>
      <c r="B668" s="79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2"/>
      <c r="X668" s="102"/>
      <c r="Y668" s="102"/>
      <c r="Z668" s="103"/>
      <c r="AA668" s="103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</row>
    <row r="669" ht="21.0" customHeight="1">
      <c r="A669" s="79"/>
      <c r="B669" s="79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2"/>
      <c r="X669" s="102"/>
      <c r="Y669" s="102"/>
      <c r="Z669" s="103"/>
      <c r="AA669" s="103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</row>
    <row r="670" ht="21.0" customHeight="1">
      <c r="A670" s="79"/>
      <c r="B670" s="79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2"/>
      <c r="X670" s="102"/>
      <c r="Y670" s="102"/>
      <c r="Z670" s="103"/>
      <c r="AA670" s="103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</row>
    <row r="671" ht="21.0" customHeight="1">
      <c r="A671" s="79"/>
      <c r="B671" s="79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2"/>
      <c r="X671" s="102"/>
      <c r="Y671" s="102"/>
      <c r="Z671" s="103"/>
      <c r="AA671" s="103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</row>
    <row r="672" ht="21.0" customHeight="1">
      <c r="A672" s="79"/>
      <c r="B672" s="79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2"/>
      <c r="X672" s="102"/>
      <c r="Y672" s="102"/>
      <c r="Z672" s="103"/>
      <c r="AA672" s="103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</row>
    <row r="673" ht="21.0" customHeight="1">
      <c r="A673" s="79"/>
      <c r="B673" s="79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2"/>
      <c r="X673" s="102"/>
      <c r="Y673" s="102"/>
      <c r="Z673" s="103"/>
      <c r="AA673" s="103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</row>
    <row r="674" ht="21.0" customHeight="1">
      <c r="A674" s="79"/>
      <c r="B674" s="79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2"/>
      <c r="X674" s="102"/>
      <c r="Y674" s="102"/>
      <c r="Z674" s="103"/>
      <c r="AA674" s="103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</row>
    <row r="675" ht="21.0" customHeight="1">
      <c r="A675" s="79"/>
      <c r="B675" s="79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2"/>
      <c r="X675" s="102"/>
      <c r="Y675" s="102"/>
      <c r="Z675" s="103"/>
      <c r="AA675" s="103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</row>
    <row r="676" ht="21.0" customHeight="1">
      <c r="A676" s="79"/>
      <c r="B676" s="79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2"/>
      <c r="X676" s="102"/>
      <c r="Y676" s="102"/>
      <c r="Z676" s="103"/>
      <c r="AA676" s="103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</row>
    <row r="677" ht="21.0" customHeight="1">
      <c r="A677" s="79"/>
      <c r="B677" s="79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2"/>
      <c r="X677" s="102"/>
      <c r="Y677" s="102"/>
      <c r="Z677" s="103"/>
      <c r="AA677" s="103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</row>
    <row r="678" ht="21.0" customHeight="1">
      <c r="A678" s="79"/>
      <c r="B678" s="79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2"/>
      <c r="X678" s="102"/>
      <c r="Y678" s="102"/>
      <c r="Z678" s="103"/>
      <c r="AA678" s="103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</row>
    <row r="679" ht="21.0" customHeight="1">
      <c r="A679" s="79"/>
      <c r="B679" s="79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2"/>
      <c r="X679" s="102"/>
      <c r="Y679" s="102"/>
      <c r="Z679" s="103"/>
      <c r="AA679" s="103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</row>
    <row r="680" ht="21.0" customHeight="1">
      <c r="A680" s="79"/>
      <c r="B680" s="79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2"/>
      <c r="X680" s="102"/>
      <c r="Y680" s="102"/>
      <c r="Z680" s="103"/>
      <c r="AA680" s="103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</row>
    <row r="681" ht="21.0" customHeight="1">
      <c r="A681" s="79"/>
      <c r="B681" s="79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2"/>
      <c r="X681" s="102"/>
      <c r="Y681" s="102"/>
      <c r="Z681" s="103"/>
      <c r="AA681" s="103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</row>
    <row r="682" ht="21.0" customHeight="1">
      <c r="A682" s="79"/>
      <c r="B682" s="79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2"/>
      <c r="X682" s="102"/>
      <c r="Y682" s="102"/>
      <c r="Z682" s="103"/>
      <c r="AA682" s="103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</row>
    <row r="683" ht="21.0" customHeight="1">
      <c r="A683" s="79"/>
      <c r="B683" s="79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2"/>
      <c r="X683" s="102"/>
      <c r="Y683" s="102"/>
      <c r="Z683" s="103"/>
      <c r="AA683" s="103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</row>
    <row r="684" ht="21.0" customHeight="1">
      <c r="A684" s="79"/>
      <c r="B684" s="79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2"/>
      <c r="X684" s="102"/>
      <c r="Y684" s="102"/>
      <c r="Z684" s="103"/>
      <c r="AA684" s="103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</row>
    <row r="685" ht="21.0" customHeight="1">
      <c r="A685" s="79"/>
      <c r="B685" s="79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2"/>
      <c r="X685" s="102"/>
      <c r="Y685" s="102"/>
      <c r="Z685" s="103"/>
      <c r="AA685" s="103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</row>
    <row r="686" ht="21.0" customHeight="1">
      <c r="A686" s="79"/>
      <c r="B686" s="79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2"/>
      <c r="X686" s="102"/>
      <c r="Y686" s="102"/>
      <c r="Z686" s="103"/>
      <c r="AA686" s="103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</row>
    <row r="687" ht="21.0" customHeight="1">
      <c r="A687" s="79"/>
      <c r="B687" s="79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2"/>
      <c r="X687" s="102"/>
      <c r="Y687" s="102"/>
      <c r="Z687" s="103"/>
      <c r="AA687" s="103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</row>
    <row r="688" ht="21.0" customHeight="1">
      <c r="A688" s="79"/>
      <c r="B688" s="79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2"/>
      <c r="X688" s="102"/>
      <c r="Y688" s="102"/>
      <c r="Z688" s="103"/>
      <c r="AA688" s="103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</row>
    <row r="689" ht="21.0" customHeight="1">
      <c r="A689" s="79"/>
      <c r="B689" s="79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2"/>
      <c r="X689" s="102"/>
      <c r="Y689" s="102"/>
      <c r="Z689" s="103"/>
      <c r="AA689" s="103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</row>
    <row r="690" ht="21.0" customHeight="1">
      <c r="A690" s="79"/>
      <c r="B690" s="79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2"/>
      <c r="X690" s="102"/>
      <c r="Y690" s="102"/>
      <c r="Z690" s="103"/>
      <c r="AA690" s="103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</row>
    <row r="691" ht="21.0" customHeight="1">
      <c r="A691" s="79"/>
      <c r="B691" s="79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2"/>
      <c r="X691" s="102"/>
      <c r="Y691" s="102"/>
      <c r="Z691" s="103"/>
      <c r="AA691" s="103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</row>
    <row r="692" ht="21.0" customHeight="1">
      <c r="A692" s="79"/>
      <c r="B692" s="79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2"/>
      <c r="X692" s="102"/>
      <c r="Y692" s="102"/>
      <c r="Z692" s="103"/>
      <c r="AA692" s="103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</row>
    <row r="693" ht="21.0" customHeight="1">
      <c r="A693" s="79"/>
      <c r="B693" s="79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2"/>
      <c r="X693" s="102"/>
      <c r="Y693" s="102"/>
      <c r="Z693" s="103"/>
      <c r="AA693" s="103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</row>
    <row r="694" ht="21.0" customHeight="1">
      <c r="A694" s="79"/>
      <c r="B694" s="79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2"/>
      <c r="X694" s="102"/>
      <c r="Y694" s="102"/>
      <c r="Z694" s="103"/>
      <c r="AA694" s="103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</row>
    <row r="695" ht="21.0" customHeight="1">
      <c r="A695" s="79"/>
      <c r="B695" s="79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2"/>
      <c r="X695" s="102"/>
      <c r="Y695" s="102"/>
      <c r="Z695" s="103"/>
      <c r="AA695" s="103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</row>
    <row r="696" ht="21.0" customHeight="1">
      <c r="A696" s="79"/>
      <c r="B696" s="79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2"/>
      <c r="X696" s="102"/>
      <c r="Y696" s="102"/>
      <c r="Z696" s="103"/>
      <c r="AA696" s="103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</row>
    <row r="697" ht="21.0" customHeight="1">
      <c r="A697" s="79"/>
      <c r="B697" s="79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2"/>
      <c r="X697" s="102"/>
      <c r="Y697" s="102"/>
      <c r="Z697" s="103"/>
      <c r="AA697" s="103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</row>
    <row r="698" ht="21.0" customHeight="1">
      <c r="A698" s="79"/>
      <c r="B698" s="79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2"/>
      <c r="X698" s="102"/>
      <c r="Y698" s="102"/>
      <c r="Z698" s="103"/>
      <c r="AA698" s="103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</row>
    <row r="699" ht="21.0" customHeight="1">
      <c r="A699" s="79"/>
      <c r="B699" s="79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2"/>
      <c r="X699" s="102"/>
      <c r="Y699" s="102"/>
      <c r="Z699" s="103"/>
      <c r="AA699" s="103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</row>
    <row r="700" ht="21.0" customHeight="1">
      <c r="A700" s="79"/>
      <c r="B700" s="79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2"/>
      <c r="X700" s="102"/>
      <c r="Y700" s="102"/>
      <c r="Z700" s="103"/>
      <c r="AA700" s="103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</row>
    <row r="701" ht="21.0" customHeight="1">
      <c r="A701" s="79"/>
      <c r="B701" s="79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2"/>
      <c r="X701" s="102"/>
      <c r="Y701" s="102"/>
      <c r="Z701" s="103"/>
      <c r="AA701" s="103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</row>
    <row r="702" ht="21.0" customHeight="1">
      <c r="A702" s="79"/>
      <c r="B702" s="79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2"/>
      <c r="X702" s="102"/>
      <c r="Y702" s="102"/>
      <c r="Z702" s="103"/>
      <c r="AA702" s="103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</row>
    <row r="703" ht="21.0" customHeight="1">
      <c r="A703" s="79"/>
      <c r="B703" s="79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2"/>
      <c r="X703" s="102"/>
      <c r="Y703" s="102"/>
      <c r="Z703" s="103"/>
      <c r="AA703" s="103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</row>
    <row r="704" ht="21.0" customHeight="1">
      <c r="A704" s="79"/>
      <c r="B704" s="79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2"/>
      <c r="X704" s="102"/>
      <c r="Y704" s="102"/>
      <c r="Z704" s="103"/>
      <c r="AA704" s="103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</row>
    <row r="705" ht="21.0" customHeight="1">
      <c r="A705" s="79"/>
      <c r="B705" s="79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2"/>
      <c r="X705" s="102"/>
      <c r="Y705" s="102"/>
      <c r="Z705" s="103"/>
      <c r="AA705" s="103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</row>
    <row r="706" ht="21.0" customHeight="1">
      <c r="A706" s="79"/>
      <c r="B706" s="79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2"/>
      <c r="X706" s="102"/>
      <c r="Y706" s="102"/>
      <c r="Z706" s="103"/>
      <c r="AA706" s="103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</row>
    <row r="707" ht="21.0" customHeight="1">
      <c r="A707" s="79"/>
      <c r="B707" s="79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2"/>
      <c r="X707" s="102"/>
      <c r="Y707" s="102"/>
      <c r="Z707" s="103"/>
      <c r="AA707" s="103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</row>
    <row r="708" ht="21.0" customHeight="1">
      <c r="A708" s="79"/>
      <c r="B708" s="79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2"/>
      <c r="X708" s="102"/>
      <c r="Y708" s="102"/>
      <c r="Z708" s="103"/>
      <c r="AA708" s="103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</row>
    <row r="709" ht="21.0" customHeight="1">
      <c r="A709" s="79"/>
      <c r="B709" s="79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2"/>
      <c r="X709" s="102"/>
      <c r="Y709" s="102"/>
      <c r="Z709" s="103"/>
      <c r="AA709" s="103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</row>
    <row r="710" ht="21.0" customHeight="1">
      <c r="A710" s="79"/>
      <c r="B710" s="79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2"/>
      <c r="X710" s="102"/>
      <c r="Y710" s="102"/>
      <c r="Z710" s="103"/>
      <c r="AA710" s="103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</row>
    <row r="711" ht="21.0" customHeight="1">
      <c r="A711" s="79"/>
      <c r="B711" s="79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2"/>
      <c r="X711" s="102"/>
      <c r="Y711" s="102"/>
      <c r="Z711" s="103"/>
      <c r="AA711" s="103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</row>
    <row r="712" ht="21.0" customHeight="1">
      <c r="A712" s="79"/>
      <c r="B712" s="79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2"/>
      <c r="X712" s="102"/>
      <c r="Y712" s="102"/>
      <c r="Z712" s="103"/>
      <c r="AA712" s="103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</row>
    <row r="713" ht="21.0" customHeight="1">
      <c r="A713" s="79"/>
      <c r="B713" s="79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2"/>
      <c r="X713" s="102"/>
      <c r="Y713" s="102"/>
      <c r="Z713" s="103"/>
      <c r="AA713" s="103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</row>
    <row r="714" ht="21.0" customHeight="1">
      <c r="A714" s="79"/>
      <c r="B714" s="79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2"/>
      <c r="X714" s="102"/>
      <c r="Y714" s="102"/>
      <c r="Z714" s="103"/>
      <c r="AA714" s="103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</row>
    <row r="715" ht="21.0" customHeight="1">
      <c r="A715" s="79"/>
      <c r="B715" s="79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2"/>
      <c r="X715" s="102"/>
      <c r="Y715" s="102"/>
      <c r="Z715" s="103"/>
      <c r="AA715" s="103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</row>
    <row r="716" ht="21.0" customHeight="1">
      <c r="A716" s="79"/>
      <c r="B716" s="79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2"/>
      <c r="X716" s="102"/>
      <c r="Y716" s="102"/>
      <c r="Z716" s="103"/>
      <c r="AA716" s="103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</row>
    <row r="717" ht="21.0" customHeight="1">
      <c r="A717" s="79"/>
      <c r="B717" s="79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2"/>
      <c r="X717" s="102"/>
      <c r="Y717" s="102"/>
      <c r="Z717" s="103"/>
      <c r="AA717" s="103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</row>
    <row r="718" ht="21.0" customHeight="1">
      <c r="A718" s="79"/>
      <c r="B718" s="79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2"/>
      <c r="X718" s="102"/>
      <c r="Y718" s="102"/>
      <c r="Z718" s="103"/>
      <c r="AA718" s="103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</row>
    <row r="719" ht="21.0" customHeight="1">
      <c r="A719" s="79"/>
      <c r="B719" s="79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2"/>
      <c r="X719" s="102"/>
      <c r="Y719" s="102"/>
      <c r="Z719" s="103"/>
      <c r="AA719" s="103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</row>
    <row r="720" ht="21.0" customHeight="1">
      <c r="A720" s="79"/>
      <c r="B720" s="79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2"/>
      <c r="X720" s="102"/>
      <c r="Y720" s="102"/>
      <c r="Z720" s="103"/>
      <c r="AA720" s="103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</row>
    <row r="721" ht="21.0" customHeight="1">
      <c r="A721" s="79"/>
      <c r="B721" s="79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2"/>
      <c r="X721" s="102"/>
      <c r="Y721" s="102"/>
      <c r="Z721" s="103"/>
      <c r="AA721" s="103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</row>
    <row r="722" ht="21.0" customHeight="1">
      <c r="A722" s="79"/>
      <c r="B722" s="79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2"/>
      <c r="X722" s="102"/>
      <c r="Y722" s="102"/>
      <c r="Z722" s="103"/>
      <c r="AA722" s="103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</row>
    <row r="723" ht="21.0" customHeight="1">
      <c r="A723" s="79"/>
      <c r="B723" s="79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2"/>
      <c r="X723" s="102"/>
      <c r="Y723" s="102"/>
      <c r="Z723" s="103"/>
      <c r="AA723" s="103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</row>
    <row r="724" ht="21.0" customHeight="1">
      <c r="A724" s="79"/>
      <c r="B724" s="79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2"/>
      <c r="X724" s="102"/>
      <c r="Y724" s="102"/>
      <c r="Z724" s="103"/>
      <c r="AA724" s="103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</row>
    <row r="725" ht="21.0" customHeight="1">
      <c r="A725" s="79"/>
      <c r="B725" s="79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2"/>
      <c r="X725" s="102"/>
      <c r="Y725" s="102"/>
      <c r="Z725" s="103"/>
      <c r="AA725" s="103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</row>
    <row r="726" ht="21.0" customHeight="1">
      <c r="A726" s="79"/>
      <c r="B726" s="79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2"/>
      <c r="X726" s="102"/>
      <c r="Y726" s="102"/>
      <c r="Z726" s="103"/>
      <c r="AA726" s="103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</row>
    <row r="727" ht="21.0" customHeight="1">
      <c r="A727" s="79"/>
      <c r="B727" s="79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2"/>
      <c r="X727" s="102"/>
      <c r="Y727" s="102"/>
      <c r="Z727" s="103"/>
      <c r="AA727" s="103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</row>
    <row r="728" ht="21.0" customHeight="1">
      <c r="A728" s="79"/>
      <c r="B728" s="79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2"/>
      <c r="X728" s="102"/>
      <c r="Y728" s="102"/>
      <c r="Z728" s="103"/>
      <c r="AA728" s="103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</row>
    <row r="729" ht="21.0" customHeight="1">
      <c r="A729" s="79"/>
      <c r="B729" s="79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2"/>
      <c r="X729" s="102"/>
      <c r="Y729" s="102"/>
      <c r="Z729" s="103"/>
      <c r="AA729" s="103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</row>
    <row r="730" ht="21.0" customHeight="1">
      <c r="A730" s="79"/>
      <c r="B730" s="79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2"/>
      <c r="X730" s="102"/>
      <c r="Y730" s="102"/>
      <c r="Z730" s="103"/>
      <c r="AA730" s="103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</row>
    <row r="731" ht="21.0" customHeight="1">
      <c r="A731" s="79"/>
      <c r="B731" s="79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2"/>
      <c r="X731" s="102"/>
      <c r="Y731" s="102"/>
      <c r="Z731" s="103"/>
      <c r="AA731" s="103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</row>
    <row r="732" ht="21.0" customHeight="1">
      <c r="A732" s="79"/>
      <c r="B732" s="79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2"/>
      <c r="X732" s="102"/>
      <c r="Y732" s="102"/>
      <c r="Z732" s="103"/>
      <c r="AA732" s="103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</row>
    <row r="733" ht="21.0" customHeight="1">
      <c r="A733" s="79"/>
      <c r="B733" s="79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2"/>
      <c r="X733" s="102"/>
      <c r="Y733" s="102"/>
      <c r="Z733" s="103"/>
      <c r="AA733" s="103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</row>
    <row r="734" ht="21.0" customHeight="1">
      <c r="A734" s="79"/>
      <c r="B734" s="79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2"/>
      <c r="X734" s="102"/>
      <c r="Y734" s="102"/>
      <c r="Z734" s="103"/>
      <c r="AA734" s="103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</row>
    <row r="735" ht="21.0" customHeight="1">
      <c r="A735" s="79"/>
      <c r="B735" s="79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2"/>
      <c r="X735" s="102"/>
      <c r="Y735" s="102"/>
      <c r="Z735" s="103"/>
      <c r="AA735" s="103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</row>
    <row r="736" ht="21.0" customHeight="1">
      <c r="A736" s="79"/>
      <c r="B736" s="79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2"/>
      <c r="X736" s="102"/>
      <c r="Y736" s="102"/>
      <c r="Z736" s="103"/>
      <c r="AA736" s="103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</row>
    <row r="737" ht="21.0" customHeight="1">
      <c r="A737" s="79"/>
      <c r="B737" s="79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2"/>
      <c r="X737" s="102"/>
      <c r="Y737" s="102"/>
      <c r="Z737" s="103"/>
      <c r="AA737" s="103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</row>
    <row r="738" ht="21.0" customHeight="1">
      <c r="A738" s="79"/>
      <c r="B738" s="79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2"/>
      <c r="X738" s="102"/>
      <c r="Y738" s="102"/>
      <c r="Z738" s="103"/>
      <c r="AA738" s="103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</row>
    <row r="739" ht="21.0" customHeight="1">
      <c r="A739" s="79"/>
      <c r="B739" s="79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2"/>
      <c r="X739" s="102"/>
      <c r="Y739" s="102"/>
      <c r="Z739" s="103"/>
      <c r="AA739" s="103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</row>
    <row r="740" ht="21.0" customHeight="1">
      <c r="A740" s="79"/>
      <c r="B740" s="79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2"/>
      <c r="X740" s="102"/>
      <c r="Y740" s="102"/>
      <c r="Z740" s="103"/>
      <c r="AA740" s="103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</row>
    <row r="741" ht="21.0" customHeight="1">
      <c r="A741" s="79"/>
      <c r="B741" s="79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2"/>
      <c r="X741" s="102"/>
      <c r="Y741" s="102"/>
      <c r="Z741" s="103"/>
      <c r="AA741" s="103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</row>
    <row r="742" ht="21.0" customHeight="1">
      <c r="A742" s="79"/>
      <c r="B742" s="79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2"/>
      <c r="X742" s="102"/>
      <c r="Y742" s="102"/>
      <c r="Z742" s="103"/>
      <c r="AA742" s="103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</row>
    <row r="743" ht="21.0" customHeight="1">
      <c r="A743" s="79"/>
      <c r="B743" s="79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2"/>
      <c r="X743" s="102"/>
      <c r="Y743" s="102"/>
      <c r="Z743" s="103"/>
      <c r="AA743" s="103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</row>
    <row r="744" ht="21.0" customHeight="1">
      <c r="A744" s="79"/>
      <c r="B744" s="79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2"/>
      <c r="X744" s="102"/>
      <c r="Y744" s="102"/>
      <c r="Z744" s="103"/>
      <c r="AA744" s="103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</row>
    <row r="745" ht="21.0" customHeight="1">
      <c r="A745" s="79"/>
      <c r="B745" s="79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2"/>
      <c r="X745" s="102"/>
      <c r="Y745" s="102"/>
      <c r="Z745" s="103"/>
      <c r="AA745" s="103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</row>
    <row r="746" ht="21.0" customHeight="1">
      <c r="A746" s="79"/>
      <c r="B746" s="79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2"/>
      <c r="X746" s="102"/>
      <c r="Y746" s="102"/>
      <c r="Z746" s="103"/>
      <c r="AA746" s="103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</row>
    <row r="747" ht="21.0" customHeight="1">
      <c r="A747" s="79"/>
      <c r="B747" s="79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2"/>
      <c r="X747" s="102"/>
      <c r="Y747" s="102"/>
      <c r="Z747" s="103"/>
      <c r="AA747" s="103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</row>
    <row r="748" ht="21.0" customHeight="1">
      <c r="A748" s="79"/>
      <c r="B748" s="79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2"/>
      <c r="X748" s="102"/>
      <c r="Y748" s="102"/>
      <c r="Z748" s="103"/>
      <c r="AA748" s="103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</row>
    <row r="749" ht="21.0" customHeight="1">
      <c r="A749" s="79"/>
      <c r="B749" s="79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2"/>
      <c r="X749" s="102"/>
      <c r="Y749" s="102"/>
      <c r="Z749" s="103"/>
      <c r="AA749" s="103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</row>
    <row r="750" ht="21.0" customHeight="1">
      <c r="A750" s="79"/>
      <c r="B750" s="79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2"/>
      <c r="X750" s="102"/>
      <c r="Y750" s="102"/>
      <c r="Z750" s="103"/>
      <c r="AA750" s="103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</row>
    <row r="751" ht="21.0" customHeight="1">
      <c r="A751" s="79"/>
      <c r="B751" s="79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2"/>
      <c r="X751" s="102"/>
      <c r="Y751" s="102"/>
      <c r="Z751" s="103"/>
      <c r="AA751" s="103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</row>
    <row r="752" ht="21.0" customHeight="1">
      <c r="A752" s="79"/>
      <c r="B752" s="79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2"/>
      <c r="X752" s="102"/>
      <c r="Y752" s="102"/>
      <c r="Z752" s="103"/>
      <c r="AA752" s="103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</row>
    <row r="753" ht="21.0" customHeight="1">
      <c r="A753" s="79"/>
      <c r="B753" s="79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2"/>
      <c r="X753" s="102"/>
      <c r="Y753" s="102"/>
      <c r="Z753" s="103"/>
      <c r="AA753" s="103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</row>
    <row r="754" ht="21.0" customHeight="1">
      <c r="A754" s="79"/>
      <c r="B754" s="79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2"/>
      <c r="X754" s="102"/>
      <c r="Y754" s="102"/>
      <c r="Z754" s="103"/>
      <c r="AA754" s="103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</row>
    <row r="755" ht="21.0" customHeight="1">
      <c r="A755" s="79"/>
      <c r="B755" s="79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2"/>
      <c r="X755" s="102"/>
      <c r="Y755" s="102"/>
      <c r="Z755" s="103"/>
      <c r="AA755" s="103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</row>
    <row r="756" ht="21.0" customHeight="1">
      <c r="A756" s="79"/>
      <c r="B756" s="79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2"/>
      <c r="X756" s="102"/>
      <c r="Y756" s="102"/>
      <c r="Z756" s="103"/>
      <c r="AA756" s="103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</row>
    <row r="757" ht="21.0" customHeight="1">
      <c r="A757" s="79"/>
      <c r="B757" s="79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2"/>
      <c r="X757" s="102"/>
      <c r="Y757" s="102"/>
      <c r="Z757" s="103"/>
      <c r="AA757" s="103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</row>
    <row r="758" ht="21.0" customHeight="1">
      <c r="A758" s="79"/>
      <c r="B758" s="79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2"/>
      <c r="X758" s="102"/>
      <c r="Y758" s="102"/>
      <c r="Z758" s="103"/>
      <c r="AA758" s="103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</row>
    <row r="759" ht="21.0" customHeight="1">
      <c r="A759" s="79"/>
      <c r="B759" s="79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2"/>
      <c r="X759" s="102"/>
      <c r="Y759" s="102"/>
      <c r="Z759" s="103"/>
      <c r="AA759" s="103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</row>
    <row r="760" ht="21.0" customHeight="1">
      <c r="A760" s="79"/>
      <c r="B760" s="79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2"/>
      <c r="X760" s="102"/>
      <c r="Y760" s="102"/>
      <c r="Z760" s="103"/>
      <c r="AA760" s="103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</row>
    <row r="761" ht="21.0" customHeight="1">
      <c r="A761" s="79"/>
      <c r="B761" s="79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2"/>
      <c r="X761" s="102"/>
      <c r="Y761" s="102"/>
      <c r="Z761" s="103"/>
      <c r="AA761" s="103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</row>
    <row r="762" ht="21.0" customHeight="1">
      <c r="A762" s="79"/>
      <c r="B762" s="79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2"/>
      <c r="X762" s="102"/>
      <c r="Y762" s="102"/>
      <c r="Z762" s="103"/>
      <c r="AA762" s="103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</row>
    <row r="763" ht="21.0" customHeight="1">
      <c r="A763" s="79"/>
      <c r="B763" s="79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2"/>
      <c r="X763" s="102"/>
      <c r="Y763" s="102"/>
      <c r="Z763" s="103"/>
      <c r="AA763" s="103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</row>
    <row r="764" ht="21.0" customHeight="1">
      <c r="A764" s="79"/>
      <c r="B764" s="79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2"/>
      <c r="X764" s="102"/>
      <c r="Y764" s="102"/>
      <c r="Z764" s="103"/>
      <c r="AA764" s="103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</row>
    <row r="765" ht="21.0" customHeight="1">
      <c r="A765" s="79"/>
      <c r="B765" s="79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2"/>
      <c r="X765" s="102"/>
      <c r="Y765" s="102"/>
      <c r="Z765" s="103"/>
      <c r="AA765" s="103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</row>
    <row r="766" ht="21.0" customHeight="1">
      <c r="A766" s="79"/>
      <c r="B766" s="79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2"/>
      <c r="X766" s="102"/>
      <c r="Y766" s="102"/>
      <c r="Z766" s="103"/>
      <c r="AA766" s="103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</row>
    <row r="767" ht="21.0" customHeight="1">
      <c r="A767" s="79"/>
      <c r="B767" s="79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2"/>
      <c r="X767" s="102"/>
      <c r="Y767" s="102"/>
      <c r="Z767" s="103"/>
      <c r="AA767" s="103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</row>
    <row r="768" ht="21.0" customHeight="1">
      <c r="A768" s="79"/>
      <c r="B768" s="79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2"/>
      <c r="X768" s="102"/>
      <c r="Y768" s="102"/>
      <c r="Z768" s="103"/>
      <c r="AA768" s="103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</row>
    <row r="769" ht="21.0" customHeight="1">
      <c r="A769" s="79"/>
      <c r="B769" s="79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2"/>
      <c r="X769" s="102"/>
      <c r="Y769" s="102"/>
      <c r="Z769" s="103"/>
      <c r="AA769" s="103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</row>
    <row r="770" ht="21.0" customHeight="1">
      <c r="A770" s="79"/>
      <c r="B770" s="79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2"/>
      <c r="X770" s="102"/>
      <c r="Y770" s="102"/>
      <c r="Z770" s="103"/>
      <c r="AA770" s="103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</row>
    <row r="771" ht="21.0" customHeight="1">
      <c r="A771" s="79"/>
      <c r="B771" s="79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2"/>
      <c r="X771" s="102"/>
      <c r="Y771" s="102"/>
      <c r="Z771" s="103"/>
      <c r="AA771" s="103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</row>
    <row r="772" ht="21.0" customHeight="1">
      <c r="A772" s="79"/>
      <c r="B772" s="79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2"/>
      <c r="X772" s="102"/>
      <c r="Y772" s="102"/>
      <c r="Z772" s="103"/>
      <c r="AA772" s="103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</row>
    <row r="773" ht="21.0" customHeight="1">
      <c r="A773" s="79"/>
      <c r="B773" s="79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2"/>
      <c r="X773" s="102"/>
      <c r="Y773" s="102"/>
      <c r="Z773" s="103"/>
      <c r="AA773" s="103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</row>
    <row r="774" ht="21.0" customHeight="1">
      <c r="A774" s="79"/>
      <c r="B774" s="79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2"/>
      <c r="X774" s="102"/>
      <c r="Y774" s="102"/>
      <c r="Z774" s="103"/>
      <c r="AA774" s="103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</row>
    <row r="775" ht="21.0" customHeight="1">
      <c r="A775" s="79"/>
      <c r="B775" s="79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2"/>
      <c r="X775" s="102"/>
      <c r="Y775" s="102"/>
      <c r="Z775" s="103"/>
      <c r="AA775" s="103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</row>
    <row r="776" ht="21.0" customHeight="1">
      <c r="A776" s="79"/>
      <c r="B776" s="79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2"/>
      <c r="X776" s="102"/>
      <c r="Y776" s="102"/>
      <c r="Z776" s="103"/>
      <c r="AA776" s="103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</row>
    <row r="777" ht="21.0" customHeight="1">
      <c r="A777" s="79"/>
      <c r="B777" s="79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2"/>
      <c r="X777" s="102"/>
      <c r="Y777" s="102"/>
      <c r="Z777" s="103"/>
      <c r="AA777" s="103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</row>
    <row r="778" ht="21.0" customHeight="1">
      <c r="A778" s="79"/>
      <c r="B778" s="79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2"/>
      <c r="X778" s="102"/>
      <c r="Y778" s="102"/>
      <c r="Z778" s="103"/>
      <c r="AA778" s="103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</row>
    <row r="779" ht="21.0" customHeight="1">
      <c r="A779" s="79"/>
      <c r="B779" s="79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2"/>
      <c r="X779" s="102"/>
      <c r="Y779" s="102"/>
      <c r="Z779" s="103"/>
      <c r="AA779" s="103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</row>
    <row r="780" ht="21.0" customHeight="1">
      <c r="A780" s="79"/>
      <c r="B780" s="79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2"/>
      <c r="X780" s="102"/>
      <c r="Y780" s="102"/>
      <c r="Z780" s="103"/>
      <c r="AA780" s="103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</row>
    <row r="781" ht="21.0" customHeight="1">
      <c r="A781" s="79"/>
      <c r="B781" s="79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2"/>
      <c r="X781" s="102"/>
      <c r="Y781" s="102"/>
      <c r="Z781" s="103"/>
      <c r="AA781" s="103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</row>
    <row r="782" ht="21.0" customHeight="1">
      <c r="A782" s="79"/>
      <c r="B782" s="79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2"/>
      <c r="X782" s="102"/>
      <c r="Y782" s="102"/>
      <c r="Z782" s="103"/>
      <c r="AA782" s="103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</row>
    <row r="783" ht="21.0" customHeight="1">
      <c r="A783" s="79"/>
      <c r="B783" s="79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2"/>
      <c r="X783" s="102"/>
      <c r="Y783" s="102"/>
      <c r="Z783" s="103"/>
      <c r="AA783" s="103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</row>
    <row r="784" ht="21.0" customHeight="1">
      <c r="A784" s="79"/>
      <c r="B784" s="79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2"/>
      <c r="X784" s="102"/>
      <c r="Y784" s="102"/>
      <c r="Z784" s="103"/>
      <c r="AA784" s="103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</row>
    <row r="785" ht="21.0" customHeight="1">
      <c r="A785" s="79"/>
      <c r="B785" s="79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2"/>
      <c r="X785" s="102"/>
      <c r="Y785" s="102"/>
      <c r="Z785" s="103"/>
      <c r="AA785" s="103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</row>
    <row r="786" ht="21.0" customHeight="1">
      <c r="A786" s="79"/>
      <c r="B786" s="79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2"/>
      <c r="X786" s="102"/>
      <c r="Y786" s="102"/>
      <c r="Z786" s="103"/>
      <c r="AA786" s="103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</row>
    <row r="787" ht="21.0" customHeight="1">
      <c r="A787" s="79"/>
      <c r="B787" s="79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2"/>
      <c r="X787" s="102"/>
      <c r="Y787" s="102"/>
      <c r="Z787" s="103"/>
      <c r="AA787" s="103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</row>
    <row r="788" ht="21.0" customHeight="1">
      <c r="A788" s="79"/>
      <c r="B788" s="79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2"/>
      <c r="X788" s="102"/>
      <c r="Y788" s="102"/>
      <c r="Z788" s="103"/>
      <c r="AA788" s="103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</row>
    <row r="789" ht="21.0" customHeight="1">
      <c r="A789" s="79"/>
      <c r="B789" s="79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2"/>
      <c r="X789" s="102"/>
      <c r="Y789" s="102"/>
      <c r="Z789" s="103"/>
      <c r="AA789" s="103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</row>
    <row r="790" ht="21.0" customHeight="1">
      <c r="A790" s="79"/>
      <c r="B790" s="79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2"/>
      <c r="X790" s="102"/>
      <c r="Y790" s="102"/>
      <c r="Z790" s="103"/>
      <c r="AA790" s="103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</row>
    <row r="791" ht="21.0" customHeight="1">
      <c r="A791" s="79"/>
      <c r="B791" s="79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2"/>
      <c r="X791" s="102"/>
      <c r="Y791" s="102"/>
      <c r="Z791" s="103"/>
      <c r="AA791" s="103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</row>
    <row r="792" ht="21.0" customHeight="1">
      <c r="A792" s="79"/>
      <c r="B792" s="79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2"/>
      <c r="X792" s="102"/>
      <c r="Y792" s="102"/>
      <c r="Z792" s="103"/>
      <c r="AA792" s="103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</row>
    <row r="793" ht="21.0" customHeight="1">
      <c r="A793" s="79"/>
      <c r="B793" s="79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2"/>
      <c r="X793" s="102"/>
      <c r="Y793" s="102"/>
      <c r="Z793" s="103"/>
      <c r="AA793" s="103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</row>
    <row r="794" ht="21.0" customHeight="1">
      <c r="A794" s="79"/>
      <c r="B794" s="79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2"/>
      <c r="X794" s="102"/>
      <c r="Y794" s="102"/>
      <c r="Z794" s="103"/>
      <c r="AA794" s="103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</row>
    <row r="795" ht="21.0" customHeight="1">
      <c r="A795" s="79"/>
      <c r="B795" s="79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2"/>
      <c r="X795" s="102"/>
      <c r="Y795" s="102"/>
      <c r="Z795" s="103"/>
      <c r="AA795" s="103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</row>
    <row r="796" ht="21.0" customHeight="1">
      <c r="A796" s="79"/>
      <c r="B796" s="79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2"/>
      <c r="X796" s="102"/>
      <c r="Y796" s="102"/>
      <c r="Z796" s="103"/>
      <c r="AA796" s="103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</row>
    <row r="797" ht="21.0" customHeight="1">
      <c r="A797" s="79"/>
      <c r="B797" s="79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2"/>
      <c r="X797" s="102"/>
      <c r="Y797" s="102"/>
      <c r="Z797" s="103"/>
      <c r="AA797" s="103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</row>
    <row r="798" ht="21.0" customHeight="1">
      <c r="A798" s="79"/>
      <c r="B798" s="79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2"/>
      <c r="X798" s="102"/>
      <c r="Y798" s="102"/>
      <c r="Z798" s="103"/>
      <c r="AA798" s="103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</row>
    <row r="799" ht="21.0" customHeight="1">
      <c r="A799" s="79"/>
      <c r="B799" s="79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2"/>
      <c r="X799" s="102"/>
      <c r="Y799" s="102"/>
      <c r="Z799" s="103"/>
      <c r="AA799" s="103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</row>
    <row r="800" ht="21.0" customHeight="1">
      <c r="A800" s="79"/>
      <c r="B800" s="79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2"/>
      <c r="X800" s="102"/>
      <c r="Y800" s="102"/>
      <c r="Z800" s="103"/>
      <c r="AA800" s="103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</row>
    <row r="801" ht="21.0" customHeight="1">
      <c r="A801" s="79"/>
      <c r="B801" s="79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2"/>
      <c r="X801" s="102"/>
      <c r="Y801" s="102"/>
      <c r="Z801" s="103"/>
      <c r="AA801" s="103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</row>
    <row r="802" ht="21.0" customHeight="1">
      <c r="A802" s="79"/>
      <c r="B802" s="79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2"/>
      <c r="X802" s="102"/>
      <c r="Y802" s="102"/>
      <c r="Z802" s="103"/>
      <c r="AA802" s="103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</row>
    <row r="803" ht="21.0" customHeight="1">
      <c r="A803" s="79"/>
      <c r="B803" s="79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2"/>
      <c r="X803" s="102"/>
      <c r="Y803" s="102"/>
      <c r="Z803" s="103"/>
      <c r="AA803" s="103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</row>
    <row r="804" ht="21.0" customHeight="1">
      <c r="A804" s="79"/>
      <c r="B804" s="79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2"/>
      <c r="X804" s="102"/>
      <c r="Y804" s="102"/>
      <c r="Z804" s="103"/>
      <c r="AA804" s="103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</row>
    <row r="805" ht="21.0" customHeight="1">
      <c r="A805" s="79"/>
      <c r="B805" s="79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2"/>
      <c r="X805" s="102"/>
      <c r="Y805" s="102"/>
      <c r="Z805" s="103"/>
      <c r="AA805" s="103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</row>
    <row r="806" ht="21.0" customHeight="1">
      <c r="A806" s="79"/>
      <c r="B806" s="79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2"/>
      <c r="X806" s="102"/>
      <c r="Y806" s="102"/>
      <c r="Z806" s="103"/>
      <c r="AA806" s="103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</row>
    <row r="807" ht="21.0" customHeight="1">
      <c r="A807" s="79"/>
      <c r="B807" s="79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2"/>
      <c r="X807" s="102"/>
      <c r="Y807" s="102"/>
      <c r="Z807" s="103"/>
      <c r="AA807" s="103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</row>
    <row r="808" ht="21.0" customHeight="1">
      <c r="A808" s="79"/>
      <c r="B808" s="79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2"/>
      <c r="X808" s="102"/>
      <c r="Y808" s="102"/>
      <c r="Z808" s="103"/>
      <c r="AA808" s="103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</row>
    <row r="809" ht="21.0" customHeight="1">
      <c r="A809" s="79"/>
      <c r="B809" s="79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2"/>
      <c r="X809" s="102"/>
      <c r="Y809" s="102"/>
      <c r="Z809" s="103"/>
      <c r="AA809" s="103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</row>
    <row r="810" ht="21.0" customHeight="1">
      <c r="A810" s="79"/>
      <c r="B810" s="79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2"/>
      <c r="X810" s="102"/>
      <c r="Y810" s="102"/>
      <c r="Z810" s="103"/>
      <c r="AA810" s="103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</row>
    <row r="811" ht="21.0" customHeight="1">
      <c r="A811" s="79"/>
      <c r="B811" s="79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2"/>
      <c r="X811" s="102"/>
      <c r="Y811" s="102"/>
      <c r="Z811" s="103"/>
      <c r="AA811" s="103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</row>
    <row r="812" ht="21.0" customHeight="1">
      <c r="A812" s="79"/>
      <c r="B812" s="79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2"/>
      <c r="X812" s="102"/>
      <c r="Y812" s="102"/>
      <c r="Z812" s="103"/>
      <c r="AA812" s="103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</row>
    <row r="813" ht="21.0" customHeight="1">
      <c r="A813" s="79"/>
      <c r="B813" s="79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2"/>
      <c r="X813" s="102"/>
      <c r="Y813" s="102"/>
      <c r="Z813" s="103"/>
      <c r="AA813" s="103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</row>
    <row r="814" ht="21.0" customHeight="1">
      <c r="A814" s="79"/>
      <c r="B814" s="79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2"/>
      <c r="X814" s="102"/>
      <c r="Y814" s="102"/>
      <c r="Z814" s="103"/>
      <c r="AA814" s="103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</row>
    <row r="815" ht="21.0" customHeight="1">
      <c r="A815" s="79"/>
      <c r="B815" s="79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2"/>
      <c r="X815" s="102"/>
      <c r="Y815" s="102"/>
      <c r="Z815" s="103"/>
      <c r="AA815" s="103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</row>
    <row r="816" ht="21.0" customHeight="1">
      <c r="A816" s="79"/>
      <c r="B816" s="79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2"/>
      <c r="X816" s="102"/>
      <c r="Y816" s="102"/>
      <c r="Z816" s="103"/>
      <c r="AA816" s="103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</row>
    <row r="817" ht="21.0" customHeight="1">
      <c r="A817" s="79"/>
      <c r="B817" s="79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2"/>
      <c r="X817" s="102"/>
      <c r="Y817" s="102"/>
      <c r="Z817" s="103"/>
      <c r="AA817" s="103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</row>
    <row r="818" ht="21.0" customHeight="1">
      <c r="A818" s="79"/>
      <c r="B818" s="79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2"/>
      <c r="X818" s="102"/>
      <c r="Y818" s="102"/>
      <c r="Z818" s="103"/>
      <c r="AA818" s="103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</row>
    <row r="819" ht="21.0" customHeight="1">
      <c r="A819" s="79"/>
      <c r="B819" s="79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2"/>
      <c r="X819" s="102"/>
      <c r="Y819" s="102"/>
      <c r="Z819" s="103"/>
      <c r="AA819" s="103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</row>
    <row r="820" ht="21.0" customHeight="1">
      <c r="A820" s="79"/>
      <c r="B820" s="79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2"/>
      <c r="X820" s="102"/>
      <c r="Y820" s="102"/>
      <c r="Z820" s="103"/>
      <c r="AA820" s="103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</row>
    <row r="821" ht="21.0" customHeight="1">
      <c r="A821" s="79"/>
      <c r="B821" s="79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2"/>
      <c r="X821" s="102"/>
      <c r="Y821" s="102"/>
      <c r="Z821" s="103"/>
      <c r="AA821" s="103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</row>
    <row r="822" ht="21.0" customHeight="1">
      <c r="A822" s="79"/>
      <c r="B822" s="79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2"/>
      <c r="X822" s="102"/>
      <c r="Y822" s="102"/>
      <c r="Z822" s="103"/>
      <c r="AA822" s="103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</row>
    <row r="823" ht="21.0" customHeight="1">
      <c r="A823" s="79"/>
      <c r="B823" s="79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2"/>
      <c r="X823" s="102"/>
      <c r="Y823" s="102"/>
      <c r="Z823" s="103"/>
      <c r="AA823" s="103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</row>
    <row r="824" ht="21.0" customHeight="1">
      <c r="A824" s="79"/>
      <c r="B824" s="79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2"/>
      <c r="X824" s="102"/>
      <c r="Y824" s="102"/>
      <c r="Z824" s="103"/>
      <c r="AA824" s="103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</row>
    <row r="825" ht="21.0" customHeight="1">
      <c r="A825" s="79"/>
      <c r="B825" s="79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2"/>
      <c r="X825" s="102"/>
      <c r="Y825" s="102"/>
      <c r="Z825" s="103"/>
      <c r="AA825" s="103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</row>
    <row r="826" ht="21.0" customHeight="1">
      <c r="A826" s="79"/>
      <c r="B826" s="79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2"/>
      <c r="X826" s="102"/>
      <c r="Y826" s="102"/>
      <c r="Z826" s="103"/>
      <c r="AA826" s="103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</row>
    <row r="827" ht="21.0" customHeight="1">
      <c r="A827" s="79"/>
      <c r="B827" s="79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2"/>
      <c r="X827" s="102"/>
      <c r="Y827" s="102"/>
      <c r="Z827" s="103"/>
      <c r="AA827" s="103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</row>
    <row r="828" ht="21.0" customHeight="1">
      <c r="A828" s="79"/>
      <c r="B828" s="79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2"/>
      <c r="X828" s="102"/>
      <c r="Y828" s="102"/>
      <c r="Z828" s="103"/>
      <c r="AA828" s="103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</row>
    <row r="829" ht="21.0" customHeight="1">
      <c r="A829" s="79"/>
      <c r="B829" s="79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2"/>
      <c r="X829" s="102"/>
      <c r="Y829" s="102"/>
      <c r="Z829" s="103"/>
      <c r="AA829" s="103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</row>
    <row r="830" ht="21.0" customHeight="1">
      <c r="A830" s="79"/>
      <c r="B830" s="79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2"/>
      <c r="X830" s="102"/>
      <c r="Y830" s="102"/>
      <c r="Z830" s="103"/>
      <c r="AA830" s="103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</row>
    <row r="831" ht="21.0" customHeight="1">
      <c r="A831" s="79"/>
      <c r="B831" s="79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2"/>
      <c r="X831" s="102"/>
      <c r="Y831" s="102"/>
      <c r="Z831" s="103"/>
      <c r="AA831" s="103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</row>
    <row r="832" ht="21.0" customHeight="1">
      <c r="A832" s="79"/>
      <c r="B832" s="79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2"/>
      <c r="X832" s="102"/>
      <c r="Y832" s="102"/>
      <c r="Z832" s="103"/>
      <c r="AA832" s="103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</row>
    <row r="833" ht="21.0" customHeight="1">
      <c r="A833" s="79"/>
      <c r="B833" s="79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2"/>
      <c r="X833" s="102"/>
      <c r="Y833" s="102"/>
      <c r="Z833" s="103"/>
      <c r="AA833" s="103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</row>
    <row r="834" ht="21.0" customHeight="1">
      <c r="A834" s="79"/>
      <c r="B834" s="79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2"/>
      <c r="X834" s="102"/>
      <c r="Y834" s="102"/>
      <c r="Z834" s="103"/>
      <c r="AA834" s="103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</row>
    <row r="835" ht="21.0" customHeight="1">
      <c r="A835" s="79"/>
      <c r="B835" s="79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2"/>
      <c r="X835" s="102"/>
      <c r="Y835" s="102"/>
      <c r="Z835" s="103"/>
      <c r="AA835" s="103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</row>
    <row r="836" ht="21.0" customHeight="1">
      <c r="A836" s="79"/>
      <c r="B836" s="79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2"/>
      <c r="X836" s="102"/>
      <c r="Y836" s="102"/>
      <c r="Z836" s="103"/>
      <c r="AA836" s="103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</row>
    <row r="837" ht="21.0" customHeight="1">
      <c r="A837" s="79"/>
      <c r="B837" s="79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2"/>
      <c r="X837" s="102"/>
      <c r="Y837" s="102"/>
      <c r="Z837" s="103"/>
      <c r="AA837" s="103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</row>
    <row r="838" ht="21.0" customHeight="1">
      <c r="A838" s="79"/>
      <c r="B838" s="79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2"/>
      <c r="X838" s="102"/>
      <c r="Y838" s="102"/>
      <c r="Z838" s="103"/>
      <c r="AA838" s="103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</row>
    <row r="839" ht="21.0" customHeight="1">
      <c r="A839" s="79"/>
      <c r="B839" s="79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2"/>
      <c r="X839" s="102"/>
      <c r="Y839" s="102"/>
      <c r="Z839" s="103"/>
      <c r="AA839" s="103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</row>
    <row r="840" ht="21.0" customHeight="1">
      <c r="A840" s="79"/>
      <c r="B840" s="79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2"/>
      <c r="X840" s="102"/>
      <c r="Y840" s="102"/>
      <c r="Z840" s="103"/>
      <c r="AA840" s="103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</row>
    <row r="841" ht="21.0" customHeight="1">
      <c r="A841" s="79"/>
      <c r="B841" s="79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2"/>
      <c r="X841" s="102"/>
      <c r="Y841" s="102"/>
      <c r="Z841" s="103"/>
      <c r="AA841" s="103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</row>
    <row r="842" ht="21.0" customHeight="1">
      <c r="A842" s="79"/>
      <c r="B842" s="79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2"/>
      <c r="X842" s="102"/>
      <c r="Y842" s="102"/>
      <c r="Z842" s="103"/>
      <c r="AA842" s="103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</row>
    <row r="843" ht="21.0" customHeight="1">
      <c r="A843" s="79"/>
      <c r="B843" s="79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2"/>
      <c r="X843" s="102"/>
      <c r="Y843" s="102"/>
      <c r="Z843" s="103"/>
      <c r="AA843" s="103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</row>
    <row r="844" ht="21.0" customHeight="1">
      <c r="A844" s="79"/>
      <c r="B844" s="79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2"/>
      <c r="X844" s="102"/>
      <c r="Y844" s="102"/>
      <c r="Z844" s="103"/>
      <c r="AA844" s="103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</row>
    <row r="845" ht="21.0" customHeight="1">
      <c r="A845" s="79"/>
      <c r="B845" s="79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2"/>
      <c r="X845" s="102"/>
      <c r="Y845" s="102"/>
      <c r="Z845" s="103"/>
      <c r="AA845" s="103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</row>
    <row r="846" ht="21.0" customHeight="1">
      <c r="A846" s="79"/>
      <c r="B846" s="79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2"/>
      <c r="X846" s="102"/>
      <c r="Y846" s="102"/>
      <c r="Z846" s="103"/>
      <c r="AA846" s="103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</row>
    <row r="847" ht="21.0" customHeight="1">
      <c r="A847" s="79"/>
      <c r="B847" s="79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2"/>
      <c r="X847" s="102"/>
      <c r="Y847" s="102"/>
      <c r="Z847" s="103"/>
      <c r="AA847" s="103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</row>
    <row r="848" ht="21.0" customHeight="1">
      <c r="A848" s="79"/>
      <c r="B848" s="79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2"/>
      <c r="X848" s="102"/>
      <c r="Y848" s="102"/>
      <c r="Z848" s="103"/>
      <c r="AA848" s="103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</row>
    <row r="849" ht="21.0" customHeight="1">
      <c r="A849" s="79"/>
      <c r="B849" s="79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2"/>
      <c r="X849" s="102"/>
      <c r="Y849" s="102"/>
      <c r="Z849" s="103"/>
      <c r="AA849" s="103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</row>
    <row r="850" ht="21.0" customHeight="1">
      <c r="A850" s="79"/>
      <c r="B850" s="79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2"/>
      <c r="X850" s="102"/>
      <c r="Y850" s="102"/>
      <c r="Z850" s="103"/>
      <c r="AA850" s="103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</row>
    <row r="851" ht="21.0" customHeight="1">
      <c r="A851" s="79"/>
      <c r="B851" s="79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2"/>
      <c r="X851" s="102"/>
      <c r="Y851" s="102"/>
      <c r="Z851" s="103"/>
      <c r="AA851" s="103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</row>
    <row r="852" ht="21.0" customHeight="1">
      <c r="A852" s="79"/>
      <c r="B852" s="79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2"/>
      <c r="X852" s="102"/>
      <c r="Y852" s="102"/>
      <c r="Z852" s="103"/>
      <c r="AA852" s="103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</row>
    <row r="853" ht="21.0" customHeight="1">
      <c r="A853" s="79"/>
      <c r="B853" s="79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2"/>
      <c r="X853" s="102"/>
      <c r="Y853" s="102"/>
      <c r="Z853" s="103"/>
      <c r="AA853" s="103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</row>
    <row r="854" ht="21.0" customHeight="1">
      <c r="A854" s="79"/>
      <c r="B854" s="79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2"/>
      <c r="X854" s="102"/>
      <c r="Y854" s="102"/>
      <c r="Z854" s="103"/>
      <c r="AA854" s="103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</row>
    <row r="855" ht="21.0" customHeight="1">
      <c r="A855" s="79"/>
      <c r="B855" s="79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2"/>
      <c r="X855" s="102"/>
      <c r="Y855" s="102"/>
      <c r="Z855" s="103"/>
      <c r="AA855" s="103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</row>
    <row r="856" ht="21.0" customHeight="1">
      <c r="A856" s="79"/>
      <c r="B856" s="79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2"/>
      <c r="X856" s="102"/>
      <c r="Y856" s="102"/>
      <c r="Z856" s="103"/>
      <c r="AA856" s="103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</row>
    <row r="857" ht="21.0" customHeight="1">
      <c r="A857" s="79"/>
      <c r="B857" s="79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2"/>
      <c r="X857" s="102"/>
      <c r="Y857" s="102"/>
      <c r="Z857" s="103"/>
      <c r="AA857" s="103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</row>
    <row r="858" ht="21.0" customHeight="1">
      <c r="A858" s="79"/>
      <c r="B858" s="79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2"/>
      <c r="X858" s="102"/>
      <c r="Y858" s="102"/>
      <c r="Z858" s="103"/>
      <c r="AA858" s="103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</row>
    <row r="859" ht="21.0" customHeight="1">
      <c r="A859" s="79"/>
      <c r="B859" s="79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2"/>
      <c r="X859" s="102"/>
      <c r="Y859" s="102"/>
      <c r="Z859" s="103"/>
      <c r="AA859" s="103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</row>
    <row r="860" ht="21.0" customHeight="1">
      <c r="A860" s="79"/>
      <c r="B860" s="79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2"/>
      <c r="X860" s="102"/>
      <c r="Y860" s="102"/>
      <c r="Z860" s="103"/>
      <c r="AA860" s="103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</row>
    <row r="861" ht="21.0" customHeight="1">
      <c r="A861" s="79"/>
      <c r="B861" s="79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2"/>
      <c r="X861" s="102"/>
      <c r="Y861" s="102"/>
      <c r="Z861" s="103"/>
      <c r="AA861" s="103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</row>
    <row r="862" ht="21.0" customHeight="1">
      <c r="A862" s="79"/>
      <c r="B862" s="79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2"/>
      <c r="X862" s="102"/>
      <c r="Y862" s="102"/>
      <c r="Z862" s="103"/>
      <c r="AA862" s="103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</row>
    <row r="863" ht="21.0" customHeight="1">
      <c r="A863" s="79"/>
      <c r="B863" s="79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2"/>
      <c r="X863" s="102"/>
      <c r="Y863" s="102"/>
      <c r="Z863" s="103"/>
      <c r="AA863" s="103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</row>
    <row r="864" ht="21.0" customHeight="1">
      <c r="A864" s="79"/>
      <c r="B864" s="79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2"/>
      <c r="X864" s="102"/>
      <c r="Y864" s="102"/>
      <c r="Z864" s="103"/>
      <c r="AA864" s="103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</row>
    <row r="865" ht="21.0" customHeight="1">
      <c r="A865" s="79"/>
      <c r="B865" s="79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2"/>
      <c r="X865" s="102"/>
      <c r="Y865" s="102"/>
      <c r="Z865" s="103"/>
      <c r="AA865" s="103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</row>
    <row r="866" ht="21.0" customHeight="1">
      <c r="A866" s="79"/>
      <c r="B866" s="79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2"/>
      <c r="X866" s="102"/>
      <c r="Y866" s="102"/>
      <c r="Z866" s="103"/>
      <c r="AA866" s="103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</row>
    <row r="867" ht="21.0" customHeight="1">
      <c r="A867" s="79"/>
      <c r="B867" s="79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2"/>
      <c r="X867" s="102"/>
      <c r="Y867" s="102"/>
      <c r="Z867" s="103"/>
      <c r="AA867" s="103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</row>
    <row r="868" ht="21.0" customHeight="1">
      <c r="A868" s="79"/>
      <c r="B868" s="79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2"/>
      <c r="X868" s="102"/>
      <c r="Y868" s="102"/>
      <c r="Z868" s="103"/>
      <c r="AA868" s="103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</row>
    <row r="869" ht="21.0" customHeight="1">
      <c r="A869" s="79"/>
      <c r="B869" s="79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2"/>
      <c r="X869" s="102"/>
      <c r="Y869" s="102"/>
      <c r="Z869" s="103"/>
      <c r="AA869" s="103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</row>
    <row r="870" ht="21.0" customHeight="1">
      <c r="A870" s="79"/>
      <c r="B870" s="79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2"/>
      <c r="X870" s="102"/>
      <c r="Y870" s="102"/>
      <c r="Z870" s="103"/>
      <c r="AA870" s="103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</row>
    <row r="871" ht="21.0" customHeight="1">
      <c r="A871" s="79"/>
      <c r="B871" s="79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2"/>
      <c r="X871" s="102"/>
      <c r="Y871" s="102"/>
      <c r="Z871" s="103"/>
      <c r="AA871" s="103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</row>
    <row r="872" ht="21.0" customHeight="1">
      <c r="A872" s="79"/>
      <c r="B872" s="79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2"/>
      <c r="X872" s="102"/>
      <c r="Y872" s="102"/>
      <c r="Z872" s="103"/>
      <c r="AA872" s="103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</row>
    <row r="873" ht="21.0" customHeight="1">
      <c r="A873" s="79"/>
      <c r="B873" s="79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2"/>
      <c r="X873" s="102"/>
      <c r="Y873" s="102"/>
      <c r="Z873" s="103"/>
      <c r="AA873" s="103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</row>
    <row r="874" ht="21.0" customHeight="1">
      <c r="A874" s="79"/>
      <c r="B874" s="79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2"/>
      <c r="X874" s="102"/>
      <c r="Y874" s="102"/>
      <c r="Z874" s="103"/>
      <c r="AA874" s="103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</row>
    <row r="875" ht="21.0" customHeight="1">
      <c r="A875" s="79"/>
      <c r="B875" s="79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2"/>
      <c r="X875" s="102"/>
      <c r="Y875" s="102"/>
      <c r="Z875" s="103"/>
      <c r="AA875" s="103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</row>
    <row r="876" ht="21.0" customHeight="1">
      <c r="A876" s="79"/>
      <c r="B876" s="79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2"/>
      <c r="X876" s="102"/>
      <c r="Y876" s="102"/>
      <c r="Z876" s="103"/>
      <c r="AA876" s="103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</row>
    <row r="877" ht="21.0" customHeight="1">
      <c r="A877" s="79"/>
      <c r="B877" s="79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2"/>
      <c r="X877" s="102"/>
      <c r="Y877" s="102"/>
      <c r="Z877" s="103"/>
      <c r="AA877" s="103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</row>
    <row r="878" ht="21.0" customHeight="1">
      <c r="A878" s="79"/>
      <c r="B878" s="79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2"/>
      <c r="X878" s="102"/>
      <c r="Y878" s="102"/>
      <c r="Z878" s="103"/>
      <c r="AA878" s="103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</row>
    <row r="879" ht="21.0" customHeight="1">
      <c r="A879" s="79"/>
      <c r="B879" s="79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2"/>
      <c r="X879" s="102"/>
      <c r="Y879" s="102"/>
      <c r="Z879" s="103"/>
      <c r="AA879" s="103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</row>
    <row r="880" ht="21.0" customHeight="1">
      <c r="A880" s="79"/>
      <c r="B880" s="79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2"/>
      <c r="X880" s="102"/>
      <c r="Y880" s="102"/>
      <c r="Z880" s="103"/>
      <c r="AA880" s="103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</row>
    <row r="881" ht="21.0" customHeight="1">
      <c r="A881" s="79"/>
      <c r="B881" s="79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2"/>
      <c r="X881" s="102"/>
      <c r="Y881" s="102"/>
      <c r="Z881" s="103"/>
      <c r="AA881" s="103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</row>
    <row r="882" ht="21.0" customHeight="1">
      <c r="A882" s="79"/>
      <c r="B882" s="79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2"/>
      <c r="X882" s="102"/>
      <c r="Y882" s="102"/>
      <c r="Z882" s="103"/>
      <c r="AA882" s="103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</row>
    <row r="883" ht="21.0" customHeight="1">
      <c r="A883" s="79"/>
      <c r="B883" s="79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2"/>
      <c r="X883" s="102"/>
      <c r="Y883" s="102"/>
      <c r="Z883" s="103"/>
      <c r="AA883" s="103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</row>
    <row r="884" ht="21.0" customHeight="1">
      <c r="A884" s="79"/>
      <c r="B884" s="79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2"/>
      <c r="X884" s="102"/>
      <c r="Y884" s="102"/>
      <c r="Z884" s="103"/>
      <c r="AA884" s="103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</row>
    <row r="885" ht="21.0" customHeight="1">
      <c r="A885" s="79"/>
      <c r="B885" s="79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2"/>
      <c r="X885" s="102"/>
      <c r="Y885" s="102"/>
      <c r="Z885" s="103"/>
      <c r="AA885" s="103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</row>
    <row r="886" ht="21.0" customHeight="1">
      <c r="A886" s="79"/>
      <c r="B886" s="79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2"/>
      <c r="X886" s="102"/>
      <c r="Y886" s="102"/>
      <c r="Z886" s="103"/>
      <c r="AA886" s="103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</row>
    <row r="887" ht="21.0" customHeight="1">
      <c r="A887" s="79"/>
      <c r="B887" s="79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2"/>
      <c r="X887" s="102"/>
      <c r="Y887" s="102"/>
      <c r="Z887" s="103"/>
      <c r="AA887" s="103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</row>
    <row r="888" ht="21.0" customHeight="1">
      <c r="A888" s="79"/>
      <c r="B888" s="79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2"/>
      <c r="X888" s="102"/>
      <c r="Y888" s="102"/>
      <c r="Z888" s="103"/>
      <c r="AA888" s="103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</row>
    <row r="889" ht="21.0" customHeight="1">
      <c r="A889" s="79"/>
      <c r="B889" s="79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2"/>
      <c r="X889" s="102"/>
      <c r="Y889" s="102"/>
      <c r="Z889" s="103"/>
      <c r="AA889" s="103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</row>
    <row r="890" ht="21.0" customHeight="1">
      <c r="A890" s="79"/>
      <c r="B890" s="79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2"/>
      <c r="X890" s="102"/>
      <c r="Y890" s="102"/>
      <c r="Z890" s="103"/>
      <c r="AA890" s="103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</row>
    <row r="891" ht="21.0" customHeight="1">
      <c r="A891" s="79"/>
      <c r="B891" s="79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2"/>
      <c r="X891" s="102"/>
      <c r="Y891" s="102"/>
      <c r="Z891" s="103"/>
      <c r="AA891" s="103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</row>
    <row r="892" ht="21.0" customHeight="1">
      <c r="A892" s="79"/>
      <c r="B892" s="79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2"/>
      <c r="X892" s="102"/>
      <c r="Y892" s="102"/>
      <c r="Z892" s="103"/>
      <c r="AA892" s="103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</row>
    <row r="893" ht="21.0" customHeight="1">
      <c r="A893" s="79"/>
      <c r="B893" s="79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2"/>
      <c r="X893" s="102"/>
      <c r="Y893" s="102"/>
      <c r="Z893" s="103"/>
      <c r="AA893" s="103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</row>
    <row r="894" ht="21.0" customHeight="1">
      <c r="A894" s="79"/>
      <c r="B894" s="79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2"/>
      <c r="X894" s="102"/>
      <c r="Y894" s="102"/>
      <c r="Z894" s="103"/>
      <c r="AA894" s="103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</row>
    <row r="895" ht="21.0" customHeight="1">
      <c r="A895" s="79"/>
      <c r="B895" s="79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2"/>
      <c r="X895" s="102"/>
      <c r="Y895" s="102"/>
      <c r="Z895" s="103"/>
      <c r="AA895" s="103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</row>
    <row r="896" ht="21.0" customHeight="1">
      <c r="A896" s="79"/>
      <c r="B896" s="79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2"/>
      <c r="X896" s="102"/>
      <c r="Y896" s="102"/>
      <c r="Z896" s="103"/>
      <c r="AA896" s="103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</row>
    <row r="897" ht="21.0" customHeight="1">
      <c r="A897" s="79"/>
      <c r="B897" s="79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2"/>
      <c r="X897" s="102"/>
      <c r="Y897" s="102"/>
      <c r="Z897" s="103"/>
      <c r="AA897" s="103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</row>
    <row r="898" ht="21.0" customHeight="1">
      <c r="A898" s="79"/>
      <c r="B898" s="79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2"/>
      <c r="X898" s="102"/>
      <c r="Y898" s="102"/>
      <c r="Z898" s="103"/>
      <c r="AA898" s="103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</row>
    <row r="899" ht="21.0" customHeight="1">
      <c r="A899" s="79"/>
      <c r="B899" s="79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2"/>
      <c r="X899" s="102"/>
      <c r="Y899" s="102"/>
      <c r="Z899" s="103"/>
      <c r="AA899" s="103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</row>
    <row r="900" ht="21.0" customHeight="1">
      <c r="A900" s="79"/>
      <c r="B900" s="79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2"/>
      <c r="X900" s="102"/>
      <c r="Y900" s="102"/>
      <c r="Z900" s="103"/>
      <c r="AA900" s="103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</row>
    <row r="901" ht="21.0" customHeight="1">
      <c r="A901" s="79"/>
      <c r="B901" s="79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2"/>
      <c r="X901" s="102"/>
      <c r="Y901" s="102"/>
      <c r="Z901" s="103"/>
      <c r="AA901" s="103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</row>
    <row r="902" ht="21.0" customHeight="1">
      <c r="A902" s="79"/>
      <c r="B902" s="79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2"/>
      <c r="X902" s="102"/>
      <c r="Y902" s="102"/>
      <c r="Z902" s="103"/>
      <c r="AA902" s="103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</row>
    <row r="903" ht="21.0" customHeight="1">
      <c r="A903" s="79"/>
      <c r="B903" s="79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2"/>
      <c r="X903" s="102"/>
      <c r="Y903" s="102"/>
      <c r="Z903" s="103"/>
      <c r="AA903" s="103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</row>
    <row r="904" ht="21.0" customHeight="1">
      <c r="A904" s="79"/>
      <c r="B904" s="79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2"/>
      <c r="X904" s="102"/>
      <c r="Y904" s="102"/>
      <c r="Z904" s="103"/>
      <c r="AA904" s="103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</row>
    <row r="905" ht="21.0" customHeight="1">
      <c r="A905" s="79"/>
      <c r="B905" s="79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2"/>
      <c r="X905" s="102"/>
      <c r="Y905" s="102"/>
      <c r="Z905" s="103"/>
      <c r="AA905" s="103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</row>
    <row r="906" ht="21.0" customHeight="1">
      <c r="A906" s="79"/>
      <c r="B906" s="79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2"/>
      <c r="X906" s="102"/>
      <c r="Y906" s="102"/>
      <c r="Z906" s="103"/>
      <c r="AA906" s="103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</row>
    <row r="907" ht="21.0" customHeight="1">
      <c r="A907" s="79"/>
      <c r="B907" s="79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2"/>
      <c r="X907" s="102"/>
      <c r="Y907" s="102"/>
      <c r="Z907" s="103"/>
      <c r="AA907" s="103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</row>
    <row r="908" ht="21.0" customHeight="1">
      <c r="A908" s="79"/>
      <c r="B908" s="79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2"/>
      <c r="X908" s="102"/>
      <c r="Y908" s="102"/>
      <c r="Z908" s="103"/>
      <c r="AA908" s="103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</row>
    <row r="909" ht="21.0" customHeight="1">
      <c r="A909" s="79"/>
      <c r="B909" s="79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2"/>
      <c r="X909" s="102"/>
      <c r="Y909" s="102"/>
      <c r="Z909" s="103"/>
      <c r="AA909" s="103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</row>
    <row r="910" ht="21.0" customHeight="1">
      <c r="A910" s="79"/>
      <c r="B910" s="79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2"/>
      <c r="X910" s="102"/>
      <c r="Y910" s="102"/>
      <c r="Z910" s="103"/>
      <c r="AA910" s="103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</row>
    <row r="911" ht="21.0" customHeight="1">
      <c r="A911" s="79"/>
      <c r="B911" s="79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2"/>
      <c r="X911" s="102"/>
      <c r="Y911" s="102"/>
      <c r="Z911" s="103"/>
      <c r="AA911" s="103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</row>
    <row r="912" ht="21.0" customHeight="1">
      <c r="A912" s="79"/>
      <c r="B912" s="79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2"/>
      <c r="X912" s="102"/>
      <c r="Y912" s="102"/>
      <c r="Z912" s="103"/>
      <c r="AA912" s="103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</row>
    <row r="913" ht="21.0" customHeight="1">
      <c r="A913" s="79"/>
      <c r="B913" s="79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2"/>
      <c r="X913" s="102"/>
      <c r="Y913" s="102"/>
      <c r="Z913" s="103"/>
      <c r="AA913" s="103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</row>
    <row r="914" ht="21.0" customHeight="1">
      <c r="A914" s="79"/>
      <c r="B914" s="79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2"/>
      <c r="X914" s="102"/>
      <c r="Y914" s="102"/>
      <c r="Z914" s="103"/>
      <c r="AA914" s="103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</row>
    <row r="915" ht="21.0" customHeight="1">
      <c r="A915" s="79"/>
      <c r="B915" s="79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2"/>
      <c r="X915" s="102"/>
      <c r="Y915" s="102"/>
      <c r="Z915" s="103"/>
      <c r="AA915" s="103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</row>
    <row r="916" ht="21.0" customHeight="1">
      <c r="A916" s="79"/>
      <c r="B916" s="79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2"/>
      <c r="X916" s="102"/>
      <c r="Y916" s="102"/>
      <c r="Z916" s="103"/>
      <c r="AA916" s="103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</row>
    <row r="917" ht="21.0" customHeight="1">
      <c r="A917" s="79"/>
      <c r="B917" s="79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2"/>
      <c r="X917" s="102"/>
      <c r="Y917" s="102"/>
      <c r="Z917" s="103"/>
      <c r="AA917" s="103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</row>
    <row r="918" ht="21.0" customHeight="1">
      <c r="A918" s="79"/>
      <c r="B918" s="79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2"/>
      <c r="X918" s="102"/>
      <c r="Y918" s="102"/>
      <c r="Z918" s="103"/>
      <c r="AA918" s="103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</row>
    <row r="919" ht="21.0" customHeight="1">
      <c r="A919" s="79"/>
      <c r="B919" s="79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2"/>
      <c r="X919" s="102"/>
      <c r="Y919" s="102"/>
      <c r="Z919" s="103"/>
      <c r="AA919" s="103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</row>
    <row r="920" ht="21.0" customHeight="1">
      <c r="A920" s="79"/>
      <c r="B920" s="79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2"/>
      <c r="X920" s="102"/>
      <c r="Y920" s="102"/>
      <c r="Z920" s="103"/>
      <c r="AA920" s="103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</row>
    <row r="921" ht="21.0" customHeight="1">
      <c r="A921" s="79"/>
      <c r="B921" s="79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2"/>
      <c r="X921" s="102"/>
      <c r="Y921" s="102"/>
      <c r="Z921" s="103"/>
      <c r="AA921" s="103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</row>
    <row r="922" ht="21.0" customHeight="1">
      <c r="A922" s="79"/>
      <c r="B922" s="79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2"/>
      <c r="X922" s="102"/>
      <c r="Y922" s="102"/>
      <c r="Z922" s="103"/>
      <c r="AA922" s="103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</row>
    <row r="923" ht="21.0" customHeight="1">
      <c r="A923" s="79"/>
      <c r="B923" s="79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2"/>
      <c r="X923" s="102"/>
      <c r="Y923" s="102"/>
      <c r="Z923" s="103"/>
      <c r="AA923" s="103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</row>
    <row r="924" ht="21.0" customHeight="1">
      <c r="A924" s="79"/>
      <c r="B924" s="79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2"/>
      <c r="X924" s="102"/>
      <c r="Y924" s="102"/>
      <c r="Z924" s="103"/>
      <c r="AA924" s="103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</row>
    <row r="925" ht="21.0" customHeight="1">
      <c r="A925" s="79"/>
      <c r="B925" s="79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2"/>
      <c r="X925" s="102"/>
      <c r="Y925" s="102"/>
      <c r="Z925" s="103"/>
      <c r="AA925" s="103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</row>
    <row r="926" ht="21.0" customHeight="1">
      <c r="A926" s="79"/>
      <c r="B926" s="79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2"/>
      <c r="X926" s="102"/>
      <c r="Y926" s="102"/>
      <c r="Z926" s="103"/>
      <c r="AA926" s="103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</row>
    <row r="927" ht="21.0" customHeight="1">
      <c r="A927" s="79"/>
      <c r="B927" s="79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2"/>
      <c r="X927" s="102"/>
      <c r="Y927" s="102"/>
      <c r="Z927" s="103"/>
      <c r="AA927" s="103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</row>
    <row r="928" ht="21.0" customHeight="1">
      <c r="A928" s="79"/>
      <c r="B928" s="79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2"/>
      <c r="X928" s="102"/>
      <c r="Y928" s="102"/>
      <c r="Z928" s="103"/>
      <c r="AA928" s="103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</row>
    <row r="929" ht="21.0" customHeight="1">
      <c r="A929" s="79"/>
      <c r="B929" s="79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2"/>
      <c r="X929" s="102"/>
      <c r="Y929" s="102"/>
      <c r="Z929" s="103"/>
      <c r="AA929" s="103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</row>
    <row r="930" ht="21.0" customHeight="1">
      <c r="A930" s="79"/>
      <c r="B930" s="79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2"/>
      <c r="X930" s="102"/>
      <c r="Y930" s="102"/>
      <c r="Z930" s="103"/>
      <c r="AA930" s="103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</row>
    <row r="931" ht="21.0" customHeight="1">
      <c r="A931" s="79"/>
      <c r="B931" s="79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2"/>
      <c r="X931" s="102"/>
      <c r="Y931" s="102"/>
      <c r="Z931" s="103"/>
      <c r="AA931" s="103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</row>
    <row r="932" ht="21.0" customHeight="1">
      <c r="A932" s="79"/>
      <c r="B932" s="79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2"/>
      <c r="X932" s="102"/>
      <c r="Y932" s="102"/>
      <c r="Z932" s="103"/>
      <c r="AA932" s="103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</row>
    <row r="933" ht="21.0" customHeight="1">
      <c r="A933" s="79"/>
      <c r="B933" s="79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2"/>
      <c r="X933" s="102"/>
      <c r="Y933" s="102"/>
      <c r="Z933" s="103"/>
      <c r="AA933" s="103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</row>
    <row r="934" ht="21.0" customHeight="1">
      <c r="A934" s="79"/>
      <c r="B934" s="79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2"/>
      <c r="X934" s="102"/>
      <c r="Y934" s="102"/>
      <c r="Z934" s="103"/>
      <c r="AA934" s="103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</row>
    <row r="935" ht="21.0" customHeight="1">
      <c r="A935" s="79"/>
      <c r="B935" s="79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2"/>
      <c r="X935" s="102"/>
      <c r="Y935" s="102"/>
      <c r="Z935" s="103"/>
      <c r="AA935" s="103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</row>
    <row r="936" ht="21.0" customHeight="1">
      <c r="A936" s="79"/>
      <c r="B936" s="79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2"/>
      <c r="X936" s="102"/>
      <c r="Y936" s="102"/>
      <c r="Z936" s="103"/>
      <c r="AA936" s="103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</row>
    <row r="937" ht="21.0" customHeight="1">
      <c r="A937" s="79"/>
      <c r="B937" s="79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2"/>
      <c r="X937" s="102"/>
      <c r="Y937" s="102"/>
      <c r="Z937" s="103"/>
      <c r="AA937" s="103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</row>
    <row r="938" ht="21.0" customHeight="1">
      <c r="A938" s="79"/>
      <c r="B938" s="79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2"/>
      <c r="X938" s="102"/>
      <c r="Y938" s="102"/>
      <c r="Z938" s="103"/>
      <c r="AA938" s="103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</row>
    <row r="939" ht="21.0" customHeight="1">
      <c r="A939" s="79"/>
      <c r="B939" s="79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2"/>
      <c r="X939" s="102"/>
      <c r="Y939" s="102"/>
      <c r="Z939" s="103"/>
      <c r="AA939" s="103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</row>
    <row r="940" ht="21.0" customHeight="1">
      <c r="A940" s="79"/>
      <c r="B940" s="79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2"/>
      <c r="X940" s="102"/>
      <c r="Y940" s="102"/>
      <c r="Z940" s="103"/>
      <c r="AA940" s="103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</row>
    <row r="941" ht="21.0" customHeight="1">
      <c r="A941" s="79"/>
      <c r="B941" s="79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2"/>
      <c r="X941" s="102"/>
      <c r="Y941" s="102"/>
      <c r="Z941" s="103"/>
      <c r="AA941" s="103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</row>
    <row r="942" ht="21.0" customHeight="1">
      <c r="A942" s="79"/>
      <c r="B942" s="79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2"/>
      <c r="X942" s="102"/>
      <c r="Y942" s="102"/>
      <c r="Z942" s="103"/>
      <c r="AA942" s="103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</row>
    <row r="943" ht="21.0" customHeight="1">
      <c r="A943" s="79"/>
      <c r="B943" s="79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2"/>
      <c r="X943" s="102"/>
      <c r="Y943" s="102"/>
      <c r="Z943" s="103"/>
      <c r="AA943" s="103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</row>
    <row r="944" ht="21.0" customHeight="1">
      <c r="A944" s="79"/>
      <c r="B944" s="79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2"/>
      <c r="X944" s="102"/>
      <c r="Y944" s="102"/>
      <c r="Z944" s="103"/>
      <c r="AA944" s="103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</row>
    <row r="945" ht="21.0" customHeight="1">
      <c r="A945" s="79"/>
      <c r="B945" s="79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2"/>
      <c r="X945" s="102"/>
      <c r="Y945" s="102"/>
      <c r="Z945" s="103"/>
      <c r="AA945" s="103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</row>
    <row r="946" ht="21.0" customHeight="1">
      <c r="A946" s="79"/>
      <c r="B946" s="79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2"/>
      <c r="X946" s="102"/>
      <c r="Y946" s="102"/>
      <c r="Z946" s="103"/>
      <c r="AA946" s="103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</row>
    <row r="947" ht="21.0" customHeight="1">
      <c r="A947" s="79"/>
      <c r="B947" s="79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2"/>
      <c r="X947" s="102"/>
      <c r="Y947" s="102"/>
      <c r="Z947" s="103"/>
      <c r="AA947" s="103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</row>
    <row r="948" ht="21.0" customHeight="1">
      <c r="A948" s="79"/>
      <c r="B948" s="79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2"/>
      <c r="X948" s="102"/>
      <c r="Y948" s="102"/>
      <c r="Z948" s="103"/>
      <c r="AA948" s="103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</row>
    <row r="949" ht="21.0" customHeight="1">
      <c r="A949" s="79"/>
      <c r="B949" s="79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2"/>
      <c r="X949" s="102"/>
      <c r="Y949" s="102"/>
      <c r="Z949" s="103"/>
      <c r="AA949" s="103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</row>
    <row r="950" ht="21.0" customHeight="1">
      <c r="A950" s="79"/>
      <c r="B950" s="79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2"/>
      <c r="X950" s="102"/>
      <c r="Y950" s="102"/>
      <c r="Z950" s="103"/>
      <c r="AA950" s="103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</row>
    <row r="951" ht="21.0" customHeight="1">
      <c r="A951" s="79"/>
      <c r="B951" s="79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2"/>
      <c r="X951" s="102"/>
      <c r="Y951" s="102"/>
      <c r="Z951" s="103"/>
      <c r="AA951" s="103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</row>
    <row r="952" ht="21.0" customHeight="1">
      <c r="A952" s="79"/>
      <c r="B952" s="79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2"/>
      <c r="X952" s="102"/>
      <c r="Y952" s="102"/>
      <c r="Z952" s="103"/>
      <c r="AA952" s="103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</row>
    <row r="953" ht="21.0" customHeight="1">
      <c r="A953" s="79"/>
      <c r="B953" s="79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2"/>
      <c r="X953" s="102"/>
      <c r="Y953" s="102"/>
      <c r="Z953" s="103"/>
      <c r="AA953" s="103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</row>
    <row r="954" ht="21.0" customHeight="1">
      <c r="A954" s="79"/>
      <c r="B954" s="79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2"/>
      <c r="X954" s="102"/>
      <c r="Y954" s="102"/>
      <c r="Z954" s="103"/>
      <c r="AA954" s="103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</row>
    <row r="955" ht="21.0" customHeight="1">
      <c r="A955" s="79"/>
      <c r="B955" s="79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2"/>
      <c r="X955" s="102"/>
      <c r="Y955" s="102"/>
      <c r="Z955" s="103"/>
      <c r="AA955" s="103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</row>
    <row r="956" ht="21.0" customHeight="1">
      <c r="A956" s="79"/>
      <c r="B956" s="79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2"/>
      <c r="X956" s="102"/>
      <c r="Y956" s="102"/>
      <c r="Z956" s="103"/>
      <c r="AA956" s="103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</row>
    <row r="957" ht="21.0" customHeight="1">
      <c r="A957" s="79"/>
      <c r="B957" s="79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2"/>
      <c r="X957" s="102"/>
      <c r="Y957" s="102"/>
      <c r="Z957" s="103"/>
      <c r="AA957" s="103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</row>
    <row r="958" ht="21.0" customHeight="1">
      <c r="A958" s="79"/>
      <c r="B958" s="79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2"/>
      <c r="X958" s="102"/>
      <c r="Y958" s="102"/>
      <c r="Z958" s="103"/>
      <c r="AA958" s="103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</row>
    <row r="959" ht="21.0" customHeight="1">
      <c r="A959" s="79"/>
      <c r="B959" s="79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2"/>
      <c r="X959" s="102"/>
      <c r="Y959" s="102"/>
      <c r="Z959" s="103"/>
      <c r="AA959" s="103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</row>
    <row r="960" ht="21.0" customHeight="1">
      <c r="A960" s="79"/>
      <c r="B960" s="79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2"/>
      <c r="X960" s="102"/>
      <c r="Y960" s="102"/>
      <c r="Z960" s="103"/>
      <c r="AA960" s="103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</row>
    <row r="961" ht="21.0" customHeight="1">
      <c r="A961" s="79"/>
      <c r="B961" s="79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2"/>
      <c r="X961" s="102"/>
      <c r="Y961" s="102"/>
      <c r="Z961" s="103"/>
      <c r="AA961" s="103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</row>
    <row r="962" ht="21.0" customHeight="1">
      <c r="A962" s="79"/>
      <c r="B962" s="79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2"/>
      <c r="X962" s="102"/>
      <c r="Y962" s="102"/>
      <c r="Z962" s="103"/>
      <c r="AA962" s="103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</row>
    <row r="963" ht="21.0" customHeight="1">
      <c r="A963" s="79"/>
      <c r="B963" s="79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2"/>
      <c r="X963" s="102"/>
      <c r="Y963" s="102"/>
      <c r="Z963" s="103"/>
      <c r="AA963" s="103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</row>
    <row r="964" ht="21.0" customHeight="1">
      <c r="A964" s="79"/>
      <c r="B964" s="79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2"/>
      <c r="X964" s="102"/>
      <c r="Y964" s="102"/>
      <c r="Z964" s="103"/>
      <c r="AA964" s="103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</row>
    <row r="965" ht="21.0" customHeight="1">
      <c r="A965" s="79"/>
      <c r="B965" s="79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2"/>
      <c r="X965" s="102"/>
      <c r="Y965" s="102"/>
      <c r="Z965" s="103"/>
      <c r="AA965" s="103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</row>
    <row r="966" ht="21.0" customHeight="1">
      <c r="A966" s="79"/>
      <c r="B966" s="79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2"/>
      <c r="X966" s="102"/>
      <c r="Y966" s="102"/>
      <c r="Z966" s="103"/>
      <c r="AA966" s="103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</row>
    <row r="967" ht="21.0" customHeight="1">
      <c r="A967" s="79"/>
      <c r="B967" s="79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2"/>
      <c r="X967" s="102"/>
      <c r="Y967" s="102"/>
      <c r="Z967" s="103"/>
      <c r="AA967" s="103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</row>
    <row r="968" ht="21.0" customHeight="1">
      <c r="A968" s="79"/>
      <c r="B968" s="79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2"/>
      <c r="X968" s="102"/>
      <c r="Y968" s="102"/>
      <c r="Z968" s="103"/>
      <c r="AA968" s="103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</row>
    <row r="969" ht="21.0" customHeight="1">
      <c r="A969" s="79"/>
      <c r="B969" s="79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2"/>
      <c r="X969" s="102"/>
      <c r="Y969" s="102"/>
      <c r="Z969" s="103"/>
      <c r="AA969" s="103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</row>
    <row r="970" ht="21.0" customHeight="1">
      <c r="A970" s="79"/>
      <c r="B970" s="79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2"/>
      <c r="X970" s="102"/>
      <c r="Y970" s="102"/>
      <c r="Z970" s="103"/>
      <c r="AA970" s="103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</row>
    <row r="971" ht="21.0" customHeight="1">
      <c r="A971" s="79"/>
      <c r="B971" s="79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2"/>
      <c r="X971" s="102"/>
      <c r="Y971" s="102"/>
      <c r="Z971" s="103"/>
      <c r="AA971" s="103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</row>
    <row r="972" ht="21.0" customHeight="1">
      <c r="A972" s="79"/>
      <c r="B972" s="79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2"/>
      <c r="X972" s="102"/>
      <c r="Y972" s="102"/>
      <c r="Z972" s="103"/>
      <c r="AA972" s="103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</row>
    <row r="973" ht="21.0" customHeight="1">
      <c r="A973" s="79"/>
      <c r="B973" s="79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2"/>
      <c r="X973" s="102"/>
      <c r="Y973" s="102"/>
      <c r="Z973" s="103"/>
      <c r="AA973" s="103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</row>
    <row r="974" ht="21.0" customHeight="1">
      <c r="A974" s="79"/>
      <c r="B974" s="79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2"/>
      <c r="X974" s="102"/>
      <c r="Y974" s="102"/>
      <c r="Z974" s="103"/>
      <c r="AA974" s="103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</row>
    <row r="975" ht="21.0" customHeight="1">
      <c r="A975" s="79"/>
      <c r="B975" s="79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2"/>
      <c r="X975" s="102"/>
      <c r="Y975" s="102"/>
      <c r="Z975" s="103"/>
      <c r="AA975" s="103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</row>
    <row r="976" ht="21.0" customHeight="1">
      <c r="A976" s="79"/>
      <c r="B976" s="79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2"/>
      <c r="X976" s="102"/>
      <c r="Y976" s="102"/>
      <c r="Z976" s="103"/>
      <c r="AA976" s="103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</row>
    <row r="977" ht="21.0" customHeight="1">
      <c r="A977" s="79"/>
      <c r="B977" s="79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2"/>
      <c r="X977" s="102"/>
      <c r="Y977" s="102"/>
      <c r="Z977" s="103"/>
      <c r="AA977" s="103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</row>
    <row r="978" ht="21.0" customHeight="1">
      <c r="A978" s="79"/>
      <c r="B978" s="79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2"/>
      <c r="X978" s="102"/>
      <c r="Y978" s="102"/>
      <c r="Z978" s="103"/>
      <c r="AA978" s="103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</row>
    <row r="979" ht="21.0" customHeight="1">
      <c r="A979" s="79"/>
      <c r="B979" s="79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2"/>
      <c r="X979" s="102"/>
      <c r="Y979" s="102"/>
      <c r="Z979" s="103"/>
      <c r="AA979" s="103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</row>
    <row r="980" ht="21.0" customHeight="1">
      <c r="A980" s="79"/>
      <c r="B980" s="79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2"/>
      <c r="X980" s="102"/>
      <c r="Y980" s="102"/>
      <c r="Z980" s="103"/>
      <c r="AA980" s="103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</row>
    <row r="981" ht="21.0" customHeight="1">
      <c r="A981" s="79"/>
      <c r="B981" s="79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2"/>
      <c r="X981" s="102"/>
      <c r="Y981" s="102"/>
      <c r="Z981" s="103"/>
      <c r="AA981" s="103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</row>
    <row r="982" ht="21.0" customHeight="1">
      <c r="A982" s="79"/>
      <c r="B982" s="79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2"/>
      <c r="X982" s="102"/>
      <c r="Y982" s="102"/>
      <c r="Z982" s="103"/>
      <c r="AA982" s="103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</row>
    <row r="983" ht="21.0" customHeight="1">
      <c r="A983" s="79"/>
      <c r="B983" s="79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2"/>
      <c r="X983" s="102"/>
      <c r="Y983" s="102"/>
      <c r="Z983" s="103"/>
      <c r="AA983" s="103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</row>
    <row r="984" ht="21.0" customHeight="1">
      <c r="A984" s="79"/>
      <c r="B984" s="79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2"/>
      <c r="X984" s="102"/>
      <c r="Y984" s="102"/>
      <c r="Z984" s="103"/>
      <c r="AA984" s="103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</row>
    <row r="985" ht="21.0" customHeight="1">
      <c r="A985" s="79"/>
      <c r="B985" s="79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2"/>
      <c r="X985" s="102"/>
      <c r="Y985" s="102"/>
      <c r="Z985" s="103"/>
      <c r="AA985" s="103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</row>
    <row r="986" ht="21.0" customHeight="1">
      <c r="A986" s="79"/>
      <c r="B986" s="79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2"/>
      <c r="X986" s="102"/>
      <c r="Y986" s="102"/>
      <c r="Z986" s="103"/>
      <c r="AA986" s="103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</row>
    <row r="987" ht="21.0" customHeight="1">
      <c r="A987" s="79"/>
      <c r="B987" s="79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2"/>
      <c r="X987" s="102"/>
      <c r="Y987" s="102"/>
      <c r="Z987" s="103"/>
      <c r="AA987" s="103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</row>
    <row r="988" ht="21.0" customHeight="1">
      <c r="A988" s="79"/>
      <c r="B988" s="79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2"/>
      <c r="X988" s="102"/>
      <c r="Y988" s="102"/>
      <c r="Z988" s="103"/>
      <c r="AA988" s="103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</row>
    <row r="989" ht="21.0" customHeight="1">
      <c r="A989" s="79"/>
      <c r="B989" s="79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2"/>
      <c r="X989" s="102"/>
      <c r="Y989" s="102"/>
      <c r="Z989" s="103"/>
      <c r="AA989" s="103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</row>
    <row r="990" ht="21.0" customHeight="1">
      <c r="A990" s="79"/>
      <c r="B990" s="79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2"/>
      <c r="X990" s="102"/>
      <c r="Y990" s="102"/>
      <c r="Z990" s="103"/>
      <c r="AA990" s="103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</row>
    <row r="991" ht="21.0" customHeight="1">
      <c r="A991" s="79"/>
      <c r="B991" s="79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2"/>
      <c r="X991" s="102"/>
      <c r="Y991" s="102"/>
      <c r="Z991" s="103"/>
      <c r="AA991" s="103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</row>
    <row r="992" ht="21.0" customHeight="1">
      <c r="A992" s="79"/>
      <c r="B992" s="79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2"/>
      <c r="X992" s="102"/>
      <c r="Y992" s="102"/>
      <c r="Z992" s="103"/>
      <c r="AA992" s="103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</row>
    <row r="993" ht="21.0" customHeight="1">
      <c r="A993" s="79"/>
      <c r="B993" s="79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2"/>
      <c r="X993" s="102"/>
      <c r="Y993" s="102"/>
      <c r="Z993" s="103"/>
      <c r="AA993" s="103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</row>
    <row r="994" ht="21.0" customHeight="1">
      <c r="A994" s="79"/>
      <c r="B994" s="79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2"/>
      <c r="X994" s="102"/>
      <c r="Y994" s="102"/>
      <c r="Z994" s="103"/>
      <c r="AA994" s="103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</row>
    <row r="995" ht="21.0" customHeight="1">
      <c r="A995" s="79"/>
      <c r="B995" s="79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2"/>
      <c r="X995" s="102"/>
      <c r="Y995" s="102"/>
      <c r="Z995" s="103"/>
      <c r="AA995" s="103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</row>
    <row r="996" ht="21.0" customHeight="1">
      <c r="A996" s="79"/>
      <c r="B996" s="79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2"/>
      <c r="X996" s="102"/>
      <c r="Y996" s="102"/>
      <c r="Z996" s="103"/>
      <c r="AA996" s="103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</row>
    <row r="997" ht="21.0" customHeight="1">
      <c r="A997" s="79"/>
      <c r="B997" s="79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2"/>
      <c r="X997" s="102"/>
      <c r="Y997" s="102"/>
      <c r="Z997" s="103"/>
      <c r="AA997" s="103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</row>
    <row r="998" ht="21.0" customHeight="1">
      <c r="A998" s="79"/>
      <c r="B998" s="79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2"/>
      <c r="X998" s="102"/>
      <c r="Y998" s="102"/>
      <c r="Z998" s="103"/>
      <c r="AA998" s="103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</row>
    <row r="999" ht="21.0" customHeight="1">
      <c r="A999" s="79"/>
      <c r="B999" s="79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2"/>
      <c r="X999" s="102"/>
      <c r="Y999" s="102"/>
      <c r="Z999" s="103"/>
      <c r="AA999" s="103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</row>
    <row r="1000" ht="21.0" customHeight="1">
      <c r="A1000" s="79"/>
      <c r="B1000" s="79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2"/>
      <c r="X1000" s="102"/>
      <c r="Y1000" s="102"/>
      <c r="Z1000" s="103"/>
      <c r="AA1000" s="103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</row>
  </sheetData>
  <autoFilter ref="$A$3:$AA$50"/>
  <mergeCells count="6">
    <mergeCell ref="A1:Y1"/>
    <mergeCell ref="A2:I2"/>
    <mergeCell ref="J2:K2"/>
    <mergeCell ref="M2:V2"/>
    <mergeCell ref="W2:Y2"/>
    <mergeCell ref="Z2:AA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5" width="20.5"/>
    <col customWidth="1" min="6" max="6" width="23.63"/>
    <col customWidth="1" min="7" max="7" width="24.25"/>
    <col customWidth="1" min="8" max="8" width="20.88"/>
    <col customWidth="1" min="9" max="10" width="17.38"/>
    <col customWidth="1" min="11" max="12" width="17.5"/>
    <col customWidth="1" min="13" max="13" width="13.63"/>
    <col customWidth="1" min="14" max="15" width="18.38"/>
    <col customWidth="1" min="16" max="16" width="14.5"/>
    <col customWidth="1" min="17" max="17" width="21.38"/>
    <col customWidth="1" min="18" max="18" width="21.5"/>
    <col customWidth="1" min="19" max="19" width="17.63"/>
    <col customWidth="1" min="20" max="20" width="16.75"/>
    <col customWidth="1" min="21" max="21" width="15.38"/>
    <col customWidth="1" min="22" max="23" width="9.13"/>
    <col customWidth="1" min="24" max="32" width="8.63"/>
  </cols>
  <sheetData>
    <row r="1" ht="36.0" customHeight="1">
      <c r="A1" s="78" t="s">
        <v>212</v>
      </c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</row>
    <row r="2" ht="34.5" customHeight="1">
      <c r="A2" s="80" t="s">
        <v>194</v>
      </c>
      <c r="B2" s="81"/>
      <c r="C2" s="81"/>
      <c r="D2" s="81"/>
      <c r="E2" s="80"/>
      <c r="F2" s="80"/>
      <c r="G2" s="144" t="s">
        <v>195</v>
      </c>
      <c r="H2" s="84"/>
      <c r="I2" s="145" t="s">
        <v>196</v>
      </c>
      <c r="J2" s="82" t="s">
        <v>197</v>
      </c>
      <c r="K2" s="83"/>
      <c r="L2" s="83"/>
      <c r="M2" s="83"/>
      <c r="N2" s="83"/>
      <c r="O2" s="83"/>
      <c r="P2" s="83"/>
      <c r="Q2" s="83"/>
      <c r="R2" s="84"/>
      <c r="S2" s="85" t="s">
        <v>135</v>
      </c>
      <c r="T2" s="83"/>
      <c r="U2" s="84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</row>
    <row r="3" ht="21.0" customHeight="1">
      <c r="A3" s="88" t="s">
        <v>81</v>
      </c>
      <c r="B3" s="88" t="s">
        <v>64</v>
      </c>
      <c r="C3" s="89" t="s">
        <v>5</v>
      </c>
      <c r="D3" s="89" t="s">
        <v>82</v>
      </c>
      <c r="E3" s="89" t="s">
        <v>12</v>
      </c>
      <c r="F3" s="89" t="s">
        <v>213</v>
      </c>
      <c r="G3" s="122" t="s">
        <v>203</v>
      </c>
      <c r="H3" s="122" t="s">
        <v>204</v>
      </c>
      <c r="I3" s="146" t="s">
        <v>205</v>
      </c>
      <c r="J3" s="90" t="s">
        <v>206</v>
      </c>
      <c r="K3" s="90" t="s">
        <v>207</v>
      </c>
      <c r="L3" s="90" t="s">
        <v>208</v>
      </c>
      <c r="M3" s="90" t="s">
        <v>138</v>
      </c>
      <c r="N3" s="90" t="s">
        <v>214</v>
      </c>
      <c r="O3" s="90" t="s">
        <v>215</v>
      </c>
      <c r="P3" s="90" t="s">
        <v>69</v>
      </c>
      <c r="Q3" s="90" t="s">
        <v>70</v>
      </c>
      <c r="R3" s="90" t="s">
        <v>71</v>
      </c>
      <c r="S3" s="91" t="s">
        <v>140</v>
      </c>
      <c r="T3" s="91" t="s">
        <v>141</v>
      </c>
      <c r="U3" s="91" t="s">
        <v>143</v>
      </c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 ht="21.0" customHeight="1">
      <c r="A4" s="94">
        <v>6.496634E7</v>
      </c>
      <c r="B4" s="94" t="s">
        <v>88</v>
      </c>
      <c r="C4" s="95">
        <v>1.08820237E8</v>
      </c>
      <c r="D4" s="95">
        <v>6.891570985E9</v>
      </c>
      <c r="E4" s="95">
        <v>5766510.0</v>
      </c>
      <c r="F4" s="95">
        <v>1.733472E7</v>
      </c>
      <c r="G4" s="147">
        <v>6.192070661400057E8</v>
      </c>
      <c r="H4" s="147">
        <v>2.7734079016736907E8</v>
      </c>
      <c r="I4" s="148">
        <v>8.887501920815704E8</v>
      </c>
      <c r="J4" s="149">
        <v>180.0</v>
      </c>
      <c r="K4" s="149">
        <v>3295383.0</v>
      </c>
      <c r="L4" s="149">
        <v>2.0795275E7</v>
      </c>
      <c r="M4" s="96">
        <v>2.4090658E7</v>
      </c>
      <c r="N4" s="96">
        <v>0.0</v>
      </c>
      <c r="O4" s="96">
        <v>860472.0</v>
      </c>
      <c r="P4" s="96">
        <v>860472.0</v>
      </c>
      <c r="Q4" s="96">
        <v>-1.1051413E7</v>
      </c>
      <c r="R4" s="96">
        <v>4.48859366E8</v>
      </c>
      <c r="S4" s="97">
        <v>0.7248938045847667</v>
      </c>
      <c r="T4" s="97">
        <v>0.6205160081073715</v>
      </c>
      <c r="U4" s="97">
        <v>0.5050455909873978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</row>
    <row r="5" ht="21.0" customHeight="1">
      <c r="A5" s="94">
        <v>7.5481347E7</v>
      </c>
      <c r="B5" s="94" t="s">
        <v>55</v>
      </c>
      <c r="C5" s="95">
        <v>1.13430031E8</v>
      </c>
      <c r="D5" s="95">
        <v>1.4127191741E10</v>
      </c>
      <c r="E5" s="95">
        <v>8358895.0</v>
      </c>
      <c r="F5" s="95">
        <v>2.0197552E7</v>
      </c>
      <c r="G5" s="147">
        <v>5.974473289798528E8</v>
      </c>
      <c r="H5" s="147">
        <v>2.6952066418450874E8</v>
      </c>
      <c r="I5" s="148">
        <v>8.599981135136765E8</v>
      </c>
      <c r="J5" s="149">
        <v>69060.0</v>
      </c>
      <c r="K5" s="149">
        <v>3793020.0</v>
      </c>
      <c r="L5" s="149">
        <v>2.5763024E7</v>
      </c>
      <c r="M5" s="96">
        <v>2.9556044E7</v>
      </c>
      <c r="N5" s="96">
        <v>0.0</v>
      </c>
      <c r="O5" s="96">
        <v>456862.0</v>
      </c>
      <c r="P5" s="96">
        <v>456862.0</v>
      </c>
      <c r="Q5" s="96">
        <v>-4535112.0</v>
      </c>
      <c r="R5" s="96">
        <v>5.53260246E8</v>
      </c>
      <c r="S5" s="97">
        <v>0.9260402033174997</v>
      </c>
      <c r="T5" s="97">
        <v>0.3390181612844653</v>
      </c>
      <c r="U5" s="97">
        <v>0.6433272786373403</v>
      </c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ht="21.0" customHeight="1">
      <c r="A6" s="94">
        <v>1.68455139E8</v>
      </c>
      <c r="B6" s="94" t="s">
        <v>89</v>
      </c>
      <c r="C6" s="95">
        <v>1.03254871E8</v>
      </c>
      <c r="D6" s="95">
        <v>4.268273902E9</v>
      </c>
      <c r="E6" s="95">
        <v>6584634.0</v>
      </c>
      <c r="F6" s="95">
        <v>9880049.0</v>
      </c>
      <c r="G6" s="147">
        <v>5.510641452631804E8</v>
      </c>
      <c r="H6" s="147">
        <v>2.5261626788874376E8</v>
      </c>
      <c r="I6" s="148">
        <v>7.984716867951767E8</v>
      </c>
      <c r="J6" s="149">
        <v>14800.0</v>
      </c>
      <c r="K6" s="149">
        <v>2668137.0</v>
      </c>
      <c r="L6" s="149">
        <v>2.1283182E7</v>
      </c>
      <c r="M6" s="96">
        <v>2.3951319E7</v>
      </c>
      <c r="N6" s="96">
        <v>0.0</v>
      </c>
      <c r="O6" s="96">
        <v>829453.0</v>
      </c>
      <c r="P6" s="96">
        <v>829453.0</v>
      </c>
      <c r="Q6" s="96">
        <v>-1.05218E7</v>
      </c>
      <c r="R6" s="96">
        <v>4.52389232E8</v>
      </c>
      <c r="S6" s="97">
        <v>0.8209375185967603</v>
      </c>
      <c r="T6" s="97">
        <v>0.6566900912060852</v>
      </c>
      <c r="U6" s="97">
        <v>0.5665689084302453</v>
      </c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</row>
    <row r="7" ht="21.0" customHeight="1">
      <c r="A7" s="94">
        <v>2463403.0</v>
      </c>
      <c r="B7" s="94" t="s">
        <v>90</v>
      </c>
      <c r="C7" s="95">
        <v>8.3695611E7</v>
      </c>
      <c r="D7" s="95">
        <v>9.932282612E9</v>
      </c>
      <c r="E7" s="95">
        <v>5879358.0</v>
      </c>
      <c r="F7" s="95">
        <v>1.7521543E7</v>
      </c>
      <c r="G7" s="147">
        <v>3.5499018447162634E8</v>
      </c>
      <c r="H7" s="147">
        <v>1.7649281732316664E8</v>
      </c>
      <c r="I7" s="148">
        <v>5.336524959861897E8</v>
      </c>
      <c r="J7" s="149">
        <v>10531.0</v>
      </c>
      <c r="K7" s="149">
        <v>2423717.0</v>
      </c>
      <c r="L7" s="149">
        <v>2.0411891E7</v>
      </c>
      <c r="M7" s="96">
        <v>2.2835608E7</v>
      </c>
      <c r="N7" s="96">
        <v>0.0</v>
      </c>
      <c r="O7" s="96">
        <v>944844.0</v>
      </c>
      <c r="P7" s="96">
        <v>944844.0</v>
      </c>
      <c r="Q7" s="96">
        <v>-9902980.0</v>
      </c>
      <c r="R7" s="96">
        <v>4.32531282E8</v>
      </c>
      <c r="S7" s="97">
        <v>1.2184316663396966</v>
      </c>
      <c r="T7" s="97">
        <v>1.0706883309250441</v>
      </c>
      <c r="U7" s="97">
        <v>0.8105111196016843</v>
      </c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</row>
    <row r="8" ht="21.0" customHeight="1">
      <c r="A8" s="94">
        <v>6.7071592E7</v>
      </c>
      <c r="B8" s="94" t="s">
        <v>91</v>
      </c>
      <c r="C8" s="95">
        <v>8.9292909E7</v>
      </c>
      <c r="D8" s="95">
        <v>1.2176841628E10</v>
      </c>
      <c r="E8" s="95">
        <v>4291367.0</v>
      </c>
      <c r="F8" s="95">
        <v>1.6695295E7</v>
      </c>
      <c r="G8" s="147">
        <v>3.29870958304223E8</v>
      </c>
      <c r="H8" s="147">
        <v>1.6599433370356545E8</v>
      </c>
      <c r="I8" s="148">
        <v>4.989693552592312E8</v>
      </c>
      <c r="J8" s="149">
        <v>24.0</v>
      </c>
      <c r="K8" s="149">
        <v>2458179.0</v>
      </c>
      <c r="L8" s="149">
        <v>1.5261457E7</v>
      </c>
      <c r="M8" s="96">
        <v>1.7719636E7</v>
      </c>
      <c r="N8" s="96">
        <v>2511.0</v>
      </c>
      <c r="O8" s="96">
        <v>107685.0</v>
      </c>
      <c r="P8" s="96">
        <v>110196.0</v>
      </c>
      <c r="Q8" s="96">
        <v>-1325092.0</v>
      </c>
      <c r="R8" s="96">
        <v>3.29824706E8</v>
      </c>
      <c r="S8" s="97">
        <v>0.9998597866739747</v>
      </c>
      <c r="T8" s="97">
        <v>0.13125809486310197</v>
      </c>
      <c r="U8" s="97">
        <v>0.6610119489775982</v>
      </c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</row>
    <row r="9" ht="21.0" customHeight="1">
      <c r="A9" s="94">
        <v>6.2576249E7</v>
      </c>
      <c r="B9" s="94" t="s">
        <v>92</v>
      </c>
      <c r="C9" s="95">
        <v>8.352751E7</v>
      </c>
      <c r="D9" s="95">
        <v>4.29192241E9</v>
      </c>
      <c r="E9" s="95">
        <v>2618529.0</v>
      </c>
      <c r="F9" s="95">
        <v>8329690.0</v>
      </c>
      <c r="G9" s="147">
        <v>3.2762173301382947E8</v>
      </c>
      <c r="H9" s="147">
        <v>1.6504321775404564E8</v>
      </c>
      <c r="I9" s="148">
        <v>4.958525391499891E8</v>
      </c>
      <c r="J9" s="149">
        <v>42107.0</v>
      </c>
      <c r="K9" s="149">
        <v>1488079.0</v>
      </c>
      <c r="L9" s="149">
        <v>8034704.0</v>
      </c>
      <c r="M9" s="96">
        <v>9522783.0</v>
      </c>
      <c r="N9" s="96">
        <v>0.0</v>
      </c>
      <c r="O9" s="96">
        <v>848967.0</v>
      </c>
      <c r="P9" s="96">
        <v>848967.0</v>
      </c>
      <c r="Q9" s="96">
        <v>-6817740.0</v>
      </c>
      <c r="R9" s="96">
        <v>1.75587649E8</v>
      </c>
      <c r="S9" s="97">
        <v>0.5359462798293303</v>
      </c>
      <c r="T9" s="97">
        <v>1.0287814447063999</v>
      </c>
      <c r="U9" s="97">
        <v>0.354112634576803</v>
      </c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</row>
    <row r="10" ht="21.0" customHeight="1">
      <c r="A10" s="94">
        <v>1.1726598E7</v>
      </c>
      <c r="B10" s="94" t="s">
        <v>93</v>
      </c>
      <c r="C10" s="95">
        <v>8.7269561E7</v>
      </c>
      <c r="D10" s="95">
        <v>1.1914321283E10</v>
      </c>
      <c r="E10" s="95">
        <v>471917.0</v>
      </c>
      <c r="F10" s="95">
        <v>2.8605511E7</v>
      </c>
      <c r="G10" s="147">
        <v>3.024315912095581E8</v>
      </c>
      <c r="H10" s="147">
        <v>1.5425583840224063E8</v>
      </c>
      <c r="I10" s="148">
        <v>4.6080852131225973E8</v>
      </c>
      <c r="J10" s="149">
        <v>27273.0</v>
      </c>
      <c r="K10" s="149">
        <v>550820.0</v>
      </c>
      <c r="L10" s="149">
        <v>1663006.0</v>
      </c>
      <c r="M10" s="96">
        <v>2213826.0</v>
      </c>
      <c r="N10" s="96">
        <v>4015.0</v>
      </c>
      <c r="O10" s="96">
        <v>75942.0</v>
      </c>
      <c r="P10" s="96">
        <v>79957.0</v>
      </c>
      <c r="Q10" s="96">
        <v>50740.0</v>
      </c>
      <c r="R10" s="96">
        <v>3.8787578E7</v>
      </c>
      <c r="S10" s="97">
        <v>0.12825240195599694</v>
      </c>
      <c r="T10" s="97">
        <v>0.1010652184155744</v>
      </c>
      <c r="U10" s="97">
        <v>0.0841728748625206</v>
      </c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</row>
    <row r="11" ht="21.0" customHeight="1">
      <c r="A11" s="94">
        <v>7.9650085E7</v>
      </c>
      <c r="B11" s="94" t="s">
        <v>94</v>
      </c>
      <c r="C11" s="95">
        <v>8.6051078E7</v>
      </c>
      <c r="D11" s="95">
        <v>2.52874013E9</v>
      </c>
      <c r="E11" s="95">
        <v>278052.0</v>
      </c>
      <c r="F11" s="95">
        <v>6785116.0</v>
      </c>
      <c r="G11" s="147">
        <v>3.006702360616879E8</v>
      </c>
      <c r="H11" s="147">
        <v>1.5349178367987686E8</v>
      </c>
      <c r="I11" s="148">
        <v>4.583482445674274E8</v>
      </c>
      <c r="J11" s="149">
        <v>0.0</v>
      </c>
      <c r="K11" s="149">
        <v>133850.0</v>
      </c>
      <c r="L11" s="149">
        <v>853759.0</v>
      </c>
      <c r="M11" s="96">
        <v>987609.0</v>
      </c>
      <c r="N11" s="96">
        <v>13463.0</v>
      </c>
      <c r="O11" s="96">
        <v>123134.0</v>
      </c>
      <c r="P11" s="96">
        <v>136597.0</v>
      </c>
      <c r="Q11" s="96">
        <v>-943954.0</v>
      </c>
      <c r="R11" s="96">
        <v>1.841368E7</v>
      </c>
      <c r="S11" s="97">
        <v>0.061242111095499666</v>
      </c>
      <c r="T11" s="97">
        <v>0.16921492067725014</v>
      </c>
      <c r="U11" s="97">
        <v>0.040173994813437475</v>
      </c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</row>
    <row r="12" ht="21.0" customHeight="1">
      <c r="A12" s="94">
        <v>2.708355E7</v>
      </c>
      <c r="B12" s="94" t="s">
        <v>95</v>
      </c>
      <c r="C12" s="95">
        <v>7.7761081E7</v>
      </c>
      <c r="D12" s="95">
        <v>3.586945048E9</v>
      </c>
      <c r="E12" s="95">
        <v>1382501.0</v>
      </c>
      <c r="F12" s="95">
        <v>3163275.0</v>
      </c>
      <c r="G12" s="147">
        <v>2.8420991203177094E8</v>
      </c>
      <c r="H12" s="147">
        <v>1.4628477071258456E8</v>
      </c>
      <c r="I12" s="148">
        <v>4.352886403409525E8</v>
      </c>
      <c r="J12" s="149">
        <v>2128.0</v>
      </c>
      <c r="K12" s="149">
        <v>835720.0</v>
      </c>
      <c r="L12" s="149">
        <v>3079614.0</v>
      </c>
      <c r="M12" s="96">
        <v>3915334.0</v>
      </c>
      <c r="N12" s="96">
        <v>534.0</v>
      </c>
      <c r="O12" s="96">
        <v>829623.0</v>
      </c>
      <c r="P12" s="96">
        <v>830157.0</v>
      </c>
      <c r="Q12" s="96">
        <v>-7107217.0</v>
      </c>
      <c r="R12" s="96">
        <v>6.9949906E7</v>
      </c>
      <c r="S12" s="97">
        <v>0.24612057158717432</v>
      </c>
      <c r="T12" s="97">
        <v>1.134622552925267</v>
      </c>
      <c r="U12" s="97">
        <v>0.16069775205989684</v>
      </c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</row>
    <row r="13" ht="21.0" customHeight="1">
      <c r="A13" s="94">
        <v>1.6942777E8</v>
      </c>
      <c r="B13" s="94" t="s">
        <v>96</v>
      </c>
      <c r="C13" s="95">
        <v>7.6248802E7</v>
      </c>
      <c r="D13" s="95">
        <v>1.177962143E9</v>
      </c>
      <c r="E13" s="95">
        <v>1453250.0</v>
      </c>
      <c r="F13" s="95">
        <v>4350649.0</v>
      </c>
      <c r="G13" s="147">
        <v>2.799131765851483E8</v>
      </c>
      <c r="H13" s="147">
        <v>1.443827898634805E8</v>
      </c>
      <c r="I13" s="148">
        <v>4.292482684767149E8</v>
      </c>
      <c r="J13" s="149">
        <v>141.0</v>
      </c>
      <c r="K13" s="149">
        <v>1037778.0</v>
      </c>
      <c r="L13" s="149">
        <v>3381577.0</v>
      </c>
      <c r="M13" s="96">
        <v>4419355.0</v>
      </c>
      <c r="N13" s="96">
        <v>30251.0</v>
      </c>
      <c r="O13" s="96">
        <v>713988.0</v>
      </c>
      <c r="P13" s="96">
        <v>744239.0</v>
      </c>
      <c r="Q13" s="96">
        <v>-8053374.0</v>
      </c>
      <c r="R13" s="96">
        <v>7.8010892E7</v>
      </c>
      <c r="S13" s="97">
        <v>0.27869674786913595</v>
      </c>
      <c r="T13" s="97">
        <v>1.009972865449414</v>
      </c>
      <c r="U13" s="97">
        <v>0.1817383964688766</v>
      </c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</row>
    <row r="14" ht="21.0" customHeight="1">
      <c r="A14" s="94">
        <v>7.7394861E7</v>
      </c>
      <c r="B14" s="94" t="s">
        <v>97</v>
      </c>
      <c r="C14" s="95">
        <v>7.8588985E7</v>
      </c>
      <c r="D14" s="95">
        <v>2.935160262E9</v>
      </c>
      <c r="E14" s="95">
        <v>1097844.0</v>
      </c>
      <c r="F14" s="95">
        <v>2612834.0</v>
      </c>
      <c r="G14" s="147">
        <v>2.7961515845363647E8</v>
      </c>
      <c r="H14" s="147">
        <v>1.4425053941299838E8</v>
      </c>
      <c r="I14" s="148">
        <v>4.288289778145109E8</v>
      </c>
      <c r="J14" s="149">
        <v>0.0</v>
      </c>
      <c r="K14" s="149">
        <v>427963.0</v>
      </c>
      <c r="L14" s="149">
        <v>2882907.0</v>
      </c>
      <c r="M14" s="96">
        <v>3310870.0</v>
      </c>
      <c r="N14" s="96">
        <v>0.0</v>
      </c>
      <c r="O14" s="96">
        <v>127446.0</v>
      </c>
      <c r="P14" s="96">
        <v>127446.0</v>
      </c>
      <c r="Q14" s="96">
        <v>-5673750.0</v>
      </c>
      <c r="R14" s="96">
        <v>6.193777E7</v>
      </c>
      <c r="S14" s="97">
        <v>0.22151077338773828</v>
      </c>
      <c r="T14" s="97">
        <v>0.1767008990311143</v>
      </c>
      <c r="U14" s="97">
        <v>0.14443466557614737</v>
      </c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</row>
    <row r="15" ht="21.0" customHeight="1">
      <c r="A15" s="94">
        <v>1.72021868E8</v>
      </c>
      <c r="B15" s="94" t="s">
        <v>53</v>
      </c>
      <c r="C15" s="95">
        <v>8.33064E7</v>
      </c>
      <c r="D15" s="95">
        <v>2.418478753E9</v>
      </c>
      <c r="E15" s="95">
        <v>4844108.0</v>
      </c>
      <c r="F15" s="95">
        <v>1.1701006E7</v>
      </c>
      <c r="G15" s="147">
        <v>2.794935936173155E8</v>
      </c>
      <c r="H15" s="147">
        <v>1.4419658058912042E8</v>
      </c>
      <c r="I15" s="148">
        <v>4.28657931989607E8</v>
      </c>
      <c r="J15" s="149">
        <v>922.0</v>
      </c>
      <c r="K15" s="149">
        <v>1694604.0</v>
      </c>
      <c r="L15" s="149">
        <v>1.7521448E7</v>
      </c>
      <c r="M15" s="96">
        <v>1.9216052E7</v>
      </c>
      <c r="N15" s="96">
        <v>0.0</v>
      </c>
      <c r="O15" s="96">
        <v>211633.0</v>
      </c>
      <c r="P15" s="96">
        <v>211633.0</v>
      </c>
      <c r="Q15" s="96">
        <v>-940240.0</v>
      </c>
      <c r="R15" s="96">
        <v>3.67376343E8</v>
      </c>
      <c r="S15" s="97">
        <v>1.3144356485788158</v>
      </c>
      <c r="T15" s="97">
        <v>0.2935340063340831</v>
      </c>
      <c r="U15" s="97">
        <v>0.8570384812310139</v>
      </c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</row>
    <row r="16" ht="21.0" customHeight="1">
      <c r="A16" s="94">
        <v>4.8741756E7</v>
      </c>
      <c r="B16" s="94" t="s">
        <v>98</v>
      </c>
      <c r="C16" s="95">
        <v>8.0001678E7</v>
      </c>
      <c r="D16" s="95">
        <v>3.512684862E9</v>
      </c>
      <c r="E16" s="95">
        <v>1655900.0</v>
      </c>
      <c r="F16" s="95">
        <v>4065132.0</v>
      </c>
      <c r="G16" s="147">
        <v>2.743012446534003E8</v>
      </c>
      <c r="H16" s="147">
        <v>1.4188506252110064E8</v>
      </c>
      <c r="I16" s="148">
        <v>4.2134522778596056E8</v>
      </c>
      <c r="J16" s="149">
        <v>0.0</v>
      </c>
      <c r="K16" s="149">
        <v>615112.0</v>
      </c>
      <c r="L16" s="149">
        <v>4861220.0</v>
      </c>
      <c r="M16" s="96">
        <v>5476332.0</v>
      </c>
      <c r="N16" s="96">
        <v>0.0</v>
      </c>
      <c r="O16" s="96">
        <v>239132.0</v>
      </c>
      <c r="P16" s="96">
        <v>239132.0</v>
      </c>
      <c r="Q16" s="96">
        <v>-3553900.0</v>
      </c>
      <c r="R16" s="96">
        <v>1.0337552E8</v>
      </c>
      <c r="S16" s="97">
        <v>0.37686857794109735</v>
      </c>
      <c r="T16" s="97">
        <v>0.3370784714767802</v>
      </c>
      <c r="U16" s="97">
        <v>0.2453463648875449</v>
      </c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</row>
    <row r="17" ht="21.0" customHeight="1">
      <c r="A17" s="94">
        <v>1.71701107E8</v>
      </c>
      <c r="B17" s="94" t="s">
        <v>99</v>
      </c>
      <c r="C17" s="95">
        <v>8.1787828E7</v>
      </c>
      <c r="D17" s="95">
        <v>7.59201591E8</v>
      </c>
      <c r="E17" s="95">
        <v>171358.0</v>
      </c>
      <c r="F17" s="95">
        <v>2263760.0</v>
      </c>
      <c r="G17" s="147">
        <v>2.735892242785524E8</v>
      </c>
      <c r="H17" s="147">
        <v>1.4156703889343703E8</v>
      </c>
      <c r="I17" s="148">
        <v>4.203413827312435E8</v>
      </c>
      <c r="J17" s="149">
        <v>4043.0</v>
      </c>
      <c r="K17" s="149">
        <v>22434.0</v>
      </c>
      <c r="L17" s="149">
        <v>459292.0</v>
      </c>
      <c r="M17" s="96">
        <v>481726.0</v>
      </c>
      <c r="N17" s="96">
        <v>0.0</v>
      </c>
      <c r="O17" s="96">
        <v>1174.0</v>
      </c>
      <c r="P17" s="96">
        <v>1174.0</v>
      </c>
      <c r="Q17" s="96">
        <v>-1672430.0</v>
      </c>
      <c r="R17" s="96">
        <v>9416835.0</v>
      </c>
      <c r="S17" s="97">
        <v>0.03441961219354288</v>
      </c>
      <c r="T17" s="97">
        <v>0.001658578167879481</v>
      </c>
      <c r="U17" s="97">
        <v>0.02240282633799324</v>
      </c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</row>
    <row r="18" ht="21.0" customHeight="1">
      <c r="A18" s="94">
        <v>1.69247313E8</v>
      </c>
      <c r="B18" s="94" t="s">
        <v>100</v>
      </c>
      <c r="C18" s="95">
        <v>7.5692049E7</v>
      </c>
      <c r="D18" s="95">
        <v>7.83876121E8</v>
      </c>
      <c r="E18" s="95">
        <v>1383201.0</v>
      </c>
      <c r="F18" s="95">
        <v>3159916.0</v>
      </c>
      <c r="G18" s="147">
        <v>2.7230744977936107E8</v>
      </c>
      <c r="H18" s="147">
        <v>1.409938885709689E8</v>
      </c>
      <c r="I18" s="148">
        <v>4.1853361185371244E8</v>
      </c>
      <c r="J18" s="149">
        <v>7294.0</v>
      </c>
      <c r="K18" s="149">
        <v>719588.0</v>
      </c>
      <c r="L18" s="149">
        <v>3333304.0</v>
      </c>
      <c r="M18" s="96">
        <v>4052892.0</v>
      </c>
      <c r="N18" s="96">
        <v>0.0</v>
      </c>
      <c r="O18" s="96">
        <v>833160.0</v>
      </c>
      <c r="P18" s="96">
        <v>833160.0</v>
      </c>
      <c r="Q18" s="96">
        <v>-7596272.0</v>
      </c>
      <c r="R18" s="96">
        <v>7.3894427E7</v>
      </c>
      <c r="S18" s="97">
        <v>0.2713639566595532</v>
      </c>
      <c r="T18" s="97">
        <v>1.1818384590203441</v>
      </c>
      <c r="U18" s="97">
        <v>0.17655553797153065</v>
      </c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</row>
    <row r="19" ht="21.0" customHeight="1">
      <c r="A19" s="94">
        <v>1.71503078E8</v>
      </c>
      <c r="B19" s="94" t="s">
        <v>101</v>
      </c>
      <c r="C19" s="95">
        <v>7.5117934E7</v>
      </c>
      <c r="D19" s="95">
        <v>2.400565927E9</v>
      </c>
      <c r="E19" s="95">
        <v>3758248.0</v>
      </c>
      <c r="F19" s="95">
        <v>7670533.0</v>
      </c>
      <c r="G19" s="147">
        <v>2.5461936073519295E8</v>
      </c>
      <c r="H19" s="147">
        <v>1.3299623835683888E8</v>
      </c>
      <c r="I19" s="148">
        <v>3.934973199668402E8</v>
      </c>
      <c r="J19" s="149">
        <v>11823.0</v>
      </c>
      <c r="K19" s="149">
        <v>1664205.0</v>
      </c>
      <c r="L19" s="149">
        <v>1.4394917E7</v>
      </c>
      <c r="M19" s="96">
        <v>1.6059122E7</v>
      </c>
      <c r="N19" s="96">
        <v>50279.0</v>
      </c>
      <c r="O19" s="96">
        <v>383305.0</v>
      </c>
      <c r="P19" s="96">
        <v>433584.0</v>
      </c>
      <c r="Q19" s="96">
        <v>-5750876.0</v>
      </c>
      <c r="R19" s="96">
        <v>3.04728755E8</v>
      </c>
      <c r="S19" s="97">
        <v>1.1968011942223098</v>
      </c>
      <c r="T19" s="97">
        <v>0.6142196276320429</v>
      </c>
      <c r="U19" s="97">
        <v>0.7744112590796789</v>
      </c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</row>
    <row r="20" ht="21.0" customHeight="1">
      <c r="A20" s="94">
        <v>9.8107237E7</v>
      </c>
      <c r="B20" s="94" t="s">
        <v>102</v>
      </c>
      <c r="C20" s="95">
        <v>8.1458907E7</v>
      </c>
      <c r="D20" s="95">
        <v>3.525168048E9</v>
      </c>
      <c r="E20" s="95">
        <v>863670.0</v>
      </c>
      <c r="F20" s="95">
        <v>8690253.0</v>
      </c>
      <c r="G20" s="147">
        <v>2.5446954554448926E8</v>
      </c>
      <c r="H20" s="147">
        <v>1.3292776733548917E8</v>
      </c>
      <c r="I20" s="148">
        <v>3.9328452400457865E8</v>
      </c>
      <c r="J20" s="149">
        <v>0.0</v>
      </c>
      <c r="K20" s="149">
        <v>386474.0</v>
      </c>
      <c r="L20" s="149">
        <v>2629822.0</v>
      </c>
      <c r="M20" s="96">
        <v>3016296.0</v>
      </c>
      <c r="N20" s="96">
        <v>0.0</v>
      </c>
      <c r="O20" s="96">
        <v>0.0</v>
      </c>
      <c r="P20" s="96">
        <v>0.0</v>
      </c>
      <c r="Q20" s="96">
        <v>610978.0</v>
      </c>
      <c r="R20" s="96">
        <v>5.646118E7</v>
      </c>
      <c r="S20" s="97">
        <v>0.2218779456661104</v>
      </c>
      <c r="T20" s="97">
        <v>0.0</v>
      </c>
      <c r="U20" s="97">
        <v>0.14356318785466035</v>
      </c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ht="21.0" customHeight="1">
      <c r="A21" s="94">
        <v>1.20029911E8</v>
      </c>
      <c r="B21" s="94" t="s">
        <v>103</v>
      </c>
      <c r="C21" s="95">
        <v>7.5764293E7</v>
      </c>
      <c r="D21" s="95">
        <v>1.185781129E9</v>
      </c>
      <c r="E21" s="95">
        <v>837847.0</v>
      </c>
      <c r="F21" s="95">
        <v>3264573.0</v>
      </c>
      <c r="G21" s="147">
        <v>2.4262680466066334E8</v>
      </c>
      <c r="H21" s="147">
        <v>1.274737281602954E8</v>
      </c>
      <c r="I21" s="148">
        <v>3.764211501366612E8</v>
      </c>
      <c r="J21" s="149">
        <v>44525.0</v>
      </c>
      <c r="K21" s="149">
        <v>617368.0</v>
      </c>
      <c r="L21" s="149">
        <v>2023013.0</v>
      </c>
      <c r="M21" s="96">
        <v>2640381.0</v>
      </c>
      <c r="N21" s="96">
        <v>0.0</v>
      </c>
      <c r="O21" s="96">
        <v>431755.0</v>
      </c>
      <c r="P21" s="96">
        <v>431755.0</v>
      </c>
      <c r="Q21" s="96">
        <v>-3411030.0</v>
      </c>
      <c r="R21" s="96">
        <v>4.6688513E7</v>
      </c>
      <c r="S21" s="97">
        <v>0.19242932810040642</v>
      </c>
      <c r="T21" s="97">
        <v>0.6774023263163333</v>
      </c>
      <c r="U21" s="97">
        <v>0.12403265061766469</v>
      </c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</row>
    <row r="22" ht="21.0" customHeight="1">
      <c r="A22" s="94">
        <v>1.72041454E8</v>
      </c>
      <c r="B22" s="94" t="s">
        <v>104</v>
      </c>
      <c r="C22" s="95">
        <v>6.6726643E7</v>
      </c>
      <c r="D22" s="95">
        <v>8.38377602E8</v>
      </c>
      <c r="E22" s="95">
        <v>1427527.0</v>
      </c>
      <c r="F22" s="95">
        <v>4275450.0</v>
      </c>
      <c r="G22" s="147">
        <v>2.3888651150606143E8</v>
      </c>
      <c r="H22" s="147">
        <v>1.2573354945742168E8</v>
      </c>
      <c r="I22" s="148">
        <v>3.710773090845359E8</v>
      </c>
      <c r="J22" s="149">
        <v>21585.0</v>
      </c>
      <c r="K22" s="149">
        <v>746294.0</v>
      </c>
      <c r="L22" s="149">
        <v>2838044.0</v>
      </c>
      <c r="M22" s="96">
        <v>3584338.0</v>
      </c>
      <c r="N22" s="96">
        <v>0.0</v>
      </c>
      <c r="O22" s="96">
        <v>1185363.0</v>
      </c>
      <c r="P22" s="96">
        <v>1185363.0</v>
      </c>
      <c r="Q22" s="96">
        <v>-1.1911076E7</v>
      </c>
      <c r="R22" s="96">
        <v>6.4229929E7</v>
      </c>
      <c r="S22" s="97">
        <v>0.2688721460038159</v>
      </c>
      <c r="T22" s="97">
        <v>1.8855158469878568</v>
      </c>
      <c r="U22" s="97">
        <v>0.1730904246299998</v>
      </c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</row>
    <row r="23" ht="21.0" customHeight="1">
      <c r="A23" s="94">
        <v>1.71604682E8</v>
      </c>
      <c r="B23" s="94" t="s">
        <v>105</v>
      </c>
      <c r="C23" s="95">
        <v>7.6202302E7</v>
      </c>
      <c r="D23" s="95">
        <v>2.257538246E9</v>
      </c>
      <c r="E23" s="95">
        <v>3148788.0</v>
      </c>
      <c r="F23" s="95">
        <v>8139803.0</v>
      </c>
      <c r="G23" s="147">
        <v>2.3449364952964163E8</v>
      </c>
      <c r="H23" s="147">
        <v>1.2367845343020658E8</v>
      </c>
      <c r="I23" s="148">
        <v>3.647896582873156E8</v>
      </c>
      <c r="J23" s="149">
        <v>192223.0</v>
      </c>
      <c r="K23" s="149">
        <v>1459574.0</v>
      </c>
      <c r="L23" s="149">
        <v>9807588.0</v>
      </c>
      <c r="M23" s="96">
        <v>1.1267162E7</v>
      </c>
      <c r="N23" s="96">
        <v>0.0</v>
      </c>
      <c r="O23" s="96">
        <v>166276.0</v>
      </c>
      <c r="P23" s="96">
        <v>166276.0</v>
      </c>
      <c r="Q23" s="96">
        <v>-1798023.0</v>
      </c>
      <c r="R23" s="96">
        <v>2.10880025E8</v>
      </c>
      <c r="S23" s="97">
        <v>0.8992995137522618</v>
      </c>
      <c r="T23" s="97">
        <v>0.2688843454754741</v>
      </c>
      <c r="U23" s="97">
        <v>0.5780866321432465</v>
      </c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</row>
    <row r="24" ht="21.0" customHeight="1">
      <c r="A24" s="94">
        <v>1.71879011E8</v>
      </c>
      <c r="B24" s="94" t="s">
        <v>106</v>
      </c>
      <c r="C24" s="95">
        <v>7.7947287E7</v>
      </c>
      <c r="D24" s="95">
        <v>7.10069978E8</v>
      </c>
      <c r="E24" s="95">
        <v>391763.0</v>
      </c>
      <c r="F24" s="95">
        <v>4259201.0</v>
      </c>
      <c r="G24" s="147">
        <v>1.90179016255199E8</v>
      </c>
      <c r="H24" s="147">
        <v>1.0216652938997649E8</v>
      </c>
      <c r="I24" s="148">
        <v>3.0056910991687346E8</v>
      </c>
      <c r="J24" s="149">
        <v>96.0</v>
      </c>
      <c r="K24" s="149">
        <v>105868.0</v>
      </c>
      <c r="L24" s="149">
        <v>1179771.0</v>
      </c>
      <c r="M24" s="96">
        <v>1285639.0</v>
      </c>
      <c r="N24" s="96">
        <v>0.0</v>
      </c>
      <c r="O24" s="96">
        <v>6156.0</v>
      </c>
      <c r="P24" s="96">
        <v>6156.0</v>
      </c>
      <c r="Q24" s="96">
        <v>6790566.0</v>
      </c>
      <c r="R24" s="96">
        <v>2.4685455E7</v>
      </c>
      <c r="S24" s="97">
        <v>0.12980114991695443</v>
      </c>
      <c r="T24" s="97">
        <v>0.01205091341901639</v>
      </c>
      <c r="U24" s="97">
        <v>0.0821290484801552</v>
      </c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</row>
    <row r="25" ht="21.0" customHeight="1">
      <c r="A25" s="94">
        <v>1.70708608E8</v>
      </c>
      <c r="B25" s="94" t="s">
        <v>107</v>
      </c>
      <c r="C25" s="95">
        <v>7.7121763E7</v>
      </c>
      <c r="D25" s="95">
        <v>5.46367194E8</v>
      </c>
      <c r="E25" s="95">
        <v>625338.0</v>
      </c>
      <c r="F25" s="95">
        <v>2658402.0</v>
      </c>
      <c r="G25" s="147">
        <v>2.3193811979806966E8</v>
      </c>
      <c r="H25" s="147">
        <v>1.2247714695200679E8</v>
      </c>
      <c r="I25" s="148">
        <v>3.611259978130639E8</v>
      </c>
      <c r="J25" s="149">
        <v>6781.0</v>
      </c>
      <c r="K25" s="149">
        <v>304519.0</v>
      </c>
      <c r="L25" s="149">
        <v>2030829.0</v>
      </c>
      <c r="M25" s="96">
        <v>2335348.0</v>
      </c>
      <c r="N25" s="96">
        <v>39960.0</v>
      </c>
      <c r="O25" s="96">
        <v>2873.0</v>
      </c>
      <c r="P25" s="96">
        <v>42833.0</v>
      </c>
      <c r="Q25" s="96">
        <v>-504706.0</v>
      </c>
      <c r="R25" s="96">
        <v>4.3666864E7</v>
      </c>
      <c r="S25" s="97">
        <v>0.18826945755194238</v>
      </c>
      <c r="T25" s="97">
        <v>0.037317982282776475</v>
      </c>
      <c r="U25" s="97">
        <v>0.12091863854843277</v>
      </c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</row>
    <row r="26" ht="21.0" customHeight="1">
      <c r="A26" s="94">
        <v>7.4556991E7</v>
      </c>
      <c r="B26" s="94" t="s">
        <v>108</v>
      </c>
      <c r="C26" s="95">
        <v>7.6116167E7</v>
      </c>
      <c r="D26" s="95">
        <v>3.338864703E9</v>
      </c>
      <c r="E26" s="95">
        <v>1608326.0</v>
      </c>
      <c r="F26" s="95">
        <v>8689307.0</v>
      </c>
      <c r="G26" s="147">
        <v>1.8997611496931458E8</v>
      </c>
      <c r="H26" s="147">
        <v>1.0206431819446735E8</v>
      </c>
      <c r="I26" s="148">
        <v>3.002712977045341E8</v>
      </c>
      <c r="J26" s="149">
        <v>61847.0</v>
      </c>
      <c r="K26" s="149">
        <v>552563.0</v>
      </c>
      <c r="L26" s="149">
        <v>5567374.0</v>
      </c>
      <c r="M26" s="96">
        <v>6119937.0</v>
      </c>
      <c r="N26" s="96">
        <v>12650.0</v>
      </c>
      <c r="O26" s="96">
        <v>118744.0</v>
      </c>
      <c r="P26" s="96">
        <v>131394.0</v>
      </c>
      <c r="Q26" s="96">
        <v>4992750.0</v>
      </c>
      <c r="R26" s="96">
        <v>1.16886268E8</v>
      </c>
      <c r="S26" s="97">
        <v>0.6152682300029125</v>
      </c>
      <c r="T26" s="97">
        <v>0.24507879386741385</v>
      </c>
      <c r="U26" s="97">
        <v>0.38926886749933615</v>
      </c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</row>
    <row r="27" ht="21.0" customHeight="1">
      <c r="A27" s="94">
        <v>1.66497805E8</v>
      </c>
      <c r="B27" s="94" t="s">
        <v>109</v>
      </c>
      <c r="C27" s="95">
        <v>7.1462455E7</v>
      </c>
      <c r="D27" s="95">
        <v>8.56244979E8</v>
      </c>
      <c r="E27" s="95">
        <v>1258824.0</v>
      </c>
      <c r="F27" s="95">
        <v>2649027.0</v>
      </c>
      <c r="G27" s="147">
        <v>2.267479585462819E8</v>
      </c>
      <c r="H27" s="147">
        <v>1.2002391950061996E8</v>
      </c>
      <c r="I27" s="148">
        <v>3.536716527798619E8</v>
      </c>
      <c r="J27" s="149">
        <v>0.0</v>
      </c>
      <c r="K27" s="149">
        <v>444523.0</v>
      </c>
      <c r="L27" s="149">
        <v>2868619.0</v>
      </c>
      <c r="M27" s="96">
        <v>3313142.0</v>
      </c>
      <c r="N27" s="96">
        <v>0.0</v>
      </c>
      <c r="O27" s="96">
        <v>588134.0</v>
      </c>
      <c r="P27" s="96">
        <v>588134.0</v>
      </c>
      <c r="Q27" s="96">
        <v>-5397611.0</v>
      </c>
      <c r="R27" s="96">
        <v>6.181761E7</v>
      </c>
      <c r="S27" s="97">
        <v>0.2726269748857841</v>
      </c>
      <c r="T27" s="97">
        <v>0.9800279851666769</v>
      </c>
      <c r="U27" s="97">
        <v>0.17478813898177337</v>
      </c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</row>
    <row r="28" ht="21.0" customHeight="1">
      <c r="A28" s="94">
        <v>1.69326547E8</v>
      </c>
      <c r="B28" s="94" t="s">
        <v>110</v>
      </c>
      <c r="C28" s="95">
        <v>7.5823003E7</v>
      </c>
      <c r="D28" s="95">
        <v>4.583688869E9</v>
      </c>
      <c r="E28" s="95">
        <v>0.0</v>
      </c>
      <c r="F28" s="95">
        <v>1.3191723E7</v>
      </c>
      <c r="G28" s="147">
        <v>2.2302032356246924E8</v>
      </c>
      <c r="H28" s="147">
        <v>1.1825056276141424E8</v>
      </c>
      <c r="I28" s="148">
        <v>3.4830627128518116E8</v>
      </c>
      <c r="J28" s="149">
        <v>0.0</v>
      </c>
      <c r="K28" s="149">
        <v>0.0</v>
      </c>
      <c r="L28" s="149">
        <v>16369.0</v>
      </c>
      <c r="M28" s="96">
        <v>16369.0</v>
      </c>
      <c r="N28" s="96">
        <v>0.0</v>
      </c>
      <c r="O28" s="96">
        <v>0.0</v>
      </c>
      <c r="P28" s="96">
        <v>0.0</v>
      </c>
      <c r="Q28" s="96">
        <v>-480570.0</v>
      </c>
      <c r="R28" s="96">
        <v>327380.0</v>
      </c>
      <c r="S28" s="97">
        <v>0.001467937965341078</v>
      </c>
      <c r="T28" s="97">
        <v>0.0</v>
      </c>
      <c r="U28" s="97">
        <v>9.39919912415107E-4</v>
      </c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</row>
    <row r="29" ht="21.0" customHeight="1">
      <c r="A29" s="94">
        <v>1.71753933E8</v>
      </c>
      <c r="B29" s="94" t="s">
        <v>111</v>
      </c>
      <c r="C29" s="95">
        <v>7.1622475E7</v>
      </c>
      <c r="D29" s="95">
        <v>1.10572449E8</v>
      </c>
      <c r="E29" s="95">
        <v>373829.0</v>
      </c>
      <c r="F29" s="95">
        <v>373829.0</v>
      </c>
      <c r="G29" s="147">
        <v>2.211843220432473E8</v>
      </c>
      <c r="H29" s="147">
        <v>1.1737351385767943E8</v>
      </c>
      <c r="I29" s="148">
        <v>3.45659962554154E8</v>
      </c>
      <c r="J29" s="149">
        <v>0.0</v>
      </c>
      <c r="K29" s="149">
        <v>44465.0</v>
      </c>
      <c r="L29" s="149">
        <v>539658.0</v>
      </c>
      <c r="M29" s="96">
        <v>584123.0</v>
      </c>
      <c r="N29" s="96">
        <v>113151.0</v>
      </c>
      <c r="O29" s="96">
        <v>487071.0</v>
      </c>
      <c r="P29" s="96">
        <v>600222.0</v>
      </c>
      <c r="Q29" s="96">
        <v>-4405094.0</v>
      </c>
      <c r="R29" s="96">
        <v>1.123781E7</v>
      </c>
      <c r="S29" s="97">
        <v>0.05080744374731368</v>
      </c>
      <c r="T29" s="97">
        <v>0.926352943065495</v>
      </c>
      <c r="U29" s="97">
        <v>0.032511170564740746</v>
      </c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ht="21.0" customHeight="1">
      <c r="A30" s="94">
        <v>5.524249E7</v>
      </c>
      <c r="B30" s="94" t="s">
        <v>112</v>
      </c>
      <c r="C30" s="95">
        <v>6.8654684E7</v>
      </c>
      <c r="D30" s="95">
        <v>1.679132713E9</v>
      </c>
      <c r="E30" s="95">
        <v>955654.0</v>
      </c>
      <c r="F30" s="95">
        <v>7072847.0</v>
      </c>
      <c r="G30" s="147">
        <v>2.1853393806571114E8</v>
      </c>
      <c r="H30" s="147">
        <v>1.1610315634292121E8</v>
      </c>
      <c r="I30" s="148">
        <v>3.418355057216193E8</v>
      </c>
      <c r="J30" s="149">
        <v>27008.0</v>
      </c>
      <c r="K30" s="149">
        <v>535548.0</v>
      </c>
      <c r="L30" s="149">
        <v>2916726.0</v>
      </c>
      <c r="M30" s="96">
        <v>3452274.0</v>
      </c>
      <c r="N30" s="96">
        <v>116954.0</v>
      </c>
      <c r="O30" s="96">
        <v>224658.0</v>
      </c>
      <c r="P30" s="96">
        <v>341612.0</v>
      </c>
      <c r="Q30" s="96">
        <v>-6972186.0</v>
      </c>
      <c r="R30" s="96">
        <v>6.3698102E7</v>
      </c>
      <c r="S30" s="97">
        <v>0.2914792208652121</v>
      </c>
      <c r="T30" s="97">
        <v>0.48773006508752453</v>
      </c>
      <c r="U30" s="97">
        <v>0.1863413862335115</v>
      </c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</row>
    <row r="31" ht="21.0" customHeight="1">
      <c r="A31" s="150">
        <v>1.71910225E8</v>
      </c>
      <c r="B31" s="150" t="s">
        <v>113</v>
      </c>
      <c r="C31" s="95">
        <v>7.2858243E7</v>
      </c>
      <c r="D31" s="95">
        <v>4.54487349E8</v>
      </c>
      <c r="E31" s="95">
        <v>423352.0</v>
      </c>
      <c r="F31" s="95">
        <v>3028838.0</v>
      </c>
      <c r="G31" s="147">
        <v>2.1452750152462956E8</v>
      </c>
      <c r="H31" s="147">
        <v>1.1417301289439641E8</v>
      </c>
      <c r="I31" s="148">
        <v>3.3604433360320973E8</v>
      </c>
      <c r="J31" s="149">
        <v>88.0</v>
      </c>
      <c r="K31" s="149">
        <v>152505.0</v>
      </c>
      <c r="L31" s="149">
        <v>1115718.0</v>
      </c>
      <c r="M31" s="96">
        <v>1268223.0</v>
      </c>
      <c r="N31" s="96">
        <v>0.0</v>
      </c>
      <c r="O31" s="96">
        <v>133807.0</v>
      </c>
      <c r="P31" s="96">
        <v>133807.0</v>
      </c>
      <c r="Q31" s="96">
        <v>-2157710.0</v>
      </c>
      <c r="R31" s="96">
        <v>2.3839972E7</v>
      </c>
      <c r="S31" s="97">
        <v>0.11112781266071367</v>
      </c>
      <c r="T31" s="97">
        <v>0.23439339403920945</v>
      </c>
      <c r="U31" s="97">
        <v>0.07094293703565158</v>
      </c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</row>
    <row r="32" ht="21.0" customHeight="1">
      <c r="A32" s="94">
        <v>1.7160984E8</v>
      </c>
      <c r="B32" s="94" t="s">
        <v>114</v>
      </c>
      <c r="C32" s="95">
        <v>6.7015322E7</v>
      </c>
      <c r="D32" s="95">
        <v>9.3256527E8</v>
      </c>
      <c r="E32" s="95">
        <v>1669541.0</v>
      </c>
      <c r="F32" s="95">
        <v>3459266.0</v>
      </c>
      <c r="G32" s="147">
        <v>2.1345500815868214E8</v>
      </c>
      <c r="H32" s="147">
        <v>1.1365428269830503E8</v>
      </c>
      <c r="I32" s="148">
        <v>3.34492005430737E8</v>
      </c>
      <c r="J32" s="149">
        <v>21184.0</v>
      </c>
      <c r="K32" s="149">
        <v>885461.0</v>
      </c>
      <c r="L32" s="149">
        <v>4848499.0</v>
      </c>
      <c r="M32" s="96">
        <v>5733960.0</v>
      </c>
      <c r="N32" s="96">
        <v>16229.0</v>
      </c>
      <c r="O32" s="96">
        <v>347774.0</v>
      </c>
      <c r="P32" s="96">
        <v>364003.0</v>
      </c>
      <c r="Q32" s="96">
        <v>-7836009.0</v>
      </c>
      <c r="R32" s="96">
        <v>1.05852805E8</v>
      </c>
      <c r="S32" s="97">
        <v>0.4959021852572753</v>
      </c>
      <c r="T32" s="97">
        <v>0.6262650056834286</v>
      </c>
      <c r="U32" s="97">
        <v>0.3164584004442487</v>
      </c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</row>
    <row r="33" ht="21.0" customHeight="1">
      <c r="A33" s="94">
        <v>1.71972257E8</v>
      </c>
      <c r="B33" s="94" t="s">
        <v>115</v>
      </c>
      <c r="C33" s="95">
        <v>6.9033858E7</v>
      </c>
      <c r="D33" s="95">
        <v>8.82612707E8</v>
      </c>
      <c r="E33" s="95">
        <v>774466.0</v>
      </c>
      <c r="F33" s="95">
        <v>2824502.0</v>
      </c>
      <c r="G33" s="147">
        <v>2.1243736419319785E8</v>
      </c>
      <c r="H33" s="147">
        <v>1.1316126999238002E8</v>
      </c>
      <c r="I33" s="148">
        <v>3.3301824337009805E8</v>
      </c>
      <c r="J33" s="149">
        <v>57416.0</v>
      </c>
      <c r="K33" s="149">
        <v>452897.0</v>
      </c>
      <c r="L33" s="149">
        <v>1771491.0</v>
      </c>
      <c r="M33" s="96">
        <v>2224388.0</v>
      </c>
      <c r="N33" s="96">
        <v>170653.0</v>
      </c>
      <c r="O33" s="96">
        <v>262518.0</v>
      </c>
      <c r="P33" s="96">
        <v>433171.0</v>
      </c>
      <c r="Q33" s="96">
        <v>-5660840.0</v>
      </c>
      <c r="R33" s="96">
        <v>4.0008235E7</v>
      </c>
      <c r="S33" s="97">
        <v>0.18832955846512545</v>
      </c>
      <c r="T33" s="97">
        <v>0.614776592774936</v>
      </c>
      <c r="U33" s="97">
        <v>0.12013826808742445</v>
      </c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</row>
    <row r="34" ht="21.0" customHeight="1">
      <c r="A34" s="94">
        <v>1.71927851E8</v>
      </c>
      <c r="B34" s="94" t="s">
        <v>116</v>
      </c>
      <c r="C34" s="95">
        <v>7.2416391E7</v>
      </c>
      <c r="D34" s="95">
        <v>4.2992916E8</v>
      </c>
      <c r="E34" s="95">
        <v>204513.0</v>
      </c>
      <c r="F34" s="95">
        <v>1139997.0</v>
      </c>
      <c r="G34" s="147">
        <v>2.1053637423505637E8</v>
      </c>
      <c r="H34" s="147">
        <v>1.1223816830051649E8</v>
      </c>
      <c r="I34" s="148">
        <v>3.302630414177404E8</v>
      </c>
      <c r="J34" s="149">
        <v>0.0</v>
      </c>
      <c r="K34" s="149">
        <v>94518.0</v>
      </c>
      <c r="L34" s="149">
        <v>692007.0</v>
      </c>
      <c r="M34" s="96">
        <v>786525.0</v>
      </c>
      <c r="N34" s="96">
        <v>20939.0</v>
      </c>
      <c r="O34" s="96">
        <v>33967.0</v>
      </c>
      <c r="P34" s="96">
        <v>54906.0</v>
      </c>
      <c r="Q34" s="96">
        <v>-1984578.0</v>
      </c>
      <c r="R34" s="96">
        <v>1.478532E7</v>
      </c>
      <c r="S34" s="97">
        <v>0.07022691472539902</v>
      </c>
      <c r="T34" s="97">
        <v>0.07918251103496585</v>
      </c>
      <c r="U34" s="97">
        <v>0.044768315390454075</v>
      </c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</row>
    <row r="35" ht="21.0" customHeight="1">
      <c r="A35" s="94">
        <v>1.70728362E8</v>
      </c>
      <c r="B35" s="94" t="s">
        <v>117</v>
      </c>
      <c r="C35" s="95">
        <v>7.092356E7</v>
      </c>
      <c r="D35" s="95">
        <v>7.29306165E8</v>
      </c>
      <c r="E35" s="95">
        <v>1116357.0</v>
      </c>
      <c r="F35" s="95">
        <v>2432581.0</v>
      </c>
      <c r="G35" s="147">
        <v>2.0423407729552832E8</v>
      </c>
      <c r="H35" s="147">
        <v>1.0915740520815828E8</v>
      </c>
      <c r="I35" s="148">
        <v>3.211080774959652E8</v>
      </c>
      <c r="J35" s="149">
        <v>0.0</v>
      </c>
      <c r="K35" s="149">
        <v>274495.0</v>
      </c>
      <c r="L35" s="149">
        <v>3095974.0</v>
      </c>
      <c r="M35" s="96">
        <v>3370469.0</v>
      </c>
      <c r="N35" s="96">
        <v>2055.0</v>
      </c>
      <c r="O35" s="96">
        <v>114808.0</v>
      </c>
      <c r="P35" s="96">
        <v>116863.0</v>
      </c>
      <c r="Q35" s="96">
        <v>-2492788.0</v>
      </c>
      <c r="R35" s="96">
        <v>6.4667046E7</v>
      </c>
      <c r="S35" s="97">
        <v>0.3166320080190451</v>
      </c>
      <c r="T35" s="97">
        <v>0.2122357155322754</v>
      </c>
      <c r="U35" s="97">
        <v>0.20138716691364628</v>
      </c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</row>
    <row r="36" ht="21.0" customHeight="1">
      <c r="A36" s="94">
        <v>1.70866748E8</v>
      </c>
      <c r="B36" s="94" t="s">
        <v>118</v>
      </c>
      <c r="C36" s="95">
        <v>7.2663939E7</v>
      </c>
      <c r="D36" s="95">
        <v>9.13197871E8</v>
      </c>
      <c r="E36" s="95">
        <v>1024806.0</v>
      </c>
      <c r="F36" s="95">
        <v>2850965.0</v>
      </c>
      <c r="G36" s="147">
        <v>2.012547081055163E8</v>
      </c>
      <c r="H36" s="147">
        <v>1.0768972852462335E8</v>
      </c>
      <c r="I36" s="148">
        <v>3.1676870158011603E8</v>
      </c>
      <c r="J36" s="149">
        <v>87.0</v>
      </c>
      <c r="K36" s="149">
        <v>264990.0</v>
      </c>
      <c r="L36" s="149">
        <v>3316992.0</v>
      </c>
      <c r="M36" s="96">
        <v>3581982.0</v>
      </c>
      <c r="N36" s="96">
        <v>181316.0</v>
      </c>
      <c r="O36" s="96">
        <v>0.0</v>
      </c>
      <c r="P36" s="96">
        <v>181316.0</v>
      </c>
      <c r="Q36" s="96">
        <v>-280964.0</v>
      </c>
      <c r="R36" s="96">
        <v>6.8989758E7</v>
      </c>
      <c r="S36" s="97">
        <v>0.34279823140251303</v>
      </c>
      <c r="T36" s="97">
        <v>0.16836888947913164</v>
      </c>
      <c r="U36" s="97">
        <v>0.21779221765238493</v>
      </c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</row>
    <row r="37" ht="21.0" customHeight="1">
      <c r="A37" s="94">
        <v>7887352.0</v>
      </c>
      <c r="B37" s="94" t="s">
        <v>119</v>
      </c>
      <c r="C37" s="95">
        <v>7.2762353E7</v>
      </c>
      <c r="D37" s="95">
        <v>2.328650208E9</v>
      </c>
      <c r="E37" s="95">
        <v>0.0</v>
      </c>
      <c r="F37" s="95">
        <v>2349656.0</v>
      </c>
      <c r="G37" s="147">
        <v>1.9970645478651837E8</v>
      </c>
      <c r="H37" s="147">
        <v>1.0692409584580106E8</v>
      </c>
      <c r="I37" s="148">
        <v>3.145107251043694E8</v>
      </c>
      <c r="J37" s="149">
        <v>1.0</v>
      </c>
      <c r="K37" s="149">
        <v>0.0</v>
      </c>
      <c r="L37" s="149">
        <v>0.0</v>
      </c>
      <c r="M37" s="96">
        <v>0.0</v>
      </c>
      <c r="N37" s="96">
        <v>0.0</v>
      </c>
      <c r="O37" s="96">
        <v>0.0</v>
      </c>
      <c r="P37" s="96">
        <v>0.0</v>
      </c>
      <c r="Q37" s="96">
        <v>64000.0</v>
      </c>
      <c r="R37" s="96">
        <v>0.0</v>
      </c>
      <c r="S37" s="97">
        <v>0.0</v>
      </c>
      <c r="T37" s="97">
        <v>0.0</v>
      </c>
      <c r="U37" s="97">
        <v>0.0</v>
      </c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</row>
    <row r="38" ht="21.0" customHeight="1">
      <c r="A38" s="94">
        <v>1.39292614E8</v>
      </c>
      <c r="B38" s="94" t="s">
        <v>120</v>
      </c>
      <c r="C38" s="95">
        <v>6.6776669E7</v>
      </c>
      <c r="D38" s="95">
        <v>9.88995453E8</v>
      </c>
      <c r="E38" s="95">
        <v>1661887.0</v>
      </c>
      <c r="F38" s="95">
        <v>2726239.0</v>
      </c>
      <c r="G38" s="147">
        <v>1.9342602806348985E8</v>
      </c>
      <c r="H38" s="147">
        <v>1.0379705411958736E8</v>
      </c>
      <c r="I38" s="148">
        <v>3.0532974726415485E8</v>
      </c>
      <c r="J38" s="149">
        <v>367.0</v>
      </c>
      <c r="K38" s="149">
        <v>581246.0</v>
      </c>
      <c r="L38" s="149">
        <v>4976830.0</v>
      </c>
      <c r="M38" s="96">
        <v>5558076.0</v>
      </c>
      <c r="N38" s="96">
        <v>24110.0</v>
      </c>
      <c r="O38" s="96">
        <v>468742.0</v>
      </c>
      <c r="P38" s="96">
        <v>492852.0</v>
      </c>
      <c r="Q38" s="96">
        <v>-4910282.0</v>
      </c>
      <c r="R38" s="96">
        <v>1.05349134E8</v>
      </c>
      <c r="S38" s="97">
        <v>0.5446481792275668</v>
      </c>
      <c r="T38" s="97">
        <v>0.9264174288531559</v>
      </c>
      <c r="U38" s="97">
        <v>0.3450339671910762</v>
      </c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</row>
    <row r="39" ht="21.0" customHeight="1">
      <c r="A39" s="94">
        <v>1.67614515E8</v>
      </c>
      <c r="B39" s="94" t="s">
        <v>121</v>
      </c>
      <c r="C39" s="95">
        <v>6.731978E7</v>
      </c>
      <c r="D39" s="95">
        <v>2.96579506E8</v>
      </c>
      <c r="E39" s="95">
        <v>496804.0</v>
      </c>
      <c r="F39" s="95">
        <v>976451.0</v>
      </c>
      <c r="G39" s="147">
        <v>1.901572787582586E8</v>
      </c>
      <c r="H39" s="147">
        <v>1.0215558098994231E8</v>
      </c>
      <c r="I39" s="148">
        <v>3.0053720614839923E8</v>
      </c>
      <c r="J39" s="149">
        <v>0.0</v>
      </c>
      <c r="K39" s="149">
        <v>128475.0</v>
      </c>
      <c r="L39" s="149">
        <v>969055.0</v>
      </c>
      <c r="M39" s="96">
        <v>1097530.0</v>
      </c>
      <c r="N39" s="96">
        <v>41329.0</v>
      </c>
      <c r="O39" s="96">
        <v>130757.0</v>
      </c>
      <c r="P39" s="96">
        <v>172086.0</v>
      </c>
      <c r="Q39" s="96">
        <v>-3833374.0</v>
      </c>
      <c r="R39" s="96">
        <v>2.066585E7</v>
      </c>
      <c r="S39" s="97">
        <v>0.10867767005790975</v>
      </c>
      <c r="T39" s="97">
        <v>0.2964527214913655</v>
      </c>
      <c r="U39" s="97">
        <v>0.0687630335852514</v>
      </c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</row>
    <row r="40" ht="21.0" customHeight="1">
      <c r="A40" s="94">
        <v>1.68923934E8</v>
      </c>
      <c r="B40" s="94" t="s">
        <v>122</v>
      </c>
      <c r="C40" s="95">
        <v>6.9016818E7</v>
      </c>
      <c r="D40" s="95">
        <v>9.37625255E8</v>
      </c>
      <c r="E40" s="95">
        <v>969054.0</v>
      </c>
      <c r="F40" s="95">
        <v>3218855.0</v>
      </c>
      <c r="G40" s="147">
        <v>1.8075171451593858E8</v>
      </c>
      <c r="H40" s="147">
        <v>9.737597179741414E7</v>
      </c>
      <c r="I40" s="148">
        <v>2.866898454299124E8</v>
      </c>
      <c r="J40" s="149">
        <v>89086.0</v>
      </c>
      <c r="K40" s="149">
        <v>358766.0</v>
      </c>
      <c r="L40" s="149">
        <v>3301080.0</v>
      </c>
      <c r="M40" s="96">
        <v>3659846.0</v>
      </c>
      <c r="N40" s="96">
        <v>943.0</v>
      </c>
      <c r="O40" s="96">
        <v>63070.0</v>
      </c>
      <c r="P40" s="96">
        <v>64013.0</v>
      </c>
      <c r="Q40" s="96">
        <v>-570481.0</v>
      </c>
      <c r="R40" s="96">
        <v>6.9639741E7</v>
      </c>
      <c r="S40" s="97">
        <v>0.3852784532998674</v>
      </c>
      <c r="T40" s="97">
        <v>0.1305075550510447</v>
      </c>
      <c r="U40" s="97">
        <v>0.24290968832736337</v>
      </c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</row>
    <row r="41" ht="21.0" customHeight="1">
      <c r="A41" s="94">
        <v>1.71697263E8</v>
      </c>
      <c r="B41" s="94" t="s">
        <v>123</v>
      </c>
      <c r="C41" s="95">
        <v>6.0084577E7</v>
      </c>
      <c r="D41" s="95">
        <v>7.23270318E8</v>
      </c>
      <c r="E41" s="95">
        <v>1843410.0</v>
      </c>
      <c r="F41" s="95">
        <v>2913126.0</v>
      </c>
      <c r="G41" s="147">
        <v>1.788224138843601E8</v>
      </c>
      <c r="H41" s="147">
        <v>9.638474009347095E7</v>
      </c>
      <c r="I41" s="148">
        <v>2.8383845173615384E8</v>
      </c>
      <c r="J41" s="149">
        <v>26040.0</v>
      </c>
      <c r="K41" s="149">
        <v>1186033.0</v>
      </c>
      <c r="L41" s="149">
        <v>5007964.0</v>
      </c>
      <c r="M41" s="96">
        <v>6193997.0</v>
      </c>
      <c r="N41" s="96">
        <v>572128.0</v>
      </c>
      <c r="O41" s="96">
        <v>680898.0</v>
      </c>
      <c r="P41" s="96">
        <v>1253026.0</v>
      </c>
      <c r="Q41" s="96">
        <v>-9175792.0</v>
      </c>
      <c r="R41" s="96">
        <v>1.12038756E8</v>
      </c>
      <c r="S41" s="97">
        <v>0.62653642553138</v>
      </c>
      <c r="T41" s="97">
        <v>2.006462846841253</v>
      </c>
      <c r="U41" s="97">
        <v>0.3947271953982727</v>
      </c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</row>
    <row r="42" ht="21.0" customHeight="1">
      <c r="A42" s="94">
        <v>1.68091444E8</v>
      </c>
      <c r="B42" s="94" t="s">
        <v>124</v>
      </c>
      <c r="C42" s="95">
        <v>6.2172581E7</v>
      </c>
      <c r="D42" s="95">
        <v>2.00497287E8</v>
      </c>
      <c r="E42" s="95">
        <v>861619.0</v>
      </c>
      <c r="F42" s="95">
        <v>1184075.0</v>
      </c>
      <c r="G42" s="147">
        <v>1.762164706173976E8</v>
      </c>
      <c r="H42" s="147">
        <v>9.503975321315613E7</v>
      </c>
      <c r="I42" s="148">
        <v>2.7998082115904075E8</v>
      </c>
      <c r="J42" s="149">
        <v>422.0</v>
      </c>
      <c r="K42" s="149">
        <v>277279.0</v>
      </c>
      <c r="L42" s="149">
        <v>1312626.0</v>
      </c>
      <c r="M42" s="96">
        <v>1589905.0</v>
      </c>
      <c r="N42" s="96">
        <v>744477.0</v>
      </c>
      <c r="O42" s="96">
        <v>508052.0</v>
      </c>
      <c r="P42" s="96">
        <v>1252529.0</v>
      </c>
      <c r="Q42" s="96">
        <v>-6642958.0</v>
      </c>
      <c r="R42" s="96">
        <v>2.9025919E7</v>
      </c>
      <c r="S42" s="97">
        <v>0.1647174006964495</v>
      </c>
      <c r="T42" s="97">
        <v>1.852467983635596</v>
      </c>
      <c r="U42" s="97">
        <v>0.10367109746960872</v>
      </c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</row>
    <row r="43" ht="21.0" customHeight="1">
      <c r="A43" s="94">
        <v>1.4461836E8</v>
      </c>
      <c r="B43" s="94" t="s">
        <v>125</v>
      </c>
      <c r="C43" s="95">
        <v>6.2342427E7</v>
      </c>
      <c r="D43" s="95">
        <v>4.13597455E8</v>
      </c>
      <c r="E43" s="95">
        <v>927778.0</v>
      </c>
      <c r="F43" s="95">
        <v>927778.0</v>
      </c>
      <c r="G43" s="147">
        <v>1.5232201467168745E8</v>
      </c>
      <c r="H43" s="147">
        <v>8.234624737856379E7</v>
      </c>
      <c r="I43" s="148">
        <v>2.442431849639656E8</v>
      </c>
      <c r="J43" s="149">
        <v>233039.0</v>
      </c>
      <c r="K43" s="149">
        <v>447307.0</v>
      </c>
      <c r="L43" s="149">
        <v>2819326.0</v>
      </c>
      <c r="M43" s="96">
        <v>3266633.0</v>
      </c>
      <c r="N43" s="96">
        <v>313325.0</v>
      </c>
      <c r="O43" s="96">
        <v>18794.0</v>
      </c>
      <c r="P43" s="96">
        <v>332119.0</v>
      </c>
      <c r="Q43" s="96">
        <v>-2202998.0</v>
      </c>
      <c r="R43" s="96">
        <v>6.1005616E7</v>
      </c>
      <c r="S43" s="97">
        <v>0.4005042615244459</v>
      </c>
      <c r="T43" s="97">
        <v>0.42614328056356454</v>
      </c>
      <c r="U43" s="97">
        <v>0.24977407664005224</v>
      </c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</row>
    <row r="44" ht="21.0" customHeight="1">
      <c r="A44" s="94">
        <v>1.61646318E8</v>
      </c>
      <c r="B44" s="94" t="s">
        <v>126</v>
      </c>
      <c r="C44" s="95">
        <v>5.862841E7</v>
      </c>
      <c r="D44" s="95">
        <v>3.69949141E8</v>
      </c>
      <c r="E44" s="95">
        <v>726055.0</v>
      </c>
      <c r="F44" s="95">
        <v>1449004.0</v>
      </c>
      <c r="G44" s="147">
        <v>1.4794936885767826E8</v>
      </c>
      <c r="H44" s="147">
        <v>7.994464989109594E7</v>
      </c>
      <c r="I44" s="148">
        <v>2.376234252936399E8</v>
      </c>
      <c r="J44" s="149">
        <v>60122.0</v>
      </c>
      <c r="K44" s="149">
        <v>597658.0</v>
      </c>
      <c r="L44" s="149">
        <v>1523183.0</v>
      </c>
      <c r="M44" s="96">
        <v>2120841.0</v>
      </c>
      <c r="N44" s="96">
        <v>649283.0</v>
      </c>
      <c r="O44" s="96">
        <v>139746.0</v>
      </c>
      <c r="P44" s="96">
        <v>789029.0</v>
      </c>
      <c r="Q44" s="96">
        <v>-5093871.0</v>
      </c>
      <c r="R44" s="96">
        <v>3.6536049E7</v>
      </c>
      <c r="S44" s="97">
        <v>0.24694967800198125</v>
      </c>
      <c r="T44" s="97">
        <v>1.1617725529666056</v>
      </c>
      <c r="U44" s="97">
        <v>0.15375609098661497</v>
      </c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</row>
    <row r="45" ht="21.0" customHeight="1">
      <c r="A45" s="94">
        <v>1.69672885E8</v>
      </c>
      <c r="B45" s="94" t="s">
        <v>127</v>
      </c>
      <c r="C45" s="95">
        <v>6.057348E7</v>
      </c>
      <c r="D45" s="95">
        <v>5.46815732E8</v>
      </c>
      <c r="E45" s="95">
        <v>457796.0</v>
      </c>
      <c r="F45" s="95">
        <v>1921199.0</v>
      </c>
      <c r="G45" s="147">
        <v>1.3977746864324647E8</v>
      </c>
      <c r="H45" s="147">
        <v>7.538144439997675E7</v>
      </c>
      <c r="I45" s="148">
        <v>2.251759585317049E8</v>
      </c>
      <c r="J45" s="149">
        <v>76.0</v>
      </c>
      <c r="K45" s="149">
        <v>224229.0</v>
      </c>
      <c r="L45" s="149">
        <v>1104926.0</v>
      </c>
      <c r="M45" s="96">
        <v>1329155.0</v>
      </c>
      <c r="N45" s="96">
        <v>76524.0</v>
      </c>
      <c r="O45" s="96">
        <v>107770.0</v>
      </c>
      <c r="P45" s="96">
        <v>184294.0</v>
      </c>
      <c r="Q45" s="96">
        <v>-1570732.0</v>
      </c>
      <c r="R45" s="96">
        <v>2.4340825E7</v>
      </c>
      <c r="S45" s="97">
        <v>0.17413983266591412</v>
      </c>
      <c r="T45" s="97">
        <v>0.38744813438476655</v>
      </c>
      <c r="U45" s="97">
        <v>0.10809690856305514</v>
      </c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</row>
    <row r="46" ht="21.0" customHeight="1">
      <c r="A46" s="94">
        <v>1.36662717E8</v>
      </c>
      <c r="B46" s="94" t="s">
        <v>128</v>
      </c>
      <c r="C46" s="95">
        <v>5.4812959E7</v>
      </c>
      <c r="D46" s="95">
        <v>9.26932117E8</v>
      </c>
      <c r="E46" s="95">
        <v>1214109.0</v>
      </c>
      <c r="F46" s="95">
        <v>2623465.0</v>
      </c>
      <c r="G46" s="147">
        <v>1.0667761826132219E8</v>
      </c>
      <c r="H46" s="147">
        <v>5.566598881126424E7</v>
      </c>
      <c r="I46" s="148">
        <v>1.735081102992313E8</v>
      </c>
      <c r="J46" s="149">
        <v>482.0</v>
      </c>
      <c r="K46" s="149">
        <v>283893.0</v>
      </c>
      <c r="L46" s="149">
        <v>4467062.0</v>
      </c>
      <c r="M46" s="96">
        <v>4750955.0</v>
      </c>
      <c r="N46" s="96">
        <v>83616.0</v>
      </c>
      <c r="O46" s="96">
        <v>0.0</v>
      </c>
      <c r="P46" s="96">
        <v>83616.0</v>
      </c>
      <c r="Q46" s="96">
        <v>-286092.0</v>
      </c>
      <c r="R46" s="96">
        <v>9.2181358E7</v>
      </c>
      <c r="S46" s="97">
        <v>0.8641115118842313</v>
      </c>
      <c r="T46" s="97">
        <v>0.1502102123497714</v>
      </c>
      <c r="U46" s="97">
        <v>0.5312798222574406</v>
      </c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</row>
    <row r="47" ht="21.0" customHeight="1">
      <c r="A47" s="94">
        <v>1.76044158E8</v>
      </c>
      <c r="B47" s="94" t="s">
        <v>129</v>
      </c>
      <c r="C47" s="95">
        <v>5.2878571E7</v>
      </c>
      <c r="D47" s="95">
        <v>2.62529511E8</v>
      </c>
      <c r="E47" s="95">
        <v>659666.0</v>
      </c>
      <c r="F47" s="95">
        <v>1884429.0</v>
      </c>
      <c r="G47" s="147">
        <v>1.0491612680474353E8</v>
      </c>
      <c r="H47" s="147">
        <v>5.4548212971927695E7</v>
      </c>
      <c r="I47" s="148">
        <v>1.706889281560852E8</v>
      </c>
      <c r="J47" s="149">
        <v>5023.0</v>
      </c>
      <c r="K47" s="149">
        <v>468127.0</v>
      </c>
      <c r="L47" s="149">
        <v>1563924.0</v>
      </c>
      <c r="M47" s="96">
        <v>2032051.0</v>
      </c>
      <c r="N47" s="96">
        <v>763868.0</v>
      </c>
      <c r="O47" s="96">
        <v>0.0</v>
      </c>
      <c r="P47" s="96">
        <v>763868.0</v>
      </c>
      <c r="Q47" s="96">
        <v>-1809208.0</v>
      </c>
      <c r="R47" s="96">
        <v>3.5961939E7</v>
      </c>
      <c r="S47" s="97">
        <v>0.3427684579600213</v>
      </c>
      <c r="T47" s="97">
        <v>1.4003538491592962</v>
      </c>
      <c r="U47" s="97">
        <v>0.2106870046492698</v>
      </c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</row>
    <row r="48" ht="21.0" customHeight="1">
      <c r="A48" s="94">
        <v>1.72029365E8</v>
      </c>
      <c r="B48" s="94" t="s">
        <v>130</v>
      </c>
      <c r="C48" s="95">
        <v>4.8942993E7</v>
      </c>
      <c r="D48" s="95">
        <v>3.11676345E8</v>
      </c>
      <c r="E48" s="95">
        <v>547660.0</v>
      </c>
      <c r="F48" s="95">
        <v>2103805.0</v>
      </c>
      <c r="G48" s="147">
        <v>8.868252494996233E7</v>
      </c>
      <c r="H48" s="147">
        <v>4.3809641131619684E7</v>
      </c>
      <c r="I48" s="148">
        <v>1.442642402687882E8</v>
      </c>
      <c r="J48" s="149">
        <v>105195.0</v>
      </c>
      <c r="K48" s="149">
        <v>402850.0</v>
      </c>
      <c r="L48" s="149">
        <v>1093895.0</v>
      </c>
      <c r="M48" s="96">
        <v>1496745.0</v>
      </c>
      <c r="N48" s="96">
        <v>462423.0</v>
      </c>
      <c r="O48" s="96">
        <v>0.0</v>
      </c>
      <c r="P48" s="96">
        <v>462423.0</v>
      </c>
      <c r="Q48" s="96">
        <v>-1722752.0</v>
      </c>
      <c r="R48" s="96">
        <v>2.5932643E7</v>
      </c>
      <c r="S48" s="97">
        <v>0.2924211169520948</v>
      </c>
      <c r="T48" s="97">
        <v>1.055527934161153</v>
      </c>
      <c r="U48" s="97">
        <v>0.1797579424511798</v>
      </c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</row>
    <row r="49" ht="21.0" customHeight="1">
      <c r="A49" s="94">
        <v>1.4361245E8</v>
      </c>
      <c r="B49" s="94" t="s">
        <v>131</v>
      </c>
      <c r="C49" s="95">
        <v>4.9110059E7</v>
      </c>
      <c r="D49" s="95">
        <v>9.06159691E8</v>
      </c>
      <c r="E49" s="95">
        <v>600221.0</v>
      </c>
      <c r="F49" s="95">
        <v>4075097.0</v>
      </c>
      <c r="G49" s="147">
        <v>8.451634223689097E7</v>
      </c>
      <c r="H49" s="147">
        <v>4.090529053794592E7</v>
      </c>
      <c r="I49" s="148">
        <v>1.3733209299332517E8</v>
      </c>
      <c r="J49" s="149">
        <v>6.0</v>
      </c>
      <c r="K49" s="149">
        <v>201250.0</v>
      </c>
      <c r="L49" s="149">
        <v>2146336.0</v>
      </c>
      <c r="M49" s="96">
        <v>2347586.0</v>
      </c>
      <c r="N49" s="96">
        <v>51438.0</v>
      </c>
      <c r="O49" s="96">
        <v>0.0</v>
      </c>
      <c r="P49" s="96">
        <v>51438.0</v>
      </c>
      <c r="Q49" s="96">
        <v>-444806.0</v>
      </c>
      <c r="R49" s="96">
        <v>4.4939553E7</v>
      </c>
      <c r="S49" s="97">
        <v>0.5317261941369738</v>
      </c>
      <c r="T49" s="97">
        <v>0.12574901516047998</v>
      </c>
      <c r="U49" s="97">
        <v>0.32723271028997003</v>
      </c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</row>
    <row r="50" ht="21.0" customHeight="1">
      <c r="A50" s="94">
        <v>1.81734011E8</v>
      </c>
      <c r="B50" s="94" t="s">
        <v>132</v>
      </c>
      <c r="C50" s="95">
        <v>3.3480341E7</v>
      </c>
      <c r="D50" s="95">
        <v>1.38977963E8</v>
      </c>
      <c r="E50" s="95">
        <v>458920.0</v>
      </c>
      <c r="F50" s="95">
        <v>676760.0</v>
      </c>
      <c r="G50" s="147">
        <v>4.6267504857155226E7</v>
      </c>
      <c r="H50" s="147">
        <v>9200474.64473447</v>
      </c>
      <c r="I50" s="148">
        <v>6.857691403617933E7</v>
      </c>
      <c r="J50" s="149">
        <v>162834.0</v>
      </c>
      <c r="K50" s="149">
        <v>787576.0</v>
      </c>
      <c r="L50" s="149">
        <v>793309.0</v>
      </c>
      <c r="M50" s="96">
        <v>1580885.0</v>
      </c>
      <c r="N50" s="96">
        <v>669459.0</v>
      </c>
      <c r="O50" s="96">
        <v>0.0</v>
      </c>
      <c r="P50" s="96">
        <v>669459.0</v>
      </c>
      <c r="Q50" s="96">
        <v>-3203904.0</v>
      </c>
      <c r="R50" s="96">
        <v>2.3808005E7</v>
      </c>
      <c r="S50" s="97">
        <v>0.5145729183690378</v>
      </c>
      <c r="T50" s="97">
        <v>7.2763528605900625</v>
      </c>
      <c r="U50" s="97">
        <v>0.3471723003960128</v>
      </c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ht="21.0" customHeight="1">
      <c r="A51" s="94"/>
      <c r="B51" s="94"/>
      <c r="C51" s="95"/>
      <c r="D51" s="95"/>
      <c r="E51" s="95"/>
      <c r="F51" s="95"/>
      <c r="G51" s="95"/>
      <c r="H51" s="95"/>
      <c r="I51" s="95"/>
      <c r="J51" s="100">
        <f t="shared" ref="J51:R51" si="1">SUM(J4:J50)</f>
        <v>1305859</v>
      </c>
      <c r="K51" s="100">
        <f t="shared" si="1"/>
        <v>37095340</v>
      </c>
      <c r="L51" s="100">
        <f t="shared" si="1"/>
        <v>242318587</v>
      </c>
      <c r="M51" s="100">
        <f t="shared" si="1"/>
        <v>279413927</v>
      </c>
      <c r="N51" s="100">
        <f t="shared" si="1"/>
        <v>5227883</v>
      </c>
      <c r="O51" s="100">
        <f t="shared" si="1"/>
        <v>13808553</v>
      </c>
      <c r="P51" s="100">
        <f t="shared" si="1"/>
        <v>19036436</v>
      </c>
      <c r="Q51" s="100">
        <f t="shared" si="1"/>
        <v>-169697551</v>
      </c>
      <c r="R51" s="100">
        <f t="shared" si="1"/>
        <v>5218491847</v>
      </c>
      <c r="S51" s="101"/>
      <c r="T51" s="101"/>
      <c r="U51" s="102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ht="21.0" customHeight="1">
      <c r="A52" s="94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01"/>
      <c r="T52" s="101"/>
      <c r="U52" s="102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</row>
    <row r="53" ht="21.0" customHeight="1">
      <c r="A53" s="9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101"/>
      <c r="T53" s="101"/>
      <c r="U53" s="102"/>
      <c r="V53" s="79"/>
      <c r="W53" s="79"/>
      <c r="X53" s="104"/>
      <c r="Y53" s="104"/>
      <c r="Z53" s="104"/>
      <c r="AA53" s="104"/>
      <c r="AB53" s="104"/>
      <c r="AC53" s="104"/>
      <c r="AD53" s="104"/>
      <c r="AE53" s="104"/>
      <c r="AF53" s="104"/>
    </row>
    <row r="54" ht="21.0" customHeight="1">
      <c r="A54" s="94"/>
      <c r="B54" s="94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101"/>
      <c r="T54" s="101"/>
      <c r="U54" s="102"/>
      <c r="V54" s="79"/>
      <c r="W54" s="79"/>
      <c r="X54" s="104"/>
      <c r="Y54" s="104"/>
      <c r="Z54" s="104"/>
      <c r="AA54" s="104"/>
      <c r="AB54" s="104"/>
      <c r="AC54" s="104"/>
      <c r="AD54" s="104"/>
      <c r="AE54" s="104"/>
      <c r="AF54" s="104"/>
    </row>
    <row r="55" ht="21.0" customHeight="1">
      <c r="A55" s="94"/>
      <c r="B55" s="94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101"/>
      <c r="T55" s="101"/>
      <c r="U55" s="102"/>
      <c r="V55" s="79"/>
      <c r="W55" s="79"/>
      <c r="X55" s="104"/>
      <c r="Y55" s="104"/>
      <c r="Z55" s="104"/>
      <c r="AA55" s="104"/>
      <c r="AB55" s="104"/>
      <c r="AC55" s="104"/>
      <c r="AD55" s="104"/>
      <c r="AE55" s="104"/>
      <c r="AF55" s="104"/>
    </row>
    <row r="56" ht="21.0" customHeight="1">
      <c r="A56" s="94"/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101"/>
      <c r="T56" s="101"/>
      <c r="U56" s="102"/>
      <c r="V56" s="79"/>
      <c r="W56" s="79"/>
      <c r="X56" s="104"/>
      <c r="Y56" s="104"/>
      <c r="Z56" s="104"/>
      <c r="AA56" s="104"/>
      <c r="AB56" s="104"/>
      <c r="AC56" s="104"/>
      <c r="AD56" s="104"/>
      <c r="AE56" s="104"/>
      <c r="AF56" s="104"/>
    </row>
    <row r="57" ht="21.0" customHeight="1">
      <c r="A57" s="94"/>
      <c r="B57" s="94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101"/>
      <c r="T57" s="101"/>
      <c r="U57" s="102"/>
      <c r="V57" s="79"/>
      <c r="W57" s="79"/>
      <c r="X57" s="104"/>
      <c r="Y57" s="104"/>
      <c r="Z57" s="104"/>
      <c r="AA57" s="104"/>
      <c r="AB57" s="104"/>
      <c r="AC57" s="104"/>
      <c r="AD57" s="104"/>
      <c r="AE57" s="104"/>
      <c r="AF57" s="104"/>
    </row>
    <row r="58" ht="21.0" customHeight="1">
      <c r="A58" s="94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01"/>
      <c r="T58" s="101"/>
      <c r="U58" s="102"/>
      <c r="V58" s="79"/>
      <c r="W58" s="79"/>
      <c r="X58" s="104"/>
      <c r="Y58" s="104"/>
      <c r="Z58" s="104"/>
      <c r="AA58" s="104"/>
      <c r="AB58" s="104"/>
      <c r="AC58" s="104"/>
      <c r="AD58" s="104"/>
      <c r="AE58" s="104"/>
      <c r="AF58" s="104"/>
    </row>
    <row r="59" ht="21.0" customHeight="1">
      <c r="A59" s="94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101"/>
      <c r="T59" s="101"/>
      <c r="U59" s="102"/>
      <c r="V59" s="79"/>
      <c r="W59" s="79"/>
      <c r="X59" s="104"/>
      <c r="Y59" s="104"/>
      <c r="Z59" s="104"/>
      <c r="AA59" s="104"/>
      <c r="AB59" s="104"/>
      <c r="AC59" s="104"/>
      <c r="AD59" s="104"/>
      <c r="AE59" s="104"/>
      <c r="AF59" s="104"/>
    </row>
    <row r="60" ht="21.0" customHeight="1">
      <c r="A60" s="94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101"/>
      <c r="T60" s="101"/>
      <c r="U60" s="102"/>
      <c r="V60" s="79"/>
      <c r="W60" s="79"/>
      <c r="X60" s="104"/>
      <c r="Y60" s="104"/>
      <c r="Z60" s="104"/>
      <c r="AA60" s="104"/>
      <c r="AB60" s="104"/>
      <c r="AC60" s="104"/>
      <c r="AD60" s="104"/>
      <c r="AE60" s="104"/>
      <c r="AF60" s="104"/>
    </row>
    <row r="61" ht="21.0" customHeight="1">
      <c r="A61" s="94"/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101"/>
      <c r="T61" s="101"/>
      <c r="U61" s="102"/>
      <c r="V61" s="79"/>
      <c r="W61" s="79"/>
      <c r="X61" s="104"/>
      <c r="Y61" s="104"/>
      <c r="Z61" s="104"/>
      <c r="AA61" s="104"/>
      <c r="AB61" s="104"/>
      <c r="AC61" s="104"/>
      <c r="AD61" s="104"/>
      <c r="AE61" s="104"/>
      <c r="AF61" s="104"/>
    </row>
    <row r="62" ht="21.0" customHeight="1">
      <c r="A62" s="94"/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101"/>
      <c r="T62" s="101"/>
      <c r="U62" s="102"/>
      <c r="V62" s="79"/>
      <c r="W62" s="79"/>
      <c r="X62" s="104"/>
      <c r="Y62" s="104"/>
      <c r="Z62" s="104"/>
      <c r="AA62" s="104"/>
      <c r="AB62" s="104"/>
      <c r="AC62" s="104"/>
      <c r="AD62" s="104"/>
      <c r="AE62" s="104"/>
      <c r="AF62" s="104"/>
    </row>
    <row r="63" ht="21.0" customHeight="1">
      <c r="A63" s="94"/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101"/>
      <c r="T63" s="101"/>
      <c r="U63" s="102"/>
      <c r="V63" s="79"/>
      <c r="W63" s="79"/>
      <c r="X63" s="104"/>
      <c r="Y63" s="104"/>
      <c r="Z63" s="104"/>
      <c r="AA63" s="104"/>
      <c r="AB63" s="104"/>
      <c r="AC63" s="104"/>
      <c r="AD63" s="104"/>
      <c r="AE63" s="104"/>
      <c r="AF63" s="104"/>
    </row>
    <row r="64" ht="21.0" customHeight="1">
      <c r="A64" s="9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101"/>
      <c r="T64" s="101"/>
      <c r="U64" s="102"/>
      <c r="V64" s="79"/>
      <c r="W64" s="79"/>
      <c r="X64" s="104"/>
      <c r="Y64" s="104"/>
      <c r="Z64" s="104"/>
      <c r="AA64" s="104"/>
      <c r="AB64" s="104"/>
      <c r="AC64" s="104"/>
      <c r="AD64" s="104"/>
      <c r="AE64" s="104"/>
      <c r="AF64" s="104"/>
    </row>
    <row r="65" ht="21.0" customHeight="1">
      <c r="A65" s="94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101"/>
      <c r="T65" s="101"/>
      <c r="U65" s="102"/>
      <c r="V65" s="79"/>
      <c r="W65" s="79"/>
      <c r="X65" s="104"/>
      <c r="Y65" s="104"/>
      <c r="Z65" s="104"/>
      <c r="AA65" s="104"/>
      <c r="AB65" s="104"/>
      <c r="AC65" s="104"/>
      <c r="AD65" s="104"/>
      <c r="AE65" s="104"/>
      <c r="AF65" s="104"/>
    </row>
    <row r="66" ht="21.0" customHeight="1">
      <c r="A66" s="94"/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101"/>
      <c r="T66" s="101"/>
      <c r="U66" s="102"/>
      <c r="V66" s="79"/>
      <c r="W66" s="79"/>
      <c r="X66" s="104"/>
      <c r="Y66" s="104"/>
      <c r="Z66" s="104"/>
      <c r="AA66" s="104"/>
      <c r="AB66" s="104"/>
      <c r="AC66" s="104"/>
      <c r="AD66" s="104"/>
      <c r="AE66" s="104"/>
      <c r="AF66" s="104"/>
    </row>
    <row r="67" ht="21.0" customHeight="1">
      <c r="A67" s="94"/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101"/>
      <c r="T67" s="101"/>
      <c r="U67" s="102"/>
      <c r="V67" s="79"/>
      <c r="W67" s="79"/>
      <c r="X67" s="104"/>
      <c r="Y67" s="104"/>
      <c r="Z67" s="104"/>
      <c r="AA67" s="104"/>
      <c r="AB67" s="104"/>
      <c r="AC67" s="104"/>
      <c r="AD67" s="104"/>
      <c r="AE67" s="104"/>
      <c r="AF67" s="104"/>
    </row>
    <row r="68" ht="21.0" customHeight="1">
      <c r="A68" s="94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101"/>
      <c r="T68" s="101"/>
      <c r="U68" s="102"/>
      <c r="V68" s="79"/>
      <c r="W68" s="79"/>
      <c r="X68" s="104"/>
      <c r="Y68" s="104"/>
      <c r="Z68" s="104"/>
      <c r="AA68" s="104"/>
      <c r="AB68" s="104"/>
      <c r="AC68" s="104"/>
      <c r="AD68" s="104"/>
      <c r="AE68" s="104"/>
      <c r="AF68" s="104"/>
    </row>
    <row r="69" ht="21.0" customHeight="1">
      <c r="A69" s="94"/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101"/>
      <c r="T69" s="101"/>
      <c r="U69" s="102"/>
      <c r="V69" s="79"/>
      <c r="W69" s="79"/>
      <c r="X69" s="104"/>
      <c r="Y69" s="104"/>
      <c r="Z69" s="104"/>
      <c r="AA69" s="104"/>
      <c r="AB69" s="104"/>
      <c r="AC69" s="104"/>
      <c r="AD69" s="104"/>
      <c r="AE69" s="104"/>
      <c r="AF69" s="104"/>
    </row>
    <row r="70" ht="21.0" customHeight="1">
      <c r="A70" s="94"/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101"/>
      <c r="T70" s="101"/>
      <c r="U70" s="102"/>
      <c r="V70" s="79"/>
      <c r="W70" s="79"/>
      <c r="X70" s="104"/>
      <c r="Y70" s="104"/>
      <c r="Z70" s="104"/>
      <c r="AA70" s="104"/>
      <c r="AB70" s="104"/>
      <c r="AC70" s="104"/>
      <c r="AD70" s="104"/>
      <c r="AE70" s="104"/>
      <c r="AF70" s="104"/>
    </row>
    <row r="71" ht="21.0" customHeight="1">
      <c r="A71" s="94"/>
      <c r="B71" s="94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101"/>
      <c r="T71" s="101"/>
      <c r="U71" s="102"/>
      <c r="V71" s="79"/>
      <c r="W71" s="79"/>
      <c r="X71" s="104"/>
      <c r="Y71" s="104"/>
      <c r="Z71" s="104"/>
      <c r="AA71" s="104"/>
      <c r="AB71" s="104"/>
      <c r="AC71" s="104"/>
      <c r="AD71" s="104"/>
      <c r="AE71" s="104"/>
      <c r="AF71" s="104"/>
    </row>
    <row r="72" ht="21.0" customHeight="1">
      <c r="A72" s="94"/>
      <c r="B72" s="94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101"/>
      <c r="T72" s="101"/>
      <c r="U72" s="102"/>
      <c r="V72" s="79"/>
      <c r="W72" s="79"/>
      <c r="X72" s="104"/>
      <c r="Y72" s="104"/>
      <c r="Z72" s="104"/>
      <c r="AA72" s="104"/>
      <c r="AB72" s="104"/>
      <c r="AC72" s="104"/>
      <c r="AD72" s="104"/>
      <c r="AE72" s="104"/>
      <c r="AF72" s="104"/>
    </row>
    <row r="73" ht="21.0" customHeight="1">
      <c r="A73" s="94"/>
      <c r="B73" s="94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01"/>
      <c r="T73" s="101"/>
      <c r="U73" s="102"/>
      <c r="V73" s="79"/>
      <c r="W73" s="79"/>
      <c r="X73" s="104"/>
      <c r="Y73" s="104"/>
      <c r="Z73" s="104"/>
      <c r="AA73" s="104"/>
      <c r="AB73" s="104"/>
      <c r="AC73" s="104"/>
      <c r="AD73" s="104"/>
      <c r="AE73" s="104"/>
      <c r="AF73" s="104"/>
    </row>
    <row r="74" ht="21.0" customHeight="1">
      <c r="A74" s="94"/>
      <c r="B74" s="94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101"/>
      <c r="T74" s="101"/>
      <c r="U74" s="102"/>
      <c r="V74" s="79"/>
      <c r="W74" s="79"/>
      <c r="X74" s="104"/>
      <c r="Y74" s="104"/>
      <c r="Z74" s="104"/>
      <c r="AA74" s="104"/>
      <c r="AB74" s="104"/>
      <c r="AC74" s="104"/>
      <c r="AD74" s="104"/>
      <c r="AE74" s="104"/>
      <c r="AF74" s="104"/>
    </row>
    <row r="75" ht="21.0" customHeight="1">
      <c r="A75" s="94"/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101"/>
      <c r="T75" s="101"/>
      <c r="U75" s="102"/>
      <c r="V75" s="79"/>
      <c r="W75" s="79"/>
      <c r="X75" s="104"/>
      <c r="Y75" s="104"/>
      <c r="Z75" s="104"/>
      <c r="AA75" s="104"/>
      <c r="AB75" s="104"/>
      <c r="AC75" s="104"/>
      <c r="AD75" s="104"/>
      <c r="AE75" s="104"/>
      <c r="AF75" s="104"/>
    </row>
    <row r="76" ht="21.0" customHeight="1">
      <c r="A76" s="94"/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101"/>
      <c r="T76" s="101"/>
      <c r="U76" s="102"/>
      <c r="V76" s="79"/>
      <c r="W76" s="79"/>
      <c r="X76" s="104"/>
      <c r="Y76" s="104"/>
      <c r="Z76" s="104"/>
      <c r="AA76" s="104"/>
      <c r="AB76" s="104"/>
      <c r="AC76" s="104"/>
      <c r="AD76" s="104"/>
      <c r="AE76" s="104"/>
      <c r="AF76" s="104"/>
    </row>
    <row r="77" ht="21.0" customHeight="1">
      <c r="A77" s="94"/>
      <c r="B77" s="94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101"/>
      <c r="T77" s="101"/>
      <c r="U77" s="102"/>
      <c r="V77" s="79"/>
      <c r="W77" s="79"/>
      <c r="X77" s="104"/>
      <c r="Y77" s="104"/>
      <c r="Z77" s="104"/>
      <c r="AA77" s="104"/>
      <c r="AB77" s="104"/>
      <c r="AC77" s="104"/>
      <c r="AD77" s="104"/>
      <c r="AE77" s="104"/>
      <c r="AF77" s="104"/>
    </row>
    <row r="78" ht="21.0" customHeight="1">
      <c r="A78" s="94"/>
      <c r="B78" s="94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101"/>
      <c r="T78" s="101"/>
      <c r="U78" s="102"/>
      <c r="V78" s="79"/>
      <c r="W78" s="79"/>
      <c r="X78" s="104"/>
      <c r="Y78" s="104"/>
      <c r="Z78" s="104"/>
      <c r="AA78" s="104"/>
      <c r="AB78" s="104"/>
      <c r="AC78" s="104"/>
      <c r="AD78" s="104"/>
      <c r="AE78" s="104"/>
      <c r="AF78" s="104"/>
    </row>
    <row r="79" ht="21.0" customHeight="1">
      <c r="A79" s="94"/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101"/>
      <c r="T79" s="101"/>
      <c r="U79" s="102"/>
      <c r="V79" s="79"/>
      <c r="W79" s="79"/>
      <c r="X79" s="104"/>
      <c r="Y79" s="104"/>
      <c r="Z79" s="104"/>
      <c r="AA79" s="104"/>
      <c r="AB79" s="104"/>
      <c r="AC79" s="104"/>
      <c r="AD79" s="104"/>
      <c r="AE79" s="104"/>
      <c r="AF79" s="104"/>
    </row>
    <row r="80" ht="21.0" customHeight="1">
      <c r="A80" s="94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101"/>
      <c r="T80" s="101"/>
      <c r="U80" s="102"/>
      <c r="V80" s="79"/>
      <c r="W80" s="79"/>
      <c r="X80" s="104"/>
      <c r="Y80" s="104"/>
      <c r="Z80" s="104"/>
      <c r="AA80" s="104"/>
      <c r="AB80" s="104"/>
      <c r="AC80" s="104"/>
      <c r="AD80" s="104"/>
      <c r="AE80" s="104"/>
      <c r="AF80" s="104"/>
    </row>
    <row r="81" ht="21.0" customHeight="1">
      <c r="A81" s="94"/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101"/>
      <c r="T81" s="101"/>
      <c r="U81" s="102"/>
      <c r="V81" s="79"/>
      <c r="W81" s="79"/>
      <c r="X81" s="104"/>
      <c r="Y81" s="104"/>
      <c r="Z81" s="104"/>
      <c r="AA81" s="104"/>
      <c r="AB81" s="104"/>
      <c r="AC81" s="104"/>
      <c r="AD81" s="104"/>
      <c r="AE81" s="104"/>
      <c r="AF81" s="104"/>
    </row>
    <row r="82" ht="21.0" customHeight="1">
      <c r="A82" s="94"/>
      <c r="B82" s="94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101"/>
      <c r="T82" s="101"/>
      <c r="U82" s="102"/>
      <c r="V82" s="79"/>
      <c r="W82" s="79"/>
      <c r="X82" s="104"/>
      <c r="Y82" s="104"/>
      <c r="Z82" s="104"/>
      <c r="AA82" s="104"/>
      <c r="AB82" s="104"/>
      <c r="AC82" s="104"/>
      <c r="AD82" s="104"/>
      <c r="AE82" s="104"/>
      <c r="AF82" s="104"/>
    </row>
    <row r="83" ht="21.0" customHeight="1">
      <c r="A83" s="94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101"/>
      <c r="T83" s="101"/>
      <c r="U83" s="102"/>
      <c r="V83" s="79"/>
      <c r="W83" s="79"/>
      <c r="X83" s="104"/>
      <c r="Y83" s="104"/>
      <c r="Z83" s="104"/>
      <c r="AA83" s="104"/>
      <c r="AB83" s="104"/>
      <c r="AC83" s="104"/>
      <c r="AD83" s="104"/>
      <c r="AE83" s="104"/>
      <c r="AF83" s="104"/>
    </row>
    <row r="84" ht="21.0" customHeight="1">
      <c r="A84" s="94"/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101"/>
      <c r="T84" s="101"/>
      <c r="U84" s="102"/>
      <c r="V84" s="79"/>
      <c r="W84" s="79"/>
      <c r="X84" s="104"/>
      <c r="Y84" s="104"/>
      <c r="Z84" s="104"/>
      <c r="AA84" s="104"/>
      <c r="AB84" s="104"/>
      <c r="AC84" s="104"/>
      <c r="AD84" s="104"/>
      <c r="AE84" s="104"/>
      <c r="AF84" s="104"/>
    </row>
    <row r="85" ht="21.0" customHeight="1">
      <c r="A85" s="94"/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101"/>
      <c r="T85" s="101"/>
      <c r="U85" s="102"/>
      <c r="V85" s="79"/>
      <c r="W85" s="79"/>
      <c r="X85" s="104"/>
      <c r="Y85" s="104"/>
      <c r="Z85" s="104"/>
      <c r="AA85" s="104"/>
      <c r="AB85" s="104"/>
      <c r="AC85" s="104"/>
      <c r="AD85" s="104"/>
      <c r="AE85" s="104"/>
      <c r="AF85" s="104"/>
    </row>
    <row r="86" ht="21.0" customHeight="1">
      <c r="A86" s="94"/>
      <c r="B86" s="94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101"/>
      <c r="T86" s="101"/>
      <c r="U86" s="102"/>
      <c r="V86" s="79"/>
      <c r="W86" s="79"/>
      <c r="X86" s="104"/>
      <c r="Y86" s="104"/>
      <c r="Z86" s="104"/>
      <c r="AA86" s="104"/>
      <c r="AB86" s="104"/>
      <c r="AC86" s="104"/>
      <c r="AD86" s="104"/>
      <c r="AE86" s="104"/>
      <c r="AF86" s="104"/>
    </row>
    <row r="87" ht="21.0" customHeight="1">
      <c r="A87" s="94"/>
      <c r="B87" s="94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101"/>
      <c r="T87" s="101"/>
      <c r="U87" s="102"/>
      <c r="V87" s="79"/>
      <c r="W87" s="79"/>
      <c r="X87" s="104"/>
      <c r="Y87" s="104"/>
      <c r="Z87" s="104"/>
      <c r="AA87" s="104"/>
      <c r="AB87" s="104"/>
      <c r="AC87" s="104"/>
      <c r="AD87" s="104"/>
      <c r="AE87" s="104"/>
      <c r="AF87" s="104"/>
    </row>
    <row r="88" ht="21.0" customHeight="1">
      <c r="A88" s="94"/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01"/>
      <c r="T88" s="101"/>
      <c r="U88" s="102"/>
      <c r="V88" s="79"/>
      <c r="W88" s="79"/>
      <c r="X88" s="104"/>
      <c r="Y88" s="104"/>
      <c r="Z88" s="104"/>
      <c r="AA88" s="104"/>
      <c r="AB88" s="104"/>
      <c r="AC88" s="104"/>
      <c r="AD88" s="104"/>
      <c r="AE88" s="104"/>
      <c r="AF88" s="104"/>
    </row>
    <row r="89" ht="21.0" customHeight="1">
      <c r="A89" s="94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101"/>
      <c r="T89" s="101"/>
      <c r="U89" s="102"/>
      <c r="V89" s="79"/>
      <c r="W89" s="79"/>
      <c r="X89" s="104"/>
      <c r="Y89" s="104"/>
      <c r="Z89" s="104"/>
      <c r="AA89" s="104"/>
      <c r="AB89" s="104"/>
      <c r="AC89" s="104"/>
      <c r="AD89" s="104"/>
      <c r="AE89" s="104"/>
      <c r="AF89" s="104"/>
    </row>
    <row r="90" ht="21.0" customHeight="1">
      <c r="A90" s="94"/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101"/>
      <c r="T90" s="101"/>
      <c r="U90" s="102"/>
      <c r="V90" s="79"/>
      <c r="W90" s="79"/>
      <c r="X90" s="104"/>
      <c r="Y90" s="104"/>
      <c r="Z90" s="104"/>
      <c r="AA90" s="104"/>
      <c r="AB90" s="104"/>
      <c r="AC90" s="104"/>
      <c r="AD90" s="104"/>
      <c r="AE90" s="104"/>
      <c r="AF90" s="104"/>
    </row>
    <row r="91" ht="21.0" customHeight="1">
      <c r="A91" s="94"/>
      <c r="B91" s="94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101"/>
      <c r="T91" s="101"/>
      <c r="U91" s="102"/>
      <c r="V91" s="79"/>
      <c r="W91" s="79"/>
      <c r="X91" s="104"/>
      <c r="Y91" s="104"/>
      <c r="Z91" s="104"/>
      <c r="AA91" s="104"/>
      <c r="AB91" s="104"/>
      <c r="AC91" s="104"/>
      <c r="AD91" s="104"/>
      <c r="AE91" s="104"/>
      <c r="AF91" s="104"/>
    </row>
    <row r="92" ht="21.0" customHeight="1">
      <c r="A92" s="94"/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101"/>
      <c r="T92" s="101"/>
      <c r="U92" s="102"/>
      <c r="V92" s="79"/>
      <c r="W92" s="79"/>
      <c r="X92" s="104"/>
      <c r="Y92" s="104"/>
      <c r="Z92" s="104"/>
      <c r="AA92" s="104"/>
      <c r="AB92" s="104"/>
      <c r="AC92" s="104"/>
      <c r="AD92" s="104"/>
      <c r="AE92" s="104"/>
      <c r="AF92" s="104"/>
    </row>
    <row r="93" ht="21.0" customHeight="1">
      <c r="A93" s="94"/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101"/>
      <c r="T93" s="101"/>
      <c r="U93" s="102"/>
      <c r="V93" s="79"/>
      <c r="W93" s="79"/>
      <c r="X93" s="104"/>
      <c r="Y93" s="104"/>
      <c r="Z93" s="104"/>
      <c r="AA93" s="104"/>
      <c r="AB93" s="104"/>
      <c r="AC93" s="104"/>
      <c r="AD93" s="104"/>
      <c r="AE93" s="104"/>
      <c r="AF93" s="104"/>
    </row>
    <row r="94" ht="21.0" customHeight="1">
      <c r="A94" s="94"/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101"/>
      <c r="T94" s="101"/>
      <c r="U94" s="102"/>
      <c r="V94" s="79"/>
      <c r="W94" s="79"/>
      <c r="X94" s="104"/>
      <c r="Y94" s="104"/>
      <c r="Z94" s="104"/>
      <c r="AA94" s="104"/>
      <c r="AB94" s="104"/>
      <c r="AC94" s="104"/>
      <c r="AD94" s="104"/>
      <c r="AE94" s="104"/>
      <c r="AF94" s="104"/>
    </row>
    <row r="95" ht="21.0" customHeight="1">
      <c r="A95" s="94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101"/>
      <c r="T95" s="101"/>
      <c r="U95" s="102"/>
      <c r="V95" s="79"/>
      <c r="W95" s="79"/>
      <c r="X95" s="104"/>
      <c r="Y95" s="104"/>
      <c r="Z95" s="104"/>
      <c r="AA95" s="104"/>
      <c r="AB95" s="104"/>
      <c r="AC95" s="104"/>
      <c r="AD95" s="104"/>
      <c r="AE95" s="104"/>
      <c r="AF95" s="104"/>
    </row>
    <row r="96" ht="21.0" customHeight="1">
      <c r="A96" s="94"/>
      <c r="B96" s="94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101"/>
      <c r="T96" s="101"/>
      <c r="U96" s="102"/>
      <c r="V96" s="79"/>
      <c r="W96" s="79"/>
      <c r="X96" s="104"/>
      <c r="Y96" s="104"/>
      <c r="Z96" s="104"/>
      <c r="AA96" s="104"/>
      <c r="AB96" s="104"/>
      <c r="AC96" s="104"/>
      <c r="AD96" s="104"/>
      <c r="AE96" s="104"/>
      <c r="AF96" s="104"/>
    </row>
    <row r="97" ht="21.0" customHeight="1">
      <c r="A97" s="94"/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101"/>
      <c r="T97" s="101"/>
      <c r="U97" s="102"/>
      <c r="V97" s="79"/>
      <c r="W97" s="79"/>
      <c r="X97" s="104"/>
      <c r="Y97" s="104"/>
      <c r="Z97" s="104"/>
      <c r="AA97" s="104"/>
      <c r="AB97" s="104"/>
      <c r="AC97" s="104"/>
      <c r="AD97" s="104"/>
      <c r="AE97" s="104"/>
      <c r="AF97" s="104"/>
    </row>
    <row r="98" ht="21.0" customHeight="1">
      <c r="A98" s="94"/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101"/>
      <c r="T98" s="101"/>
      <c r="U98" s="102"/>
      <c r="V98" s="79"/>
      <c r="W98" s="79"/>
      <c r="X98" s="104"/>
      <c r="Y98" s="104"/>
      <c r="Z98" s="104"/>
      <c r="AA98" s="104"/>
      <c r="AB98" s="104"/>
      <c r="AC98" s="104"/>
      <c r="AD98" s="104"/>
      <c r="AE98" s="104"/>
      <c r="AF98" s="104"/>
    </row>
    <row r="99" ht="21.0" customHeight="1">
      <c r="A99" s="94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101"/>
      <c r="T99" s="101"/>
      <c r="U99" s="102"/>
      <c r="V99" s="79"/>
      <c r="W99" s="79"/>
      <c r="X99" s="104"/>
      <c r="Y99" s="104"/>
      <c r="Z99" s="104"/>
      <c r="AA99" s="104"/>
      <c r="AB99" s="104"/>
      <c r="AC99" s="104"/>
      <c r="AD99" s="104"/>
      <c r="AE99" s="104"/>
      <c r="AF99" s="104"/>
    </row>
    <row r="100" ht="21.0" customHeight="1">
      <c r="A100" s="94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101"/>
      <c r="T100" s="101"/>
      <c r="U100" s="102"/>
      <c r="V100" s="79"/>
      <c r="W100" s="79"/>
      <c r="X100" s="104"/>
      <c r="Y100" s="104"/>
      <c r="Z100" s="104"/>
      <c r="AA100" s="104"/>
      <c r="AB100" s="104"/>
      <c r="AC100" s="104"/>
      <c r="AD100" s="104"/>
      <c r="AE100" s="104"/>
      <c r="AF100" s="104"/>
    </row>
    <row r="101" ht="21.0" customHeight="1">
      <c r="A101" s="94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101"/>
      <c r="T101" s="101"/>
      <c r="U101" s="102"/>
      <c r="V101" s="79"/>
      <c r="W101" s="79"/>
      <c r="X101" s="104"/>
      <c r="Y101" s="104"/>
      <c r="Z101" s="104"/>
      <c r="AA101" s="104"/>
      <c r="AB101" s="104"/>
      <c r="AC101" s="104"/>
      <c r="AD101" s="104"/>
      <c r="AE101" s="104"/>
      <c r="AF101" s="104"/>
    </row>
    <row r="102" ht="21.0" customHeight="1">
      <c r="A102" s="94"/>
      <c r="B102" s="94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01"/>
      <c r="T102" s="101"/>
      <c r="U102" s="102"/>
      <c r="V102" s="79"/>
      <c r="W102" s="79"/>
      <c r="X102" s="104"/>
      <c r="Y102" s="104"/>
      <c r="Z102" s="104"/>
      <c r="AA102" s="104"/>
      <c r="AB102" s="104"/>
      <c r="AC102" s="104"/>
      <c r="AD102" s="104"/>
      <c r="AE102" s="104"/>
      <c r="AF102" s="104"/>
    </row>
    <row r="103" ht="21.0" customHeight="1">
      <c r="A103" s="94"/>
      <c r="B103" s="94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101"/>
      <c r="T103" s="101"/>
      <c r="U103" s="102"/>
      <c r="V103" s="79"/>
      <c r="W103" s="79"/>
      <c r="X103" s="104"/>
      <c r="Y103" s="104"/>
      <c r="Z103" s="104"/>
      <c r="AA103" s="104"/>
      <c r="AB103" s="104"/>
      <c r="AC103" s="104"/>
      <c r="AD103" s="104"/>
      <c r="AE103" s="104"/>
      <c r="AF103" s="104"/>
    </row>
    <row r="104" ht="21.0" customHeight="1">
      <c r="A104" s="94"/>
      <c r="B104" s="94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101"/>
      <c r="T104" s="101"/>
      <c r="U104" s="102"/>
      <c r="V104" s="79"/>
      <c r="W104" s="79"/>
      <c r="X104" s="104"/>
      <c r="Y104" s="104"/>
      <c r="Z104" s="104"/>
      <c r="AA104" s="104"/>
      <c r="AB104" s="104"/>
      <c r="AC104" s="104"/>
      <c r="AD104" s="104"/>
      <c r="AE104" s="104"/>
      <c r="AF104" s="104"/>
    </row>
    <row r="105" ht="21.0" customHeight="1">
      <c r="A105" s="94"/>
      <c r="B105" s="94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101"/>
      <c r="T105" s="101"/>
      <c r="U105" s="102"/>
      <c r="V105" s="79"/>
      <c r="W105" s="79"/>
      <c r="X105" s="104"/>
      <c r="Y105" s="104"/>
      <c r="Z105" s="104"/>
      <c r="AA105" s="104"/>
      <c r="AB105" s="104"/>
      <c r="AC105" s="104"/>
      <c r="AD105" s="104"/>
      <c r="AE105" s="104"/>
      <c r="AF105" s="104"/>
    </row>
    <row r="106" ht="21.0" customHeight="1">
      <c r="A106" s="94"/>
      <c r="B106" s="94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101"/>
      <c r="T106" s="101"/>
      <c r="U106" s="102"/>
      <c r="V106" s="79"/>
      <c r="W106" s="79"/>
      <c r="X106" s="104"/>
      <c r="Y106" s="104"/>
      <c r="Z106" s="104"/>
      <c r="AA106" s="104"/>
      <c r="AB106" s="104"/>
      <c r="AC106" s="104"/>
      <c r="AD106" s="104"/>
      <c r="AE106" s="104"/>
      <c r="AF106" s="104"/>
    </row>
    <row r="107" ht="21.0" customHeight="1">
      <c r="A107" s="94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101"/>
      <c r="T107" s="101"/>
      <c r="U107" s="102"/>
      <c r="V107" s="79"/>
      <c r="W107" s="79"/>
      <c r="X107" s="104"/>
      <c r="Y107" s="104"/>
      <c r="Z107" s="104"/>
      <c r="AA107" s="104"/>
      <c r="AB107" s="104"/>
      <c r="AC107" s="104"/>
      <c r="AD107" s="104"/>
      <c r="AE107" s="104"/>
      <c r="AF107" s="104"/>
    </row>
    <row r="108" ht="21.0" customHeight="1">
      <c r="A108" s="94"/>
      <c r="B108" s="94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101"/>
      <c r="T108" s="101"/>
      <c r="U108" s="102"/>
      <c r="V108" s="79"/>
      <c r="W108" s="79"/>
      <c r="X108" s="104"/>
      <c r="Y108" s="104"/>
      <c r="Z108" s="104"/>
      <c r="AA108" s="104"/>
      <c r="AB108" s="104"/>
      <c r="AC108" s="104"/>
      <c r="AD108" s="104"/>
      <c r="AE108" s="104"/>
      <c r="AF108" s="104"/>
    </row>
    <row r="109" ht="21.0" customHeight="1">
      <c r="A109" s="94"/>
      <c r="B109" s="94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01"/>
      <c r="T109" s="101"/>
      <c r="U109" s="102"/>
      <c r="V109" s="79"/>
      <c r="W109" s="79"/>
      <c r="X109" s="104"/>
      <c r="Y109" s="104"/>
      <c r="Z109" s="104"/>
      <c r="AA109" s="104"/>
      <c r="AB109" s="104"/>
      <c r="AC109" s="104"/>
      <c r="AD109" s="104"/>
      <c r="AE109" s="104"/>
      <c r="AF109" s="104"/>
    </row>
    <row r="110" ht="21.0" customHeight="1">
      <c r="A110" s="94"/>
      <c r="B110" s="94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101"/>
      <c r="T110" s="101"/>
      <c r="U110" s="102"/>
      <c r="V110" s="79"/>
      <c r="W110" s="79"/>
      <c r="X110" s="104"/>
      <c r="Y110" s="104"/>
      <c r="Z110" s="104"/>
      <c r="AA110" s="104"/>
      <c r="AB110" s="104"/>
      <c r="AC110" s="104"/>
      <c r="AD110" s="104"/>
      <c r="AE110" s="104"/>
      <c r="AF110" s="104"/>
    </row>
    <row r="111" ht="21.0" customHeight="1">
      <c r="A111" s="94"/>
      <c r="B111" s="94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101"/>
      <c r="T111" s="101"/>
      <c r="U111" s="102"/>
      <c r="V111" s="79"/>
      <c r="W111" s="79"/>
      <c r="X111" s="104"/>
      <c r="Y111" s="104"/>
      <c r="Z111" s="104"/>
      <c r="AA111" s="104"/>
      <c r="AB111" s="104"/>
      <c r="AC111" s="104"/>
      <c r="AD111" s="104"/>
      <c r="AE111" s="104"/>
      <c r="AF111" s="104"/>
    </row>
    <row r="112" ht="21.0" customHeight="1">
      <c r="A112" s="94"/>
      <c r="B112" s="94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101"/>
      <c r="T112" s="101"/>
      <c r="U112" s="102"/>
      <c r="V112" s="79"/>
      <c r="W112" s="79"/>
      <c r="X112" s="104"/>
      <c r="Y112" s="104"/>
      <c r="Z112" s="104"/>
      <c r="AA112" s="104"/>
      <c r="AB112" s="104"/>
      <c r="AC112" s="104"/>
      <c r="AD112" s="104"/>
      <c r="AE112" s="104"/>
      <c r="AF112" s="104"/>
    </row>
    <row r="113" ht="21.0" customHeight="1">
      <c r="A113" s="94"/>
      <c r="B113" s="94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101"/>
      <c r="T113" s="101"/>
      <c r="U113" s="102"/>
      <c r="V113" s="79"/>
      <c r="W113" s="79"/>
      <c r="X113" s="104"/>
      <c r="Y113" s="104"/>
      <c r="Z113" s="104"/>
      <c r="AA113" s="104"/>
      <c r="AB113" s="104"/>
      <c r="AC113" s="104"/>
      <c r="AD113" s="104"/>
      <c r="AE113" s="104"/>
      <c r="AF113" s="104"/>
    </row>
    <row r="114" ht="21.0" customHeight="1">
      <c r="A114" s="94"/>
      <c r="B114" s="94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101"/>
      <c r="T114" s="101"/>
      <c r="U114" s="102"/>
      <c r="V114" s="79"/>
      <c r="W114" s="79"/>
      <c r="X114" s="104"/>
      <c r="Y114" s="104"/>
      <c r="Z114" s="104"/>
      <c r="AA114" s="104"/>
      <c r="AB114" s="104"/>
      <c r="AC114" s="104"/>
      <c r="AD114" s="104"/>
      <c r="AE114" s="104"/>
      <c r="AF114" s="104"/>
    </row>
    <row r="115" ht="21.0" customHeight="1">
      <c r="A115" s="94"/>
      <c r="B115" s="94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101"/>
      <c r="T115" s="101"/>
      <c r="U115" s="102"/>
      <c r="V115" s="79"/>
      <c r="W115" s="79"/>
      <c r="X115" s="104"/>
      <c r="Y115" s="104"/>
      <c r="Z115" s="104"/>
      <c r="AA115" s="104"/>
      <c r="AB115" s="104"/>
      <c r="AC115" s="104"/>
      <c r="AD115" s="104"/>
      <c r="AE115" s="104"/>
      <c r="AF115" s="104"/>
    </row>
    <row r="116" ht="21.0" customHeight="1">
      <c r="A116" s="94"/>
      <c r="B116" s="94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01"/>
      <c r="T116" s="101"/>
      <c r="U116" s="102"/>
      <c r="V116" s="79"/>
      <c r="W116" s="79"/>
      <c r="X116" s="104"/>
      <c r="Y116" s="104"/>
      <c r="Z116" s="104"/>
      <c r="AA116" s="104"/>
      <c r="AB116" s="104"/>
      <c r="AC116" s="104"/>
      <c r="AD116" s="104"/>
      <c r="AE116" s="104"/>
      <c r="AF116" s="104"/>
    </row>
    <row r="117" ht="21.0" customHeight="1">
      <c r="A117" s="94"/>
      <c r="B117" s="94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101"/>
      <c r="T117" s="101"/>
      <c r="U117" s="102"/>
      <c r="V117" s="79"/>
      <c r="W117" s="79"/>
      <c r="X117" s="104"/>
      <c r="Y117" s="104"/>
      <c r="Z117" s="104"/>
      <c r="AA117" s="104"/>
      <c r="AB117" s="104"/>
      <c r="AC117" s="104"/>
      <c r="AD117" s="104"/>
      <c r="AE117" s="104"/>
      <c r="AF117" s="104"/>
    </row>
    <row r="118" ht="21.0" customHeight="1">
      <c r="A118" s="79"/>
      <c r="B118" s="79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2"/>
      <c r="T118" s="102"/>
      <c r="U118" s="102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</row>
    <row r="119" ht="21.0" customHeight="1">
      <c r="A119" s="79"/>
      <c r="B119" s="79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2"/>
      <c r="T119" s="102"/>
      <c r="U119" s="102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ht="21.0" customHeight="1">
      <c r="A120" s="79"/>
      <c r="B120" s="79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2"/>
      <c r="T120" s="102"/>
      <c r="U120" s="102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</row>
    <row r="121" ht="21.0" customHeight="1">
      <c r="A121" s="79"/>
      <c r="B121" s="79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2"/>
      <c r="T121" s="102"/>
      <c r="U121" s="102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</row>
    <row r="122" ht="21.0" customHeight="1">
      <c r="A122" s="79"/>
      <c r="B122" s="79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2"/>
      <c r="T122" s="102"/>
      <c r="U122" s="102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</row>
    <row r="123" ht="21.0" customHeight="1">
      <c r="A123" s="79"/>
      <c r="B123" s="79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2"/>
      <c r="T123" s="102"/>
      <c r="U123" s="102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</row>
    <row r="124" ht="21.0" customHeight="1">
      <c r="A124" s="79"/>
      <c r="B124" s="79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2"/>
      <c r="T124" s="102"/>
      <c r="U124" s="102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</row>
    <row r="125" ht="21.0" customHeight="1">
      <c r="A125" s="79"/>
      <c r="B125" s="79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2"/>
      <c r="T125" s="102"/>
      <c r="U125" s="102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</row>
    <row r="126" ht="21.0" customHeight="1">
      <c r="A126" s="79"/>
      <c r="B126" s="79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2"/>
      <c r="T126" s="102"/>
      <c r="U126" s="102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</row>
    <row r="127" ht="21.0" customHeight="1">
      <c r="A127" s="79"/>
      <c r="B127" s="79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2"/>
      <c r="T127" s="102"/>
      <c r="U127" s="102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</row>
    <row r="128" ht="21.0" customHeight="1">
      <c r="A128" s="79"/>
      <c r="B128" s="79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2"/>
      <c r="T128" s="102"/>
      <c r="U128" s="102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</row>
    <row r="129" ht="21.0" customHeight="1">
      <c r="A129" s="79"/>
      <c r="B129" s="79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2"/>
      <c r="T129" s="102"/>
      <c r="U129" s="102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</row>
    <row r="130" ht="21.0" customHeight="1">
      <c r="A130" s="79"/>
      <c r="B130" s="79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2"/>
      <c r="T130" s="102"/>
      <c r="U130" s="102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</row>
    <row r="131" ht="21.0" customHeight="1">
      <c r="A131" s="79"/>
      <c r="B131" s="79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2"/>
      <c r="T131" s="102"/>
      <c r="U131" s="102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</row>
    <row r="132" ht="21.0" customHeight="1">
      <c r="A132" s="79"/>
      <c r="B132" s="79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2"/>
      <c r="T132" s="102"/>
      <c r="U132" s="102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</row>
    <row r="133" ht="21.0" customHeight="1">
      <c r="A133" s="79"/>
      <c r="B133" s="79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2"/>
      <c r="T133" s="102"/>
      <c r="U133" s="102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</row>
    <row r="134" ht="21.0" customHeight="1">
      <c r="A134" s="79"/>
      <c r="B134" s="79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2"/>
      <c r="T134" s="102"/>
      <c r="U134" s="102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</row>
    <row r="135" ht="21.0" customHeight="1">
      <c r="A135" s="79"/>
      <c r="B135" s="79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2"/>
      <c r="T135" s="102"/>
      <c r="U135" s="102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</row>
    <row r="136" ht="21.0" customHeight="1">
      <c r="A136" s="79"/>
      <c r="B136" s="79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2"/>
      <c r="T136" s="102"/>
      <c r="U136" s="102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</row>
    <row r="137" ht="21.0" customHeight="1">
      <c r="A137" s="79"/>
      <c r="B137" s="79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2"/>
      <c r="T137" s="102"/>
      <c r="U137" s="102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</row>
    <row r="138" ht="21.0" customHeight="1">
      <c r="A138" s="79"/>
      <c r="B138" s="79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2"/>
      <c r="T138" s="102"/>
      <c r="U138" s="102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</row>
    <row r="139" ht="21.0" customHeight="1">
      <c r="A139" s="79"/>
      <c r="B139" s="79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2"/>
      <c r="T139" s="102"/>
      <c r="U139" s="102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</row>
    <row r="140" ht="21.0" customHeight="1">
      <c r="A140" s="79"/>
      <c r="B140" s="79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2"/>
      <c r="T140" s="102"/>
      <c r="U140" s="102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</row>
    <row r="141" ht="21.0" customHeight="1">
      <c r="A141" s="79"/>
      <c r="B141" s="79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2"/>
      <c r="T141" s="102"/>
      <c r="U141" s="102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</row>
    <row r="142" ht="21.0" customHeight="1">
      <c r="A142" s="79"/>
      <c r="B142" s="79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2"/>
      <c r="T142" s="102"/>
      <c r="U142" s="102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</row>
    <row r="143" ht="21.0" customHeight="1">
      <c r="A143" s="79"/>
      <c r="B143" s="79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2"/>
      <c r="T143" s="102"/>
      <c r="U143" s="102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</row>
    <row r="144" ht="21.0" customHeight="1">
      <c r="A144" s="79"/>
      <c r="B144" s="79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2"/>
      <c r="T144" s="102"/>
      <c r="U144" s="102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</row>
    <row r="145" ht="21.0" customHeight="1">
      <c r="A145" s="79"/>
      <c r="B145" s="79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2"/>
      <c r="T145" s="102"/>
      <c r="U145" s="102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</row>
    <row r="146" ht="21.0" customHeight="1">
      <c r="A146" s="79"/>
      <c r="B146" s="79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2"/>
      <c r="T146" s="102"/>
      <c r="U146" s="102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</row>
    <row r="147" ht="21.0" customHeight="1">
      <c r="A147" s="79"/>
      <c r="B147" s="79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2"/>
      <c r="T147" s="102"/>
      <c r="U147" s="102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</row>
    <row r="148" ht="21.0" customHeight="1">
      <c r="A148" s="79"/>
      <c r="B148" s="79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2"/>
      <c r="T148" s="102"/>
      <c r="U148" s="102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</row>
    <row r="149" ht="21.0" customHeight="1">
      <c r="A149" s="79"/>
      <c r="B149" s="79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2"/>
      <c r="T149" s="102"/>
      <c r="U149" s="102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</row>
    <row r="150" ht="21.0" customHeight="1">
      <c r="A150" s="79"/>
      <c r="B150" s="79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2"/>
      <c r="T150" s="102"/>
      <c r="U150" s="102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</row>
    <row r="151" ht="21.0" customHeight="1">
      <c r="A151" s="79"/>
      <c r="B151" s="79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2"/>
      <c r="T151" s="102"/>
      <c r="U151" s="102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</row>
    <row r="152" ht="21.0" customHeight="1">
      <c r="A152" s="79"/>
      <c r="B152" s="79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2"/>
      <c r="T152" s="102"/>
      <c r="U152" s="102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</row>
    <row r="153" ht="21.0" customHeight="1">
      <c r="A153" s="79"/>
      <c r="B153" s="79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2"/>
      <c r="T153" s="102"/>
      <c r="U153" s="102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</row>
    <row r="154" ht="21.0" customHeight="1">
      <c r="A154" s="79"/>
      <c r="B154" s="79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2"/>
      <c r="T154" s="102"/>
      <c r="U154" s="102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</row>
    <row r="155" ht="21.0" customHeight="1">
      <c r="A155" s="79"/>
      <c r="B155" s="79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2"/>
      <c r="T155" s="102"/>
      <c r="U155" s="102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</row>
    <row r="156" ht="21.0" customHeight="1">
      <c r="A156" s="79"/>
      <c r="B156" s="79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2"/>
      <c r="T156" s="102"/>
      <c r="U156" s="102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</row>
    <row r="157" ht="21.0" customHeight="1">
      <c r="A157" s="79"/>
      <c r="B157" s="79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2"/>
      <c r="T157" s="102"/>
      <c r="U157" s="102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</row>
    <row r="158" ht="21.0" customHeight="1">
      <c r="A158" s="79"/>
      <c r="B158" s="79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2"/>
      <c r="T158" s="102"/>
      <c r="U158" s="102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</row>
    <row r="159" ht="21.0" customHeight="1">
      <c r="A159" s="79"/>
      <c r="B159" s="79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2"/>
      <c r="T159" s="102"/>
      <c r="U159" s="102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</row>
    <row r="160" ht="21.0" customHeight="1">
      <c r="A160" s="79"/>
      <c r="B160" s="79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2"/>
      <c r="T160" s="102"/>
      <c r="U160" s="102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</row>
    <row r="161" ht="21.0" customHeight="1">
      <c r="A161" s="79"/>
      <c r="B161" s="79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2"/>
      <c r="T161" s="102"/>
      <c r="U161" s="102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</row>
    <row r="162" ht="21.0" customHeight="1">
      <c r="A162" s="79"/>
      <c r="B162" s="79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2"/>
      <c r="T162" s="102"/>
      <c r="U162" s="102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</row>
    <row r="163" ht="21.0" customHeight="1">
      <c r="A163" s="79"/>
      <c r="B163" s="79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2"/>
      <c r="T163" s="102"/>
      <c r="U163" s="102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</row>
    <row r="164" ht="21.0" customHeight="1">
      <c r="A164" s="79"/>
      <c r="B164" s="79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2"/>
      <c r="T164" s="102"/>
      <c r="U164" s="102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</row>
    <row r="165" ht="21.0" customHeight="1">
      <c r="A165" s="79"/>
      <c r="B165" s="79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2"/>
      <c r="T165" s="102"/>
      <c r="U165" s="102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</row>
    <row r="166" ht="21.0" customHeight="1">
      <c r="A166" s="79"/>
      <c r="B166" s="79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2"/>
      <c r="T166" s="102"/>
      <c r="U166" s="102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</row>
    <row r="167" ht="21.0" customHeight="1">
      <c r="A167" s="79"/>
      <c r="B167" s="79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2"/>
      <c r="T167" s="102"/>
      <c r="U167" s="102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</row>
    <row r="168" ht="21.0" customHeight="1">
      <c r="A168" s="79"/>
      <c r="B168" s="79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2"/>
      <c r="T168" s="102"/>
      <c r="U168" s="102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</row>
    <row r="169" ht="21.0" customHeight="1">
      <c r="A169" s="79"/>
      <c r="B169" s="79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2"/>
      <c r="T169" s="102"/>
      <c r="U169" s="102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</row>
    <row r="170" ht="21.0" customHeight="1">
      <c r="A170" s="79"/>
      <c r="B170" s="79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2"/>
      <c r="T170" s="102"/>
      <c r="U170" s="102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</row>
    <row r="171" ht="21.0" customHeight="1">
      <c r="A171" s="79"/>
      <c r="B171" s="79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2"/>
      <c r="T171" s="102"/>
      <c r="U171" s="102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</row>
    <row r="172" ht="21.0" customHeight="1">
      <c r="A172" s="79"/>
      <c r="B172" s="79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2"/>
      <c r="T172" s="102"/>
      <c r="U172" s="102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</row>
    <row r="173" ht="21.0" customHeight="1">
      <c r="A173" s="79"/>
      <c r="B173" s="79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2"/>
      <c r="T173" s="102"/>
      <c r="U173" s="102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</row>
    <row r="174" ht="21.0" customHeight="1">
      <c r="A174" s="79"/>
      <c r="B174" s="79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2"/>
      <c r="T174" s="102"/>
      <c r="U174" s="102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</row>
    <row r="175" ht="21.0" customHeight="1">
      <c r="A175" s="79"/>
      <c r="B175" s="79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2"/>
      <c r="T175" s="102"/>
      <c r="U175" s="102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</row>
    <row r="176" ht="21.0" customHeight="1">
      <c r="A176" s="79"/>
      <c r="B176" s="79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2"/>
      <c r="T176" s="102"/>
      <c r="U176" s="102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</row>
    <row r="177" ht="21.0" customHeight="1">
      <c r="A177" s="79"/>
      <c r="B177" s="79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2"/>
      <c r="T177" s="102"/>
      <c r="U177" s="102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</row>
    <row r="178" ht="21.0" customHeight="1">
      <c r="A178" s="79"/>
      <c r="B178" s="79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2"/>
      <c r="T178" s="102"/>
      <c r="U178" s="102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</row>
    <row r="179" ht="21.0" customHeight="1">
      <c r="A179" s="79"/>
      <c r="B179" s="79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2"/>
      <c r="T179" s="102"/>
      <c r="U179" s="102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</row>
    <row r="180" ht="21.0" customHeight="1">
      <c r="A180" s="79"/>
      <c r="B180" s="79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2"/>
      <c r="T180" s="102"/>
      <c r="U180" s="102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</row>
    <row r="181" ht="21.0" customHeight="1">
      <c r="A181" s="79"/>
      <c r="B181" s="79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2"/>
      <c r="T181" s="102"/>
      <c r="U181" s="102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</row>
    <row r="182" ht="21.0" customHeight="1">
      <c r="A182" s="79"/>
      <c r="B182" s="79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2"/>
      <c r="T182" s="102"/>
      <c r="U182" s="102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</row>
    <row r="183" ht="21.0" customHeight="1">
      <c r="A183" s="79"/>
      <c r="B183" s="79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2"/>
      <c r="T183" s="102"/>
      <c r="U183" s="102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</row>
    <row r="184" ht="21.0" customHeight="1">
      <c r="A184" s="79"/>
      <c r="B184" s="79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2"/>
      <c r="T184" s="102"/>
      <c r="U184" s="102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</row>
    <row r="185" ht="21.0" customHeight="1">
      <c r="A185" s="79"/>
      <c r="B185" s="79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2"/>
      <c r="T185" s="102"/>
      <c r="U185" s="102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</row>
    <row r="186" ht="21.0" customHeight="1">
      <c r="A186" s="79"/>
      <c r="B186" s="79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2"/>
      <c r="T186" s="102"/>
      <c r="U186" s="102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</row>
    <row r="187" ht="21.0" customHeight="1">
      <c r="A187" s="79"/>
      <c r="B187" s="7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2"/>
      <c r="T187" s="102"/>
      <c r="U187" s="102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</row>
    <row r="188" ht="21.0" customHeight="1">
      <c r="A188" s="79"/>
      <c r="B188" s="7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2"/>
      <c r="T188" s="102"/>
      <c r="U188" s="102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</row>
    <row r="189" ht="21.0" customHeight="1">
      <c r="A189" s="79"/>
      <c r="B189" s="79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2"/>
      <c r="T189" s="102"/>
      <c r="U189" s="102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</row>
    <row r="190" ht="21.0" customHeight="1">
      <c r="A190" s="79"/>
      <c r="B190" s="79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2"/>
      <c r="T190" s="102"/>
      <c r="U190" s="102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</row>
    <row r="191" ht="21.0" customHeight="1">
      <c r="A191" s="79"/>
      <c r="B191" s="79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2"/>
      <c r="T191" s="102"/>
      <c r="U191" s="102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</row>
    <row r="192" ht="21.0" customHeight="1">
      <c r="A192" s="79"/>
      <c r="B192" s="79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2"/>
      <c r="T192" s="102"/>
      <c r="U192" s="102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</row>
    <row r="193" ht="21.0" customHeight="1">
      <c r="A193" s="79"/>
      <c r="B193" s="79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2"/>
      <c r="T193" s="102"/>
      <c r="U193" s="102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</row>
    <row r="194" ht="21.0" customHeight="1">
      <c r="A194" s="79"/>
      <c r="B194" s="79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2"/>
      <c r="T194" s="102"/>
      <c r="U194" s="102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</row>
    <row r="195" ht="21.0" customHeight="1">
      <c r="A195" s="79"/>
      <c r="B195" s="79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2"/>
      <c r="T195" s="102"/>
      <c r="U195" s="102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</row>
    <row r="196" ht="21.0" customHeight="1">
      <c r="A196" s="79"/>
      <c r="B196" s="79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2"/>
      <c r="T196" s="102"/>
      <c r="U196" s="102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</row>
    <row r="197" ht="21.0" customHeight="1">
      <c r="A197" s="79"/>
      <c r="B197" s="79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2"/>
      <c r="T197" s="102"/>
      <c r="U197" s="102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</row>
    <row r="198" ht="21.0" customHeight="1">
      <c r="A198" s="79"/>
      <c r="B198" s="79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2"/>
      <c r="T198" s="102"/>
      <c r="U198" s="102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</row>
    <row r="199" ht="21.0" customHeight="1">
      <c r="A199" s="79"/>
      <c r="B199" s="79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2"/>
      <c r="T199" s="102"/>
      <c r="U199" s="102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</row>
    <row r="200" ht="21.0" customHeight="1">
      <c r="A200" s="79"/>
      <c r="B200" s="79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2"/>
      <c r="T200" s="102"/>
      <c r="U200" s="102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</row>
    <row r="201" ht="21.0" customHeight="1">
      <c r="A201" s="79"/>
      <c r="B201" s="79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2"/>
      <c r="T201" s="102"/>
      <c r="U201" s="102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</row>
    <row r="202" ht="21.0" customHeight="1">
      <c r="A202" s="79"/>
      <c r="B202" s="79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2"/>
      <c r="T202" s="102"/>
      <c r="U202" s="102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</row>
    <row r="203" ht="21.0" customHeight="1">
      <c r="A203" s="79"/>
      <c r="B203" s="79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2"/>
      <c r="T203" s="102"/>
      <c r="U203" s="102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</row>
    <row r="204" ht="21.0" customHeight="1">
      <c r="A204" s="79"/>
      <c r="B204" s="79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2"/>
      <c r="T204" s="102"/>
      <c r="U204" s="102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</row>
    <row r="205" ht="21.0" customHeight="1">
      <c r="A205" s="79"/>
      <c r="B205" s="79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2"/>
      <c r="T205" s="102"/>
      <c r="U205" s="102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</row>
    <row r="206" ht="21.0" customHeight="1">
      <c r="A206" s="79"/>
      <c r="B206" s="79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2"/>
      <c r="T206" s="102"/>
      <c r="U206" s="102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</row>
    <row r="207" ht="21.0" customHeight="1">
      <c r="A207" s="79"/>
      <c r="B207" s="79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2"/>
      <c r="T207" s="102"/>
      <c r="U207" s="102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</row>
    <row r="208" ht="21.0" customHeight="1">
      <c r="A208" s="79"/>
      <c r="B208" s="79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2"/>
      <c r="T208" s="102"/>
      <c r="U208" s="102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</row>
    <row r="209" ht="21.0" customHeight="1">
      <c r="A209" s="79"/>
      <c r="B209" s="79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2"/>
      <c r="T209" s="102"/>
      <c r="U209" s="102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</row>
    <row r="210" ht="21.0" customHeight="1">
      <c r="A210" s="79"/>
      <c r="B210" s="79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2"/>
      <c r="T210" s="102"/>
      <c r="U210" s="102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</row>
    <row r="211" ht="21.0" customHeight="1">
      <c r="A211" s="79"/>
      <c r="B211" s="79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2"/>
      <c r="T211" s="102"/>
      <c r="U211" s="102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</row>
    <row r="212" ht="21.0" customHeight="1">
      <c r="A212" s="79"/>
      <c r="B212" s="79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2"/>
      <c r="T212" s="102"/>
      <c r="U212" s="102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</row>
    <row r="213" ht="21.0" customHeight="1">
      <c r="A213" s="79"/>
      <c r="B213" s="79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2"/>
      <c r="T213" s="102"/>
      <c r="U213" s="102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</row>
    <row r="214" ht="21.0" customHeight="1">
      <c r="A214" s="79"/>
      <c r="B214" s="79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2"/>
      <c r="T214" s="102"/>
      <c r="U214" s="102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</row>
    <row r="215" ht="21.0" customHeight="1">
      <c r="A215" s="79"/>
      <c r="B215" s="79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2"/>
      <c r="T215" s="102"/>
      <c r="U215" s="102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</row>
    <row r="216" ht="21.0" customHeight="1">
      <c r="A216" s="79"/>
      <c r="B216" s="79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2"/>
      <c r="T216" s="102"/>
      <c r="U216" s="102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</row>
    <row r="217" ht="21.0" customHeight="1">
      <c r="A217" s="79"/>
      <c r="B217" s="79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2"/>
      <c r="T217" s="102"/>
      <c r="U217" s="102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</row>
    <row r="218" ht="21.0" customHeight="1">
      <c r="A218" s="79"/>
      <c r="B218" s="79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2"/>
      <c r="T218" s="102"/>
      <c r="U218" s="102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</row>
    <row r="219" ht="21.0" customHeight="1">
      <c r="A219" s="79"/>
      <c r="B219" s="79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2"/>
      <c r="T219" s="102"/>
      <c r="U219" s="102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</row>
    <row r="220" ht="21.0" customHeight="1">
      <c r="A220" s="79"/>
      <c r="B220" s="79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2"/>
      <c r="T220" s="102"/>
      <c r="U220" s="102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</row>
    <row r="221" ht="21.0" customHeight="1">
      <c r="A221" s="79"/>
      <c r="B221" s="79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2"/>
      <c r="T221" s="102"/>
      <c r="U221" s="102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</row>
    <row r="222" ht="21.0" customHeight="1">
      <c r="A222" s="79"/>
      <c r="B222" s="79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2"/>
      <c r="T222" s="102"/>
      <c r="U222" s="102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</row>
    <row r="223" ht="21.0" customHeight="1">
      <c r="A223" s="79"/>
      <c r="B223" s="79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2"/>
      <c r="T223" s="102"/>
      <c r="U223" s="102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</row>
    <row r="224" ht="21.0" customHeight="1">
      <c r="A224" s="79"/>
      <c r="B224" s="79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2"/>
      <c r="T224" s="102"/>
      <c r="U224" s="102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</row>
    <row r="225" ht="21.0" customHeight="1">
      <c r="A225" s="79"/>
      <c r="B225" s="79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2"/>
      <c r="T225" s="102"/>
      <c r="U225" s="102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</row>
    <row r="226" ht="21.0" customHeight="1">
      <c r="A226" s="79"/>
      <c r="B226" s="79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2"/>
      <c r="T226" s="102"/>
      <c r="U226" s="102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</row>
    <row r="227" ht="21.0" customHeight="1">
      <c r="A227" s="79"/>
      <c r="B227" s="79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2"/>
      <c r="T227" s="102"/>
      <c r="U227" s="102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</row>
    <row r="228" ht="21.0" customHeight="1">
      <c r="A228" s="79"/>
      <c r="B228" s="79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2"/>
      <c r="T228" s="102"/>
      <c r="U228" s="102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</row>
    <row r="229" ht="21.0" customHeight="1">
      <c r="A229" s="79"/>
      <c r="B229" s="79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2"/>
      <c r="T229" s="102"/>
      <c r="U229" s="102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</row>
    <row r="230" ht="21.0" customHeight="1">
      <c r="A230" s="79"/>
      <c r="B230" s="79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2"/>
      <c r="T230" s="102"/>
      <c r="U230" s="102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</row>
    <row r="231" ht="21.0" customHeight="1">
      <c r="A231" s="79"/>
      <c r="B231" s="79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2"/>
      <c r="T231" s="102"/>
      <c r="U231" s="102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</row>
    <row r="232" ht="21.0" customHeight="1">
      <c r="A232" s="79"/>
      <c r="B232" s="79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2"/>
      <c r="T232" s="102"/>
      <c r="U232" s="102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</row>
    <row r="233" ht="21.0" customHeight="1">
      <c r="A233" s="79"/>
      <c r="B233" s="79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2"/>
      <c r="T233" s="102"/>
      <c r="U233" s="102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</row>
    <row r="234" ht="21.0" customHeight="1">
      <c r="A234" s="79"/>
      <c r="B234" s="79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2"/>
      <c r="T234" s="102"/>
      <c r="U234" s="102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</row>
    <row r="235" ht="21.0" customHeight="1">
      <c r="A235" s="79"/>
      <c r="B235" s="79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2"/>
      <c r="T235" s="102"/>
      <c r="U235" s="102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</row>
    <row r="236" ht="21.0" customHeight="1">
      <c r="A236" s="79"/>
      <c r="B236" s="79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2"/>
      <c r="T236" s="102"/>
      <c r="U236" s="102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</row>
    <row r="237" ht="21.0" customHeight="1">
      <c r="A237" s="79"/>
      <c r="B237" s="79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2"/>
      <c r="T237" s="102"/>
      <c r="U237" s="102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</row>
    <row r="238" ht="21.0" customHeight="1">
      <c r="A238" s="79"/>
      <c r="B238" s="79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2"/>
      <c r="T238" s="102"/>
      <c r="U238" s="102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</row>
    <row r="239" ht="21.0" customHeight="1">
      <c r="A239" s="79"/>
      <c r="B239" s="79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2"/>
      <c r="T239" s="102"/>
      <c r="U239" s="102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</row>
    <row r="240" ht="21.0" customHeight="1">
      <c r="A240" s="79"/>
      <c r="B240" s="79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2"/>
      <c r="T240" s="102"/>
      <c r="U240" s="102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</row>
    <row r="241" ht="21.0" customHeight="1">
      <c r="A241" s="79"/>
      <c r="B241" s="79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2"/>
      <c r="T241" s="102"/>
      <c r="U241" s="102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</row>
    <row r="242" ht="21.0" customHeight="1">
      <c r="A242" s="79"/>
      <c r="B242" s="79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2"/>
      <c r="T242" s="102"/>
      <c r="U242" s="102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</row>
    <row r="243" ht="21.0" customHeight="1">
      <c r="A243" s="79"/>
      <c r="B243" s="79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2"/>
      <c r="T243" s="102"/>
      <c r="U243" s="102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</row>
    <row r="244" ht="21.0" customHeight="1">
      <c r="A244" s="79"/>
      <c r="B244" s="79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2"/>
      <c r="T244" s="102"/>
      <c r="U244" s="102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</row>
    <row r="245" ht="21.0" customHeight="1">
      <c r="A245" s="79"/>
      <c r="B245" s="79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2"/>
      <c r="T245" s="102"/>
      <c r="U245" s="102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</row>
    <row r="246" ht="21.0" customHeight="1">
      <c r="A246" s="79"/>
      <c r="B246" s="79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2"/>
      <c r="T246" s="102"/>
      <c r="U246" s="102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</row>
    <row r="247" ht="21.0" customHeight="1">
      <c r="A247" s="79"/>
      <c r="B247" s="79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2"/>
      <c r="T247" s="102"/>
      <c r="U247" s="102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</row>
    <row r="248" ht="21.0" customHeight="1">
      <c r="A248" s="79"/>
      <c r="B248" s="7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2"/>
      <c r="T248" s="102"/>
      <c r="U248" s="102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</row>
    <row r="249" ht="21.0" customHeight="1">
      <c r="A249" s="79"/>
      <c r="B249" s="7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2"/>
      <c r="T249" s="102"/>
      <c r="U249" s="102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</row>
    <row r="250" ht="21.0" customHeight="1">
      <c r="A250" s="79"/>
      <c r="B250" s="7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2"/>
      <c r="T250" s="102"/>
      <c r="U250" s="102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</row>
    <row r="251" ht="21.0" customHeight="1">
      <c r="A251" s="79"/>
      <c r="B251" s="7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2"/>
      <c r="T251" s="102"/>
      <c r="U251" s="102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</row>
    <row r="252" ht="21.0" customHeight="1">
      <c r="A252" s="79"/>
      <c r="B252" s="79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2"/>
      <c r="T252" s="102"/>
      <c r="U252" s="102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</row>
    <row r="253" ht="21.0" customHeight="1">
      <c r="A253" s="79"/>
      <c r="B253" s="79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2"/>
      <c r="T253" s="102"/>
      <c r="U253" s="102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</row>
    <row r="254" ht="21.0" customHeight="1">
      <c r="A254" s="79"/>
      <c r="B254" s="79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2"/>
      <c r="T254" s="102"/>
      <c r="U254" s="102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</row>
    <row r="255" ht="21.0" customHeight="1">
      <c r="A255" s="79"/>
      <c r="B255" s="79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2"/>
      <c r="T255" s="102"/>
      <c r="U255" s="102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</row>
    <row r="256" ht="21.0" customHeight="1">
      <c r="A256" s="79"/>
      <c r="B256" s="79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2"/>
      <c r="T256" s="102"/>
      <c r="U256" s="102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</row>
    <row r="257" ht="21.0" customHeight="1">
      <c r="A257" s="79"/>
      <c r="B257" s="79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2"/>
      <c r="T257" s="102"/>
      <c r="U257" s="102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</row>
    <row r="258" ht="21.0" customHeight="1">
      <c r="A258" s="79"/>
      <c r="B258" s="79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2"/>
      <c r="T258" s="102"/>
      <c r="U258" s="102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</row>
    <row r="259" ht="21.0" customHeight="1">
      <c r="A259" s="79"/>
      <c r="B259" s="79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2"/>
      <c r="T259" s="102"/>
      <c r="U259" s="102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</row>
    <row r="260" ht="21.0" customHeight="1">
      <c r="A260" s="79"/>
      <c r="B260" s="79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2"/>
      <c r="T260" s="102"/>
      <c r="U260" s="102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</row>
    <row r="261" ht="21.0" customHeight="1">
      <c r="A261" s="79"/>
      <c r="B261" s="79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2"/>
      <c r="T261" s="102"/>
      <c r="U261" s="102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</row>
    <row r="262" ht="21.0" customHeight="1">
      <c r="A262" s="79"/>
      <c r="B262" s="79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2"/>
      <c r="T262" s="102"/>
      <c r="U262" s="102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</row>
    <row r="263" ht="21.0" customHeight="1">
      <c r="A263" s="79"/>
      <c r="B263" s="79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2"/>
      <c r="T263" s="102"/>
      <c r="U263" s="102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</row>
    <row r="264" ht="21.0" customHeight="1">
      <c r="A264" s="79"/>
      <c r="B264" s="79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2"/>
      <c r="T264" s="102"/>
      <c r="U264" s="102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</row>
    <row r="265" ht="21.0" customHeight="1">
      <c r="A265" s="79"/>
      <c r="B265" s="79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2"/>
      <c r="T265" s="102"/>
      <c r="U265" s="102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</row>
    <row r="266" ht="21.0" customHeight="1">
      <c r="A266" s="79"/>
      <c r="B266" s="79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2"/>
      <c r="T266" s="102"/>
      <c r="U266" s="102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</row>
    <row r="267" ht="21.0" customHeight="1">
      <c r="A267" s="79"/>
      <c r="B267" s="79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2"/>
      <c r="T267" s="102"/>
      <c r="U267" s="102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</row>
    <row r="268" ht="21.0" customHeight="1">
      <c r="A268" s="79"/>
      <c r="B268" s="79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2"/>
      <c r="T268" s="102"/>
      <c r="U268" s="102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</row>
    <row r="269" ht="21.0" customHeight="1">
      <c r="A269" s="79"/>
      <c r="B269" s="79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2"/>
      <c r="T269" s="102"/>
      <c r="U269" s="102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</row>
    <row r="270" ht="21.0" customHeight="1">
      <c r="A270" s="79"/>
      <c r="B270" s="79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2"/>
      <c r="T270" s="102"/>
      <c r="U270" s="102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</row>
    <row r="271" ht="21.0" customHeight="1">
      <c r="A271" s="79"/>
      <c r="B271" s="79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2"/>
      <c r="T271" s="102"/>
      <c r="U271" s="102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</row>
    <row r="272" ht="21.0" customHeight="1">
      <c r="A272" s="79"/>
      <c r="B272" s="79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2"/>
      <c r="T272" s="102"/>
      <c r="U272" s="102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</row>
    <row r="273" ht="21.0" customHeight="1">
      <c r="A273" s="79"/>
      <c r="B273" s="79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2"/>
      <c r="T273" s="102"/>
      <c r="U273" s="102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</row>
    <row r="274" ht="21.0" customHeight="1">
      <c r="A274" s="79"/>
      <c r="B274" s="79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2"/>
      <c r="T274" s="102"/>
      <c r="U274" s="102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</row>
    <row r="275" ht="21.0" customHeight="1">
      <c r="A275" s="79"/>
      <c r="B275" s="79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2"/>
      <c r="T275" s="102"/>
      <c r="U275" s="102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</row>
    <row r="276" ht="21.0" customHeight="1">
      <c r="A276" s="79"/>
      <c r="B276" s="79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2"/>
      <c r="T276" s="102"/>
      <c r="U276" s="102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</row>
    <row r="277" ht="21.0" customHeight="1">
      <c r="A277" s="79"/>
      <c r="B277" s="79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2"/>
      <c r="T277" s="102"/>
      <c r="U277" s="102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</row>
    <row r="278" ht="21.0" customHeight="1">
      <c r="A278" s="79"/>
      <c r="B278" s="79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2"/>
      <c r="T278" s="102"/>
      <c r="U278" s="102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</row>
    <row r="279" ht="21.0" customHeight="1">
      <c r="A279" s="79"/>
      <c r="B279" s="79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2"/>
      <c r="T279" s="102"/>
      <c r="U279" s="102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</row>
    <row r="280" ht="21.0" customHeight="1">
      <c r="A280" s="79"/>
      <c r="B280" s="79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2"/>
      <c r="T280" s="102"/>
      <c r="U280" s="102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</row>
    <row r="281" ht="21.0" customHeight="1">
      <c r="A281" s="79"/>
      <c r="B281" s="79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2"/>
      <c r="T281" s="102"/>
      <c r="U281" s="102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</row>
    <row r="282" ht="21.0" customHeight="1">
      <c r="A282" s="79"/>
      <c r="B282" s="79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2"/>
      <c r="T282" s="102"/>
      <c r="U282" s="102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</row>
    <row r="283" ht="21.0" customHeight="1">
      <c r="A283" s="79"/>
      <c r="B283" s="79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2"/>
      <c r="T283" s="102"/>
      <c r="U283" s="102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</row>
    <row r="284" ht="21.0" customHeight="1">
      <c r="A284" s="79"/>
      <c r="B284" s="79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2"/>
      <c r="T284" s="102"/>
      <c r="U284" s="102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</row>
    <row r="285" ht="21.0" customHeight="1">
      <c r="A285" s="79"/>
      <c r="B285" s="79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2"/>
      <c r="T285" s="102"/>
      <c r="U285" s="102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</row>
    <row r="286" ht="21.0" customHeight="1">
      <c r="A286" s="79"/>
      <c r="B286" s="79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2"/>
      <c r="T286" s="102"/>
      <c r="U286" s="102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</row>
    <row r="287" ht="21.0" customHeight="1">
      <c r="A287" s="79"/>
      <c r="B287" s="79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2"/>
      <c r="T287" s="102"/>
      <c r="U287" s="102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</row>
    <row r="288" ht="21.0" customHeight="1">
      <c r="A288" s="79"/>
      <c r="B288" s="79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2"/>
      <c r="T288" s="102"/>
      <c r="U288" s="102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</row>
    <row r="289" ht="21.0" customHeight="1">
      <c r="A289" s="79"/>
      <c r="B289" s="79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2"/>
      <c r="T289" s="102"/>
      <c r="U289" s="102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</row>
    <row r="290" ht="21.0" customHeight="1">
      <c r="A290" s="79"/>
      <c r="B290" s="79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2"/>
      <c r="T290" s="102"/>
      <c r="U290" s="102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</row>
    <row r="291" ht="21.0" customHeight="1">
      <c r="A291" s="79"/>
      <c r="B291" s="79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2"/>
      <c r="T291" s="102"/>
      <c r="U291" s="102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</row>
    <row r="292" ht="21.0" customHeight="1">
      <c r="A292" s="79"/>
      <c r="B292" s="79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2"/>
      <c r="T292" s="102"/>
      <c r="U292" s="102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</row>
    <row r="293" ht="21.0" customHeight="1">
      <c r="A293" s="79"/>
      <c r="B293" s="79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2"/>
      <c r="T293" s="102"/>
      <c r="U293" s="102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</row>
    <row r="294" ht="21.0" customHeight="1">
      <c r="A294" s="79"/>
      <c r="B294" s="79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2"/>
      <c r="T294" s="102"/>
      <c r="U294" s="102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</row>
    <row r="295" ht="21.0" customHeight="1">
      <c r="A295" s="79"/>
      <c r="B295" s="79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2"/>
      <c r="T295" s="102"/>
      <c r="U295" s="102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</row>
    <row r="296" ht="21.0" customHeight="1">
      <c r="A296" s="79"/>
      <c r="B296" s="79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2"/>
      <c r="T296" s="102"/>
      <c r="U296" s="102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</row>
    <row r="297" ht="21.0" customHeight="1">
      <c r="A297" s="79"/>
      <c r="B297" s="79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2"/>
      <c r="T297" s="102"/>
      <c r="U297" s="102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</row>
    <row r="298" ht="21.0" customHeight="1">
      <c r="A298" s="79"/>
      <c r="B298" s="79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2"/>
      <c r="T298" s="102"/>
      <c r="U298" s="102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</row>
    <row r="299" ht="21.0" customHeight="1">
      <c r="A299" s="79"/>
      <c r="B299" s="79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2"/>
      <c r="T299" s="102"/>
      <c r="U299" s="102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</row>
    <row r="300" ht="21.0" customHeight="1">
      <c r="A300" s="79"/>
      <c r="B300" s="79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2"/>
      <c r="T300" s="102"/>
      <c r="U300" s="102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</row>
    <row r="301" ht="21.0" customHeight="1">
      <c r="A301" s="79"/>
      <c r="B301" s="79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2"/>
      <c r="T301" s="102"/>
      <c r="U301" s="102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</row>
    <row r="302" ht="21.0" customHeight="1">
      <c r="A302" s="79"/>
      <c r="B302" s="79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2"/>
      <c r="T302" s="102"/>
      <c r="U302" s="102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</row>
    <row r="303" ht="21.0" customHeight="1">
      <c r="A303" s="79"/>
      <c r="B303" s="79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2"/>
      <c r="T303" s="102"/>
      <c r="U303" s="102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</row>
    <row r="304" ht="21.0" customHeight="1">
      <c r="A304" s="79"/>
      <c r="B304" s="79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2"/>
      <c r="T304" s="102"/>
      <c r="U304" s="102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</row>
    <row r="305" ht="21.0" customHeight="1">
      <c r="A305" s="79"/>
      <c r="B305" s="79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2"/>
      <c r="T305" s="102"/>
      <c r="U305" s="102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</row>
    <row r="306" ht="21.0" customHeight="1">
      <c r="A306" s="79"/>
      <c r="B306" s="79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2"/>
      <c r="T306" s="102"/>
      <c r="U306" s="102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</row>
    <row r="307" ht="21.0" customHeight="1">
      <c r="A307" s="79"/>
      <c r="B307" s="79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2"/>
      <c r="T307" s="102"/>
      <c r="U307" s="102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</row>
    <row r="308" ht="21.0" customHeight="1">
      <c r="A308" s="79"/>
      <c r="B308" s="79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2"/>
      <c r="T308" s="102"/>
      <c r="U308" s="102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</row>
    <row r="309" ht="21.0" customHeight="1">
      <c r="A309" s="79"/>
      <c r="B309" s="79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2"/>
      <c r="T309" s="102"/>
      <c r="U309" s="102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</row>
    <row r="310" ht="21.0" customHeight="1">
      <c r="A310" s="79"/>
      <c r="B310" s="79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2"/>
      <c r="T310" s="102"/>
      <c r="U310" s="102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</row>
    <row r="311" ht="21.0" customHeight="1">
      <c r="A311" s="79"/>
      <c r="B311" s="79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2"/>
      <c r="T311" s="102"/>
      <c r="U311" s="102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</row>
    <row r="312" ht="21.0" customHeight="1">
      <c r="A312" s="79"/>
      <c r="B312" s="79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2"/>
      <c r="T312" s="102"/>
      <c r="U312" s="102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</row>
    <row r="313" ht="21.0" customHeight="1">
      <c r="A313" s="79"/>
      <c r="B313" s="79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2"/>
      <c r="T313" s="102"/>
      <c r="U313" s="102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</row>
    <row r="314" ht="21.0" customHeight="1">
      <c r="A314" s="79"/>
      <c r="B314" s="79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2"/>
      <c r="T314" s="102"/>
      <c r="U314" s="102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</row>
    <row r="315" ht="21.0" customHeight="1">
      <c r="A315" s="79"/>
      <c r="B315" s="79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2"/>
      <c r="T315" s="102"/>
      <c r="U315" s="102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</row>
    <row r="316" ht="21.0" customHeight="1">
      <c r="A316" s="79"/>
      <c r="B316" s="79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2"/>
      <c r="T316" s="102"/>
      <c r="U316" s="102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</row>
    <row r="317" ht="21.0" customHeight="1">
      <c r="A317" s="79"/>
      <c r="B317" s="79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2"/>
      <c r="T317" s="102"/>
      <c r="U317" s="102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</row>
    <row r="318" ht="21.0" customHeight="1">
      <c r="A318" s="79"/>
      <c r="B318" s="79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2"/>
      <c r="T318" s="102"/>
      <c r="U318" s="102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</row>
    <row r="319" ht="21.0" customHeight="1">
      <c r="A319" s="79"/>
      <c r="B319" s="79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2"/>
      <c r="T319" s="102"/>
      <c r="U319" s="102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</row>
    <row r="320" ht="21.0" customHeight="1">
      <c r="A320" s="79"/>
      <c r="B320" s="79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2"/>
      <c r="T320" s="102"/>
      <c r="U320" s="102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</row>
    <row r="321" ht="21.0" customHeight="1">
      <c r="A321" s="79"/>
      <c r="B321" s="79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2"/>
      <c r="T321" s="102"/>
      <c r="U321" s="102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</row>
    <row r="322" ht="21.0" customHeight="1">
      <c r="A322" s="79"/>
      <c r="B322" s="79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2"/>
      <c r="T322" s="102"/>
      <c r="U322" s="102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</row>
    <row r="323" ht="21.0" customHeight="1">
      <c r="A323" s="79"/>
      <c r="B323" s="79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2"/>
      <c r="T323" s="102"/>
      <c r="U323" s="102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</row>
    <row r="324" ht="21.0" customHeight="1">
      <c r="A324" s="79"/>
      <c r="B324" s="79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2"/>
      <c r="T324" s="102"/>
      <c r="U324" s="102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</row>
    <row r="325" ht="21.0" customHeight="1">
      <c r="A325" s="79"/>
      <c r="B325" s="79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2"/>
      <c r="T325" s="102"/>
      <c r="U325" s="102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</row>
    <row r="326" ht="21.0" customHeight="1">
      <c r="A326" s="79"/>
      <c r="B326" s="79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2"/>
      <c r="T326" s="102"/>
      <c r="U326" s="102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</row>
    <row r="327" ht="21.0" customHeight="1">
      <c r="A327" s="79"/>
      <c r="B327" s="79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2"/>
      <c r="T327" s="102"/>
      <c r="U327" s="102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</row>
    <row r="328" ht="21.0" customHeight="1">
      <c r="A328" s="79"/>
      <c r="B328" s="79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2"/>
      <c r="T328" s="102"/>
      <c r="U328" s="102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</row>
    <row r="329" ht="21.0" customHeight="1">
      <c r="A329" s="79"/>
      <c r="B329" s="79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2"/>
      <c r="T329" s="102"/>
      <c r="U329" s="102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</row>
    <row r="330" ht="21.0" customHeight="1">
      <c r="A330" s="79"/>
      <c r="B330" s="79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2"/>
      <c r="T330" s="102"/>
      <c r="U330" s="102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</row>
    <row r="331" ht="21.0" customHeight="1">
      <c r="A331" s="79"/>
      <c r="B331" s="79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2"/>
      <c r="T331" s="102"/>
      <c r="U331" s="102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</row>
    <row r="332" ht="21.0" customHeight="1">
      <c r="A332" s="79"/>
      <c r="B332" s="79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2"/>
      <c r="T332" s="102"/>
      <c r="U332" s="102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</row>
    <row r="333" ht="21.0" customHeight="1">
      <c r="A333" s="79"/>
      <c r="B333" s="79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2"/>
      <c r="T333" s="102"/>
      <c r="U333" s="102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</row>
    <row r="334" ht="21.0" customHeight="1">
      <c r="A334" s="79"/>
      <c r="B334" s="79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2"/>
      <c r="T334" s="102"/>
      <c r="U334" s="102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</row>
    <row r="335" ht="21.0" customHeight="1">
      <c r="A335" s="79"/>
      <c r="B335" s="79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2"/>
      <c r="T335" s="102"/>
      <c r="U335" s="102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</row>
    <row r="336" ht="21.0" customHeight="1">
      <c r="A336" s="79"/>
      <c r="B336" s="79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2"/>
      <c r="T336" s="102"/>
      <c r="U336" s="102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</row>
    <row r="337" ht="21.0" customHeight="1">
      <c r="A337" s="79"/>
      <c r="B337" s="79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2"/>
      <c r="T337" s="102"/>
      <c r="U337" s="102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</row>
    <row r="338" ht="21.0" customHeight="1">
      <c r="A338" s="79"/>
      <c r="B338" s="79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2"/>
      <c r="T338" s="102"/>
      <c r="U338" s="102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</row>
    <row r="339" ht="21.0" customHeight="1">
      <c r="A339" s="79"/>
      <c r="B339" s="79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2"/>
      <c r="T339" s="102"/>
      <c r="U339" s="102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</row>
    <row r="340" ht="21.0" customHeight="1">
      <c r="A340" s="79"/>
      <c r="B340" s="79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2"/>
      <c r="T340" s="102"/>
      <c r="U340" s="102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</row>
    <row r="341" ht="21.0" customHeight="1">
      <c r="A341" s="79"/>
      <c r="B341" s="79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2"/>
      <c r="T341" s="102"/>
      <c r="U341" s="102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</row>
    <row r="342" ht="21.0" customHeight="1">
      <c r="A342" s="79"/>
      <c r="B342" s="79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2"/>
      <c r="T342" s="102"/>
      <c r="U342" s="102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</row>
    <row r="343" ht="21.0" customHeight="1">
      <c r="A343" s="79"/>
      <c r="B343" s="79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2"/>
      <c r="T343" s="102"/>
      <c r="U343" s="102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</row>
    <row r="344" ht="21.0" customHeight="1">
      <c r="A344" s="79"/>
      <c r="B344" s="79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2"/>
      <c r="T344" s="102"/>
      <c r="U344" s="102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</row>
    <row r="345" ht="21.0" customHeight="1">
      <c r="A345" s="79"/>
      <c r="B345" s="79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2"/>
      <c r="T345" s="102"/>
      <c r="U345" s="102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</row>
    <row r="346" ht="21.0" customHeight="1">
      <c r="A346" s="79"/>
      <c r="B346" s="79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2"/>
      <c r="T346" s="102"/>
      <c r="U346" s="102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</row>
    <row r="347" ht="21.0" customHeight="1">
      <c r="A347" s="79"/>
      <c r="B347" s="79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2"/>
      <c r="T347" s="102"/>
      <c r="U347" s="102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</row>
    <row r="348" ht="21.0" customHeight="1">
      <c r="A348" s="79"/>
      <c r="B348" s="79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2"/>
      <c r="T348" s="102"/>
      <c r="U348" s="102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</row>
    <row r="349" ht="21.0" customHeight="1">
      <c r="A349" s="79"/>
      <c r="B349" s="79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2"/>
      <c r="T349" s="102"/>
      <c r="U349" s="102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</row>
    <row r="350" ht="21.0" customHeight="1">
      <c r="A350" s="79"/>
      <c r="B350" s="79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2"/>
      <c r="T350" s="102"/>
      <c r="U350" s="102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</row>
    <row r="351" ht="21.0" customHeight="1">
      <c r="A351" s="79"/>
      <c r="B351" s="79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2"/>
      <c r="T351" s="102"/>
      <c r="U351" s="102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</row>
    <row r="352" ht="21.0" customHeight="1">
      <c r="A352" s="79"/>
      <c r="B352" s="79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2"/>
      <c r="T352" s="102"/>
      <c r="U352" s="102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</row>
    <row r="353" ht="21.0" customHeight="1">
      <c r="A353" s="79"/>
      <c r="B353" s="79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2"/>
      <c r="T353" s="102"/>
      <c r="U353" s="102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</row>
    <row r="354" ht="21.0" customHeight="1">
      <c r="A354" s="79"/>
      <c r="B354" s="79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2"/>
      <c r="T354" s="102"/>
      <c r="U354" s="102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</row>
    <row r="355" ht="21.0" customHeight="1">
      <c r="A355" s="79"/>
      <c r="B355" s="79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2"/>
      <c r="T355" s="102"/>
      <c r="U355" s="102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</row>
    <row r="356" ht="21.0" customHeight="1">
      <c r="A356" s="79"/>
      <c r="B356" s="79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2"/>
      <c r="T356" s="102"/>
      <c r="U356" s="102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</row>
    <row r="357" ht="21.0" customHeight="1">
      <c r="A357" s="79"/>
      <c r="B357" s="79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2"/>
      <c r="T357" s="102"/>
      <c r="U357" s="102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</row>
    <row r="358" ht="21.0" customHeight="1">
      <c r="A358" s="79"/>
      <c r="B358" s="79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2"/>
      <c r="T358" s="102"/>
      <c r="U358" s="102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</row>
    <row r="359" ht="21.0" customHeight="1">
      <c r="A359" s="79"/>
      <c r="B359" s="79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2"/>
      <c r="T359" s="102"/>
      <c r="U359" s="102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</row>
    <row r="360" ht="21.0" customHeight="1">
      <c r="A360" s="79"/>
      <c r="B360" s="79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2"/>
      <c r="T360" s="102"/>
      <c r="U360" s="102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</row>
    <row r="361" ht="21.0" customHeight="1">
      <c r="A361" s="79"/>
      <c r="B361" s="79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2"/>
      <c r="T361" s="102"/>
      <c r="U361" s="102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</row>
    <row r="362" ht="21.0" customHeight="1">
      <c r="A362" s="79"/>
      <c r="B362" s="79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2"/>
      <c r="T362" s="102"/>
      <c r="U362" s="102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</row>
    <row r="363" ht="21.0" customHeight="1">
      <c r="A363" s="79"/>
      <c r="B363" s="79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2"/>
      <c r="T363" s="102"/>
      <c r="U363" s="102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</row>
    <row r="364" ht="21.0" customHeight="1">
      <c r="A364" s="79"/>
      <c r="B364" s="79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2"/>
      <c r="T364" s="102"/>
      <c r="U364" s="102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</row>
    <row r="365" ht="21.0" customHeight="1">
      <c r="A365" s="79"/>
      <c r="B365" s="79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2"/>
      <c r="T365" s="102"/>
      <c r="U365" s="102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</row>
    <row r="366" ht="21.0" customHeight="1">
      <c r="A366" s="79"/>
      <c r="B366" s="79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2"/>
      <c r="T366" s="102"/>
      <c r="U366" s="102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</row>
    <row r="367" ht="21.0" customHeight="1">
      <c r="A367" s="79"/>
      <c r="B367" s="79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2"/>
      <c r="T367" s="102"/>
      <c r="U367" s="102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</row>
    <row r="368" ht="21.0" customHeight="1">
      <c r="A368" s="79"/>
      <c r="B368" s="79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2"/>
      <c r="T368" s="102"/>
      <c r="U368" s="102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</row>
    <row r="369" ht="21.0" customHeight="1">
      <c r="A369" s="79"/>
      <c r="B369" s="79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2"/>
      <c r="T369" s="102"/>
      <c r="U369" s="102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</row>
    <row r="370" ht="21.0" customHeight="1">
      <c r="A370" s="79"/>
      <c r="B370" s="79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2"/>
      <c r="T370" s="102"/>
      <c r="U370" s="102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</row>
    <row r="371" ht="21.0" customHeight="1">
      <c r="A371" s="79"/>
      <c r="B371" s="79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2"/>
      <c r="T371" s="102"/>
      <c r="U371" s="102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</row>
    <row r="372" ht="21.0" customHeight="1">
      <c r="A372" s="79"/>
      <c r="B372" s="79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2"/>
      <c r="T372" s="102"/>
      <c r="U372" s="102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</row>
    <row r="373" ht="21.0" customHeight="1">
      <c r="A373" s="79"/>
      <c r="B373" s="79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2"/>
      <c r="T373" s="102"/>
      <c r="U373" s="102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</row>
    <row r="374" ht="21.0" customHeight="1">
      <c r="A374" s="79"/>
      <c r="B374" s="79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2"/>
      <c r="T374" s="102"/>
      <c r="U374" s="102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</row>
    <row r="375" ht="21.0" customHeight="1">
      <c r="A375" s="79"/>
      <c r="B375" s="79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2"/>
      <c r="T375" s="102"/>
      <c r="U375" s="102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</row>
    <row r="376" ht="21.0" customHeight="1">
      <c r="A376" s="79"/>
      <c r="B376" s="79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2"/>
      <c r="T376" s="102"/>
      <c r="U376" s="102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</row>
    <row r="377" ht="21.0" customHeight="1">
      <c r="A377" s="79"/>
      <c r="B377" s="79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2"/>
      <c r="T377" s="102"/>
      <c r="U377" s="102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</row>
    <row r="378" ht="21.0" customHeight="1">
      <c r="A378" s="79"/>
      <c r="B378" s="79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2"/>
      <c r="T378" s="102"/>
      <c r="U378" s="102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</row>
    <row r="379" ht="21.0" customHeight="1">
      <c r="A379" s="79"/>
      <c r="B379" s="79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2"/>
      <c r="T379" s="102"/>
      <c r="U379" s="102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</row>
    <row r="380" ht="21.0" customHeight="1">
      <c r="A380" s="79"/>
      <c r="B380" s="79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2"/>
      <c r="T380" s="102"/>
      <c r="U380" s="102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</row>
    <row r="381" ht="21.0" customHeight="1">
      <c r="A381" s="79"/>
      <c r="B381" s="79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2"/>
      <c r="T381" s="102"/>
      <c r="U381" s="102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</row>
    <row r="382" ht="21.0" customHeight="1">
      <c r="A382" s="79"/>
      <c r="B382" s="79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2"/>
      <c r="T382" s="102"/>
      <c r="U382" s="102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</row>
    <row r="383" ht="21.0" customHeight="1">
      <c r="A383" s="79"/>
      <c r="B383" s="79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2"/>
      <c r="T383" s="102"/>
      <c r="U383" s="102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</row>
    <row r="384" ht="21.0" customHeight="1">
      <c r="A384" s="79"/>
      <c r="B384" s="79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2"/>
      <c r="T384" s="102"/>
      <c r="U384" s="102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</row>
    <row r="385" ht="21.0" customHeight="1">
      <c r="A385" s="79"/>
      <c r="B385" s="79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2"/>
      <c r="T385" s="102"/>
      <c r="U385" s="102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</row>
    <row r="386" ht="21.0" customHeight="1">
      <c r="A386" s="79"/>
      <c r="B386" s="79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2"/>
      <c r="T386" s="102"/>
      <c r="U386" s="102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</row>
    <row r="387" ht="21.0" customHeight="1">
      <c r="A387" s="79"/>
      <c r="B387" s="79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2"/>
      <c r="T387" s="102"/>
      <c r="U387" s="102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</row>
    <row r="388" ht="21.0" customHeight="1">
      <c r="A388" s="79"/>
      <c r="B388" s="79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2"/>
      <c r="T388" s="102"/>
      <c r="U388" s="102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</row>
    <row r="389" ht="21.0" customHeight="1">
      <c r="A389" s="79"/>
      <c r="B389" s="79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2"/>
      <c r="T389" s="102"/>
      <c r="U389" s="102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</row>
    <row r="390" ht="21.0" customHeight="1">
      <c r="A390" s="79"/>
      <c r="B390" s="79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2"/>
      <c r="T390" s="102"/>
      <c r="U390" s="102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</row>
    <row r="391" ht="21.0" customHeight="1">
      <c r="A391" s="79"/>
      <c r="B391" s="79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2"/>
      <c r="T391" s="102"/>
      <c r="U391" s="102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</row>
    <row r="392" ht="21.0" customHeight="1">
      <c r="A392" s="79"/>
      <c r="B392" s="79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2"/>
      <c r="T392" s="102"/>
      <c r="U392" s="102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</row>
    <row r="393" ht="21.0" customHeight="1">
      <c r="A393" s="79"/>
      <c r="B393" s="79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2"/>
      <c r="T393" s="102"/>
      <c r="U393" s="102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</row>
    <row r="394" ht="21.0" customHeight="1">
      <c r="A394" s="79"/>
      <c r="B394" s="79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2"/>
      <c r="T394" s="102"/>
      <c r="U394" s="102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</row>
    <row r="395" ht="21.0" customHeight="1">
      <c r="A395" s="79"/>
      <c r="B395" s="79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2"/>
      <c r="T395" s="102"/>
      <c r="U395" s="102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</row>
    <row r="396" ht="21.0" customHeight="1">
      <c r="A396" s="79"/>
      <c r="B396" s="79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2"/>
      <c r="T396" s="102"/>
      <c r="U396" s="102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</row>
    <row r="397" ht="21.0" customHeight="1">
      <c r="A397" s="79"/>
      <c r="B397" s="79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2"/>
      <c r="T397" s="102"/>
      <c r="U397" s="102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</row>
    <row r="398" ht="21.0" customHeight="1">
      <c r="A398" s="79"/>
      <c r="B398" s="79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2"/>
      <c r="T398" s="102"/>
      <c r="U398" s="102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</row>
    <row r="399" ht="21.0" customHeight="1">
      <c r="A399" s="79"/>
      <c r="B399" s="79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2"/>
      <c r="T399" s="102"/>
      <c r="U399" s="102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</row>
    <row r="400" ht="21.0" customHeight="1">
      <c r="A400" s="79"/>
      <c r="B400" s="79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2"/>
      <c r="T400" s="102"/>
      <c r="U400" s="102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</row>
    <row r="401" ht="21.0" customHeight="1">
      <c r="A401" s="79"/>
      <c r="B401" s="79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2"/>
      <c r="T401" s="102"/>
      <c r="U401" s="102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</row>
    <row r="402" ht="21.0" customHeight="1">
      <c r="A402" s="79"/>
      <c r="B402" s="79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2"/>
      <c r="T402" s="102"/>
      <c r="U402" s="102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</row>
    <row r="403" ht="21.0" customHeight="1">
      <c r="A403" s="79"/>
      <c r="B403" s="79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2"/>
      <c r="T403" s="102"/>
      <c r="U403" s="102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</row>
    <row r="404" ht="21.0" customHeight="1">
      <c r="A404" s="79"/>
      <c r="B404" s="79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2"/>
      <c r="T404" s="102"/>
      <c r="U404" s="102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</row>
    <row r="405" ht="21.0" customHeight="1">
      <c r="A405" s="79"/>
      <c r="B405" s="79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2"/>
      <c r="T405" s="102"/>
      <c r="U405" s="102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</row>
    <row r="406" ht="21.0" customHeight="1">
      <c r="A406" s="79"/>
      <c r="B406" s="79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2"/>
      <c r="T406" s="102"/>
      <c r="U406" s="102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</row>
    <row r="407" ht="21.0" customHeight="1">
      <c r="A407" s="79"/>
      <c r="B407" s="79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2"/>
      <c r="T407" s="102"/>
      <c r="U407" s="102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</row>
    <row r="408" ht="21.0" customHeight="1">
      <c r="A408" s="79"/>
      <c r="B408" s="79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2"/>
      <c r="T408" s="102"/>
      <c r="U408" s="102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</row>
    <row r="409" ht="21.0" customHeight="1">
      <c r="A409" s="79"/>
      <c r="B409" s="79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2"/>
      <c r="T409" s="102"/>
      <c r="U409" s="102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</row>
    <row r="410" ht="21.0" customHeight="1">
      <c r="A410" s="79"/>
      <c r="B410" s="79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2"/>
      <c r="T410" s="102"/>
      <c r="U410" s="102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</row>
    <row r="411" ht="21.0" customHeight="1">
      <c r="A411" s="79"/>
      <c r="B411" s="79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2"/>
      <c r="T411" s="102"/>
      <c r="U411" s="102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</row>
    <row r="412" ht="21.0" customHeight="1">
      <c r="A412" s="79"/>
      <c r="B412" s="79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2"/>
      <c r="T412" s="102"/>
      <c r="U412" s="102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</row>
    <row r="413" ht="21.0" customHeight="1">
      <c r="A413" s="79"/>
      <c r="B413" s="79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2"/>
      <c r="T413" s="102"/>
      <c r="U413" s="102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</row>
    <row r="414" ht="21.0" customHeight="1">
      <c r="A414" s="79"/>
      <c r="B414" s="79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2"/>
      <c r="T414" s="102"/>
      <c r="U414" s="102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</row>
    <row r="415" ht="21.0" customHeight="1">
      <c r="A415" s="79"/>
      <c r="B415" s="79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2"/>
      <c r="T415" s="102"/>
      <c r="U415" s="102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</row>
    <row r="416" ht="21.0" customHeight="1">
      <c r="A416" s="79"/>
      <c r="B416" s="79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2"/>
      <c r="T416" s="102"/>
      <c r="U416" s="102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</row>
    <row r="417" ht="21.0" customHeight="1">
      <c r="A417" s="79"/>
      <c r="B417" s="79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2"/>
      <c r="T417" s="102"/>
      <c r="U417" s="102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</row>
    <row r="418" ht="21.0" customHeight="1">
      <c r="A418" s="79"/>
      <c r="B418" s="79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2"/>
      <c r="T418" s="102"/>
      <c r="U418" s="102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</row>
    <row r="419" ht="21.0" customHeight="1">
      <c r="A419" s="79"/>
      <c r="B419" s="79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2"/>
      <c r="T419" s="102"/>
      <c r="U419" s="102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</row>
    <row r="420" ht="21.0" customHeight="1">
      <c r="A420" s="79"/>
      <c r="B420" s="79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2"/>
      <c r="T420" s="102"/>
      <c r="U420" s="102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</row>
    <row r="421" ht="21.0" customHeight="1">
      <c r="A421" s="79"/>
      <c r="B421" s="79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2"/>
      <c r="T421" s="102"/>
      <c r="U421" s="102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</row>
    <row r="422" ht="21.0" customHeight="1">
      <c r="A422" s="79"/>
      <c r="B422" s="79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2"/>
      <c r="T422" s="102"/>
      <c r="U422" s="102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</row>
    <row r="423" ht="21.0" customHeight="1">
      <c r="A423" s="79"/>
      <c r="B423" s="79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2"/>
      <c r="T423" s="102"/>
      <c r="U423" s="102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</row>
    <row r="424" ht="21.0" customHeight="1">
      <c r="A424" s="79"/>
      <c r="B424" s="79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2"/>
      <c r="T424" s="102"/>
      <c r="U424" s="102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</row>
    <row r="425" ht="21.0" customHeight="1">
      <c r="A425" s="79"/>
      <c r="B425" s="79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2"/>
      <c r="T425" s="102"/>
      <c r="U425" s="102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</row>
    <row r="426" ht="21.0" customHeight="1">
      <c r="A426" s="79"/>
      <c r="B426" s="79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2"/>
      <c r="T426" s="102"/>
      <c r="U426" s="102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</row>
    <row r="427" ht="21.0" customHeight="1">
      <c r="A427" s="79"/>
      <c r="B427" s="79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2"/>
      <c r="T427" s="102"/>
      <c r="U427" s="102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</row>
    <row r="428" ht="21.0" customHeight="1">
      <c r="A428" s="79"/>
      <c r="B428" s="79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2"/>
      <c r="T428" s="102"/>
      <c r="U428" s="102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</row>
    <row r="429" ht="21.0" customHeight="1">
      <c r="A429" s="79"/>
      <c r="B429" s="79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2"/>
      <c r="T429" s="102"/>
      <c r="U429" s="102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</row>
    <row r="430" ht="21.0" customHeight="1">
      <c r="A430" s="79"/>
      <c r="B430" s="79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2"/>
      <c r="T430" s="102"/>
      <c r="U430" s="102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</row>
    <row r="431" ht="21.0" customHeight="1">
      <c r="A431" s="79"/>
      <c r="B431" s="79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2"/>
      <c r="T431" s="102"/>
      <c r="U431" s="102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</row>
    <row r="432" ht="21.0" customHeight="1">
      <c r="A432" s="79"/>
      <c r="B432" s="79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2"/>
      <c r="T432" s="102"/>
      <c r="U432" s="102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</row>
    <row r="433" ht="21.0" customHeight="1">
      <c r="A433" s="79"/>
      <c r="B433" s="79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2"/>
      <c r="T433" s="102"/>
      <c r="U433" s="102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</row>
    <row r="434" ht="21.0" customHeight="1">
      <c r="A434" s="79"/>
      <c r="B434" s="79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2"/>
      <c r="T434" s="102"/>
      <c r="U434" s="102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</row>
    <row r="435" ht="21.0" customHeight="1">
      <c r="A435" s="79"/>
      <c r="B435" s="79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2"/>
      <c r="T435" s="102"/>
      <c r="U435" s="102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</row>
    <row r="436" ht="21.0" customHeight="1">
      <c r="A436" s="79"/>
      <c r="B436" s="79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2"/>
      <c r="T436" s="102"/>
      <c r="U436" s="102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</row>
    <row r="437" ht="21.0" customHeight="1">
      <c r="A437" s="79"/>
      <c r="B437" s="79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2"/>
      <c r="T437" s="102"/>
      <c r="U437" s="102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</row>
    <row r="438" ht="21.0" customHeight="1">
      <c r="A438" s="79"/>
      <c r="B438" s="79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2"/>
      <c r="T438" s="102"/>
      <c r="U438" s="102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</row>
    <row r="439" ht="21.0" customHeight="1">
      <c r="A439" s="79"/>
      <c r="B439" s="79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2"/>
      <c r="T439" s="102"/>
      <c r="U439" s="102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</row>
    <row r="440" ht="21.0" customHeight="1">
      <c r="A440" s="79"/>
      <c r="B440" s="79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2"/>
      <c r="T440" s="102"/>
      <c r="U440" s="102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</row>
    <row r="441" ht="21.0" customHeight="1">
      <c r="A441" s="79"/>
      <c r="B441" s="79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2"/>
      <c r="T441" s="102"/>
      <c r="U441" s="102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</row>
    <row r="442" ht="21.0" customHeight="1">
      <c r="A442" s="79"/>
      <c r="B442" s="79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2"/>
      <c r="T442" s="102"/>
      <c r="U442" s="102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</row>
    <row r="443" ht="21.0" customHeight="1">
      <c r="A443" s="79"/>
      <c r="B443" s="79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2"/>
      <c r="T443" s="102"/>
      <c r="U443" s="102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</row>
    <row r="444" ht="21.0" customHeight="1">
      <c r="A444" s="79"/>
      <c r="B444" s="79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2"/>
      <c r="T444" s="102"/>
      <c r="U444" s="102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</row>
    <row r="445" ht="21.0" customHeight="1">
      <c r="A445" s="79"/>
      <c r="B445" s="79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2"/>
      <c r="T445" s="102"/>
      <c r="U445" s="102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</row>
    <row r="446" ht="21.0" customHeight="1">
      <c r="A446" s="79"/>
      <c r="B446" s="79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2"/>
      <c r="T446" s="102"/>
      <c r="U446" s="102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</row>
    <row r="447" ht="21.0" customHeight="1">
      <c r="A447" s="79"/>
      <c r="B447" s="79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2"/>
      <c r="T447" s="102"/>
      <c r="U447" s="102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</row>
    <row r="448" ht="21.0" customHeight="1">
      <c r="A448" s="79"/>
      <c r="B448" s="79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2"/>
      <c r="T448" s="102"/>
      <c r="U448" s="102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</row>
    <row r="449" ht="21.0" customHeight="1">
      <c r="A449" s="79"/>
      <c r="B449" s="79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2"/>
      <c r="T449" s="102"/>
      <c r="U449" s="102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</row>
    <row r="450" ht="21.0" customHeight="1">
      <c r="A450" s="79"/>
      <c r="B450" s="79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2"/>
      <c r="T450" s="102"/>
      <c r="U450" s="102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</row>
    <row r="451" ht="21.0" customHeight="1">
      <c r="A451" s="79"/>
      <c r="B451" s="79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2"/>
      <c r="T451" s="102"/>
      <c r="U451" s="102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</row>
    <row r="452" ht="21.0" customHeight="1">
      <c r="A452" s="79"/>
      <c r="B452" s="79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2"/>
      <c r="T452" s="102"/>
      <c r="U452" s="102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</row>
    <row r="453" ht="21.0" customHeight="1">
      <c r="A453" s="79"/>
      <c r="B453" s="79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2"/>
      <c r="T453" s="102"/>
      <c r="U453" s="102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</row>
    <row r="454" ht="21.0" customHeight="1">
      <c r="A454" s="79"/>
      <c r="B454" s="79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2"/>
      <c r="T454" s="102"/>
      <c r="U454" s="102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</row>
    <row r="455" ht="21.0" customHeight="1">
      <c r="A455" s="79"/>
      <c r="B455" s="79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2"/>
      <c r="T455" s="102"/>
      <c r="U455" s="102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</row>
    <row r="456" ht="21.0" customHeight="1">
      <c r="A456" s="79"/>
      <c r="B456" s="79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2"/>
      <c r="T456" s="102"/>
      <c r="U456" s="102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</row>
    <row r="457" ht="21.0" customHeight="1">
      <c r="A457" s="79"/>
      <c r="B457" s="79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2"/>
      <c r="T457" s="102"/>
      <c r="U457" s="102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</row>
    <row r="458" ht="21.0" customHeight="1">
      <c r="A458" s="79"/>
      <c r="B458" s="79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2"/>
      <c r="T458" s="102"/>
      <c r="U458" s="102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</row>
    <row r="459" ht="21.0" customHeight="1">
      <c r="A459" s="79"/>
      <c r="B459" s="79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2"/>
      <c r="T459" s="102"/>
      <c r="U459" s="102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</row>
    <row r="460" ht="21.0" customHeight="1">
      <c r="A460" s="79"/>
      <c r="B460" s="79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2"/>
      <c r="T460" s="102"/>
      <c r="U460" s="102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</row>
    <row r="461" ht="21.0" customHeight="1">
      <c r="A461" s="79"/>
      <c r="B461" s="79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2"/>
      <c r="T461" s="102"/>
      <c r="U461" s="102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</row>
    <row r="462" ht="21.0" customHeight="1">
      <c r="A462" s="79"/>
      <c r="B462" s="79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2"/>
      <c r="T462" s="102"/>
      <c r="U462" s="102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</row>
    <row r="463" ht="21.0" customHeight="1">
      <c r="A463" s="79"/>
      <c r="B463" s="79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2"/>
      <c r="T463" s="102"/>
      <c r="U463" s="102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</row>
    <row r="464" ht="21.0" customHeight="1">
      <c r="A464" s="79"/>
      <c r="B464" s="79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2"/>
      <c r="T464" s="102"/>
      <c r="U464" s="102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</row>
    <row r="465" ht="21.0" customHeight="1">
      <c r="A465" s="79"/>
      <c r="B465" s="79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2"/>
      <c r="T465" s="102"/>
      <c r="U465" s="102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</row>
    <row r="466" ht="21.0" customHeight="1">
      <c r="A466" s="79"/>
      <c r="B466" s="79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2"/>
      <c r="T466" s="102"/>
      <c r="U466" s="102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</row>
    <row r="467" ht="21.0" customHeight="1">
      <c r="A467" s="79"/>
      <c r="B467" s="79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2"/>
      <c r="T467" s="102"/>
      <c r="U467" s="102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</row>
    <row r="468" ht="21.0" customHeight="1">
      <c r="A468" s="79"/>
      <c r="B468" s="79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2"/>
      <c r="T468" s="102"/>
      <c r="U468" s="102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</row>
    <row r="469" ht="21.0" customHeight="1">
      <c r="A469" s="79"/>
      <c r="B469" s="79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2"/>
      <c r="T469" s="102"/>
      <c r="U469" s="102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</row>
    <row r="470" ht="21.0" customHeight="1">
      <c r="A470" s="79"/>
      <c r="B470" s="79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2"/>
      <c r="T470" s="102"/>
      <c r="U470" s="102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</row>
    <row r="471" ht="21.0" customHeight="1">
      <c r="A471" s="79"/>
      <c r="B471" s="79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2"/>
      <c r="T471" s="102"/>
      <c r="U471" s="102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</row>
    <row r="472" ht="21.0" customHeight="1">
      <c r="A472" s="79"/>
      <c r="B472" s="79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2"/>
      <c r="T472" s="102"/>
      <c r="U472" s="102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</row>
    <row r="473" ht="21.0" customHeight="1">
      <c r="A473" s="79"/>
      <c r="B473" s="79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2"/>
      <c r="T473" s="102"/>
      <c r="U473" s="102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</row>
    <row r="474" ht="21.0" customHeight="1">
      <c r="A474" s="79"/>
      <c r="B474" s="79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2"/>
      <c r="T474" s="102"/>
      <c r="U474" s="102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</row>
    <row r="475" ht="21.0" customHeight="1">
      <c r="A475" s="79"/>
      <c r="B475" s="79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2"/>
      <c r="T475" s="102"/>
      <c r="U475" s="102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</row>
    <row r="476" ht="21.0" customHeight="1">
      <c r="A476" s="79"/>
      <c r="B476" s="79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2"/>
      <c r="T476" s="102"/>
      <c r="U476" s="102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</row>
    <row r="477" ht="21.0" customHeight="1">
      <c r="A477" s="79"/>
      <c r="B477" s="79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2"/>
      <c r="T477" s="102"/>
      <c r="U477" s="102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</row>
    <row r="478" ht="21.0" customHeight="1">
      <c r="A478" s="79"/>
      <c r="B478" s="79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2"/>
      <c r="T478" s="102"/>
      <c r="U478" s="102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</row>
    <row r="479" ht="21.0" customHeight="1">
      <c r="A479" s="79"/>
      <c r="B479" s="79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2"/>
      <c r="T479" s="102"/>
      <c r="U479" s="102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</row>
    <row r="480" ht="21.0" customHeight="1">
      <c r="A480" s="79"/>
      <c r="B480" s="79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2"/>
      <c r="T480" s="102"/>
      <c r="U480" s="102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</row>
    <row r="481" ht="21.0" customHeight="1">
      <c r="A481" s="79"/>
      <c r="B481" s="79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2"/>
      <c r="T481" s="102"/>
      <c r="U481" s="102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</row>
    <row r="482" ht="21.0" customHeight="1">
      <c r="A482" s="79"/>
      <c r="B482" s="79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2"/>
      <c r="T482" s="102"/>
      <c r="U482" s="102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</row>
    <row r="483" ht="21.0" customHeight="1">
      <c r="A483" s="79"/>
      <c r="B483" s="79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2"/>
      <c r="T483" s="102"/>
      <c r="U483" s="102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</row>
    <row r="484" ht="21.0" customHeight="1">
      <c r="A484" s="79"/>
      <c r="B484" s="79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2"/>
      <c r="T484" s="102"/>
      <c r="U484" s="102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</row>
    <row r="485" ht="21.0" customHeight="1">
      <c r="A485" s="79"/>
      <c r="B485" s="79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2"/>
      <c r="T485" s="102"/>
      <c r="U485" s="102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</row>
    <row r="486" ht="21.0" customHeight="1">
      <c r="A486" s="79"/>
      <c r="B486" s="79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2"/>
      <c r="T486" s="102"/>
      <c r="U486" s="102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</row>
    <row r="487" ht="21.0" customHeight="1">
      <c r="A487" s="79"/>
      <c r="B487" s="79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2"/>
      <c r="T487" s="102"/>
      <c r="U487" s="102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</row>
    <row r="488" ht="21.0" customHeight="1">
      <c r="A488" s="79"/>
      <c r="B488" s="79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2"/>
      <c r="T488" s="102"/>
      <c r="U488" s="102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</row>
    <row r="489" ht="21.0" customHeight="1">
      <c r="A489" s="79"/>
      <c r="B489" s="79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2"/>
      <c r="T489" s="102"/>
      <c r="U489" s="102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</row>
    <row r="490" ht="21.0" customHeight="1">
      <c r="A490" s="79"/>
      <c r="B490" s="79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2"/>
      <c r="T490" s="102"/>
      <c r="U490" s="102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</row>
    <row r="491" ht="21.0" customHeight="1">
      <c r="A491" s="79"/>
      <c r="B491" s="79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2"/>
      <c r="T491" s="102"/>
      <c r="U491" s="102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</row>
    <row r="492" ht="21.0" customHeight="1">
      <c r="A492" s="79"/>
      <c r="B492" s="79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2"/>
      <c r="T492" s="102"/>
      <c r="U492" s="102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</row>
    <row r="493" ht="21.0" customHeight="1">
      <c r="A493" s="79"/>
      <c r="B493" s="79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2"/>
      <c r="T493" s="102"/>
      <c r="U493" s="102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</row>
    <row r="494" ht="21.0" customHeight="1">
      <c r="A494" s="79"/>
      <c r="B494" s="79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2"/>
      <c r="T494" s="102"/>
      <c r="U494" s="102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</row>
    <row r="495" ht="21.0" customHeight="1">
      <c r="A495" s="79"/>
      <c r="B495" s="79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2"/>
      <c r="T495" s="102"/>
      <c r="U495" s="102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</row>
    <row r="496" ht="21.0" customHeight="1">
      <c r="A496" s="79"/>
      <c r="B496" s="79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2"/>
      <c r="T496" s="102"/>
      <c r="U496" s="102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</row>
    <row r="497" ht="21.0" customHeight="1">
      <c r="A497" s="79"/>
      <c r="B497" s="79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2"/>
      <c r="T497" s="102"/>
      <c r="U497" s="102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</row>
    <row r="498" ht="21.0" customHeight="1">
      <c r="A498" s="79"/>
      <c r="B498" s="79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2"/>
      <c r="T498" s="102"/>
      <c r="U498" s="102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</row>
    <row r="499" ht="21.0" customHeight="1">
      <c r="A499" s="79"/>
      <c r="B499" s="79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2"/>
      <c r="T499" s="102"/>
      <c r="U499" s="102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</row>
    <row r="500" ht="21.0" customHeight="1">
      <c r="A500" s="79"/>
      <c r="B500" s="79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2"/>
      <c r="T500" s="102"/>
      <c r="U500" s="102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</row>
    <row r="501" ht="21.0" customHeight="1">
      <c r="A501" s="79"/>
      <c r="B501" s="79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2"/>
      <c r="T501" s="102"/>
      <c r="U501" s="102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</row>
    <row r="502" ht="21.0" customHeight="1">
      <c r="A502" s="79"/>
      <c r="B502" s="79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2"/>
      <c r="T502" s="102"/>
      <c r="U502" s="102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</row>
    <row r="503" ht="21.0" customHeight="1">
      <c r="A503" s="79"/>
      <c r="B503" s="79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2"/>
      <c r="T503" s="102"/>
      <c r="U503" s="102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</row>
    <row r="504" ht="21.0" customHeight="1">
      <c r="A504" s="79"/>
      <c r="B504" s="79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2"/>
      <c r="T504" s="102"/>
      <c r="U504" s="102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</row>
    <row r="505" ht="21.0" customHeight="1">
      <c r="A505" s="79"/>
      <c r="B505" s="79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2"/>
      <c r="T505" s="102"/>
      <c r="U505" s="102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</row>
    <row r="506" ht="21.0" customHeight="1">
      <c r="A506" s="79"/>
      <c r="B506" s="79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2"/>
      <c r="T506" s="102"/>
      <c r="U506" s="102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</row>
    <row r="507" ht="21.0" customHeight="1">
      <c r="A507" s="79"/>
      <c r="B507" s="79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2"/>
      <c r="T507" s="102"/>
      <c r="U507" s="102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</row>
    <row r="508" ht="21.0" customHeight="1">
      <c r="A508" s="79"/>
      <c r="B508" s="79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2"/>
      <c r="T508" s="102"/>
      <c r="U508" s="102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</row>
    <row r="509" ht="21.0" customHeight="1">
      <c r="A509" s="79"/>
      <c r="B509" s="79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2"/>
      <c r="T509" s="102"/>
      <c r="U509" s="102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</row>
    <row r="510" ht="21.0" customHeight="1">
      <c r="A510" s="79"/>
      <c r="B510" s="79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2"/>
      <c r="T510" s="102"/>
      <c r="U510" s="102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</row>
    <row r="511" ht="21.0" customHeight="1">
      <c r="A511" s="79"/>
      <c r="B511" s="79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2"/>
      <c r="T511" s="102"/>
      <c r="U511" s="102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</row>
    <row r="512" ht="21.0" customHeight="1">
      <c r="A512" s="79"/>
      <c r="B512" s="79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2"/>
      <c r="T512" s="102"/>
      <c r="U512" s="102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</row>
    <row r="513" ht="21.0" customHeight="1">
      <c r="A513" s="79"/>
      <c r="B513" s="79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2"/>
      <c r="T513" s="102"/>
      <c r="U513" s="102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</row>
    <row r="514" ht="21.0" customHeight="1">
      <c r="A514" s="79"/>
      <c r="B514" s="79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2"/>
      <c r="T514" s="102"/>
      <c r="U514" s="102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</row>
    <row r="515" ht="21.0" customHeight="1">
      <c r="A515" s="79"/>
      <c r="B515" s="79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2"/>
      <c r="T515" s="102"/>
      <c r="U515" s="102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</row>
    <row r="516" ht="21.0" customHeight="1">
      <c r="A516" s="79"/>
      <c r="B516" s="79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2"/>
      <c r="T516" s="102"/>
      <c r="U516" s="102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</row>
    <row r="517" ht="21.0" customHeight="1">
      <c r="A517" s="79"/>
      <c r="B517" s="79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2"/>
      <c r="T517" s="102"/>
      <c r="U517" s="102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</row>
    <row r="518" ht="21.0" customHeight="1">
      <c r="A518" s="79"/>
      <c r="B518" s="79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2"/>
      <c r="T518" s="102"/>
      <c r="U518" s="102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</row>
    <row r="519" ht="21.0" customHeight="1">
      <c r="A519" s="79"/>
      <c r="B519" s="79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2"/>
      <c r="T519" s="102"/>
      <c r="U519" s="102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</row>
    <row r="520" ht="21.0" customHeight="1">
      <c r="A520" s="79"/>
      <c r="B520" s="79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2"/>
      <c r="T520" s="102"/>
      <c r="U520" s="102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</row>
    <row r="521" ht="21.0" customHeight="1">
      <c r="A521" s="79"/>
      <c r="B521" s="79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2"/>
      <c r="T521" s="102"/>
      <c r="U521" s="102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</row>
    <row r="522" ht="21.0" customHeight="1">
      <c r="A522" s="79"/>
      <c r="B522" s="79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2"/>
      <c r="T522" s="102"/>
      <c r="U522" s="102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</row>
    <row r="523" ht="21.0" customHeight="1">
      <c r="A523" s="79"/>
      <c r="B523" s="79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2"/>
      <c r="T523" s="102"/>
      <c r="U523" s="102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</row>
    <row r="524" ht="21.0" customHeight="1">
      <c r="A524" s="79"/>
      <c r="B524" s="79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2"/>
      <c r="T524" s="102"/>
      <c r="U524" s="102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</row>
    <row r="525" ht="21.0" customHeight="1">
      <c r="A525" s="79"/>
      <c r="B525" s="79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2"/>
      <c r="T525" s="102"/>
      <c r="U525" s="102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</row>
    <row r="526" ht="21.0" customHeight="1">
      <c r="A526" s="79"/>
      <c r="B526" s="79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2"/>
      <c r="T526" s="102"/>
      <c r="U526" s="102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</row>
    <row r="527" ht="21.0" customHeight="1">
      <c r="A527" s="79"/>
      <c r="B527" s="79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2"/>
      <c r="T527" s="102"/>
      <c r="U527" s="102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</row>
    <row r="528" ht="21.0" customHeight="1">
      <c r="A528" s="79"/>
      <c r="B528" s="79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2"/>
      <c r="T528" s="102"/>
      <c r="U528" s="102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</row>
    <row r="529" ht="21.0" customHeight="1">
      <c r="A529" s="79"/>
      <c r="B529" s="79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2"/>
      <c r="T529" s="102"/>
      <c r="U529" s="102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</row>
    <row r="530" ht="21.0" customHeight="1">
      <c r="A530" s="79"/>
      <c r="B530" s="79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2"/>
      <c r="T530" s="102"/>
      <c r="U530" s="102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</row>
    <row r="531" ht="21.0" customHeight="1">
      <c r="A531" s="79"/>
      <c r="B531" s="79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2"/>
      <c r="T531" s="102"/>
      <c r="U531" s="102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</row>
    <row r="532" ht="21.0" customHeight="1">
      <c r="A532" s="79"/>
      <c r="B532" s="79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2"/>
      <c r="T532" s="102"/>
      <c r="U532" s="102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</row>
    <row r="533" ht="21.0" customHeight="1">
      <c r="A533" s="79"/>
      <c r="B533" s="79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2"/>
      <c r="T533" s="102"/>
      <c r="U533" s="102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</row>
    <row r="534" ht="21.0" customHeight="1">
      <c r="A534" s="79"/>
      <c r="B534" s="79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2"/>
      <c r="T534" s="102"/>
      <c r="U534" s="102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</row>
    <row r="535" ht="21.0" customHeight="1">
      <c r="A535" s="79"/>
      <c r="B535" s="79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2"/>
      <c r="T535" s="102"/>
      <c r="U535" s="102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</row>
    <row r="536" ht="21.0" customHeight="1">
      <c r="A536" s="79"/>
      <c r="B536" s="79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2"/>
      <c r="T536" s="102"/>
      <c r="U536" s="102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</row>
    <row r="537" ht="21.0" customHeight="1">
      <c r="A537" s="79"/>
      <c r="B537" s="79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2"/>
      <c r="T537" s="102"/>
      <c r="U537" s="102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</row>
    <row r="538" ht="21.0" customHeight="1">
      <c r="A538" s="79"/>
      <c r="B538" s="79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2"/>
      <c r="T538" s="102"/>
      <c r="U538" s="102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</row>
    <row r="539" ht="21.0" customHeight="1">
      <c r="A539" s="79"/>
      <c r="B539" s="79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2"/>
      <c r="T539" s="102"/>
      <c r="U539" s="102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</row>
    <row r="540" ht="21.0" customHeight="1">
      <c r="A540" s="79"/>
      <c r="B540" s="79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2"/>
      <c r="T540" s="102"/>
      <c r="U540" s="102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</row>
    <row r="541" ht="21.0" customHeight="1">
      <c r="A541" s="79"/>
      <c r="B541" s="79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2"/>
      <c r="T541" s="102"/>
      <c r="U541" s="102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</row>
    <row r="542" ht="21.0" customHeight="1">
      <c r="A542" s="79"/>
      <c r="B542" s="79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2"/>
      <c r="T542" s="102"/>
      <c r="U542" s="102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</row>
    <row r="543" ht="21.0" customHeight="1">
      <c r="A543" s="79"/>
      <c r="B543" s="79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2"/>
      <c r="T543" s="102"/>
      <c r="U543" s="102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</row>
    <row r="544" ht="21.0" customHeight="1">
      <c r="A544" s="79"/>
      <c r="B544" s="79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2"/>
      <c r="T544" s="102"/>
      <c r="U544" s="102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</row>
    <row r="545" ht="21.0" customHeight="1">
      <c r="A545" s="79"/>
      <c r="B545" s="79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2"/>
      <c r="T545" s="102"/>
      <c r="U545" s="102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</row>
    <row r="546" ht="21.0" customHeight="1">
      <c r="A546" s="79"/>
      <c r="B546" s="79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2"/>
      <c r="T546" s="102"/>
      <c r="U546" s="102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</row>
    <row r="547" ht="21.0" customHeight="1">
      <c r="A547" s="79"/>
      <c r="B547" s="79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2"/>
      <c r="T547" s="102"/>
      <c r="U547" s="102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</row>
    <row r="548" ht="21.0" customHeight="1">
      <c r="A548" s="79"/>
      <c r="B548" s="79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2"/>
      <c r="T548" s="102"/>
      <c r="U548" s="102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</row>
    <row r="549" ht="21.0" customHeight="1">
      <c r="A549" s="79"/>
      <c r="B549" s="79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2"/>
      <c r="T549" s="102"/>
      <c r="U549" s="102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</row>
    <row r="550" ht="21.0" customHeight="1">
      <c r="A550" s="79"/>
      <c r="B550" s="79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2"/>
      <c r="T550" s="102"/>
      <c r="U550" s="102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</row>
    <row r="551" ht="21.0" customHeight="1">
      <c r="A551" s="79"/>
      <c r="B551" s="79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2"/>
      <c r="T551" s="102"/>
      <c r="U551" s="102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</row>
    <row r="552" ht="21.0" customHeight="1">
      <c r="A552" s="79"/>
      <c r="B552" s="79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2"/>
      <c r="T552" s="102"/>
      <c r="U552" s="102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</row>
    <row r="553" ht="21.0" customHeight="1">
      <c r="A553" s="79"/>
      <c r="B553" s="79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2"/>
      <c r="T553" s="102"/>
      <c r="U553" s="102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</row>
    <row r="554" ht="21.0" customHeight="1">
      <c r="A554" s="79"/>
      <c r="B554" s="79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2"/>
      <c r="T554" s="102"/>
      <c r="U554" s="102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</row>
    <row r="555" ht="21.0" customHeight="1">
      <c r="A555" s="79"/>
      <c r="B555" s="79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2"/>
      <c r="T555" s="102"/>
      <c r="U555" s="102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</row>
    <row r="556" ht="21.0" customHeight="1">
      <c r="A556" s="79"/>
      <c r="B556" s="79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2"/>
      <c r="T556" s="102"/>
      <c r="U556" s="102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</row>
    <row r="557" ht="21.0" customHeight="1">
      <c r="A557" s="79"/>
      <c r="B557" s="79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2"/>
      <c r="T557" s="102"/>
      <c r="U557" s="102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</row>
    <row r="558" ht="21.0" customHeight="1">
      <c r="A558" s="79"/>
      <c r="B558" s="79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2"/>
      <c r="T558" s="102"/>
      <c r="U558" s="102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</row>
    <row r="559" ht="21.0" customHeight="1">
      <c r="A559" s="79"/>
      <c r="B559" s="79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2"/>
      <c r="T559" s="102"/>
      <c r="U559" s="102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</row>
    <row r="560" ht="21.0" customHeight="1">
      <c r="A560" s="79"/>
      <c r="B560" s="79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2"/>
      <c r="T560" s="102"/>
      <c r="U560" s="102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</row>
    <row r="561" ht="21.0" customHeight="1">
      <c r="A561" s="79"/>
      <c r="B561" s="79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2"/>
      <c r="T561" s="102"/>
      <c r="U561" s="102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</row>
    <row r="562" ht="21.0" customHeight="1">
      <c r="A562" s="79"/>
      <c r="B562" s="79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2"/>
      <c r="T562" s="102"/>
      <c r="U562" s="102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</row>
    <row r="563" ht="21.0" customHeight="1">
      <c r="A563" s="79"/>
      <c r="B563" s="79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2"/>
      <c r="T563" s="102"/>
      <c r="U563" s="102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</row>
    <row r="564" ht="21.0" customHeight="1">
      <c r="A564" s="79"/>
      <c r="B564" s="79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2"/>
      <c r="T564" s="102"/>
      <c r="U564" s="102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</row>
    <row r="565" ht="21.0" customHeight="1">
      <c r="A565" s="79"/>
      <c r="B565" s="79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2"/>
      <c r="T565" s="102"/>
      <c r="U565" s="102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</row>
    <row r="566" ht="21.0" customHeight="1">
      <c r="A566" s="79"/>
      <c r="B566" s="79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2"/>
      <c r="T566" s="102"/>
      <c r="U566" s="102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</row>
    <row r="567" ht="21.0" customHeight="1">
      <c r="A567" s="79"/>
      <c r="B567" s="79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2"/>
      <c r="T567" s="102"/>
      <c r="U567" s="102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</row>
    <row r="568" ht="21.0" customHeight="1">
      <c r="A568" s="79"/>
      <c r="B568" s="79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2"/>
      <c r="T568" s="102"/>
      <c r="U568" s="102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</row>
    <row r="569" ht="21.0" customHeight="1">
      <c r="A569" s="79"/>
      <c r="B569" s="79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2"/>
      <c r="T569" s="102"/>
      <c r="U569" s="102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</row>
    <row r="570" ht="21.0" customHeight="1">
      <c r="A570" s="79"/>
      <c r="B570" s="79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2"/>
      <c r="T570" s="102"/>
      <c r="U570" s="102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</row>
    <row r="571" ht="21.0" customHeight="1">
      <c r="A571" s="79"/>
      <c r="B571" s="79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2"/>
      <c r="T571" s="102"/>
      <c r="U571" s="102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</row>
    <row r="572" ht="21.0" customHeight="1">
      <c r="A572" s="79"/>
      <c r="B572" s="79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2"/>
      <c r="T572" s="102"/>
      <c r="U572" s="102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</row>
    <row r="573" ht="21.0" customHeight="1">
      <c r="A573" s="79"/>
      <c r="B573" s="79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2"/>
      <c r="T573" s="102"/>
      <c r="U573" s="102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</row>
    <row r="574" ht="21.0" customHeight="1">
      <c r="A574" s="79"/>
      <c r="B574" s="79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2"/>
      <c r="T574" s="102"/>
      <c r="U574" s="102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</row>
    <row r="575" ht="21.0" customHeight="1">
      <c r="A575" s="79"/>
      <c r="B575" s="79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2"/>
      <c r="T575" s="102"/>
      <c r="U575" s="102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</row>
    <row r="576" ht="21.0" customHeight="1">
      <c r="A576" s="79"/>
      <c r="B576" s="79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2"/>
      <c r="T576" s="102"/>
      <c r="U576" s="102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</row>
    <row r="577" ht="21.0" customHeight="1">
      <c r="A577" s="79"/>
      <c r="B577" s="79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2"/>
      <c r="T577" s="102"/>
      <c r="U577" s="102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</row>
    <row r="578" ht="21.0" customHeight="1">
      <c r="A578" s="79"/>
      <c r="B578" s="79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2"/>
      <c r="T578" s="102"/>
      <c r="U578" s="102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</row>
    <row r="579" ht="21.0" customHeight="1">
      <c r="A579" s="79"/>
      <c r="B579" s="79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2"/>
      <c r="T579" s="102"/>
      <c r="U579" s="102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</row>
    <row r="580" ht="21.0" customHeight="1">
      <c r="A580" s="79"/>
      <c r="B580" s="79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2"/>
      <c r="T580" s="102"/>
      <c r="U580" s="102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</row>
    <row r="581" ht="21.0" customHeight="1">
      <c r="A581" s="79"/>
      <c r="B581" s="79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2"/>
      <c r="T581" s="102"/>
      <c r="U581" s="102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</row>
    <row r="582" ht="21.0" customHeight="1">
      <c r="A582" s="79"/>
      <c r="B582" s="79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2"/>
      <c r="T582" s="102"/>
      <c r="U582" s="102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</row>
    <row r="583" ht="21.0" customHeight="1">
      <c r="A583" s="79"/>
      <c r="B583" s="79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2"/>
      <c r="T583" s="102"/>
      <c r="U583" s="102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</row>
    <row r="584" ht="21.0" customHeight="1">
      <c r="A584" s="79"/>
      <c r="B584" s="79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2"/>
      <c r="T584" s="102"/>
      <c r="U584" s="102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</row>
    <row r="585" ht="21.0" customHeight="1">
      <c r="A585" s="79"/>
      <c r="B585" s="79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2"/>
      <c r="T585" s="102"/>
      <c r="U585" s="102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</row>
    <row r="586" ht="21.0" customHeight="1">
      <c r="A586" s="79"/>
      <c r="B586" s="79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2"/>
      <c r="T586" s="102"/>
      <c r="U586" s="102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</row>
    <row r="587" ht="21.0" customHeight="1">
      <c r="A587" s="79"/>
      <c r="B587" s="79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2"/>
      <c r="T587" s="102"/>
      <c r="U587" s="102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</row>
    <row r="588" ht="21.0" customHeight="1">
      <c r="A588" s="79"/>
      <c r="B588" s="79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2"/>
      <c r="T588" s="102"/>
      <c r="U588" s="102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</row>
    <row r="589" ht="21.0" customHeight="1">
      <c r="A589" s="79"/>
      <c r="B589" s="79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2"/>
      <c r="T589" s="102"/>
      <c r="U589" s="102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</row>
    <row r="590" ht="21.0" customHeight="1">
      <c r="A590" s="79"/>
      <c r="B590" s="79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2"/>
      <c r="T590" s="102"/>
      <c r="U590" s="102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</row>
    <row r="591" ht="21.0" customHeight="1">
      <c r="A591" s="79"/>
      <c r="B591" s="79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2"/>
      <c r="T591" s="102"/>
      <c r="U591" s="102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</row>
    <row r="592" ht="21.0" customHeight="1">
      <c r="A592" s="79"/>
      <c r="B592" s="79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2"/>
      <c r="T592" s="102"/>
      <c r="U592" s="102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</row>
    <row r="593" ht="21.0" customHeight="1">
      <c r="A593" s="79"/>
      <c r="B593" s="79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2"/>
      <c r="T593" s="102"/>
      <c r="U593" s="102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</row>
    <row r="594" ht="21.0" customHeight="1">
      <c r="A594" s="79"/>
      <c r="B594" s="79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2"/>
      <c r="T594" s="102"/>
      <c r="U594" s="102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</row>
    <row r="595" ht="21.0" customHeight="1">
      <c r="A595" s="79"/>
      <c r="B595" s="79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2"/>
      <c r="T595" s="102"/>
      <c r="U595" s="102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</row>
    <row r="596" ht="21.0" customHeight="1">
      <c r="A596" s="79"/>
      <c r="B596" s="79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2"/>
      <c r="T596" s="102"/>
      <c r="U596" s="102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</row>
    <row r="597" ht="21.0" customHeight="1">
      <c r="A597" s="79"/>
      <c r="B597" s="79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2"/>
      <c r="T597" s="102"/>
      <c r="U597" s="102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</row>
    <row r="598" ht="21.0" customHeight="1">
      <c r="A598" s="79"/>
      <c r="B598" s="79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2"/>
      <c r="T598" s="102"/>
      <c r="U598" s="102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</row>
    <row r="599" ht="21.0" customHeight="1">
      <c r="A599" s="79"/>
      <c r="B599" s="79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2"/>
      <c r="T599" s="102"/>
      <c r="U599" s="102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</row>
    <row r="600" ht="21.0" customHeight="1">
      <c r="A600" s="79"/>
      <c r="B600" s="79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2"/>
      <c r="T600" s="102"/>
      <c r="U600" s="102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</row>
    <row r="601" ht="21.0" customHeight="1">
      <c r="A601" s="79"/>
      <c r="B601" s="79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2"/>
      <c r="T601" s="102"/>
      <c r="U601" s="102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</row>
    <row r="602" ht="21.0" customHeight="1">
      <c r="A602" s="79"/>
      <c r="B602" s="79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2"/>
      <c r="T602" s="102"/>
      <c r="U602" s="102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</row>
    <row r="603" ht="21.0" customHeight="1">
      <c r="A603" s="79"/>
      <c r="B603" s="79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2"/>
      <c r="T603" s="102"/>
      <c r="U603" s="102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</row>
    <row r="604" ht="21.0" customHeight="1">
      <c r="A604" s="79"/>
      <c r="B604" s="79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2"/>
      <c r="T604" s="102"/>
      <c r="U604" s="102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</row>
    <row r="605" ht="21.0" customHeight="1">
      <c r="A605" s="79"/>
      <c r="B605" s="79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2"/>
      <c r="T605" s="102"/>
      <c r="U605" s="102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</row>
    <row r="606" ht="21.0" customHeight="1">
      <c r="A606" s="79"/>
      <c r="B606" s="79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2"/>
      <c r="T606" s="102"/>
      <c r="U606" s="102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</row>
    <row r="607" ht="21.0" customHeight="1">
      <c r="A607" s="79"/>
      <c r="B607" s="79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2"/>
      <c r="T607" s="102"/>
      <c r="U607" s="102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</row>
    <row r="608" ht="21.0" customHeight="1">
      <c r="A608" s="79"/>
      <c r="B608" s="79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2"/>
      <c r="T608" s="102"/>
      <c r="U608" s="102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</row>
    <row r="609" ht="21.0" customHeight="1">
      <c r="A609" s="79"/>
      <c r="B609" s="79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2"/>
      <c r="T609" s="102"/>
      <c r="U609" s="102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</row>
    <row r="610" ht="21.0" customHeight="1">
      <c r="A610" s="79"/>
      <c r="B610" s="79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2"/>
      <c r="T610" s="102"/>
      <c r="U610" s="102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</row>
    <row r="611" ht="21.0" customHeight="1">
      <c r="A611" s="79"/>
      <c r="B611" s="79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2"/>
      <c r="T611" s="102"/>
      <c r="U611" s="102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</row>
    <row r="612" ht="21.0" customHeight="1">
      <c r="A612" s="79"/>
      <c r="B612" s="79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2"/>
      <c r="T612" s="102"/>
      <c r="U612" s="102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</row>
    <row r="613" ht="21.0" customHeight="1">
      <c r="A613" s="79"/>
      <c r="B613" s="79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2"/>
      <c r="T613" s="102"/>
      <c r="U613" s="102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</row>
    <row r="614" ht="21.0" customHeight="1">
      <c r="A614" s="79"/>
      <c r="B614" s="79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2"/>
      <c r="T614" s="102"/>
      <c r="U614" s="102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</row>
    <row r="615" ht="21.0" customHeight="1">
      <c r="A615" s="79"/>
      <c r="B615" s="79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2"/>
      <c r="T615" s="102"/>
      <c r="U615" s="102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</row>
    <row r="616" ht="21.0" customHeight="1">
      <c r="A616" s="79"/>
      <c r="B616" s="79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2"/>
      <c r="T616" s="102"/>
      <c r="U616" s="102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</row>
    <row r="617" ht="21.0" customHeight="1">
      <c r="A617" s="79"/>
      <c r="B617" s="79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2"/>
      <c r="T617" s="102"/>
      <c r="U617" s="102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</row>
    <row r="618" ht="21.0" customHeight="1">
      <c r="A618" s="79"/>
      <c r="B618" s="79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2"/>
      <c r="T618" s="102"/>
      <c r="U618" s="102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</row>
    <row r="619" ht="21.0" customHeight="1">
      <c r="A619" s="79"/>
      <c r="B619" s="79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2"/>
      <c r="T619" s="102"/>
      <c r="U619" s="102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</row>
    <row r="620" ht="21.0" customHeight="1">
      <c r="A620" s="79"/>
      <c r="B620" s="79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2"/>
      <c r="T620" s="102"/>
      <c r="U620" s="102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</row>
    <row r="621" ht="21.0" customHeight="1">
      <c r="A621" s="79"/>
      <c r="B621" s="79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2"/>
      <c r="T621" s="102"/>
      <c r="U621" s="102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</row>
    <row r="622" ht="21.0" customHeight="1">
      <c r="A622" s="79"/>
      <c r="B622" s="79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2"/>
      <c r="T622" s="102"/>
      <c r="U622" s="102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</row>
    <row r="623" ht="21.0" customHeight="1">
      <c r="A623" s="79"/>
      <c r="B623" s="79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2"/>
      <c r="T623" s="102"/>
      <c r="U623" s="102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</row>
    <row r="624" ht="21.0" customHeight="1">
      <c r="A624" s="79"/>
      <c r="B624" s="79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2"/>
      <c r="T624" s="102"/>
      <c r="U624" s="102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</row>
    <row r="625" ht="21.0" customHeight="1">
      <c r="A625" s="79"/>
      <c r="B625" s="79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2"/>
      <c r="T625" s="102"/>
      <c r="U625" s="102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</row>
    <row r="626" ht="21.0" customHeight="1">
      <c r="A626" s="79"/>
      <c r="B626" s="79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2"/>
      <c r="T626" s="102"/>
      <c r="U626" s="102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</row>
    <row r="627" ht="21.0" customHeight="1">
      <c r="A627" s="79"/>
      <c r="B627" s="79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2"/>
      <c r="T627" s="102"/>
      <c r="U627" s="102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</row>
    <row r="628" ht="21.0" customHeight="1">
      <c r="A628" s="79"/>
      <c r="B628" s="79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2"/>
      <c r="T628" s="102"/>
      <c r="U628" s="102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</row>
    <row r="629" ht="21.0" customHeight="1">
      <c r="A629" s="79"/>
      <c r="B629" s="79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2"/>
      <c r="T629" s="102"/>
      <c r="U629" s="102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</row>
    <row r="630" ht="21.0" customHeight="1">
      <c r="A630" s="79"/>
      <c r="B630" s="79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2"/>
      <c r="T630" s="102"/>
      <c r="U630" s="102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</row>
    <row r="631" ht="21.0" customHeight="1">
      <c r="A631" s="79"/>
      <c r="B631" s="79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2"/>
      <c r="T631" s="102"/>
      <c r="U631" s="102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</row>
    <row r="632" ht="21.0" customHeight="1">
      <c r="A632" s="79"/>
      <c r="B632" s="79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2"/>
      <c r="T632" s="102"/>
      <c r="U632" s="102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</row>
    <row r="633" ht="21.0" customHeight="1">
      <c r="A633" s="79"/>
      <c r="B633" s="79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2"/>
      <c r="T633" s="102"/>
      <c r="U633" s="102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</row>
    <row r="634" ht="21.0" customHeight="1">
      <c r="A634" s="79"/>
      <c r="B634" s="79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2"/>
      <c r="T634" s="102"/>
      <c r="U634" s="102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</row>
    <row r="635" ht="21.0" customHeight="1">
      <c r="A635" s="79"/>
      <c r="B635" s="79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2"/>
      <c r="T635" s="102"/>
      <c r="U635" s="102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</row>
    <row r="636" ht="21.0" customHeight="1">
      <c r="A636" s="79"/>
      <c r="B636" s="79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2"/>
      <c r="T636" s="102"/>
      <c r="U636" s="102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</row>
    <row r="637" ht="21.0" customHeight="1">
      <c r="A637" s="79"/>
      <c r="B637" s="79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2"/>
      <c r="T637" s="102"/>
      <c r="U637" s="102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</row>
    <row r="638" ht="21.0" customHeight="1">
      <c r="A638" s="79"/>
      <c r="B638" s="79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2"/>
      <c r="T638" s="102"/>
      <c r="U638" s="102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</row>
    <row r="639" ht="21.0" customHeight="1">
      <c r="A639" s="79"/>
      <c r="B639" s="79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2"/>
      <c r="T639" s="102"/>
      <c r="U639" s="102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</row>
    <row r="640" ht="21.0" customHeight="1">
      <c r="A640" s="79"/>
      <c r="B640" s="79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2"/>
      <c r="T640" s="102"/>
      <c r="U640" s="102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</row>
    <row r="641" ht="21.0" customHeight="1">
      <c r="A641" s="79"/>
      <c r="B641" s="79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2"/>
      <c r="T641" s="102"/>
      <c r="U641" s="102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</row>
    <row r="642" ht="21.0" customHeight="1">
      <c r="A642" s="79"/>
      <c r="B642" s="79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2"/>
      <c r="T642" s="102"/>
      <c r="U642" s="102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</row>
    <row r="643" ht="21.0" customHeight="1">
      <c r="A643" s="79"/>
      <c r="B643" s="79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2"/>
      <c r="T643" s="102"/>
      <c r="U643" s="102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</row>
    <row r="644" ht="21.0" customHeight="1">
      <c r="A644" s="79"/>
      <c r="B644" s="79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2"/>
      <c r="T644" s="102"/>
      <c r="U644" s="102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</row>
    <row r="645" ht="21.0" customHeight="1">
      <c r="A645" s="79"/>
      <c r="B645" s="79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2"/>
      <c r="T645" s="102"/>
      <c r="U645" s="102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</row>
    <row r="646" ht="21.0" customHeight="1">
      <c r="A646" s="79"/>
      <c r="B646" s="79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2"/>
      <c r="T646" s="102"/>
      <c r="U646" s="102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</row>
    <row r="647" ht="21.0" customHeight="1">
      <c r="A647" s="79"/>
      <c r="B647" s="79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2"/>
      <c r="T647" s="102"/>
      <c r="U647" s="102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</row>
    <row r="648" ht="21.0" customHeight="1">
      <c r="A648" s="79"/>
      <c r="B648" s="79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2"/>
      <c r="T648" s="102"/>
      <c r="U648" s="102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</row>
    <row r="649" ht="21.0" customHeight="1">
      <c r="A649" s="79"/>
      <c r="B649" s="79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2"/>
      <c r="T649" s="102"/>
      <c r="U649" s="102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</row>
    <row r="650" ht="21.0" customHeight="1">
      <c r="A650" s="79"/>
      <c r="B650" s="79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2"/>
      <c r="T650" s="102"/>
      <c r="U650" s="102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</row>
    <row r="651" ht="21.0" customHeight="1">
      <c r="A651" s="79"/>
      <c r="B651" s="79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2"/>
      <c r="T651" s="102"/>
      <c r="U651" s="102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</row>
    <row r="652" ht="21.0" customHeight="1">
      <c r="A652" s="79"/>
      <c r="B652" s="79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2"/>
      <c r="T652" s="102"/>
      <c r="U652" s="102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</row>
    <row r="653" ht="21.0" customHeight="1">
      <c r="A653" s="79"/>
      <c r="B653" s="79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2"/>
      <c r="T653" s="102"/>
      <c r="U653" s="102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</row>
    <row r="654" ht="21.0" customHeight="1">
      <c r="A654" s="79"/>
      <c r="B654" s="79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2"/>
      <c r="T654" s="102"/>
      <c r="U654" s="102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</row>
    <row r="655" ht="21.0" customHeight="1">
      <c r="A655" s="79"/>
      <c r="B655" s="79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2"/>
      <c r="T655" s="102"/>
      <c r="U655" s="102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</row>
    <row r="656" ht="21.0" customHeight="1">
      <c r="A656" s="79"/>
      <c r="B656" s="79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2"/>
      <c r="T656" s="102"/>
      <c r="U656" s="102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</row>
    <row r="657" ht="21.0" customHeight="1">
      <c r="A657" s="79"/>
      <c r="B657" s="79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2"/>
      <c r="T657" s="102"/>
      <c r="U657" s="102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</row>
    <row r="658" ht="21.0" customHeight="1">
      <c r="A658" s="79"/>
      <c r="B658" s="79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2"/>
      <c r="T658" s="102"/>
      <c r="U658" s="102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</row>
    <row r="659" ht="21.0" customHeight="1">
      <c r="A659" s="79"/>
      <c r="B659" s="79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2"/>
      <c r="T659" s="102"/>
      <c r="U659" s="102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</row>
    <row r="660" ht="21.0" customHeight="1">
      <c r="A660" s="79"/>
      <c r="B660" s="79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2"/>
      <c r="T660" s="102"/>
      <c r="U660" s="102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</row>
    <row r="661" ht="21.0" customHeight="1">
      <c r="A661" s="79"/>
      <c r="B661" s="79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2"/>
      <c r="T661" s="102"/>
      <c r="U661" s="102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</row>
    <row r="662" ht="21.0" customHeight="1">
      <c r="A662" s="79"/>
      <c r="B662" s="79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2"/>
      <c r="T662" s="102"/>
      <c r="U662" s="102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</row>
    <row r="663" ht="21.0" customHeight="1">
      <c r="A663" s="79"/>
      <c r="B663" s="79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2"/>
      <c r="T663" s="102"/>
      <c r="U663" s="102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</row>
    <row r="664" ht="21.0" customHeight="1">
      <c r="A664" s="79"/>
      <c r="B664" s="79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2"/>
      <c r="T664" s="102"/>
      <c r="U664" s="102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</row>
    <row r="665" ht="21.0" customHeight="1">
      <c r="A665" s="79"/>
      <c r="B665" s="79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2"/>
      <c r="T665" s="102"/>
      <c r="U665" s="102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</row>
    <row r="666" ht="21.0" customHeight="1">
      <c r="A666" s="79"/>
      <c r="B666" s="79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2"/>
      <c r="T666" s="102"/>
      <c r="U666" s="102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</row>
    <row r="667" ht="21.0" customHeight="1">
      <c r="A667" s="79"/>
      <c r="B667" s="79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2"/>
      <c r="T667" s="102"/>
      <c r="U667" s="102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</row>
    <row r="668" ht="21.0" customHeight="1">
      <c r="A668" s="79"/>
      <c r="B668" s="79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2"/>
      <c r="T668" s="102"/>
      <c r="U668" s="102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</row>
    <row r="669" ht="21.0" customHeight="1">
      <c r="A669" s="79"/>
      <c r="B669" s="79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2"/>
      <c r="T669" s="102"/>
      <c r="U669" s="102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</row>
    <row r="670" ht="21.0" customHeight="1">
      <c r="A670" s="79"/>
      <c r="B670" s="79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2"/>
      <c r="T670" s="102"/>
      <c r="U670" s="102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</row>
    <row r="671" ht="21.0" customHeight="1">
      <c r="A671" s="79"/>
      <c r="B671" s="79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2"/>
      <c r="T671" s="102"/>
      <c r="U671" s="102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</row>
    <row r="672" ht="21.0" customHeight="1">
      <c r="A672" s="79"/>
      <c r="B672" s="79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2"/>
      <c r="T672" s="102"/>
      <c r="U672" s="102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</row>
    <row r="673" ht="21.0" customHeight="1">
      <c r="A673" s="79"/>
      <c r="B673" s="79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2"/>
      <c r="T673" s="102"/>
      <c r="U673" s="102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</row>
    <row r="674" ht="21.0" customHeight="1">
      <c r="A674" s="79"/>
      <c r="B674" s="79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2"/>
      <c r="T674" s="102"/>
      <c r="U674" s="102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</row>
    <row r="675" ht="21.0" customHeight="1">
      <c r="A675" s="79"/>
      <c r="B675" s="79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2"/>
      <c r="T675" s="102"/>
      <c r="U675" s="102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</row>
    <row r="676" ht="21.0" customHeight="1">
      <c r="A676" s="79"/>
      <c r="B676" s="79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2"/>
      <c r="T676" s="102"/>
      <c r="U676" s="102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</row>
    <row r="677" ht="21.0" customHeight="1">
      <c r="A677" s="79"/>
      <c r="B677" s="79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2"/>
      <c r="T677" s="102"/>
      <c r="U677" s="102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</row>
    <row r="678" ht="21.0" customHeight="1">
      <c r="A678" s="79"/>
      <c r="B678" s="79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2"/>
      <c r="T678" s="102"/>
      <c r="U678" s="102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</row>
    <row r="679" ht="21.0" customHeight="1">
      <c r="A679" s="79"/>
      <c r="B679" s="79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2"/>
      <c r="T679" s="102"/>
      <c r="U679" s="102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</row>
    <row r="680" ht="21.0" customHeight="1">
      <c r="A680" s="79"/>
      <c r="B680" s="79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2"/>
      <c r="T680" s="102"/>
      <c r="U680" s="102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</row>
    <row r="681" ht="21.0" customHeight="1">
      <c r="A681" s="79"/>
      <c r="B681" s="79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2"/>
      <c r="T681" s="102"/>
      <c r="U681" s="102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</row>
    <row r="682" ht="21.0" customHeight="1">
      <c r="A682" s="79"/>
      <c r="B682" s="79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2"/>
      <c r="T682" s="102"/>
      <c r="U682" s="102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</row>
    <row r="683" ht="21.0" customHeight="1">
      <c r="A683" s="79"/>
      <c r="B683" s="79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2"/>
      <c r="T683" s="102"/>
      <c r="U683" s="102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</row>
    <row r="684" ht="21.0" customHeight="1">
      <c r="A684" s="79"/>
      <c r="B684" s="79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2"/>
      <c r="T684" s="102"/>
      <c r="U684" s="102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</row>
    <row r="685" ht="21.0" customHeight="1">
      <c r="A685" s="79"/>
      <c r="B685" s="79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2"/>
      <c r="T685" s="102"/>
      <c r="U685" s="102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</row>
    <row r="686" ht="21.0" customHeight="1">
      <c r="A686" s="79"/>
      <c r="B686" s="79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2"/>
      <c r="T686" s="102"/>
      <c r="U686" s="102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</row>
    <row r="687" ht="21.0" customHeight="1">
      <c r="A687" s="79"/>
      <c r="B687" s="79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2"/>
      <c r="T687" s="102"/>
      <c r="U687" s="102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</row>
    <row r="688" ht="21.0" customHeight="1">
      <c r="A688" s="79"/>
      <c r="B688" s="79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2"/>
      <c r="T688" s="102"/>
      <c r="U688" s="102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</row>
    <row r="689" ht="21.0" customHeight="1">
      <c r="A689" s="79"/>
      <c r="B689" s="79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2"/>
      <c r="T689" s="102"/>
      <c r="U689" s="102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</row>
    <row r="690" ht="21.0" customHeight="1">
      <c r="A690" s="79"/>
      <c r="B690" s="79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2"/>
      <c r="T690" s="102"/>
      <c r="U690" s="102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</row>
    <row r="691" ht="21.0" customHeight="1">
      <c r="A691" s="79"/>
      <c r="B691" s="79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2"/>
      <c r="T691" s="102"/>
      <c r="U691" s="102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</row>
    <row r="692" ht="21.0" customHeight="1">
      <c r="A692" s="79"/>
      <c r="B692" s="79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2"/>
      <c r="T692" s="102"/>
      <c r="U692" s="102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</row>
    <row r="693" ht="21.0" customHeight="1">
      <c r="A693" s="79"/>
      <c r="B693" s="79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2"/>
      <c r="T693" s="102"/>
      <c r="U693" s="102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</row>
    <row r="694" ht="21.0" customHeight="1">
      <c r="A694" s="79"/>
      <c r="B694" s="79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2"/>
      <c r="T694" s="102"/>
      <c r="U694" s="102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</row>
    <row r="695" ht="21.0" customHeight="1">
      <c r="A695" s="79"/>
      <c r="B695" s="79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2"/>
      <c r="T695" s="102"/>
      <c r="U695" s="102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</row>
    <row r="696" ht="21.0" customHeight="1">
      <c r="A696" s="79"/>
      <c r="B696" s="79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2"/>
      <c r="T696" s="102"/>
      <c r="U696" s="102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</row>
    <row r="697" ht="21.0" customHeight="1">
      <c r="A697" s="79"/>
      <c r="B697" s="79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2"/>
      <c r="T697" s="102"/>
      <c r="U697" s="102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</row>
    <row r="698" ht="21.0" customHeight="1">
      <c r="A698" s="79"/>
      <c r="B698" s="79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2"/>
      <c r="T698" s="102"/>
      <c r="U698" s="102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</row>
    <row r="699" ht="21.0" customHeight="1">
      <c r="A699" s="79"/>
      <c r="B699" s="79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2"/>
      <c r="T699" s="102"/>
      <c r="U699" s="102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</row>
    <row r="700" ht="21.0" customHeight="1">
      <c r="A700" s="79"/>
      <c r="B700" s="79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2"/>
      <c r="T700" s="102"/>
      <c r="U700" s="102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</row>
    <row r="701" ht="21.0" customHeight="1">
      <c r="A701" s="79"/>
      <c r="B701" s="79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2"/>
      <c r="T701" s="102"/>
      <c r="U701" s="102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</row>
    <row r="702" ht="21.0" customHeight="1">
      <c r="A702" s="79"/>
      <c r="B702" s="79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2"/>
      <c r="T702" s="102"/>
      <c r="U702" s="102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</row>
    <row r="703" ht="21.0" customHeight="1">
      <c r="A703" s="79"/>
      <c r="B703" s="79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2"/>
      <c r="T703" s="102"/>
      <c r="U703" s="102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</row>
    <row r="704" ht="21.0" customHeight="1">
      <c r="A704" s="79"/>
      <c r="B704" s="79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2"/>
      <c r="T704" s="102"/>
      <c r="U704" s="102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</row>
    <row r="705" ht="21.0" customHeight="1">
      <c r="A705" s="79"/>
      <c r="B705" s="79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2"/>
      <c r="T705" s="102"/>
      <c r="U705" s="102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</row>
    <row r="706" ht="21.0" customHeight="1">
      <c r="A706" s="79"/>
      <c r="B706" s="79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2"/>
      <c r="T706" s="102"/>
      <c r="U706" s="102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</row>
    <row r="707" ht="21.0" customHeight="1">
      <c r="A707" s="79"/>
      <c r="B707" s="79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2"/>
      <c r="T707" s="102"/>
      <c r="U707" s="102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</row>
    <row r="708" ht="21.0" customHeight="1">
      <c r="A708" s="79"/>
      <c r="B708" s="79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2"/>
      <c r="T708" s="102"/>
      <c r="U708" s="102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</row>
    <row r="709" ht="21.0" customHeight="1">
      <c r="A709" s="79"/>
      <c r="B709" s="79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2"/>
      <c r="T709" s="102"/>
      <c r="U709" s="102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</row>
    <row r="710" ht="21.0" customHeight="1">
      <c r="A710" s="79"/>
      <c r="B710" s="79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2"/>
      <c r="T710" s="102"/>
      <c r="U710" s="102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</row>
    <row r="711" ht="21.0" customHeight="1">
      <c r="A711" s="79"/>
      <c r="B711" s="79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2"/>
      <c r="T711" s="102"/>
      <c r="U711" s="102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</row>
    <row r="712" ht="21.0" customHeight="1">
      <c r="A712" s="79"/>
      <c r="B712" s="79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2"/>
      <c r="T712" s="102"/>
      <c r="U712" s="102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</row>
    <row r="713" ht="21.0" customHeight="1">
      <c r="A713" s="79"/>
      <c r="B713" s="79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2"/>
      <c r="T713" s="102"/>
      <c r="U713" s="102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</row>
    <row r="714" ht="21.0" customHeight="1">
      <c r="A714" s="79"/>
      <c r="B714" s="79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2"/>
      <c r="T714" s="102"/>
      <c r="U714" s="102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</row>
    <row r="715" ht="21.0" customHeight="1">
      <c r="A715" s="79"/>
      <c r="B715" s="79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2"/>
      <c r="T715" s="102"/>
      <c r="U715" s="102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</row>
    <row r="716" ht="21.0" customHeight="1">
      <c r="A716" s="79"/>
      <c r="B716" s="79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2"/>
      <c r="T716" s="102"/>
      <c r="U716" s="102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</row>
    <row r="717" ht="21.0" customHeight="1">
      <c r="A717" s="79"/>
      <c r="B717" s="79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2"/>
      <c r="T717" s="102"/>
      <c r="U717" s="102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</row>
    <row r="718" ht="21.0" customHeight="1">
      <c r="A718" s="79"/>
      <c r="B718" s="79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2"/>
      <c r="T718" s="102"/>
      <c r="U718" s="102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</row>
    <row r="719" ht="21.0" customHeight="1">
      <c r="A719" s="79"/>
      <c r="B719" s="79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2"/>
      <c r="T719" s="102"/>
      <c r="U719" s="102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</row>
    <row r="720" ht="21.0" customHeight="1">
      <c r="A720" s="79"/>
      <c r="B720" s="79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2"/>
      <c r="T720" s="102"/>
      <c r="U720" s="102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</row>
    <row r="721" ht="21.0" customHeight="1">
      <c r="A721" s="79"/>
      <c r="B721" s="79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2"/>
      <c r="T721" s="102"/>
      <c r="U721" s="102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</row>
    <row r="722" ht="21.0" customHeight="1">
      <c r="A722" s="79"/>
      <c r="B722" s="79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2"/>
      <c r="T722" s="102"/>
      <c r="U722" s="102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</row>
    <row r="723" ht="21.0" customHeight="1">
      <c r="A723" s="79"/>
      <c r="B723" s="79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2"/>
      <c r="T723" s="102"/>
      <c r="U723" s="102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</row>
    <row r="724" ht="21.0" customHeight="1">
      <c r="A724" s="79"/>
      <c r="B724" s="79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2"/>
      <c r="T724" s="102"/>
      <c r="U724" s="102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</row>
    <row r="725" ht="21.0" customHeight="1">
      <c r="A725" s="79"/>
      <c r="B725" s="79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2"/>
      <c r="T725" s="102"/>
      <c r="U725" s="102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</row>
    <row r="726" ht="21.0" customHeight="1">
      <c r="A726" s="79"/>
      <c r="B726" s="79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2"/>
      <c r="T726" s="102"/>
      <c r="U726" s="102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</row>
    <row r="727" ht="21.0" customHeight="1">
      <c r="A727" s="79"/>
      <c r="B727" s="79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2"/>
      <c r="T727" s="102"/>
      <c r="U727" s="102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</row>
    <row r="728" ht="21.0" customHeight="1">
      <c r="A728" s="79"/>
      <c r="B728" s="79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2"/>
      <c r="T728" s="102"/>
      <c r="U728" s="102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</row>
    <row r="729" ht="21.0" customHeight="1">
      <c r="A729" s="79"/>
      <c r="B729" s="79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2"/>
      <c r="T729" s="102"/>
      <c r="U729" s="102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</row>
    <row r="730" ht="21.0" customHeight="1">
      <c r="A730" s="79"/>
      <c r="B730" s="79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2"/>
      <c r="T730" s="102"/>
      <c r="U730" s="102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</row>
    <row r="731" ht="21.0" customHeight="1">
      <c r="A731" s="79"/>
      <c r="B731" s="79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2"/>
      <c r="T731" s="102"/>
      <c r="U731" s="102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</row>
    <row r="732" ht="21.0" customHeight="1">
      <c r="A732" s="79"/>
      <c r="B732" s="79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2"/>
      <c r="T732" s="102"/>
      <c r="U732" s="102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</row>
    <row r="733" ht="21.0" customHeight="1">
      <c r="A733" s="79"/>
      <c r="B733" s="79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2"/>
      <c r="T733" s="102"/>
      <c r="U733" s="102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</row>
    <row r="734" ht="21.0" customHeight="1">
      <c r="A734" s="79"/>
      <c r="B734" s="79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2"/>
      <c r="T734" s="102"/>
      <c r="U734" s="102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</row>
    <row r="735" ht="21.0" customHeight="1">
      <c r="A735" s="79"/>
      <c r="B735" s="79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2"/>
      <c r="T735" s="102"/>
      <c r="U735" s="102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</row>
    <row r="736" ht="21.0" customHeight="1">
      <c r="A736" s="79"/>
      <c r="B736" s="79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2"/>
      <c r="T736" s="102"/>
      <c r="U736" s="102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</row>
    <row r="737" ht="21.0" customHeight="1">
      <c r="A737" s="79"/>
      <c r="B737" s="79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2"/>
      <c r="T737" s="102"/>
      <c r="U737" s="102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</row>
    <row r="738" ht="21.0" customHeight="1">
      <c r="A738" s="79"/>
      <c r="B738" s="79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2"/>
      <c r="T738" s="102"/>
      <c r="U738" s="102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</row>
    <row r="739" ht="21.0" customHeight="1">
      <c r="A739" s="79"/>
      <c r="B739" s="79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2"/>
      <c r="T739" s="102"/>
      <c r="U739" s="102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</row>
    <row r="740" ht="21.0" customHeight="1">
      <c r="A740" s="79"/>
      <c r="B740" s="79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2"/>
      <c r="T740" s="102"/>
      <c r="U740" s="102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</row>
    <row r="741" ht="21.0" customHeight="1">
      <c r="A741" s="79"/>
      <c r="B741" s="79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2"/>
      <c r="T741" s="102"/>
      <c r="U741" s="102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</row>
    <row r="742" ht="21.0" customHeight="1">
      <c r="A742" s="79"/>
      <c r="B742" s="79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2"/>
      <c r="T742" s="102"/>
      <c r="U742" s="102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</row>
    <row r="743" ht="21.0" customHeight="1">
      <c r="A743" s="79"/>
      <c r="B743" s="79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2"/>
      <c r="T743" s="102"/>
      <c r="U743" s="102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</row>
    <row r="744" ht="21.0" customHeight="1">
      <c r="A744" s="79"/>
      <c r="B744" s="79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2"/>
      <c r="T744" s="102"/>
      <c r="U744" s="102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</row>
    <row r="745" ht="21.0" customHeight="1">
      <c r="A745" s="79"/>
      <c r="B745" s="79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2"/>
      <c r="T745" s="102"/>
      <c r="U745" s="102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</row>
    <row r="746" ht="21.0" customHeight="1">
      <c r="A746" s="79"/>
      <c r="B746" s="79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2"/>
      <c r="T746" s="102"/>
      <c r="U746" s="102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</row>
    <row r="747" ht="21.0" customHeight="1">
      <c r="A747" s="79"/>
      <c r="B747" s="79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2"/>
      <c r="T747" s="102"/>
      <c r="U747" s="102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</row>
    <row r="748" ht="21.0" customHeight="1">
      <c r="A748" s="79"/>
      <c r="B748" s="79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2"/>
      <c r="T748" s="102"/>
      <c r="U748" s="102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</row>
    <row r="749" ht="21.0" customHeight="1">
      <c r="A749" s="79"/>
      <c r="B749" s="79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2"/>
      <c r="T749" s="102"/>
      <c r="U749" s="102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</row>
    <row r="750" ht="21.0" customHeight="1">
      <c r="A750" s="79"/>
      <c r="B750" s="79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2"/>
      <c r="T750" s="102"/>
      <c r="U750" s="102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</row>
    <row r="751" ht="21.0" customHeight="1">
      <c r="A751" s="79"/>
      <c r="B751" s="79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2"/>
      <c r="T751" s="102"/>
      <c r="U751" s="102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</row>
    <row r="752" ht="21.0" customHeight="1">
      <c r="A752" s="79"/>
      <c r="B752" s="79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2"/>
      <c r="T752" s="102"/>
      <c r="U752" s="102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</row>
    <row r="753" ht="21.0" customHeight="1">
      <c r="A753" s="79"/>
      <c r="B753" s="79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2"/>
      <c r="T753" s="102"/>
      <c r="U753" s="102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</row>
    <row r="754" ht="21.0" customHeight="1">
      <c r="A754" s="79"/>
      <c r="B754" s="79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2"/>
      <c r="T754" s="102"/>
      <c r="U754" s="102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</row>
    <row r="755" ht="21.0" customHeight="1">
      <c r="A755" s="79"/>
      <c r="B755" s="79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2"/>
      <c r="T755" s="102"/>
      <c r="U755" s="102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</row>
    <row r="756" ht="21.0" customHeight="1">
      <c r="A756" s="79"/>
      <c r="B756" s="79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2"/>
      <c r="T756" s="102"/>
      <c r="U756" s="102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</row>
    <row r="757" ht="21.0" customHeight="1">
      <c r="A757" s="79"/>
      <c r="B757" s="79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2"/>
      <c r="T757" s="102"/>
      <c r="U757" s="102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</row>
    <row r="758" ht="21.0" customHeight="1">
      <c r="A758" s="79"/>
      <c r="B758" s="79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2"/>
      <c r="T758" s="102"/>
      <c r="U758" s="102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</row>
    <row r="759" ht="21.0" customHeight="1">
      <c r="A759" s="79"/>
      <c r="B759" s="79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2"/>
      <c r="T759" s="102"/>
      <c r="U759" s="102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</row>
    <row r="760" ht="21.0" customHeight="1">
      <c r="A760" s="79"/>
      <c r="B760" s="79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2"/>
      <c r="T760" s="102"/>
      <c r="U760" s="102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</row>
    <row r="761" ht="21.0" customHeight="1">
      <c r="A761" s="79"/>
      <c r="B761" s="79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2"/>
      <c r="T761" s="102"/>
      <c r="U761" s="102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</row>
    <row r="762" ht="21.0" customHeight="1">
      <c r="A762" s="79"/>
      <c r="B762" s="79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2"/>
      <c r="T762" s="102"/>
      <c r="U762" s="102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</row>
    <row r="763" ht="21.0" customHeight="1">
      <c r="A763" s="79"/>
      <c r="B763" s="79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2"/>
      <c r="T763" s="102"/>
      <c r="U763" s="102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</row>
    <row r="764" ht="21.0" customHeight="1">
      <c r="A764" s="79"/>
      <c r="B764" s="79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2"/>
      <c r="T764" s="102"/>
      <c r="U764" s="102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</row>
    <row r="765" ht="21.0" customHeight="1">
      <c r="A765" s="79"/>
      <c r="B765" s="79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2"/>
      <c r="T765" s="102"/>
      <c r="U765" s="102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</row>
    <row r="766" ht="21.0" customHeight="1">
      <c r="A766" s="79"/>
      <c r="B766" s="79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2"/>
      <c r="T766" s="102"/>
      <c r="U766" s="102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</row>
    <row r="767" ht="21.0" customHeight="1">
      <c r="A767" s="79"/>
      <c r="B767" s="79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2"/>
      <c r="T767" s="102"/>
      <c r="U767" s="102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</row>
    <row r="768" ht="21.0" customHeight="1">
      <c r="A768" s="79"/>
      <c r="B768" s="79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2"/>
      <c r="T768" s="102"/>
      <c r="U768" s="102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</row>
    <row r="769" ht="21.0" customHeight="1">
      <c r="A769" s="79"/>
      <c r="B769" s="79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2"/>
      <c r="T769" s="102"/>
      <c r="U769" s="102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</row>
    <row r="770" ht="21.0" customHeight="1">
      <c r="A770" s="79"/>
      <c r="B770" s="79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2"/>
      <c r="T770" s="102"/>
      <c r="U770" s="102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</row>
    <row r="771" ht="21.0" customHeight="1">
      <c r="A771" s="79"/>
      <c r="B771" s="79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2"/>
      <c r="T771" s="102"/>
      <c r="U771" s="102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</row>
    <row r="772" ht="21.0" customHeight="1">
      <c r="A772" s="79"/>
      <c r="B772" s="79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2"/>
      <c r="T772" s="102"/>
      <c r="U772" s="102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</row>
    <row r="773" ht="21.0" customHeight="1">
      <c r="A773" s="79"/>
      <c r="B773" s="79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2"/>
      <c r="T773" s="102"/>
      <c r="U773" s="102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</row>
    <row r="774" ht="21.0" customHeight="1">
      <c r="A774" s="79"/>
      <c r="B774" s="79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2"/>
      <c r="T774" s="102"/>
      <c r="U774" s="102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</row>
    <row r="775" ht="21.0" customHeight="1">
      <c r="A775" s="79"/>
      <c r="B775" s="79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2"/>
      <c r="T775" s="102"/>
      <c r="U775" s="102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</row>
    <row r="776" ht="21.0" customHeight="1">
      <c r="A776" s="79"/>
      <c r="B776" s="79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2"/>
      <c r="T776" s="102"/>
      <c r="U776" s="102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</row>
    <row r="777" ht="21.0" customHeight="1">
      <c r="A777" s="79"/>
      <c r="B777" s="79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2"/>
      <c r="T777" s="102"/>
      <c r="U777" s="102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</row>
    <row r="778" ht="21.0" customHeight="1">
      <c r="A778" s="79"/>
      <c r="B778" s="79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2"/>
      <c r="T778" s="102"/>
      <c r="U778" s="102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</row>
    <row r="779" ht="21.0" customHeight="1">
      <c r="A779" s="79"/>
      <c r="B779" s="79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2"/>
      <c r="T779" s="102"/>
      <c r="U779" s="102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</row>
    <row r="780" ht="21.0" customHeight="1">
      <c r="A780" s="79"/>
      <c r="B780" s="79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2"/>
      <c r="T780" s="102"/>
      <c r="U780" s="102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</row>
    <row r="781" ht="21.0" customHeight="1">
      <c r="A781" s="79"/>
      <c r="B781" s="79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2"/>
      <c r="T781" s="102"/>
      <c r="U781" s="102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</row>
    <row r="782" ht="21.0" customHeight="1">
      <c r="A782" s="79"/>
      <c r="B782" s="79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2"/>
      <c r="T782" s="102"/>
      <c r="U782" s="102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</row>
    <row r="783" ht="21.0" customHeight="1">
      <c r="A783" s="79"/>
      <c r="B783" s="79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2"/>
      <c r="T783" s="102"/>
      <c r="U783" s="102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</row>
    <row r="784" ht="21.0" customHeight="1">
      <c r="A784" s="79"/>
      <c r="B784" s="79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2"/>
      <c r="T784" s="102"/>
      <c r="U784" s="102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</row>
    <row r="785" ht="21.0" customHeight="1">
      <c r="A785" s="79"/>
      <c r="B785" s="79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2"/>
      <c r="T785" s="102"/>
      <c r="U785" s="102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</row>
    <row r="786" ht="21.0" customHeight="1">
      <c r="A786" s="79"/>
      <c r="B786" s="79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2"/>
      <c r="T786" s="102"/>
      <c r="U786" s="102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</row>
    <row r="787" ht="21.0" customHeight="1">
      <c r="A787" s="79"/>
      <c r="B787" s="79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2"/>
      <c r="T787" s="102"/>
      <c r="U787" s="102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</row>
    <row r="788" ht="21.0" customHeight="1">
      <c r="A788" s="79"/>
      <c r="B788" s="79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2"/>
      <c r="T788" s="102"/>
      <c r="U788" s="102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</row>
    <row r="789" ht="21.0" customHeight="1">
      <c r="A789" s="79"/>
      <c r="B789" s="79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2"/>
      <c r="T789" s="102"/>
      <c r="U789" s="102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</row>
    <row r="790" ht="21.0" customHeight="1">
      <c r="A790" s="79"/>
      <c r="B790" s="79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2"/>
      <c r="T790" s="102"/>
      <c r="U790" s="102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</row>
    <row r="791" ht="21.0" customHeight="1">
      <c r="A791" s="79"/>
      <c r="B791" s="79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2"/>
      <c r="T791" s="102"/>
      <c r="U791" s="102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</row>
    <row r="792" ht="21.0" customHeight="1">
      <c r="A792" s="79"/>
      <c r="B792" s="79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2"/>
      <c r="T792" s="102"/>
      <c r="U792" s="102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</row>
    <row r="793" ht="21.0" customHeight="1">
      <c r="A793" s="79"/>
      <c r="B793" s="79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2"/>
      <c r="T793" s="102"/>
      <c r="U793" s="102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</row>
    <row r="794" ht="21.0" customHeight="1">
      <c r="A794" s="79"/>
      <c r="B794" s="79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2"/>
      <c r="T794" s="102"/>
      <c r="U794" s="102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</row>
    <row r="795" ht="21.0" customHeight="1">
      <c r="A795" s="79"/>
      <c r="B795" s="79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2"/>
      <c r="T795" s="102"/>
      <c r="U795" s="102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</row>
    <row r="796" ht="21.0" customHeight="1">
      <c r="A796" s="79"/>
      <c r="B796" s="79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2"/>
      <c r="T796" s="102"/>
      <c r="U796" s="102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</row>
    <row r="797" ht="21.0" customHeight="1">
      <c r="A797" s="79"/>
      <c r="B797" s="79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2"/>
      <c r="T797" s="102"/>
      <c r="U797" s="102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</row>
    <row r="798" ht="21.0" customHeight="1">
      <c r="A798" s="79"/>
      <c r="B798" s="79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2"/>
      <c r="T798" s="102"/>
      <c r="U798" s="102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</row>
    <row r="799" ht="21.0" customHeight="1">
      <c r="A799" s="79"/>
      <c r="B799" s="79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2"/>
      <c r="T799" s="102"/>
      <c r="U799" s="102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</row>
    <row r="800" ht="21.0" customHeight="1">
      <c r="A800" s="79"/>
      <c r="B800" s="79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2"/>
      <c r="T800" s="102"/>
      <c r="U800" s="102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</row>
    <row r="801" ht="21.0" customHeight="1">
      <c r="A801" s="79"/>
      <c r="B801" s="79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2"/>
      <c r="T801" s="102"/>
      <c r="U801" s="102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</row>
    <row r="802" ht="21.0" customHeight="1">
      <c r="A802" s="79"/>
      <c r="B802" s="79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2"/>
      <c r="T802" s="102"/>
      <c r="U802" s="102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</row>
    <row r="803" ht="21.0" customHeight="1">
      <c r="A803" s="79"/>
      <c r="B803" s="79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2"/>
      <c r="T803" s="102"/>
      <c r="U803" s="102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</row>
    <row r="804" ht="21.0" customHeight="1">
      <c r="A804" s="79"/>
      <c r="B804" s="79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2"/>
      <c r="T804" s="102"/>
      <c r="U804" s="102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</row>
    <row r="805" ht="21.0" customHeight="1">
      <c r="A805" s="79"/>
      <c r="B805" s="79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2"/>
      <c r="T805" s="102"/>
      <c r="U805" s="102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</row>
    <row r="806" ht="21.0" customHeight="1">
      <c r="A806" s="79"/>
      <c r="B806" s="79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2"/>
      <c r="T806" s="102"/>
      <c r="U806" s="102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</row>
    <row r="807" ht="21.0" customHeight="1">
      <c r="A807" s="79"/>
      <c r="B807" s="79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2"/>
      <c r="T807" s="102"/>
      <c r="U807" s="102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</row>
    <row r="808" ht="21.0" customHeight="1">
      <c r="A808" s="79"/>
      <c r="B808" s="79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2"/>
      <c r="T808" s="102"/>
      <c r="U808" s="102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</row>
    <row r="809" ht="21.0" customHeight="1">
      <c r="A809" s="79"/>
      <c r="B809" s="79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2"/>
      <c r="T809" s="102"/>
      <c r="U809" s="102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</row>
    <row r="810" ht="21.0" customHeight="1">
      <c r="A810" s="79"/>
      <c r="B810" s="79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2"/>
      <c r="T810" s="102"/>
      <c r="U810" s="102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</row>
    <row r="811" ht="21.0" customHeight="1">
      <c r="A811" s="79"/>
      <c r="B811" s="79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2"/>
      <c r="T811" s="102"/>
      <c r="U811" s="102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</row>
    <row r="812" ht="21.0" customHeight="1">
      <c r="A812" s="79"/>
      <c r="B812" s="79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2"/>
      <c r="T812" s="102"/>
      <c r="U812" s="102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</row>
    <row r="813" ht="21.0" customHeight="1">
      <c r="A813" s="79"/>
      <c r="B813" s="79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2"/>
      <c r="T813" s="102"/>
      <c r="U813" s="102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</row>
    <row r="814" ht="21.0" customHeight="1">
      <c r="A814" s="79"/>
      <c r="B814" s="79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2"/>
      <c r="T814" s="102"/>
      <c r="U814" s="102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</row>
    <row r="815" ht="21.0" customHeight="1">
      <c r="A815" s="79"/>
      <c r="B815" s="79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2"/>
      <c r="T815" s="102"/>
      <c r="U815" s="102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</row>
    <row r="816" ht="21.0" customHeight="1">
      <c r="A816" s="79"/>
      <c r="B816" s="79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2"/>
      <c r="T816" s="102"/>
      <c r="U816" s="102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</row>
    <row r="817" ht="21.0" customHeight="1">
      <c r="A817" s="79"/>
      <c r="B817" s="79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2"/>
      <c r="T817" s="102"/>
      <c r="U817" s="102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</row>
    <row r="818" ht="21.0" customHeight="1">
      <c r="A818" s="79"/>
      <c r="B818" s="79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2"/>
      <c r="T818" s="102"/>
      <c r="U818" s="102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</row>
    <row r="819" ht="21.0" customHeight="1">
      <c r="A819" s="79"/>
      <c r="B819" s="79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2"/>
      <c r="T819" s="102"/>
      <c r="U819" s="102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</row>
    <row r="820" ht="21.0" customHeight="1">
      <c r="A820" s="79"/>
      <c r="B820" s="79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2"/>
      <c r="T820" s="102"/>
      <c r="U820" s="102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</row>
    <row r="821" ht="21.0" customHeight="1">
      <c r="A821" s="79"/>
      <c r="B821" s="79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2"/>
      <c r="T821" s="102"/>
      <c r="U821" s="102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</row>
    <row r="822" ht="21.0" customHeight="1">
      <c r="A822" s="79"/>
      <c r="B822" s="79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2"/>
      <c r="T822" s="102"/>
      <c r="U822" s="102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</row>
    <row r="823" ht="21.0" customHeight="1">
      <c r="A823" s="79"/>
      <c r="B823" s="79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2"/>
      <c r="T823" s="102"/>
      <c r="U823" s="102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</row>
    <row r="824" ht="21.0" customHeight="1">
      <c r="A824" s="79"/>
      <c r="B824" s="79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2"/>
      <c r="T824" s="102"/>
      <c r="U824" s="102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</row>
    <row r="825" ht="21.0" customHeight="1">
      <c r="A825" s="79"/>
      <c r="B825" s="79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2"/>
      <c r="T825" s="102"/>
      <c r="U825" s="102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</row>
    <row r="826" ht="21.0" customHeight="1">
      <c r="A826" s="79"/>
      <c r="B826" s="79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2"/>
      <c r="T826" s="102"/>
      <c r="U826" s="102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</row>
    <row r="827" ht="21.0" customHeight="1">
      <c r="A827" s="79"/>
      <c r="B827" s="79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2"/>
      <c r="T827" s="102"/>
      <c r="U827" s="102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</row>
    <row r="828" ht="21.0" customHeight="1">
      <c r="A828" s="79"/>
      <c r="B828" s="79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2"/>
      <c r="T828" s="102"/>
      <c r="U828" s="102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</row>
    <row r="829" ht="21.0" customHeight="1">
      <c r="A829" s="79"/>
      <c r="B829" s="79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2"/>
      <c r="T829" s="102"/>
      <c r="U829" s="102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</row>
    <row r="830" ht="21.0" customHeight="1">
      <c r="A830" s="79"/>
      <c r="B830" s="79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2"/>
      <c r="T830" s="102"/>
      <c r="U830" s="102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</row>
    <row r="831" ht="21.0" customHeight="1">
      <c r="A831" s="79"/>
      <c r="B831" s="79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2"/>
      <c r="T831" s="102"/>
      <c r="U831" s="102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</row>
    <row r="832" ht="21.0" customHeight="1">
      <c r="A832" s="79"/>
      <c r="B832" s="79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2"/>
      <c r="T832" s="102"/>
      <c r="U832" s="102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</row>
    <row r="833" ht="21.0" customHeight="1">
      <c r="A833" s="79"/>
      <c r="B833" s="79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2"/>
      <c r="T833" s="102"/>
      <c r="U833" s="102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</row>
    <row r="834" ht="21.0" customHeight="1">
      <c r="A834" s="79"/>
      <c r="B834" s="79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2"/>
      <c r="T834" s="102"/>
      <c r="U834" s="102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</row>
    <row r="835" ht="21.0" customHeight="1">
      <c r="A835" s="79"/>
      <c r="B835" s="79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2"/>
      <c r="T835" s="102"/>
      <c r="U835" s="102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</row>
    <row r="836" ht="21.0" customHeight="1">
      <c r="A836" s="79"/>
      <c r="B836" s="79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2"/>
      <c r="T836" s="102"/>
      <c r="U836" s="102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</row>
    <row r="837" ht="21.0" customHeight="1">
      <c r="A837" s="79"/>
      <c r="B837" s="79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2"/>
      <c r="T837" s="102"/>
      <c r="U837" s="102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</row>
    <row r="838" ht="21.0" customHeight="1">
      <c r="A838" s="79"/>
      <c r="B838" s="79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2"/>
      <c r="T838" s="102"/>
      <c r="U838" s="102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</row>
    <row r="839" ht="21.0" customHeight="1">
      <c r="A839" s="79"/>
      <c r="B839" s="79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2"/>
      <c r="T839" s="102"/>
      <c r="U839" s="102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</row>
    <row r="840" ht="21.0" customHeight="1">
      <c r="A840" s="79"/>
      <c r="B840" s="79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2"/>
      <c r="T840" s="102"/>
      <c r="U840" s="102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</row>
    <row r="841" ht="21.0" customHeight="1">
      <c r="A841" s="79"/>
      <c r="B841" s="79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2"/>
      <c r="T841" s="102"/>
      <c r="U841" s="102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</row>
    <row r="842" ht="21.0" customHeight="1">
      <c r="A842" s="79"/>
      <c r="B842" s="79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2"/>
      <c r="T842" s="102"/>
      <c r="U842" s="102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</row>
    <row r="843" ht="21.0" customHeight="1">
      <c r="A843" s="79"/>
      <c r="B843" s="79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2"/>
      <c r="T843" s="102"/>
      <c r="U843" s="102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</row>
    <row r="844" ht="21.0" customHeight="1">
      <c r="A844" s="79"/>
      <c r="B844" s="79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2"/>
      <c r="T844" s="102"/>
      <c r="U844" s="102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</row>
    <row r="845" ht="21.0" customHeight="1">
      <c r="A845" s="79"/>
      <c r="B845" s="79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2"/>
      <c r="T845" s="102"/>
      <c r="U845" s="102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</row>
    <row r="846" ht="21.0" customHeight="1">
      <c r="A846" s="79"/>
      <c r="B846" s="79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2"/>
      <c r="T846" s="102"/>
      <c r="U846" s="102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</row>
    <row r="847" ht="21.0" customHeight="1">
      <c r="A847" s="79"/>
      <c r="B847" s="79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2"/>
      <c r="T847" s="102"/>
      <c r="U847" s="102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</row>
    <row r="848" ht="21.0" customHeight="1">
      <c r="A848" s="79"/>
      <c r="B848" s="79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2"/>
      <c r="T848" s="102"/>
      <c r="U848" s="102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</row>
    <row r="849" ht="21.0" customHeight="1">
      <c r="A849" s="79"/>
      <c r="B849" s="79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2"/>
      <c r="T849" s="102"/>
      <c r="U849" s="102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</row>
    <row r="850" ht="21.0" customHeight="1">
      <c r="A850" s="79"/>
      <c r="B850" s="79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2"/>
      <c r="T850" s="102"/>
      <c r="U850" s="102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</row>
    <row r="851" ht="21.0" customHeight="1">
      <c r="A851" s="79"/>
      <c r="B851" s="79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2"/>
      <c r="T851" s="102"/>
      <c r="U851" s="102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</row>
    <row r="852" ht="21.0" customHeight="1">
      <c r="A852" s="79"/>
      <c r="B852" s="79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2"/>
      <c r="T852" s="102"/>
      <c r="U852" s="102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</row>
    <row r="853" ht="21.0" customHeight="1">
      <c r="A853" s="79"/>
      <c r="B853" s="79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2"/>
      <c r="T853" s="102"/>
      <c r="U853" s="102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</row>
    <row r="854" ht="21.0" customHeight="1">
      <c r="A854" s="79"/>
      <c r="B854" s="79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2"/>
      <c r="T854" s="102"/>
      <c r="U854" s="102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</row>
    <row r="855" ht="21.0" customHeight="1">
      <c r="A855" s="79"/>
      <c r="B855" s="79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2"/>
      <c r="T855" s="102"/>
      <c r="U855" s="102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</row>
    <row r="856" ht="21.0" customHeight="1">
      <c r="A856" s="79"/>
      <c r="B856" s="79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2"/>
      <c r="T856" s="102"/>
      <c r="U856" s="102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</row>
    <row r="857" ht="21.0" customHeight="1">
      <c r="A857" s="79"/>
      <c r="B857" s="79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2"/>
      <c r="T857" s="102"/>
      <c r="U857" s="102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</row>
    <row r="858" ht="21.0" customHeight="1">
      <c r="A858" s="79"/>
      <c r="B858" s="79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2"/>
      <c r="T858" s="102"/>
      <c r="U858" s="102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</row>
    <row r="859" ht="21.0" customHeight="1">
      <c r="A859" s="79"/>
      <c r="B859" s="79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2"/>
      <c r="T859" s="102"/>
      <c r="U859" s="102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</row>
    <row r="860" ht="21.0" customHeight="1">
      <c r="A860" s="79"/>
      <c r="B860" s="79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2"/>
      <c r="T860" s="102"/>
      <c r="U860" s="102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</row>
    <row r="861" ht="21.0" customHeight="1">
      <c r="A861" s="79"/>
      <c r="B861" s="79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2"/>
      <c r="T861" s="102"/>
      <c r="U861" s="102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</row>
    <row r="862" ht="21.0" customHeight="1">
      <c r="A862" s="79"/>
      <c r="B862" s="79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2"/>
      <c r="T862" s="102"/>
      <c r="U862" s="102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</row>
    <row r="863" ht="21.0" customHeight="1">
      <c r="A863" s="79"/>
      <c r="B863" s="79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2"/>
      <c r="T863" s="102"/>
      <c r="U863" s="102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</row>
    <row r="864" ht="21.0" customHeight="1">
      <c r="A864" s="79"/>
      <c r="B864" s="79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2"/>
      <c r="T864" s="102"/>
      <c r="U864" s="102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</row>
    <row r="865" ht="21.0" customHeight="1">
      <c r="A865" s="79"/>
      <c r="B865" s="79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2"/>
      <c r="T865" s="102"/>
      <c r="U865" s="102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</row>
    <row r="866" ht="21.0" customHeight="1">
      <c r="A866" s="79"/>
      <c r="B866" s="79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2"/>
      <c r="T866" s="102"/>
      <c r="U866" s="102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</row>
    <row r="867" ht="21.0" customHeight="1">
      <c r="A867" s="79"/>
      <c r="B867" s="79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2"/>
      <c r="T867" s="102"/>
      <c r="U867" s="102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</row>
    <row r="868" ht="21.0" customHeight="1">
      <c r="A868" s="79"/>
      <c r="B868" s="79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2"/>
      <c r="T868" s="102"/>
      <c r="U868" s="102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</row>
    <row r="869" ht="21.0" customHeight="1">
      <c r="A869" s="79"/>
      <c r="B869" s="79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2"/>
      <c r="T869" s="102"/>
      <c r="U869" s="102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</row>
    <row r="870" ht="21.0" customHeight="1">
      <c r="A870" s="79"/>
      <c r="B870" s="79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2"/>
      <c r="T870" s="102"/>
      <c r="U870" s="102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</row>
    <row r="871" ht="21.0" customHeight="1">
      <c r="A871" s="79"/>
      <c r="B871" s="79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2"/>
      <c r="T871" s="102"/>
      <c r="U871" s="102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</row>
    <row r="872" ht="21.0" customHeight="1">
      <c r="A872" s="79"/>
      <c r="B872" s="79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2"/>
      <c r="T872" s="102"/>
      <c r="U872" s="102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</row>
    <row r="873" ht="21.0" customHeight="1">
      <c r="A873" s="79"/>
      <c r="B873" s="79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2"/>
      <c r="T873" s="102"/>
      <c r="U873" s="102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</row>
    <row r="874" ht="21.0" customHeight="1">
      <c r="A874" s="79"/>
      <c r="B874" s="79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2"/>
      <c r="T874" s="102"/>
      <c r="U874" s="102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</row>
    <row r="875" ht="21.0" customHeight="1">
      <c r="A875" s="79"/>
      <c r="B875" s="79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2"/>
      <c r="T875" s="102"/>
      <c r="U875" s="102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</row>
    <row r="876" ht="21.0" customHeight="1">
      <c r="A876" s="79"/>
      <c r="B876" s="79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2"/>
      <c r="T876" s="102"/>
      <c r="U876" s="102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</row>
    <row r="877" ht="21.0" customHeight="1">
      <c r="A877" s="79"/>
      <c r="B877" s="79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2"/>
      <c r="T877" s="102"/>
      <c r="U877" s="102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</row>
    <row r="878" ht="21.0" customHeight="1">
      <c r="A878" s="79"/>
      <c r="B878" s="79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2"/>
      <c r="T878" s="102"/>
      <c r="U878" s="102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</row>
    <row r="879" ht="21.0" customHeight="1">
      <c r="A879" s="79"/>
      <c r="B879" s="79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2"/>
      <c r="T879" s="102"/>
      <c r="U879" s="102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</row>
    <row r="880" ht="21.0" customHeight="1">
      <c r="A880" s="79"/>
      <c r="B880" s="79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2"/>
      <c r="T880" s="102"/>
      <c r="U880" s="102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</row>
    <row r="881" ht="21.0" customHeight="1">
      <c r="A881" s="79"/>
      <c r="B881" s="79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2"/>
      <c r="T881" s="102"/>
      <c r="U881" s="102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</row>
    <row r="882" ht="21.0" customHeight="1">
      <c r="A882" s="79"/>
      <c r="B882" s="79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2"/>
      <c r="T882" s="102"/>
      <c r="U882" s="102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</row>
    <row r="883" ht="21.0" customHeight="1">
      <c r="A883" s="79"/>
      <c r="B883" s="79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2"/>
      <c r="T883" s="102"/>
      <c r="U883" s="102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</row>
    <row r="884" ht="21.0" customHeight="1">
      <c r="A884" s="79"/>
      <c r="B884" s="79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2"/>
      <c r="T884" s="102"/>
      <c r="U884" s="102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</row>
    <row r="885" ht="21.0" customHeight="1">
      <c r="A885" s="79"/>
      <c r="B885" s="79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2"/>
      <c r="T885" s="102"/>
      <c r="U885" s="102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</row>
    <row r="886" ht="21.0" customHeight="1">
      <c r="A886" s="79"/>
      <c r="B886" s="79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2"/>
      <c r="T886" s="102"/>
      <c r="U886" s="102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</row>
    <row r="887" ht="21.0" customHeight="1">
      <c r="A887" s="79"/>
      <c r="B887" s="79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2"/>
      <c r="T887" s="102"/>
      <c r="U887" s="102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</row>
    <row r="888" ht="21.0" customHeight="1">
      <c r="A888" s="79"/>
      <c r="B888" s="79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2"/>
      <c r="T888" s="102"/>
      <c r="U888" s="102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</row>
    <row r="889" ht="21.0" customHeight="1">
      <c r="A889" s="79"/>
      <c r="B889" s="79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2"/>
      <c r="T889" s="102"/>
      <c r="U889" s="102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</row>
    <row r="890" ht="21.0" customHeight="1">
      <c r="A890" s="79"/>
      <c r="B890" s="79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2"/>
      <c r="T890" s="102"/>
      <c r="U890" s="102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</row>
    <row r="891" ht="21.0" customHeight="1">
      <c r="A891" s="79"/>
      <c r="B891" s="79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2"/>
      <c r="T891" s="102"/>
      <c r="U891" s="102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</row>
    <row r="892" ht="21.0" customHeight="1">
      <c r="A892" s="79"/>
      <c r="B892" s="79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2"/>
      <c r="T892" s="102"/>
      <c r="U892" s="102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</row>
    <row r="893" ht="21.0" customHeight="1">
      <c r="A893" s="79"/>
      <c r="B893" s="79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2"/>
      <c r="T893" s="102"/>
      <c r="U893" s="102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</row>
    <row r="894" ht="21.0" customHeight="1">
      <c r="A894" s="79"/>
      <c r="B894" s="79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2"/>
      <c r="T894" s="102"/>
      <c r="U894" s="102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</row>
    <row r="895" ht="21.0" customHeight="1">
      <c r="A895" s="79"/>
      <c r="B895" s="79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2"/>
      <c r="T895" s="102"/>
      <c r="U895" s="102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</row>
    <row r="896" ht="21.0" customHeight="1">
      <c r="A896" s="79"/>
      <c r="B896" s="79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2"/>
      <c r="T896" s="102"/>
      <c r="U896" s="102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</row>
    <row r="897" ht="21.0" customHeight="1">
      <c r="A897" s="79"/>
      <c r="B897" s="79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2"/>
      <c r="T897" s="102"/>
      <c r="U897" s="102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</row>
    <row r="898" ht="21.0" customHeight="1">
      <c r="A898" s="79"/>
      <c r="B898" s="79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2"/>
      <c r="T898" s="102"/>
      <c r="U898" s="102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</row>
    <row r="899" ht="21.0" customHeight="1">
      <c r="A899" s="79"/>
      <c r="B899" s="79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2"/>
      <c r="T899" s="102"/>
      <c r="U899" s="102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</row>
    <row r="900" ht="21.0" customHeight="1">
      <c r="A900" s="79"/>
      <c r="B900" s="79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2"/>
      <c r="T900" s="102"/>
      <c r="U900" s="102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</row>
    <row r="901" ht="21.0" customHeight="1">
      <c r="A901" s="79"/>
      <c r="B901" s="79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2"/>
      <c r="T901" s="102"/>
      <c r="U901" s="102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</row>
    <row r="902" ht="21.0" customHeight="1">
      <c r="A902" s="79"/>
      <c r="B902" s="79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2"/>
      <c r="T902" s="102"/>
      <c r="U902" s="102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</row>
    <row r="903" ht="21.0" customHeight="1">
      <c r="A903" s="79"/>
      <c r="B903" s="79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2"/>
      <c r="T903" s="102"/>
      <c r="U903" s="102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</row>
    <row r="904" ht="21.0" customHeight="1">
      <c r="A904" s="79"/>
      <c r="B904" s="79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2"/>
      <c r="T904" s="102"/>
      <c r="U904" s="102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</row>
    <row r="905" ht="21.0" customHeight="1">
      <c r="A905" s="79"/>
      <c r="B905" s="79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2"/>
      <c r="T905" s="102"/>
      <c r="U905" s="102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</row>
    <row r="906" ht="21.0" customHeight="1">
      <c r="A906" s="79"/>
      <c r="B906" s="79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2"/>
      <c r="T906" s="102"/>
      <c r="U906" s="102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</row>
    <row r="907" ht="21.0" customHeight="1">
      <c r="A907" s="79"/>
      <c r="B907" s="79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2"/>
      <c r="T907" s="102"/>
      <c r="U907" s="102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</row>
    <row r="908" ht="21.0" customHeight="1">
      <c r="A908" s="79"/>
      <c r="B908" s="79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2"/>
      <c r="T908" s="102"/>
      <c r="U908" s="102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</row>
    <row r="909" ht="21.0" customHeight="1">
      <c r="A909" s="79"/>
      <c r="B909" s="79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2"/>
      <c r="T909" s="102"/>
      <c r="U909" s="102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</row>
    <row r="910" ht="21.0" customHeight="1">
      <c r="A910" s="79"/>
      <c r="B910" s="79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2"/>
      <c r="T910" s="102"/>
      <c r="U910" s="102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</row>
    <row r="911" ht="21.0" customHeight="1">
      <c r="A911" s="79"/>
      <c r="B911" s="79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2"/>
      <c r="T911" s="102"/>
      <c r="U911" s="102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</row>
    <row r="912" ht="21.0" customHeight="1">
      <c r="A912" s="79"/>
      <c r="B912" s="79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2"/>
      <c r="T912" s="102"/>
      <c r="U912" s="102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</row>
    <row r="913" ht="21.0" customHeight="1">
      <c r="A913" s="79"/>
      <c r="B913" s="79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2"/>
      <c r="T913" s="102"/>
      <c r="U913" s="102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</row>
    <row r="914" ht="21.0" customHeight="1">
      <c r="A914" s="79"/>
      <c r="B914" s="79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2"/>
      <c r="T914" s="102"/>
      <c r="U914" s="102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</row>
    <row r="915" ht="21.0" customHeight="1">
      <c r="A915" s="79"/>
      <c r="B915" s="79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2"/>
      <c r="T915" s="102"/>
      <c r="U915" s="102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</row>
    <row r="916" ht="21.0" customHeight="1">
      <c r="A916" s="79"/>
      <c r="B916" s="79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2"/>
      <c r="T916" s="102"/>
      <c r="U916" s="102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</row>
    <row r="917" ht="21.0" customHeight="1">
      <c r="A917" s="79"/>
      <c r="B917" s="79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2"/>
      <c r="T917" s="102"/>
      <c r="U917" s="102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</row>
    <row r="918" ht="21.0" customHeight="1">
      <c r="A918" s="79"/>
      <c r="B918" s="79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2"/>
      <c r="T918" s="102"/>
      <c r="U918" s="102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</row>
    <row r="919" ht="21.0" customHeight="1">
      <c r="A919" s="79"/>
      <c r="B919" s="79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2"/>
      <c r="T919" s="102"/>
      <c r="U919" s="102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</row>
    <row r="920" ht="21.0" customHeight="1">
      <c r="A920" s="79"/>
      <c r="B920" s="79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2"/>
      <c r="T920" s="102"/>
      <c r="U920" s="102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</row>
    <row r="921" ht="21.0" customHeight="1">
      <c r="A921" s="79"/>
      <c r="B921" s="79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2"/>
      <c r="T921" s="102"/>
      <c r="U921" s="102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</row>
    <row r="922" ht="21.0" customHeight="1">
      <c r="A922" s="79"/>
      <c r="B922" s="79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2"/>
      <c r="T922" s="102"/>
      <c r="U922" s="102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</row>
    <row r="923" ht="21.0" customHeight="1">
      <c r="A923" s="79"/>
      <c r="B923" s="79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2"/>
      <c r="T923" s="102"/>
      <c r="U923" s="102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</row>
    <row r="924" ht="21.0" customHeight="1">
      <c r="A924" s="79"/>
      <c r="B924" s="79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2"/>
      <c r="T924" s="102"/>
      <c r="U924" s="102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</row>
    <row r="925" ht="21.0" customHeight="1">
      <c r="A925" s="79"/>
      <c r="B925" s="79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2"/>
      <c r="T925" s="102"/>
      <c r="U925" s="102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</row>
    <row r="926" ht="21.0" customHeight="1">
      <c r="A926" s="79"/>
      <c r="B926" s="79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2"/>
      <c r="T926" s="102"/>
      <c r="U926" s="102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</row>
    <row r="927" ht="21.0" customHeight="1">
      <c r="A927" s="79"/>
      <c r="B927" s="79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2"/>
      <c r="T927" s="102"/>
      <c r="U927" s="102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</row>
    <row r="928" ht="21.0" customHeight="1">
      <c r="A928" s="79"/>
      <c r="B928" s="79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2"/>
      <c r="T928" s="102"/>
      <c r="U928" s="102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</row>
    <row r="929" ht="21.0" customHeight="1">
      <c r="A929" s="79"/>
      <c r="B929" s="79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2"/>
      <c r="T929" s="102"/>
      <c r="U929" s="102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</row>
    <row r="930" ht="21.0" customHeight="1">
      <c r="A930" s="79"/>
      <c r="B930" s="79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2"/>
      <c r="T930" s="102"/>
      <c r="U930" s="102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</row>
    <row r="931" ht="21.0" customHeight="1">
      <c r="A931" s="79"/>
      <c r="B931" s="79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2"/>
      <c r="T931" s="102"/>
      <c r="U931" s="102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</row>
    <row r="932" ht="21.0" customHeight="1">
      <c r="A932" s="79"/>
      <c r="B932" s="79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2"/>
      <c r="T932" s="102"/>
      <c r="U932" s="102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</row>
    <row r="933" ht="21.0" customHeight="1">
      <c r="A933" s="79"/>
      <c r="B933" s="79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2"/>
      <c r="T933" s="102"/>
      <c r="U933" s="102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</row>
    <row r="934" ht="21.0" customHeight="1">
      <c r="A934" s="79"/>
      <c r="B934" s="79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2"/>
      <c r="T934" s="102"/>
      <c r="U934" s="102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</row>
    <row r="935" ht="21.0" customHeight="1">
      <c r="A935" s="79"/>
      <c r="B935" s="79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2"/>
      <c r="T935" s="102"/>
      <c r="U935" s="102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</row>
    <row r="936" ht="21.0" customHeight="1">
      <c r="A936" s="79"/>
      <c r="B936" s="79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2"/>
      <c r="T936" s="102"/>
      <c r="U936" s="102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</row>
    <row r="937" ht="21.0" customHeight="1">
      <c r="A937" s="79"/>
      <c r="B937" s="79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2"/>
      <c r="T937" s="102"/>
      <c r="U937" s="102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</row>
    <row r="938" ht="21.0" customHeight="1">
      <c r="A938" s="79"/>
      <c r="B938" s="79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2"/>
      <c r="T938" s="102"/>
      <c r="U938" s="102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</row>
    <row r="939" ht="21.0" customHeight="1">
      <c r="A939" s="79"/>
      <c r="B939" s="79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2"/>
      <c r="T939" s="102"/>
      <c r="U939" s="102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</row>
    <row r="940" ht="21.0" customHeight="1">
      <c r="A940" s="79"/>
      <c r="B940" s="79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2"/>
      <c r="T940" s="102"/>
      <c r="U940" s="102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</row>
    <row r="941" ht="21.0" customHeight="1">
      <c r="A941" s="79"/>
      <c r="B941" s="79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2"/>
      <c r="T941" s="102"/>
      <c r="U941" s="102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</row>
    <row r="942" ht="21.0" customHeight="1">
      <c r="A942" s="79"/>
      <c r="B942" s="79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2"/>
      <c r="T942" s="102"/>
      <c r="U942" s="102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</row>
    <row r="943" ht="21.0" customHeight="1">
      <c r="A943" s="79"/>
      <c r="B943" s="79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2"/>
      <c r="T943" s="102"/>
      <c r="U943" s="102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</row>
    <row r="944" ht="21.0" customHeight="1">
      <c r="A944" s="79"/>
      <c r="B944" s="79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2"/>
      <c r="T944" s="102"/>
      <c r="U944" s="102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</row>
    <row r="945" ht="21.0" customHeight="1">
      <c r="A945" s="79"/>
      <c r="B945" s="79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2"/>
      <c r="T945" s="102"/>
      <c r="U945" s="102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</row>
    <row r="946" ht="21.0" customHeight="1">
      <c r="A946" s="79"/>
      <c r="B946" s="79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2"/>
      <c r="T946" s="102"/>
      <c r="U946" s="102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</row>
    <row r="947" ht="21.0" customHeight="1">
      <c r="A947" s="79"/>
      <c r="B947" s="79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2"/>
      <c r="T947" s="102"/>
      <c r="U947" s="102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</row>
    <row r="948" ht="21.0" customHeight="1">
      <c r="A948" s="79"/>
      <c r="B948" s="79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2"/>
      <c r="T948" s="102"/>
      <c r="U948" s="102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</row>
    <row r="949" ht="21.0" customHeight="1">
      <c r="A949" s="79"/>
      <c r="B949" s="79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2"/>
      <c r="T949" s="102"/>
      <c r="U949" s="102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</row>
    <row r="950" ht="21.0" customHeight="1">
      <c r="A950" s="79"/>
      <c r="B950" s="79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2"/>
      <c r="T950" s="102"/>
      <c r="U950" s="102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</row>
    <row r="951" ht="21.0" customHeight="1">
      <c r="A951" s="79"/>
      <c r="B951" s="79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2"/>
      <c r="T951" s="102"/>
      <c r="U951" s="102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</row>
    <row r="952" ht="21.0" customHeight="1">
      <c r="A952" s="79"/>
      <c r="B952" s="79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2"/>
      <c r="T952" s="102"/>
      <c r="U952" s="102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</row>
    <row r="953" ht="21.0" customHeight="1">
      <c r="A953" s="79"/>
      <c r="B953" s="79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2"/>
      <c r="T953" s="102"/>
      <c r="U953" s="102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</row>
    <row r="954" ht="21.0" customHeight="1">
      <c r="A954" s="79"/>
      <c r="B954" s="79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2"/>
      <c r="T954" s="102"/>
      <c r="U954" s="102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</row>
    <row r="955" ht="21.0" customHeight="1">
      <c r="A955" s="79"/>
      <c r="B955" s="79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2"/>
      <c r="T955" s="102"/>
      <c r="U955" s="102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</row>
    <row r="956" ht="21.0" customHeight="1">
      <c r="A956" s="79"/>
      <c r="B956" s="79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2"/>
      <c r="T956" s="102"/>
      <c r="U956" s="102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</row>
    <row r="957" ht="21.0" customHeight="1">
      <c r="A957" s="79"/>
      <c r="B957" s="79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2"/>
      <c r="T957" s="102"/>
      <c r="U957" s="102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</row>
    <row r="958" ht="21.0" customHeight="1">
      <c r="A958" s="79"/>
      <c r="B958" s="79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2"/>
      <c r="T958" s="102"/>
      <c r="U958" s="102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</row>
    <row r="959" ht="21.0" customHeight="1">
      <c r="A959" s="79"/>
      <c r="B959" s="79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2"/>
      <c r="T959" s="102"/>
      <c r="U959" s="102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</row>
    <row r="960" ht="21.0" customHeight="1">
      <c r="A960" s="79"/>
      <c r="B960" s="79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2"/>
      <c r="T960" s="102"/>
      <c r="U960" s="102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</row>
    <row r="961" ht="21.0" customHeight="1">
      <c r="A961" s="79"/>
      <c r="B961" s="79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2"/>
      <c r="T961" s="102"/>
      <c r="U961" s="102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</row>
    <row r="962" ht="21.0" customHeight="1">
      <c r="A962" s="79"/>
      <c r="B962" s="79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2"/>
      <c r="T962" s="102"/>
      <c r="U962" s="102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</row>
    <row r="963" ht="21.0" customHeight="1">
      <c r="A963" s="79"/>
      <c r="B963" s="79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2"/>
      <c r="T963" s="102"/>
      <c r="U963" s="102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</row>
    <row r="964" ht="21.0" customHeight="1">
      <c r="A964" s="79"/>
      <c r="B964" s="79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2"/>
      <c r="T964" s="102"/>
      <c r="U964" s="102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</row>
    <row r="965" ht="21.0" customHeight="1">
      <c r="A965" s="79"/>
      <c r="B965" s="79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2"/>
      <c r="T965" s="102"/>
      <c r="U965" s="102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</row>
    <row r="966" ht="21.0" customHeight="1">
      <c r="A966" s="79"/>
      <c r="B966" s="79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2"/>
      <c r="T966" s="102"/>
      <c r="U966" s="102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</row>
    <row r="967" ht="21.0" customHeight="1">
      <c r="A967" s="79"/>
      <c r="B967" s="79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2"/>
      <c r="T967" s="102"/>
      <c r="U967" s="102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</row>
    <row r="968" ht="21.0" customHeight="1">
      <c r="A968" s="79"/>
      <c r="B968" s="79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2"/>
      <c r="T968" s="102"/>
      <c r="U968" s="102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</row>
    <row r="969" ht="21.0" customHeight="1">
      <c r="A969" s="79"/>
      <c r="B969" s="79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2"/>
      <c r="T969" s="102"/>
      <c r="U969" s="102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</row>
    <row r="970" ht="21.0" customHeight="1">
      <c r="A970" s="79"/>
      <c r="B970" s="79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2"/>
      <c r="T970" s="102"/>
      <c r="U970" s="102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</row>
    <row r="971" ht="21.0" customHeight="1">
      <c r="A971" s="79"/>
      <c r="B971" s="79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2"/>
      <c r="T971" s="102"/>
      <c r="U971" s="102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</row>
    <row r="972" ht="21.0" customHeight="1">
      <c r="A972" s="79"/>
      <c r="B972" s="79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2"/>
      <c r="T972" s="102"/>
      <c r="U972" s="102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</row>
    <row r="973" ht="21.0" customHeight="1">
      <c r="A973" s="79"/>
      <c r="B973" s="79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2"/>
      <c r="T973" s="102"/>
      <c r="U973" s="102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</row>
    <row r="974" ht="21.0" customHeight="1">
      <c r="A974" s="79"/>
      <c r="B974" s="79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2"/>
      <c r="T974" s="102"/>
      <c r="U974" s="102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</row>
    <row r="975" ht="21.0" customHeight="1">
      <c r="A975" s="79"/>
      <c r="B975" s="79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2"/>
      <c r="T975" s="102"/>
      <c r="U975" s="102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</row>
    <row r="976" ht="21.0" customHeight="1">
      <c r="A976" s="79"/>
      <c r="B976" s="79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2"/>
      <c r="T976" s="102"/>
      <c r="U976" s="102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</row>
    <row r="977" ht="21.0" customHeight="1">
      <c r="A977" s="79"/>
      <c r="B977" s="79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2"/>
      <c r="T977" s="102"/>
      <c r="U977" s="102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</row>
    <row r="978" ht="21.0" customHeight="1">
      <c r="A978" s="79"/>
      <c r="B978" s="79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2"/>
      <c r="T978" s="102"/>
      <c r="U978" s="102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</row>
    <row r="979" ht="21.0" customHeight="1">
      <c r="A979" s="79"/>
      <c r="B979" s="79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2"/>
      <c r="T979" s="102"/>
      <c r="U979" s="102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</row>
    <row r="980" ht="21.0" customHeight="1">
      <c r="A980" s="79"/>
      <c r="B980" s="79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2"/>
      <c r="T980" s="102"/>
      <c r="U980" s="102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</row>
    <row r="981" ht="21.0" customHeight="1">
      <c r="A981" s="79"/>
      <c r="B981" s="79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2"/>
      <c r="T981" s="102"/>
      <c r="U981" s="102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</row>
    <row r="982" ht="21.0" customHeight="1">
      <c r="A982" s="79"/>
      <c r="B982" s="79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2"/>
      <c r="T982" s="102"/>
      <c r="U982" s="102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</row>
    <row r="983" ht="21.0" customHeight="1">
      <c r="A983" s="79"/>
      <c r="B983" s="79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2"/>
      <c r="T983" s="102"/>
      <c r="U983" s="102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</row>
    <row r="984" ht="21.0" customHeight="1">
      <c r="A984" s="79"/>
      <c r="B984" s="79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2"/>
      <c r="T984" s="102"/>
      <c r="U984" s="102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</row>
    <row r="985" ht="21.0" customHeight="1">
      <c r="A985" s="79"/>
      <c r="B985" s="79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2"/>
      <c r="T985" s="102"/>
      <c r="U985" s="102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</row>
    <row r="986" ht="21.0" customHeight="1">
      <c r="A986" s="79"/>
      <c r="B986" s="79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2"/>
      <c r="T986" s="102"/>
      <c r="U986" s="102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</row>
    <row r="987" ht="21.0" customHeight="1">
      <c r="A987" s="79"/>
      <c r="B987" s="79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2"/>
      <c r="T987" s="102"/>
      <c r="U987" s="102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</row>
    <row r="988" ht="21.0" customHeight="1">
      <c r="A988" s="79"/>
      <c r="B988" s="79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2"/>
      <c r="T988" s="102"/>
      <c r="U988" s="102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</row>
    <row r="989" ht="21.0" customHeight="1">
      <c r="A989" s="79"/>
      <c r="B989" s="79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2"/>
      <c r="T989" s="102"/>
      <c r="U989" s="102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</row>
    <row r="990" ht="21.0" customHeight="1">
      <c r="A990" s="79"/>
      <c r="B990" s="79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2"/>
      <c r="T990" s="102"/>
      <c r="U990" s="102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</row>
    <row r="991" ht="21.0" customHeight="1">
      <c r="A991" s="79"/>
      <c r="B991" s="79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2"/>
      <c r="T991" s="102"/>
      <c r="U991" s="102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</row>
    <row r="992" ht="21.0" customHeight="1">
      <c r="A992" s="79"/>
      <c r="B992" s="79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2"/>
      <c r="T992" s="102"/>
      <c r="U992" s="102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</row>
    <row r="993" ht="21.0" customHeight="1">
      <c r="A993" s="79"/>
      <c r="B993" s="79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2"/>
      <c r="T993" s="102"/>
      <c r="U993" s="102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</row>
    <row r="994" ht="21.0" customHeight="1">
      <c r="A994" s="79"/>
      <c r="B994" s="79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2"/>
      <c r="T994" s="102"/>
      <c r="U994" s="102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</row>
    <row r="995" ht="21.0" customHeight="1">
      <c r="A995" s="79"/>
      <c r="B995" s="79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2"/>
      <c r="T995" s="102"/>
      <c r="U995" s="102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</row>
    <row r="996" ht="21.0" customHeight="1">
      <c r="A996" s="79"/>
      <c r="B996" s="79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2"/>
      <c r="T996" s="102"/>
      <c r="U996" s="102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</row>
    <row r="997" ht="21.0" customHeight="1">
      <c r="A997" s="79"/>
      <c r="B997" s="79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2"/>
      <c r="T997" s="102"/>
      <c r="U997" s="102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</row>
    <row r="998" ht="21.0" customHeight="1">
      <c r="A998" s="79"/>
      <c r="B998" s="79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2"/>
      <c r="T998" s="102"/>
      <c r="U998" s="102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</row>
    <row r="999" ht="21.0" customHeight="1">
      <c r="A999" s="79"/>
      <c r="B999" s="79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2"/>
      <c r="T999" s="102"/>
      <c r="U999" s="102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</row>
    <row r="1000" ht="21.0" customHeight="1">
      <c r="A1000" s="79"/>
      <c r="B1000" s="79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2"/>
      <c r="T1000" s="102"/>
      <c r="U1000" s="102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</row>
  </sheetData>
  <autoFilter ref="$A$3:$U$50"/>
  <mergeCells count="5">
    <mergeCell ref="A1:U1"/>
    <mergeCell ref="A2:D2"/>
    <mergeCell ref="G2:H2"/>
    <mergeCell ref="J2:R2"/>
    <mergeCell ref="S2:U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4" width="20.5"/>
    <col customWidth="1" min="5" max="5" width="26.63"/>
    <col customWidth="1" min="6" max="6" width="20.88"/>
    <col customWidth="1" min="7" max="7" width="19.13"/>
    <col customWidth="1" min="8" max="9" width="17.5"/>
    <col customWidth="1" min="10" max="10" width="13.63"/>
    <col customWidth="1" min="11" max="12" width="18.38"/>
    <col customWidth="1" min="13" max="13" width="14.5"/>
    <col customWidth="1" min="14" max="26" width="8.63"/>
  </cols>
  <sheetData>
    <row r="1" ht="36.0" customHeight="1">
      <c r="A1" s="78" t="s">
        <v>216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34.5" customHeight="1">
      <c r="A2" s="80" t="s">
        <v>194</v>
      </c>
      <c r="B2" s="81"/>
      <c r="C2" s="81"/>
      <c r="D2" s="81"/>
      <c r="E2" s="144" t="s">
        <v>195</v>
      </c>
      <c r="F2" s="84"/>
      <c r="G2" s="145" t="s">
        <v>196</v>
      </c>
      <c r="H2" s="82" t="s">
        <v>197</v>
      </c>
      <c r="I2" s="83"/>
      <c r="J2" s="83"/>
      <c r="K2" s="83"/>
      <c r="L2" s="83"/>
      <c r="M2" s="84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1.0" customHeight="1">
      <c r="A3" s="88" t="s">
        <v>81</v>
      </c>
      <c r="B3" s="88" t="s">
        <v>64</v>
      </c>
      <c r="C3" s="89" t="s">
        <v>5</v>
      </c>
      <c r="D3" s="89" t="s">
        <v>82</v>
      </c>
      <c r="E3" s="122" t="s">
        <v>203</v>
      </c>
      <c r="F3" s="122" t="s">
        <v>204</v>
      </c>
      <c r="G3" s="146" t="s">
        <v>205</v>
      </c>
      <c r="H3" s="90" t="s">
        <v>207</v>
      </c>
      <c r="I3" s="90" t="s">
        <v>208</v>
      </c>
      <c r="J3" s="90" t="s">
        <v>138</v>
      </c>
      <c r="K3" s="90" t="s">
        <v>214</v>
      </c>
      <c r="L3" s="90" t="s">
        <v>215</v>
      </c>
      <c r="M3" s="90" t="s">
        <v>69</v>
      </c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1.0" customHeight="1">
      <c r="A4" s="94">
        <v>6.496634E7</v>
      </c>
      <c r="B4" s="94" t="s">
        <v>88</v>
      </c>
      <c r="C4" s="95">
        <v>1.1987165E8</v>
      </c>
      <c r="D4" s="95">
        <v>6.442711619E9</v>
      </c>
      <c r="E4" s="147">
        <f t="shared" ref="E4:E50" si="1">(0.0556843*C4*C4/1000000/1000000 -1.83037*C4/1000000+38.477)*1000000</f>
        <v>619207066.1</v>
      </c>
      <c r="F4" s="147">
        <f t="shared" ref="F4:F50" si="2"> ((0.0216159*C4*C4/1000000/1000000 + 3.06256*C4/1000000 -123.036)*0.5)*1000000</f>
        <v>277340790.2</v>
      </c>
      <c r="G4" s="148">
        <f t="shared" ref="G4:G50" si="3">(0.0642424*C4*C4/1000000/1000000 -0.198182*C4/1000000 -10.6061) * 1000000</f>
        <v>888750192.1</v>
      </c>
      <c r="H4" s="96" t="s">
        <v>76</v>
      </c>
      <c r="I4" s="96" t="s">
        <v>76</v>
      </c>
      <c r="J4" s="96" t="s">
        <v>76</v>
      </c>
      <c r="K4" s="96" t="s">
        <v>76</v>
      </c>
      <c r="L4" s="96" t="s">
        <v>76</v>
      </c>
      <c r="M4" s="96" t="s">
        <v>76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21.0" customHeight="1">
      <c r="A5" s="94">
        <v>7.5481347E7</v>
      </c>
      <c r="B5" s="94" t="s">
        <v>55</v>
      </c>
      <c r="C5" s="95">
        <v>1.17965143E8</v>
      </c>
      <c r="D5" s="95">
        <v>1.3573931495E10</v>
      </c>
      <c r="E5" s="147">
        <f t="shared" si="1"/>
        <v>597447329</v>
      </c>
      <c r="F5" s="147">
        <f t="shared" si="2"/>
        <v>269520664.2</v>
      </c>
      <c r="G5" s="148">
        <f t="shared" si="3"/>
        <v>859998113.5</v>
      </c>
      <c r="H5" s="96" t="s">
        <v>76</v>
      </c>
      <c r="I5" s="96" t="s">
        <v>76</v>
      </c>
      <c r="J5" s="96" t="s">
        <v>76</v>
      </c>
      <c r="K5" s="96" t="s">
        <v>76</v>
      </c>
      <c r="L5" s="96" t="s">
        <v>76</v>
      </c>
      <c r="M5" s="96" t="s">
        <v>76</v>
      </c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21.0" customHeight="1">
      <c r="A6" s="94">
        <v>1.68455139E8</v>
      </c>
      <c r="B6" s="94" t="s">
        <v>89</v>
      </c>
      <c r="C6" s="95">
        <v>1.13776671E8</v>
      </c>
      <c r="D6" s="95">
        <v>3.81588467E9</v>
      </c>
      <c r="E6" s="147">
        <f t="shared" si="1"/>
        <v>551064145.3</v>
      </c>
      <c r="F6" s="147">
        <f t="shared" si="2"/>
        <v>252616267.9</v>
      </c>
      <c r="G6" s="148">
        <f t="shared" si="3"/>
        <v>798471686.8</v>
      </c>
      <c r="H6" s="96" t="s">
        <v>76</v>
      </c>
      <c r="I6" s="96" t="s">
        <v>76</v>
      </c>
      <c r="J6" s="96" t="s">
        <v>76</v>
      </c>
      <c r="K6" s="96" t="s">
        <v>76</v>
      </c>
      <c r="L6" s="96" t="s">
        <v>76</v>
      </c>
      <c r="M6" s="96" t="s">
        <v>76</v>
      </c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21.0" customHeight="1">
      <c r="A7" s="94">
        <v>2463403.0</v>
      </c>
      <c r="B7" s="94" t="s">
        <v>90</v>
      </c>
      <c r="C7" s="95">
        <v>9.3598591E7</v>
      </c>
      <c r="D7" s="95">
        <v>9.49975133E9</v>
      </c>
      <c r="E7" s="147">
        <f t="shared" si="1"/>
        <v>354990184.5</v>
      </c>
      <c r="F7" s="147">
        <f t="shared" si="2"/>
        <v>176492817.3</v>
      </c>
      <c r="G7" s="148">
        <f t="shared" si="3"/>
        <v>533652496</v>
      </c>
      <c r="H7" s="96" t="s">
        <v>76</v>
      </c>
      <c r="I7" s="96" t="s">
        <v>76</v>
      </c>
      <c r="J7" s="96" t="s">
        <v>76</v>
      </c>
      <c r="K7" s="96" t="s">
        <v>76</v>
      </c>
      <c r="L7" s="96" t="s">
        <v>76</v>
      </c>
      <c r="M7" s="96" t="s">
        <v>76</v>
      </c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21.0" customHeight="1">
      <c r="A8" s="94">
        <v>6.7071592E7</v>
      </c>
      <c r="B8" s="94" t="s">
        <v>91</v>
      </c>
      <c r="C8" s="95">
        <v>9.0618001E7</v>
      </c>
      <c r="D8" s="95">
        <v>1.1847016922E10</v>
      </c>
      <c r="E8" s="147">
        <f t="shared" si="1"/>
        <v>329870958.3</v>
      </c>
      <c r="F8" s="147">
        <f t="shared" si="2"/>
        <v>165994333.7</v>
      </c>
      <c r="G8" s="148">
        <f t="shared" si="3"/>
        <v>498969355.3</v>
      </c>
      <c r="H8" s="96" t="s">
        <v>76</v>
      </c>
      <c r="I8" s="96" t="s">
        <v>76</v>
      </c>
      <c r="J8" s="96" t="s">
        <v>76</v>
      </c>
      <c r="K8" s="96" t="s">
        <v>76</v>
      </c>
      <c r="L8" s="96" t="s">
        <v>76</v>
      </c>
      <c r="M8" s="96" t="s">
        <v>76</v>
      </c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21.0" customHeight="1">
      <c r="A9" s="94">
        <v>6.2576249E7</v>
      </c>
      <c r="B9" s="94" t="s">
        <v>92</v>
      </c>
      <c r="C9" s="95">
        <v>9.034525E7</v>
      </c>
      <c r="D9" s="95">
        <v>4.116334761E9</v>
      </c>
      <c r="E9" s="147">
        <f t="shared" si="1"/>
        <v>327621733</v>
      </c>
      <c r="F9" s="147">
        <f t="shared" si="2"/>
        <v>165043217.8</v>
      </c>
      <c r="G9" s="148">
        <f t="shared" si="3"/>
        <v>495852539.1</v>
      </c>
      <c r="H9" s="96" t="s">
        <v>76</v>
      </c>
      <c r="I9" s="96" t="s">
        <v>76</v>
      </c>
      <c r="J9" s="96" t="s">
        <v>76</v>
      </c>
      <c r="K9" s="96" t="s">
        <v>76</v>
      </c>
      <c r="L9" s="96" t="s">
        <v>76</v>
      </c>
      <c r="M9" s="96" t="s">
        <v>76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21.0" customHeight="1">
      <c r="A10" s="94">
        <v>1.1726598E7</v>
      </c>
      <c r="B10" s="94" t="s">
        <v>93</v>
      </c>
      <c r="C10" s="95">
        <v>8.7218821E7</v>
      </c>
      <c r="D10" s="95">
        <v>1.1875533705E10</v>
      </c>
      <c r="E10" s="147">
        <f t="shared" si="1"/>
        <v>302431591.2</v>
      </c>
      <c r="F10" s="147">
        <f t="shared" si="2"/>
        <v>154255838.4</v>
      </c>
      <c r="G10" s="148">
        <f t="shared" si="3"/>
        <v>460808521.3</v>
      </c>
      <c r="H10" s="96" t="s">
        <v>76</v>
      </c>
      <c r="I10" s="96" t="s">
        <v>76</v>
      </c>
      <c r="J10" s="96" t="s">
        <v>76</v>
      </c>
      <c r="K10" s="96" t="s">
        <v>76</v>
      </c>
      <c r="L10" s="96" t="s">
        <v>76</v>
      </c>
      <c r="M10" s="96" t="s">
        <v>76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21.0" customHeight="1">
      <c r="A11" s="94">
        <v>7.9650085E7</v>
      </c>
      <c r="B11" s="94" t="s">
        <v>94</v>
      </c>
      <c r="C11" s="95">
        <v>8.6995032E7</v>
      </c>
      <c r="D11" s="95">
        <v>2.51032645E9</v>
      </c>
      <c r="E11" s="147">
        <f t="shared" si="1"/>
        <v>300670236.1</v>
      </c>
      <c r="F11" s="147">
        <f t="shared" si="2"/>
        <v>153491783.7</v>
      </c>
      <c r="G11" s="148">
        <f t="shared" si="3"/>
        <v>458348244.6</v>
      </c>
      <c r="H11" s="96" t="s">
        <v>76</v>
      </c>
      <c r="I11" s="96" t="s">
        <v>76</v>
      </c>
      <c r="J11" s="96" t="s">
        <v>76</v>
      </c>
      <c r="K11" s="96" t="s">
        <v>76</v>
      </c>
      <c r="L11" s="96" t="s">
        <v>76</v>
      </c>
      <c r="M11" s="96" t="s">
        <v>76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21.0" customHeight="1">
      <c r="A12" s="94">
        <v>2.708355E7</v>
      </c>
      <c r="B12" s="94" t="s">
        <v>95</v>
      </c>
      <c r="C12" s="95">
        <v>8.4868298E7</v>
      </c>
      <c r="D12" s="95">
        <v>3.516995142E9</v>
      </c>
      <c r="E12" s="147">
        <f t="shared" si="1"/>
        <v>284209912</v>
      </c>
      <c r="F12" s="147">
        <f t="shared" si="2"/>
        <v>146284770.7</v>
      </c>
      <c r="G12" s="148">
        <f t="shared" si="3"/>
        <v>435288640.3</v>
      </c>
      <c r="H12" s="96" t="s">
        <v>76</v>
      </c>
      <c r="I12" s="96" t="s">
        <v>76</v>
      </c>
      <c r="J12" s="96" t="s">
        <v>76</v>
      </c>
      <c r="K12" s="96" t="s">
        <v>76</v>
      </c>
      <c r="L12" s="96" t="s">
        <v>76</v>
      </c>
      <c r="M12" s="96" t="s">
        <v>76</v>
      </c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21.0" customHeight="1">
      <c r="A13" s="94">
        <v>1.6942777E8</v>
      </c>
      <c r="B13" s="94" t="s">
        <v>96</v>
      </c>
      <c r="C13" s="95">
        <v>8.4302176E7</v>
      </c>
      <c r="D13" s="95">
        <v>1.099951251E9</v>
      </c>
      <c r="E13" s="147">
        <f t="shared" si="1"/>
        <v>279913176.6</v>
      </c>
      <c r="F13" s="147">
        <f t="shared" si="2"/>
        <v>144382789.9</v>
      </c>
      <c r="G13" s="148">
        <f t="shared" si="3"/>
        <v>429248268.5</v>
      </c>
      <c r="H13" s="96" t="s">
        <v>76</v>
      </c>
      <c r="I13" s="96" t="s">
        <v>76</v>
      </c>
      <c r="J13" s="96" t="s">
        <v>76</v>
      </c>
      <c r="K13" s="96" t="s">
        <v>76</v>
      </c>
      <c r="L13" s="96" t="s">
        <v>76</v>
      </c>
      <c r="M13" s="96" t="s">
        <v>76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21.0" customHeight="1">
      <c r="A14" s="94">
        <v>7.7394861E7</v>
      </c>
      <c r="B14" s="94" t="s">
        <v>97</v>
      </c>
      <c r="C14" s="95">
        <v>8.4262735E7</v>
      </c>
      <c r="D14" s="95">
        <v>2.873222492E9</v>
      </c>
      <c r="E14" s="147">
        <f t="shared" si="1"/>
        <v>279615158.5</v>
      </c>
      <c r="F14" s="147">
        <f t="shared" si="2"/>
        <v>144250539.4</v>
      </c>
      <c r="G14" s="148">
        <f t="shared" si="3"/>
        <v>428828977.8</v>
      </c>
      <c r="H14" s="96" t="s">
        <v>76</v>
      </c>
      <c r="I14" s="96" t="s">
        <v>76</v>
      </c>
      <c r="J14" s="96" t="s">
        <v>76</v>
      </c>
      <c r="K14" s="96" t="s">
        <v>76</v>
      </c>
      <c r="L14" s="96" t="s">
        <v>76</v>
      </c>
      <c r="M14" s="96" t="s">
        <v>76</v>
      </c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21.0" customHeight="1">
      <c r="A15" s="94">
        <v>1.72021868E8</v>
      </c>
      <c r="B15" s="94" t="s">
        <v>53</v>
      </c>
      <c r="C15" s="95">
        <v>8.424664E7</v>
      </c>
      <c r="D15" s="95">
        <v>2.05110241E9</v>
      </c>
      <c r="E15" s="147">
        <f t="shared" si="1"/>
        <v>279493593.6</v>
      </c>
      <c r="F15" s="147">
        <f t="shared" si="2"/>
        <v>144196580.6</v>
      </c>
      <c r="G15" s="148">
        <f t="shared" si="3"/>
        <v>428657932</v>
      </c>
      <c r="H15" s="96" t="s">
        <v>76</v>
      </c>
      <c r="I15" s="96" t="s">
        <v>76</v>
      </c>
      <c r="J15" s="96" t="s">
        <v>76</v>
      </c>
      <c r="K15" s="96" t="s">
        <v>76</v>
      </c>
      <c r="L15" s="96" t="s">
        <v>76</v>
      </c>
      <c r="M15" s="96" t="s">
        <v>76</v>
      </c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21.0" customHeight="1">
      <c r="A16" s="94">
        <v>4.8741756E7</v>
      </c>
      <c r="B16" s="94" t="s">
        <v>98</v>
      </c>
      <c r="C16" s="95">
        <v>8.3555578E7</v>
      </c>
      <c r="D16" s="95">
        <v>3.409309342E9</v>
      </c>
      <c r="E16" s="147">
        <f t="shared" si="1"/>
        <v>274301244.7</v>
      </c>
      <c r="F16" s="147">
        <f t="shared" si="2"/>
        <v>141885062.5</v>
      </c>
      <c r="G16" s="148">
        <f t="shared" si="3"/>
        <v>421345227.8</v>
      </c>
      <c r="H16" s="96" t="s">
        <v>76</v>
      </c>
      <c r="I16" s="96" t="s">
        <v>76</v>
      </c>
      <c r="J16" s="96" t="s">
        <v>76</v>
      </c>
      <c r="K16" s="96" t="s">
        <v>76</v>
      </c>
      <c r="L16" s="96" t="s">
        <v>76</v>
      </c>
      <c r="M16" s="96" t="s">
        <v>76</v>
      </c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21.0" customHeight="1">
      <c r="A17" s="94">
        <v>1.71701107E8</v>
      </c>
      <c r="B17" s="94" t="s">
        <v>99</v>
      </c>
      <c r="C17" s="95">
        <v>8.3460258E7</v>
      </c>
      <c r="D17" s="95">
        <v>7.49784756E8</v>
      </c>
      <c r="E17" s="147">
        <f t="shared" si="1"/>
        <v>273589224.3</v>
      </c>
      <c r="F17" s="147">
        <f t="shared" si="2"/>
        <v>141567038.9</v>
      </c>
      <c r="G17" s="148">
        <f t="shared" si="3"/>
        <v>420341382.7</v>
      </c>
      <c r="H17" s="96" t="s">
        <v>76</v>
      </c>
      <c r="I17" s="96" t="s">
        <v>76</v>
      </c>
      <c r="J17" s="96" t="s">
        <v>76</v>
      </c>
      <c r="K17" s="96" t="s">
        <v>76</v>
      </c>
      <c r="L17" s="96" t="s">
        <v>76</v>
      </c>
      <c r="M17" s="96" t="s">
        <v>76</v>
      </c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21.0" customHeight="1">
      <c r="A18" s="94">
        <v>1.69247313E8</v>
      </c>
      <c r="B18" s="94" t="s">
        <v>100</v>
      </c>
      <c r="C18" s="95">
        <v>8.3288321E7</v>
      </c>
      <c r="D18" s="95">
        <v>7.09981694E8</v>
      </c>
      <c r="E18" s="147">
        <f t="shared" si="1"/>
        <v>272307449.8</v>
      </c>
      <c r="F18" s="147">
        <f t="shared" si="2"/>
        <v>140993888.6</v>
      </c>
      <c r="G18" s="148">
        <f t="shared" si="3"/>
        <v>418533611.9</v>
      </c>
      <c r="H18" s="96" t="s">
        <v>76</v>
      </c>
      <c r="I18" s="96" t="s">
        <v>76</v>
      </c>
      <c r="J18" s="96" t="s">
        <v>76</v>
      </c>
      <c r="K18" s="96" t="s">
        <v>76</v>
      </c>
      <c r="L18" s="96" t="s">
        <v>76</v>
      </c>
      <c r="M18" s="96" t="s">
        <v>76</v>
      </c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21.0" customHeight="1">
      <c r="A19" s="94">
        <v>1.71503078E8</v>
      </c>
      <c r="B19" s="94" t="s">
        <v>101</v>
      </c>
      <c r="C19" s="95">
        <v>8.086881E7</v>
      </c>
      <c r="D19" s="95">
        <v>2.095837172E9</v>
      </c>
      <c r="E19" s="147">
        <f t="shared" si="1"/>
        <v>254619360.7</v>
      </c>
      <c r="F19" s="147">
        <f t="shared" si="2"/>
        <v>132996238.4</v>
      </c>
      <c r="G19" s="148">
        <f t="shared" si="3"/>
        <v>393497320</v>
      </c>
      <c r="H19" s="96" t="s">
        <v>76</v>
      </c>
      <c r="I19" s="96" t="s">
        <v>76</v>
      </c>
      <c r="J19" s="96" t="s">
        <v>76</v>
      </c>
      <c r="K19" s="96" t="s">
        <v>76</v>
      </c>
      <c r="L19" s="96" t="s">
        <v>76</v>
      </c>
      <c r="M19" s="96" t="s">
        <v>76</v>
      </c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21.0" customHeight="1">
      <c r="A20" s="94">
        <v>9.8107237E7</v>
      </c>
      <c r="B20" s="94" t="s">
        <v>102</v>
      </c>
      <c r="C20" s="95">
        <v>8.0847929E7</v>
      </c>
      <c r="D20" s="95">
        <v>3.468706868E9</v>
      </c>
      <c r="E20" s="147">
        <f t="shared" si="1"/>
        <v>254469545.5</v>
      </c>
      <c r="F20" s="147">
        <f t="shared" si="2"/>
        <v>132927767.3</v>
      </c>
      <c r="G20" s="148">
        <f t="shared" si="3"/>
        <v>393284524</v>
      </c>
      <c r="H20" s="96" t="s">
        <v>76</v>
      </c>
      <c r="I20" s="96" t="s">
        <v>76</v>
      </c>
      <c r="J20" s="96" t="s">
        <v>76</v>
      </c>
      <c r="K20" s="96" t="s">
        <v>76</v>
      </c>
      <c r="L20" s="96" t="s">
        <v>76</v>
      </c>
      <c r="M20" s="96" t="s">
        <v>76</v>
      </c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21.0" customHeight="1">
      <c r="A21" s="94">
        <v>1.20029911E8</v>
      </c>
      <c r="B21" s="94" t="s">
        <v>103</v>
      </c>
      <c r="C21" s="95">
        <v>7.9175323E7</v>
      </c>
      <c r="D21" s="95">
        <v>1.139092616E9</v>
      </c>
      <c r="E21" s="147">
        <f t="shared" si="1"/>
        <v>242626804.7</v>
      </c>
      <c r="F21" s="147">
        <f t="shared" si="2"/>
        <v>127473728.2</v>
      </c>
      <c r="G21" s="148">
        <f t="shared" si="3"/>
        <v>376421150.1</v>
      </c>
      <c r="H21" s="96" t="s">
        <v>76</v>
      </c>
      <c r="I21" s="96" t="s">
        <v>76</v>
      </c>
      <c r="J21" s="96" t="s">
        <v>76</v>
      </c>
      <c r="K21" s="96" t="s">
        <v>76</v>
      </c>
      <c r="L21" s="96" t="s">
        <v>76</v>
      </c>
      <c r="M21" s="96" t="s">
        <v>76</v>
      </c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21.0" customHeight="1">
      <c r="A22" s="94">
        <v>1.72041454E8</v>
      </c>
      <c r="B22" s="94" t="s">
        <v>104</v>
      </c>
      <c r="C22" s="95">
        <v>7.8637719E7</v>
      </c>
      <c r="D22" s="95">
        <v>7.74147673E8</v>
      </c>
      <c r="E22" s="147">
        <f t="shared" si="1"/>
        <v>238886511.5</v>
      </c>
      <c r="F22" s="147">
        <f t="shared" si="2"/>
        <v>125733549.5</v>
      </c>
      <c r="G22" s="148">
        <f t="shared" si="3"/>
        <v>371077309.1</v>
      </c>
      <c r="H22" s="96" t="s">
        <v>76</v>
      </c>
      <c r="I22" s="96" t="s">
        <v>76</v>
      </c>
      <c r="J22" s="96" t="s">
        <v>76</v>
      </c>
      <c r="K22" s="96" t="s">
        <v>76</v>
      </c>
      <c r="L22" s="96" t="s">
        <v>76</v>
      </c>
      <c r="M22" s="96" t="s">
        <v>76</v>
      </c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21.0" customHeight="1">
      <c r="A23" s="94">
        <v>1.71604682E8</v>
      </c>
      <c r="B23" s="94" t="s">
        <v>105</v>
      </c>
      <c r="C23" s="95">
        <v>7.8000325E7</v>
      </c>
      <c r="D23" s="95">
        <v>2.046658221E9</v>
      </c>
      <c r="E23" s="147">
        <f t="shared" si="1"/>
        <v>234493649.5</v>
      </c>
      <c r="F23" s="147">
        <f t="shared" si="2"/>
        <v>123678453.4</v>
      </c>
      <c r="G23" s="148">
        <f t="shared" si="3"/>
        <v>364789658.3</v>
      </c>
      <c r="H23" s="96" t="s">
        <v>76</v>
      </c>
      <c r="I23" s="96" t="s">
        <v>76</v>
      </c>
      <c r="J23" s="96" t="s">
        <v>76</v>
      </c>
      <c r="K23" s="96" t="s">
        <v>76</v>
      </c>
      <c r="L23" s="96" t="s">
        <v>76</v>
      </c>
      <c r="M23" s="96" t="s">
        <v>76</v>
      </c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21.0" customHeight="1">
      <c r="A24" s="94">
        <v>1.71879011E8</v>
      </c>
      <c r="B24" s="94" t="s">
        <v>106</v>
      </c>
      <c r="C24" s="95">
        <v>7.1156721E7</v>
      </c>
      <c r="D24" s="95">
        <v>6.85384523E8</v>
      </c>
      <c r="E24" s="147">
        <f t="shared" si="1"/>
        <v>190179016.3</v>
      </c>
      <c r="F24" s="147">
        <f t="shared" si="2"/>
        <v>102166529.4</v>
      </c>
      <c r="G24" s="148">
        <f t="shared" si="3"/>
        <v>300569109.9</v>
      </c>
      <c r="H24" s="96" t="s">
        <v>76</v>
      </c>
      <c r="I24" s="96" t="s">
        <v>76</v>
      </c>
      <c r="J24" s="96" t="s">
        <v>76</v>
      </c>
      <c r="K24" s="96" t="s">
        <v>76</v>
      </c>
      <c r="L24" s="96" t="s">
        <v>76</v>
      </c>
      <c r="M24" s="96" t="s">
        <v>76</v>
      </c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21.0" customHeight="1">
      <c r="A25" s="94">
        <v>1.70708608E8</v>
      </c>
      <c r="B25" s="94" t="s">
        <v>107</v>
      </c>
      <c r="C25" s="95">
        <v>7.7626469E7</v>
      </c>
      <c r="D25" s="95">
        <v>5.0270033E8</v>
      </c>
      <c r="E25" s="147">
        <f t="shared" si="1"/>
        <v>231938119.8</v>
      </c>
      <c r="F25" s="147">
        <f t="shared" si="2"/>
        <v>122477147</v>
      </c>
      <c r="G25" s="148">
        <f t="shared" si="3"/>
        <v>361125997.8</v>
      </c>
      <c r="H25" s="96" t="s">
        <v>76</v>
      </c>
      <c r="I25" s="96" t="s">
        <v>76</v>
      </c>
      <c r="J25" s="96" t="s">
        <v>76</v>
      </c>
      <c r="K25" s="96" t="s">
        <v>76</v>
      </c>
      <c r="L25" s="96" t="s">
        <v>76</v>
      </c>
      <c r="M25" s="96" t="s">
        <v>76</v>
      </c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1.0" customHeight="1">
      <c r="A26" s="94">
        <v>7.4556991E7</v>
      </c>
      <c r="B26" s="94" t="s">
        <v>108</v>
      </c>
      <c r="C26" s="95">
        <v>7.1123417E7</v>
      </c>
      <c r="D26" s="95">
        <v>3.221978435E9</v>
      </c>
      <c r="E26" s="147">
        <f t="shared" si="1"/>
        <v>189976115</v>
      </c>
      <c r="F26" s="147">
        <f t="shared" si="2"/>
        <v>102064318.2</v>
      </c>
      <c r="G26" s="148">
        <f t="shared" si="3"/>
        <v>300271297.7</v>
      </c>
      <c r="H26" s="96" t="s">
        <v>76</v>
      </c>
      <c r="I26" s="96" t="s">
        <v>76</v>
      </c>
      <c r="J26" s="96" t="s">
        <v>76</v>
      </c>
      <c r="K26" s="96" t="s">
        <v>76</v>
      </c>
      <c r="L26" s="96" t="s">
        <v>76</v>
      </c>
      <c r="M26" s="96" t="s">
        <v>76</v>
      </c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21.0" customHeight="1">
      <c r="A27" s="94">
        <v>1.66497805E8</v>
      </c>
      <c r="B27" s="94" t="s">
        <v>109</v>
      </c>
      <c r="C27" s="95">
        <v>7.6860066E7</v>
      </c>
      <c r="D27" s="95">
        <v>7.94427369E8</v>
      </c>
      <c r="E27" s="147">
        <f t="shared" si="1"/>
        <v>226747958.5</v>
      </c>
      <c r="F27" s="147">
        <f t="shared" si="2"/>
        <v>120023919.5</v>
      </c>
      <c r="G27" s="148">
        <f t="shared" si="3"/>
        <v>353671652.8</v>
      </c>
      <c r="H27" s="96" t="s">
        <v>76</v>
      </c>
      <c r="I27" s="96" t="s">
        <v>76</v>
      </c>
      <c r="J27" s="96" t="s">
        <v>76</v>
      </c>
      <c r="K27" s="96" t="s">
        <v>76</v>
      </c>
      <c r="L27" s="96" t="s">
        <v>76</v>
      </c>
      <c r="M27" s="96" t="s">
        <v>76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21.0" customHeight="1">
      <c r="A28" s="94">
        <v>1.69326547E8</v>
      </c>
      <c r="B28" s="94" t="s">
        <v>110</v>
      </c>
      <c r="C28" s="95">
        <v>7.6303573E7</v>
      </c>
      <c r="D28" s="95">
        <v>4.583361489E9</v>
      </c>
      <c r="E28" s="147">
        <f t="shared" si="1"/>
        <v>223020323.6</v>
      </c>
      <c r="F28" s="147">
        <f t="shared" si="2"/>
        <v>118250562.8</v>
      </c>
      <c r="G28" s="148">
        <f t="shared" si="3"/>
        <v>348306271.3</v>
      </c>
      <c r="H28" s="96" t="s">
        <v>76</v>
      </c>
      <c r="I28" s="96" t="s">
        <v>76</v>
      </c>
      <c r="J28" s="96" t="s">
        <v>76</v>
      </c>
      <c r="K28" s="96" t="s">
        <v>76</v>
      </c>
      <c r="L28" s="96" t="s">
        <v>76</v>
      </c>
      <c r="M28" s="96" t="s">
        <v>76</v>
      </c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21.0" customHeight="1">
      <c r="A29" s="94">
        <v>1.71753933E8</v>
      </c>
      <c r="B29" s="94" t="s">
        <v>111</v>
      </c>
      <c r="C29" s="95">
        <v>7.6027569E7</v>
      </c>
      <c r="D29" s="95">
        <v>9.9334639E7</v>
      </c>
      <c r="E29" s="147">
        <f t="shared" si="1"/>
        <v>221184322</v>
      </c>
      <c r="F29" s="147">
        <f t="shared" si="2"/>
        <v>117373513.9</v>
      </c>
      <c r="G29" s="148">
        <f t="shared" si="3"/>
        <v>345659962.6</v>
      </c>
      <c r="H29" s="96" t="s">
        <v>76</v>
      </c>
      <c r="I29" s="96" t="s">
        <v>76</v>
      </c>
      <c r="J29" s="96" t="s">
        <v>76</v>
      </c>
      <c r="K29" s="96" t="s">
        <v>76</v>
      </c>
      <c r="L29" s="96" t="s">
        <v>76</v>
      </c>
      <c r="M29" s="96" t="s">
        <v>76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21.0" customHeight="1">
      <c r="A30" s="94">
        <v>5.524249E7</v>
      </c>
      <c r="B30" s="94" t="s">
        <v>112</v>
      </c>
      <c r="C30" s="95">
        <v>7.562687E7</v>
      </c>
      <c r="D30" s="95">
        <v>1.615434611E9</v>
      </c>
      <c r="E30" s="147">
        <f t="shared" si="1"/>
        <v>218533938.1</v>
      </c>
      <c r="F30" s="147">
        <f t="shared" si="2"/>
        <v>116103156.3</v>
      </c>
      <c r="G30" s="148">
        <f t="shared" si="3"/>
        <v>341835505.7</v>
      </c>
      <c r="H30" s="96" t="s">
        <v>76</v>
      </c>
      <c r="I30" s="96" t="s">
        <v>76</v>
      </c>
      <c r="J30" s="96" t="s">
        <v>76</v>
      </c>
      <c r="K30" s="96" t="s">
        <v>76</v>
      </c>
      <c r="L30" s="96" t="s">
        <v>76</v>
      </c>
      <c r="M30" s="96" t="s">
        <v>76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21.0" customHeight="1">
      <c r="A31" s="94">
        <v>1.71910225E8</v>
      </c>
      <c r="B31" s="94" t="s">
        <v>113</v>
      </c>
      <c r="C31" s="95">
        <v>7.5015953E7</v>
      </c>
      <c r="D31" s="95">
        <v>4.30647377E8</v>
      </c>
      <c r="E31" s="147">
        <f t="shared" si="1"/>
        <v>214527501.5</v>
      </c>
      <c r="F31" s="147">
        <f t="shared" si="2"/>
        <v>114173012.9</v>
      </c>
      <c r="G31" s="148">
        <f t="shared" si="3"/>
        <v>336044333.6</v>
      </c>
      <c r="H31" s="96" t="s">
        <v>76</v>
      </c>
      <c r="I31" s="96" t="s">
        <v>76</v>
      </c>
      <c r="J31" s="96" t="s">
        <v>76</v>
      </c>
      <c r="K31" s="96" t="s">
        <v>76</v>
      </c>
      <c r="L31" s="96" t="s">
        <v>76</v>
      </c>
      <c r="M31" s="96" t="s">
        <v>76</v>
      </c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21.0" customHeight="1">
      <c r="A32" s="94">
        <v>1.7160984E8</v>
      </c>
      <c r="B32" s="94" t="s">
        <v>114</v>
      </c>
      <c r="C32" s="95">
        <v>7.4851331E7</v>
      </c>
      <c r="D32" s="95">
        <v>8.26712465E8</v>
      </c>
      <c r="E32" s="147">
        <f t="shared" si="1"/>
        <v>213455008.2</v>
      </c>
      <c r="F32" s="147">
        <f t="shared" si="2"/>
        <v>113654282.7</v>
      </c>
      <c r="G32" s="148">
        <f t="shared" si="3"/>
        <v>334492005.4</v>
      </c>
      <c r="H32" s="96" t="s">
        <v>76</v>
      </c>
      <c r="I32" s="96" t="s">
        <v>76</v>
      </c>
      <c r="J32" s="96" t="s">
        <v>76</v>
      </c>
      <c r="K32" s="96" t="s">
        <v>76</v>
      </c>
      <c r="L32" s="96" t="s">
        <v>76</v>
      </c>
      <c r="M32" s="96" t="s">
        <v>76</v>
      </c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21.0" customHeight="1">
      <c r="A33" s="94">
        <v>1.71972257E8</v>
      </c>
      <c r="B33" s="94" t="s">
        <v>115</v>
      </c>
      <c r="C33" s="95">
        <v>7.4694698E7</v>
      </c>
      <c r="D33" s="95">
        <v>8.42604472E8</v>
      </c>
      <c r="E33" s="147">
        <f t="shared" si="1"/>
        <v>212437364.2</v>
      </c>
      <c r="F33" s="147">
        <f t="shared" si="2"/>
        <v>113161270</v>
      </c>
      <c r="G33" s="148">
        <f t="shared" si="3"/>
        <v>333018243.4</v>
      </c>
      <c r="H33" s="96" t="s">
        <v>76</v>
      </c>
      <c r="I33" s="96" t="s">
        <v>76</v>
      </c>
      <c r="J33" s="96" t="s">
        <v>76</v>
      </c>
      <c r="K33" s="96" t="s">
        <v>76</v>
      </c>
      <c r="L33" s="96" t="s">
        <v>76</v>
      </c>
      <c r="M33" s="96" t="s">
        <v>76</v>
      </c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21.0" customHeight="1">
      <c r="A34" s="94">
        <v>1.71927851E8</v>
      </c>
      <c r="B34" s="94" t="s">
        <v>116</v>
      </c>
      <c r="C34" s="95">
        <v>7.4400969E7</v>
      </c>
      <c r="D34" s="95">
        <v>4.1514384E8</v>
      </c>
      <c r="E34" s="147">
        <f t="shared" si="1"/>
        <v>210536374.2</v>
      </c>
      <c r="F34" s="147">
        <f t="shared" si="2"/>
        <v>112238168.3</v>
      </c>
      <c r="G34" s="148">
        <f t="shared" si="3"/>
        <v>330263041.4</v>
      </c>
      <c r="H34" s="96" t="s">
        <v>76</v>
      </c>
      <c r="I34" s="96" t="s">
        <v>76</v>
      </c>
      <c r="J34" s="96" t="s">
        <v>76</v>
      </c>
      <c r="K34" s="96" t="s">
        <v>76</v>
      </c>
      <c r="L34" s="96" t="s">
        <v>76</v>
      </c>
      <c r="M34" s="96" t="s">
        <v>76</v>
      </c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21.0" customHeight="1">
      <c r="A35" s="94">
        <v>1.70728362E8</v>
      </c>
      <c r="B35" s="94" t="s">
        <v>117</v>
      </c>
      <c r="C35" s="95">
        <v>7.3416348E7</v>
      </c>
      <c r="D35" s="95">
        <v>6.64639119E8</v>
      </c>
      <c r="E35" s="147">
        <f t="shared" si="1"/>
        <v>204234077.3</v>
      </c>
      <c r="F35" s="147">
        <f t="shared" si="2"/>
        <v>109157405.2</v>
      </c>
      <c r="G35" s="148">
        <f t="shared" si="3"/>
        <v>321108077.5</v>
      </c>
      <c r="H35" s="96" t="s">
        <v>76</v>
      </c>
      <c r="I35" s="96" t="s">
        <v>76</v>
      </c>
      <c r="J35" s="96" t="s">
        <v>76</v>
      </c>
      <c r="K35" s="96" t="s">
        <v>76</v>
      </c>
      <c r="L35" s="96" t="s">
        <v>76</v>
      </c>
      <c r="M35" s="96" t="s">
        <v>76</v>
      </c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21.0" customHeight="1">
      <c r="A36" s="94">
        <v>1.70866748E8</v>
      </c>
      <c r="B36" s="94" t="s">
        <v>118</v>
      </c>
      <c r="C36" s="95">
        <v>7.2944903E7</v>
      </c>
      <c r="D36" s="95">
        <v>8.44208113E8</v>
      </c>
      <c r="E36" s="147">
        <f t="shared" si="1"/>
        <v>201254708.1</v>
      </c>
      <c r="F36" s="147">
        <f t="shared" si="2"/>
        <v>107689728.5</v>
      </c>
      <c r="G36" s="148">
        <f t="shared" si="3"/>
        <v>316768701.6</v>
      </c>
      <c r="H36" s="96" t="s">
        <v>76</v>
      </c>
      <c r="I36" s="96" t="s">
        <v>76</v>
      </c>
      <c r="J36" s="96" t="s">
        <v>76</v>
      </c>
      <c r="K36" s="96" t="s">
        <v>76</v>
      </c>
      <c r="L36" s="96" t="s">
        <v>76</v>
      </c>
      <c r="M36" s="96" t="s">
        <v>76</v>
      </c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21.0" customHeight="1">
      <c r="A37" s="94">
        <v>7887352.0</v>
      </c>
      <c r="B37" s="94" t="s">
        <v>119</v>
      </c>
      <c r="C37" s="95">
        <v>7.2698353E7</v>
      </c>
      <c r="D37" s="95">
        <v>2.328650208E9</v>
      </c>
      <c r="E37" s="147">
        <f t="shared" si="1"/>
        <v>199706454.8</v>
      </c>
      <c r="F37" s="147">
        <f t="shared" si="2"/>
        <v>106924095.8</v>
      </c>
      <c r="G37" s="148">
        <f t="shared" si="3"/>
        <v>314510725.1</v>
      </c>
      <c r="H37" s="96" t="s">
        <v>76</v>
      </c>
      <c r="I37" s="96" t="s">
        <v>76</v>
      </c>
      <c r="J37" s="96" t="s">
        <v>76</v>
      </c>
      <c r="K37" s="96" t="s">
        <v>76</v>
      </c>
      <c r="L37" s="96" t="s">
        <v>76</v>
      </c>
      <c r="M37" s="96" t="s">
        <v>76</v>
      </c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21.0" customHeight="1">
      <c r="A38" s="94">
        <v>1.39292614E8</v>
      </c>
      <c r="B38" s="94" t="s">
        <v>120</v>
      </c>
      <c r="C38" s="95">
        <v>7.1686951E7</v>
      </c>
      <c r="D38" s="95">
        <v>8.83646319E8</v>
      </c>
      <c r="E38" s="147">
        <f t="shared" si="1"/>
        <v>193426028.1</v>
      </c>
      <c r="F38" s="147">
        <f t="shared" si="2"/>
        <v>103797054.1</v>
      </c>
      <c r="G38" s="148">
        <f t="shared" si="3"/>
        <v>305329747.3</v>
      </c>
      <c r="H38" s="96" t="s">
        <v>76</v>
      </c>
      <c r="I38" s="96" t="s">
        <v>76</v>
      </c>
      <c r="J38" s="96" t="s">
        <v>76</v>
      </c>
      <c r="K38" s="96" t="s">
        <v>76</v>
      </c>
      <c r="L38" s="96" t="s">
        <v>76</v>
      </c>
      <c r="M38" s="96" t="s">
        <v>76</v>
      </c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21.0" customHeight="1">
      <c r="A39" s="94">
        <v>1.67614515E8</v>
      </c>
      <c r="B39" s="94" t="s">
        <v>121</v>
      </c>
      <c r="C39" s="95">
        <v>7.1153154E7</v>
      </c>
      <c r="D39" s="95">
        <v>2.75913656E8</v>
      </c>
      <c r="E39" s="147">
        <f t="shared" si="1"/>
        <v>190157278.8</v>
      </c>
      <c r="F39" s="147">
        <f t="shared" si="2"/>
        <v>102155581</v>
      </c>
      <c r="G39" s="148">
        <f t="shared" si="3"/>
        <v>300537206.1</v>
      </c>
      <c r="H39" s="96" t="s">
        <v>76</v>
      </c>
      <c r="I39" s="96" t="s">
        <v>76</v>
      </c>
      <c r="J39" s="96" t="s">
        <v>76</v>
      </c>
      <c r="K39" s="96" t="s">
        <v>76</v>
      </c>
      <c r="L39" s="96" t="s">
        <v>76</v>
      </c>
      <c r="M39" s="96" t="s">
        <v>76</v>
      </c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21.0" customHeight="1">
      <c r="A40" s="94">
        <v>1.68923934E8</v>
      </c>
      <c r="B40" s="94" t="s">
        <v>122</v>
      </c>
      <c r="C40" s="95">
        <v>6.9587299E7</v>
      </c>
      <c r="D40" s="95">
        <v>8.67985514E8</v>
      </c>
      <c r="E40" s="147">
        <f t="shared" si="1"/>
        <v>180751714.5</v>
      </c>
      <c r="F40" s="147">
        <f t="shared" si="2"/>
        <v>97375971.8</v>
      </c>
      <c r="G40" s="148">
        <f t="shared" si="3"/>
        <v>286689845.4</v>
      </c>
      <c r="H40" s="96" t="s">
        <v>76</v>
      </c>
      <c r="I40" s="96" t="s">
        <v>76</v>
      </c>
      <c r="J40" s="96" t="s">
        <v>76</v>
      </c>
      <c r="K40" s="96" t="s">
        <v>76</v>
      </c>
      <c r="L40" s="96" t="s">
        <v>76</v>
      </c>
      <c r="M40" s="96" t="s">
        <v>76</v>
      </c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21.0" customHeight="1">
      <c r="A41" s="94">
        <v>1.71697263E8</v>
      </c>
      <c r="B41" s="94" t="s">
        <v>123</v>
      </c>
      <c r="C41" s="95">
        <v>6.9260369E7</v>
      </c>
      <c r="D41" s="95">
        <v>6.11231562E8</v>
      </c>
      <c r="E41" s="147">
        <f t="shared" si="1"/>
        <v>178822413.9</v>
      </c>
      <c r="F41" s="147">
        <f t="shared" si="2"/>
        <v>96384740.09</v>
      </c>
      <c r="G41" s="148">
        <f t="shared" si="3"/>
        <v>283838451.7</v>
      </c>
      <c r="H41" s="96" t="s">
        <v>76</v>
      </c>
      <c r="I41" s="96" t="s">
        <v>76</v>
      </c>
      <c r="J41" s="96" t="s">
        <v>76</v>
      </c>
      <c r="K41" s="96" t="s">
        <v>76</v>
      </c>
      <c r="L41" s="96" t="s">
        <v>76</v>
      </c>
      <c r="M41" s="96" t="s">
        <v>76</v>
      </c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21.0" customHeight="1">
      <c r="A42" s="94">
        <v>1.68091444E8</v>
      </c>
      <c r="B42" s="94" t="s">
        <v>124</v>
      </c>
      <c r="C42" s="95">
        <v>6.8815539E7</v>
      </c>
      <c r="D42" s="95">
        <v>1.71471368E8</v>
      </c>
      <c r="E42" s="147">
        <f t="shared" si="1"/>
        <v>176216470.6</v>
      </c>
      <c r="F42" s="147">
        <f t="shared" si="2"/>
        <v>95039753.21</v>
      </c>
      <c r="G42" s="148">
        <f t="shared" si="3"/>
        <v>279980821.2</v>
      </c>
      <c r="H42" s="96" t="s">
        <v>76</v>
      </c>
      <c r="I42" s="96" t="s">
        <v>76</v>
      </c>
      <c r="J42" s="96" t="s">
        <v>76</v>
      </c>
      <c r="K42" s="96" t="s">
        <v>76</v>
      </c>
      <c r="L42" s="96" t="s">
        <v>76</v>
      </c>
      <c r="M42" s="96" t="s">
        <v>76</v>
      </c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21.0" customHeight="1">
      <c r="A43" s="94">
        <v>1.4461836E8</v>
      </c>
      <c r="B43" s="94" t="s">
        <v>125</v>
      </c>
      <c r="C43" s="95">
        <v>6.4545425E7</v>
      </c>
      <c r="D43" s="95">
        <v>3.52591839E8</v>
      </c>
      <c r="E43" s="147">
        <f t="shared" si="1"/>
        <v>152322014.7</v>
      </c>
      <c r="F43" s="147">
        <f t="shared" si="2"/>
        <v>82346247.38</v>
      </c>
      <c r="G43" s="148">
        <f t="shared" si="3"/>
        <v>244243185</v>
      </c>
      <c r="H43" s="96" t="s">
        <v>76</v>
      </c>
      <c r="I43" s="96" t="s">
        <v>76</v>
      </c>
      <c r="J43" s="96" t="s">
        <v>76</v>
      </c>
      <c r="K43" s="96" t="s">
        <v>76</v>
      </c>
      <c r="L43" s="96" t="s">
        <v>76</v>
      </c>
      <c r="M43" s="96" t="s">
        <v>76</v>
      </c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21.0" customHeight="1">
      <c r="A44" s="94">
        <v>1.61646318E8</v>
      </c>
      <c r="B44" s="94" t="s">
        <v>126</v>
      </c>
      <c r="C44" s="95">
        <v>6.3722281E7</v>
      </c>
      <c r="D44" s="95">
        <v>3.33413092E8</v>
      </c>
      <c r="E44" s="147">
        <f t="shared" si="1"/>
        <v>147949368.9</v>
      </c>
      <c r="F44" s="147">
        <f t="shared" si="2"/>
        <v>79944649.89</v>
      </c>
      <c r="G44" s="148">
        <f t="shared" si="3"/>
        <v>237623425.3</v>
      </c>
      <c r="H44" s="96" t="s">
        <v>76</v>
      </c>
      <c r="I44" s="96" t="s">
        <v>76</v>
      </c>
      <c r="J44" s="96" t="s">
        <v>76</v>
      </c>
      <c r="K44" s="96" t="s">
        <v>76</v>
      </c>
      <c r="L44" s="96" t="s">
        <v>76</v>
      </c>
      <c r="M44" s="96" t="s">
        <v>76</v>
      </c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21.0" customHeight="1">
      <c r="A45" s="94">
        <v>1.69672885E8</v>
      </c>
      <c r="B45" s="94" t="s">
        <v>127</v>
      </c>
      <c r="C45" s="95">
        <v>6.2144212E7</v>
      </c>
      <c r="D45" s="95">
        <v>5.22474907E8</v>
      </c>
      <c r="E45" s="147">
        <f t="shared" si="1"/>
        <v>139777468.6</v>
      </c>
      <c r="F45" s="147">
        <f t="shared" si="2"/>
        <v>75381444.4</v>
      </c>
      <c r="G45" s="148">
        <f t="shared" si="3"/>
        <v>225175958.5</v>
      </c>
      <c r="H45" s="96" t="s">
        <v>76</v>
      </c>
      <c r="I45" s="96" t="s">
        <v>76</v>
      </c>
      <c r="J45" s="96" t="s">
        <v>76</v>
      </c>
      <c r="K45" s="96" t="s">
        <v>76</v>
      </c>
      <c r="L45" s="96" t="s">
        <v>76</v>
      </c>
      <c r="M45" s="96" t="s">
        <v>76</v>
      </c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21.0" customHeight="1">
      <c r="A46" s="94">
        <v>1.36662717E8</v>
      </c>
      <c r="B46" s="94" t="s">
        <v>128</v>
      </c>
      <c r="C46" s="95">
        <v>5.5099051E7</v>
      </c>
      <c r="D46" s="95">
        <v>8.34750759E8</v>
      </c>
      <c r="E46" s="147">
        <f t="shared" si="1"/>
        <v>106677618.3</v>
      </c>
      <c r="F46" s="147">
        <f t="shared" si="2"/>
        <v>55665988.81</v>
      </c>
      <c r="G46" s="148">
        <f t="shared" si="3"/>
        <v>173508110.3</v>
      </c>
      <c r="H46" s="96" t="s">
        <v>76</v>
      </c>
      <c r="I46" s="96" t="s">
        <v>76</v>
      </c>
      <c r="J46" s="96" t="s">
        <v>76</v>
      </c>
      <c r="K46" s="96" t="s">
        <v>76</v>
      </c>
      <c r="L46" s="96" t="s">
        <v>76</v>
      </c>
      <c r="M46" s="96" t="s">
        <v>76</v>
      </c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21.0" customHeight="1">
      <c r="A47" s="94">
        <v>1.76044158E8</v>
      </c>
      <c r="B47" s="94" t="s">
        <v>129</v>
      </c>
      <c r="C47" s="95">
        <v>5.4687779E7</v>
      </c>
      <c r="D47" s="95">
        <v>2.26567572E8</v>
      </c>
      <c r="E47" s="147">
        <f t="shared" si="1"/>
        <v>104916126.8</v>
      </c>
      <c r="F47" s="147">
        <f t="shared" si="2"/>
        <v>54548212.97</v>
      </c>
      <c r="G47" s="148">
        <f t="shared" si="3"/>
        <v>170688928.2</v>
      </c>
      <c r="H47" s="96" t="s">
        <v>76</v>
      </c>
      <c r="I47" s="96" t="s">
        <v>76</v>
      </c>
      <c r="J47" s="96" t="s">
        <v>76</v>
      </c>
      <c r="K47" s="96" t="s">
        <v>76</v>
      </c>
      <c r="L47" s="96" t="s">
        <v>76</v>
      </c>
      <c r="M47" s="96" t="s">
        <v>76</v>
      </c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21.0" customHeight="1">
      <c r="A48" s="94">
        <v>1.72029365E8</v>
      </c>
      <c r="B48" s="94" t="s">
        <v>130</v>
      </c>
      <c r="C48" s="95">
        <v>5.0665745E7</v>
      </c>
      <c r="D48" s="95">
        <v>2.85743702E8</v>
      </c>
      <c r="E48" s="147">
        <f t="shared" si="1"/>
        <v>88682524.95</v>
      </c>
      <c r="F48" s="147">
        <f t="shared" si="2"/>
        <v>43809641.13</v>
      </c>
      <c r="G48" s="148">
        <f t="shared" si="3"/>
        <v>144264240.3</v>
      </c>
      <c r="H48" s="96" t="s">
        <v>76</v>
      </c>
      <c r="I48" s="96" t="s">
        <v>76</v>
      </c>
      <c r="J48" s="96" t="s">
        <v>76</v>
      </c>
      <c r="K48" s="96" t="s">
        <v>76</v>
      </c>
      <c r="L48" s="96" t="s">
        <v>76</v>
      </c>
      <c r="M48" s="96" t="s">
        <v>76</v>
      </c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21.0" customHeight="1">
      <c r="A49" s="94">
        <v>1.4361245E8</v>
      </c>
      <c r="B49" s="94" t="s">
        <v>131</v>
      </c>
      <c r="C49" s="95">
        <v>4.9554865E7</v>
      </c>
      <c r="D49" s="95">
        <v>8.61220138E8</v>
      </c>
      <c r="E49" s="147">
        <f t="shared" si="1"/>
        <v>84516342.24</v>
      </c>
      <c r="F49" s="147">
        <f t="shared" si="2"/>
        <v>40905290.54</v>
      </c>
      <c r="G49" s="148">
        <f t="shared" si="3"/>
        <v>137332093</v>
      </c>
      <c r="H49" s="96" t="s">
        <v>76</v>
      </c>
      <c r="I49" s="96" t="s">
        <v>76</v>
      </c>
      <c r="J49" s="96" t="s">
        <v>76</v>
      </c>
      <c r="K49" s="96" t="s">
        <v>76</v>
      </c>
      <c r="L49" s="96" t="s">
        <v>76</v>
      </c>
      <c r="M49" s="96" t="s">
        <v>76</v>
      </c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21.0" customHeight="1">
      <c r="A50" s="94">
        <v>1.81734011E8</v>
      </c>
      <c r="B50" s="94" t="s">
        <v>132</v>
      </c>
      <c r="C50" s="95">
        <v>3.6684245E7</v>
      </c>
      <c r="D50" s="95">
        <v>1.15169958E8</v>
      </c>
      <c r="E50" s="147">
        <f t="shared" si="1"/>
        <v>46267504.86</v>
      </c>
      <c r="F50" s="147">
        <f t="shared" si="2"/>
        <v>9200474.645</v>
      </c>
      <c r="G50" s="148">
        <f t="shared" si="3"/>
        <v>68576914.04</v>
      </c>
      <c r="H50" s="96" t="s">
        <v>76</v>
      </c>
      <c r="I50" s="96" t="s">
        <v>76</v>
      </c>
      <c r="J50" s="96" t="s">
        <v>76</v>
      </c>
      <c r="K50" s="96" t="s">
        <v>76</v>
      </c>
      <c r="L50" s="96" t="s">
        <v>76</v>
      </c>
      <c r="M50" s="96" t="s">
        <v>76</v>
      </c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21.0" customHeight="1">
      <c r="A51" s="94"/>
      <c r="B51" s="94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21.0" customHeight="1">
      <c r="A52" s="94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21.0" customHeight="1">
      <c r="A53" s="9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21.0" customHeight="1">
      <c r="A54" s="94"/>
      <c r="B54" s="94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21.0" customHeight="1">
      <c r="A55" s="94"/>
      <c r="B55" s="94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21.0" customHeight="1">
      <c r="A56" s="94"/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21.0" customHeight="1">
      <c r="A57" s="94"/>
      <c r="B57" s="94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21.0" customHeight="1">
      <c r="A58" s="94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21.0" customHeight="1">
      <c r="A59" s="94"/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21.0" customHeight="1">
      <c r="A60" s="94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21.0" customHeight="1">
      <c r="A61" s="94"/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21.0" customHeight="1">
      <c r="A62" s="94"/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21.0" customHeight="1">
      <c r="A63" s="94"/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21.0" customHeight="1">
      <c r="A64" s="9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21.0" customHeight="1">
      <c r="A65" s="94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21.0" customHeight="1">
      <c r="A66" s="94"/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21.0" customHeight="1">
      <c r="A67" s="94"/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21.0" customHeight="1">
      <c r="A68" s="94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21.0" customHeight="1">
      <c r="A69" s="94"/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21.0" customHeight="1">
      <c r="A70" s="94"/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21.0" customHeight="1">
      <c r="A71" s="94"/>
      <c r="B71" s="94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21.0" customHeight="1">
      <c r="A72" s="94"/>
      <c r="B72" s="94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21.0" customHeight="1">
      <c r="A73" s="94"/>
      <c r="B73" s="94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21.0" customHeight="1">
      <c r="A74" s="94"/>
      <c r="B74" s="94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21.0" customHeight="1">
      <c r="A75" s="94"/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21.0" customHeight="1">
      <c r="A76" s="94"/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21.0" customHeight="1">
      <c r="A77" s="94"/>
      <c r="B77" s="94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21.0" customHeight="1">
      <c r="A78" s="94"/>
      <c r="B78" s="94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21.0" customHeight="1">
      <c r="A79" s="94"/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21.0" customHeight="1">
      <c r="A80" s="94"/>
      <c r="B80" s="94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21.0" customHeight="1">
      <c r="A81" s="94"/>
      <c r="B81" s="94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21.0" customHeight="1">
      <c r="A82" s="94"/>
      <c r="B82" s="94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21.0" customHeight="1">
      <c r="A83" s="94"/>
      <c r="B83" s="94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21.0" customHeight="1">
      <c r="A84" s="94"/>
      <c r="B84" s="94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21.0" customHeight="1">
      <c r="A85" s="94"/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21.0" customHeight="1">
      <c r="A86" s="94"/>
      <c r="B86" s="94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21.0" customHeight="1">
      <c r="A87" s="94"/>
      <c r="B87" s="94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21.0" customHeight="1">
      <c r="A88" s="94"/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21.0" customHeight="1">
      <c r="A89" s="94"/>
      <c r="B89" s="94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21.0" customHeight="1">
      <c r="A90" s="94"/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21.0" customHeight="1">
      <c r="A91" s="94"/>
      <c r="B91" s="94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21.0" customHeight="1">
      <c r="A92" s="94"/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21.0" customHeight="1">
      <c r="A93" s="94"/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21.0" customHeight="1">
      <c r="A94" s="94"/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21.0" customHeight="1">
      <c r="A95" s="94"/>
      <c r="B95" s="94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21.0" customHeight="1">
      <c r="A96" s="94"/>
      <c r="B96" s="94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21.0" customHeight="1">
      <c r="A97" s="94"/>
      <c r="B97" s="94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21.0" customHeight="1">
      <c r="A98" s="94"/>
      <c r="B98" s="94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21.0" customHeight="1">
      <c r="A99" s="94"/>
      <c r="B99" s="94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21.0" customHeight="1">
      <c r="A100" s="94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21.0" customHeight="1">
      <c r="A101" s="94"/>
      <c r="B101" s="94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21.0" customHeight="1">
      <c r="A102" s="94"/>
      <c r="B102" s="94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21.0" customHeight="1">
      <c r="A103" s="94"/>
      <c r="B103" s="94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21.0" customHeight="1">
      <c r="A104" s="94"/>
      <c r="B104" s="94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21.0" customHeight="1">
      <c r="A105" s="94"/>
      <c r="B105" s="94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21.0" customHeight="1">
      <c r="A106" s="94"/>
      <c r="B106" s="94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21.0" customHeight="1">
      <c r="A107" s="94"/>
      <c r="B107" s="94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21.0" customHeight="1">
      <c r="A108" s="94"/>
      <c r="B108" s="94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21.0" customHeight="1">
      <c r="A109" s="94"/>
      <c r="B109" s="94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21.0" customHeight="1">
      <c r="A110" s="94"/>
      <c r="B110" s="94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21.0" customHeight="1">
      <c r="A111" s="94"/>
      <c r="B111" s="94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21.0" customHeight="1">
      <c r="A112" s="94"/>
      <c r="B112" s="94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21.0" customHeight="1">
      <c r="A113" s="79"/>
      <c r="B113" s="79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21.0" customHeight="1">
      <c r="A114" s="79"/>
      <c r="B114" s="79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21.0" customHeight="1">
      <c r="A115" s="79"/>
      <c r="B115" s="79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21.0" customHeight="1">
      <c r="A116" s="79"/>
      <c r="B116" s="79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21.0" customHeight="1">
      <c r="A117" s="79"/>
      <c r="B117" s="79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21.0" customHeight="1">
      <c r="A118" s="79"/>
      <c r="B118" s="79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21.0" customHeight="1">
      <c r="A119" s="79"/>
      <c r="B119" s="79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21.0" customHeight="1">
      <c r="A120" s="79"/>
      <c r="B120" s="79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21.0" customHeight="1">
      <c r="A121" s="79"/>
      <c r="B121" s="79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21.0" customHeight="1">
      <c r="A122" s="79"/>
      <c r="B122" s="79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21.0" customHeight="1">
      <c r="A123" s="79"/>
      <c r="B123" s="79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21.0" customHeight="1">
      <c r="A124" s="79"/>
      <c r="B124" s="79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21.0" customHeight="1">
      <c r="A125" s="79"/>
      <c r="B125" s="79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21.0" customHeight="1">
      <c r="A126" s="79"/>
      <c r="B126" s="79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21.0" customHeight="1">
      <c r="A127" s="79"/>
      <c r="B127" s="79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21.0" customHeight="1">
      <c r="A128" s="79"/>
      <c r="B128" s="79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21.0" customHeight="1">
      <c r="A129" s="79"/>
      <c r="B129" s="79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21.0" customHeight="1">
      <c r="A130" s="79"/>
      <c r="B130" s="79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21.0" customHeight="1">
      <c r="A131" s="79"/>
      <c r="B131" s="79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21.0" customHeight="1">
      <c r="A132" s="79"/>
      <c r="B132" s="79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21.0" customHeight="1">
      <c r="A133" s="79"/>
      <c r="B133" s="79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21.0" customHeight="1">
      <c r="A134" s="79"/>
      <c r="B134" s="79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21.0" customHeight="1">
      <c r="A135" s="79"/>
      <c r="B135" s="79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21.0" customHeight="1">
      <c r="A136" s="79"/>
      <c r="B136" s="79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21.0" customHeight="1">
      <c r="A137" s="79"/>
      <c r="B137" s="79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21.0" customHeight="1">
      <c r="A138" s="79"/>
      <c r="B138" s="79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21.0" customHeight="1">
      <c r="A139" s="79"/>
      <c r="B139" s="79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21.0" customHeight="1">
      <c r="A140" s="79"/>
      <c r="B140" s="79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21.0" customHeight="1">
      <c r="A141" s="79"/>
      <c r="B141" s="79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21.0" customHeight="1">
      <c r="A142" s="79"/>
      <c r="B142" s="79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21.0" customHeight="1">
      <c r="A143" s="79"/>
      <c r="B143" s="79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21.0" customHeight="1">
      <c r="A144" s="79"/>
      <c r="B144" s="79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21.0" customHeight="1">
      <c r="A145" s="79"/>
      <c r="B145" s="79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21.0" customHeight="1">
      <c r="A146" s="79"/>
      <c r="B146" s="79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21.0" customHeight="1">
      <c r="A147" s="79"/>
      <c r="B147" s="79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21.0" customHeight="1">
      <c r="A148" s="79"/>
      <c r="B148" s="79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21.0" customHeight="1">
      <c r="A149" s="79"/>
      <c r="B149" s="79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21.0" customHeight="1">
      <c r="A150" s="79"/>
      <c r="B150" s="79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21.0" customHeight="1">
      <c r="A151" s="79"/>
      <c r="B151" s="79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21.0" customHeight="1">
      <c r="A152" s="79"/>
      <c r="B152" s="79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21.0" customHeight="1">
      <c r="A153" s="79"/>
      <c r="B153" s="79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21.0" customHeight="1">
      <c r="A154" s="79"/>
      <c r="B154" s="79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21.0" customHeight="1">
      <c r="A155" s="79"/>
      <c r="B155" s="79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21.0" customHeight="1">
      <c r="A156" s="79"/>
      <c r="B156" s="79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21.0" customHeight="1">
      <c r="A157" s="79"/>
      <c r="B157" s="79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21.0" customHeight="1">
      <c r="A158" s="79"/>
      <c r="B158" s="79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21.0" customHeight="1">
      <c r="A159" s="79"/>
      <c r="B159" s="79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21.0" customHeight="1">
      <c r="A160" s="79"/>
      <c r="B160" s="79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21.0" customHeight="1">
      <c r="A161" s="79"/>
      <c r="B161" s="79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21.0" customHeight="1">
      <c r="A162" s="79"/>
      <c r="B162" s="79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21.0" customHeight="1">
      <c r="A163" s="79"/>
      <c r="B163" s="79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21.0" customHeight="1">
      <c r="A164" s="79"/>
      <c r="B164" s="79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21.0" customHeight="1">
      <c r="A165" s="79"/>
      <c r="B165" s="79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21.0" customHeight="1">
      <c r="A166" s="79"/>
      <c r="B166" s="79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21.0" customHeight="1">
      <c r="A167" s="79"/>
      <c r="B167" s="79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21.0" customHeight="1">
      <c r="A168" s="79"/>
      <c r="B168" s="79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21.0" customHeight="1">
      <c r="A169" s="79"/>
      <c r="B169" s="79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21.0" customHeight="1">
      <c r="A170" s="79"/>
      <c r="B170" s="79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21.0" customHeight="1">
      <c r="A171" s="79"/>
      <c r="B171" s="79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21.0" customHeight="1">
      <c r="A172" s="79"/>
      <c r="B172" s="79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21.0" customHeight="1">
      <c r="A173" s="79"/>
      <c r="B173" s="79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21.0" customHeight="1">
      <c r="A174" s="79"/>
      <c r="B174" s="79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21.0" customHeight="1">
      <c r="A175" s="79"/>
      <c r="B175" s="79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21.0" customHeight="1">
      <c r="A176" s="79"/>
      <c r="B176" s="79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21.0" customHeight="1">
      <c r="A177" s="79"/>
      <c r="B177" s="79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21.0" customHeight="1">
      <c r="A178" s="79"/>
      <c r="B178" s="79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21.0" customHeight="1">
      <c r="A179" s="79"/>
      <c r="B179" s="79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21.0" customHeight="1">
      <c r="A180" s="79"/>
      <c r="B180" s="79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21.0" customHeight="1">
      <c r="A181" s="79"/>
      <c r="B181" s="79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21.0" customHeight="1">
      <c r="A182" s="79"/>
      <c r="B182" s="79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21.0" customHeight="1">
      <c r="A183" s="79"/>
      <c r="B183" s="79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21.0" customHeight="1">
      <c r="A184" s="79"/>
      <c r="B184" s="79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21.0" customHeight="1">
      <c r="A185" s="79"/>
      <c r="B185" s="79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21.0" customHeight="1">
      <c r="A186" s="79"/>
      <c r="B186" s="79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21.0" customHeight="1">
      <c r="A187" s="79"/>
      <c r="B187" s="7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21.0" customHeight="1">
      <c r="A188" s="79"/>
      <c r="B188" s="7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21.0" customHeight="1">
      <c r="A189" s="79"/>
      <c r="B189" s="79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21.0" customHeight="1">
      <c r="A190" s="79"/>
      <c r="B190" s="79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21.0" customHeight="1">
      <c r="A191" s="79"/>
      <c r="B191" s="79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21.0" customHeight="1">
      <c r="A192" s="79"/>
      <c r="B192" s="79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21.0" customHeight="1">
      <c r="A193" s="79"/>
      <c r="B193" s="79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21.0" customHeight="1">
      <c r="A194" s="79"/>
      <c r="B194" s="79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21.0" customHeight="1">
      <c r="A195" s="79"/>
      <c r="B195" s="79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21.0" customHeight="1">
      <c r="A196" s="79"/>
      <c r="B196" s="79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21.0" customHeight="1">
      <c r="A197" s="79"/>
      <c r="B197" s="79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21.0" customHeight="1">
      <c r="A198" s="79"/>
      <c r="B198" s="79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21.0" customHeight="1">
      <c r="A199" s="79"/>
      <c r="B199" s="79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21.0" customHeight="1">
      <c r="A200" s="79"/>
      <c r="B200" s="79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21.0" customHeight="1">
      <c r="A201" s="79"/>
      <c r="B201" s="79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21.0" customHeight="1">
      <c r="A202" s="79"/>
      <c r="B202" s="79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21.0" customHeight="1">
      <c r="A203" s="79"/>
      <c r="B203" s="79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21.0" customHeight="1">
      <c r="A204" s="79"/>
      <c r="B204" s="79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21.0" customHeight="1">
      <c r="A205" s="79"/>
      <c r="B205" s="79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21.0" customHeight="1">
      <c r="A206" s="79"/>
      <c r="B206" s="79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21.0" customHeight="1">
      <c r="A207" s="79"/>
      <c r="B207" s="79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21.0" customHeight="1">
      <c r="A208" s="79"/>
      <c r="B208" s="79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21.0" customHeight="1">
      <c r="A209" s="79"/>
      <c r="B209" s="79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21.0" customHeight="1">
      <c r="A210" s="79"/>
      <c r="B210" s="79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21.0" customHeight="1">
      <c r="A211" s="79"/>
      <c r="B211" s="79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21.0" customHeight="1">
      <c r="A212" s="79"/>
      <c r="B212" s="79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21.0" customHeight="1">
      <c r="A213" s="79"/>
      <c r="B213" s="79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21.0" customHeight="1">
      <c r="A214" s="79"/>
      <c r="B214" s="79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21.0" customHeight="1">
      <c r="A215" s="79"/>
      <c r="B215" s="79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21.0" customHeight="1">
      <c r="A216" s="79"/>
      <c r="B216" s="79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21.0" customHeight="1">
      <c r="A217" s="79"/>
      <c r="B217" s="79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21.0" customHeight="1">
      <c r="A218" s="79"/>
      <c r="B218" s="79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21.0" customHeight="1">
      <c r="A219" s="79"/>
      <c r="B219" s="79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21.0" customHeight="1">
      <c r="A220" s="79"/>
      <c r="B220" s="79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21.0" customHeight="1">
      <c r="A221" s="79"/>
      <c r="B221" s="79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21.0" customHeight="1">
      <c r="A222" s="79"/>
      <c r="B222" s="79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21.0" customHeight="1">
      <c r="A223" s="79"/>
      <c r="B223" s="79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21.0" customHeight="1">
      <c r="A224" s="79"/>
      <c r="B224" s="79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21.0" customHeight="1">
      <c r="A225" s="79"/>
      <c r="B225" s="79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21.0" customHeight="1">
      <c r="A226" s="79"/>
      <c r="B226" s="79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21.0" customHeight="1">
      <c r="A227" s="79"/>
      <c r="B227" s="79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21.0" customHeight="1">
      <c r="A228" s="79"/>
      <c r="B228" s="79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21.0" customHeight="1">
      <c r="A229" s="79"/>
      <c r="B229" s="79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21.0" customHeight="1">
      <c r="A230" s="79"/>
      <c r="B230" s="79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21.0" customHeight="1">
      <c r="A231" s="79"/>
      <c r="B231" s="79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21.0" customHeight="1">
      <c r="A232" s="79"/>
      <c r="B232" s="79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21.0" customHeight="1">
      <c r="A233" s="79"/>
      <c r="B233" s="79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21.0" customHeight="1">
      <c r="A234" s="79"/>
      <c r="B234" s="79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21.0" customHeight="1">
      <c r="A235" s="79"/>
      <c r="B235" s="79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21.0" customHeight="1">
      <c r="A236" s="79"/>
      <c r="B236" s="79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21.0" customHeight="1">
      <c r="A237" s="79"/>
      <c r="B237" s="79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21.0" customHeight="1">
      <c r="A238" s="79"/>
      <c r="B238" s="79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21.0" customHeight="1">
      <c r="A239" s="79"/>
      <c r="B239" s="79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21.0" customHeight="1">
      <c r="A240" s="79"/>
      <c r="B240" s="79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21.0" customHeight="1">
      <c r="A241" s="79"/>
      <c r="B241" s="79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21.0" customHeight="1">
      <c r="A242" s="79"/>
      <c r="B242" s="79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21.0" customHeight="1">
      <c r="A243" s="79"/>
      <c r="B243" s="79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21.0" customHeight="1">
      <c r="A244" s="79"/>
      <c r="B244" s="79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21.0" customHeight="1">
      <c r="A245" s="79"/>
      <c r="B245" s="79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21.0" customHeight="1">
      <c r="A246" s="79"/>
      <c r="B246" s="79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21.0" customHeight="1">
      <c r="A247" s="79"/>
      <c r="B247" s="79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21.0" customHeight="1">
      <c r="A248" s="79"/>
      <c r="B248" s="7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21.0" customHeight="1">
      <c r="A249" s="79"/>
      <c r="B249" s="7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21.0" customHeight="1">
      <c r="A250" s="79"/>
      <c r="B250" s="7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21.0" customHeight="1">
      <c r="A251" s="79"/>
      <c r="B251" s="7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21.0" customHeight="1">
      <c r="A252" s="79"/>
      <c r="B252" s="79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21.0" customHeight="1">
      <c r="A253" s="79"/>
      <c r="B253" s="79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21.0" customHeight="1">
      <c r="A254" s="79"/>
      <c r="B254" s="79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21.0" customHeight="1">
      <c r="A255" s="79"/>
      <c r="B255" s="79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21.0" customHeight="1">
      <c r="A256" s="79"/>
      <c r="B256" s="79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21.0" customHeight="1">
      <c r="A257" s="79"/>
      <c r="B257" s="79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21.0" customHeight="1">
      <c r="A258" s="79"/>
      <c r="B258" s="79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21.0" customHeight="1">
      <c r="A259" s="79"/>
      <c r="B259" s="79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21.0" customHeight="1">
      <c r="A260" s="79"/>
      <c r="B260" s="79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21.0" customHeight="1">
      <c r="A261" s="79"/>
      <c r="B261" s="79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21.0" customHeight="1">
      <c r="A262" s="79"/>
      <c r="B262" s="79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21.0" customHeight="1">
      <c r="A263" s="79"/>
      <c r="B263" s="79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21.0" customHeight="1">
      <c r="A264" s="79"/>
      <c r="B264" s="79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21.0" customHeight="1">
      <c r="A265" s="79"/>
      <c r="B265" s="79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21.0" customHeight="1">
      <c r="A266" s="79"/>
      <c r="B266" s="79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21.0" customHeight="1">
      <c r="A267" s="79"/>
      <c r="B267" s="79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21.0" customHeight="1">
      <c r="A268" s="79"/>
      <c r="B268" s="79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21.0" customHeight="1">
      <c r="A269" s="79"/>
      <c r="B269" s="79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21.0" customHeight="1">
      <c r="A270" s="79"/>
      <c r="B270" s="79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21.0" customHeight="1">
      <c r="A271" s="79"/>
      <c r="B271" s="79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21.0" customHeight="1">
      <c r="A272" s="79"/>
      <c r="B272" s="79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21.0" customHeight="1">
      <c r="A273" s="79"/>
      <c r="B273" s="79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21.0" customHeight="1">
      <c r="A274" s="79"/>
      <c r="B274" s="79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21.0" customHeight="1">
      <c r="A275" s="79"/>
      <c r="B275" s="79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21.0" customHeight="1">
      <c r="A276" s="79"/>
      <c r="B276" s="79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21.0" customHeight="1">
      <c r="A277" s="79"/>
      <c r="B277" s="79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21.0" customHeight="1">
      <c r="A278" s="79"/>
      <c r="B278" s="79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21.0" customHeight="1">
      <c r="A279" s="79"/>
      <c r="B279" s="79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21.0" customHeight="1">
      <c r="A280" s="79"/>
      <c r="B280" s="79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21.0" customHeight="1">
      <c r="A281" s="79"/>
      <c r="B281" s="79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21.0" customHeight="1">
      <c r="A282" s="79"/>
      <c r="B282" s="79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21.0" customHeight="1">
      <c r="A283" s="79"/>
      <c r="B283" s="79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21.0" customHeight="1">
      <c r="A284" s="79"/>
      <c r="B284" s="79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21.0" customHeight="1">
      <c r="A285" s="79"/>
      <c r="B285" s="79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21.0" customHeight="1">
      <c r="A286" s="79"/>
      <c r="B286" s="79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21.0" customHeight="1">
      <c r="A287" s="79"/>
      <c r="B287" s="79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21.0" customHeight="1">
      <c r="A288" s="79"/>
      <c r="B288" s="79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21.0" customHeight="1">
      <c r="A289" s="79"/>
      <c r="B289" s="79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21.0" customHeight="1">
      <c r="A290" s="79"/>
      <c r="B290" s="79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21.0" customHeight="1">
      <c r="A291" s="79"/>
      <c r="B291" s="79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21.0" customHeight="1">
      <c r="A292" s="79"/>
      <c r="B292" s="79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21.0" customHeight="1">
      <c r="A293" s="79"/>
      <c r="B293" s="79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21.0" customHeight="1">
      <c r="A294" s="79"/>
      <c r="B294" s="79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21.0" customHeight="1">
      <c r="A295" s="79"/>
      <c r="B295" s="79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21.0" customHeight="1">
      <c r="A296" s="79"/>
      <c r="B296" s="79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21.0" customHeight="1">
      <c r="A297" s="79"/>
      <c r="B297" s="79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21.0" customHeight="1">
      <c r="A298" s="79"/>
      <c r="B298" s="79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21.0" customHeight="1">
      <c r="A299" s="79"/>
      <c r="B299" s="79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21.0" customHeight="1">
      <c r="A300" s="79"/>
      <c r="B300" s="79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21.0" customHeight="1">
      <c r="A301" s="79"/>
      <c r="B301" s="79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21.0" customHeight="1">
      <c r="A302" s="79"/>
      <c r="B302" s="79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21.0" customHeight="1">
      <c r="A303" s="79"/>
      <c r="B303" s="79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21.0" customHeight="1">
      <c r="A304" s="79"/>
      <c r="B304" s="79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21.0" customHeight="1">
      <c r="A305" s="79"/>
      <c r="B305" s="79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21.0" customHeight="1">
      <c r="A306" s="79"/>
      <c r="B306" s="79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21.0" customHeight="1">
      <c r="A307" s="79"/>
      <c r="B307" s="79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21.0" customHeight="1">
      <c r="A308" s="79"/>
      <c r="B308" s="79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21.0" customHeight="1">
      <c r="A309" s="79"/>
      <c r="B309" s="79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21.0" customHeight="1">
      <c r="A310" s="79"/>
      <c r="B310" s="79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21.0" customHeight="1">
      <c r="A311" s="79"/>
      <c r="B311" s="79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21.0" customHeight="1">
      <c r="A312" s="79"/>
      <c r="B312" s="79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21.0" customHeight="1">
      <c r="A313" s="79"/>
      <c r="B313" s="79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21.0" customHeight="1">
      <c r="A314" s="79"/>
      <c r="B314" s="79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21.0" customHeight="1">
      <c r="A315" s="79"/>
      <c r="B315" s="79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21.0" customHeight="1">
      <c r="A316" s="79"/>
      <c r="B316" s="79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21.0" customHeight="1">
      <c r="A317" s="79"/>
      <c r="B317" s="79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21.0" customHeight="1">
      <c r="A318" s="79"/>
      <c r="B318" s="79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21.0" customHeight="1">
      <c r="A319" s="79"/>
      <c r="B319" s="79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21.0" customHeight="1">
      <c r="A320" s="79"/>
      <c r="B320" s="79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21.0" customHeight="1">
      <c r="A321" s="79"/>
      <c r="B321" s="79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21.0" customHeight="1">
      <c r="A322" s="79"/>
      <c r="B322" s="79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21.0" customHeight="1">
      <c r="A323" s="79"/>
      <c r="B323" s="79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21.0" customHeight="1">
      <c r="A324" s="79"/>
      <c r="B324" s="79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21.0" customHeight="1">
      <c r="A325" s="79"/>
      <c r="B325" s="79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21.0" customHeight="1">
      <c r="A326" s="79"/>
      <c r="B326" s="79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21.0" customHeight="1">
      <c r="A327" s="79"/>
      <c r="B327" s="79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21.0" customHeight="1">
      <c r="A328" s="79"/>
      <c r="B328" s="79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21.0" customHeight="1">
      <c r="A329" s="79"/>
      <c r="B329" s="79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21.0" customHeight="1">
      <c r="A330" s="79"/>
      <c r="B330" s="79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21.0" customHeight="1">
      <c r="A331" s="79"/>
      <c r="B331" s="79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21.0" customHeight="1">
      <c r="A332" s="79"/>
      <c r="B332" s="79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21.0" customHeight="1">
      <c r="A333" s="79"/>
      <c r="B333" s="79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21.0" customHeight="1">
      <c r="A334" s="79"/>
      <c r="B334" s="79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21.0" customHeight="1">
      <c r="A335" s="79"/>
      <c r="B335" s="79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21.0" customHeight="1">
      <c r="A336" s="79"/>
      <c r="B336" s="79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21.0" customHeight="1">
      <c r="A337" s="79"/>
      <c r="B337" s="79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21.0" customHeight="1">
      <c r="A338" s="79"/>
      <c r="B338" s="79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21.0" customHeight="1">
      <c r="A339" s="79"/>
      <c r="B339" s="79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21.0" customHeight="1">
      <c r="A340" s="79"/>
      <c r="B340" s="79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21.0" customHeight="1">
      <c r="A341" s="79"/>
      <c r="B341" s="79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21.0" customHeight="1">
      <c r="A342" s="79"/>
      <c r="B342" s="79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21.0" customHeight="1">
      <c r="A343" s="79"/>
      <c r="B343" s="79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21.0" customHeight="1">
      <c r="A344" s="79"/>
      <c r="B344" s="79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21.0" customHeight="1">
      <c r="A345" s="79"/>
      <c r="B345" s="79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21.0" customHeight="1">
      <c r="A346" s="79"/>
      <c r="B346" s="79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21.0" customHeight="1">
      <c r="A347" s="79"/>
      <c r="B347" s="79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21.0" customHeight="1">
      <c r="A348" s="79"/>
      <c r="B348" s="79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21.0" customHeight="1">
      <c r="A349" s="79"/>
      <c r="B349" s="79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21.0" customHeight="1">
      <c r="A350" s="79"/>
      <c r="B350" s="79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21.0" customHeight="1">
      <c r="A351" s="79"/>
      <c r="B351" s="79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21.0" customHeight="1">
      <c r="A352" s="79"/>
      <c r="B352" s="79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21.0" customHeight="1">
      <c r="A353" s="79"/>
      <c r="B353" s="79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21.0" customHeight="1">
      <c r="A354" s="79"/>
      <c r="B354" s="79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21.0" customHeight="1">
      <c r="A355" s="79"/>
      <c r="B355" s="79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21.0" customHeight="1">
      <c r="A356" s="79"/>
      <c r="B356" s="79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21.0" customHeight="1">
      <c r="A357" s="79"/>
      <c r="B357" s="79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21.0" customHeight="1">
      <c r="A358" s="79"/>
      <c r="B358" s="79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21.0" customHeight="1">
      <c r="A359" s="79"/>
      <c r="B359" s="79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21.0" customHeight="1">
      <c r="A360" s="79"/>
      <c r="B360" s="79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21.0" customHeight="1">
      <c r="A361" s="79"/>
      <c r="B361" s="79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21.0" customHeight="1">
      <c r="A362" s="79"/>
      <c r="B362" s="79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21.0" customHeight="1">
      <c r="A363" s="79"/>
      <c r="B363" s="79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21.0" customHeight="1">
      <c r="A364" s="79"/>
      <c r="B364" s="79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21.0" customHeight="1">
      <c r="A365" s="79"/>
      <c r="B365" s="79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21.0" customHeight="1">
      <c r="A366" s="79"/>
      <c r="B366" s="79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21.0" customHeight="1">
      <c r="A367" s="79"/>
      <c r="B367" s="79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21.0" customHeight="1">
      <c r="A368" s="79"/>
      <c r="B368" s="79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21.0" customHeight="1">
      <c r="A369" s="79"/>
      <c r="B369" s="79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21.0" customHeight="1">
      <c r="A370" s="79"/>
      <c r="B370" s="79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21.0" customHeight="1">
      <c r="A371" s="79"/>
      <c r="B371" s="79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21.0" customHeight="1">
      <c r="A372" s="79"/>
      <c r="B372" s="79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21.0" customHeight="1">
      <c r="A373" s="79"/>
      <c r="B373" s="79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21.0" customHeight="1">
      <c r="A374" s="79"/>
      <c r="B374" s="79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21.0" customHeight="1">
      <c r="A375" s="79"/>
      <c r="B375" s="79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21.0" customHeight="1">
      <c r="A376" s="79"/>
      <c r="B376" s="79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21.0" customHeight="1">
      <c r="A377" s="79"/>
      <c r="B377" s="79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21.0" customHeight="1">
      <c r="A378" s="79"/>
      <c r="B378" s="79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21.0" customHeight="1">
      <c r="A379" s="79"/>
      <c r="B379" s="79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21.0" customHeight="1">
      <c r="A380" s="79"/>
      <c r="B380" s="79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21.0" customHeight="1">
      <c r="A381" s="79"/>
      <c r="B381" s="79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21.0" customHeight="1">
      <c r="A382" s="79"/>
      <c r="B382" s="79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21.0" customHeight="1">
      <c r="A383" s="79"/>
      <c r="B383" s="79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21.0" customHeight="1">
      <c r="A384" s="79"/>
      <c r="B384" s="79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21.0" customHeight="1">
      <c r="A385" s="79"/>
      <c r="B385" s="79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21.0" customHeight="1">
      <c r="A386" s="79"/>
      <c r="B386" s="79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21.0" customHeight="1">
      <c r="A387" s="79"/>
      <c r="B387" s="79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21.0" customHeight="1">
      <c r="A388" s="79"/>
      <c r="B388" s="79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21.0" customHeight="1">
      <c r="A389" s="79"/>
      <c r="B389" s="79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21.0" customHeight="1">
      <c r="A390" s="79"/>
      <c r="B390" s="79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21.0" customHeight="1">
      <c r="A391" s="79"/>
      <c r="B391" s="79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21.0" customHeight="1">
      <c r="A392" s="79"/>
      <c r="B392" s="79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21.0" customHeight="1">
      <c r="A393" s="79"/>
      <c r="B393" s="79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21.0" customHeight="1">
      <c r="A394" s="79"/>
      <c r="B394" s="79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21.0" customHeight="1">
      <c r="A395" s="79"/>
      <c r="B395" s="79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21.0" customHeight="1">
      <c r="A396" s="79"/>
      <c r="B396" s="79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21.0" customHeight="1">
      <c r="A397" s="79"/>
      <c r="B397" s="79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21.0" customHeight="1">
      <c r="A398" s="79"/>
      <c r="B398" s="79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21.0" customHeight="1">
      <c r="A399" s="79"/>
      <c r="B399" s="79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21.0" customHeight="1">
      <c r="A400" s="79"/>
      <c r="B400" s="79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21.0" customHeight="1">
      <c r="A401" s="79"/>
      <c r="B401" s="79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21.0" customHeight="1">
      <c r="A402" s="79"/>
      <c r="B402" s="79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21.0" customHeight="1">
      <c r="A403" s="79"/>
      <c r="B403" s="79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21.0" customHeight="1">
      <c r="A404" s="79"/>
      <c r="B404" s="79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21.0" customHeight="1">
      <c r="A405" s="79"/>
      <c r="B405" s="79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21.0" customHeight="1">
      <c r="A406" s="79"/>
      <c r="B406" s="79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21.0" customHeight="1">
      <c r="A407" s="79"/>
      <c r="B407" s="79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21.0" customHeight="1">
      <c r="A408" s="79"/>
      <c r="B408" s="79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21.0" customHeight="1">
      <c r="A409" s="79"/>
      <c r="B409" s="79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21.0" customHeight="1">
      <c r="A410" s="79"/>
      <c r="B410" s="79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21.0" customHeight="1">
      <c r="A411" s="79"/>
      <c r="B411" s="79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21.0" customHeight="1">
      <c r="A412" s="79"/>
      <c r="B412" s="79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21.0" customHeight="1">
      <c r="A413" s="79"/>
      <c r="B413" s="79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21.0" customHeight="1">
      <c r="A414" s="79"/>
      <c r="B414" s="79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21.0" customHeight="1">
      <c r="A415" s="79"/>
      <c r="B415" s="79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21.0" customHeight="1">
      <c r="A416" s="79"/>
      <c r="B416" s="79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21.0" customHeight="1">
      <c r="A417" s="79"/>
      <c r="B417" s="79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21.0" customHeight="1">
      <c r="A418" s="79"/>
      <c r="B418" s="79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21.0" customHeight="1">
      <c r="A419" s="79"/>
      <c r="B419" s="79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21.0" customHeight="1">
      <c r="A420" s="79"/>
      <c r="B420" s="79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21.0" customHeight="1">
      <c r="A421" s="79"/>
      <c r="B421" s="79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21.0" customHeight="1">
      <c r="A422" s="79"/>
      <c r="B422" s="79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21.0" customHeight="1">
      <c r="A423" s="79"/>
      <c r="B423" s="79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21.0" customHeight="1">
      <c r="A424" s="79"/>
      <c r="B424" s="79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21.0" customHeight="1">
      <c r="A425" s="79"/>
      <c r="B425" s="79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21.0" customHeight="1">
      <c r="A426" s="79"/>
      <c r="B426" s="79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21.0" customHeight="1">
      <c r="A427" s="79"/>
      <c r="B427" s="79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21.0" customHeight="1">
      <c r="A428" s="79"/>
      <c r="B428" s="79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21.0" customHeight="1">
      <c r="A429" s="79"/>
      <c r="B429" s="79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21.0" customHeight="1">
      <c r="A430" s="79"/>
      <c r="B430" s="79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21.0" customHeight="1">
      <c r="A431" s="79"/>
      <c r="B431" s="79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21.0" customHeight="1">
      <c r="A432" s="79"/>
      <c r="B432" s="79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21.0" customHeight="1">
      <c r="A433" s="79"/>
      <c r="B433" s="79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21.0" customHeight="1">
      <c r="A434" s="79"/>
      <c r="B434" s="79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21.0" customHeight="1">
      <c r="A435" s="79"/>
      <c r="B435" s="79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21.0" customHeight="1">
      <c r="A436" s="79"/>
      <c r="B436" s="79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21.0" customHeight="1">
      <c r="A437" s="79"/>
      <c r="B437" s="79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21.0" customHeight="1">
      <c r="A438" s="79"/>
      <c r="B438" s="79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21.0" customHeight="1">
      <c r="A439" s="79"/>
      <c r="B439" s="79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21.0" customHeight="1">
      <c r="A440" s="79"/>
      <c r="B440" s="79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21.0" customHeight="1">
      <c r="A441" s="79"/>
      <c r="B441" s="79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21.0" customHeight="1">
      <c r="A442" s="79"/>
      <c r="B442" s="79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21.0" customHeight="1">
      <c r="A443" s="79"/>
      <c r="B443" s="79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21.0" customHeight="1">
      <c r="A444" s="79"/>
      <c r="B444" s="79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21.0" customHeight="1">
      <c r="A445" s="79"/>
      <c r="B445" s="79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21.0" customHeight="1">
      <c r="A446" s="79"/>
      <c r="B446" s="79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21.0" customHeight="1">
      <c r="A447" s="79"/>
      <c r="B447" s="79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21.0" customHeight="1">
      <c r="A448" s="79"/>
      <c r="B448" s="79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21.0" customHeight="1">
      <c r="A449" s="79"/>
      <c r="B449" s="79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21.0" customHeight="1">
      <c r="A450" s="79"/>
      <c r="B450" s="79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21.0" customHeight="1">
      <c r="A451" s="79"/>
      <c r="B451" s="79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21.0" customHeight="1">
      <c r="A452" s="79"/>
      <c r="B452" s="79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21.0" customHeight="1">
      <c r="A453" s="79"/>
      <c r="B453" s="79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21.0" customHeight="1">
      <c r="A454" s="79"/>
      <c r="B454" s="79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21.0" customHeight="1">
      <c r="A455" s="79"/>
      <c r="B455" s="79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21.0" customHeight="1">
      <c r="A456" s="79"/>
      <c r="B456" s="79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21.0" customHeight="1">
      <c r="A457" s="79"/>
      <c r="B457" s="79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21.0" customHeight="1">
      <c r="A458" s="79"/>
      <c r="B458" s="79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21.0" customHeight="1">
      <c r="A459" s="79"/>
      <c r="B459" s="79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21.0" customHeight="1">
      <c r="A460" s="79"/>
      <c r="B460" s="79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21.0" customHeight="1">
      <c r="A461" s="79"/>
      <c r="B461" s="79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21.0" customHeight="1">
      <c r="A462" s="79"/>
      <c r="B462" s="79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21.0" customHeight="1">
      <c r="A463" s="79"/>
      <c r="B463" s="79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21.0" customHeight="1">
      <c r="A464" s="79"/>
      <c r="B464" s="79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21.0" customHeight="1">
      <c r="A465" s="79"/>
      <c r="B465" s="79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21.0" customHeight="1">
      <c r="A466" s="79"/>
      <c r="B466" s="79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21.0" customHeight="1">
      <c r="A467" s="79"/>
      <c r="B467" s="79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21.0" customHeight="1">
      <c r="A468" s="79"/>
      <c r="B468" s="79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21.0" customHeight="1">
      <c r="A469" s="79"/>
      <c r="B469" s="79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21.0" customHeight="1">
      <c r="A470" s="79"/>
      <c r="B470" s="79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21.0" customHeight="1">
      <c r="A471" s="79"/>
      <c r="B471" s="79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21.0" customHeight="1">
      <c r="A472" s="79"/>
      <c r="B472" s="79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21.0" customHeight="1">
      <c r="A473" s="79"/>
      <c r="B473" s="79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21.0" customHeight="1">
      <c r="A474" s="79"/>
      <c r="B474" s="79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21.0" customHeight="1">
      <c r="A475" s="79"/>
      <c r="B475" s="79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21.0" customHeight="1">
      <c r="A476" s="79"/>
      <c r="B476" s="79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21.0" customHeight="1">
      <c r="A477" s="79"/>
      <c r="B477" s="79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21.0" customHeight="1">
      <c r="A478" s="79"/>
      <c r="B478" s="79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21.0" customHeight="1">
      <c r="A479" s="79"/>
      <c r="B479" s="79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21.0" customHeight="1">
      <c r="A480" s="79"/>
      <c r="B480" s="79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21.0" customHeight="1">
      <c r="A481" s="79"/>
      <c r="B481" s="79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21.0" customHeight="1">
      <c r="A482" s="79"/>
      <c r="B482" s="79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21.0" customHeight="1">
      <c r="A483" s="79"/>
      <c r="B483" s="79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21.0" customHeight="1">
      <c r="A484" s="79"/>
      <c r="B484" s="79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21.0" customHeight="1">
      <c r="A485" s="79"/>
      <c r="B485" s="79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21.0" customHeight="1">
      <c r="A486" s="79"/>
      <c r="B486" s="79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21.0" customHeight="1">
      <c r="A487" s="79"/>
      <c r="B487" s="79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21.0" customHeight="1">
      <c r="A488" s="79"/>
      <c r="B488" s="79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21.0" customHeight="1">
      <c r="A489" s="79"/>
      <c r="B489" s="79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21.0" customHeight="1">
      <c r="A490" s="79"/>
      <c r="B490" s="79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21.0" customHeight="1">
      <c r="A491" s="79"/>
      <c r="B491" s="79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21.0" customHeight="1">
      <c r="A492" s="79"/>
      <c r="B492" s="79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21.0" customHeight="1">
      <c r="A493" s="79"/>
      <c r="B493" s="79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21.0" customHeight="1">
      <c r="A494" s="79"/>
      <c r="B494" s="79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21.0" customHeight="1">
      <c r="A495" s="79"/>
      <c r="B495" s="79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21.0" customHeight="1">
      <c r="A496" s="79"/>
      <c r="B496" s="79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21.0" customHeight="1">
      <c r="A497" s="79"/>
      <c r="B497" s="79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21.0" customHeight="1">
      <c r="A498" s="79"/>
      <c r="B498" s="79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21.0" customHeight="1">
      <c r="A499" s="79"/>
      <c r="B499" s="79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21.0" customHeight="1">
      <c r="A500" s="79"/>
      <c r="B500" s="79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21.0" customHeight="1">
      <c r="A501" s="79"/>
      <c r="B501" s="79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21.0" customHeight="1">
      <c r="A502" s="79"/>
      <c r="B502" s="79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21.0" customHeight="1">
      <c r="A503" s="79"/>
      <c r="B503" s="79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21.0" customHeight="1">
      <c r="A504" s="79"/>
      <c r="B504" s="79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21.0" customHeight="1">
      <c r="A505" s="79"/>
      <c r="B505" s="79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21.0" customHeight="1">
      <c r="A506" s="79"/>
      <c r="B506" s="79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21.0" customHeight="1">
      <c r="A507" s="79"/>
      <c r="B507" s="79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21.0" customHeight="1">
      <c r="A508" s="79"/>
      <c r="B508" s="79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21.0" customHeight="1">
      <c r="A509" s="79"/>
      <c r="B509" s="79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21.0" customHeight="1">
      <c r="A510" s="79"/>
      <c r="B510" s="79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21.0" customHeight="1">
      <c r="A511" s="79"/>
      <c r="B511" s="79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21.0" customHeight="1">
      <c r="A512" s="79"/>
      <c r="B512" s="79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21.0" customHeight="1">
      <c r="A513" s="79"/>
      <c r="B513" s="79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21.0" customHeight="1">
      <c r="A514" s="79"/>
      <c r="B514" s="79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21.0" customHeight="1">
      <c r="A515" s="79"/>
      <c r="B515" s="79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21.0" customHeight="1">
      <c r="A516" s="79"/>
      <c r="B516" s="79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21.0" customHeight="1">
      <c r="A517" s="79"/>
      <c r="B517" s="79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21.0" customHeight="1">
      <c r="A518" s="79"/>
      <c r="B518" s="79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21.0" customHeight="1">
      <c r="A519" s="79"/>
      <c r="B519" s="79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21.0" customHeight="1">
      <c r="A520" s="79"/>
      <c r="B520" s="79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21.0" customHeight="1">
      <c r="A521" s="79"/>
      <c r="B521" s="79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21.0" customHeight="1">
      <c r="A522" s="79"/>
      <c r="B522" s="79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21.0" customHeight="1">
      <c r="A523" s="79"/>
      <c r="B523" s="79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21.0" customHeight="1">
      <c r="A524" s="79"/>
      <c r="B524" s="79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21.0" customHeight="1">
      <c r="A525" s="79"/>
      <c r="B525" s="79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21.0" customHeight="1">
      <c r="A526" s="79"/>
      <c r="B526" s="79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21.0" customHeight="1">
      <c r="A527" s="79"/>
      <c r="B527" s="79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21.0" customHeight="1">
      <c r="A528" s="79"/>
      <c r="B528" s="79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21.0" customHeight="1">
      <c r="A529" s="79"/>
      <c r="B529" s="79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21.0" customHeight="1">
      <c r="A530" s="79"/>
      <c r="B530" s="79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21.0" customHeight="1">
      <c r="A531" s="79"/>
      <c r="B531" s="79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21.0" customHeight="1">
      <c r="A532" s="79"/>
      <c r="B532" s="79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21.0" customHeight="1">
      <c r="A533" s="79"/>
      <c r="B533" s="79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21.0" customHeight="1">
      <c r="A534" s="79"/>
      <c r="B534" s="79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21.0" customHeight="1">
      <c r="A535" s="79"/>
      <c r="B535" s="79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21.0" customHeight="1">
      <c r="A536" s="79"/>
      <c r="B536" s="79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21.0" customHeight="1">
      <c r="A537" s="79"/>
      <c r="B537" s="79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21.0" customHeight="1">
      <c r="A538" s="79"/>
      <c r="B538" s="79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21.0" customHeight="1">
      <c r="A539" s="79"/>
      <c r="B539" s="79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21.0" customHeight="1">
      <c r="A540" s="79"/>
      <c r="B540" s="79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21.0" customHeight="1">
      <c r="A541" s="79"/>
      <c r="B541" s="79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21.0" customHeight="1">
      <c r="A542" s="79"/>
      <c r="B542" s="79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21.0" customHeight="1">
      <c r="A543" s="79"/>
      <c r="B543" s="79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21.0" customHeight="1">
      <c r="A544" s="79"/>
      <c r="B544" s="79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21.0" customHeight="1">
      <c r="A545" s="79"/>
      <c r="B545" s="79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21.0" customHeight="1">
      <c r="A546" s="79"/>
      <c r="B546" s="79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21.0" customHeight="1">
      <c r="A547" s="79"/>
      <c r="B547" s="79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21.0" customHeight="1">
      <c r="A548" s="79"/>
      <c r="B548" s="79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21.0" customHeight="1">
      <c r="A549" s="79"/>
      <c r="B549" s="79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21.0" customHeight="1">
      <c r="A550" s="79"/>
      <c r="B550" s="79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21.0" customHeight="1">
      <c r="A551" s="79"/>
      <c r="B551" s="79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21.0" customHeight="1">
      <c r="A552" s="79"/>
      <c r="B552" s="79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21.0" customHeight="1">
      <c r="A553" s="79"/>
      <c r="B553" s="79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21.0" customHeight="1">
      <c r="A554" s="79"/>
      <c r="B554" s="79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21.0" customHeight="1">
      <c r="A555" s="79"/>
      <c r="B555" s="79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21.0" customHeight="1">
      <c r="A556" s="79"/>
      <c r="B556" s="79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21.0" customHeight="1">
      <c r="A557" s="79"/>
      <c r="B557" s="79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21.0" customHeight="1">
      <c r="A558" s="79"/>
      <c r="B558" s="79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21.0" customHeight="1">
      <c r="A559" s="79"/>
      <c r="B559" s="79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21.0" customHeight="1">
      <c r="A560" s="79"/>
      <c r="B560" s="79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21.0" customHeight="1">
      <c r="A561" s="79"/>
      <c r="B561" s="79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21.0" customHeight="1">
      <c r="A562" s="79"/>
      <c r="B562" s="79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21.0" customHeight="1">
      <c r="A563" s="79"/>
      <c r="B563" s="79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21.0" customHeight="1">
      <c r="A564" s="79"/>
      <c r="B564" s="79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21.0" customHeight="1">
      <c r="A565" s="79"/>
      <c r="B565" s="79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21.0" customHeight="1">
      <c r="A566" s="79"/>
      <c r="B566" s="79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21.0" customHeight="1">
      <c r="A567" s="79"/>
      <c r="B567" s="79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21.0" customHeight="1">
      <c r="A568" s="79"/>
      <c r="B568" s="79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21.0" customHeight="1">
      <c r="A569" s="79"/>
      <c r="B569" s="79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21.0" customHeight="1">
      <c r="A570" s="79"/>
      <c r="B570" s="79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21.0" customHeight="1">
      <c r="A571" s="79"/>
      <c r="B571" s="79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21.0" customHeight="1">
      <c r="A572" s="79"/>
      <c r="B572" s="79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21.0" customHeight="1">
      <c r="A573" s="79"/>
      <c r="B573" s="79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21.0" customHeight="1">
      <c r="A574" s="79"/>
      <c r="B574" s="79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21.0" customHeight="1">
      <c r="A575" s="79"/>
      <c r="B575" s="79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21.0" customHeight="1">
      <c r="A576" s="79"/>
      <c r="B576" s="79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21.0" customHeight="1">
      <c r="A577" s="79"/>
      <c r="B577" s="79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21.0" customHeight="1">
      <c r="A578" s="79"/>
      <c r="B578" s="79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21.0" customHeight="1">
      <c r="A579" s="79"/>
      <c r="B579" s="79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21.0" customHeight="1">
      <c r="A580" s="79"/>
      <c r="B580" s="79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21.0" customHeight="1">
      <c r="A581" s="79"/>
      <c r="B581" s="79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21.0" customHeight="1">
      <c r="A582" s="79"/>
      <c r="B582" s="79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21.0" customHeight="1">
      <c r="A583" s="79"/>
      <c r="B583" s="79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21.0" customHeight="1">
      <c r="A584" s="79"/>
      <c r="B584" s="79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21.0" customHeight="1">
      <c r="A585" s="79"/>
      <c r="B585" s="79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21.0" customHeight="1">
      <c r="A586" s="79"/>
      <c r="B586" s="79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21.0" customHeight="1">
      <c r="A587" s="79"/>
      <c r="B587" s="79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21.0" customHeight="1">
      <c r="A588" s="79"/>
      <c r="B588" s="79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21.0" customHeight="1">
      <c r="A589" s="79"/>
      <c r="B589" s="79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21.0" customHeight="1">
      <c r="A590" s="79"/>
      <c r="B590" s="79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21.0" customHeight="1">
      <c r="A591" s="79"/>
      <c r="B591" s="79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21.0" customHeight="1">
      <c r="A592" s="79"/>
      <c r="B592" s="79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21.0" customHeight="1">
      <c r="A593" s="79"/>
      <c r="B593" s="79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21.0" customHeight="1">
      <c r="A594" s="79"/>
      <c r="B594" s="79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21.0" customHeight="1">
      <c r="A595" s="79"/>
      <c r="B595" s="79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21.0" customHeight="1">
      <c r="A596" s="79"/>
      <c r="B596" s="79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21.0" customHeight="1">
      <c r="A597" s="79"/>
      <c r="B597" s="79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21.0" customHeight="1">
      <c r="A598" s="79"/>
      <c r="B598" s="79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21.0" customHeight="1">
      <c r="A599" s="79"/>
      <c r="B599" s="79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21.0" customHeight="1">
      <c r="A600" s="79"/>
      <c r="B600" s="79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21.0" customHeight="1">
      <c r="A601" s="79"/>
      <c r="B601" s="79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21.0" customHeight="1">
      <c r="A602" s="79"/>
      <c r="B602" s="79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21.0" customHeight="1">
      <c r="A603" s="79"/>
      <c r="B603" s="79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21.0" customHeight="1">
      <c r="A604" s="79"/>
      <c r="B604" s="79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21.0" customHeight="1">
      <c r="A605" s="79"/>
      <c r="B605" s="79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21.0" customHeight="1">
      <c r="A606" s="79"/>
      <c r="B606" s="79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21.0" customHeight="1">
      <c r="A607" s="79"/>
      <c r="B607" s="79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21.0" customHeight="1">
      <c r="A608" s="79"/>
      <c r="B608" s="79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21.0" customHeight="1">
      <c r="A609" s="79"/>
      <c r="B609" s="79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21.0" customHeight="1">
      <c r="A610" s="79"/>
      <c r="B610" s="79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21.0" customHeight="1">
      <c r="A611" s="79"/>
      <c r="B611" s="79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21.0" customHeight="1">
      <c r="A612" s="79"/>
      <c r="B612" s="79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21.0" customHeight="1">
      <c r="A613" s="79"/>
      <c r="B613" s="79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21.0" customHeight="1">
      <c r="A614" s="79"/>
      <c r="B614" s="79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21.0" customHeight="1">
      <c r="A615" s="79"/>
      <c r="B615" s="79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21.0" customHeight="1">
      <c r="A616" s="79"/>
      <c r="B616" s="79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21.0" customHeight="1">
      <c r="A617" s="79"/>
      <c r="B617" s="79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21.0" customHeight="1">
      <c r="A618" s="79"/>
      <c r="B618" s="79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21.0" customHeight="1">
      <c r="A619" s="79"/>
      <c r="B619" s="79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21.0" customHeight="1">
      <c r="A620" s="79"/>
      <c r="B620" s="79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21.0" customHeight="1">
      <c r="A621" s="79"/>
      <c r="B621" s="79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21.0" customHeight="1">
      <c r="A622" s="79"/>
      <c r="B622" s="79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21.0" customHeight="1">
      <c r="A623" s="79"/>
      <c r="B623" s="79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21.0" customHeight="1">
      <c r="A624" s="79"/>
      <c r="B624" s="79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21.0" customHeight="1">
      <c r="A625" s="79"/>
      <c r="B625" s="79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21.0" customHeight="1">
      <c r="A626" s="79"/>
      <c r="B626" s="79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21.0" customHeight="1">
      <c r="A627" s="79"/>
      <c r="B627" s="79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21.0" customHeight="1">
      <c r="A628" s="79"/>
      <c r="B628" s="79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21.0" customHeight="1">
      <c r="A629" s="79"/>
      <c r="B629" s="79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21.0" customHeight="1">
      <c r="A630" s="79"/>
      <c r="B630" s="79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21.0" customHeight="1">
      <c r="A631" s="79"/>
      <c r="B631" s="79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21.0" customHeight="1">
      <c r="A632" s="79"/>
      <c r="B632" s="79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21.0" customHeight="1">
      <c r="A633" s="79"/>
      <c r="B633" s="79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21.0" customHeight="1">
      <c r="A634" s="79"/>
      <c r="B634" s="79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21.0" customHeight="1">
      <c r="A635" s="79"/>
      <c r="B635" s="79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21.0" customHeight="1">
      <c r="A636" s="79"/>
      <c r="B636" s="79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21.0" customHeight="1">
      <c r="A637" s="79"/>
      <c r="B637" s="79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21.0" customHeight="1">
      <c r="A638" s="79"/>
      <c r="B638" s="79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21.0" customHeight="1">
      <c r="A639" s="79"/>
      <c r="B639" s="79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21.0" customHeight="1">
      <c r="A640" s="79"/>
      <c r="B640" s="79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21.0" customHeight="1">
      <c r="A641" s="79"/>
      <c r="B641" s="79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21.0" customHeight="1">
      <c r="A642" s="79"/>
      <c r="B642" s="79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21.0" customHeight="1">
      <c r="A643" s="79"/>
      <c r="B643" s="79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21.0" customHeight="1">
      <c r="A644" s="79"/>
      <c r="B644" s="79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21.0" customHeight="1">
      <c r="A645" s="79"/>
      <c r="B645" s="79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21.0" customHeight="1">
      <c r="A646" s="79"/>
      <c r="B646" s="79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21.0" customHeight="1">
      <c r="A647" s="79"/>
      <c r="B647" s="79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21.0" customHeight="1">
      <c r="A648" s="79"/>
      <c r="B648" s="79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21.0" customHeight="1">
      <c r="A649" s="79"/>
      <c r="B649" s="79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21.0" customHeight="1">
      <c r="A650" s="79"/>
      <c r="B650" s="79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21.0" customHeight="1">
      <c r="A651" s="79"/>
      <c r="B651" s="79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21.0" customHeight="1">
      <c r="A652" s="79"/>
      <c r="B652" s="79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21.0" customHeight="1">
      <c r="A653" s="79"/>
      <c r="B653" s="79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21.0" customHeight="1">
      <c r="A654" s="79"/>
      <c r="B654" s="79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21.0" customHeight="1">
      <c r="A655" s="79"/>
      <c r="B655" s="79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21.0" customHeight="1">
      <c r="A656" s="79"/>
      <c r="B656" s="79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21.0" customHeight="1">
      <c r="A657" s="79"/>
      <c r="B657" s="79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21.0" customHeight="1">
      <c r="A658" s="79"/>
      <c r="B658" s="79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21.0" customHeight="1">
      <c r="A659" s="79"/>
      <c r="B659" s="79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21.0" customHeight="1">
      <c r="A660" s="79"/>
      <c r="B660" s="79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21.0" customHeight="1">
      <c r="A661" s="79"/>
      <c r="B661" s="79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21.0" customHeight="1">
      <c r="A662" s="79"/>
      <c r="B662" s="79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21.0" customHeight="1">
      <c r="A663" s="79"/>
      <c r="B663" s="79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21.0" customHeight="1">
      <c r="A664" s="79"/>
      <c r="B664" s="79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21.0" customHeight="1">
      <c r="A665" s="79"/>
      <c r="B665" s="79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21.0" customHeight="1">
      <c r="A666" s="79"/>
      <c r="B666" s="79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21.0" customHeight="1">
      <c r="A667" s="79"/>
      <c r="B667" s="79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21.0" customHeight="1">
      <c r="A668" s="79"/>
      <c r="B668" s="79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21.0" customHeight="1">
      <c r="A669" s="79"/>
      <c r="B669" s="79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21.0" customHeight="1">
      <c r="A670" s="79"/>
      <c r="B670" s="79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21.0" customHeight="1">
      <c r="A671" s="79"/>
      <c r="B671" s="79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21.0" customHeight="1">
      <c r="A672" s="79"/>
      <c r="B672" s="79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21.0" customHeight="1">
      <c r="A673" s="79"/>
      <c r="B673" s="79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21.0" customHeight="1">
      <c r="A674" s="79"/>
      <c r="B674" s="79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21.0" customHeight="1">
      <c r="A675" s="79"/>
      <c r="B675" s="79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21.0" customHeight="1">
      <c r="A676" s="79"/>
      <c r="B676" s="79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21.0" customHeight="1">
      <c r="A677" s="79"/>
      <c r="B677" s="79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21.0" customHeight="1">
      <c r="A678" s="79"/>
      <c r="B678" s="79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21.0" customHeight="1">
      <c r="A679" s="79"/>
      <c r="B679" s="79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21.0" customHeight="1">
      <c r="A680" s="79"/>
      <c r="B680" s="79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21.0" customHeight="1">
      <c r="A681" s="79"/>
      <c r="B681" s="79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21.0" customHeight="1">
      <c r="A682" s="79"/>
      <c r="B682" s="79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21.0" customHeight="1">
      <c r="A683" s="79"/>
      <c r="B683" s="79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21.0" customHeight="1">
      <c r="A684" s="79"/>
      <c r="B684" s="79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21.0" customHeight="1">
      <c r="A685" s="79"/>
      <c r="B685" s="79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21.0" customHeight="1">
      <c r="A686" s="79"/>
      <c r="B686" s="79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21.0" customHeight="1">
      <c r="A687" s="79"/>
      <c r="B687" s="79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21.0" customHeight="1">
      <c r="A688" s="79"/>
      <c r="B688" s="79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21.0" customHeight="1">
      <c r="A689" s="79"/>
      <c r="B689" s="79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21.0" customHeight="1">
      <c r="A690" s="79"/>
      <c r="B690" s="79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21.0" customHeight="1">
      <c r="A691" s="79"/>
      <c r="B691" s="79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21.0" customHeight="1">
      <c r="A692" s="79"/>
      <c r="B692" s="79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21.0" customHeight="1">
      <c r="A693" s="79"/>
      <c r="B693" s="79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21.0" customHeight="1">
      <c r="A694" s="79"/>
      <c r="B694" s="79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21.0" customHeight="1">
      <c r="A695" s="79"/>
      <c r="B695" s="79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21.0" customHeight="1">
      <c r="A696" s="79"/>
      <c r="B696" s="79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21.0" customHeight="1">
      <c r="A697" s="79"/>
      <c r="B697" s="79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21.0" customHeight="1">
      <c r="A698" s="79"/>
      <c r="B698" s="79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21.0" customHeight="1">
      <c r="A699" s="79"/>
      <c r="B699" s="79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21.0" customHeight="1">
      <c r="A700" s="79"/>
      <c r="B700" s="79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21.0" customHeight="1">
      <c r="A701" s="79"/>
      <c r="B701" s="79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21.0" customHeight="1">
      <c r="A702" s="79"/>
      <c r="B702" s="79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21.0" customHeight="1">
      <c r="A703" s="79"/>
      <c r="B703" s="79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21.0" customHeight="1">
      <c r="A704" s="79"/>
      <c r="B704" s="79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21.0" customHeight="1">
      <c r="A705" s="79"/>
      <c r="B705" s="79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21.0" customHeight="1">
      <c r="A706" s="79"/>
      <c r="B706" s="79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21.0" customHeight="1">
      <c r="A707" s="79"/>
      <c r="B707" s="79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21.0" customHeight="1">
      <c r="A708" s="79"/>
      <c r="B708" s="79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21.0" customHeight="1">
      <c r="A709" s="79"/>
      <c r="B709" s="79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21.0" customHeight="1">
      <c r="A710" s="79"/>
      <c r="B710" s="79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21.0" customHeight="1">
      <c r="A711" s="79"/>
      <c r="B711" s="79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21.0" customHeight="1">
      <c r="A712" s="79"/>
      <c r="B712" s="79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21.0" customHeight="1">
      <c r="A713" s="79"/>
      <c r="B713" s="79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21.0" customHeight="1">
      <c r="A714" s="79"/>
      <c r="B714" s="79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21.0" customHeight="1">
      <c r="A715" s="79"/>
      <c r="B715" s="79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21.0" customHeight="1">
      <c r="A716" s="79"/>
      <c r="B716" s="79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21.0" customHeight="1">
      <c r="A717" s="79"/>
      <c r="B717" s="79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21.0" customHeight="1">
      <c r="A718" s="79"/>
      <c r="B718" s="79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21.0" customHeight="1">
      <c r="A719" s="79"/>
      <c r="B719" s="79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21.0" customHeight="1">
      <c r="A720" s="79"/>
      <c r="B720" s="79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21.0" customHeight="1">
      <c r="A721" s="79"/>
      <c r="B721" s="79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21.0" customHeight="1">
      <c r="A722" s="79"/>
      <c r="B722" s="79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21.0" customHeight="1">
      <c r="A723" s="79"/>
      <c r="B723" s="79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21.0" customHeight="1">
      <c r="A724" s="79"/>
      <c r="B724" s="79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21.0" customHeight="1">
      <c r="A725" s="79"/>
      <c r="B725" s="79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21.0" customHeight="1">
      <c r="A726" s="79"/>
      <c r="B726" s="79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21.0" customHeight="1">
      <c r="A727" s="79"/>
      <c r="B727" s="79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21.0" customHeight="1">
      <c r="A728" s="79"/>
      <c r="B728" s="79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21.0" customHeight="1">
      <c r="A729" s="79"/>
      <c r="B729" s="79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21.0" customHeight="1">
      <c r="A730" s="79"/>
      <c r="B730" s="79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21.0" customHeight="1">
      <c r="A731" s="79"/>
      <c r="B731" s="79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21.0" customHeight="1">
      <c r="A732" s="79"/>
      <c r="B732" s="79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21.0" customHeight="1">
      <c r="A733" s="79"/>
      <c r="B733" s="79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21.0" customHeight="1">
      <c r="A734" s="79"/>
      <c r="B734" s="79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21.0" customHeight="1">
      <c r="A735" s="79"/>
      <c r="B735" s="79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21.0" customHeight="1">
      <c r="A736" s="79"/>
      <c r="B736" s="79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21.0" customHeight="1">
      <c r="A737" s="79"/>
      <c r="B737" s="79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21.0" customHeight="1">
      <c r="A738" s="79"/>
      <c r="B738" s="79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21.0" customHeight="1">
      <c r="A739" s="79"/>
      <c r="B739" s="79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21.0" customHeight="1">
      <c r="A740" s="79"/>
      <c r="B740" s="79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21.0" customHeight="1">
      <c r="A741" s="79"/>
      <c r="B741" s="79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21.0" customHeight="1">
      <c r="A742" s="79"/>
      <c r="B742" s="79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21.0" customHeight="1">
      <c r="A743" s="79"/>
      <c r="B743" s="79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21.0" customHeight="1">
      <c r="A744" s="79"/>
      <c r="B744" s="79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21.0" customHeight="1">
      <c r="A745" s="79"/>
      <c r="B745" s="79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21.0" customHeight="1">
      <c r="A746" s="79"/>
      <c r="B746" s="79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21.0" customHeight="1">
      <c r="A747" s="79"/>
      <c r="B747" s="79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21.0" customHeight="1">
      <c r="A748" s="79"/>
      <c r="B748" s="79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21.0" customHeight="1">
      <c r="A749" s="79"/>
      <c r="B749" s="79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21.0" customHeight="1">
      <c r="A750" s="79"/>
      <c r="B750" s="79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21.0" customHeight="1">
      <c r="A751" s="79"/>
      <c r="B751" s="79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21.0" customHeight="1">
      <c r="A752" s="79"/>
      <c r="B752" s="79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21.0" customHeight="1">
      <c r="A753" s="79"/>
      <c r="B753" s="79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21.0" customHeight="1">
      <c r="A754" s="79"/>
      <c r="B754" s="79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21.0" customHeight="1">
      <c r="A755" s="79"/>
      <c r="B755" s="79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21.0" customHeight="1">
      <c r="A756" s="79"/>
      <c r="B756" s="79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21.0" customHeight="1">
      <c r="A757" s="79"/>
      <c r="B757" s="79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21.0" customHeight="1">
      <c r="A758" s="79"/>
      <c r="B758" s="79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21.0" customHeight="1">
      <c r="A759" s="79"/>
      <c r="B759" s="79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21.0" customHeight="1">
      <c r="A760" s="79"/>
      <c r="B760" s="79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21.0" customHeight="1">
      <c r="A761" s="79"/>
      <c r="B761" s="79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21.0" customHeight="1">
      <c r="A762" s="79"/>
      <c r="B762" s="79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21.0" customHeight="1">
      <c r="A763" s="79"/>
      <c r="B763" s="79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21.0" customHeight="1">
      <c r="A764" s="79"/>
      <c r="B764" s="79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21.0" customHeight="1">
      <c r="A765" s="79"/>
      <c r="B765" s="79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21.0" customHeight="1">
      <c r="A766" s="79"/>
      <c r="B766" s="79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21.0" customHeight="1">
      <c r="A767" s="79"/>
      <c r="B767" s="79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21.0" customHeight="1">
      <c r="A768" s="79"/>
      <c r="B768" s="79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21.0" customHeight="1">
      <c r="A769" s="79"/>
      <c r="B769" s="79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21.0" customHeight="1">
      <c r="A770" s="79"/>
      <c r="B770" s="79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21.0" customHeight="1">
      <c r="A771" s="79"/>
      <c r="B771" s="79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21.0" customHeight="1">
      <c r="A772" s="79"/>
      <c r="B772" s="79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21.0" customHeight="1">
      <c r="A773" s="79"/>
      <c r="B773" s="79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21.0" customHeight="1">
      <c r="A774" s="79"/>
      <c r="B774" s="79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21.0" customHeight="1">
      <c r="A775" s="79"/>
      <c r="B775" s="79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21.0" customHeight="1">
      <c r="A776" s="79"/>
      <c r="B776" s="79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21.0" customHeight="1">
      <c r="A777" s="79"/>
      <c r="B777" s="79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21.0" customHeight="1">
      <c r="A778" s="79"/>
      <c r="B778" s="79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21.0" customHeight="1">
      <c r="A779" s="79"/>
      <c r="B779" s="79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21.0" customHeight="1">
      <c r="A780" s="79"/>
      <c r="B780" s="79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21.0" customHeight="1">
      <c r="A781" s="79"/>
      <c r="B781" s="79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21.0" customHeight="1">
      <c r="A782" s="79"/>
      <c r="B782" s="79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21.0" customHeight="1">
      <c r="A783" s="79"/>
      <c r="B783" s="79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21.0" customHeight="1">
      <c r="A784" s="79"/>
      <c r="B784" s="79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21.0" customHeight="1">
      <c r="A785" s="79"/>
      <c r="B785" s="79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21.0" customHeight="1">
      <c r="A786" s="79"/>
      <c r="B786" s="79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21.0" customHeight="1">
      <c r="A787" s="79"/>
      <c r="B787" s="79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21.0" customHeight="1">
      <c r="A788" s="79"/>
      <c r="B788" s="79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21.0" customHeight="1">
      <c r="A789" s="79"/>
      <c r="B789" s="79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21.0" customHeight="1">
      <c r="A790" s="79"/>
      <c r="B790" s="79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21.0" customHeight="1">
      <c r="A791" s="79"/>
      <c r="B791" s="79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21.0" customHeight="1">
      <c r="A792" s="79"/>
      <c r="B792" s="79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21.0" customHeight="1">
      <c r="A793" s="79"/>
      <c r="B793" s="79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21.0" customHeight="1">
      <c r="A794" s="79"/>
      <c r="B794" s="79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21.0" customHeight="1">
      <c r="A795" s="79"/>
      <c r="B795" s="79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21.0" customHeight="1">
      <c r="A796" s="79"/>
      <c r="B796" s="79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21.0" customHeight="1">
      <c r="A797" s="79"/>
      <c r="B797" s="79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21.0" customHeight="1">
      <c r="A798" s="79"/>
      <c r="B798" s="79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21.0" customHeight="1">
      <c r="A799" s="79"/>
      <c r="B799" s="79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21.0" customHeight="1">
      <c r="A800" s="79"/>
      <c r="B800" s="79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21.0" customHeight="1">
      <c r="A801" s="79"/>
      <c r="B801" s="79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21.0" customHeight="1">
      <c r="A802" s="79"/>
      <c r="B802" s="79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21.0" customHeight="1">
      <c r="A803" s="79"/>
      <c r="B803" s="79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21.0" customHeight="1">
      <c r="A804" s="79"/>
      <c r="B804" s="79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21.0" customHeight="1">
      <c r="A805" s="79"/>
      <c r="B805" s="79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21.0" customHeight="1">
      <c r="A806" s="79"/>
      <c r="B806" s="79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21.0" customHeight="1">
      <c r="A807" s="79"/>
      <c r="B807" s="79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21.0" customHeight="1">
      <c r="A808" s="79"/>
      <c r="B808" s="79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21.0" customHeight="1">
      <c r="A809" s="79"/>
      <c r="B809" s="79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21.0" customHeight="1">
      <c r="A810" s="79"/>
      <c r="B810" s="79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21.0" customHeight="1">
      <c r="A811" s="79"/>
      <c r="B811" s="79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21.0" customHeight="1">
      <c r="A812" s="79"/>
      <c r="B812" s="79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21.0" customHeight="1">
      <c r="A813" s="79"/>
      <c r="B813" s="79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21.0" customHeight="1">
      <c r="A814" s="79"/>
      <c r="B814" s="79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21.0" customHeight="1">
      <c r="A815" s="79"/>
      <c r="B815" s="79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21.0" customHeight="1">
      <c r="A816" s="79"/>
      <c r="B816" s="79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21.0" customHeight="1">
      <c r="A817" s="79"/>
      <c r="B817" s="79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21.0" customHeight="1">
      <c r="A818" s="79"/>
      <c r="B818" s="79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21.0" customHeight="1">
      <c r="A819" s="79"/>
      <c r="B819" s="79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21.0" customHeight="1">
      <c r="A820" s="79"/>
      <c r="B820" s="79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21.0" customHeight="1">
      <c r="A821" s="79"/>
      <c r="B821" s="79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21.0" customHeight="1">
      <c r="A822" s="79"/>
      <c r="B822" s="79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21.0" customHeight="1">
      <c r="A823" s="79"/>
      <c r="B823" s="79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21.0" customHeight="1">
      <c r="A824" s="79"/>
      <c r="B824" s="79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21.0" customHeight="1">
      <c r="A825" s="79"/>
      <c r="B825" s="79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21.0" customHeight="1">
      <c r="A826" s="79"/>
      <c r="B826" s="79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21.0" customHeight="1">
      <c r="A827" s="79"/>
      <c r="B827" s="79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21.0" customHeight="1">
      <c r="A828" s="79"/>
      <c r="B828" s="79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21.0" customHeight="1">
      <c r="A829" s="79"/>
      <c r="B829" s="79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21.0" customHeight="1">
      <c r="A830" s="79"/>
      <c r="B830" s="79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21.0" customHeight="1">
      <c r="A831" s="79"/>
      <c r="B831" s="79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21.0" customHeight="1">
      <c r="A832" s="79"/>
      <c r="B832" s="79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21.0" customHeight="1">
      <c r="A833" s="79"/>
      <c r="B833" s="79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21.0" customHeight="1">
      <c r="A834" s="79"/>
      <c r="B834" s="79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21.0" customHeight="1">
      <c r="A835" s="79"/>
      <c r="B835" s="79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21.0" customHeight="1">
      <c r="A836" s="79"/>
      <c r="B836" s="79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21.0" customHeight="1">
      <c r="A837" s="79"/>
      <c r="B837" s="79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21.0" customHeight="1">
      <c r="A838" s="79"/>
      <c r="B838" s="79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21.0" customHeight="1">
      <c r="A839" s="79"/>
      <c r="B839" s="79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21.0" customHeight="1">
      <c r="A840" s="79"/>
      <c r="B840" s="79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21.0" customHeight="1">
      <c r="A841" s="79"/>
      <c r="B841" s="79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21.0" customHeight="1">
      <c r="A842" s="79"/>
      <c r="B842" s="79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21.0" customHeight="1">
      <c r="A843" s="79"/>
      <c r="B843" s="79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21.0" customHeight="1">
      <c r="A844" s="79"/>
      <c r="B844" s="79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21.0" customHeight="1">
      <c r="A845" s="79"/>
      <c r="B845" s="79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21.0" customHeight="1">
      <c r="A846" s="79"/>
      <c r="B846" s="79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21.0" customHeight="1">
      <c r="A847" s="79"/>
      <c r="B847" s="79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21.0" customHeight="1">
      <c r="A848" s="79"/>
      <c r="B848" s="79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21.0" customHeight="1">
      <c r="A849" s="79"/>
      <c r="B849" s="79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21.0" customHeight="1">
      <c r="A850" s="79"/>
      <c r="B850" s="79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21.0" customHeight="1">
      <c r="A851" s="79"/>
      <c r="B851" s="79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21.0" customHeight="1">
      <c r="A852" s="79"/>
      <c r="B852" s="79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21.0" customHeight="1">
      <c r="A853" s="79"/>
      <c r="B853" s="79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21.0" customHeight="1">
      <c r="A854" s="79"/>
      <c r="B854" s="79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21.0" customHeight="1">
      <c r="A855" s="79"/>
      <c r="B855" s="79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21.0" customHeight="1">
      <c r="A856" s="79"/>
      <c r="B856" s="79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21.0" customHeight="1">
      <c r="A857" s="79"/>
      <c r="B857" s="79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21.0" customHeight="1">
      <c r="A858" s="79"/>
      <c r="B858" s="79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21.0" customHeight="1">
      <c r="A859" s="79"/>
      <c r="B859" s="79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21.0" customHeight="1">
      <c r="A860" s="79"/>
      <c r="B860" s="79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21.0" customHeight="1">
      <c r="A861" s="79"/>
      <c r="B861" s="79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21.0" customHeight="1">
      <c r="A862" s="79"/>
      <c r="B862" s="79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21.0" customHeight="1">
      <c r="A863" s="79"/>
      <c r="B863" s="79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21.0" customHeight="1">
      <c r="A864" s="79"/>
      <c r="B864" s="79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21.0" customHeight="1">
      <c r="A865" s="79"/>
      <c r="B865" s="79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21.0" customHeight="1">
      <c r="A866" s="79"/>
      <c r="B866" s="79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21.0" customHeight="1">
      <c r="A867" s="79"/>
      <c r="B867" s="79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21.0" customHeight="1">
      <c r="A868" s="79"/>
      <c r="B868" s="79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21.0" customHeight="1">
      <c r="A869" s="79"/>
      <c r="B869" s="79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21.0" customHeight="1">
      <c r="A870" s="79"/>
      <c r="B870" s="79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21.0" customHeight="1">
      <c r="A871" s="79"/>
      <c r="B871" s="79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21.0" customHeight="1">
      <c r="A872" s="79"/>
      <c r="B872" s="79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21.0" customHeight="1">
      <c r="A873" s="79"/>
      <c r="B873" s="79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21.0" customHeight="1">
      <c r="A874" s="79"/>
      <c r="B874" s="79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21.0" customHeight="1">
      <c r="A875" s="79"/>
      <c r="B875" s="79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21.0" customHeight="1">
      <c r="A876" s="79"/>
      <c r="B876" s="79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21.0" customHeight="1">
      <c r="A877" s="79"/>
      <c r="B877" s="79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21.0" customHeight="1">
      <c r="A878" s="79"/>
      <c r="B878" s="79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21.0" customHeight="1">
      <c r="A879" s="79"/>
      <c r="B879" s="79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21.0" customHeight="1">
      <c r="A880" s="79"/>
      <c r="B880" s="79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21.0" customHeight="1">
      <c r="A881" s="79"/>
      <c r="B881" s="79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21.0" customHeight="1">
      <c r="A882" s="79"/>
      <c r="B882" s="79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21.0" customHeight="1">
      <c r="A883" s="79"/>
      <c r="B883" s="79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21.0" customHeight="1">
      <c r="A884" s="79"/>
      <c r="B884" s="79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21.0" customHeight="1">
      <c r="A885" s="79"/>
      <c r="B885" s="79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21.0" customHeight="1">
      <c r="A886" s="79"/>
      <c r="B886" s="79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21.0" customHeight="1">
      <c r="A887" s="79"/>
      <c r="B887" s="79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21.0" customHeight="1">
      <c r="A888" s="79"/>
      <c r="B888" s="79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21.0" customHeight="1">
      <c r="A889" s="79"/>
      <c r="B889" s="79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21.0" customHeight="1">
      <c r="A890" s="79"/>
      <c r="B890" s="79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21.0" customHeight="1">
      <c r="A891" s="79"/>
      <c r="B891" s="79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21.0" customHeight="1">
      <c r="A892" s="79"/>
      <c r="B892" s="79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21.0" customHeight="1">
      <c r="A893" s="79"/>
      <c r="B893" s="79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21.0" customHeight="1">
      <c r="A894" s="79"/>
      <c r="B894" s="79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21.0" customHeight="1">
      <c r="A895" s="79"/>
      <c r="B895" s="79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21.0" customHeight="1">
      <c r="A896" s="79"/>
      <c r="B896" s="79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21.0" customHeight="1">
      <c r="A897" s="79"/>
      <c r="B897" s="79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21.0" customHeight="1">
      <c r="A898" s="79"/>
      <c r="B898" s="79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21.0" customHeight="1">
      <c r="A899" s="79"/>
      <c r="B899" s="79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21.0" customHeight="1">
      <c r="A900" s="79"/>
      <c r="B900" s="79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21.0" customHeight="1">
      <c r="A901" s="79"/>
      <c r="B901" s="79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21.0" customHeight="1">
      <c r="A902" s="79"/>
      <c r="B902" s="79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21.0" customHeight="1">
      <c r="A903" s="79"/>
      <c r="B903" s="79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21.0" customHeight="1">
      <c r="A904" s="79"/>
      <c r="B904" s="79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21.0" customHeight="1">
      <c r="A905" s="79"/>
      <c r="B905" s="79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21.0" customHeight="1">
      <c r="A906" s="79"/>
      <c r="B906" s="79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21.0" customHeight="1">
      <c r="A907" s="79"/>
      <c r="B907" s="79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21.0" customHeight="1">
      <c r="A908" s="79"/>
      <c r="B908" s="79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21.0" customHeight="1">
      <c r="A909" s="79"/>
      <c r="B909" s="79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21.0" customHeight="1">
      <c r="A910" s="79"/>
      <c r="B910" s="79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21.0" customHeight="1">
      <c r="A911" s="79"/>
      <c r="B911" s="79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21.0" customHeight="1">
      <c r="A912" s="79"/>
      <c r="B912" s="79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21.0" customHeight="1">
      <c r="A913" s="79"/>
      <c r="B913" s="79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21.0" customHeight="1">
      <c r="A914" s="79"/>
      <c r="B914" s="79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21.0" customHeight="1">
      <c r="A915" s="79"/>
      <c r="B915" s="79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21.0" customHeight="1">
      <c r="A916" s="79"/>
      <c r="B916" s="79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21.0" customHeight="1">
      <c r="A917" s="79"/>
      <c r="B917" s="79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21.0" customHeight="1">
      <c r="A918" s="79"/>
      <c r="B918" s="79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21.0" customHeight="1">
      <c r="A919" s="79"/>
      <c r="B919" s="79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21.0" customHeight="1">
      <c r="A920" s="79"/>
      <c r="B920" s="79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21.0" customHeight="1">
      <c r="A921" s="79"/>
      <c r="B921" s="79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21.0" customHeight="1">
      <c r="A922" s="79"/>
      <c r="B922" s="79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21.0" customHeight="1">
      <c r="A923" s="79"/>
      <c r="B923" s="79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21.0" customHeight="1">
      <c r="A924" s="79"/>
      <c r="B924" s="79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21.0" customHeight="1">
      <c r="A925" s="79"/>
      <c r="B925" s="79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21.0" customHeight="1">
      <c r="A926" s="79"/>
      <c r="B926" s="79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21.0" customHeight="1">
      <c r="A927" s="79"/>
      <c r="B927" s="79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21.0" customHeight="1">
      <c r="A928" s="79"/>
      <c r="B928" s="79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21.0" customHeight="1">
      <c r="A929" s="79"/>
      <c r="B929" s="79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21.0" customHeight="1">
      <c r="A930" s="79"/>
      <c r="B930" s="79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21.0" customHeight="1">
      <c r="A931" s="79"/>
      <c r="B931" s="79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21.0" customHeight="1">
      <c r="A932" s="79"/>
      <c r="B932" s="79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21.0" customHeight="1">
      <c r="A933" s="79"/>
      <c r="B933" s="79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21.0" customHeight="1">
      <c r="A934" s="79"/>
      <c r="B934" s="79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21.0" customHeight="1">
      <c r="A935" s="79"/>
      <c r="B935" s="79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21.0" customHeight="1">
      <c r="A936" s="79"/>
      <c r="B936" s="79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21.0" customHeight="1">
      <c r="A937" s="79"/>
      <c r="B937" s="79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21.0" customHeight="1">
      <c r="A938" s="79"/>
      <c r="B938" s="79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21.0" customHeight="1">
      <c r="A939" s="79"/>
      <c r="B939" s="79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21.0" customHeight="1">
      <c r="A940" s="79"/>
      <c r="B940" s="79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21.0" customHeight="1">
      <c r="A941" s="79"/>
      <c r="B941" s="79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21.0" customHeight="1">
      <c r="A942" s="79"/>
      <c r="B942" s="79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21.0" customHeight="1">
      <c r="A943" s="79"/>
      <c r="B943" s="79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21.0" customHeight="1">
      <c r="A944" s="79"/>
      <c r="B944" s="79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21.0" customHeight="1">
      <c r="A945" s="79"/>
      <c r="B945" s="79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21.0" customHeight="1">
      <c r="A946" s="79"/>
      <c r="B946" s="79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21.0" customHeight="1">
      <c r="A947" s="79"/>
      <c r="B947" s="79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21.0" customHeight="1">
      <c r="A948" s="79"/>
      <c r="B948" s="79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21.0" customHeight="1">
      <c r="A949" s="79"/>
      <c r="B949" s="79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21.0" customHeight="1">
      <c r="A950" s="79"/>
      <c r="B950" s="79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21.0" customHeight="1">
      <c r="A951" s="79"/>
      <c r="B951" s="79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21.0" customHeight="1">
      <c r="A952" s="79"/>
      <c r="B952" s="79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21.0" customHeight="1">
      <c r="A953" s="79"/>
      <c r="B953" s="79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21.0" customHeight="1">
      <c r="A954" s="79"/>
      <c r="B954" s="79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21.0" customHeight="1">
      <c r="A955" s="79"/>
      <c r="B955" s="79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21.0" customHeight="1">
      <c r="A956" s="79"/>
      <c r="B956" s="79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21.0" customHeight="1">
      <c r="A957" s="79"/>
      <c r="B957" s="79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21.0" customHeight="1">
      <c r="A958" s="79"/>
      <c r="B958" s="79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21.0" customHeight="1">
      <c r="A959" s="79"/>
      <c r="B959" s="79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21.0" customHeight="1">
      <c r="A960" s="79"/>
      <c r="B960" s="79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21.0" customHeight="1">
      <c r="A961" s="79"/>
      <c r="B961" s="79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21.0" customHeight="1">
      <c r="A962" s="79"/>
      <c r="B962" s="79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21.0" customHeight="1">
      <c r="A963" s="79"/>
      <c r="B963" s="79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21.0" customHeight="1">
      <c r="A964" s="79"/>
      <c r="B964" s="79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21.0" customHeight="1">
      <c r="A965" s="79"/>
      <c r="B965" s="79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21.0" customHeight="1">
      <c r="A966" s="79"/>
      <c r="B966" s="79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21.0" customHeight="1">
      <c r="A967" s="79"/>
      <c r="B967" s="79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21.0" customHeight="1">
      <c r="A968" s="79"/>
      <c r="B968" s="79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21.0" customHeight="1">
      <c r="A969" s="79"/>
      <c r="B969" s="79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21.0" customHeight="1">
      <c r="A970" s="79"/>
      <c r="B970" s="79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21.0" customHeight="1">
      <c r="A971" s="79"/>
      <c r="B971" s="79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21.0" customHeight="1">
      <c r="A972" s="79"/>
      <c r="B972" s="79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21.0" customHeight="1">
      <c r="A973" s="79"/>
      <c r="B973" s="79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21.0" customHeight="1">
      <c r="A974" s="79"/>
      <c r="B974" s="79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21.0" customHeight="1">
      <c r="A975" s="79"/>
      <c r="B975" s="79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21.0" customHeight="1">
      <c r="A976" s="79"/>
      <c r="B976" s="79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21.0" customHeight="1">
      <c r="A977" s="79"/>
      <c r="B977" s="79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21.0" customHeight="1">
      <c r="A978" s="79"/>
      <c r="B978" s="79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21.0" customHeight="1">
      <c r="A979" s="79"/>
      <c r="B979" s="79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21.0" customHeight="1">
      <c r="A980" s="79"/>
      <c r="B980" s="79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21.0" customHeight="1">
      <c r="A981" s="79"/>
      <c r="B981" s="79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21.0" customHeight="1">
      <c r="A982" s="79"/>
      <c r="B982" s="79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21.0" customHeight="1">
      <c r="A983" s="79"/>
      <c r="B983" s="79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21.0" customHeight="1">
      <c r="A984" s="79"/>
      <c r="B984" s="79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21.0" customHeight="1">
      <c r="A985" s="79"/>
      <c r="B985" s="79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21.0" customHeight="1">
      <c r="A986" s="79"/>
      <c r="B986" s="79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21.0" customHeight="1">
      <c r="A987" s="79"/>
      <c r="B987" s="79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21.0" customHeight="1">
      <c r="A988" s="79"/>
      <c r="B988" s="79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21.0" customHeight="1">
      <c r="A989" s="79"/>
      <c r="B989" s="79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21.0" customHeight="1">
      <c r="A990" s="79"/>
      <c r="B990" s="79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21.0" customHeight="1">
      <c r="A991" s="79"/>
      <c r="B991" s="79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21.0" customHeight="1">
      <c r="A992" s="79"/>
      <c r="B992" s="79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21.0" customHeight="1">
      <c r="A993" s="79"/>
      <c r="B993" s="79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21.0" customHeight="1">
      <c r="A994" s="79"/>
      <c r="B994" s="79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21.0" customHeight="1">
      <c r="A995" s="79"/>
      <c r="B995" s="79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21.0" customHeight="1">
      <c r="A996" s="79"/>
      <c r="B996" s="79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21.0" customHeight="1">
      <c r="A997" s="79"/>
      <c r="B997" s="79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21.0" customHeight="1">
      <c r="A998" s="79"/>
      <c r="B998" s="79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21.0" customHeight="1">
      <c r="A999" s="79"/>
      <c r="B999" s="79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21.0" customHeight="1">
      <c r="A1000" s="79"/>
      <c r="B1000" s="79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autoFilter ref="$A$3:$M$50"/>
  <mergeCells count="4">
    <mergeCell ref="A1:M1"/>
    <mergeCell ref="A2:D2"/>
    <mergeCell ref="E2:F2"/>
    <mergeCell ref="H2:M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2.75"/>
    <col customWidth="1" min="3" max="3" width="17.0"/>
    <col customWidth="1" min="4" max="4" width="21.63"/>
    <col customWidth="1" min="5" max="6" width="9.13"/>
    <col customWidth="1" min="7" max="26" width="8.63"/>
  </cols>
  <sheetData>
    <row r="1" ht="27.75" customHeight="1">
      <c r="A1" s="152" t="s">
        <v>217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21.0" customHeight="1">
      <c r="A2" s="88" t="s">
        <v>155</v>
      </c>
      <c r="B2" s="88" t="s">
        <v>64</v>
      </c>
      <c r="C2" s="88" t="s">
        <v>5</v>
      </c>
      <c r="D2" s="88" t="s">
        <v>82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21.0" customHeight="1">
      <c r="A3" s="77">
        <v>5.5421671E7</v>
      </c>
      <c r="B3" s="77" t="s">
        <v>218</v>
      </c>
      <c r="C3" s="67">
        <v>1.13065334E8</v>
      </c>
      <c r="D3" s="67">
        <v>6.061232972E9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21.0" customHeight="1">
      <c r="A4" s="77">
        <v>1.03336195E8</v>
      </c>
      <c r="B4" s="77" t="s">
        <v>219</v>
      </c>
      <c r="C4" s="67">
        <v>9.7889926E7</v>
      </c>
      <c r="D4" s="67">
        <v>4.213987665E9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21.0" customHeight="1">
      <c r="A5" s="77">
        <v>5.5809672E7</v>
      </c>
      <c r="B5" s="77" t="s">
        <v>220</v>
      </c>
      <c r="C5" s="67">
        <v>8.4280844E7</v>
      </c>
      <c r="D5" s="67">
        <v>4.78442287E8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1.0" customHeight="1">
      <c r="A6" s="77"/>
      <c r="B6" s="77"/>
      <c r="C6" s="67"/>
      <c r="D6" s="6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1.0" customHeight="1">
      <c r="A7" s="77"/>
      <c r="B7" s="77"/>
      <c r="C7" s="67"/>
      <c r="D7" s="6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1.0" customHeight="1">
      <c r="A8" s="77"/>
      <c r="B8" s="77"/>
      <c r="C8" s="67"/>
      <c r="D8" s="6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1.0" customHeight="1">
      <c r="A9" s="77"/>
      <c r="B9" s="77"/>
      <c r="C9" s="67"/>
      <c r="D9" s="6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21.0" customHeight="1">
      <c r="A10" s="77"/>
      <c r="B10" s="77"/>
      <c r="C10" s="67"/>
      <c r="D10" s="6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21.0" customHeight="1">
      <c r="A11" s="77"/>
      <c r="B11" s="77"/>
      <c r="C11" s="67"/>
      <c r="D11" s="6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21.0" customHeight="1">
      <c r="A12" s="77"/>
      <c r="B12" s="77"/>
      <c r="C12" s="67"/>
      <c r="D12" s="6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21.0" customHeight="1">
      <c r="A13" s="77"/>
      <c r="B13" s="77"/>
      <c r="C13" s="67"/>
      <c r="D13" s="6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21.0" customHeight="1">
      <c r="A14" s="77"/>
      <c r="B14" s="77"/>
      <c r="C14" s="67"/>
      <c r="D14" s="6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21.0" customHeight="1">
      <c r="A15" s="77"/>
      <c r="B15" s="77"/>
      <c r="C15" s="67"/>
      <c r="D15" s="6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21.0" customHeight="1">
      <c r="A16" s="77"/>
      <c r="B16" s="77"/>
      <c r="C16" s="67"/>
      <c r="D16" s="6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21.0" customHeight="1">
      <c r="A17" s="77"/>
      <c r="B17" s="77"/>
      <c r="C17" s="67"/>
      <c r="D17" s="6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21.0" customHeight="1">
      <c r="A18" s="77"/>
      <c r="B18" s="77"/>
      <c r="C18" s="67"/>
      <c r="D18" s="6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21.0" customHeight="1">
      <c r="A19" s="77"/>
      <c r="B19" s="77"/>
      <c r="C19" s="67"/>
      <c r="D19" s="6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21.0" customHeight="1">
      <c r="A20" s="77"/>
      <c r="B20" s="77"/>
      <c r="C20" s="67"/>
      <c r="D20" s="6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21.0" customHeight="1">
      <c r="A21" s="77"/>
      <c r="B21" s="77"/>
      <c r="C21" s="67"/>
      <c r="D21" s="6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21.0" customHeight="1">
      <c r="A22" s="77"/>
      <c r="B22" s="77"/>
      <c r="C22" s="67"/>
      <c r="D22" s="6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21.0" customHeight="1">
      <c r="A23" s="77"/>
      <c r="B23" s="77"/>
      <c r="C23" s="67"/>
      <c r="D23" s="6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21.0" customHeight="1">
      <c r="A24" s="77"/>
      <c r="B24" s="77"/>
      <c r="C24" s="67"/>
      <c r="D24" s="6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21.0" customHeight="1">
      <c r="A25" s="77"/>
      <c r="B25" s="77"/>
      <c r="C25" s="67"/>
      <c r="D25" s="6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21.0" customHeight="1">
      <c r="A26" s="77"/>
      <c r="B26" s="77"/>
      <c r="C26" s="67"/>
      <c r="D26" s="6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21.0" customHeight="1">
      <c r="A27" s="77"/>
      <c r="B27" s="77"/>
      <c r="C27" s="67"/>
      <c r="D27" s="6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21.0" customHeight="1">
      <c r="A28" s="77"/>
      <c r="B28" s="77"/>
      <c r="C28" s="67"/>
      <c r="D28" s="6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21.0" customHeight="1">
      <c r="A29" s="77"/>
      <c r="B29" s="77"/>
      <c r="C29" s="67"/>
      <c r="D29" s="6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21.0" customHeight="1">
      <c r="A30" s="77"/>
      <c r="B30" s="77"/>
      <c r="C30" s="67"/>
      <c r="D30" s="6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21.0" customHeight="1">
      <c r="A31" s="77"/>
      <c r="B31" s="77"/>
      <c r="C31" s="67"/>
      <c r="D31" s="6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21.0" customHeight="1">
      <c r="A32" s="77"/>
      <c r="B32" s="77"/>
      <c r="C32" s="67"/>
      <c r="D32" s="6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21.0" customHeight="1">
      <c r="A33" s="77"/>
      <c r="B33" s="77"/>
      <c r="C33" s="67"/>
      <c r="D33" s="6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21.0" customHeight="1">
      <c r="A34" s="77"/>
      <c r="B34" s="77"/>
      <c r="C34" s="67"/>
      <c r="D34" s="6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21.0" customHeight="1">
      <c r="A35" s="77"/>
      <c r="B35" s="77"/>
      <c r="C35" s="67"/>
      <c r="D35" s="6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21.0" customHeight="1">
      <c r="A36" s="77"/>
      <c r="B36" s="77"/>
      <c r="C36" s="67"/>
      <c r="D36" s="6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21.0" customHeight="1">
      <c r="A37" s="77"/>
      <c r="B37" s="77"/>
      <c r="C37" s="67"/>
      <c r="D37" s="6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21.0" customHeight="1">
      <c r="A38" s="77"/>
      <c r="B38" s="77"/>
      <c r="C38" s="67"/>
      <c r="D38" s="6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21.0" customHeight="1">
      <c r="A39" s="77"/>
      <c r="B39" s="77"/>
      <c r="C39" s="67"/>
      <c r="D39" s="6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21.0" customHeight="1">
      <c r="A40" s="77"/>
      <c r="B40" s="77"/>
      <c r="C40" s="67"/>
      <c r="D40" s="6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21.0" customHeight="1">
      <c r="A41" s="77"/>
      <c r="B41" s="77"/>
      <c r="C41" s="67"/>
      <c r="D41" s="6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21.0" customHeight="1">
      <c r="A42" s="77"/>
      <c r="B42" s="77"/>
      <c r="C42" s="67"/>
      <c r="D42" s="6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21.0" customHeight="1">
      <c r="A43" s="77"/>
      <c r="B43" s="77"/>
      <c r="C43" s="67"/>
      <c r="D43" s="6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21.0" customHeight="1">
      <c r="A44" s="77"/>
      <c r="B44" s="77"/>
      <c r="C44" s="67"/>
      <c r="D44" s="6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21.0" customHeight="1">
      <c r="A45" s="77"/>
      <c r="B45" s="77"/>
      <c r="C45" s="67"/>
      <c r="D45" s="6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21.0" customHeight="1">
      <c r="A46" s="77"/>
      <c r="B46" s="77"/>
      <c r="C46" s="67"/>
      <c r="D46" s="6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21.0" customHeight="1">
      <c r="A47" s="77"/>
      <c r="B47" s="77"/>
      <c r="C47" s="67"/>
      <c r="D47" s="6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21.0" customHeight="1">
      <c r="A48" s="77"/>
      <c r="B48" s="77"/>
      <c r="C48" s="67"/>
      <c r="D48" s="6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21.0" customHeight="1">
      <c r="A49" s="77"/>
      <c r="B49" s="77"/>
      <c r="C49" s="67"/>
      <c r="D49" s="6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21.0" customHeight="1">
      <c r="A50" s="77"/>
      <c r="B50" s="77"/>
      <c r="C50" s="67"/>
      <c r="D50" s="6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21.0" customHeight="1">
      <c r="A51" s="77"/>
      <c r="B51" s="77"/>
      <c r="C51" s="67"/>
      <c r="D51" s="6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21.0" customHeight="1">
      <c r="A52" s="77"/>
      <c r="B52" s="77"/>
      <c r="C52" s="67"/>
      <c r="D52" s="6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21.0" customHeight="1">
      <c r="A53" s="77"/>
      <c r="B53" s="77"/>
      <c r="C53" s="67"/>
      <c r="D53" s="6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21.0" customHeight="1">
      <c r="A54" s="77"/>
      <c r="B54" s="77"/>
      <c r="C54" s="67"/>
      <c r="D54" s="6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21.0" customHeight="1">
      <c r="A55" s="77"/>
      <c r="B55" s="77"/>
      <c r="C55" s="67"/>
      <c r="D55" s="6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21.0" customHeight="1">
      <c r="A56" s="77"/>
      <c r="B56" s="77"/>
      <c r="C56" s="67"/>
      <c r="D56" s="6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21.0" customHeight="1">
      <c r="A57" s="77"/>
      <c r="B57" s="77"/>
      <c r="C57" s="67"/>
      <c r="D57" s="6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21.0" customHeight="1">
      <c r="A58" s="77"/>
      <c r="B58" s="77"/>
      <c r="C58" s="67"/>
      <c r="D58" s="6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21.0" customHeight="1">
      <c r="A59" s="77"/>
      <c r="B59" s="77"/>
      <c r="C59" s="67"/>
      <c r="D59" s="6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21.0" customHeight="1">
      <c r="A60" s="77"/>
      <c r="B60" s="77"/>
      <c r="C60" s="67"/>
      <c r="D60" s="6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21.0" customHeight="1">
      <c r="A61" s="77"/>
      <c r="B61" s="77"/>
      <c r="C61" s="67"/>
      <c r="D61" s="6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21.0" customHeight="1">
      <c r="A62" s="77"/>
      <c r="B62" s="77"/>
      <c r="C62" s="67"/>
      <c r="D62" s="6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21.0" customHeight="1">
      <c r="A63" s="77"/>
      <c r="B63" s="77"/>
      <c r="C63" s="67"/>
      <c r="D63" s="6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21.0" customHeight="1">
      <c r="A64" s="77"/>
      <c r="B64" s="77"/>
      <c r="C64" s="67"/>
      <c r="D64" s="6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21.0" customHeight="1">
      <c r="A65" s="77"/>
      <c r="B65" s="77"/>
      <c r="C65" s="67"/>
      <c r="D65" s="6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21.0" customHeight="1">
      <c r="A66" s="77"/>
      <c r="B66" s="77"/>
      <c r="C66" s="67"/>
      <c r="D66" s="6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21.0" customHeight="1">
      <c r="A67" s="77"/>
      <c r="B67" s="77"/>
      <c r="C67" s="67"/>
      <c r="D67" s="6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21.0" customHeight="1">
      <c r="A68" s="77"/>
      <c r="B68" s="77"/>
      <c r="C68" s="67"/>
      <c r="D68" s="6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21.0" customHeight="1">
      <c r="A69" s="77"/>
      <c r="B69" s="77"/>
      <c r="C69" s="67"/>
      <c r="D69" s="6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21.0" customHeight="1">
      <c r="A70" s="77"/>
      <c r="B70" s="77"/>
      <c r="C70" s="67"/>
      <c r="D70" s="6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21.0" customHeight="1">
      <c r="A71" s="77"/>
      <c r="B71" s="77"/>
      <c r="C71" s="67"/>
      <c r="D71" s="6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21.0" customHeight="1">
      <c r="A72" s="77"/>
      <c r="B72" s="77"/>
      <c r="C72" s="67"/>
      <c r="D72" s="6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21.0" customHeight="1">
      <c r="A73" s="77"/>
      <c r="B73" s="77"/>
      <c r="C73" s="67"/>
      <c r="D73" s="6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21.0" customHeight="1">
      <c r="A74" s="77"/>
      <c r="B74" s="77"/>
      <c r="C74" s="67"/>
      <c r="D74" s="6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21.0" customHeight="1">
      <c r="A75" s="77"/>
      <c r="B75" s="77"/>
      <c r="C75" s="67"/>
      <c r="D75" s="6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21.0" customHeight="1">
      <c r="A76" s="77"/>
      <c r="B76" s="77"/>
      <c r="C76" s="67"/>
      <c r="D76" s="6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21.0" customHeight="1">
      <c r="A77" s="77"/>
      <c r="B77" s="77"/>
      <c r="C77" s="67"/>
      <c r="D77" s="6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21.0" customHeight="1">
      <c r="A78" s="77"/>
      <c r="B78" s="77"/>
      <c r="C78" s="67"/>
      <c r="D78" s="6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21.0" customHeight="1">
      <c r="A79" s="77"/>
      <c r="B79" s="77"/>
      <c r="C79" s="67"/>
      <c r="D79" s="6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21.0" customHeight="1">
      <c r="A80" s="77"/>
      <c r="B80" s="77"/>
      <c r="C80" s="67"/>
      <c r="D80" s="6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21.0" customHeight="1">
      <c r="A81" s="77"/>
      <c r="B81" s="77"/>
      <c r="C81" s="67"/>
      <c r="D81" s="6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21.0" customHeight="1">
      <c r="A82" s="77"/>
      <c r="B82" s="77"/>
      <c r="C82" s="67"/>
      <c r="D82" s="6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21.0" customHeight="1">
      <c r="A83" s="77"/>
      <c r="B83" s="77"/>
      <c r="C83" s="67"/>
      <c r="D83" s="6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21.0" customHeight="1">
      <c r="A84" s="77"/>
      <c r="B84" s="77"/>
      <c r="C84" s="67"/>
      <c r="D84" s="6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21.0" customHeight="1">
      <c r="A85" s="77"/>
      <c r="B85" s="77"/>
      <c r="C85" s="67"/>
      <c r="D85" s="6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21.0" customHeight="1">
      <c r="A86" s="77"/>
      <c r="B86" s="77"/>
      <c r="C86" s="67"/>
      <c r="D86" s="6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21.0" customHeight="1">
      <c r="A87" s="77"/>
      <c r="B87" s="77"/>
      <c r="C87" s="67"/>
      <c r="D87" s="6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21.0" customHeight="1">
      <c r="A88" s="77"/>
      <c r="B88" s="77"/>
      <c r="C88" s="67"/>
      <c r="D88" s="6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21.0" customHeight="1">
      <c r="A89" s="77"/>
      <c r="B89" s="77"/>
      <c r="C89" s="67"/>
      <c r="D89" s="6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21.0" customHeight="1">
      <c r="A90" s="77"/>
      <c r="B90" s="77"/>
      <c r="C90" s="67"/>
      <c r="D90" s="6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21.0" customHeight="1">
      <c r="A91" s="77"/>
      <c r="B91" s="77"/>
      <c r="C91" s="67"/>
      <c r="D91" s="6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21.0" customHeight="1">
      <c r="A92" s="77"/>
      <c r="B92" s="77"/>
      <c r="C92" s="67"/>
      <c r="D92" s="6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21.0" customHeight="1">
      <c r="A93" s="77"/>
      <c r="B93" s="77"/>
      <c r="C93" s="67"/>
      <c r="D93" s="6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21.0" customHeight="1">
      <c r="A94" s="77"/>
      <c r="B94" s="77"/>
      <c r="C94" s="67"/>
      <c r="D94" s="6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21.0" customHeight="1">
      <c r="A95" s="77"/>
      <c r="B95" s="77"/>
      <c r="C95" s="67"/>
      <c r="D95" s="6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21.0" customHeight="1">
      <c r="A96" s="77"/>
      <c r="B96" s="77"/>
      <c r="C96" s="67"/>
      <c r="D96" s="6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21.0" customHeight="1">
      <c r="A97" s="77"/>
      <c r="B97" s="77"/>
      <c r="C97" s="67"/>
      <c r="D97" s="6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21.0" customHeight="1">
      <c r="A98" s="77"/>
      <c r="B98" s="77"/>
      <c r="C98" s="67"/>
      <c r="D98" s="6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21.0" customHeight="1">
      <c r="A99" s="77"/>
      <c r="B99" s="77"/>
      <c r="C99" s="67"/>
      <c r="D99" s="6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21.0" customHeight="1">
      <c r="A100" s="77"/>
      <c r="B100" s="77"/>
      <c r="C100" s="67"/>
      <c r="D100" s="6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21.0" customHeight="1">
      <c r="A101" s="77"/>
      <c r="B101" s="77"/>
      <c r="C101" s="67"/>
      <c r="D101" s="6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21.0" customHeight="1">
      <c r="A102" s="77"/>
      <c r="B102" s="77"/>
      <c r="C102" s="67"/>
      <c r="D102" s="6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21.0" customHeight="1">
      <c r="A103" s="77"/>
      <c r="B103" s="77"/>
      <c r="C103" s="67"/>
      <c r="D103" s="6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21.0" customHeight="1">
      <c r="A104" s="77"/>
      <c r="B104" s="77"/>
      <c r="C104" s="67"/>
      <c r="D104" s="6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21.0" customHeight="1">
      <c r="A105" s="77"/>
      <c r="B105" s="77"/>
      <c r="C105" s="67"/>
      <c r="D105" s="6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21.0" customHeight="1">
      <c r="A106" s="77"/>
      <c r="B106" s="77"/>
      <c r="C106" s="67"/>
      <c r="D106" s="6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21.0" customHeight="1">
      <c r="A107" s="77"/>
      <c r="B107" s="77"/>
      <c r="C107" s="67"/>
      <c r="D107" s="6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21.0" customHeight="1">
      <c r="A108" s="77"/>
      <c r="B108" s="77"/>
      <c r="C108" s="67"/>
      <c r="D108" s="6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21.0" customHeight="1">
      <c r="A109" s="77"/>
      <c r="B109" s="77"/>
      <c r="C109" s="67"/>
      <c r="D109" s="6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21.0" customHeight="1">
      <c r="A110" s="77"/>
      <c r="B110" s="77"/>
      <c r="C110" s="67"/>
      <c r="D110" s="6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21.0" customHeight="1">
      <c r="A111" s="77"/>
      <c r="B111" s="77"/>
      <c r="C111" s="67"/>
      <c r="D111" s="6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21.0" customHeight="1">
      <c r="A112" s="77"/>
      <c r="B112" s="77"/>
      <c r="C112" s="67"/>
      <c r="D112" s="6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21.0" customHeight="1">
      <c r="A113" s="77"/>
      <c r="B113" s="77"/>
      <c r="C113" s="67"/>
      <c r="D113" s="6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21.0" customHeight="1">
      <c r="A114" s="77"/>
      <c r="B114" s="77"/>
      <c r="C114" s="67"/>
      <c r="D114" s="6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21.0" customHeight="1">
      <c r="A115" s="77"/>
      <c r="B115" s="77"/>
      <c r="C115" s="67"/>
      <c r="D115" s="6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21.0" customHeight="1">
      <c r="A116" s="77"/>
      <c r="B116" s="77"/>
      <c r="C116" s="67"/>
      <c r="D116" s="6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21.0" customHeight="1">
      <c r="A117" s="77"/>
      <c r="B117" s="77"/>
      <c r="C117" s="67"/>
      <c r="D117" s="6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21.0" customHeight="1">
      <c r="A118" s="77"/>
      <c r="B118" s="77"/>
      <c r="C118" s="67"/>
      <c r="D118" s="6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21.0" customHeight="1">
      <c r="A119" s="77"/>
      <c r="B119" s="77"/>
      <c r="C119" s="67"/>
      <c r="D119" s="6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21.0" customHeight="1">
      <c r="A120" s="77"/>
      <c r="B120" s="77"/>
      <c r="C120" s="67"/>
      <c r="D120" s="6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21.0" customHeight="1">
      <c r="A121" s="77"/>
      <c r="B121" s="77"/>
      <c r="C121" s="67"/>
      <c r="D121" s="6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21.0" customHeight="1">
      <c r="A122" s="77"/>
      <c r="B122" s="77"/>
      <c r="C122" s="67"/>
      <c r="D122" s="6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21.0" customHeight="1">
      <c r="A123" s="77"/>
      <c r="B123" s="77"/>
      <c r="C123" s="67"/>
      <c r="D123" s="6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21.0" customHeight="1">
      <c r="A124" s="77"/>
      <c r="B124" s="77"/>
      <c r="C124" s="67"/>
      <c r="D124" s="6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21.0" customHeight="1">
      <c r="A125" s="77"/>
      <c r="B125" s="77"/>
      <c r="C125" s="67"/>
      <c r="D125" s="6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21.0" customHeight="1">
      <c r="A126" s="77"/>
      <c r="B126" s="77"/>
      <c r="C126" s="67"/>
      <c r="D126" s="6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21.0" customHeight="1">
      <c r="A127" s="77"/>
      <c r="B127" s="77"/>
      <c r="C127" s="67"/>
      <c r="D127" s="6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21.0" customHeight="1">
      <c r="A128" s="77"/>
      <c r="B128" s="77"/>
      <c r="C128" s="67"/>
      <c r="D128" s="6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21.0" customHeight="1">
      <c r="A129" s="77"/>
      <c r="B129" s="77"/>
      <c r="C129" s="67"/>
      <c r="D129" s="6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21.0" customHeight="1">
      <c r="A130" s="77"/>
      <c r="B130" s="77"/>
      <c r="C130" s="67"/>
      <c r="D130" s="6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21.0" customHeight="1">
      <c r="A131" s="77"/>
      <c r="B131" s="77"/>
      <c r="C131" s="67"/>
      <c r="D131" s="6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21.0" customHeight="1">
      <c r="A132" s="77"/>
      <c r="B132" s="77"/>
      <c r="C132" s="67"/>
      <c r="D132" s="6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21.0" customHeight="1">
      <c r="A133" s="77"/>
      <c r="B133" s="77"/>
      <c r="C133" s="67"/>
      <c r="D133" s="6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21.0" customHeight="1">
      <c r="A134" s="77"/>
      <c r="B134" s="77"/>
      <c r="C134" s="67"/>
      <c r="D134" s="6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21.0" customHeight="1">
      <c r="A135" s="77"/>
      <c r="B135" s="77"/>
      <c r="C135" s="67"/>
      <c r="D135" s="6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21.0" customHeight="1">
      <c r="A136" s="77"/>
      <c r="B136" s="77"/>
      <c r="C136" s="67"/>
      <c r="D136" s="6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21.0" customHeight="1">
      <c r="A137" s="77"/>
      <c r="B137" s="77"/>
      <c r="C137" s="67"/>
      <c r="D137" s="6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21.0" customHeight="1">
      <c r="A138" s="77"/>
      <c r="B138" s="77"/>
      <c r="C138" s="67"/>
      <c r="D138" s="6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21.0" customHeight="1">
      <c r="A139" s="77"/>
      <c r="B139" s="77"/>
      <c r="C139" s="67"/>
      <c r="D139" s="6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21.0" customHeight="1">
      <c r="A140" s="77"/>
      <c r="B140" s="77"/>
      <c r="C140" s="67"/>
      <c r="D140" s="6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21.0" customHeight="1">
      <c r="A141" s="77"/>
      <c r="B141" s="77"/>
      <c r="C141" s="67"/>
      <c r="D141" s="6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21.0" customHeight="1">
      <c r="A142" s="77"/>
      <c r="B142" s="77"/>
      <c r="C142" s="67"/>
      <c r="D142" s="6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21.0" customHeight="1">
      <c r="A143" s="77"/>
      <c r="B143" s="77"/>
      <c r="C143" s="67"/>
      <c r="D143" s="6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21.0" customHeight="1">
      <c r="A144" s="77"/>
      <c r="B144" s="77"/>
      <c r="C144" s="67"/>
      <c r="D144" s="6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21.0" customHeight="1">
      <c r="A145" s="77"/>
      <c r="B145" s="77"/>
      <c r="C145" s="67"/>
      <c r="D145" s="6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21.0" customHeight="1">
      <c r="A146" s="77"/>
      <c r="B146" s="77"/>
      <c r="C146" s="67"/>
      <c r="D146" s="6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21.0" customHeight="1">
      <c r="A147" s="77"/>
      <c r="B147" s="77"/>
      <c r="C147" s="67"/>
      <c r="D147" s="6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21.0" customHeight="1">
      <c r="A148" s="77"/>
      <c r="B148" s="77"/>
      <c r="C148" s="67"/>
      <c r="D148" s="6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21.0" customHeight="1">
      <c r="A149" s="77"/>
      <c r="B149" s="77"/>
      <c r="C149" s="67"/>
      <c r="D149" s="6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21.0" customHeight="1">
      <c r="A150" s="77"/>
      <c r="B150" s="77"/>
      <c r="C150" s="67"/>
      <c r="D150" s="6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21.0" customHeight="1">
      <c r="A151" s="77"/>
      <c r="B151" s="77"/>
      <c r="C151" s="67"/>
      <c r="D151" s="6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21.0" customHeight="1">
      <c r="A152" s="77"/>
      <c r="B152" s="77"/>
      <c r="C152" s="67"/>
      <c r="D152" s="6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21.0" customHeight="1">
      <c r="A153" s="77"/>
      <c r="B153" s="77"/>
      <c r="C153" s="67"/>
      <c r="D153" s="6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21.0" customHeight="1">
      <c r="A154" s="77"/>
      <c r="B154" s="77"/>
      <c r="C154" s="67"/>
      <c r="D154" s="6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21.0" customHeight="1">
      <c r="A155" s="77"/>
      <c r="B155" s="77"/>
      <c r="C155" s="67"/>
      <c r="D155" s="6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21.0" customHeight="1">
      <c r="A156" s="77"/>
      <c r="B156" s="77"/>
      <c r="C156" s="67"/>
      <c r="D156" s="6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21.0" customHeight="1">
      <c r="A157" s="77"/>
      <c r="B157" s="77"/>
      <c r="C157" s="67"/>
      <c r="D157" s="6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21.0" customHeight="1">
      <c r="A158" s="77"/>
      <c r="B158" s="77"/>
      <c r="C158" s="67"/>
      <c r="D158" s="6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21.0" customHeight="1">
      <c r="A159" s="77"/>
      <c r="B159" s="77"/>
      <c r="C159" s="67"/>
      <c r="D159" s="6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21.0" customHeight="1">
      <c r="A160" s="77"/>
      <c r="B160" s="77"/>
      <c r="C160" s="67"/>
      <c r="D160" s="6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21.0" customHeight="1">
      <c r="A161" s="77"/>
      <c r="B161" s="77"/>
      <c r="C161" s="67"/>
      <c r="D161" s="6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21.0" customHeight="1">
      <c r="A162" s="77"/>
      <c r="B162" s="77"/>
      <c r="C162" s="67"/>
      <c r="D162" s="6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21.0" customHeight="1">
      <c r="A163" s="77"/>
      <c r="B163" s="77"/>
      <c r="C163" s="67"/>
      <c r="D163" s="6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21.0" customHeight="1">
      <c r="A164" s="77"/>
      <c r="B164" s="77"/>
      <c r="C164" s="67"/>
      <c r="D164" s="6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21.0" customHeight="1">
      <c r="A165" s="77"/>
      <c r="B165" s="77"/>
      <c r="C165" s="67"/>
      <c r="D165" s="6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21.0" customHeight="1">
      <c r="A166" s="77"/>
      <c r="B166" s="77"/>
      <c r="C166" s="67"/>
      <c r="D166" s="6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21.0" customHeight="1">
      <c r="A167" s="77"/>
      <c r="B167" s="77"/>
      <c r="C167" s="67"/>
      <c r="D167" s="6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21.0" customHeight="1">
      <c r="A168" s="77"/>
      <c r="B168" s="77"/>
      <c r="C168" s="67"/>
      <c r="D168" s="6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21.0" customHeight="1">
      <c r="A169" s="77"/>
      <c r="B169" s="77"/>
      <c r="C169" s="67"/>
      <c r="D169" s="6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21.0" customHeight="1">
      <c r="A170" s="77"/>
      <c r="B170" s="77"/>
      <c r="C170" s="67"/>
      <c r="D170" s="6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21.0" customHeight="1">
      <c r="A171" s="77"/>
      <c r="B171" s="77"/>
      <c r="C171" s="67"/>
      <c r="D171" s="6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21.0" customHeight="1">
      <c r="A172" s="77"/>
      <c r="B172" s="77"/>
      <c r="C172" s="67"/>
      <c r="D172" s="6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21.0" customHeight="1">
      <c r="A173" s="77"/>
      <c r="B173" s="77"/>
      <c r="C173" s="67"/>
      <c r="D173" s="6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21.0" customHeight="1">
      <c r="A174" s="77"/>
      <c r="B174" s="77"/>
      <c r="C174" s="67"/>
      <c r="D174" s="6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21.0" customHeight="1">
      <c r="A175" s="77"/>
      <c r="B175" s="77"/>
      <c r="C175" s="67"/>
      <c r="D175" s="6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21.0" customHeight="1">
      <c r="A176" s="77"/>
      <c r="B176" s="77"/>
      <c r="C176" s="67"/>
      <c r="D176" s="6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21.0" customHeight="1">
      <c r="A177" s="77"/>
      <c r="B177" s="77"/>
      <c r="C177" s="67"/>
      <c r="D177" s="6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21.0" customHeight="1">
      <c r="A178" s="77"/>
      <c r="B178" s="77"/>
      <c r="C178" s="67"/>
      <c r="D178" s="6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21.0" customHeight="1">
      <c r="A179" s="77"/>
      <c r="B179" s="77"/>
      <c r="C179" s="67"/>
      <c r="D179" s="6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21.0" customHeight="1">
      <c r="A180" s="77"/>
      <c r="B180" s="77"/>
      <c r="C180" s="67"/>
      <c r="D180" s="6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21.0" customHeight="1">
      <c r="A181" s="77"/>
      <c r="B181" s="77"/>
      <c r="C181" s="67"/>
      <c r="D181" s="6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21.0" customHeight="1">
      <c r="A182" s="77"/>
      <c r="B182" s="77"/>
      <c r="C182" s="67"/>
      <c r="D182" s="6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21.0" customHeight="1">
      <c r="A183" s="77"/>
      <c r="B183" s="77"/>
      <c r="C183" s="67"/>
      <c r="D183" s="6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21.0" customHeight="1">
      <c r="A184" s="77"/>
      <c r="B184" s="77"/>
      <c r="C184" s="67"/>
      <c r="D184" s="6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21.0" customHeight="1">
      <c r="A185" s="77"/>
      <c r="B185" s="77"/>
      <c r="C185" s="67"/>
      <c r="D185" s="6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21.0" customHeight="1">
      <c r="A186" s="77"/>
      <c r="B186" s="77"/>
      <c r="C186" s="67"/>
      <c r="D186" s="6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21.0" customHeight="1">
      <c r="A187" s="77"/>
      <c r="B187" s="77"/>
      <c r="C187" s="67"/>
      <c r="D187" s="6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21.0" customHeight="1">
      <c r="A188" s="77"/>
      <c r="B188" s="77"/>
      <c r="C188" s="67"/>
      <c r="D188" s="6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21.0" customHeight="1">
      <c r="A189" s="77"/>
      <c r="B189" s="77"/>
      <c r="C189" s="67"/>
      <c r="D189" s="6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21.0" customHeight="1">
      <c r="A190" s="77"/>
      <c r="B190" s="77"/>
      <c r="C190" s="67"/>
      <c r="D190" s="6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21.0" customHeight="1">
      <c r="A191" s="77"/>
      <c r="B191" s="77"/>
      <c r="C191" s="67"/>
      <c r="D191" s="6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21.0" customHeight="1">
      <c r="A192" s="77"/>
      <c r="B192" s="77"/>
      <c r="C192" s="67"/>
      <c r="D192" s="6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21.0" customHeight="1">
      <c r="A193" s="77"/>
      <c r="B193" s="77"/>
      <c r="C193" s="67"/>
      <c r="D193" s="6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21.0" customHeight="1">
      <c r="A194" s="77"/>
      <c r="B194" s="77"/>
      <c r="C194" s="67"/>
      <c r="D194" s="6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21.0" customHeight="1">
      <c r="A195" s="77"/>
      <c r="B195" s="77"/>
      <c r="C195" s="67"/>
      <c r="D195" s="6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21.0" customHeight="1">
      <c r="A196" s="77"/>
      <c r="B196" s="77"/>
      <c r="C196" s="67"/>
      <c r="D196" s="6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21.0" customHeight="1">
      <c r="A197" s="77"/>
      <c r="B197" s="77"/>
      <c r="C197" s="67"/>
      <c r="D197" s="6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21.0" customHeight="1">
      <c r="A198" s="77"/>
      <c r="B198" s="77"/>
      <c r="C198" s="67"/>
      <c r="D198" s="6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21.0" customHeight="1">
      <c r="A199" s="77"/>
      <c r="B199" s="77"/>
      <c r="C199" s="67"/>
      <c r="D199" s="6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21.0" customHeight="1">
      <c r="A200" s="77"/>
      <c r="B200" s="77"/>
      <c r="C200" s="67"/>
      <c r="D200" s="6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21.0" customHeight="1">
      <c r="A201" s="77"/>
      <c r="B201" s="77"/>
      <c r="C201" s="67"/>
      <c r="D201" s="6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21.0" customHeight="1">
      <c r="A202" s="77"/>
      <c r="B202" s="77"/>
      <c r="C202" s="67"/>
      <c r="D202" s="6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21.0" customHeight="1">
      <c r="A203" s="77"/>
      <c r="B203" s="77"/>
      <c r="C203" s="67"/>
      <c r="D203" s="6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21.0" customHeight="1">
      <c r="A204" s="77"/>
      <c r="B204" s="77"/>
      <c r="C204" s="67"/>
      <c r="D204" s="6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21.0" customHeight="1">
      <c r="A205" s="77"/>
      <c r="B205" s="77"/>
      <c r="C205" s="67"/>
      <c r="D205" s="6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21.0" customHeight="1">
      <c r="A206" s="77"/>
      <c r="B206" s="77"/>
      <c r="C206" s="67"/>
      <c r="D206" s="6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21.0" customHeight="1">
      <c r="A207" s="77"/>
      <c r="B207" s="77"/>
      <c r="C207" s="67"/>
      <c r="D207" s="6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21.0" customHeight="1">
      <c r="A208" s="77"/>
      <c r="B208" s="77"/>
      <c r="C208" s="67"/>
      <c r="D208" s="6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21.0" customHeight="1">
      <c r="A209" s="77"/>
      <c r="B209" s="77"/>
      <c r="C209" s="67"/>
      <c r="D209" s="6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21.0" customHeight="1">
      <c r="A210" s="77"/>
      <c r="B210" s="77"/>
      <c r="C210" s="67"/>
      <c r="D210" s="6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21.0" customHeight="1">
      <c r="A211" s="77"/>
      <c r="B211" s="77"/>
      <c r="C211" s="67"/>
      <c r="D211" s="6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21.0" customHeight="1">
      <c r="A212" s="77"/>
      <c r="B212" s="77"/>
      <c r="C212" s="67"/>
      <c r="D212" s="6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21.0" customHeight="1">
      <c r="A213" s="77"/>
      <c r="B213" s="77"/>
      <c r="C213" s="67"/>
      <c r="D213" s="6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21.0" customHeight="1">
      <c r="A214" s="77"/>
      <c r="B214" s="77"/>
      <c r="C214" s="67"/>
      <c r="D214" s="6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21.0" customHeight="1">
      <c r="A215" s="77"/>
      <c r="B215" s="77"/>
      <c r="C215" s="67"/>
      <c r="D215" s="6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21.0" customHeight="1">
      <c r="A216" s="77"/>
      <c r="B216" s="77"/>
      <c r="C216" s="67"/>
      <c r="D216" s="6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21.0" customHeight="1">
      <c r="A217" s="77"/>
      <c r="B217" s="77"/>
      <c r="C217" s="67"/>
      <c r="D217" s="6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21.0" customHeight="1">
      <c r="A218" s="77"/>
      <c r="B218" s="77"/>
      <c r="C218" s="67"/>
      <c r="D218" s="6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21.0" customHeight="1">
      <c r="A219" s="77"/>
      <c r="B219" s="77"/>
      <c r="C219" s="67"/>
      <c r="D219" s="6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21.0" customHeight="1">
      <c r="A220" s="77"/>
      <c r="B220" s="77"/>
      <c r="C220" s="67"/>
      <c r="D220" s="6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21.0" customHeight="1">
      <c r="A221" s="77"/>
      <c r="B221" s="77"/>
      <c r="C221" s="67"/>
      <c r="D221" s="6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21.0" customHeight="1">
      <c r="A222" s="77"/>
      <c r="B222" s="77"/>
      <c r="C222" s="67"/>
      <c r="D222" s="6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21.0" customHeight="1">
      <c r="A223" s="77"/>
      <c r="B223" s="77"/>
      <c r="C223" s="67"/>
      <c r="D223" s="6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21.0" customHeight="1">
      <c r="A224" s="77"/>
      <c r="B224" s="77"/>
      <c r="C224" s="67"/>
      <c r="D224" s="6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21.0" customHeight="1">
      <c r="A225" s="77"/>
      <c r="B225" s="77"/>
      <c r="C225" s="67"/>
      <c r="D225" s="6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21.0" customHeight="1">
      <c r="A226" s="77"/>
      <c r="B226" s="77"/>
      <c r="C226" s="67"/>
      <c r="D226" s="6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21.0" customHeight="1">
      <c r="A227" s="77"/>
      <c r="B227" s="77"/>
      <c r="C227" s="67"/>
      <c r="D227" s="6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21.0" customHeight="1">
      <c r="A228" s="77"/>
      <c r="B228" s="77"/>
      <c r="C228" s="67"/>
      <c r="D228" s="6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21.0" customHeight="1">
      <c r="A229" s="77"/>
      <c r="B229" s="77"/>
      <c r="C229" s="67"/>
      <c r="D229" s="6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21.0" customHeight="1">
      <c r="A230" s="77"/>
      <c r="B230" s="77"/>
      <c r="C230" s="67"/>
      <c r="D230" s="6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21.0" customHeight="1">
      <c r="A231" s="77"/>
      <c r="B231" s="77"/>
      <c r="C231" s="67"/>
      <c r="D231" s="6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21.0" customHeight="1">
      <c r="A232" s="77"/>
      <c r="B232" s="77"/>
      <c r="C232" s="67"/>
      <c r="D232" s="6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21.0" customHeight="1">
      <c r="A233" s="77"/>
      <c r="B233" s="77"/>
      <c r="C233" s="67"/>
      <c r="D233" s="6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21.0" customHeight="1">
      <c r="A234" s="77"/>
      <c r="B234" s="77"/>
      <c r="C234" s="67"/>
      <c r="D234" s="6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21.0" customHeight="1">
      <c r="A235" s="77"/>
      <c r="B235" s="77"/>
      <c r="C235" s="67"/>
      <c r="D235" s="6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21.0" customHeight="1">
      <c r="A236" s="77"/>
      <c r="B236" s="77"/>
      <c r="C236" s="67"/>
      <c r="D236" s="6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21.0" customHeight="1">
      <c r="A237" s="77"/>
      <c r="B237" s="77"/>
      <c r="C237" s="67"/>
      <c r="D237" s="6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21.0" customHeight="1">
      <c r="A238" s="77"/>
      <c r="B238" s="77"/>
      <c r="C238" s="67"/>
      <c r="D238" s="6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21.0" customHeight="1">
      <c r="A239" s="77"/>
      <c r="B239" s="77"/>
      <c r="C239" s="67"/>
      <c r="D239" s="6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21.0" customHeight="1">
      <c r="A240" s="77"/>
      <c r="B240" s="77"/>
      <c r="C240" s="67"/>
      <c r="D240" s="6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21.0" customHeight="1">
      <c r="A241" s="77"/>
      <c r="B241" s="77"/>
      <c r="C241" s="67"/>
      <c r="D241" s="6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21.0" customHeight="1">
      <c r="A242" s="77"/>
      <c r="B242" s="77"/>
      <c r="C242" s="67"/>
      <c r="D242" s="6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21.0" customHeight="1">
      <c r="A243" s="77"/>
      <c r="B243" s="77"/>
      <c r="C243" s="67"/>
      <c r="D243" s="6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21.0" customHeight="1">
      <c r="A244" s="77"/>
      <c r="B244" s="77"/>
      <c r="C244" s="67"/>
      <c r="D244" s="6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21.0" customHeight="1">
      <c r="A245" s="77"/>
      <c r="B245" s="77"/>
      <c r="C245" s="67"/>
      <c r="D245" s="6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21.0" customHeight="1">
      <c r="A246" s="77"/>
      <c r="B246" s="77"/>
      <c r="C246" s="67"/>
      <c r="D246" s="6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21.0" customHeight="1">
      <c r="A247" s="77"/>
      <c r="B247" s="77"/>
      <c r="C247" s="67"/>
      <c r="D247" s="6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21.0" customHeight="1">
      <c r="A248" s="77"/>
      <c r="B248" s="77"/>
      <c r="C248" s="67"/>
      <c r="D248" s="6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21.0" customHeight="1">
      <c r="A249" s="77"/>
      <c r="B249" s="77"/>
      <c r="C249" s="67"/>
      <c r="D249" s="6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21.0" customHeight="1">
      <c r="A250" s="77"/>
      <c r="B250" s="77"/>
      <c r="C250" s="67"/>
      <c r="D250" s="6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21.0" customHeight="1">
      <c r="A251" s="77"/>
      <c r="B251" s="77"/>
      <c r="C251" s="67"/>
      <c r="D251" s="6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21.0" customHeight="1">
      <c r="A252" s="77"/>
      <c r="B252" s="77"/>
      <c r="C252" s="67"/>
      <c r="D252" s="6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21.0" customHeight="1">
      <c r="A253" s="77"/>
      <c r="B253" s="77"/>
      <c r="C253" s="67"/>
      <c r="D253" s="6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21.0" customHeight="1">
      <c r="A254" s="77"/>
      <c r="B254" s="77"/>
      <c r="C254" s="67"/>
      <c r="D254" s="6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21.0" customHeight="1">
      <c r="A255" s="77"/>
      <c r="B255" s="77"/>
      <c r="C255" s="67"/>
      <c r="D255" s="6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21.0" customHeight="1">
      <c r="A256" s="77"/>
      <c r="B256" s="77"/>
      <c r="C256" s="67"/>
      <c r="D256" s="6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21.0" customHeight="1">
      <c r="A257" s="77"/>
      <c r="B257" s="77"/>
      <c r="C257" s="67"/>
      <c r="D257" s="6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21.0" customHeight="1">
      <c r="A258" s="77"/>
      <c r="B258" s="77"/>
      <c r="C258" s="67"/>
      <c r="D258" s="6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21.0" customHeight="1">
      <c r="A259" s="77"/>
      <c r="B259" s="77"/>
      <c r="C259" s="67"/>
      <c r="D259" s="6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21.0" customHeight="1">
      <c r="A260" s="77"/>
      <c r="B260" s="77"/>
      <c r="C260" s="67"/>
      <c r="D260" s="6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21.0" customHeight="1">
      <c r="A261" s="77"/>
      <c r="B261" s="77"/>
      <c r="C261" s="67"/>
      <c r="D261" s="6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21.0" customHeight="1">
      <c r="A262" s="77"/>
      <c r="B262" s="77"/>
      <c r="C262" s="67"/>
      <c r="D262" s="6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21.0" customHeight="1">
      <c r="A263" s="77"/>
      <c r="B263" s="77"/>
      <c r="C263" s="67"/>
      <c r="D263" s="6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21.0" customHeight="1">
      <c r="A264" s="77"/>
      <c r="B264" s="77"/>
      <c r="C264" s="67"/>
      <c r="D264" s="6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21.0" customHeight="1">
      <c r="A265" s="77"/>
      <c r="B265" s="77"/>
      <c r="C265" s="67"/>
      <c r="D265" s="6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21.0" customHeight="1">
      <c r="A266" s="77"/>
      <c r="B266" s="77"/>
      <c r="C266" s="67"/>
      <c r="D266" s="6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21.0" customHeight="1">
      <c r="A267" s="77"/>
      <c r="B267" s="77"/>
      <c r="C267" s="67"/>
      <c r="D267" s="6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21.0" customHeight="1">
      <c r="A268" s="77"/>
      <c r="B268" s="77"/>
      <c r="C268" s="67"/>
      <c r="D268" s="6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21.0" customHeight="1">
      <c r="A269" s="77"/>
      <c r="B269" s="77"/>
      <c r="C269" s="67"/>
      <c r="D269" s="6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21.0" customHeight="1">
      <c r="A270" s="77"/>
      <c r="B270" s="77"/>
      <c r="C270" s="67"/>
      <c r="D270" s="6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21.0" customHeight="1">
      <c r="A271" s="77"/>
      <c r="B271" s="77"/>
      <c r="C271" s="67"/>
      <c r="D271" s="6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21.0" customHeight="1">
      <c r="A272" s="77"/>
      <c r="B272" s="77"/>
      <c r="C272" s="67"/>
      <c r="D272" s="6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21.0" customHeight="1">
      <c r="A273" s="77"/>
      <c r="B273" s="77"/>
      <c r="C273" s="67"/>
      <c r="D273" s="6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21.0" customHeight="1">
      <c r="A274" s="77"/>
      <c r="B274" s="77"/>
      <c r="C274" s="67"/>
      <c r="D274" s="6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21.0" customHeight="1">
      <c r="A275" s="77"/>
      <c r="B275" s="77"/>
      <c r="C275" s="67"/>
      <c r="D275" s="6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21.0" customHeight="1">
      <c r="A276" s="77"/>
      <c r="B276" s="77"/>
      <c r="C276" s="67"/>
      <c r="D276" s="6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21.0" customHeight="1">
      <c r="A277" s="77"/>
      <c r="B277" s="77"/>
      <c r="C277" s="67"/>
      <c r="D277" s="6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21.0" customHeight="1">
      <c r="A278" s="77"/>
      <c r="B278" s="77"/>
      <c r="C278" s="67"/>
      <c r="D278" s="6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21.0" customHeight="1">
      <c r="A279" s="77"/>
      <c r="B279" s="77"/>
      <c r="C279" s="67"/>
      <c r="D279" s="6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21.0" customHeight="1">
      <c r="A280" s="77"/>
      <c r="B280" s="77"/>
      <c r="C280" s="67"/>
      <c r="D280" s="6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21.0" customHeight="1">
      <c r="A281" s="77"/>
      <c r="B281" s="77"/>
      <c r="C281" s="67"/>
      <c r="D281" s="6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21.0" customHeight="1">
      <c r="A282" s="77"/>
      <c r="B282" s="77"/>
      <c r="C282" s="67"/>
      <c r="D282" s="6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21.0" customHeight="1">
      <c r="A283" s="77"/>
      <c r="B283" s="77"/>
      <c r="C283" s="67"/>
      <c r="D283" s="6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21.0" customHeight="1">
      <c r="A284" s="77"/>
      <c r="B284" s="77"/>
      <c r="C284" s="67"/>
      <c r="D284" s="6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21.0" customHeight="1">
      <c r="A285" s="77"/>
      <c r="B285" s="77"/>
      <c r="C285" s="67"/>
      <c r="D285" s="6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21.0" customHeight="1">
      <c r="A286" s="77"/>
      <c r="B286" s="77"/>
      <c r="C286" s="67"/>
      <c r="D286" s="6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21.0" customHeight="1">
      <c r="A287" s="77"/>
      <c r="B287" s="77"/>
      <c r="C287" s="67"/>
      <c r="D287" s="6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21.0" customHeight="1">
      <c r="A288" s="77"/>
      <c r="B288" s="77"/>
      <c r="C288" s="67"/>
      <c r="D288" s="6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21.0" customHeight="1">
      <c r="A289" s="77"/>
      <c r="B289" s="77"/>
      <c r="C289" s="67"/>
      <c r="D289" s="6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21.0" customHeight="1">
      <c r="A290" s="77"/>
      <c r="B290" s="77"/>
      <c r="C290" s="67"/>
      <c r="D290" s="6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21.0" customHeight="1">
      <c r="A291" s="77"/>
      <c r="B291" s="77"/>
      <c r="C291" s="67"/>
      <c r="D291" s="6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21.0" customHeight="1">
      <c r="A292" s="77"/>
      <c r="B292" s="77"/>
      <c r="C292" s="67"/>
      <c r="D292" s="6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21.0" customHeight="1">
      <c r="A293" s="77"/>
      <c r="B293" s="77"/>
      <c r="C293" s="67"/>
      <c r="D293" s="6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21.0" customHeight="1">
      <c r="A294" s="77"/>
      <c r="B294" s="77"/>
      <c r="C294" s="67"/>
      <c r="D294" s="6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21.0" customHeight="1">
      <c r="A295" s="77"/>
      <c r="B295" s="77"/>
      <c r="C295" s="67"/>
      <c r="D295" s="6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21.0" customHeight="1">
      <c r="A296" s="77"/>
      <c r="B296" s="77"/>
      <c r="C296" s="67"/>
      <c r="D296" s="6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21.0" customHeight="1">
      <c r="A297" s="77"/>
      <c r="B297" s="77"/>
      <c r="C297" s="67"/>
      <c r="D297" s="6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21.0" customHeight="1">
      <c r="A298" s="77"/>
      <c r="B298" s="77"/>
      <c r="C298" s="67"/>
      <c r="D298" s="6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21.0" customHeight="1">
      <c r="A299" s="77"/>
      <c r="B299" s="77"/>
      <c r="C299" s="67"/>
      <c r="D299" s="6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21.0" customHeight="1">
      <c r="A300" s="77"/>
      <c r="B300" s="77"/>
      <c r="C300" s="67"/>
      <c r="D300" s="6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21.0" customHeight="1">
      <c r="A301" s="77"/>
      <c r="B301" s="77"/>
      <c r="C301" s="67"/>
      <c r="D301" s="6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21.0" customHeight="1">
      <c r="A302" s="77"/>
      <c r="B302" s="77"/>
      <c r="C302" s="67"/>
      <c r="D302" s="6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21.0" customHeight="1">
      <c r="A303" s="77"/>
      <c r="B303" s="77"/>
      <c r="C303" s="67"/>
      <c r="D303" s="6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21.0" customHeight="1">
      <c r="A304" s="77"/>
      <c r="B304" s="77"/>
      <c r="C304" s="67"/>
      <c r="D304" s="6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21.0" customHeight="1">
      <c r="A305" s="77"/>
      <c r="B305" s="77"/>
      <c r="C305" s="67"/>
      <c r="D305" s="6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21.0" customHeight="1">
      <c r="A306" s="77"/>
      <c r="B306" s="77"/>
      <c r="C306" s="67"/>
      <c r="D306" s="6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21.0" customHeight="1">
      <c r="A307" s="77"/>
      <c r="B307" s="77"/>
      <c r="C307" s="67"/>
      <c r="D307" s="6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21.0" customHeight="1">
      <c r="A308" s="77"/>
      <c r="B308" s="77"/>
      <c r="C308" s="67"/>
      <c r="D308" s="6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21.0" customHeight="1">
      <c r="A309" s="77"/>
      <c r="B309" s="77"/>
      <c r="C309" s="67"/>
      <c r="D309" s="6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21.0" customHeight="1">
      <c r="A310" s="77"/>
      <c r="B310" s="77"/>
      <c r="C310" s="67"/>
      <c r="D310" s="6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21.0" customHeight="1">
      <c r="A311" s="77"/>
      <c r="B311" s="77"/>
      <c r="C311" s="67"/>
      <c r="D311" s="6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21.0" customHeight="1">
      <c r="A312" s="77"/>
      <c r="B312" s="77"/>
      <c r="C312" s="67"/>
      <c r="D312" s="6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21.0" customHeight="1">
      <c r="A313" s="77"/>
      <c r="B313" s="77"/>
      <c r="C313" s="67"/>
      <c r="D313" s="6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21.0" customHeight="1">
      <c r="A314" s="77"/>
      <c r="B314" s="77"/>
      <c r="C314" s="67"/>
      <c r="D314" s="6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21.0" customHeight="1">
      <c r="A315" s="77"/>
      <c r="B315" s="77"/>
      <c r="C315" s="67"/>
      <c r="D315" s="6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21.0" customHeight="1">
      <c r="A316" s="77"/>
      <c r="B316" s="77"/>
      <c r="C316" s="67"/>
      <c r="D316" s="6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21.0" customHeight="1">
      <c r="A317" s="77"/>
      <c r="B317" s="77"/>
      <c r="C317" s="67"/>
      <c r="D317" s="6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21.0" customHeight="1">
      <c r="A318" s="77"/>
      <c r="B318" s="77"/>
      <c r="C318" s="67"/>
      <c r="D318" s="6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21.0" customHeight="1">
      <c r="A319" s="77"/>
      <c r="B319" s="77"/>
      <c r="C319" s="67"/>
      <c r="D319" s="6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21.0" customHeight="1">
      <c r="A320" s="77"/>
      <c r="B320" s="77"/>
      <c r="C320" s="67"/>
      <c r="D320" s="6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21.0" customHeight="1">
      <c r="A321" s="77"/>
      <c r="B321" s="77"/>
      <c r="C321" s="67"/>
      <c r="D321" s="6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21.0" customHeight="1">
      <c r="A322" s="77"/>
      <c r="B322" s="77"/>
      <c r="C322" s="67"/>
      <c r="D322" s="6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21.0" customHeight="1">
      <c r="A323" s="77"/>
      <c r="B323" s="77"/>
      <c r="C323" s="67"/>
      <c r="D323" s="6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21.0" customHeight="1">
      <c r="A324" s="77"/>
      <c r="B324" s="77"/>
      <c r="C324" s="67"/>
      <c r="D324" s="6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21.0" customHeight="1">
      <c r="A325" s="77"/>
      <c r="B325" s="77"/>
      <c r="C325" s="67"/>
      <c r="D325" s="6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21.0" customHeight="1">
      <c r="A326" s="77"/>
      <c r="B326" s="77"/>
      <c r="C326" s="67"/>
      <c r="D326" s="6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21.0" customHeight="1">
      <c r="A327" s="77"/>
      <c r="B327" s="77"/>
      <c r="C327" s="67"/>
      <c r="D327" s="6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21.0" customHeight="1">
      <c r="A328" s="77"/>
      <c r="B328" s="77"/>
      <c r="C328" s="67"/>
      <c r="D328" s="6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21.0" customHeight="1">
      <c r="A329" s="77"/>
      <c r="B329" s="77"/>
      <c r="C329" s="67"/>
      <c r="D329" s="6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21.0" customHeight="1">
      <c r="A330" s="77"/>
      <c r="B330" s="77"/>
      <c r="C330" s="67"/>
      <c r="D330" s="6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21.0" customHeight="1">
      <c r="A331" s="77"/>
      <c r="B331" s="77"/>
      <c r="C331" s="67"/>
      <c r="D331" s="6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21.0" customHeight="1">
      <c r="A332" s="77"/>
      <c r="B332" s="77"/>
      <c r="C332" s="67"/>
      <c r="D332" s="6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21.0" customHeight="1">
      <c r="A333" s="77"/>
      <c r="B333" s="77"/>
      <c r="C333" s="67"/>
      <c r="D333" s="6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21.0" customHeight="1">
      <c r="A334" s="77"/>
      <c r="B334" s="77"/>
      <c r="C334" s="67"/>
      <c r="D334" s="6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21.0" customHeight="1">
      <c r="A335" s="77"/>
      <c r="B335" s="77"/>
      <c r="C335" s="67"/>
      <c r="D335" s="6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21.0" customHeight="1">
      <c r="A336" s="77"/>
      <c r="B336" s="77"/>
      <c r="C336" s="67"/>
      <c r="D336" s="6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21.0" customHeight="1">
      <c r="A337" s="77"/>
      <c r="B337" s="77"/>
      <c r="C337" s="67"/>
      <c r="D337" s="6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21.0" customHeight="1">
      <c r="A338" s="77"/>
      <c r="B338" s="77"/>
      <c r="C338" s="67"/>
      <c r="D338" s="6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21.0" customHeight="1">
      <c r="A339" s="77"/>
      <c r="B339" s="77"/>
      <c r="C339" s="67"/>
      <c r="D339" s="6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21.0" customHeight="1">
      <c r="A340" s="77"/>
      <c r="B340" s="77"/>
      <c r="C340" s="67"/>
      <c r="D340" s="6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21.0" customHeight="1">
      <c r="A341" s="77"/>
      <c r="B341" s="77"/>
      <c r="C341" s="67"/>
      <c r="D341" s="6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21.0" customHeight="1">
      <c r="A342" s="77"/>
      <c r="B342" s="77"/>
      <c r="C342" s="67"/>
      <c r="D342" s="6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21.0" customHeight="1">
      <c r="A343" s="77"/>
      <c r="B343" s="77"/>
      <c r="C343" s="67"/>
      <c r="D343" s="6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21.0" customHeight="1">
      <c r="A344" s="77"/>
      <c r="B344" s="77"/>
      <c r="C344" s="67"/>
      <c r="D344" s="6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21.0" customHeight="1">
      <c r="A345" s="77"/>
      <c r="B345" s="77"/>
      <c r="C345" s="67"/>
      <c r="D345" s="6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21.0" customHeight="1">
      <c r="A346" s="77"/>
      <c r="B346" s="77"/>
      <c r="C346" s="67"/>
      <c r="D346" s="6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21.0" customHeight="1">
      <c r="A347" s="77"/>
      <c r="B347" s="77"/>
      <c r="C347" s="67"/>
      <c r="D347" s="6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21.0" customHeight="1">
      <c r="A348" s="77"/>
      <c r="B348" s="77"/>
      <c r="C348" s="67"/>
      <c r="D348" s="6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21.0" customHeight="1">
      <c r="A349" s="77"/>
      <c r="B349" s="77"/>
      <c r="C349" s="67"/>
      <c r="D349" s="6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21.0" customHeight="1">
      <c r="A350" s="77"/>
      <c r="B350" s="77"/>
      <c r="C350" s="67"/>
      <c r="D350" s="6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21.0" customHeight="1">
      <c r="A351" s="77"/>
      <c r="B351" s="77"/>
      <c r="C351" s="67"/>
      <c r="D351" s="6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21.0" customHeight="1">
      <c r="A352" s="77"/>
      <c r="B352" s="77"/>
      <c r="C352" s="67"/>
      <c r="D352" s="6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21.0" customHeight="1">
      <c r="A353" s="77"/>
      <c r="B353" s="77"/>
      <c r="C353" s="67"/>
      <c r="D353" s="6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21.0" customHeight="1">
      <c r="A354" s="77"/>
      <c r="B354" s="77"/>
      <c r="C354" s="67"/>
      <c r="D354" s="6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21.0" customHeight="1">
      <c r="A355" s="77"/>
      <c r="B355" s="77"/>
      <c r="C355" s="67"/>
      <c r="D355" s="6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21.0" customHeight="1">
      <c r="A356" s="77"/>
      <c r="B356" s="77"/>
      <c r="C356" s="67"/>
      <c r="D356" s="6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21.0" customHeight="1">
      <c r="A357" s="77"/>
      <c r="B357" s="77"/>
      <c r="C357" s="67"/>
      <c r="D357" s="6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21.0" customHeight="1">
      <c r="A358" s="77"/>
      <c r="B358" s="77"/>
      <c r="C358" s="67"/>
      <c r="D358" s="6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21.0" customHeight="1">
      <c r="A359" s="77"/>
      <c r="B359" s="77"/>
      <c r="C359" s="67"/>
      <c r="D359" s="6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21.0" customHeight="1">
      <c r="A360" s="77"/>
      <c r="B360" s="77"/>
      <c r="C360" s="67"/>
      <c r="D360" s="6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21.0" customHeight="1">
      <c r="A361" s="77"/>
      <c r="B361" s="77"/>
      <c r="C361" s="67"/>
      <c r="D361" s="6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21.0" customHeight="1">
      <c r="A362" s="77"/>
      <c r="B362" s="77"/>
      <c r="C362" s="67"/>
      <c r="D362" s="6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21.0" customHeight="1">
      <c r="A363" s="77"/>
      <c r="B363" s="77"/>
      <c r="C363" s="67"/>
      <c r="D363" s="6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21.0" customHeight="1">
      <c r="A364" s="77"/>
      <c r="B364" s="77"/>
      <c r="C364" s="67"/>
      <c r="D364" s="6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21.0" customHeight="1">
      <c r="A365" s="77"/>
      <c r="B365" s="77"/>
      <c r="C365" s="67"/>
      <c r="D365" s="6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21.0" customHeight="1">
      <c r="A366" s="77"/>
      <c r="B366" s="77"/>
      <c r="C366" s="67"/>
      <c r="D366" s="6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21.0" customHeight="1">
      <c r="A367" s="77"/>
      <c r="B367" s="77"/>
      <c r="C367" s="67"/>
      <c r="D367" s="6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21.0" customHeight="1">
      <c r="A368" s="77"/>
      <c r="B368" s="77"/>
      <c r="C368" s="67"/>
      <c r="D368" s="6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21.0" customHeight="1">
      <c r="A369" s="77"/>
      <c r="B369" s="77"/>
      <c r="C369" s="67"/>
      <c r="D369" s="6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21.0" customHeight="1">
      <c r="A370" s="77"/>
      <c r="B370" s="77"/>
      <c r="C370" s="67"/>
      <c r="D370" s="6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21.0" customHeight="1">
      <c r="A371" s="77"/>
      <c r="B371" s="77"/>
      <c r="C371" s="67"/>
      <c r="D371" s="6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21.0" customHeight="1">
      <c r="A372" s="77"/>
      <c r="B372" s="77"/>
      <c r="C372" s="67"/>
      <c r="D372" s="6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21.0" customHeight="1">
      <c r="A373" s="77"/>
      <c r="B373" s="77"/>
      <c r="C373" s="67"/>
      <c r="D373" s="6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21.0" customHeight="1">
      <c r="A374" s="77"/>
      <c r="B374" s="77"/>
      <c r="C374" s="67"/>
      <c r="D374" s="6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21.0" customHeight="1">
      <c r="A375" s="77"/>
      <c r="B375" s="77"/>
      <c r="C375" s="67"/>
      <c r="D375" s="6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21.0" customHeight="1">
      <c r="A376" s="77"/>
      <c r="B376" s="77"/>
      <c r="C376" s="67"/>
      <c r="D376" s="6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21.0" customHeight="1">
      <c r="A377" s="77"/>
      <c r="B377" s="77"/>
      <c r="C377" s="67"/>
      <c r="D377" s="6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21.0" customHeight="1">
      <c r="A378" s="77"/>
      <c r="B378" s="77"/>
      <c r="C378" s="67"/>
      <c r="D378" s="6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21.0" customHeight="1">
      <c r="A379" s="77"/>
      <c r="B379" s="77"/>
      <c r="C379" s="67"/>
      <c r="D379" s="6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21.0" customHeight="1">
      <c r="A380" s="77"/>
      <c r="B380" s="77"/>
      <c r="C380" s="67"/>
      <c r="D380" s="6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21.0" customHeight="1">
      <c r="A381" s="77"/>
      <c r="B381" s="77"/>
      <c r="C381" s="67"/>
      <c r="D381" s="6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21.0" customHeight="1">
      <c r="A382" s="77"/>
      <c r="B382" s="77"/>
      <c r="C382" s="67"/>
      <c r="D382" s="6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21.0" customHeight="1">
      <c r="A383" s="77"/>
      <c r="B383" s="77"/>
      <c r="C383" s="67"/>
      <c r="D383" s="6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21.0" customHeight="1">
      <c r="A384" s="77"/>
      <c r="B384" s="77"/>
      <c r="C384" s="67"/>
      <c r="D384" s="6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21.0" customHeight="1">
      <c r="A385" s="77"/>
      <c r="B385" s="77"/>
      <c r="C385" s="67"/>
      <c r="D385" s="6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21.0" customHeight="1">
      <c r="A386" s="77"/>
      <c r="B386" s="77"/>
      <c r="C386" s="67"/>
      <c r="D386" s="6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21.0" customHeight="1">
      <c r="A387" s="77"/>
      <c r="B387" s="77"/>
      <c r="C387" s="67"/>
      <c r="D387" s="6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21.0" customHeight="1">
      <c r="A388" s="77"/>
      <c r="B388" s="77"/>
      <c r="C388" s="67"/>
      <c r="D388" s="6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21.0" customHeight="1">
      <c r="A389" s="77"/>
      <c r="B389" s="77"/>
      <c r="C389" s="67"/>
      <c r="D389" s="6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21.0" customHeight="1">
      <c r="A390" s="77"/>
      <c r="B390" s="77"/>
      <c r="C390" s="67"/>
      <c r="D390" s="6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21.0" customHeight="1">
      <c r="A391" s="77"/>
      <c r="B391" s="77"/>
      <c r="C391" s="67"/>
      <c r="D391" s="6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21.0" customHeight="1">
      <c r="A392" s="77"/>
      <c r="B392" s="77"/>
      <c r="C392" s="67"/>
      <c r="D392" s="6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21.0" customHeight="1">
      <c r="A393" s="77"/>
      <c r="B393" s="77"/>
      <c r="C393" s="67"/>
      <c r="D393" s="6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21.0" customHeight="1">
      <c r="A394" s="77"/>
      <c r="B394" s="77"/>
      <c r="C394" s="67"/>
      <c r="D394" s="6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21.0" customHeight="1">
      <c r="A395" s="77"/>
      <c r="B395" s="77"/>
      <c r="C395" s="67"/>
      <c r="D395" s="6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21.0" customHeight="1">
      <c r="A396" s="77"/>
      <c r="B396" s="77"/>
      <c r="C396" s="67"/>
      <c r="D396" s="6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21.0" customHeight="1">
      <c r="A397" s="77"/>
      <c r="B397" s="77"/>
      <c r="C397" s="67"/>
      <c r="D397" s="6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21.0" customHeight="1">
      <c r="A398" s="77"/>
      <c r="B398" s="77"/>
      <c r="C398" s="67"/>
      <c r="D398" s="6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21.0" customHeight="1">
      <c r="A399" s="77"/>
      <c r="B399" s="77"/>
      <c r="C399" s="67"/>
      <c r="D399" s="6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21.0" customHeight="1">
      <c r="A400" s="77"/>
      <c r="B400" s="77"/>
      <c r="C400" s="67"/>
      <c r="D400" s="6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21.0" customHeight="1">
      <c r="A401" s="77"/>
      <c r="B401" s="77"/>
      <c r="C401" s="67"/>
      <c r="D401" s="6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21.0" customHeight="1">
      <c r="A402" s="77"/>
      <c r="B402" s="77"/>
      <c r="C402" s="67"/>
      <c r="D402" s="6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21.0" customHeight="1">
      <c r="A403" s="77"/>
      <c r="B403" s="77"/>
      <c r="C403" s="67"/>
      <c r="D403" s="6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21.0" customHeight="1">
      <c r="A404" s="77"/>
      <c r="B404" s="77"/>
      <c r="C404" s="67"/>
      <c r="D404" s="6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21.0" customHeight="1">
      <c r="A405" s="77"/>
      <c r="B405" s="77"/>
      <c r="C405" s="67"/>
      <c r="D405" s="6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21.0" customHeight="1">
      <c r="A406" s="77"/>
      <c r="B406" s="77"/>
      <c r="C406" s="67"/>
      <c r="D406" s="6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21.0" customHeight="1">
      <c r="A407" s="77"/>
      <c r="B407" s="77"/>
      <c r="C407" s="67"/>
      <c r="D407" s="6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21.0" customHeight="1">
      <c r="A408" s="77"/>
      <c r="B408" s="77"/>
      <c r="C408" s="67"/>
      <c r="D408" s="6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21.0" customHeight="1">
      <c r="A409" s="77"/>
      <c r="B409" s="77"/>
      <c r="C409" s="67"/>
      <c r="D409" s="6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21.0" customHeight="1">
      <c r="A410" s="77"/>
      <c r="B410" s="77"/>
      <c r="C410" s="67"/>
      <c r="D410" s="6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21.0" customHeight="1">
      <c r="A411" s="77"/>
      <c r="B411" s="77"/>
      <c r="C411" s="67"/>
      <c r="D411" s="6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21.0" customHeight="1">
      <c r="A412" s="77"/>
      <c r="B412" s="77"/>
      <c r="C412" s="67"/>
      <c r="D412" s="6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21.0" customHeight="1">
      <c r="A413" s="77"/>
      <c r="B413" s="77"/>
      <c r="C413" s="67"/>
      <c r="D413" s="6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21.0" customHeight="1">
      <c r="A414" s="77"/>
      <c r="B414" s="77"/>
      <c r="C414" s="67"/>
      <c r="D414" s="6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21.0" customHeight="1">
      <c r="A415" s="77"/>
      <c r="B415" s="77"/>
      <c r="C415" s="67"/>
      <c r="D415" s="6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21.0" customHeight="1">
      <c r="A416" s="77"/>
      <c r="B416" s="77"/>
      <c r="C416" s="67"/>
      <c r="D416" s="6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21.0" customHeight="1">
      <c r="A417" s="77"/>
      <c r="B417" s="77"/>
      <c r="C417" s="67"/>
      <c r="D417" s="6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21.0" customHeight="1">
      <c r="A418" s="77"/>
      <c r="B418" s="77"/>
      <c r="C418" s="67"/>
      <c r="D418" s="6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21.0" customHeight="1">
      <c r="A419" s="77"/>
      <c r="B419" s="77"/>
      <c r="C419" s="67"/>
      <c r="D419" s="6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21.0" customHeight="1">
      <c r="A420" s="77"/>
      <c r="B420" s="77"/>
      <c r="C420" s="67"/>
      <c r="D420" s="6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21.0" customHeight="1">
      <c r="A421" s="77"/>
      <c r="B421" s="77"/>
      <c r="C421" s="67"/>
      <c r="D421" s="6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21.0" customHeight="1">
      <c r="A422" s="77"/>
      <c r="B422" s="77"/>
      <c r="C422" s="67"/>
      <c r="D422" s="6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21.0" customHeight="1">
      <c r="A423" s="77"/>
      <c r="B423" s="77"/>
      <c r="C423" s="67"/>
      <c r="D423" s="6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21.0" customHeight="1">
      <c r="A424" s="77"/>
      <c r="B424" s="77"/>
      <c r="C424" s="67"/>
      <c r="D424" s="6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21.0" customHeight="1">
      <c r="A425" s="77"/>
      <c r="B425" s="77"/>
      <c r="C425" s="67"/>
      <c r="D425" s="6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21.0" customHeight="1">
      <c r="A426" s="77"/>
      <c r="B426" s="77"/>
      <c r="C426" s="67"/>
      <c r="D426" s="6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21.0" customHeight="1">
      <c r="A427" s="77"/>
      <c r="B427" s="77"/>
      <c r="C427" s="67"/>
      <c r="D427" s="6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21.0" customHeight="1">
      <c r="A428" s="77"/>
      <c r="B428" s="77"/>
      <c r="C428" s="67"/>
      <c r="D428" s="6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21.0" customHeight="1">
      <c r="A429" s="77"/>
      <c r="B429" s="77"/>
      <c r="C429" s="67"/>
      <c r="D429" s="6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21.0" customHeight="1">
      <c r="A430" s="77"/>
      <c r="B430" s="77"/>
      <c r="C430" s="67"/>
      <c r="D430" s="6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21.0" customHeight="1">
      <c r="A431" s="77"/>
      <c r="B431" s="77"/>
      <c r="C431" s="67"/>
      <c r="D431" s="6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21.0" customHeight="1">
      <c r="A432" s="77"/>
      <c r="B432" s="77"/>
      <c r="C432" s="67"/>
      <c r="D432" s="6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21.0" customHeight="1">
      <c r="A433" s="77"/>
      <c r="B433" s="77"/>
      <c r="C433" s="67"/>
      <c r="D433" s="6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21.0" customHeight="1">
      <c r="A434" s="77"/>
      <c r="B434" s="77"/>
      <c r="C434" s="67"/>
      <c r="D434" s="6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21.0" customHeight="1">
      <c r="A435" s="77"/>
      <c r="B435" s="77"/>
      <c r="C435" s="67"/>
      <c r="D435" s="6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21.0" customHeight="1">
      <c r="A436" s="77"/>
      <c r="B436" s="77"/>
      <c r="C436" s="67"/>
      <c r="D436" s="6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21.0" customHeight="1">
      <c r="A437" s="77"/>
      <c r="B437" s="77"/>
      <c r="C437" s="67"/>
      <c r="D437" s="6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21.0" customHeight="1">
      <c r="A438" s="77"/>
      <c r="B438" s="77"/>
      <c r="C438" s="67"/>
      <c r="D438" s="6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21.0" customHeight="1">
      <c r="A439" s="77"/>
      <c r="B439" s="77"/>
      <c r="C439" s="67"/>
      <c r="D439" s="6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21.0" customHeight="1">
      <c r="A440" s="77"/>
      <c r="B440" s="77"/>
      <c r="C440" s="67"/>
      <c r="D440" s="6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21.0" customHeight="1">
      <c r="A441" s="77"/>
      <c r="B441" s="77"/>
      <c r="C441" s="67"/>
      <c r="D441" s="6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21.0" customHeight="1">
      <c r="A442" s="77"/>
      <c r="B442" s="77"/>
      <c r="C442" s="67"/>
      <c r="D442" s="6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21.0" customHeight="1">
      <c r="A443" s="77"/>
      <c r="B443" s="77"/>
      <c r="C443" s="67"/>
      <c r="D443" s="6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21.0" customHeight="1">
      <c r="A444" s="77"/>
      <c r="B444" s="77"/>
      <c r="C444" s="67"/>
      <c r="D444" s="6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21.0" customHeight="1">
      <c r="A445" s="77"/>
      <c r="B445" s="77"/>
      <c r="C445" s="67"/>
      <c r="D445" s="6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21.0" customHeight="1">
      <c r="A446" s="77"/>
      <c r="B446" s="77"/>
      <c r="C446" s="67"/>
      <c r="D446" s="6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21.0" customHeight="1">
      <c r="A447" s="77"/>
      <c r="B447" s="77"/>
      <c r="C447" s="67"/>
      <c r="D447" s="6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21.0" customHeight="1">
      <c r="A448" s="77"/>
      <c r="B448" s="77"/>
      <c r="C448" s="67"/>
      <c r="D448" s="6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21.0" customHeight="1">
      <c r="A449" s="77"/>
      <c r="B449" s="77"/>
      <c r="C449" s="67"/>
      <c r="D449" s="6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21.0" customHeight="1">
      <c r="A450" s="77"/>
      <c r="B450" s="77"/>
      <c r="C450" s="67"/>
      <c r="D450" s="6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21.0" customHeight="1">
      <c r="A451" s="77"/>
      <c r="B451" s="77"/>
      <c r="C451" s="67"/>
      <c r="D451" s="6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21.0" customHeight="1">
      <c r="A452" s="77"/>
      <c r="B452" s="77"/>
      <c r="C452" s="67"/>
      <c r="D452" s="6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21.0" customHeight="1">
      <c r="A453" s="77"/>
      <c r="B453" s="77"/>
      <c r="C453" s="67"/>
      <c r="D453" s="6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21.0" customHeight="1">
      <c r="A454" s="77"/>
      <c r="B454" s="77"/>
      <c r="C454" s="67"/>
      <c r="D454" s="6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21.0" customHeight="1">
      <c r="A455" s="77"/>
      <c r="B455" s="77"/>
      <c r="C455" s="67"/>
      <c r="D455" s="6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21.0" customHeight="1">
      <c r="A456" s="77"/>
      <c r="B456" s="77"/>
      <c r="C456" s="67"/>
      <c r="D456" s="6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21.0" customHeight="1">
      <c r="A457" s="77"/>
      <c r="B457" s="77"/>
      <c r="C457" s="67"/>
      <c r="D457" s="6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21.0" customHeight="1">
      <c r="A458" s="77"/>
      <c r="B458" s="77"/>
      <c r="C458" s="67"/>
      <c r="D458" s="6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21.0" customHeight="1">
      <c r="A459" s="77"/>
      <c r="B459" s="77"/>
      <c r="C459" s="67"/>
      <c r="D459" s="6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21.0" customHeight="1">
      <c r="A460" s="77"/>
      <c r="B460" s="77"/>
      <c r="C460" s="67"/>
      <c r="D460" s="6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21.0" customHeight="1">
      <c r="A461" s="77"/>
      <c r="B461" s="77"/>
      <c r="C461" s="67"/>
      <c r="D461" s="6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21.0" customHeight="1">
      <c r="A462" s="77"/>
      <c r="B462" s="77"/>
      <c r="C462" s="67"/>
      <c r="D462" s="6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21.0" customHeight="1">
      <c r="A463" s="77"/>
      <c r="B463" s="77"/>
      <c r="C463" s="67"/>
      <c r="D463" s="6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21.0" customHeight="1">
      <c r="A464" s="77"/>
      <c r="B464" s="77"/>
      <c r="C464" s="67"/>
      <c r="D464" s="6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21.0" customHeight="1">
      <c r="A465" s="77"/>
      <c r="B465" s="77"/>
      <c r="C465" s="67"/>
      <c r="D465" s="6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21.0" customHeight="1">
      <c r="A466" s="77"/>
      <c r="B466" s="77"/>
      <c r="C466" s="67"/>
      <c r="D466" s="6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21.0" customHeight="1">
      <c r="A467" s="77"/>
      <c r="B467" s="77"/>
      <c r="C467" s="67"/>
      <c r="D467" s="6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21.0" customHeight="1">
      <c r="A468" s="77"/>
      <c r="B468" s="77"/>
      <c r="C468" s="67"/>
      <c r="D468" s="6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21.0" customHeight="1">
      <c r="A469" s="77"/>
      <c r="B469" s="77"/>
      <c r="C469" s="67"/>
      <c r="D469" s="6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21.0" customHeight="1">
      <c r="A470" s="77"/>
      <c r="B470" s="77"/>
      <c r="C470" s="67"/>
      <c r="D470" s="6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21.0" customHeight="1">
      <c r="A471" s="77"/>
      <c r="B471" s="77"/>
      <c r="C471" s="67"/>
      <c r="D471" s="6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21.0" customHeight="1">
      <c r="A472" s="77"/>
      <c r="B472" s="77"/>
      <c r="C472" s="67"/>
      <c r="D472" s="6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21.0" customHeight="1">
      <c r="A473" s="77"/>
      <c r="B473" s="77"/>
      <c r="C473" s="67"/>
      <c r="D473" s="6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21.0" customHeight="1">
      <c r="A474" s="77"/>
      <c r="B474" s="77"/>
      <c r="C474" s="67"/>
      <c r="D474" s="6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21.0" customHeight="1">
      <c r="A475" s="77"/>
      <c r="B475" s="77"/>
      <c r="C475" s="67"/>
      <c r="D475" s="6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21.0" customHeight="1">
      <c r="A476" s="77"/>
      <c r="B476" s="77"/>
      <c r="C476" s="67"/>
      <c r="D476" s="6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21.0" customHeight="1">
      <c r="A477" s="77"/>
      <c r="B477" s="77"/>
      <c r="C477" s="67"/>
      <c r="D477" s="6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21.0" customHeight="1">
      <c r="A478" s="77"/>
      <c r="B478" s="77"/>
      <c r="C478" s="67"/>
      <c r="D478" s="6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21.0" customHeight="1">
      <c r="A479" s="77"/>
      <c r="B479" s="77"/>
      <c r="C479" s="67"/>
      <c r="D479" s="6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21.0" customHeight="1">
      <c r="A480" s="77"/>
      <c r="B480" s="77"/>
      <c r="C480" s="67"/>
      <c r="D480" s="6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21.0" customHeight="1">
      <c r="A481" s="77"/>
      <c r="B481" s="77"/>
      <c r="C481" s="67"/>
      <c r="D481" s="6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21.0" customHeight="1">
      <c r="A482" s="77"/>
      <c r="B482" s="77"/>
      <c r="C482" s="67"/>
      <c r="D482" s="6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21.0" customHeight="1">
      <c r="A483" s="77"/>
      <c r="B483" s="77"/>
      <c r="C483" s="67"/>
      <c r="D483" s="6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21.0" customHeight="1">
      <c r="A484" s="77"/>
      <c r="B484" s="77"/>
      <c r="C484" s="67"/>
      <c r="D484" s="6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21.0" customHeight="1">
      <c r="A485" s="77"/>
      <c r="B485" s="77"/>
      <c r="C485" s="67"/>
      <c r="D485" s="6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21.0" customHeight="1">
      <c r="A486" s="77"/>
      <c r="B486" s="77"/>
      <c r="C486" s="67"/>
      <c r="D486" s="6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21.0" customHeight="1">
      <c r="A487" s="77"/>
      <c r="B487" s="77"/>
      <c r="C487" s="67"/>
      <c r="D487" s="6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21.0" customHeight="1">
      <c r="A488" s="77"/>
      <c r="B488" s="77"/>
      <c r="C488" s="67"/>
      <c r="D488" s="6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21.0" customHeight="1">
      <c r="A489" s="77"/>
      <c r="B489" s="77"/>
      <c r="C489" s="67"/>
      <c r="D489" s="6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21.0" customHeight="1">
      <c r="A490" s="77"/>
      <c r="B490" s="77"/>
      <c r="C490" s="67"/>
      <c r="D490" s="6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21.0" customHeight="1">
      <c r="A491" s="77"/>
      <c r="B491" s="77"/>
      <c r="C491" s="67"/>
      <c r="D491" s="6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21.0" customHeight="1">
      <c r="A492" s="77"/>
      <c r="B492" s="77"/>
      <c r="C492" s="67"/>
      <c r="D492" s="6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21.0" customHeight="1">
      <c r="A493" s="77"/>
      <c r="B493" s="77"/>
      <c r="C493" s="67"/>
      <c r="D493" s="6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21.0" customHeight="1">
      <c r="A494" s="77"/>
      <c r="B494" s="77"/>
      <c r="C494" s="67"/>
      <c r="D494" s="6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21.0" customHeight="1">
      <c r="A495" s="77"/>
      <c r="B495" s="77"/>
      <c r="C495" s="67"/>
      <c r="D495" s="6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21.0" customHeight="1">
      <c r="A496" s="77"/>
      <c r="B496" s="77"/>
      <c r="C496" s="67"/>
      <c r="D496" s="6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21.0" customHeight="1">
      <c r="A497" s="77"/>
      <c r="B497" s="77"/>
      <c r="C497" s="67"/>
      <c r="D497" s="6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21.0" customHeight="1">
      <c r="A498" s="77"/>
      <c r="B498" s="77"/>
      <c r="C498" s="67"/>
      <c r="D498" s="6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21.0" customHeight="1">
      <c r="A499" s="77"/>
      <c r="B499" s="77"/>
      <c r="C499" s="67"/>
      <c r="D499" s="6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21.0" customHeight="1">
      <c r="A500" s="77"/>
      <c r="B500" s="77"/>
      <c r="C500" s="67"/>
      <c r="D500" s="6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21.0" customHeight="1">
      <c r="A501" s="77"/>
      <c r="B501" s="77"/>
      <c r="C501" s="67"/>
      <c r="D501" s="6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21.0" customHeight="1">
      <c r="A502" s="77"/>
      <c r="B502" s="77"/>
      <c r="C502" s="67"/>
      <c r="D502" s="6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21.0" customHeight="1">
      <c r="A503" s="77"/>
      <c r="B503" s="77"/>
      <c r="C503" s="67"/>
      <c r="D503" s="6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21.0" customHeight="1">
      <c r="A504" s="77"/>
      <c r="B504" s="77"/>
      <c r="C504" s="67"/>
      <c r="D504" s="6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21.0" customHeight="1">
      <c r="A505" s="77"/>
      <c r="B505" s="77"/>
      <c r="C505" s="67"/>
      <c r="D505" s="6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21.0" customHeight="1">
      <c r="A506" s="77"/>
      <c r="B506" s="77"/>
      <c r="C506" s="67"/>
      <c r="D506" s="6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21.0" customHeight="1">
      <c r="A507" s="77"/>
      <c r="B507" s="77"/>
      <c r="C507" s="67"/>
      <c r="D507" s="6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21.0" customHeight="1">
      <c r="A508" s="77"/>
      <c r="B508" s="77"/>
      <c r="C508" s="67"/>
      <c r="D508" s="6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21.0" customHeight="1">
      <c r="A509" s="77"/>
      <c r="B509" s="77"/>
      <c r="C509" s="67"/>
      <c r="D509" s="6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21.0" customHeight="1">
      <c r="A510" s="77"/>
      <c r="B510" s="77"/>
      <c r="C510" s="67"/>
      <c r="D510" s="6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21.0" customHeight="1">
      <c r="A511" s="77"/>
      <c r="B511" s="77"/>
      <c r="C511" s="67"/>
      <c r="D511" s="6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21.0" customHeight="1">
      <c r="A512" s="77"/>
      <c r="B512" s="77"/>
      <c r="C512" s="67"/>
      <c r="D512" s="6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21.0" customHeight="1">
      <c r="A513" s="77"/>
      <c r="B513" s="77"/>
      <c r="C513" s="67"/>
      <c r="D513" s="6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21.0" customHeight="1">
      <c r="A514" s="77"/>
      <c r="B514" s="77"/>
      <c r="C514" s="67"/>
      <c r="D514" s="6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21.0" customHeight="1">
      <c r="A515" s="77"/>
      <c r="B515" s="77"/>
      <c r="C515" s="67"/>
      <c r="D515" s="6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21.0" customHeight="1">
      <c r="A516" s="77"/>
      <c r="B516" s="77"/>
      <c r="C516" s="67"/>
      <c r="D516" s="6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21.0" customHeight="1">
      <c r="A517" s="77"/>
      <c r="B517" s="77"/>
      <c r="C517" s="67"/>
      <c r="D517" s="6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21.0" customHeight="1">
      <c r="A518" s="77"/>
      <c r="B518" s="77"/>
      <c r="C518" s="67"/>
      <c r="D518" s="6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21.0" customHeight="1">
      <c r="A519" s="77"/>
      <c r="B519" s="77"/>
      <c r="C519" s="67"/>
      <c r="D519" s="6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21.0" customHeight="1">
      <c r="A520" s="77"/>
      <c r="B520" s="77"/>
      <c r="C520" s="67"/>
      <c r="D520" s="6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21.0" customHeight="1">
      <c r="A521" s="77"/>
      <c r="B521" s="77"/>
      <c r="C521" s="67"/>
      <c r="D521" s="6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21.0" customHeight="1">
      <c r="A522" s="77"/>
      <c r="B522" s="77"/>
      <c r="C522" s="67"/>
      <c r="D522" s="6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21.0" customHeight="1">
      <c r="A523" s="77"/>
      <c r="B523" s="77"/>
      <c r="C523" s="67"/>
      <c r="D523" s="6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21.0" customHeight="1">
      <c r="A524" s="77"/>
      <c r="B524" s="77"/>
      <c r="C524" s="67"/>
      <c r="D524" s="6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21.0" customHeight="1">
      <c r="A525" s="77"/>
      <c r="B525" s="77"/>
      <c r="C525" s="67"/>
      <c r="D525" s="6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21.0" customHeight="1">
      <c r="A526" s="77"/>
      <c r="B526" s="77"/>
      <c r="C526" s="67"/>
      <c r="D526" s="6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21.0" customHeight="1">
      <c r="A527" s="77"/>
      <c r="B527" s="77"/>
      <c r="C527" s="67"/>
      <c r="D527" s="6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21.0" customHeight="1">
      <c r="A528" s="77"/>
      <c r="B528" s="77"/>
      <c r="C528" s="67"/>
      <c r="D528" s="6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21.0" customHeight="1">
      <c r="A529" s="77"/>
      <c r="B529" s="77"/>
      <c r="C529" s="67"/>
      <c r="D529" s="6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21.0" customHeight="1">
      <c r="A530" s="77"/>
      <c r="B530" s="77"/>
      <c r="C530" s="67"/>
      <c r="D530" s="6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21.0" customHeight="1">
      <c r="A531" s="77"/>
      <c r="B531" s="77"/>
      <c r="C531" s="67"/>
      <c r="D531" s="6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21.0" customHeight="1">
      <c r="A532" s="77"/>
      <c r="B532" s="77"/>
      <c r="C532" s="67"/>
      <c r="D532" s="6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21.0" customHeight="1">
      <c r="A533" s="77"/>
      <c r="B533" s="77"/>
      <c r="C533" s="67"/>
      <c r="D533" s="6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21.0" customHeight="1">
      <c r="A534" s="77"/>
      <c r="B534" s="77"/>
      <c r="C534" s="67"/>
      <c r="D534" s="6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21.0" customHeight="1">
      <c r="A535" s="77"/>
      <c r="B535" s="77"/>
      <c r="C535" s="67"/>
      <c r="D535" s="6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21.0" customHeight="1">
      <c r="A536" s="77"/>
      <c r="B536" s="77"/>
      <c r="C536" s="67"/>
      <c r="D536" s="6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21.0" customHeight="1">
      <c r="A537" s="77"/>
      <c r="B537" s="77"/>
      <c r="C537" s="67"/>
      <c r="D537" s="6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21.0" customHeight="1">
      <c r="A538" s="77"/>
      <c r="B538" s="77"/>
      <c r="C538" s="67"/>
      <c r="D538" s="6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21.0" customHeight="1">
      <c r="A539" s="77"/>
      <c r="B539" s="77"/>
      <c r="C539" s="67"/>
      <c r="D539" s="6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21.0" customHeight="1">
      <c r="A540" s="77"/>
      <c r="B540" s="77"/>
      <c r="C540" s="67"/>
      <c r="D540" s="6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21.0" customHeight="1">
      <c r="A541" s="77"/>
      <c r="B541" s="77"/>
      <c r="C541" s="67"/>
      <c r="D541" s="6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21.0" customHeight="1">
      <c r="A542" s="77"/>
      <c r="B542" s="77"/>
      <c r="C542" s="67"/>
      <c r="D542" s="6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21.0" customHeight="1">
      <c r="A543" s="77"/>
      <c r="B543" s="77"/>
      <c r="C543" s="67"/>
      <c r="D543" s="6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21.0" customHeight="1">
      <c r="A544" s="77"/>
      <c r="B544" s="77"/>
      <c r="C544" s="67"/>
      <c r="D544" s="6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21.0" customHeight="1">
      <c r="A545" s="77"/>
      <c r="B545" s="77"/>
      <c r="C545" s="67"/>
      <c r="D545" s="6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21.0" customHeight="1">
      <c r="A546" s="77"/>
      <c r="B546" s="77"/>
      <c r="C546" s="67"/>
      <c r="D546" s="6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21.0" customHeight="1">
      <c r="A547" s="77"/>
      <c r="B547" s="77"/>
      <c r="C547" s="67"/>
      <c r="D547" s="6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21.0" customHeight="1">
      <c r="A548" s="77"/>
      <c r="B548" s="77"/>
      <c r="C548" s="67"/>
      <c r="D548" s="6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21.0" customHeight="1">
      <c r="A549" s="77"/>
      <c r="B549" s="77"/>
      <c r="C549" s="67"/>
      <c r="D549" s="6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21.0" customHeight="1">
      <c r="A550" s="77"/>
      <c r="B550" s="77"/>
      <c r="C550" s="67"/>
      <c r="D550" s="6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21.0" customHeight="1">
      <c r="A551" s="77"/>
      <c r="B551" s="77"/>
      <c r="C551" s="67"/>
      <c r="D551" s="6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21.0" customHeight="1">
      <c r="A552" s="77"/>
      <c r="B552" s="77"/>
      <c r="C552" s="67"/>
      <c r="D552" s="6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21.0" customHeight="1">
      <c r="A553" s="77"/>
      <c r="B553" s="77"/>
      <c r="C553" s="67"/>
      <c r="D553" s="6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21.0" customHeight="1">
      <c r="A554" s="77"/>
      <c r="B554" s="77"/>
      <c r="C554" s="67"/>
      <c r="D554" s="6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21.0" customHeight="1">
      <c r="A555" s="77"/>
      <c r="B555" s="77"/>
      <c r="C555" s="67"/>
      <c r="D555" s="6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21.0" customHeight="1">
      <c r="A556" s="77"/>
      <c r="B556" s="77"/>
      <c r="C556" s="67"/>
      <c r="D556" s="6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21.0" customHeight="1">
      <c r="A557" s="77"/>
      <c r="B557" s="77"/>
      <c r="C557" s="67"/>
      <c r="D557" s="6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21.0" customHeight="1">
      <c r="A558" s="77"/>
      <c r="B558" s="77"/>
      <c r="C558" s="67"/>
      <c r="D558" s="6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21.0" customHeight="1">
      <c r="A559" s="77"/>
      <c r="B559" s="77"/>
      <c r="C559" s="67"/>
      <c r="D559" s="6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21.0" customHeight="1">
      <c r="A560" s="77"/>
      <c r="B560" s="77"/>
      <c r="C560" s="67"/>
      <c r="D560" s="6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21.0" customHeight="1">
      <c r="A561" s="77"/>
      <c r="B561" s="77"/>
      <c r="C561" s="67"/>
      <c r="D561" s="6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21.0" customHeight="1">
      <c r="A562" s="77"/>
      <c r="B562" s="77"/>
      <c r="C562" s="67"/>
      <c r="D562" s="6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21.0" customHeight="1">
      <c r="A563" s="77"/>
      <c r="B563" s="77"/>
      <c r="C563" s="67"/>
      <c r="D563" s="6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21.0" customHeight="1">
      <c r="A564" s="77"/>
      <c r="B564" s="77"/>
      <c r="C564" s="67"/>
      <c r="D564" s="6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21.0" customHeight="1">
      <c r="A565" s="77"/>
      <c r="B565" s="77"/>
      <c r="C565" s="67"/>
      <c r="D565" s="6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21.0" customHeight="1">
      <c r="A566" s="77"/>
      <c r="B566" s="77"/>
      <c r="C566" s="67"/>
      <c r="D566" s="6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21.0" customHeight="1">
      <c r="A567" s="77"/>
      <c r="B567" s="77"/>
      <c r="C567" s="67"/>
      <c r="D567" s="6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21.0" customHeight="1">
      <c r="A568" s="77"/>
      <c r="B568" s="77"/>
      <c r="C568" s="67"/>
      <c r="D568" s="6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21.0" customHeight="1">
      <c r="A569" s="77"/>
      <c r="B569" s="77"/>
      <c r="C569" s="67"/>
      <c r="D569" s="6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21.0" customHeight="1">
      <c r="A570" s="77"/>
      <c r="B570" s="77"/>
      <c r="C570" s="67"/>
      <c r="D570" s="6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21.0" customHeight="1">
      <c r="A571" s="77"/>
      <c r="B571" s="77"/>
      <c r="C571" s="67"/>
      <c r="D571" s="6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21.0" customHeight="1">
      <c r="A572" s="77"/>
      <c r="B572" s="77"/>
      <c r="C572" s="67"/>
      <c r="D572" s="6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21.0" customHeight="1">
      <c r="A573" s="77"/>
      <c r="B573" s="77"/>
      <c r="C573" s="67"/>
      <c r="D573" s="6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21.0" customHeight="1">
      <c r="A574" s="77"/>
      <c r="B574" s="77"/>
      <c r="C574" s="67"/>
      <c r="D574" s="6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21.0" customHeight="1">
      <c r="A575" s="77"/>
      <c r="B575" s="77"/>
      <c r="C575" s="67"/>
      <c r="D575" s="6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21.0" customHeight="1">
      <c r="A576" s="77"/>
      <c r="B576" s="77"/>
      <c r="C576" s="67"/>
      <c r="D576" s="6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21.0" customHeight="1">
      <c r="A577" s="77"/>
      <c r="B577" s="77"/>
      <c r="C577" s="67"/>
      <c r="D577" s="6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21.0" customHeight="1">
      <c r="A578" s="77"/>
      <c r="B578" s="77"/>
      <c r="C578" s="67"/>
      <c r="D578" s="6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21.0" customHeight="1">
      <c r="A579" s="77"/>
      <c r="B579" s="77"/>
      <c r="C579" s="67"/>
      <c r="D579" s="6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21.0" customHeight="1">
      <c r="A580" s="77"/>
      <c r="B580" s="77"/>
      <c r="C580" s="67"/>
      <c r="D580" s="6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21.0" customHeight="1">
      <c r="A581" s="77"/>
      <c r="B581" s="77"/>
      <c r="C581" s="67"/>
      <c r="D581" s="6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21.0" customHeight="1">
      <c r="A582" s="77"/>
      <c r="B582" s="77"/>
      <c r="C582" s="67"/>
      <c r="D582" s="6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21.0" customHeight="1">
      <c r="A583" s="77"/>
      <c r="B583" s="77"/>
      <c r="C583" s="67"/>
      <c r="D583" s="6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21.0" customHeight="1">
      <c r="A584" s="77"/>
      <c r="B584" s="77"/>
      <c r="C584" s="67"/>
      <c r="D584" s="6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21.0" customHeight="1">
      <c r="A585" s="77"/>
      <c r="B585" s="77"/>
      <c r="C585" s="67"/>
      <c r="D585" s="6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21.0" customHeight="1">
      <c r="A586" s="77"/>
      <c r="B586" s="77"/>
      <c r="C586" s="67"/>
      <c r="D586" s="6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21.0" customHeight="1">
      <c r="A587" s="77"/>
      <c r="B587" s="77"/>
      <c r="C587" s="67"/>
      <c r="D587" s="6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21.0" customHeight="1">
      <c r="A588" s="77"/>
      <c r="B588" s="77"/>
      <c r="C588" s="67"/>
      <c r="D588" s="6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21.0" customHeight="1">
      <c r="A589" s="77"/>
      <c r="B589" s="77"/>
      <c r="C589" s="67"/>
      <c r="D589" s="6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21.0" customHeight="1">
      <c r="A590" s="77"/>
      <c r="B590" s="77"/>
      <c r="C590" s="67"/>
      <c r="D590" s="6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21.0" customHeight="1">
      <c r="A591" s="77"/>
      <c r="B591" s="77"/>
      <c r="C591" s="67"/>
      <c r="D591" s="6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21.0" customHeight="1">
      <c r="A592" s="77"/>
      <c r="B592" s="77"/>
      <c r="C592" s="67"/>
      <c r="D592" s="6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21.0" customHeight="1">
      <c r="A593" s="77"/>
      <c r="B593" s="77"/>
      <c r="C593" s="67"/>
      <c r="D593" s="6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21.0" customHeight="1">
      <c r="A594" s="77"/>
      <c r="B594" s="77"/>
      <c r="C594" s="67"/>
      <c r="D594" s="6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21.0" customHeight="1">
      <c r="A595" s="77"/>
      <c r="B595" s="77"/>
      <c r="C595" s="67"/>
      <c r="D595" s="6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21.0" customHeight="1">
      <c r="A596" s="77"/>
      <c r="B596" s="77"/>
      <c r="C596" s="67"/>
      <c r="D596" s="6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21.0" customHeight="1">
      <c r="A597" s="77"/>
      <c r="B597" s="77"/>
      <c r="C597" s="67"/>
      <c r="D597" s="6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21.0" customHeight="1">
      <c r="A598" s="77"/>
      <c r="B598" s="77"/>
      <c r="C598" s="67"/>
      <c r="D598" s="6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21.0" customHeight="1">
      <c r="A599" s="77"/>
      <c r="B599" s="77"/>
      <c r="C599" s="67"/>
      <c r="D599" s="6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21.0" customHeight="1">
      <c r="A600" s="77"/>
      <c r="B600" s="77"/>
      <c r="C600" s="67"/>
      <c r="D600" s="6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21.0" customHeight="1">
      <c r="A601" s="77"/>
      <c r="B601" s="77"/>
      <c r="C601" s="67"/>
      <c r="D601" s="6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21.0" customHeight="1">
      <c r="A602" s="77"/>
      <c r="B602" s="77"/>
      <c r="C602" s="67"/>
      <c r="D602" s="6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21.0" customHeight="1">
      <c r="A603" s="77"/>
      <c r="B603" s="77"/>
      <c r="C603" s="67"/>
      <c r="D603" s="6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21.0" customHeight="1">
      <c r="A604" s="77"/>
      <c r="B604" s="77"/>
      <c r="C604" s="67"/>
      <c r="D604" s="6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21.0" customHeight="1">
      <c r="A605" s="77"/>
      <c r="B605" s="77"/>
      <c r="C605" s="67"/>
      <c r="D605" s="6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21.0" customHeight="1">
      <c r="A606" s="77"/>
      <c r="B606" s="77"/>
      <c r="C606" s="67"/>
      <c r="D606" s="6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21.0" customHeight="1">
      <c r="A607" s="77"/>
      <c r="B607" s="77"/>
      <c r="C607" s="67"/>
      <c r="D607" s="6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21.0" customHeight="1">
      <c r="A608" s="77"/>
      <c r="B608" s="77"/>
      <c r="C608" s="67"/>
      <c r="D608" s="6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21.0" customHeight="1">
      <c r="A609" s="77"/>
      <c r="B609" s="77"/>
      <c r="C609" s="67"/>
      <c r="D609" s="6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21.0" customHeight="1">
      <c r="A610" s="77"/>
      <c r="B610" s="77"/>
      <c r="C610" s="67"/>
      <c r="D610" s="6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21.0" customHeight="1">
      <c r="A611" s="77"/>
      <c r="B611" s="77"/>
      <c r="C611" s="67"/>
      <c r="D611" s="6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21.0" customHeight="1">
      <c r="A612" s="77"/>
      <c r="B612" s="77"/>
      <c r="C612" s="67"/>
      <c r="D612" s="6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21.0" customHeight="1">
      <c r="A613" s="77"/>
      <c r="B613" s="77"/>
      <c r="C613" s="67"/>
      <c r="D613" s="6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21.0" customHeight="1">
      <c r="A614" s="77"/>
      <c r="B614" s="77"/>
      <c r="C614" s="67"/>
      <c r="D614" s="6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21.0" customHeight="1">
      <c r="A615" s="77"/>
      <c r="B615" s="77"/>
      <c r="C615" s="67"/>
      <c r="D615" s="6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21.0" customHeight="1">
      <c r="A616" s="77"/>
      <c r="B616" s="77"/>
      <c r="C616" s="67"/>
      <c r="D616" s="6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21.0" customHeight="1">
      <c r="A617" s="77"/>
      <c r="B617" s="77"/>
      <c r="C617" s="67"/>
      <c r="D617" s="6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21.0" customHeight="1">
      <c r="A618" s="77"/>
      <c r="B618" s="77"/>
      <c r="C618" s="67"/>
      <c r="D618" s="6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21.0" customHeight="1">
      <c r="A619" s="77"/>
      <c r="B619" s="77"/>
      <c r="C619" s="67"/>
      <c r="D619" s="6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21.0" customHeight="1">
      <c r="A620" s="77"/>
      <c r="B620" s="77"/>
      <c r="C620" s="67"/>
      <c r="D620" s="6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21.0" customHeight="1">
      <c r="A621" s="77"/>
      <c r="B621" s="77"/>
      <c r="C621" s="67"/>
      <c r="D621" s="6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21.0" customHeight="1">
      <c r="A622" s="77"/>
      <c r="B622" s="77"/>
      <c r="C622" s="67"/>
      <c r="D622" s="6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21.0" customHeight="1">
      <c r="A623" s="77"/>
      <c r="B623" s="77"/>
      <c r="C623" s="67"/>
      <c r="D623" s="6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21.0" customHeight="1">
      <c r="A624" s="77"/>
      <c r="B624" s="77"/>
      <c r="C624" s="67"/>
      <c r="D624" s="6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21.0" customHeight="1">
      <c r="A625" s="77"/>
      <c r="B625" s="77"/>
      <c r="C625" s="67"/>
      <c r="D625" s="6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21.0" customHeight="1">
      <c r="A626" s="77"/>
      <c r="B626" s="77"/>
      <c r="C626" s="67"/>
      <c r="D626" s="6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21.0" customHeight="1">
      <c r="A627" s="77"/>
      <c r="B627" s="77"/>
      <c r="C627" s="67"/>
      <c r="D627" s="6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21.0" customHeight="1">
      <c r="A628" s="77"/>
      <c r="B628" s="77"/>
      <c r="C628" s="67"/>
      <c r="D628" s="6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21.0" customHeight="1">
      <c r="A629" s="77"/>
      <c r="B629" s="77"/>
      <c r="C629" s="67"/>
      <c r="D629" s="6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21.0" customHeight="1">
      <c r="A630" s="77"/>
      <c r="B630" s="77"/>
      <c r="C630" s="67"/>
      <c r="D630" s="6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21.0" customHeight="1">
      <c r="A631" s="77"/>
      <c r="B631" s="77"/>
      <c r="C631" s="67"/>
      <c r="D631" s="6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21.0" customHeight="1">
      <c r="A632" s="77"/>
      <c r="B632" s="77"/>
      <c r="C632" s="67"/>
      <c r="D632" s="6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21.0" customHeight="1">
      <c r="A633" s="77"/>
      <c r="B633" s="77"/>
      <c r="C633" s="67"/>
      <c r="D633" s="6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21.0" customHeight="1">
      <c r="A634" s="77"/>
      <c r="B634" s="77"/>
      <c r="C634" s="67"/>
      <c r="D634" s="6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21.0" customHeight="1">
      <c r="A635" s="77"/>
      <c r="B635" s="77"/>
      <c r="C635" s="67"/>
      <c r="D635" s="6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21.0" customHeight="1">
      <c r="A636" s="77"/>
      <c r="B636" s="77"/>
      <c r="C636" s="67"/>
      <c r="D636" s="6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21.0" customHeight="1">
      <c r="A637" s="77"/>
      <c r="B637" s="77"/>
      <c r="C637" s="67"/>
      <c r="D637" s="6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21.0" customHeight="1">
      <c r="A638" s="77"/>
      <c r="B638" s="77"/>
      <c r="C638" s="67"/>
      <c r="D638" s="6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21.0" customHeight="1">
      <c r="A639" s="77"/>
      <c r="B639" s="77"/>
      <c r="C639" s="67"/>
      <c r="D639" s="6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21.0" customHeight="1">
      <c r="A640" s="77"/>
      <c r="B640" s="77"/>
      <c r="C640" s="67"/>
      <c r="D640" s="6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21.0" customHeight="1">
      <c r="A641" s="77"/>
      <c r="B641" s="77"/>
      <c r="C641" s="67"/>
      <c r="D641" s="6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21.0" customHeight="1">
      <c r="A642" s="77"/>
      <c r="B642" s="77"/>
      <c r="C642" s="67"/>
      <c r="D642" s="6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21.0" customHeight="1">
      <c r="A643" s="77"/>
      <c r="B643" s="77"/>
      <c r="C643" s="67"/>
      <c r="D643" s="6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21.0" customHeight="1">
      <c r="A644" s="77"/>
      <c r="B644" s="77"/>
      <c r="C644" s="67"/>
      <c r="D644" s="6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21.0" customHeight="1">
      <c r="A645" s="77"/>
      <c r="B645" s="77"/>
      <c r="C645" s="67"/>
      <c r="D645" s="6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21.0" customHeight="1">
      <c r="A646" s="77"/>
      <c r="B646" s="77"/>
      <c r="C646" s="67"/>
      <c r="D646" s="6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21.0" customHeight="1">
      <c r="A647" s="77"/>
      <c r="B647" s="77"/>
      <c r="C647" s="67"/>
      <c r="D647" s="6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21.0" customHeight="1">
      <c r="A648" s="77"/>
      <c r="B648" s="77"/>
      <c r="C648" s="67"/>
      <c r="D648" s="6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21.0" customHeight="1">
      <c r="A649" s="77"/>
      <c r="B649" s="77"/>
      <c r="C649" s="67"/>
      <c r="D649" s="6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21.0" customHeight="1">
      <c r="A650" s="77"/>
      <c r="B650" s="77"/>
      <c r="C650" s="67"/>
      <c r="D650" s="6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21.0" customHeight="1">
      <c r="A651" s="77"/>
      <c r="B651" s="77"/>
      <c r="C651" s="67"/>
      <c r="D651" s="6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21.0" customHeight="1">
      <c r="A652" s="77"/>
      <c r="B652" s="77"/>
      <c r="C652" s="67"/>
      <c r="D652" s="6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21.0" customHeight="1">
      <c r="A653" s="77"/>
      <c r="B653" s="77"/>
      <c r="C653" s="67"/>
      <c r="D653" s="6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21.0" customHeight="1">
      <c r="A654" s="77"/>
      <c r="B654" s="77"/>
      <c r="C654" s="67"/>
      <c r="D654" s="6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21.0" customHeight="1">
      <c r="A655" s="77"/>
      <c r="B655" s="77"/>
      <c r="C655" s="67"/>
      <c r="D655" s="6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21.0" customHeight="1">
      <c r="A656" s="77"/>
      <c r="B656" s="77"/>
      <c r="C656" s="67"/>
      <c r="D656" s="6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21.0" customHeight="1">
      <c r="A657" s="77"/>
      <c r="B657" s="77"/>
      <c r="C657" s="67"/>
      <c r="D657" s="6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21.0" customHeight="1">
      <c r="A658" s="77"/>
      <c r="B658" s="77"/>
      <c r="C658" s="67"/>
      <c r="D658" s="6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21.0" customHeight="1">
      <c r="A659" s="77"/>
      <c r="B659" s="77"/>
      <c r="C659" s="67"/>
      <c r="D659" s="6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21.0" customHeight="1">
      <c r="A660" s="77"/>
      <c r="B660" s="77"/>
      <c r="C660" s="67"/>
      <c r="D660" s="6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21.0" customHeight="1">
      <c r="A661" s="77"/>
      <c r="B661" s="77"/>
      <c r="C661" s="67"/>
      <c r="D661" s="6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21.0" customHeight="1">
      <c r="A662" s="77"/>
      <c r="B662" s="77"/>
      <c r="C662" s="67"/>
      <c r="D662" s="6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21.0" customHeight="1">
      <c r="A663" s="77"/>
      <c r="B663" s="77"/>
      <c r="C663" s="67"/>
      <c r="D663" s="6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21.0" customHeight="1">
      <c r="A664" s="77"/>
      <c r="B664" s="77"/>
      <c r="C664" s="67"/>
      <c r="D664" s="6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21.0" customHeight="1">
      <c r="A665" s="77"/>
      <c r="B665" s="77"/>
      <c r="C665" s="67"/>
      <c r="D665" s="6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21.0" customHeight="1">
      <c r="A666" s="77"/>
      <c r="B666" s="77"/>
      <c r="C666" s="67"/>
      <c r="D666" s="6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21.0" customHeight="1">
      <c r="A667" s="77"/>
      <c r="B667" s="77"/>
      <c r="C667" s="67"/>
      <c r="D667" s="6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21.0" customHeight="1">
      <c r="A668" s="77"/>
      <c r="B668" s="77"/>
      <c r="C668" s="67"/>
      <c r="D668" s="6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21.0" customHeight="1">
      <c r="A669" s="77"/>
      <c r="B669" s="77"/>
      <c r="C669" s="67"/>
      <c r="D669" s="6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21.0" customHeight="1">
      <c r="A670" s="77"/>
      <c r="B670" s="77"/>
      <c r="C670" s="67"/>
      <c r="D670" s="6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21.0" customHeight="1">
      <c r="A671" s="77"/>
      <c r="B671" s="77"/>
      <c r="C671" s="67"/>
      <c r="D671" s="6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21.0" customHeight="1">
      <c r="A672" s="77"/>
      <c r="B672" s="77"/>
      <c r="C672" s="67"/>
      <c r="D672" s="6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21.0" customHeight="1">
      <c r="A673" s="77"/>
      <c r="B673" s="77"/>
      <c r="C673" s="67"/>
      <c r="D673" s="6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21.0" customHeight="1">
      <c r="A674" s="77"/>
      <c r="B674" s="77"/>
      <c r="C674" s="67"/>
      <c r="D674" s="6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21.0" customHeight="1">
      <c r="A675" s="77"/>
      <c r="B675" s="77"/>
      <c r="C675" s="67"/>
      <c r="D675" s="6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21.0" customHeight="1">
      <c r="A676" s="77"/>
      <c r="B676" s="77"/>
      <c r="C676" s="67"/>
      <c r="D676" s="6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21.0" customHeight="1">
      <c r="A677" s="77"/>
      <c r="B677" s="77"/>
      <c r="C677" s="67"/>
      <c r="D677" s="6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21.0" customHeight="1">
      <c r="A678" s="77"/>
      <c r="B678" s="77"/>
      <c r="C678" s="67"/>
      <c r="D678" s="6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21.0" customHeight="1">
      <c r="A679" s="77"/>
      <c r="B679" s="77"/>
      <c r="C679" s="67"/>
      <c r="D679" s="6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21.0" customHeight="1">
      <c r="A680" s="77"/>
      <c r="B680" s="77"/>
      <c r="C680" s="67"/>
      <c r="D680" s="6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21.0" customHeight="1">
      <c r="A681" s="77"/>
      <c r="B681" s="77"/>
      <c r="C681" s="67"/>
      <c r="D681" s="6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21.0" customHeight="1">
      <c r="A682" s="77"/>
      <c r="B682" s="77"/>
      <c r="C682" s="67"/>
      <c r="D682" s="6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21.0" customHeight="1">
      <c r="A683" s="77"/>
      <c r="B683" s="77"/>
      <c r="C683" s="67"/>
      <c r="D683" s="6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21.0" customHeight="1">
      <c r="A684" s="77"/>
      <c r="B684" s="77"/>
      <c r="C684" s="67"/>
      <c r="D684" s="6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21.0" customHeight="1">
      <c r="A685" s="77"/>
      <c r="B685" s="77"/>
      <c r="C685" s="67"/>
      <c r="D685" s="6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21.0" customHeight="1">
      <c r="A686" s="77"/>
      <c r="B686" s="77"/>
      <c r="C686" s="67"/>
      <c r="D686" s="6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21.0" customHeight="1">
      <c r="A687" s="77"/>
      <c r="B687" s="77"/>
      <c r="C687" s="67"/>
      <c r="D687" s="6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21.0" customHeight="1">
      <c r="A688" s="77"/>
      <c r="B688" s="77"/>
      <c r="C688" s="67"/>
      <c r="D688" s="6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21.0" customHeight="1">
      <c r="A689" s="77"/>
      <c r="B689" s="77"/>
      <c r="C689" s="67"/>
      <c r="D689" s="6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21.0" customHeight="1">
      <c r="A690" s="77"/>
      <c r="B690" s="77"/>
      <c r="C690" s="67"/>
      <c r="D690" s="6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21.0" customHeight="1">
      <c r="A691" s="77"/>
      <c r="B691" s="77"/>
      <c r="C691" s="67"/>
      <c r="D691" s="6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21.0" customHeight="1">
      <c r="A692" s="77"/>
      <c r="B692" s="77"/>
      <c r="C692" s="67"/>
      <c r="D692" s="6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21.0" customHeight="1">
      <c r="A693" s="77"/>
      <c r="B693" s="77"/>
      <c r="C693" s="67"/>
      <c r="D693" s="6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21.0" customHeight="1">
      <c r="A694" s="77"/>
      <c r="B694" s="77"/>
      <c r="C694" s="67"/>
      <c r="D694" s="6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21.0" customHeight="1">
      <c r="A695" s="77"/>
      <c r="B695" s="77"/>
      <c r="C695" s="67"/>
      <c r="D695" s="6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21.0" customHeight="1">
      <c r="A696" s="77"/>
      <c r="B696" s="77"/>
      <c r="C696" s="67"/>
      <c r="D696" s="6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21.0" customHeight="1">
      <c r="A697" s="77"/>
      <c r="B697" s="77"/>
      <c r="C697" s="67"/>
      <c r="D697" s="6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21.0" customHeight="1">
      <c r="A698" s="77"/>
      <c r="B698" s="77"/>
      <c r="C698" s="67"/>
      <c r="D698" s="6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21.0" customHeight="1">
      <c r="A699" s="77"/>
      <c r="B699" s="77"/>
      <c r="C699" s="67"/>
      <c r="D699" s="6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21.0" customHeight="1">
      <c r="A700" s="77"/>
      <c r="B700" s="77"/>
      <c r="C700" s="67"/>
      <c r="D700" s="6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21.0" customHeight="1">
      <c r="A701" s="77"/>
      <c r="B701" s="77"/>
      <c r="C701" s="67"/>
      <c r="D701" s="6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21.0" customHeight="1">
      <c r="A702" s="77"/>
      <c r="B702" s="77"/>
      <c r="C702" s="67"/>
      <c r="D702" s="6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21.0" customHeight="1">
      <c r="A703" s="77"/>
      <c r="B703" s="77"/>
      <c r="C703" s="67"/>
      <c r="D703" s="6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21.0" customHeight="1">
      <c r="A704" s="77"/>
      <c r="B704" s="77"/>
      <c r="C704" s="67"/>
      <c r="D704" s="6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21.0" customHeight="1">
      <c r="A705" s="77"/>
      <c r="B705" s="77"/>
      <c r="C705" s="67"/>
      <c r="D705" s="6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21.0" customHeight="1">
      <c r="A706" s="77"/>
      <c r="B706" s="77"/>
      <c r="C706" s="67"/>
      <c r="D706" s="6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21.0" customHeight="1">
      <c r="A707" s="77"/>
      <c r="B707" s="77"/>
      <c r="C707" s="67"/>
      <c r="D707" s="6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21.0" customHeight="1">
      <c r="A708" s="77"/>
      <c r="B708" s="77"/>
      <c r="C708" s="67"/>
      <c r="D708" s="6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21.0" customHeight="1">
      <c r="A709" s="77"/>
      <c r="B709" s="77"/>
      <c r="C709" s="67"/>
      <c r="D709" s="6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21.0" customHeight="1">
      <c r="A710" s="77"/>
      <c r="B710" s="77"/>
      <c r="C710" s="67"/>
      <c r="D710" s="6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21.0" customHeight="1">
      <c r="A711" s="77"/>
      <c r="B711" s="77"/>
      <c r="C711" s="67"/>
      <c r="D711" s="6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21.0" customHeight="1">
      <c r="A712" s="77"/>
      <c r="B712" s="77"/>
      <c r="C712" s="67"/>
      <c r="D712" s="6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21.0" customHeight="1">
      <c r="A713" s="77"/>
      <c r="B713" s="77"/>
      <c r="C713" s="67"/>
      <c r="D713" s="6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21.0" customHeight="1">
      <c r="A714" s="77"/>
      <c r="B714" s="77"/>
      <c r="C714" s="67"/>
      <c r="D714" s="6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21.0" customHeight="1">
      <c r="A715" s="77"/>
      <c r="B715" s="77"/>
      <c r="C715" s="67"/>
      <c r="D715" s="6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21.0" customHeight="1">
      <c r="A716" s="77"/>
      <c r="B716" s="77"/>
      <c r="C716" s="67"/>
      <c r="D716" s="6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21.0" customHeight="1">
      <c r="A717" s="77"/>
      <c r="B717" s="77"/>
      <c r="C717" s="67"/>
      <c r="D717" s="6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21.0" customHeight="1">
      <c r="A718" s="77"/>
      <c r="B718" s="77"/>
      <c r="C718" s="67"/>
      <c r="D718" s="6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21.0" customHeight="1">
      <c r="A719" s="77"/>
      <c r="B719" s="77"/>
      <c r="C719" s="67"/>
      <c r="D719" s="6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21.0" customHeight="1">
      <c r="A720" s="77"/>
      <c r="B720" s="77"/>
      <c r="C720" s="67"/>
      <c r="D720" s="6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21.0" customHeight="1">
      <c r="A721" s="77"/>
      <c r="B721" s="77"/>
      <c r="C721" s="67"/>
      <c r="D721" s="6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21.0" customHeight="1">
      <c r="A722" s="77"/>
      <c r="B722" s="77"/>
      <c r="C722" s="67"/>
      <c r="D722" s="6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21.0" customHeight="1">
      <c r="A723" s="77"/>
      <c r="B723" s="77"/>
      <c r="C723" s="67"/>
      <c r="D723" s="6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21.0" customHeight="1">
      <c r="A724" s="77"/>
      <c r="B724" s="77"/>
      <c r="C724" s="67"/>
      <c r="D724" s="6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21.0" customHeight="1">
      <c r="A725" s="77"/>
      <c r="B725" s="77"/>
      <c r="C725" s="67"/>
      <c r="D725" s="6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21.0" customHeight="1">
      <c r="A726" s="77"/>
      <c r="B726" s="77"/>
      <c r="C726" s="67"/>
      <c r="D726" s="6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21.0" customHeight="1">
      <c r="A727" s="77"/>
      <c r="B727" s="77"/>
      <c r="C727" s="67"/>
      <c r="D727" s="6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21.0" customHeight="1">
      <c r="A728" s="77"/>
      <c r="B728" s="77"/>
      <c r="C728" s="67"/>
      <c r="D728" s="6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21.0" customHeight="1">
      <c r="A729" s="77"/>
      <c r="B729" s="77"/>
      <c r="C729" s="67"/>
      <c r="D729" s="6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21.0" customHeight="1">
      <c r="A730" s="77"/>
      <c r="B730" s="77"/>
      <c r="C730" s="67"/>
      <c r="D730" s="6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21.0" customHeight="1">
      <c r="A731" s="77"/>
      <c r="B731" s="77"/>
      <c r="C731" s="67"/>
      <c r="D731" s="6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21.0" customHeight="1">
      <c r="A732" s="77"/>
      <c r="B732" s="77"/>
      <c r="C732" s="67"/>
      <c r="D732" s="6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21.0" customHeight="1">
      <c r="A733" s="77"/>
      <c r="B733" s="77"/>
      <c r="C733" s="67"/>
      <c r="D733" s="6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21.0" customHeight="1">
      <c r="A734" s="77"/>
      <c r="B734" s="77"/>
      <c r="C734" s="67"/>
      <c r="D734" s="6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21.0" customHeight="1">
      <c r="A735" s="77"/>
      <c r="B735" s="77"/>
      <c r="C735" s="67"/>
      <c r="D735" s="6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21.0" customHeight="1">
      <c r="A736" s="77"/>
      <c r="B736" s="77"/>
      <c r="C736" s="67"/>
      <c r="D736" s="6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21.0" customHeight="1">
      <c r="A737" s="77"/>
      <c r="B737" s="77"/>
      <c r="C737" s="67"/>
      <c r="D737" s="6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21.0" customHeight="1">
      <c r="A738" s="77"/>
      <c r="B738" s="77"/>
      <c r="C738" s="67"/>
      <c r="D738" s="6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21.0" customHeight="1">
      <c r="A739" s="77"/>
      <c r="B739" s="77"/>
      <c r="C739" s="67"/>
      <c r="D739" s="6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21.0" customHeight="1">
      <c r="A740" s="77"/>
      <c r="B740" s="77"/>
      <c r="C740" s="67"/>
      <c r="D740" s="6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21.0" customHeight="1">
      <c r="A741" s="77"/>
      <c r="B741" s="77"/>
      <c r="C741" s="67"/>
      <c r="D741" s="6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21.0" customHeight="1">
      <c r="A742" s="77"/>
      <c r="B742" s="77"/>
      <c r="C742" s="67"/>
      <c r="D742" s="6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21.0" customHeight="1">
      <c r="A743" s="77"/>
      <c r="B743" s="77"/>
      <c r="C743" s="67"/>
      <c r="D743" s="6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21.0" customHeight="1">
      <c r="A744" s="77"/>
      <c r="B744" s="77"/>
      <c r="C744" s="67"/>
      <c r="D744" s="6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21.0" customHeight="1">
      <c r="A745" s="77"/>
      <c r="B745" s="77"/>
      <c r="C745" s="67"/>
      <c r="D745" s="6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21.0" customHeight="1">
      <c r="A746" s="77"/>
      <c r="B746" s="77"/>
      <c r="C746" s="67"/>
      <c r="D746" s="6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21.0" customHeight="1">
      <c r="A747" s="77"/>
      <c r="B747" s="77"/>
      <c r="C747" s="67"/>
      <c r="D747" s="6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21.0" customHeight="1">
      <c r="A748" s="77"/>
      <c r="B748" s="77"/>
      <c r="C748" s="67"/>
      <c r="D748" s="6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21.0" customHeight="1">
      <c r="A749" s="77"/>
      <c r="B749" s="77"/>
      <c r="C749" s="67"/>
      <c r="D749" s="6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21.0" customHeight="1">
      <c r="A750" s="77"/>
      <c r="B750" s="77"/>
      <c r="C750" s="67"/>
      <c r="D750" s="6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21.0" customHeight="1">
      <c r="A751" s="77"/>
      <c r="B751" s="77"/>
      <c r="C751" s="67"/>
      <c r="D751" s="6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21.0" customHeight="1">
      <c r="A752" s="77"/>
      <c r="B752" s="77"/>
      <c r="C752" s="67"/>
      <c r="D752" s="6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21.0" customHeight="1">
      <c r="A753" s="77"/>
      <c r="B753" s="77"/>
      <c r="C753" s="67"/>
      <c r="D753" s="6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21.0" customHeight="1">
      <c r="A754" s="77"/>
      <c r="B754" s="77"/>
      <c r="C754" s="67"/>
      <c r="D754" s="6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21.0" customHeight="1">
      <c r="A755" s="77"/>
      <c r="B755" s="77"/>
      <c r="C755" s="67"/>
      <c r="D755" s="6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21.0" customHeight="1">
      <c r="A756" s="77"/>
      <c r="B756" s="77"/>
      <c r="C756" s="67"/>
      <c r="D756" s="6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21.0" customHeight="1">
      <c r="A757" s="77"/>
      <c r="B757" s="77"/>
      <c r="C757" s="67"/>
      <c r="D757" s="6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21.0" customHeight="1">
      <c r="A758" s="77"/>
      <c r="B758" s="77"/>
      <c r="C758" s="67"/>
      <c r="D758" s="6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21.0" customHeight="1">
      <c r="A759" s="77"/>
      <c r="B759" s="77"/>
      <c r="C759" s="67"/>
      <c r="D759" s="6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21.0" customHeight="1">
      <c r="A760" s="77"/>
      <c r="B760" s="77"/>
      <c r="C760" s="67"/>
      <c r="D760" s="6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21.0" customHeight="1">
      <c r="A761" s="77"/>
      <c r="B761" s="77"/>
      <c r="C761" s="67"/>
      <c r="D761" s="6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21.0" customHeight="1">
      <c r="A762" s="77"/>
      <c r="B762" s="77"/>
      <c r="C762" s="67"/>
      <c r="D762" s="6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21.0" customHeight="1">
      <c r="A763" s="77"/>
      <c r="B763" s="77"/>
      <c r="C763" s="67"/>
      <c r="D763" s="6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21.0" customHeight="1">
      <c r="A764" s="77"/>
      <c r="B764" s="77"/>
      <c r="C764" s="67"/>
      <c r="D764" s="6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21.0" customHeight="1">
      <c r="A765" s="77"/>
      <c r="B765" s="77"/>
      <c r="C765" s="67"/>
      <c r="D765" s="6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21.0" customHeight="1">
      <c r="A766" s="77"/>
      <c r="B766" s="77"/>
      <c r="C766" s="67"/>
      <c r="D766" s="6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21.0" customHeight="1">
      <c r="A767" s="77"/>
      <c r="B767" s="77"/>
      <c r="C767" s="67"/>
      <c r="D767" s="6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21.0" customHeight="1">
      <c r="A768" s="77"/>
      <c r="B768" s="77"/>
      <c r="C768" s="67"/>
      <c r="D768" s="6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21.0" customHeight="1">
      <c r="A769" s="77"/>
      <c r="B769" s="77"/>
      <c r="C769" s="67"/>
      <c r="D769" s="6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21.0" customHeight="1">
      <c r="A770" s="77"/>
      <c r="B770" s="77"/>
      <c r="C770" s="67"/>
      <c r="D770" s="6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21.0" customHeight="1">
      <c r="A771" s="77"/>
      <c r="B771" s="77"/>
      <c r="C771" s="67"/>
      <c r="D771" s="6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21.0" customHeight="1">
      <c r="A772" s="77"/>
      <c r="B772" s="77"/>
      <c r="C772" s="67"/>
      <c r="D772" s="6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21.0" customHeight="1">
      <c r="A773" s="77"/>
      <c r="B773" s="77"/>
      <c r="C773" s="67"/>
      <c r="D773" s="6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21.0" customHeight="1">
      <c r="A774" s="77"/>
      <c r="B774" s="77"/>
      <c r="C774" s="67"/>
      <c r="D774" s="6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21.0" customHeight="1">
      <c r="A775" s="77"/>
      <c r="B775" s="77"/>
      <c r="C775" s="67"/>
      <c r="D775" s="6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21.0" customHeight="1">
      <c r="A776" s="77"/>
      <c r="B776" s="77"/>
      <c r="C776" s="67"/>
      <c r="D776" s="6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21.0" customHeight="1">
      <c r="A777" s="77"/>
      <c r="B777" s="77"/>
      <c r="C777" s="67"/>
      <c r="D777" s="6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21.0" customHeight="1">
      <c r="A778" s="77"/>
      <c r="B778" s="77"/>
      <c r="C778" s="67"/>
      <c r="D778" s="6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21.0" customHeight="1">
      <c r="A779" s="77"/>
      <c r="B779" s="77"/>
      <c r="C779" s="67"/>
      <c r="D779" s="6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21.0" customHeight="1">
      <c r="A780" s="77"/>
      <c r="B780" s="77"/>
      <c r="C780" s="67"/>
      <c r="D780" s="6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21.0" customHeight="1">
      <c r="A781" s="77"/>
      <c r="B781" s="77"/>
      <c r="C781" s="67"/>
      <c r="D781" s="6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21.0" customHeight="1">
      <c r="A782" s="77"/>
      <c r="B782" s="77"/>
      <c r="C782" s="67"/>
      <c r="D782" s="6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21.0" customHeight="1">
      <c r="A783" s="77"/>
      <c r="B783" s="77"/>
      <c r="C783" s="67"/>
      <c r="D783" s="6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21.0" customHeight="1">
      <c r="A784" s="77"/>
      <c r="B784" s="77"/>
      <c r="C784" s="67"/>
      <c r="D784" s="6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21.0" customHeight="1">
      <c r="A785" s="77"/>
      <c r="B785" s="77"/>
      <c r="C785" s="67"/>
      <c r="D785" s="6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21.0" customHeight="1">
      <c r="A786" s="77"/>
      <c r="B786" s="77"/>
      <c r="C786" s="67"/>
      <c r="D786" s="6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21.0" customHeight="1">
      <c r="A787" s="77"/>
      <c r="B787" s="77"/>
      <c r="C787" s="67"/>
      <c r="D787" s="6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21.0" customHeight="1">
      <c r="A788" s="77"/>
      <c r="B788" s="77"/>
      <c r="C788" s="67"/>
      <c r="D788" s="6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21.0" customHeight="1">
      <c r="A789" s="77"/>
      <c r="B789" s="77"/>
      <c r="C789" s="67"/>
      <c r="D789" s="6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21.0" customHeight="1">
      <c r="A790" s="77"/>
      <c r="B790" s="77"/>
      <c r="C790" s="67"/>
      <c r="D790" s="6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21.0" customHeight="1">
      <c r="A791" s="77"/>
      <c r="B791" s="77"/>
      <c r="C791" s="67"/>
      <c r="D791" s="6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21.0" customHeight="1">
      <c r="A792" s="77"/>
      <c r="B792" s="77"/>
      <c r="C792" s="67"/>
      <c r="D792" s="6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21.0" customHeight="1">
      <c r="A793" s="77"/>
      <c r="B793" s="77"/>
      <c r="C793" s="67"/>
      <c r="D793" s="6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21.0" customHeight="1">
      <c r="A794" s="77"/>
      <c r="B794" s="77"/>
      <c r="C794" s="67"/>
      <c r="D794" s="6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21.0" customHeight="1">
      <c r="A795" s="77"/>
      <c r="B795" s="77"/>
      <c r="C795" s="67"/>
      <c r="D795" s="6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21.0" customHeight="1">
      <c r="A796" s="77"/>
      <c r="B796" s="77"/>
      <c r="C796" s="67"/>
      <c r="D796" s="6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21.0" customHeight="1">
      <c r="A797" s="77"/>
      <c r="B797" s="77"/>
      <c r="C797" s="67"/>
      <c r="D797" s="6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21.0" customHeight="1">
      <c r="A798" s="77"/>
      <c r="B798" s="77"/>
      <c r="C798" s="67"/>
      <c r="D798" s="6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21.0" customHeight="1">
      <c r="A799" s="77"/>
      <c r="B799" s="77"/>
      <c r="C799" s="67"/>
      <c r="D799" s="6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21.0" customHeight="1">
      <c r="A800" s="77"/>
      <c r="B800" s="77"/>
      <c r="C800" s="67"/>
      <c r="D800" s="6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21.0" customHeight="1">
      <c r="A801" s="77"/>
      <c r="B801" s="77"/>
      <c r="C801" s="67"/>
      <c r="D801" s="6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21.0" customHeight="1">
      <c r="A802" s="77"/>
      <c r="B802" s="77"/>
      <c r="C802" s="67"/>
      <c r="D802" s="6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21.0" customHeight="1">
      <c r="A803" s="77"/>
      <c r="B803" s="77"/>
      <c r="C803" s="67"/>
      <c r="D803" s="6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21.0" customHeight="1">
      <c r="A804" s="77"/>
      <c r="B804" s="77"/>
      <c r="C804" s="67"/>
      <c r="D804" s="6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21.0" customHeight="1">
      <c r="A805" s="77"/>
      <c r="B805" s="77"/>
      <c r="C805" s="67"/>
      <c r="D805" s="6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21.0" customHeight="1">
      <c r="A806" s="77"/>
      <c r="B806" s="77"/>
      <c r="C806" s="67"/>
      <c r="D806" s="6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21.0" customHeight="1">
      <c r="A807" s="77"/>
      <c r="B807" s="77"/>
      <c r="C807" s="67"/>
      <c r="D807" s="6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21.0" customHeight="1">
      <c r="A808" s="77"/>
      <c r="B808" s="77"/>
      <c r="C808" s="67"/>
      <c r="D808" s="6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21.0" customHeight="1">
      <c r="A809" s="77"/>
      <c r="B809" s="77"/>
      <c r="C809" s="67"/>
      <c r="D809" s="6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21.0" customHeight="1">
      <c r="A810" s="77"/>
      <c r="B810" s="77"/>
      <c r="C810" s="67"/>
      <c r="D810" s="6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21.0" customHeight="1">
      <c r="A811" s="77"/>
      <c r="B811" s="77"/>
      <c r="C811" s="67"/>
      <c r="D811" s="6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21.0" customHeight="1">
      <c r="A812" s="77"/>
      <c r="B812" s="77"/>
      <c r="C812" s="67"/>
      <c r="D812" s="6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21.0" customHeight="1">
      <c r="A813" s="77"/>
      <c r="B813" s="77"/>
      <c r="C813" s="67"/>
      <c r="D813" s="6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21.0" customHeight="1">
      <c r="A814" s="77"/>
      <c r="B814" s="77"/>
      <c r="C814" s="67"/>
      <c r="D814" s="6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21.0" customHeight="1">
      <c r="A815" s="77"/>
      <c r="B815" s="77"/>
      <c r="C815" s="67"/>
      <c r="D815" s="6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21.0" customHeight="1">
      <c r="A816" s="77"/>
      <c r="B816" s="77"/>
      <c r="C816" s="67"/>
      <c r="D816" s="6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21.0" customHeight="1">
      <c r="A817" s="77"/>
      <c r="B817" s="77"/>
      <c r="C817" s="67"/>
      <c r="D817" s="6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21.0" customHeight="1">
      <c r="A818" s="77"/>
      <c r="B818" s="77"/>
      <c r="C818" s="67"/>
      <c r="D818" s="6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21.0" customHeight="1">
      <c r="A819" s="77"/>
      <c r="B819" s="77"/>
      <c r="C819" s="67"/>
      <c r="D819" s="6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21.0" customHeight="1">
      <c r="A820" s="77"/>
      <c r="B820" s="77"/>
      <c r="C820" s="67"/>
      <c r="D820" s="6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21.0" customHeight="1">
      <c r="A821" s="77"/>
      <c r="B821" s="77"/>
      <c r="C821" s="67"/>
      <c r="D821" s="6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21.0" customHeight="1">
      <c r="A822" s="77"/>
      <c r="B822" s="77"/>
      <c r="C822" s="67"/>
      <c r="D822" s="6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21.0" customHeight="1">
      <c r="A823" s="77"/>
      <c r="B823" s="77"/>
      <c r="C823" s="67"/>
      <c r="D823" s="6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21.0" customHeight="1">
      <c r="A824" s="77"/>
      <c r="B824" s="77"/>
      <c r="C824" s="67"/>
      <c r="D824" s="6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21.0" customHeight="1">
      <c r="A825" s="77"/>
      <c r="B825" s="77"/>
      <c r="C825" s="67"/>
      <c r="D825" s="6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21.0" customHeight="1">
      <c r="A826" s="77"/>
      <c r="B826" s="77"/>
      <c r="C826" s="67"/>
      <c r="D826" s="6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21.0" customHeight="1">
      <c r="A827" s="77"/>
      <c r="B827" s="77"/>
      <c r="C827" s="67"/>
      <c r="D827" s="6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21.0" customHeight="1">
      <c r="A828" s="77"/>
      <c r="B828" s="77"/>
      <c r="C828" s="67"/>
      <c r="D828" s="6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21.0" customHeight="1">
      <c r="A829" s="77"/>
      <c r="B829" s="77"/>
      <c r="C829" s="67"/>
      <c r="D829" s="6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21.0" customHeight="1">
      <c r="A830" s="77"/>
      <c r="B830" s="77"/>
      <c r="C830" s="67"/>
      <c r="D830" s="6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21.0" customHeight="1">
      <c r="A831" s="77"/>
      <c r="B831" s="77"/>
      <c r="C831" s="67"/>
      <c r="D831" s="6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21.0" customHeight="1">
      <c r="A832" s="77"/>
      <c r="B832" s="77"/>
      <c r="C832" s="67"/>
      <c r="D832" s="6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21.0" customHeight="1">
      <c r="A833" s="77"/>
      <c r="B833" s="77"/>
      <c r="C833" s="67"/>
      <c r="D833" s="6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21.0" customHeight="1">
      <c r="A834" s="77"/>
      <c r="B834" s="77"/>
      <c r="C834" s="67"/>
      <c r="D834" s="6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21.0" customHeight="1">
      <c r="A835" s="77"/>
      <c r="B835" s="77"/>
      <c r="C835" s="67"/>
      <c r="D835" s="6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21.0" customHeight="1">
      <c r="A836" s="77"/>
      <c r="B836" s="77"/>
      <c r="C836" s="67"/>
      <c r="D836" s="6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21.0" customHeight="1">
      <c r="A837" s="77"/>
      <c r="B837" s="77"/>
      <c r="C837" s="67"/>
      <c r="D837" s="6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21.0" customHeight="1">
      <c r="A838" s="77"/>
      <c r="B838" s="77"/>
      <c r="C838" s="67"/>
      <c r="D838" s="6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21.0" customHeight="1">
      <c r="A839" s="77"/>
      <c r="B839" s="77"/>
      <c r="C839" s="67"/>
      <c r="D839" s="6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21.0" customHeight="1">
      <c r="A840" s="77"/>
      <c r="B840" s="77"/>
      <c r="C840" s="67"/>
      <c r="D840" s="6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21.0" customHeight="1">
      <c r="A841" s="77"/>
      <c r="B841" s="77"/>
      <c r="C841" s="67"/>
      <c r="D841" s="6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21.0" customHeight="1">
      <c r="A842" s="77"/>
      <c r="B842" s="77"/>
      <c r="C842" s="67"/>
      <c r="D842" s="6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21.0" customHeight="1">
      <c r="A843" s="77"/>
      <c r="B843" s="77"/>
      <c r="C843" s="67"/>
      <c r="D843" s="6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21.0" customHeight="1">
      <c r="A844" s="77"/>
      <c r="B844" s="77"/>
      <c r="C844" s="67"/>
      <c r="D844" s="6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21.0" customHeight="1">
      <c r="A845" s="77"/>
      <c r="B845" s="77"/>
      <c r="C845" s="67"/>
      <c r="D845" s="6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21.0" customHeight="1">
      <c r="A846" s="77"/>
      <c r="B846" s="77"/>
      <c r="C846" s="67"/>
      <c r="D846" s="6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21.0" customHeight="1">
      <c r="A847" s="77"/>
      <c r="B847" s="77"/>
      <c r="C847" s="67"/>
      <c r="D847" s="6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21.0" customHeight="1">
      <c r="A848" s="77"/>
      <c r="B848" s="77"/>
      <c r="C848" s="67"/>
      <c r="D848" s="6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21.0" customHeight="1">
      <c r="A849" s="77"/>
      <c r="B849" s="77"/>
      <c r="C849" s="67"/>
      <c r="D849" s="6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21.0" customHeight="1">
      <c r="A850" s="77"/>
      <c r="B850" s="77"/>
      <c r="C850" s="67"/>
      <c r="D850" s="6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21.0" customHeight="1">
      <c r="A851" s="77"/>
      <c r="B851" s="77"/>
      <c r="C851" s="67"/>
      <c r="D851" s="6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21.0" customHeight="1">
      <c r="A852" s="77"/>
      <c r="B852" s="77"/>
      <c r="C852" s="67"/>
      <c r="D852" s="6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21.0" customHeight="1">
      <c r="A853" s="77"/>
      <c r="B853" s="77"/>
      <c r="C853" s="67"/>
      <c r="D853" s="6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21.0" customHeight="1">
      <c r="A854" s="77"/>
      <c r="B854" s="77"/>
      <c r="C854" s="67"/>
      <c r="D854" s="6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21.0" customHeight="1">
      <c r="A855" s="77"/>
      <c r="B855" s="77"/>
      <c r="C855" s="67"/>
      <c r="D855" s="6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21.0" customHeight="1">
      <c r="A856" s="77"/>
      <c r="B856" s="77"/>
      <c r="C856" s="67"/>
      <c r="D856" s="6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21.0" customHeight="1">
      <c r="A857" s="77"/>
      <c r="B857" s="77"/>
      <c r="C857" s="67"/>
      <c r="D857" s="6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21.0" customHeight="1">
      <c r="A858" s="77"/>
      <c r="B858" s="77"/>
      <c r="C858" s="67"/>
      <c r="D858" s="6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21.0" customHeight="1">
      <c r="A859" s="77"/>
      <c r="B859" s="77"/>
      <c r="C859" s="67"/>
      <c r="D859" s="6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21.0" customHeight="1">
      <c r="A860" s="77"/>
      <c r="B860" s="77"/>
      <c r="C860" s="67"/>
      <c r="D860" s="6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21.0" customHeight="1">
      <c r="A861" s="77"/>
      <c r="B861" s="77"/>
      <c r="C861" s="67"/>
      <c r="D861" s="6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21.0" customHeight="1">
      <c r="A862" s="77"/>
      <c r="B862" s="77"/>
      <c r="C862" s="67"/>
      <c r="D862" s="6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21.0" customHeight="1">
      <c r="A863" s="77"/>
      <c r="B863" s="77"/>
      <c r="C863" s="67"/>
      <c r="D863" s="6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21.0" customHeight="1">
      <c r="A864" s="77"/>
      <c r="B864" s="77"/>
      <c r="C864" s="67"/>
      <c r="D864" s="6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21.0" customHeight="1">
      <c r="A865" s="77"/>
      <c r="B865" s="77"/>
      <c r="C865" s="67"/>
      <c r="D865" s="6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21.0" customHeight="1">
      <c r="A866" s="77"/>
      <c r="B866" s="77"/>
      <c r="C866" s="67"/>
      <c r="D866" s="6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21.0" customHeight="1">
      <c r="A867" s="77"/>
      <c r="B867" s="77"/>
      <c r="C867" s="67"/>
      <c r="D867" s="6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21.0" customHeight="1">
      <c r="A868" s="77"/>
      <c r="B868" s="77"/>
      <c r="C868" s="67"/>
      <c r="D868" s="6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21.0" customHeight="1">
      <c r="A869" s="77"/>
      <c r="B869" s="77"/>
      <c r="C869" s="67"/>
      <c r="D869" s="6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21.0" customHeight="1">
      <c r="A870" s="77"/>
      <c r="B870" s="77"/>
      <c r="C870" s="67"/>
      <c r="D870" s="6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21.0" customHeight="1">
      <c r="A871" s="77"/>
      <c r="B871" s="77"/>
      <c r="C871" s="67"/>
      <c r="D871" s="6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21.0" customHeight="1">
      <c r="A872" s="77"/>
      <c r="B872" s="77"/>
      <c r="C872" s="67"/>
      <c r="D872" s="6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21.0" customHeight="1">
      <c r="A873" s="77"/>
      <c r="B873" s="77"/>
      <c r="C873" s="67"/>
      <c r="D873" s="6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21.0" customHeight="1">
      <c r="A874" s="77"/>
      <c r="B874" s="77"/>
      <c r="C874" s="67"/>
      <c r="D874" s="6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21.0" customHeight="1">
      <c r="A875" s="77"/>
      <c r="B875" s="77"/>
      <c r="C875" s="67"/>
      <c r="D875" s="6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21.0" customHeight="1">
      <c r="A876" s="77"/>
      <c r="B876" s="77"/>
      <c r="C876" s="67"/>
      <c r="D876" s="6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21.0" customHeight="1">
      <c r="A877" s="77"/>
      <c r="B877" s="77"/>
      <c r="C877" s="67"/>
      <c r="D877" s="6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21.0" customHeight="1">
      <c r="A878" s="77"/>
      <c r="B878" s="77"/>
      <c r="C878" s="67"/>
      <c r="D878" s="6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21.0" customHeight="1">
      <c r="A879" s="77"/>
      <c r="B879" s="77"/>
      <c r="C879" s="67"/>
      <c r="D879" s="6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21.0" customHeight="1">
      <c r="A880" s="77"/>
      <c r="B880" s="77"/>
      <c r="C880" s="67"/>
      <c r="D880" s="6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21.0" customHeight="1">
      <c r="A881" s="77"/>
      <c r="B881" s="77"/>
      <c r="C881" s="67"/>
      <c r="D881" s="6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21.0" customHeight="1">
      <c r="A882" s="77"/>
      <c r="B882" s="77"/>
      <c r="C882" s="67"/>
      <c r="D882" s="6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21.0" customHeight="1">
      <c r="A883" s="77"/>
      <c r="B883" s="77"/>
      <c r="C883" s="67"/>
      <c r="D883" s="6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21.0" customHeight="1">
      <c r="A884" s="77"/>
      <c r="B884" s="77"/>
      <c r="C884" s="67"/>
      <c r="D884" s="6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21.0" customHeight="1">
      <c r="A885" s="77"/>
      <c r="B885" s="77"/>
      <c r="C885" s="67"/>
      <c r="D885" s="6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21.0" customHeight="1">
      <c r="A886" s="77"/>
      <c r="B886" s="77"/>
      <c r="C886" s="67"/>
      <c r="D886" s="6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21.0" customHeight="1">
      <c r="A887" s="77"/>
      <c r="B887" s="77"/>
      <c r="C887" s="67"/>
      <c r="D887" s="6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21.0" customHeight="1">
      <c r="A888" s="77"/>
      <c r="B888" s="77"/>
      <c r="C888" s="67"/>
      <c r="D888" s="6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21.0" customHeight="1">
      <c r="A889" s="77"/>
      <c r="B889" s="77"/>
      <c r="C889" s="67"/>
      <c r="D889" s="6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21.0" customHeight="1">
      <c r="A890" s="77"/>
      <c r="B890" s="77"/>
      <c r="C890" s="67"/>
      <c r="D890" s="6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21.0" customHeight="1">
      <c r="A891" s="77"/>
      <c r="B891" s="77"/>
      <c r="C891" s="67"/>
      <c r="D891" s="6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21.0" customHeight="1">
      <c r="A892" s="77"/>
      <c r="B892" s="77"/>
      <c r="C892" s="67"/>
      <c r="D892" s="6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21.0" customHeight="1">
      <c r="A893" s="77"/>
      <c r="B893" s="77"/>
      <c r="C893" s="67"/>
      <c r="D893" s="6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21.0" customHeight="1">
      <c r="A894" s="77"/>
      <c r="B894" s="77"/>
      <c r="C894" s="67"/>
      <c r="D894" s="6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21.0" customHeight="1">
      <c r="A895" s="77"/>
      <c r="B895" s="77"/>
      <c r="C895" s="67"/>
      <c r="D895" s="6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21.0" customHeight="1">
      <c r="A896" s="77"/>
      <c r="B896" s="77"/>
      <c r="C896" s="67"/>
      <c r="D896" s="6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21.0" customHeight="1">
      <c r="A897" s="77"/>
      <c r="B897" s="77"/>
      <c r="C897" s="67"/>
      <c r="D897" s="6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21.0" customHeight="1">
      <c r="A898" s="77"/>
      <c r="B898" s="77"/>
      <c r="C898" s="67"/>
      <c r="D898" s="6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21.0" customHeight="1">
      <c r="A899" s="77"/>
      <c r="B899" s="77"/>
      <c r="C899" s="67"/>
      <c r="D899" s="6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21.0" customHeight="1">
      <c r="A900" s="77"/>
      <c r="B900" s="77"/>
      <c r="C900" s="67"/>
      <c r="D900" s="6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21.0" customHeight="1">
      <c r="A901" s="77"/>
      <c r="B901" s="77"/>
      <c r="C901" s="67"/>
      <c r="D901" s="6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21.0" customHeight="1">
      <c r="A902" s="77"/>
      <c r="B902" s="77"/>
      <c r="C902" s="67"/>
      <c r="D902" s="6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21.0" customHeight="1">
      <c r="A903" s="77"/>
      <c r="B903" s="77"/>
      <c r="C903" s="67"/>
      <c r="D903" s="6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21.0" customHeight="1">
      <c r="A904" s="77"/>
      <c r="B904" s="77"/>
      <c r="C904" s="67"/>
      <c r="D904" s="6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21.0" customHeight="1">
      <c r="A905" s="77"/>
      <c r="B905" s="77"/>
      <c r="C905" s="67"/>
      <c r="D905" s="6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21.0" customHeight="1">
      <c r="A906" s="77"/>
      <c r="B906" s="77"/>
      <c r="C906" s="67"/>
      <c r="D906" s="6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21.0" customHeight="1">
      <c r="A907" s="77"/>
      <c r="B907" s="77"/>
      <c r="C907" s="67"/>
      <c r="D907" s="6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21.0" customHeight="1">
      <c r="A908" s="77"/>
      <c r="B908" s="77"/>
      <c r="C908" s="67"/>
      <c r="D908" s="6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21.0" customHeight="1">
      <c r="A909" s="77"/>
      <c r="B909" s="77"/>
      <c r="C909" s="67"/>
      <c r="D909" s="6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21.0" customHeight="1">
      <c r="A910" s="77"/>
      <c r="B910" s="77"/>
      <c r="C910" s="67"/>
      <c r="D910" s="6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21.0" customHeight="1">
      <c r="A911" s="77"/>
      <c r="B911" s="77"/>
      <c r="C911" s="67"/>
      <c r="D911" s="6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21.0" customHeight="1">
      <c r="A912" s="77"/>
      <c r="B912" s="77"/>
      <c r="C912" s="67"/>
      <c r="D912" s="6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21.0" customHeight="1">
      <c r="A913" s="77"/>
      <c r="B913" s="77"/>
      <c r="C913" s="67"/>
      <c r="D913" s="6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21.0" customHeight="1">
      <c r="A914" s="77"/>
      <c r="B914" s="77"/>
      <c r="C914" s="67"/>
      <c r="D914" s="6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21.0" customHeight="1">
      <c r="A915" s="77"/>
      <c r="B915" s="77"/>
      <c r="C915" s="67"/>
      <c r="D915" s="6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21.0" customHeight="1">
      <c r="A916" s="77"/>
      <c r="B916" s="77"/>
      <c r="C916" s="67"/>
      <c r="D916" s="6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21.0" customHeight="1">
      <c r="A917" s="77"/>
      <c r="B917" s="77"/>
      <c r="C917" s="67"/>
      <c r="D917" s="6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21.0" customHeight="1">
      <c r="A918" s="77"/>
      <c r="B918" s="77"/>
      <c r="C918" s="67"/>
      <c r="D918" s="6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21.0" customHeight="1">
      <c r="A919" s="77"/>
      <c r="B919" s="77"/>
      <c r="C919" s="67"/>
      <c r="D919" s="6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21.0" customHeight="1">
      <c r="A920" s="77"/>
      <c r="B920" s="77"/>
      <c r="C920" s="67"/>
      <c r="D920" s="6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21.0" customHeight="1">
      <c r="A921" s="77"/>
      <c r="B921" s="77"/>
      <c r="C921" s="67"/>
      <c r="D921" s="6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21.0" customHeight="1">
      <c r="A922" s="77"/>
      <c r="B922" s="77"/>
      <c r="C922" s="67"/>
      <c r="D922" s="6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21.0" customHeight="1">
      <c r="A923" s="77"/>
      <c r="B923" s="77"/>
      <c r="C923" s="67"/>
      <c r="D923" s="6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21.0" customHeight="1">
      <c r="A924" s="77"/>
      <c r="B924" s="77"/>
      <c r="C924" s="67"/>
      <c r="D924" s="6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21.0" customHeight="1">
      <c r="A925" s="77"/>
      <c r="B925" s="77"/>
      <c r="C925" s="67"/>
      <c r="D925" s="6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21.0" customHeight="1">
      <c r="A926" s="77"/>
      <c r="B926" s="77"/>
      <c r="C926" s="67"/>
      <c r="D926" s="6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21.0" customHeight="1">
      <c r="A927" s="77"/>
      <c r="B927" s="77"/>
      <c r="C927" s="67"/>
      <c r="D927" s="6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21.0" customHeight="1">
      <c r="A928" s="77"/>
      <c r="B928" s="77"/>
      <c r="C928" s="67"/>
      <c r="D928" s="6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21.0" customHeight="1">
      <c r="A929" s="77"/>
      <c r="B929" s="77"/>
      <c r="C929" s="67"/>
      <c r="D929" s="6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21.0" customHeight="1">
      <c r="A930" s="77"/>
      <c r="B930" s="77"/>
      <c r="C930" s="67"/>
      <c r="D930" s="6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21.0" customHeight="1">
      <c r="A931" s="77"/>
      <c r="B931" s="77"/>
      <c r="C931" s="67"/>
      <c r="D931" s="6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21.0" customHeight="1">
      <c r="A932" s="77"/>
      <c r="B932" s="77"/>
      <c r="C932" s="67"/>
      <c r="D932" s="6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21.0" customHeight="1">
      <c r="A933" s="77"/>
      <c r="B933" s="77"/>
      <c r="C933" s="67"/>
      <c r="D933" s="6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21.0" customHeight="1">
      <c r="A934" s="77"/>
      <c r="B934" s="77"/>
      <c r="C934" s="67"/>
      <c r="D934" s="6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21.0" customHeight="1">
      <c r="A935" s="77"/>
      <c r="B935" s="77"/>
      <c r="C935" s="67"/>
      <c r="D935" s="6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21.0" customHeight="1">
      <c r="A936" s="77"/>
      <c r="B936" s="77"/>
      <c r="C936" s="67"/>
      <c r="D936" s="6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21.0" customHeight="1">
      <c r="A937" s="77"/>
      <c r="B937" s="77"/>
      <c r="C937" s="67"/>
      <c r="D937" s="6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21.0" customHeight="1">
      <c r="A938" s="77"/>
      <c r="B938" s="77"/>
      <c r="C938" s="67"/>
      <c r="D938" s="6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21.0" customHeight="1">
      <c r="A939" s="77"/>
      <c r="B939" s="77"/>
      <c r="C939" s="67"/>
      <c r="D939" s="6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21.0" customHeight="1">
      <c r="A940" s="77"/>
      <c r="B940" s="77"/>
      <c r="C940" s="67"/>
      <c r="D940" s="6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21.0" customHeight="1">
      <c r="A941" s="77"/>
      <c r="B941" s="77"/>
      <c r="C941" s="67"/>
      <c r="D941" s="6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21.0" customHeight="1">
      <c r="A942" s="77"/>
      <c r="B942" s="77"/>
      <c r="C942" s="67"/>
      <c r="D942" s="6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21.0" customHeight="1">
      <c r="A943" s="77"/>
      <c r="B943" s="77"/>
      <c r="C943" s="67"/>
      <c r="D943" s="6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21.0" customHeight="1">
      <c r="A944" s="77"/>
      <c r="B944" s="77"/>
      <c r="C944" s="67"/>
      <c r="D944" s="6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21.0" customHeight="1">
      <c r="A945" s="77"/>
      <c r="B945" s="77"/>
      <c r="C945" s="67"/>
      <c r="D945" s="6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21.0" customHeight="1">
      <c r="A946" s="77"/>
      <c r="B946" s="77"/>
      <c r="C946" s="67"/>
      <c r="D946" s="6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21.0" customHeight="1">
      <c r="A947" s="77"/>
      <c r="B947" s="77"/>
      <c r="C947" s="67"/>
      <c r="D947" s="6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21.0" customHeight="1">
      <c r="A948" s="77"/>
      <c r="B948" s="77"/>
      <c r="C948" s="67"/>
      <c r="D948" s="6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21.0" customHeight="1">
      <c r="A949" s="77"/>
      <c r="B949" s="77"/>
      <c r="C949" s="67"/>
      <c r="D949" s="6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21.0" customHeight="1">
      <c r="A950" s="77"/>
      <c r="B950" s="77"/>
      <c r="C950" s="67"/>
      <c r="D950" s="6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21.0" customHeight="1">
      <c r="A951" s="77"/>
      <c r="B951" s="77"/>
      <c r="C951" s="67"/>
      <c r="D951" s="6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21.0" customHeight="1">
      <c r="A952" s="77"/>
      <c r="B952" s="77"/>
      <c r="C952" s="67"/>
      <c r="D952" s="6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21.0" customHeight="1">
      <c r="A953" s="77"/>
      <c r="B953" s="77"/>
      <c r="C953" s="67"/>
      <c r="D953" s="6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21.0" customHeight="1">
      <c r="A954" s="77"/>
      <c r="B954" s="77"/>
      <c r="C954" s="67"/>
      <c r="D954" s="6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21.0" customHeight="1">
      <c r="A955" s="77"/>
      <c r="B955" s="77"/>
      <c r="C955" s="67"/>
      <c r="D955" s="6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21.0" customHeight="1">
      <c r="A956" s="77"/>
      <c r="B956" s="77"/>
      <c r="C956" s="67"/>
      <c r="D956" s="6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21.0" customHeight="1">
      <c r="A957" s="77"/>
      <c r="B957" s="77"/>
      <c r="C957" s="67"/>
      <c r="D957" s="6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21.0" customHeight="1">
      <c r="A958" s="77"/>
      <c r="B958" s="77"/>
      <c r="C958" s="67"/>
      <c r="D958" s="6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21.0" customHeight="1">
      <c r="A959" s="77"/>
      <c r="B959" s="77"/>
      <c r="C959" s="67"/>
      <c r="D959" s="6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21.0" customHeight="1">
      <c r="A960" s="77"/>
      <c r="B960" s="77"/>
      <c r="C960" s="67"/>
      <c r="D960" s="6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21.0" customHeight="1">
      <c r="A961" s="77"/>
      <c r="B961" s="77"/>
      <c r="C961" s="67"/>
      <c r="D961" s="6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21.0" customHeight="1">
      <c r="A962" s="77"/>
      <c r="B962" s="77"/>
      <c r="C962" s="67"/>
      <c r="D962" s="6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21.0" customHeight="1">
      <c r="A963" s="77"/>
      <c r="B963" s="77"/>
      <c r="C963" s="67"/>
      <c r="D963" s="6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21.0" customHeight="1">
      <c r="A964" s="77"/>
      <c r="B964" s="77"/>
      <c r="C964" s="67"/>
      <c r="D964" s="6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21.0" customHeight="1">
      <c r="A965" s="77"/>
      <c r="B965" s="77"/>
      <c r="C965" s="67"/>
      <c r="D965" s="6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21.0" customHeight="1">
      <c r="A966" s="77"/>
      <c r="B966" s="77"/>
      <c r="C966" s="67"/>
      <c r="D966" s="6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21.0" customHeight="1">
      <c r="A967" s="77"/>
      <c r="B967" s="77"/>
      <c r="C967" s="67"/>
      <c r="D967" s="6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21.0" customHeight="1">
      <c r="A968" s="77"/>
      <c r="B968" s="77"/>
      <c r="C968" s="67"/>
      <c r="D968" s="6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21.0" customHeight="1">
      <c r="A969" s="77"/>
      <c r="B969" s="77"/>
      <c r="C969" s="67"/>
      <c r="D969" s="6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21.0" customHeight="1">
      <c r="A970" s="77"/>
      <c r="B970" s="77"/>
      <c r="C970" s="67"/>
      <c r="D970" s="6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21.0" customHeight="1">
      <c r="A971" s="77"/>
      <c r="B971" s="77"/>
      <c r="C971" s="67"/>
      <c r="D971" s="6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21.0" customHeight="1">
      <c r="A972" s="77"/>
      <c r="B972" s="77"/>
      <c r="C972" s="67"/>
      <c r="D972" s="6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21.0" customHeight="1">
      <c r="A973" s="77"/>
      <c r="B973" s="77"/>
      <c r="C973" s="67"/>
      <c r="D973" s="6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21.0" customHeight="1">
      <c r="A974" s="77"/>
      <c r="B974" s="77"/>
      <c r="C974" s="67"/>
      <c r="D974" s="6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21.0" customHeight="1">
      <c r="A975" s="77"/>
      <c r="B975" s="77"/>
      <c r="C975" s="67"/>
      <c r="D975" s="6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21.0" customHeight="1">
      <c r="A976" s="77"/>
      <c r="B976" s="77"/>
      <c r="C976" s="67"/>
      <c r="D976" s="6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21.0" customHeight="1">
      <c r="A977" s="77"/>
      <c r="B977" s="77"/>
      <c r="C977" s="67"/>
      <c r="D977" s="6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21.0" customHeight="1">
      <c r="A978" s="77"/>
      <c r="B978" s="77"/>
      <c r="C978" s="67"/>
      <c r="D978" s="6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21.0" customHeight="1">
      <c r="A979" s="77"/>
      <c r="B979" s="77"/>
      <c r="C979" s="67"/>
      <c r="D979" s="6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21.0" customHeight="1">
      <c r="A980" s="77"/>
      <c r="B980" s="77"/>
      <c r="C980" s="67"/>
      <c r="D980" s="6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21.0" customHeight="1">
      <c r="A981" s="77"/>
      <c r="B981" s="77"/>
      <c r="C981" s="67"/>
      <c r="D981" s="6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21.0" customHeight="1">
      <c r="A982" s="77"/>
      <c r="B982" s="77"/>
      <c r="C982" s="67"/>
      <c r="D982" s="6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21.0" customHeight="1">
      <c r="A983" s="77"/>
      <c r="B983" s="77"/>
      <c r="C983" s="67"/>
      <c r="D983" s="6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21.0" customHeight="1">
      <c r="A984" s="77"/>
      <c r="B984" s="77"/>
      <c r="C984" s="67"/>
      <c r="D984" s="6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21.0" customHeight="1">
      <c r="A985" s="77"/>
      <c r="B985" s="77"/>
      <c r="C985" s="67"/>
      <c r="D985" s="6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21.0" customHeight="1">
      <c r="A986" s="77"/>
      <c r="B986" s="77"/>
      <c r="C986" s="67"/>
      <c r="D986" s="6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21.0" customHeight="1">
      <c r="A987" s="77"/>
      <c r="B987" s="77"/>
      <c r="C987" s="67"/>
      <c r="D987" s="6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21.0" customHeight="1">
      <c r="A988" s="77"/>
      <c r="B988" s="77"/>
      <c r="C988" s="67"/>
      <c r="D988" s="6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21.0" customHeight="1">
      <c r="A989" s="77"/>
      <c r="B989" s="77"/>
      <c r="C989" s="67"/>
      <c r="D989" s="6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21.0" customHeight="1">
      <c r="A990" s="77"/>
      <c r="B990" s="77"/>
      <c r="C990" s="67"/>
      <c r="D990" s="6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21.0" customHeight="1">
      <c r="A991" s="77"/>
      <c r="B991" s="77"/>
      <c r="C991" s="67"/>
      <c r="D991" s="6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21.0" customHeight="1">
      <c r="A992" s="77"/>
      <c r="B992" s="77"/>
      <c r="C992" s="67"/>
      <c r="D992" s="6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21.0" customHeight="1">
      <c r="A993" s="77"/>
      <c r="B993" s="77"/>
      <c r="C993" s="67"/>
      <c r="D993" s="6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21.0" customHeight="1">
      <c r="A994" s="77"/>
      <c r="B994" s="77"/>
      <c r="C994" s="67"/>
      <c r="D994" s="6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21.0" customHeight="1">
      <c r="A995" s="77"/>
      <c r="B995" s="77"/>
      <c r="C995" s="67"/>
      <c r="D995" s="6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21.0" customHeight="1">
      <c r="A996" s="77"/>
      <c r="B996" s="77"/>
      <c r="C996" s="67"/>
      <c r="D996" s="6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21.0" customHeight="1">
      <c r="A997" s="77"/>
      <c r="B997" s="77"/>
      <c r="C997" s="67"/>
      <c r="D997" s="6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21.0" customHeight="1">
      <c r="A998" s="77"/>
      <c r="B998" s="77"/>
      <c r="C998" s="67"/>
      <c r="D998" s="6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21.0" customHeight="1">
      <c r="A999" s="77"/>
      <c r="B999" s="77"/>
      <c r="C999" s="67"/>
      <c r="D999" s="6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21.0" customHeight="1">
      <c r="A1000" s="77"/>
      <c r="B1000" s="77"/>
      <c r="C1000" s="67"/>
      <c r="D1000" s="6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22.5"/>
    <col customWidth="1" min="3" max="13" width="19.63"/>
    <col customWidth="1" min="14" max="14" width="13.88"/>
    <col customWidth="1" min="15" max="15" width="26.5"/>
    <col customWidth="1" min="16" max="16" width="16.13"/>
    <col customWidth="1" min="17" max="17" width="14.63"/>
    <col customWidth="1" min="18" max="18" width="82.0"/>
    <col customWidth="1" min="19" max="26" width="8.63"/>
  </cols>
  <sheetData>
    <row r="1" ht="26.25" customHeight="1">
      <c r="A1" s="88" t="s">
        <v>155</v>
      </c>
      <c r="B1" s="88" t="s">
        <v>64</v>
      </c>
      <c r="C1" s="89" t="s">
        <v>5</v>
      </c>
      <c r="D1" s="89" t="s">
        <v>221</v>
      </c>
      <c r="E1" s="89" t="s">
        <v>12</v>
      </c>
      <c r="F1" s="89" t="s">
        <v>213</v>
      </c>
      <c r="G1" s="89" t="s">
        <v>33</v>
      </c>
      <c r="H1" s="89" t="s">
        <v>83</v>
      </c>
      <c r="I1" s="89" t="s">
        <v>34</v>
      </c>
      <c r="J1" s="89" t="s">
        <v>9</v>
      </c>
      <c r="K1" s="89" t="s">
        <v>222</v>
      </c>
      <c r="L1" s="89" t="s">
        <v>223</v>
      </c>
      <c r="M1" s="89" t="s">
        <v>224</v>
      </c>
      <c r="N1" s="89" t="s">
        <v>225</v>
      </c>
      <c r="O1" s="88" t="s">
        <v>226</v>
      </c>
      <c r="P1" s="88" t="s">
        <v>227</v>
      </c>
      <c r="Q1" s="88" t="s">
        <v>228</v>
      </c>
      <c r="R1" s="88" t="s">
        <v>229</v>
      </c>
      <c r="S1" s="153"/>
      <c r="T1" s="153"/>
      <c r="U1" s="153"/>
      <c r="V1" s="153"/>
      <c r="W1" s="153"/>
      <c r="X1" s="153"/>
      <c r="Y1" s="153"/>
      <c r="Z1" s="153"/>
    </row>
    <row r="2" ht="21.0" customHeight="1">
      <c r="A2" s="153">
        <v>7.5481347E7</v>
      </c>
      <c r="B2" s="153" t="s">
        <v>55</v>
      </c>
      <c r="C2" s="154">
        <v>1.23003111E8</v>
      </c>
      <c r="D2" s="154">
        <v>1.4748158651E10</v>
      </c>
      <c r="E2" s="154">
        <v>1.8444267E7</v>
      </c>
      <c r="F2" s="154">
        <v>2.0197552E7</v>
      </c>
      <c r="G2" s="154">
        <v>5.063236E7</v>
      </c>
      <c r="H2" s="154">
        <v>6.3035848E7</v>
      </c>
      <c r="I2" s="154">
        <v>3.24774984E8</v>
      </c>
      <c r="J2" s="154">
        <v>5.72244992E8</v>
      </c>
      <c r="K2" s="154">
        <v>0.0</v>
      </c>
      <c r="L2" s="154">
        <v>3.2914357883E10</v>
      </c>
      <c r="M2" s="154">
        <v>9.004024334E10</v>
      </c>
      <c r="N2" s="154">
        <v>414839.0</v>
      </c>
      <c r="O2" s="153" t="s">
        <v>230</v>
      </c>
      <c r="P2" s="153">
        <v>25.0</v>
      </c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ht="21.0" customHeight="1">
      <c r="A3" s="153">
        <v>5.5421671E7</v>
      </c>
      <c r="B3" s="153" t="s">
        <v>231</v>
      </c>
      <c r="C3" s="154">
        <v>1.1321338E8</v>
      </c>
      <c r="D3" s="154">
        <v>6.061422572E9</v>
      </c>
      <c r="E3" s="154">
        <v>0.0</v>
      </c>
      <c r="F3" s="154">
        <v>2.1384871E7</v>
      </c>
      <c r="G3" s="154">
        <v>2.1199285E7</v>
      </c>
      <c r="H3" s="154">
        <v>6.6180213E7</v>
      </c>
      <c r="I3" s="154">
        <v>1.06624711E8</v>
      </c>
      <c r="J3" s="154">
        <v>2.48481603E8</v>
      </c>
      <c r="K3" s="154">
        <v>0.0</v>
      </c>
      <c r="L3" s="154">
        <v>2.6536913275E10</v>
      </c>
      <c r="M3" s="154">
        <v>2.930835017E10</v>
      </c>
      <c r="N3" s="154">
        <v>162380.0</v>
      </c>
      <c r="O3" s="153" t="s">
        <v>230</v>
      </c>
      <c r="P3" s="153">
        <v>25.0</v>
      </c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1.0" customHeight="1">
      <c r="A4" s="153">
        <v>1.03336195E8</v>
      </c>
      <c r="B4" s="153" t="s">
        <v>219</v>
      </c>
      <c r="C4" s="154">
        <v>9.9521944E7</v>
      </c>
      <c r="D4" s="154">
        <v>4.213987665E9</v>
      </c>
      <c r="E4" s="154">
        <v>0.0</v>
      </c>
      <c r="F4" s="154">
        <v>3326361.0</v>
      </c>
      <c r="G4" s="154">
        <v>1.9947072E7</v>
      </c>
      <c r="H4" s="154">
        <v>5.4851546E7</v>
      </c>
      <c r="I4" s="154">
        <v>1.30715118E8</v>
      </c>
      <c r="J4" s="154">
        <v>1.43462465E8</v>
      </c>
      <c r="K4" s="154">
        <v>0.0</v>
      </c>
      <c r="L4" s="154">
        <v>1.7073175044E10</v>
      </c>
      <c r="M4" s="154">
        <v>4.1932410358E10</v>
      </c>
      <c r="N4" s="154">
        <v>131385.0</v>
      </c>
      <c r="O4" s="153" t="s">
        <v>230</v>
      </c>
      <c r="P4" s="153">
        <v>25.0</v>
      </c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21.0" customHeight="1">
      <c r="A5" s="153">
        <v>1.68455139E8</v>
      </c>
      <c r="B5" s="153" t="s">
        <v>89</v>
      </c>
      <c r="C5" s="154">
        <v>9.876883E7</v>
      </c>
      <c r="D5" s="154">
        <v>4.366583035E9</v>
      </c>
      <c r="E5" s="154">
        <v>8116166.0</v>
      </c>
      <c r="F5" s="154">
        <v>9880049.0</v>
      </c>
      <c r="G5" s="154">
        <v>1.9946484E7</v>
      </c>
      <c r="H5" s="154">
        <v>1.1943765E7</v>
      </c>
      <c r="I5" s="154">
        <v>7.3674124E7</v>
      </c>
      <c r="J5" s="154">
        <v>1.8097611E8</v>
      </c>
      <c r="K5" s="154">
        <v>0.0</v>
      </c>
      <c r="L5" s="154">
        <v>2.1944165145E10</v>
      </c>
      <c r="M5" s="154">
        <v>2.0059450569E10</v>
      </c>
      <c r="N5" s="154">
        <v>89935.0</v>
      </c>
      <c r="O5" s="153" t="s">
        <v>230</v>
      </c>
      <c r="P5" s="153">
        <v>25.0</v>
      </c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21.0" customHeight="1">
      <c r="A6" s="153">
        <v>6.496634E7</v>
      </c>
      <c r="B6" s="153" t="s">
        <v>88</v>
      </c>
      <c r="C6" s="154">
        <v>9.8341047E7</v>
      </c>
      <c r="D6" s="154">
        <v>7.368885225E9</v>
      </c>
      <c r="E6" s="154">
        <v>1.1851581E7</v>
      </c>
      <c r="F6" s="154">
        <v>1.733472E7</v>
      </c>
      <c r="G6" s="154">
        <v>2.4679994E7</v>
      </c>
      <c r="H6" s="154">
        <v>2.4933939E7</v>
      </c>
      <c r="I6" s="154">
        <v>1.11339463E8</v>
      </c>
      <c r="J6" s="154">
        <v>3.11975486E8</v>
      </c>
      <c r="K6" s="154">
        <v>0.0</v>
      </c>
      <c r="L6" s="154">
        <v>4.262482078E10</v>
      </c>
      <c r="M6" s="154">
        <v>1.444750715E10</v>
      </c>
      <c r="N6" s="154">
        <v>172259.0</v>
      </c>
      <c r="O6" s="153" t="s">
        <v>230</v>
      </c>
      <c r="P6" s="153">
        <v>25.0</v>
      </c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21.0" customHeight="1">
      <c r="A7" s="153">
        <v>6.7071592E7</v>
      </c>
      <c r="B7" s="153" t="s">
        <v>91</v>
      </c>
      <c r="C7" s="154">
        <v>8.7838354E7</v>
      </c>
      <c r="D7" s="154">
        <v>1.2752558673E10</v>
      </c>
      <c r="E7" s="154">
        <v>1.1586902E7</v>
      </c>
      <c r="F7" s="154">
        <v>1.6695295E7</v>
      </c>
      <c r="G7" s="154">
        <v>3.1772516E7</v>
      </c>
      <c r="H7" s="154">
        <v>8.3291945E7</v>
      </c>
      <c r="I7" s="154">
        <v>4.26352897E8</v>
      </c>
      <c r="J7" s="154">
        <v>4.17261419E8</v>
      </c>
      <c r="K7" s="154">
        <v>1804833.0</v>
      </c>
      <c r="L7" s="154">
        <v>3.9036556648E10</v>
      </c>
      <c r="M7" s="154">
        <v>2.7307655885E10</v>
      </c>
      <c r="N7" s="154">
        <v>247940.0</v>
      </c>
      <c r="O7" s="153" t="s">
        <v>230</v>
      </c>
      <c r="P7" s="153">
        <v>25.0</v>
      </c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21.0" customHeight="1">
      <c r="A8" s="153">
        <v>7.9650085E7</v>
      </c>
      <c r="B8" s="153" t="s">
        <v>94</v>
      </c>
      <c r="C8" s="154">
        <v>8.468128E7</v>
      </c>
      <c r="D8" s="154">
        <v>2.546179997E9</v>
      </c>
      <c r="E8" s="154">
        <v>597124.0</v>
      </c>
      <c r="F8" s="154">
        <v>6785116.0</v>
      </c>
      <c r="G8" s="154">
        <v>1.6448723E7</v>
      </c>
      <c r="H8" s="154">
        <v>3.4864627E7</v>
      </c>
      <c r="I8" s="154">
        <v>6.8990819E7</v>
      </c>
      <c r="J8" s="154">
        <v>9.1691725E7</v>
      </c>
      <c r="K8" s="154">
        <v>0.0</v>
      </c>
      <c r="L8" s="154">
        <v>1.786441689E10</v>
      </c>
      <c r="M8" s="154">
        <v>1.5411538988E10</v>
      </c>
      <c r="N8" s="154">
        <v>107954.0</v>
      </c>
      <c r="O8" s="153" t="s">
        <v>230</v>
      </c>
      <c r="P8" s="153">
        <v>25.0</v>
      </c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21.0" customHeight="1">
      <c r="A9" s="153">
        <v>5.5809672E7</v>
      </c>
      <c r="B9" s="153" t="s">
        <v>232</v>
      </c>
      <c r="C9" s="154">
        <v>8.4499444E7</v>
      </c>
      <c r="D9" s="154">
        <v>4.78533827E8</v>
      </c>
      <c r="E9" s="154">
        <v>0.0</v>
      </c>
      <c r="F9" s="154">
        <v>853848.0</v>
      </c>
      <c r="G9" s="154">
        <v>1.3599492E7</v>
      </c>
      <c r="H9" s="154">
        <v>3.4123609E7</v>
      </c>
      <c r="I9" s="154">
        <v>1.5306577E7</v>
      </c>
      <c r="J9" s="154">
        <v>1.5745012E7</v>
      </c>
      <c r="K9" s="154">
        <v>0.0</v>
      </c>
      <c r="L9" s="154">
        <v>1.9423011152E10</v>
      </c>
      <c r="M9" s="154">
        <v>2.685766885E10</v>
      </c>
      <c r="N9" s="154">
        <v>39156.0</v>
      </c>
      <c r="O9" s="153" t="s">
        <v>233</v>
      </c>
      <c r="P9" s="153">
        <v>25.0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21.0" customHeight="1">
      <c r="A10" s="153">
        <v>6.2576249E7</v>
      </c>
      <c r="B10" s="153" t="s">
        <v>92</v>
      </c>
      <c r="C10" s="154">
        <v>8.2142556E7</v>
      </c>
      <c r="D10" s="154">
        <v>4.512755982E9</v>
      </c>
      <c r="E10" s="154">
        <v>5769399.0</v>
      </c>
      <c r="F10" s="154">
        <v>8329690.0</v>
      </c>
      <c r="G10" s="154">
        <v>2.6098055E7</v>
      </c>
      <c r="H10" s="154">
        <v>1.39188804E8</v>
      </c>
      <c r="I10" s="154">
        <v>1.16339382E8</v>
      </c>
      <c r="J10" s="154">
        <v>1.6331936E8</v>
      </c>
      <c r="K10" s="154">
        <v>0.0</v>
      </c>
      <c r="L10" s="154">
        <v>3.1351269997E10</v>
      </c>
      <c r="M10" s="154">
        <v>3.458814493E10</v>
      </c>
      <c r="N10" s="154">
        <v>165195.0</v>
      </c>
      <c r="O10" s="153" t="s">
        <v>230</v>
      </c>
      <c r="P10" s="153">
        <v>25.0</v>
      </c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21.0" customHeight="1">
      <c r="A11" s="153">
        <v>1.1726598E7</v>
      </c>
      <c r="B11" s="153" t="s">
        <v>93</v>
      </c>
      <c r="C11" s="154">
        <v>8.2106789E7</v>
      </c>
      <c r="D11" s="154">
        <v>1.235069065E10</v>
      </c>
      <c r="E11" s="154">
        <v>6462964.0</v>
      </c>
      <c r="F11" s="154">
        <v>2.8605511E7</v>
      </c>
      <c r="G11" s="154">
        <v>3.0773637E7</v>
      </c>
      <c r="H11" s="154">
        <v>8.5588211E7</v>
      </c>
      <c r="I11" s="154">
        <v>2.528925E8</v>
      </c>
      <c r="J11" s="154">
        <v>4.86931641E8</v>
      </c>
      <c r="K11" s="154">
        <v>3821128.0</v>
      </c>
      <c r="L11" s="154">
        <v>2.4771328071E10</v>
      </c>
      <c r="M11" s="154">
        <v>3.3365752766E10</v>
      </c>
      <c r="N11" s="154">
        <v>201594.0</v>
      </c>
      <c r="O11" s="153" t="s">
        <v>230</v>
      </c>
      <c r="P11" s="153">
        <v>25.0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21.0" customHeight="1">
      <c r="A12" s="153">
        <v>1.71701107E8</v>
      </c>
      <c r="B12" s="153" t="s">
        <v>99</v>
      </c>
      <c r="C12" s="154">
        <v>8.1628304E7</v>
      </c>
      <c r="D12" s="154">
        <v>7.86141258E8</v>
      </c>
      <c r="E12" s="154">
        <v>664795.0</v>
      </c>
      <c r="F12" s="154">
        <v>2263760.0</v>
      </c>
      <c r="G12" s="154">
        <v>4663412.0</v>
      </c>
      <c r="H12" s="154">
        <v>6248270.0</v>
      </c>
      <c r="I12" s="154">
        <v>2.2544185E7</v>
      </c>
      <c r="J12" s="154">
        <v>2.7675483E7</v>
      </c>
      <c r="K12" s="154">
        <v>0.0</v>
      </c>
      <c r="L12" s="154">
        <v>1.1532365457E10</v>
      </c>
      <c r="M12" s="154">
        <v>5.274918782E9</v>
      </c>
      <c r="N12" s="154">
        <v>32711.0</v>
      </c>
      <c r="O12" s="153" t="s">
        <v>230</v>
      </c>
      <c r="P12" s="153">
        <v>25.0</v>
      </c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21.0" customHeight="1">
      <c r="A13" s="153">
        <v>1.72021868E8</v>
      </c>
      <c r="B13" s="153" t="s">
        <v>53</v>
      </c>
      <c r="C13" s="154">
        <v>8.130095E7</v>
      </c>
      <c r="D13" s="154">
        <v>2.911734497E9</v>
      </c>
      <c r="E13" s="154">
        <v>1.13058E7</v>
      </c>
      <c r="F13" s="154">
        <v>1.1701006E7</v>
      </c>
      <c r="G13" s="154">
        <v>6209818.0</v>
      </c>
      <c r="H13" s="154">
        <v>1.8261689E7</v>
      </c>
      <c r="I13" s="154">
        <v>3.0510904E7</v>
      </c>
      <c r="J13" s="154">
        <v>1.30026206E8</v>
      </c>
      <c r="K13" s="154">
        <v>0.0</v>
      </c>
      <c r="L13" s="154">
        <v>1.0220598489E10</v>
      </c>
      <c r="M13" s="154">
        <v>2.777709172E9</v>
      </c>
      <c r="N13" s="154">
        <v>109732.0</v>
      </c>
      <c r="O13" s="153" t="s">
        <v>230</v>
      </c>
      <c r="P13" s="153">
        <v>25.0</v>
      </c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21.0" customHeight="1">
      <c r="A14" s="153">
        <v>2463403.0</v>
      </c>
      <c r="B14" s="153" t="s">
        <v>90</v>
      </c>
      <c r="C14" s="154">
        <v>8.0833891E7</v>
      </c>
      <c r="D14" s="154">
        <v>1.029504633E10</v>
      </c>
      <c r="E14" s="154">
        <v>1.1070436E7</v>
      </c>
      <c r="F14" s="154">
        <v>1.7521543E7</v>
      </c>
      <c r="G14" s="154">
        <v>4.5433618E7</v>
      </c>
      <c r="H14" s="154">
        <v>3.1360812E7</v>
      </c>
      <c r="I14" s="154">
        <v>2.31124922E8</v>
      </c>
      <c r="J14" s="154">
        <v>3.97208441E8</v>
      </c>
      <c r="K14" s="154">
        <v>0.0</v>
      </c>
      <c r="L14" s="154">
        <v>3.202245945E10</v>
      </c>
      <c r="M14" s="154">
        <v>1.0836888908E10</v>
      </c>
      <c r="N14" s="154">
        <v>314339.0</v>
      </c>
      <c r="O14" s="153" t="s">
        <v>230</v>
      </c>
      <c r="P14" s="153">
        <v>25.0</v>
      </c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ht="21.0" customHeight="1">
      <c r="A15" s="153">
        <v>4.8741756E7</v>
      </c>
      <c r="B15" s="153" t="s">
        <v>98</v>
      </c>
      <c r="C15" s="154">
        <v>7.8050678E7</v>
      </c>
      <c r="D15" s="154">
        <v>3.644222697E9</v>
      </c>
      <c r="E15" s="154">
        <v>3454625.0</v>
      </c>
      <c r="F15" s="154">
        <v>4065132.0</v>
      </c>
      <c r="G15" s="154">
        <v>2.6066242E7</v>
      </c>
      <c r="H15" s="154">
        <v>6.9747835E7</v>
      </c>
      <c r="I15" s="154">
        <v>1.32589744E8</v>
      </c>
      <c r="J15" s="154">
        <v>1.13832778E8</v>
      </c>
      <c r="K15" s="154">
        <v>804578.0</v>
      </c>
      <c r="L15" s="154">
        <v>2.2860040072E10</v>
      </c>
      <c r="M15" s="154">
        <v>2.387412752E10</v>
      </c>
      <c r="N15" s="154">
        <v>182049.0</v>
      </c>
      <c r="O15" s="153" t="s">
        <v>230</v>
      </c>
      <c r="P15" s="153">
        <v>25.0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21.0" customHeight="1">
      <c r="A16" s="153">
        <v>1.68923934E8</v>
      </c>
      <c r="B16" s="153" t="s">
        <v>234</v>
      </c>
      <c r="C16" s="154">
        <v>7.7716675E7</v>
      </c>
      <c r="D16" s="154">
        <v>1.152786125E9</v>
      </c>
      <c r="E16" s="154">
        <v>4142875.0</v>
      </c>
      <c r="F16" s="154">
        <v>4142875.0</v>
      </c>
      <c r="G16" s="154">
        <v>7736794.0</v>
      </c>
      <c r="H16" s="154">
        <v>4.5269479E7</v>
      </c>
      <c r="I16" s="154">
        <v>3.8094122E7</v>
      </c>
      <c r="J16" s="154">
        <v>3.6106393E7</v>
      </c>
      <c r="K16" s="154">
        <v>0.0</v>
      </c>
      <c r="L16" s="154">
        <v>9.135251664E9</v>
      </c>
      <c r="M16" s="154">
        <v>5.27581842E8</v>
      </c>
      <c r="N16" s="154">
        <v>40397.0</v>
      </c>
      <c r="O16" s="153" t="s">
        <v>230</v>
      </c>
      <c r="P16" s="153">
        <v>25.0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21.0" customHeight="1">
      <c r="A17" s="153">
        <v>1.71604682E8</v>
      </c>
      <c r="B17" s="153" t="s">
        <v>105</v>
      </c>
      <c r="C17" s="154">
        <v>7.6882042E7</v>
      </c>
      <c r="D17" s="154">
        <v>2.36517621E9</v>
      </c>
      <c r="E17" s="154">
        <v>4783907.0</v>
      </c>
      <c r="F17" s="154">
        <v>8139803.0</v>
      </c>
      <c r="G17" s="154">
        <v>7739443.0</v>
      </c>
      <c r="H17" s="154">
        <v>1.240068E7</v>
      </c>
      <c r="I17" s="154">
        <v>6.955479E7</v>
      </c>
      <c r="J17" s="154">
        <v>8.1310378E7</v>
      </c>
      <c r="K17" s="154">
        <v>0.0</v>
      </c>
      <c r="L17" s="154">
        <v>1.1640314884E10</v>
      </c>
      <c r="M17" s="154">
        <v>1.660720264E9</v>
      </c>
      <c r="N17" s="154">
        <v>64027.0</v>
      </c>
      <c r="O17" s="153" t="s">
        <v>230</v>
      </c>
      <c r="P17" s="153">
        <v>25.0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21.0" customHeight="1">
      <c r="A18" s="153">
        <v>1.71879011E8</v>
      </c>
      <c r="B18" s="153" t="s">
        <v>106</v>
      </c>
      <c r="C18" s="154">
        <v>7.6619501E7</v>
      </c>
      <c r="D18" s="154">
        <v>7.31556912E8</v>
      </c>
      <c r="E18" s="154">
        <v>790743.0</v>
      </c>
      <c r="F18" s="154">
        <v>4259201.0</v>
      </c>
      <c r="G18" s="154">
        <v>5709106.0</v>
      </c>
      <c r="H18" s="154">
        <v>2.7342364E7</v>
      </c>
      <c r="I18" s="154">
        <v>1.5460376E7</v>
      </c>
      <c r="J18" s="154">
        <v>2.8209991E7</v>
      </c>
      <c r="K18" s="154">
        <v>0.0</v>
      </c>
      <c r="L18" s="154">
        <v>1.7557858638E10</v>
      </c>
      <c r="M18" s="154">
        <v>2.128712272E9</v>
      </c>
      <c r="N18" s="154">
        <v>56074.0</v>
      </c>
      <c r="O18" s="153" t="s">
        <v>230</v>
      </c>
      <c r="P18" s="153">
        <v>25.0</v>
      </c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21.0" customHeight="1">
      <c r="A19" s="153">
        <v>1.69326547E8</v>
      </c>
      <c r="B19" s="153" t="s">
        <v>110</v>
      </c>
      <c r="C19" s="154">
        <v>7.6315125E7</v>
      </c>
      <c r="D19" s="154">
        <v>4.583688869E9</v>
      </c>
      <c r="E19" s="154">
        <v>0.0</v>
      </c>
      <c r="F19" s="154">
        <v>1.3191723E7</v>
      </c>
      <c r="G19" s="154">
        <v>1.023226E7</v>
      </c>
      <c r="H19" s="154">
        <v>1.0933226E7</v>
      </c>
      <c r="I19" s="154">
        <v>1.06370195E8</v>
      </c>
      <c r="J19" s="154">
        <v>1.73999566E8</v>
      </c>
      <c r="K19" s="154">
        <v>0.0</v>
      </c>
      <c r="L19" s="154">
        <v>1.2396797894E10</v>
      </c>
      <c r="M19" s="154">
        <v>1.0640822855E10</v>
      </c>
      <c r="N19" s="154">
        <v>131892.0</v>
      </c>
      <c r="O19" s="153" t="s">
        <v>233</v>
      </c>
      <c r="P19" s="153">
        <v>25.0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21.0" customHeight="1">
      <c r="A20" s="153">
        <v>1.70708608E8</v>
      </c>
      <c r="B20" s="153" t="s">
        <v>107</v>
      </c>
      <c r="C20" s="154">
        <v>7.5747328E7</v>
      </c>
      <c r="D20" s="154">
        <v>5.82975543E8</v>
      </c>
      <c r="E20" s="154">
        <v>1191495.0</v>
      </c>
      <c r="F20" s="154">
        <v>2658402.0</v>
      </c>
      <c r="G20" s="154">
        <v>8151801.0</v>
      </c>
      <c r="H20" s="154">
        <v>4.8061307E7</v>
      </c>
      <c r="I20" s="154">
        <v>1.14622E7</v>
      </c>
      <c r="J20" s="154">
        <v>2.2693022E7</v>
      </c>
      <c r="K20" s="154">
        <v>0.0</v>
      </c>
      <c r="L20" s="154">
        <v>1.3318854525E10</v>
      </c>
      <c r="M20" s="154">
        <v>3.28908317E9</v>
      </c>
      <c r="N20" s="154">
        <v>26331.0</v>
      </c>
      <c r="O20" s="153" t="s">
        <v>230</v>
      </c>
      <c r="P20" s="153">
        <v>25.0</v>
      </c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21.0" customHeight="1">
      <c r="A21" s="153">
        <v>2.708355E7</v>
      </c>
      <c r="B21" s="153" t="s">
        <v>95</v>
      </c>
      <c r="C21" s="154">
        <v>7.5716145E7</v>
      </c>
      <c r="D21" s="154">
        <v>3.775376479E9</v>
      </c>
      <c r="E21" s="154">
        <v>4358146.0</v>
      </c>
      <c r="F21" s="154">
        <v>4358146.0</v>
      </c>
      <c r="G21" s="154">
        <v>3.2822858E7</v>
      </c>
      <c r="H21" s="154">
        <v>2.7940286E7</v>
      </c>
      <c r="I21" s="154">
        <v>1.21099638E8</v>
      </c>
      <c r="J21" s="154">
        <v>1.26050007E8</v>
      </c>
      <c r="K21" s="154">
        <v>0.0</v>
      </c>
      <c r="L21" s="154">
        <v>2.1721018413E10</v>
      </c>
      <c r="M21" s="154">
        <v>8.740341628E9</v>
      </c>
      <c r="N21" s="154">
        <v>101624.0</v>
      </c>
      <c r="O21" s="153" t="s">
        <v>230</v>
      </c>
      <c r="P21" s="153">
        <v>25.0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21.0" customHeight="1">
      <c r="A22" s="153">
        <v>1.71927851E8</v>
      </c>
      <c r="B22" s="153" t="s">
        <v>116</v>
      </c>
      <c r="C22" s="154">
        <v>7.5177476E7</v>
      </c>
      <c r="D22" s="154">
        <v>4.2992916E8</v>
      </c>
      <c r="E22" s="154">
        <v>204513.0</v>
      </c>
      <c r="F22" s="154">
        <v>1139997.0</v>
      </c>
      <c r="G22" s="154">
        <v>3416513.0</v>
      </c>
      <c r="H22" s="154">
        <v>9984140.0</v>
      </c>
      <c r="I22" s="154">
        <v>6657821.0</v>
      </c>
      <c r="J22" s="154">
        <v>1.798501E7</v>
      </c>
      <c r="K22" s="154">
        <v>0.0</v>
      </c>
      <c r="L22" s="154">
        <v>1.0979191006E10</v>
      </c>
      <c r="M22" s="154">
        <v>1.74488E8</v>
      </c>
      <c r="N22" s="154">
        <v>36001.0</v>
      </c>
      <c r="O22" s="153" t="s">
        <v>230</v>
      </c>
      <c r="P22" s="153">
        <v>25.0</v>
      </c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21.0" customHeight="1">
      <c r="A23" s="153">
        <v>1.71503078E8</v>
      </c>
      <c r="B23" s="153" t="s">
        <v>101</v>
      </c>
      <c r="C23" s="154">
        <v>7.431588E7</v>
      </c>
      <c r="D23" s="154">
        <v>2.588998207E9</v>
      </c>
      <c r="E23" s="154">
        <v>6124323.0</v>
      </c>
      <c r="F23" s="154">
        <v>7670533.0</v>
      </c>
      <c r="G23" s="154">
        <v>5389863.0</v>
      </c>
      <c r="H23" s="154">
        <v>1.6416345E7</v>
      </c>
      <c r="I23" s="154">
        <v>4.1738755E7</v>
      </c>
      <c r="J23" s="154">
        <v>1.06182973E8</v>
      </c>
      <c r="K23" s="154">
        <v>0.0</v>
      </c>
      <c r="L23" s="154">
        <v>2.3606072226E10</v>
      </c>
      <c r="M23" s="154">
        <v>5.31571607E9</v>
      </c>
      <c r="N23" s="154">
        <v>76506.0</v>
      </c>
      <c r="O23" s="153" t="s">
        <v>230</v>
      </c>
      <c r="P23" s="153">
        <v>25.0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21.0" customHeight="1">
      <c r="A24" s="153">
        <v>9.8107237E7</v>
      </c>
      <c r="B24" s="153" t="s">
        <v>102</v>
      </c>
      <c r="C24" s="154">
        <v>7.3847547E7</v>
      </c>
      <c r="D24" s="154">
        <v>3.801581773E9</v>
      </c>
      <c r="E24" s="154">
        <v>5192971.0</v>
      </c>
      <c r="F24" s="154">
        <v>8690253.0</v>
      </c>
      <c r="G24" s="154">
        <v>2.1264887E7</v>
      </c>
      <c r="H24" s="154">
        <v>3738579.0</v>
      </c>
      <c r="I24" s="154">
        <v>8.0529915E7</v>
      </c>
      <c r="J24" s="154">
        <v>1.4940196E8</v>
      </c>
      <c r="K24" s="154">
        <v>0.0</v>
      </c>
      <c r="L24" s="154">
        <v>4.0674398554E10</v>
      </c>
      <c r="M24" s="154">
        <v>1.1707531851E10</v>
      </c>
      <c r="N24" s="154">
        <v>109656.0</v>
      </c>
      <c r="O24" s="153" t="s">
        <v>230</v>
      </c>
      <c r="P24" s="153">
        <v>25.0</v>
      </c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21.0" customHeight="1">
      <c r="A25" s="153">
        <v>7.7394861E7</v>
      </c>
      <c r="B25" s="153" t="s">
        <v>97</v>
      </c>
      <c r="C25" s="154">
        <v>7.3844595E7</v>
      </c>
      <c r="D25" s="154">
        <v>2.976589665E9</v>
      </c>
      <c r="E25" s="154">
        <v>1934979.0</v>
      </c>
      <c r="F25" s="154">
        <v>2612834.0</v>
      </c>
      <c r="G25" s="154">
        <v>1.9921506E7</v>
      </c>
      <c r="H25" s="154">
        <v>2191146.0</v>
      </c>
      <c r="I25" s="154">
        <v>9.8341677E7</v>
      </c>
      <c r="J25" s="154">
        <v>9.9511768E7</v>
      </c>
      <c r="K25" s="154">
        <v>0.0</v>
      </c>
      <c r="L25" s="154">
        <v>3.2330280215E10</v>
      </c>
      <c r="M25" s="154">
        <v>6.8605111155E10</v>
      </c>
      <c r="N25" s="154">
        <v>188566.0</v>
      </c>
      <c r="O25" s="153" t="s">
        <v>230</v>
      </c>
      <c r="P25" s="153">
        <v>25.0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21.0" customHeight="1">
      <c r="A26" s="153">
        <v>1.6942777E8</v>
      </c>
      <c r="B26" s="153" t="s">
        <v>96</v>
      </c>
      <c r="C26" s="154">
        <v>7.3673928E7</v>
      </c>
      <c r="D26" s="154">
        <v>1.343155756E9</v>
      </c>
      <c r="E26" s="154">
        <v>4115803.0</v>
      </c>
      <c r="F26" s="154">
        <v>4350649.0</v>
      </c>
      <c r="G26" s="154">
        <v>1.3566471E7</v>
      </c>
      <c r="H26" s="154">
        <v>3033302.0</v>
      </c>
      <c r="I26" s="154">
        <v>3.4225177E7</v>
      </c>
      <c r="J26" s="154">
        <v>4.9619115E7</v>
      </c>
      <c r="K26" s="154">
        <v>0.0</v>
      </c>
      <c r="L26" s="154">
        <v>2.2903149722E10</v>
      </c>
      <c r="M26" s="154">
        <v>4.793843925E9</v>
      </c>
      <c r="N26" s="154">
        <v>118159.0</v>
      </c>
      <c r="O26" s="153" t="s">
        <v>230</v>
      </c>
      <c r="P26" s="153">
        <v>25.0</v>
      </c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21.0" customHeight="1">
      <c r="A27" s="153">
        <v>1.67614515E8</v>
      </c>
      <c r="B27" s="153" t="s">
        <v>121</v>
      </c>
      <c r="C27" s="154">
        <v>7.3439026E7</v>
      </c>
      <c r="D27" s="154">
        <v>2.96579506E8</v>
      </c>
      <c r="E27" s="154">
        <v>496804.0</v>
      </c>
      <c r="F27" s="154">
        <v>976451.0</v>
      </c>
      <c r="G27" s="154">
        <v>7619613.0</v>
      </c>
      <c r="H27" s="154">
        <v>1278522.0</v>
      </c>
      <c r="I27" s="154">
        <v>1.3821939E7</v>
      </c>
      <c r="J27" s="154">
        <v>7762819.0</v>
      </c>
      <c r="K27" s="154">
        <v>0.0</v>
      </c>
      <c r="L27" s="154">
        <v>1.7089876753E10</v>
      </c>
      <c r="M27" s="154">
        <v>8.08253053E8</v>
      </c>
      <c r="N27" s="154">
        <v>68542.0</v>
      </c>
      <c r="O27" s="153" t="s">
        <v>230</v>
      </c>
      <c r="P27" s="153">
        <v>25.0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21.0" customHeight="1">
      <c r="A28" s="153">
        <v>7.4556991E7</v>
      </c>
      <c r="B28" s="153" t="s">
        <v>108</v>
      </c>
      <c r="C28" s="154">
        <v>7.3353827E7</v>
      </c>
      <c r="D28" s="154">
        <v>3.438932532E9</v>
      </c>
      <c r="E28" s="154">
        <v>3050412.0</v>
      </c>
      <c r="F28" s="154">
        <v>8689307.0</v>
      </c>
      <c r="G28" s="154">
        <v>1.6286457E7</v>
      </c>
      <c r="H28" s="154">
        <v>6981593.0</v>
      </c>
      <c r="I28" s="154">
        <v>6.1122492E7</v>
      </c>
      <c r="J28" s="154">
        <v>1.41040827E8</v>
      </c>
      <c r="K28" s="154">
        <v>0.0</v>
      </c>
      <c r="L28" s="154">
        <v>1.904044633E10</v>
      </c>
      <c r="M28" s="154">
        <v>5.962343886E9</v>
      </c>
      <c r="N28" s="154">
        <v>142982.0</v>
      </c>
      <c r="O28" s="153" t="s">
        <v>230</v>
      </c>
      <c r="P28" s="153">
        <v>25.0</v>
      </c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21.0" customHeight="1">
      <c r="A29" s="153">
        <v>1.71910225E8</v>
      </c>
      <c r="B29" s="153" t="s">
        <v>113</v>
      </c>
      <c r="C29" s="154">
        <v>7.3278294E7</v>
      </c>
      <c r="D29" s="154">
        <v>4.87464451E8</v>
      </c>
      <c r="E29" s="154">
        <v>1062404.0</v>
      </c>
      <c r="F29" s="154">
        <v>3028838.0</v>
      </c>
      <c r="G29" s="154">
        <v>7677992.0</v>
      </c>
      <c r="H29" s="154">
        <v>2.2576648E7</v>
      </c>
      <c r="I29" s="154">
        <v>7642300.0</v>
      </c>
      <c r="J29" s="154">
        <v>2.0293685E7</v>
      </c>
      <c r="K29" s="154">
        <v>0.0</v>
      </c>
      <c r="L29" s="154">
        <v>1.8551048436E10</v>
      </c>
      <c r="M29" s="154">
        <v>2.418845765E9</v>
      </c>
      <c r="N29" s="154">
        <v>48899.0</v>
      </c>
      <c r="O29" s="153" t="s">
        <v>230</v>
      </c>
      <c r="P29" s="153">
        <v>25.0</v>
      </c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21.0" customHeight="1">
      <c r="A30" s="153">
        <v>7887352.0</v>
      </c>
      <c r="B30" s="153" t="s">
        <v>119</v>
      </c>
      <c r="C30" s="154">
        <v>7.2762353E7</v>
      </c>
      <c r="D30" s="154">
        <v>2.328650208E9</v>
      </c>
      <c r="E30" s="154">
        <v>0.0</v>
      </c>
      <c r="F30" s="154">
        <v>2349656.0</v>
      </c>
      <c r="G30" s="154">
        <v>1.8224463E7</v>
      </c>
      <c r="H30" s="154">
        <v>3.4858212E7</v>
      </c>
      <c r="I30" s="154">
        <v>7.3514181E7</v>
      </c>
      <c r="J30" s="154">
        <v>7.9074769E7</v>
      </c>
      <c r="K30" s="154">
        <v>0.0</v>
      </c>
      <c r="L30" s="154">
        <v>1.7266496524E10</v>
      </c>
      <c r="M30" s="154">
        <v>1.2713533366E10</v>
      </c>
      <c r="N30" s="154">
        <v>46450.0</v>
      </c>
      <c r="O30" s="153" t="s">
        <v>233</v>
      </c>
      <c r="P30" s="153">
        <v>25.0</v>
      </c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21.0" customHeight="1">
      <c r="A31" s="153">
        <v>1.43088559E8</v>
      </c>
      <c r="B31" s="153" t="s">
        <v>235</v>
      </c>
      <c r="C31" s="154">
        <v>7.2664913E7</v>
      </c>
      <c r="D31" s="154">
        <v>5.01366443E8</v>
      </c>
      <c r="E31" s="154">
        <v>551263.0</v>
      </c>
      <c r="F31" s="154">
        <v>551263.0</v>
      </c>
      <c r="G31" s="154">
        <v>4247124.0</v>
      </c>
      <c r="H31" s="154">
        <v>1.0636708E7</v>
      </c>
      <c r="I31" s="154">
        <v>2.7967126E7</v>
      </c>
      <c r="J31" s="154">
        <v>1.0225932E7</v>
      </c>
      <c r="K31" s="154">
        <v>0.0</v>
      </c>
      <c r="L31" s="154">
        <v>1.4726660683E10</v>
      </c>
      <c r="M31" s="154">
        <v>3.55081372E9</v>
      </c>
      <c r="N31" s="154">
        <v>37085.0</v>
      </c>
      <c r="O31" s="153" t="s">
        <v>230</v>
      </c>
      <c r="P31" s="153">
        <v>25.0</v>
      </c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21.0" customHeight="1">
      <c r="A32" s="153">
        <v>1.71753933E8</v>
      </c>
      <c r="B32" s="153" t="s">
        <v>111</v>
      </c>
      <c r="C32" s="154">
        <v>7.1017017E7</v>
      </c>
      <c r="D32" s="154">
        <v>1.36474014E8</v>
      </c>
      <c r="E32" s="154">
        <v>844497.0</v>
      </c>
      <c r="F32" s="154">
        <v>844497.0</v>
      </c>
      <c r="G32" s="154">
        <v>5481117.0</v>
      </c>
      <c r="H32" s="154">
        <v>330632.0</v>
      </c>
      <c r="I32" s="154">
        <v>3081594.0</v>
      </c>
      <c r="J32" s="154">
        <v>5264481.0</v>
      </c>
      <c r="K32" s="154">
        <v>0.0</v>
      </c>
      <c r="L32" s="154">
        <v>1.4750301996E10</v>
      </c>
      <c r="M32" s="154">
        <v>2.22732998E8</v>
      </c>
      <c r="N32" s="154">
        <v>55754.0</v>
      </c>
      <c r="O32" s="153" t="s">
        <v>230</v>
      </c>
      <c r="P32" s="153">
        <v>25.0</v>
      </c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21.0" customHeight="1">
      <c r="A33" s="153">
        <v>1.6757738E8</v>
      </c>
      <c r="B33" s="153" t="s">
        <v>236</v>
      </c>
      <c r="C33" s="154">
        <v>7.0943125E7</v>
      </c>
      <c r="D33" s="154">
        <v>3.99007427E8</v>
      </c>
      <c r="E33" s="154">
        <v>0.0</v>
      </c>
      <c r="F33" s="154">
        <v>183645.0</v>
      </c>
      <c r="G33" s="154">
        <v>5862176.0</v>
      </c>
      <c r="H33" s="154">
        <v>4819417.0</v>
      </c>
      <c r="I33" s="154">
        <v>1.5044354E7</v>
      </c>
      <c r="J33" s="154">
        <v>1.1974773E7</v>
      </c>
      <c r="K33" s="154">
        <v>0.0</v>
      </c>
      <c r="L33" s="154">
        <v>7.745470195E9</v>
      </c>
      <c r="M33" s="154">
        <v>9.70788659E8</v>
      </c>
      <c r="N33" s="154">
        <v>46453.0</v>
      </c>
      <c r="O33" s="153" t="s">
        <v>237</v>
      </c>
      <c r="P33" s="153">
        <v>25.0</v>
      </c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21.0" customHeight="1">
      <c r="A34" s="153">
        <v>5.524249E7</v>
      </c>
      <c r="B34" s="153" t="s">
        <v>112</v>
      </c>
      <c r="C34" s="154">
        <v>7.0573379E7</v>
      </c>
      <c r="D34" s="154">
        <v>1.84453319E9</v>
      </c>
      <c r="E34" s="154">
        <v>3069003.0</v>
      </c>
      <c r="F34" s="154">
        <v>7072847.0</v>
      </c>
      <c r="G34" s="154">
        <v>1.3163643E7</v>
      </c>
      <c r="H34" s="154">
        <v>1.14227454E8</v>
      </c>
      <c r="I34" s="154">
        <v>5.0454194E7</v>
      </c>
      <c r="J34" s="154">
        <v>6.5056524E7</v>
      </c>
      <c r="K34" s="154">
        <v>0.0</v>
      </c>
      <c r="L34" s="154">
        <v>1.6172760598E10</v>
      </c>
      <c r="M34" s="154">
        <v>6.48576093E9</v>
      </c>
      <c r="N34" s="154">
        <v>60678.0</v>
      </c>
      <c r="O34" s="153" t="s">
        <v>230</v>
      </c>
      <c r="P34" s="153">
        <v>25.0</v>
      </c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21.0" customHeight="1">
      <c r="A35" s="153">
        <v>1.70728362E8</v>
      </c>
      <c r="B35" s="153" t="s">
        <v>117</v>
      </c>
      <c r="C35" s="154">
        <v>6.9518172E7</v>
      </c>
      <c r="D35" s="154">
        <v>8.88418699E8</v>
      </c>
      <c r="E35" s="154">
        <v>3621934.0</v>
      </c>
      <c r="F35" s="154">
        <v>3621934.0</v>
      </c>
      <c r="G35" s="154">
        <v>1.1265599E7</v>
      </c>
      <c r="H35" s="154">
        <v>1.0707246E7</v>
      </c>
      <c r="I35" s="154">
        <v>1.8720907E7</v>
      </c>
      <c r="J35" s="154">
        <v>3.4337885E7</v>
      </c>
      <c r="K35" s="154">
        <v>0.0</v>
      </c>
      <c r="L35" s="154">
        <v>8.073740364E9</v>
      </c>
      <c r="M35" s="154">
        <v>8.019580196E9</v>
      </c>
      <c r="N35" s="154">
        <v>64835.0</v>
      </c>
      <c r="O35" s="153" t="s">
        <v>230</v>
      </c>
      <c r="P35" s="153">
        <v>25.0</v>
      </c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21.0" customHeight="1">
      <c r="A36" s="153">
        <v>1.20029911E8</v>
      </c>
      <c r="B36" s="153" t="s">
        <v>103</v>
      </c>
      <c r="C36" s="154">
        <v>6.9418228E7</v>
      </c>
      <c r="D36" s="154">
        <v>1.314837262E9</v>
      </c>
      <c r="E36" s="154">
        <v>2948708.0</v>
      </c>
      <c r="F36" s="154">
        <v>3264573.0</v>
      </c>
      <c r="G36" s="154">
        <v>1.321067E7</v>
      </c>
      <c r="H36" s="154">
        <v>1.3916714E7</v>
      </c>
      <c r="I36" s="154">
        <v>5.117681E7</v>
      </c>
      <c r="J36" s="154">
        <v>3.848917E7</v>
      </c>
      <c r="K36" s="154">
        <v>135423.0</v>
      </c>
      <c r="L36" s="154">
        <v>1.3018551614E10</v>
      </c>
      <c r="M36" s="154">
        <v>1.7374234312E10</v>
      </c>
      <c r="N36" s="154">
        <v>55731.0</v>
      </c>
      <c r="O36" s="153" t="s">
        <v>230</v>
      </c>
      <c r="P36" s="153">
        <v>25.0</v>
      </c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21.0" customHeight="1">
      <c r="A37" s="153">
        <v>1.66497805E8</v>
      </c>
      <c r="B37" s="153" t="s">
        <v>109</v>
      </c>
      <c r="C37" s="154">
        <v>6.9380728E7</v>
      </c>
      <c r="D37" s="154">
        <v>9.30372943E8</v>
      </c>
      <c r="E37" s="154">
        <v>2513588.0</v>
      </c>
      <c r="F37" s="154">
        <v>2649027.0</v>
      </c>
      <c r="G37" s="154">
        <v>7119245.0</v>
      </c>
      <c r="H37" s="154">
        <v>2228878.0</v>
      </c>
      <c r="I37" s="154">
        <v>3.0392944E7</v>
      </c>
      <c r="J37" s="154">
        <v>3.0790288E7</v>
      </c>
      <c r="K37" s="154">
        <v>0.0</v>
      </c>
      <c r="L37" s="154">
        <v>1.8750410794E10</v>
      </c>
      <c r="M37" s="154">
        <v>4.56763729E8</v>
      </c>
      <c r="N37" s="154">
        <v>85015.0</v>
      </c>
      <c r="O37" s="153" t="s">
        <v>230</v>
      </c>
      <c r="P37" s="153">
        <v>25.0</v>
      </c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21.0" customHeight="1">
      <c r="A38" s="153">
        <v>1.4361245E8</v>
      </c>
      <c r="B38" s="153" t="s">
        <v>131</v>
      </c>
      <c r="C38" s="154">
        <v>6.9036342E7</v>
      </c>
      <c r="D38" s="154">
        <v>1.086140242E9</v>
      </c>
      <c r="E38" s="154">
        <v>3254255.0</v>
      </c>
      <c r="F38" s="154">
        <v>4075097.0</v>
      </c>
      <c r="G38" s="154">
        <v>6732568.0</v>
      </c>
      <c r="H38" s="154">
        <v>5049573.0</v>
      </c>
      <c r="I38" s="154">
        <v>3.3262746E7</v>
      </c>
      <c r="J38" s="154">
        <v>3.6984857E7</v>
      </c>
      <c r="K38" s="154">
        <v>0.0</v>
      </c>
      <c r="L38" s="154">
        <v>1.4519341047E10</v>
      </c>
      <c r="M38" s="154">
        <v>7.191666033E9</v>
      </c>
      <c r="N38" s="154">
        <v>36151.0</v>
      </c>
      <c r="O38" s="153" t="s">
        <v>230</v>
      </c>
      <c r="P38" s="153">
        <v>25.0</v>
      </c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21.0" customHeight="1">
      <c r="A39" s="153">
        <v>1.70866748E8</v>
      </c>
      <c r="B39" s="153" t="s">
        <v>118</v>
      </c>
      <c r="C39" s="154">
        <v>6.8772995E7</v>
      </c>
      <c r="D39" s="154">
        <v>1.047166515E9</v>
      </c>
      <c r="E39" s="154">
        <v>3090211.0</v>
      </c>
      <c r="F39" s="154">
        <v>3090211.0</v>
      </c>
      <c r="G39" s="154">
        <v>7001653.0</v>
      </c>
      <c r="H39" s="154">
        <v>1168807.0</v>
      </c>
      <c r="I39" s="154">
        <v>1.2010014E7</v>
      </c>
      <c r="J39" s="154">
        <v>4.6276835E7</v>
      </c>
      <c r="K39" s="154">
        <v>0.0</v>
      </c>
      <c r="L39" s="154">
        <v>1.877888017E10</v>
      </c>
      <c r="M39" s="154">
        <v>3.627127733E9</v>
      </c>
      <c r="N39" s="154">
        <v>35642.0</v>
      </c>
      <c r="O39" s="153" t="s">
        <v>230</v>
      </c>
      <c r="P39" s="153">
        <v>25.0</v>
      </c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21.0" customHeight="1">
      <c r="A40" s="153">
        <v>1.69247313E8</v>
      </c>
      <c r="B40" s="153" t="s">
        <v>100</v>
      </c>
      <c r="C40" s="154">
        <v>6.8597398E7</v>
      </c>
      <c r="D40" s="154">
        <v>9.08219268E8</v>
      </c>
      <c r="E40" s="154">
        <v>3289892.0</v>
      </c>
      <c r="F40" s="154">
        <v>3289892.0</v>
      </c>
      <c r="G40" s="154">
        <v>1.3068549E7</v>
      </c>
      <c r="H40" s="154">
        <v>4975472.0</v>
      </c>
      <c r="I40" s="154">
        <v>2.4939908E7</v>
      </c>
      <c r="J40" s="154">
        <v>3.2022652E7</v>
      </c>
      <c r="K40" s="154">
        <v>0.0</v>
      </c>
      <c r="L40" s="154">
        <v>2.4602137413E10</v>
      </c>
      <c r="M40" s="154">
        <v>3.131731466E9</v>
      </c>
      <c r="N40" s="154">
        <v>112095.0</v>
      </c>
      <c r="O40" s="153" t="s">
        <v>230</v>
      </c>
      <c r="P40" s="153">
        <v>25.0</v>
      </c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21.0" customHeight="1">
      <c r="A41" s="153">
        <v>1.40134152E8</v>
      </c>
      <c r="B41" s="153" t="s">
        <v>238</v>
      </c>
      <c r="C41" s="154">
        <v>6.8335164E7</v>
      </c>
      <c r="D41" s="154">
        <v>2.2998714E8</v>
      </c>
      <c r="E41" s="154">
        <v>0.0</v>
      </c>
      <c r="F41" s="154">
        <v>0.0</v>
      </c>
      <c r="G41" s="154">
        <v>7561972.0</v>
      </c>
      <c r="H41" s="154">
        <v>7689790.0</v>
      </c>
      <c r="I41" s="154">
        <v>1.3699596E7</v>
      </c>
      <c r="J41" s="154">
        <v>4222074.0</v>
      </c>
      <c r="K41" s="154">
        <v>0.0</v>
      </c>
      <c r="L41" s="154">
        <v>8.829492666E9</v>
      </c>
      <c r="M41" s="154">
        <v>4.974460586E9</v>
      </c>
      <c r="N41" s="154">
        <v>55163.0</v>
      </c>
      <c r="O41" s="153" t="s">
        <v>239</v>
      </c>
      <c r="P41" s="153">
        <v>25.0</v>
      </c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21.0" customHeight="1">
      <c r="A42" s="153">
        <v>1.77526978E8</v>
      </c>
      <c r="B42" s="153" t="s">
        <v>179</v>
      </c>
      <c r="C42" s="154">
        <v>6.7364884E7</v>
      </c>
      <c r="D42" s="154">
        <v>1.82415894E8</v>
      </c>
      <c r="E42" s="154">
        <v>921374.0</v>
      </c>
      <c r="F42" s="154">
        <v>921374.0</v>
      </c>
      <c r="G42" s="154">
        <v>6031594.0</v>
      </c>
      <c r="H42" s="154">
        <v>6640832.0</v>
      </c>
      <c r="I42" s="154">
        <v>5413751.0</v>
      </c>
      <c r="J42" s="154">
        <v>6275227.0</v>
      </c>
      <c r="K42" s="154">
        <v>0.0</v>
      </c>
      <c r="L42" s="154">
        <v>1.27018588E10</v>
      </c>
      <c r="M42" s="154">
        <v>1.6798896653E10</v>
      </c>
      <c r="N42" s="154">
        <v>28310.0</v>
      </c>
      <c r="O42" s="153" t="s">
        <v>230</v>
      </c>
      <c r="P42" s="153">
        <v>25.0</v>
      </c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21.0" customHeight="1">
      <c r="A43" s="153">
        <v>1.39292614E8</v>
      </c>
      <c r="B43" s="153" t="s">
        <v>120</v>
      </c>
      <c r="C43" s="154">
        <v>6.7213851E7</v>
      </c>
      <c r="D43" s="154">
        <v>1.013412664E9</v>
      </c>
      <c r="E43" s="154">
        <v>2061452.0</v>
      </c>
      <c r="F43" s="154">
        <v>2726239.0</v>
      </c>
      <c r="G43" s="154">
        <v>1.274362E7</v>
      </c>
      <c r="H43" s="154">
        <v>1.9711811E7</v>
      </c>
      <c r="I43" s="154">
        <v>1.8747608E7</v>
      </c>
      <c r="J43" s="154">
        <v>4.0632759E7</v>
      </c>
      <c r="K43" s="154">
        <v>0.0</v>
      </c>
      <c r="L43" s="154">
        <v>1.3475393567E10</v>
      </c>
      <c r="M43" s="154">
        <v>4.658817481E9</v>
      </c>
      <c r="N43" s="154">
        <v>56471.0</v>
      </c>
      <c r="O43" s="153" t="s">
        <v>240</v>
      </c>
      <c r="P43" s="153">
        <v>25.0</v>
      </c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21.0" customHeight="1">
      <c r="A44" s="153">
        <v>1.69446444E8</v>
      </c>
      <c r="B44" s="153" t="s">
        <v>185</v>
      </c>
      <c r="C44" s="154">
        <v>6.6414116E7</v>
      </c>
      <c r="D44" s="154">
        <v>1.839790949E9</v>
      </c>
      <c r="E44" s="154">
        <v>243276.0</v>
      </c>
      <c r="F44" s="154">
        <v>7480714.0</v>
      </c>
      <c r="G44" s="154">
        <v>9162044.0</v>
      </c>
      <c r="H44" s="154">
        <v>3676226.0</v>
      </c>
      <c r="I44" s="154">
        <v>2.618197E7</v>
      </c>
      <c r="J44" s="154">
        <v>7.8254633E7</v>
      </c>
      <c r="K44" s="154">
        <v>0.0</v>
      </c>
      <c r="L44" s="154">
        <v>7.717873251E9</v>
      </c>
      <c r="M44" s="154">
        <v>1.4897668222E10</v>
      </c>
      <c r="N44" s="154">
        <v>94970.0</v>
      </c>
      <c r="O44" s="153" t="s">
        <v>237</v>
      </c>
      <c r="P44" s="153">
        <v>25.0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21.0" customHeight="1">
      <c r="A45" s="153">
        <v>1.5633938E8</v>
      </c>
      <c r="B45" s="153" t="s">
        <v>176</v>
      </c>
      <c r="C45" s="154">
        <v>6.644163E7</v>
      </c>
      <c r="D45" s="154">
        <v>7.16543523E8</v>
      </c>
      <c r="E45" s="154">
        <v>775723.0</v>
      </c>
      <c r="F45" s="154">
        <v>2312415.0</v>
      </c>
      <c r="G45" s="154">
        <v>1.0546341E7</v>
      </c>
      <c r="H45" s="154">
        <v>5882259.0</v>
      </c>
      <c r="I45" s="154">
        <v>3.3985574E7</v>
      </c>
      <c r="J45" s="154">
        <v>1.7215867E7</v>
      </c>
      <c r="K45" s="154">
        <v>0.0</v>
      </c>
      <c r="L45" s="154">
        <v>1.794005983E10</v>
      </c>
      <c r="M45" s="154">
        <v>6.179929489E9</v>
      </c>
      <c r="N45" s="154">
        <v>132464.0</v>
      </c>
      <c r="O45" s="153" t="s">
        <v>230</v>
      </c>
      <c r="P45" s="153">
        <v>25.0</v>
      </c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21.0" customHeight="1">
      <c r="A46" s="153">
        <v>6.4010776E7</v>
      </c>
      <c r="B46" s="153" t="s">
        <v>181</v>
      </c>
      <c r="C46" s="154">
        <v>6.6158351E7</v>
      </c>
      <c r="D46" s="154">
        <v>2.483869022E9</v>
      </c>
      <c r="E46" s="154">
        <v>381900.0</v>
      </c>
      <c r="F46" s="154">
        <v>2316011.0</v>
      </c>
      <c r="G46" s="154">
        <v>2.2945089E7</v>
      </c>
      <c r="H46" s="154">
        <v>3.5155422E7</v>
      </c>
      <c r="I46" s="154">
        <v>8.1662749E7</v>
      </c>
      <c r="J46" s="154">
        <v>8.1051404E7</v>
      </c>
      <c r="K46" s="154">
        <v>0.0</v>
      </c>
      <c r="L46" s="154">
        <v>2.1432520064E10</v>
      </c>
      <c r="M46" s="154">
        <v>4.4683538031E10</v>
      </c>
      <c r="N46" s="154">
        <v>111535.0</v>
      </c>
      <c r="O46" s="153" t="s">
        <v>230</v>
      </c>
      <c r="P46" s="153">
        <v>25.0</v>
      </c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21.0" customHeight="1">
      <c r="A47" s="153">
        <v>1.19051033E8</v>
      </c>
      <c r="B47" s="153" t="s">
        <v>241</v>
      </c>
      <c r="C47" s="154">
        <v>6.6038256E7</v>
      </c>
      <c r="D47" s="154">
        <v>6.03136147E8</v>
      </c>
      <c r="E47" s="154">
        <v>0.0</v>
      </c>
      <c r="F47" s="154">
        <v>0.0</v>
      </c>
      <c r="G47" s="154">
        <v>1.4969585E7</v>
      </c>
      <c r="H47" s="154">
        <v>2.8386968E7</v>
      </c>
      <c r="I47" s="154">
        <v>3.9165818E7</v>
      </c>
      <c r="J47" s="154">
        <v>8857531.0</v>
      </c>
      <c r="K47" s="154">
        <v>87571.0</v>
      </c>
      <c r="L47" s="154">
        <v>1.2709890478E10</v>
      </c>
      <c r="M47" s="154">
        <v>6.536030653E9</v>
      </c>
      <c r="N47" s="154">
        <v>89879.0</v>
      </c>
      <c r="O47" s="153" t="s">
        <v>237</v>
      </c>
      <c r="P47" s="153">
        <v>25.0</v>
      </c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21.0" customHeight="1">
      <c r="A48" s="153">
        <v>1.71972257E8</v>
      </c>
      <c r="B48" s="153" t="s">
        <v>115</v>
      </c>
      <c r="C48" s="154">
        <v>6.5638315E7</v>
      </c>
      <c r="D48" s="154">
        <v>9.39624187E8</v>
      </c>
      <c r="E48" s="154">
        <v>1724589.0</v>
      </c>
      <c r="F48" s="154">
        <v>2824502.0</v>
      </c>
      <c r="G48" s="154">
        <v>7688605.0</v>
      </c>
      <c r="H48" s="154">
        <v>5.1536185E7</v>
      </c>
      <c r="I48" s="154">
        <v>3.1264285E7</v>
      </c>
      <c r="J48" s="154">
        <v>3.0482771E7</v>
      </c>
      <c r="K48" s="154">
        <v>0.0</v>
      </c>
      <c r="L48" s="154">
        <v>1.642327131E10</v>
      </c>
      <c r="M48" s="154">
        <v>3.051253098E9</v>
      </c>
      <c r="N48" s="154">
        <v>17924.0</v>
      </c>
      <c r="O48" s="153" t="s">
        <v>230</v>
      </c>
      <c r="P48" s="153">
        <v>25.0</v>
      </c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21.0" customHeight="1">
      <c r="A49" s="153">
        <v>3.2454401E7</v>
      </c>
      <c r="B49" s="153" t="s">
        <v>242</v>
      </c>
      <c r="C49" s="154">
        <v>6.4288515E7</v>
      </c>
      <c r="D49" s="154">
        <v>7.53338788E8</v>
      </c>
      <c r="E49" s="154">
        <v>0.0</v>
      </c>
      <c r="F49" s="154">
        <v>0.0</v>
      </c>
      <c r="G49" s="154">
        <v>1.3762137E7</v>
      </c>
      <c r="H49" s="154">
        <v>8213982.0</v>
      </c>
      <c r="I49" s="154">
        <v>2.7496547E7</v>
      </c>
      <c r="J49" s="154">
        <v>2.3510376E7</v>
      </c>
      <c r="K49" s="154">
        <v>0.0</v>
      </c>
      <c r="L49" s="154">
        <v>1.5621913681E10</v>
      </c>
      <c r="M49" s="154">
        <v>8.234354705E9</v>
      </c>
      <c r="N49" s="154">
        <v>84054.0</v>
      </c>
      <c r="O49" s="153" t="s">
        <v>233</v>
      </c>
      <c r="P49" s="153">
        <v>25.0</v>
      </c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21.0" customHeight="1">
      <c r="A50" s="153">
        <v>1.69461237E8</v>
      </c>
      <c r="B50" s="153" t="s">
        <v>180</v>
      </c>
      <c r="C50" s="154">
        <v>6.4054543E7</v>
      </c>
      <c r="D50" s="154">
        <v>4.7027549E8</v>
      </c>
      <c r="E50" s="154">
        <v>829651.0</v>
      </c>
      <c r="F50" s="154">
        <v>1319492.0</v>
      </c>
      <c r="G50" s="154">
        <v>6562306.0</v>
      </c>
      <c r="H50" s="154">
        <v>3258050.0</v>
      </c>
      <c r="I50" s="154">
        <v>2.4871971E7</v>
      </c>
      <c r="J50" s="154">
        <v>9653483.0</v>
      </c>
      <c r="K50" s="154">
        <v>0.0</v>
      </c>
      <c r="L50" s="154">
        <v>4.513433688E9</v>
      </c>
      <c r="M50" s="154">
        <v>5.0728231616E10</v>
      </c>
      <c r="N50" s="154">
        <v>26489.0</v>
      </c>
      <c r="O50" s="153" t="s">
        <v>230</v>
      </c>
      <c r="P50" s="153">
        <v>25.0</v>
      </c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21.0" customHeight="1">
      <c r="A51" s="153">
        <v>1.68091444E8</v>
      </c>
      <c r="B51" s="153" t="s">
        <v>124</v>
      </c>
      <c r="C51" s="154">
        <v>6.4035361E7</v>
      </c>
      <c r="D51" s="154">
        <v>2.02838347E8</v>
      </c>
      <c r="E51" s="154">
        <v>931999.0</v>
      </c>
      <c r="F51" s="154">
        <v>1184075.0</v>
      </c>
      <c r="G51" s="154">
        <v>9802340.0</v>
      </c>
      <c r="H51" s="154">
        <v>423267.0</v>
      </c>
      <c r="I51" s="154">
        <v>8133038.0</v>
      </c>
      <c r="J51" s="154">
        <v>6011188.0</v>
      </c>
      <c r="K51" s="154">
        <v>0.0</v>
      </c>
      <c r="L51" s="154">
        <v>1.029009552E10</v>
      </c>
      <c r="M51" s="154">
        <v>8.76128414E8</v>
      </c>
      <c r="N51" s="154">
        <v>58291.0</v>
      </c>
      <c r="O51" s="153" t="s">
        <v>230</v>
      </c>
      <c r="P51" s="153">
        <v>25.0</v>
      </c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21.0" customHeight="1">
      <c r="A52" s="153">
        <v>1.69494917E8</v>
      </c>
      <c r="B52" s="153" t="s">
        <v>243</v>
      </c>
      <c r="C52" s="154">
        <v>6.3847849E7</v>
      </c>
      <c r="D52" s="154">
        <v>1.3864743E8</v>
      </c>
      <c r="E52" s="154">
        <v>0.0</v>
      </c>
      <c r="F52" s="154">
        <v>0.0</v>
      </c>
      <c r="G52" s="154">
        <v>3226778.0</v>
      </c>
      <c r="H52" s="154">
        <v>182930.0</v>
      </c>
      <c r="I52" s="154">
        <v>4288674.0</v>
      </c>
      <c r="J52" s="154">
        <v>4776292.0</v>
      </c>
      <c r="K52" s="154">
        <v>0.0</v>
      </c>
      <c r="L52" s="154">
        <v>7.713954156E9</v>
      </c>
      <c r="M52" s="154">
        <v>7.003553806E9</v>
      </c>
      <c r="N52" s="154">
        <v>18851.0</v>
      </c>
      <c r="O52" s="153" t="s">
        <v>230</v>
      </c>
      <c r="P52" s="153">
        <v>25.0</v>
      </c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21.0" customHeight="1">
      <c r="A53" s="153">
        <v>1.72041454E8</v>
      </c>
      <c r="B53" s="153" t="s">
        <v>104</v>
      </c>
      <c r="C53" s="154">
        <v>6.3509767E7</v>
      </c>
      <c r="D53" s="154">
        <v>9.75741526E8</v>
      </c>
      <c r="E53" s="154">
        <v>3804003.0</v>
      </c>
      <c r="F53" s="154">
        <v>4275450.0</v>
      </c>
      <c r="G53" s="154">
        <v>1.2147039E7</v>
      </c>
      <c r="H53" s="154">
        <v>2.7585652E7</v>
      </c>
      <c r="I53" s="154">
        <v>3.1567331E7</v>
      </c>
      <c r="J53" s="154">
        <v>3.22892E7</v>
      </c>
      <c r="K53" s="154">
        <v>0.0</v>
      </c>
      <c r="L53" s="154">
        <v>1.3415727115E10</v>
      </c>
      <c r="M53" s="154">
        <v>1.198488618E9</v>
      </c>
      <c r="N53" s="154">
        <v>70428.0</v>
      </c>
      <c r="O53" s="153" t="s">
        <v>230</v>
      </c>
      <c r="P53" s="153">
        <v>25.0</v>
      </c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21.0" customHeight="1">
      <c r="A54" s="153">
        <v>1.69446634E8</v>
      </c>
      <c r="B54" s="153" t="s">
        <v>182</v>
      </c>
      <c r="C54" s="154">
        <v>6.3158274E7</v>
      </c>
      <c r="D54" s="154">
        <v>4.0245336E8</v>
      </c>
      <c r="E54" s="154">
        <v>267677.0</v>
      </c>
      <c r="F54" s="154">
        <v>1313905.0</v>
      </c>
      <c r="G54" s="154">
        <v>1.0595311E7</v>
      </c>
      <c r="H54" s="154">
        <v>935282.0</v>
      </c>
      <c r="I54" s="154">
        <v>1.2260114E7</v>
      </c>
      <c r="J54" s="154">
        <v>1.3876152E7</v>
      </c>
      <c r="K54" s="154">
        <v>0.0</v>
      </c>
      <c r="L54" s="154">
        <v>1.2207553939E10</v>
      </c>
      <c r="M54" s="154">
        <v>3.233385784E9</v>
      </c>
      <c r="N54" s="154">
        <v>61389.0</v>
      </c>
      <c r="O54" s="153" t="s">
        <v>244</v>
      </c>
      <c r="P54" s="153">
        <v>25.0</v>
      </c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21.0" customHeight="1">
      <c r="A55" s="153">
        <v>1.4461836E8</v>
      </c>
      <c r="B55" s="153" t="s">
        <v>125</v>
      </c>
      <c r="C55" s="154">
        <v>6.2267521E7</v>
      </c>
      <c r="D55" s="154">
        <v>4.68826008E8</v>
      </c>
      <c r="E55" s="154">
        <v>1778246.0</v>
      </c>
      <c r="F55" s="154">
        <v>1778246.0</v>
      </c>
      <c r="G55" s="154">
        <v>4962015.0</v>
      </c>
      <c r="H55" s="154">
        <v>2041471.0</v>
      </c>
      <c r="I55" s="154">
        <v>1.2185882E7</v>
      </c>
      <c r="J55" s="154">
        <v>1.7145322E7</v>
      </c>
      <c r="K55" s="154">
        <v>0.0</v>
      </c>
      <c r="L55" s="154">
        <v>9.959320814E9</v>
      </c>
      <c r="M55" s="154">
        <v>8.36487787E8</v>
      </c>
      <c r="N55" s="154">
        <v>44506.0</v>
      </c>
      <c r="O55" s="153" t="s">
        <v>230</v>
      </c>
      <c r="P55" s="153">
        <v>25.0</v>
      </c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21.0" customHeight="1">
      <c r="A56" s="153">
        <v>1.7160984E8</v>
      </c>
      <c r="B56" s="153" t="s">
        <v>114</v>
      </c>
      <c r="C56" s="154">
        <v>6.2060731E7</v>
      </c>
      <c r="D56" s="154">
        <v>1.046303379E9</v>
      </c>
      <c r="E56" s="154">
        <v>3438284.0</v>
      </c>
      <c r="F56" s="154">
        <v>3459266.0</v>
      </c>
      <c r="G56" s="154">
        <v>7275985.0</v>
      </c>
      <c r="H56" s="154">
        <v>4659116.0</v>
      </c>
      <c r="I56" s="154">
        <v>1.845804E7</v>
      </c>
      <c r="J56" s="154">
        <v>4.2720117E7</v>
      </c>
      <c r="K56" s="154">
        <v>0.0</v>
      </c>
      <c r="L56" s="154">
        <v>1.0304694123E10</v>
      </c>
      <c r="M56" s="154">
        <v>4.57686079E8</v>
      </c>
      <c r="N56" s="154">
        <v>53546.0</v>
      </c>
      <c r="O56" s="153" t="s">
        <v>230</v>
      </c>
      <c r="P56" s="153">
        <v>25.0</v>
      </c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21.0" customHeight="1">
      <c r="A57" s="153">
        <v>1.71697263E8</v>
      </c>
      <c r="B57" s="153" t="s">
        <v>123</v>
      </c>
      <c r="C57" s="154">
        <v>5.9861978E7</v>
      </c>
      <c r="D57" s="154">
        <v>8.27805832E8</v>
      </c>
      <c r="E57" s="154">
        <v>3414432.0</v>
      </c>
      <c r="F57" s="154">
        <v>3414432.0</v>
      </c>
      <c r="G57" s="154">
        <v>1.3724434E7</v>
      </c>
      <c r="H57" s="154">
        <v>1.736944E7</v>
      </c>
      <c r="I57" s="154">
        <v>2.376906E7</v>
      </c>
      <c r="J57" s="154">
        <v>2.9253576E7</v>
      </c>
      <c r="K57" s="154">
        <v>0.0</v>
      </c>
      <c r="L57" s="154">
        <v>7.613320029E9</v>
      </c>
      <c r="M57" s="154">
        <v>1.506938351E9</v>
      </c>
      <c r="N57" s="154">
        <v>60001.0</v>
      </c>
      <c r="O57" s="153" t="s">
        <v>230</v>
      </c>
      <c r="P57" s="153">
        <v>25.0</v>
      </c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21.0" customHeight="1">
      <c r="A58" s="153">
        <v>1.69672885E8</v>
      </c>
      <c r="B58" s="153" t="s">
        <v>127</v>
      </c>
      <c r="C58" s="154">
        <v>5.8172762E7</v>
      </c>
      <c r="D58" s="154">
        <v>6.45556233E8</v>
      </c>
      <c r="E58" s="154">
        <v>2098079.0</v>
      </c>
      <c r="F58" s="154">
        <v>2098079.0</v>
      </c>
      <c r="G58" s="154">
        <v>1.0265334E7</v>
      </c>
      <c r="H58" s="154">
        <v>9556088.0</v>
      </c>
      <c r="I58" s="154">
        <v>2.181911E7</v>
      </c>
      <c r="J58" s="154">
        <v>2.064472E7</v>
      </c>
      <c r="K58" s="154">
        <v>0.0</v>
      </c>
      <c r="L58" s="154">
        <v>8.464600501E9</v>
      </c>
      <c r="M58" s="154">
        <v>6.55198983E9</v>
      </c>
      <c r="N58" s="154">
        <v>34671.0</v>
      </c>
      <c r="O58" s="153" t="s">
        <v>230</v>
      </c>
      <c r="P58" s="153">
        <v>25.0</v>
      </c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21.0" customHeight="1">
      <c r="A59" s="153">
        <v>2.1489428E7</v>
      </c>
      <c r="B59" s="153" t="s">
        <v>245</v>
      </c>
      <c r="C59" s="154">
        <v>5.7660764E7</v>
      </c>
      <c r="D59" s="154">
        <v>5.8078841E8</v>
      </c>
      <c r="E59" s="154">
        <v>0.0</v>
      </c>
      <c r="F59" s="154">
        <v>0.0</v>
      </c>
      <c r="G59" s="154">
        <v>1.7696647E7</v>
      </c>
      <c r="H59" s="154">
        <v>1083192.0</v>
      </c>
      <c r="I59" s="154">
        <v>1.8483076E7</v>
      </c>
      <c r="J59" s="154">
        <v>1.9532352E7</v>
      </c>
      <c r="K59" s="154">
        <v>0.0</v>
      </c>
      <c r="L59" s="154">
        <v>1.6049999344E10</v>
      </c>
      <c r="M59" s="154">
        <v>9.234571546E9</v>
      </c>
      <c r="N59" s="154">
        <v>44879.0</v>
      </c>
      <c r="O59" s="153" t="s">
        <v>246</v>
      </c>
      <c r="P59" s="153">
        <v>25.0</v>
      </c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21.0" customHeight="1">
      <c r="A60" s="153">
        <v>1.44015947E8</v>
      </c>
      <c r="B60" s="153" t="s">
        <v>247</v>
      </c>
      <c r="C60" s="154">
        <v>5.7172311E7</v>
      </c>
      <c r="D60" s="154">
        <v>3.84257948E8</v>
      </c>
      <c r="E60" s="154">
        <v>0.0</v>
      </c>
      <c r="F60" s="154">
        <v>0.0</v>
      </c>
      <c r="G60" s="154">
        <v>1.1980118E7</v>
      </c>
      <c r="H60" s="154">
        <v>6.426407E7</v>
      </c>
      <c r="I60" s="154">
        <v>2.2314298E7</v>
      </c>
      <c r="J60" s="154">
        <v>4889592.0</v>
      </c>
      <c r="K60" s="154">
        <v>0.0</v>
      </c>
      <c r="L60" s="154">
        <v>1.0435449827E10</v>
      </c>
      <c r="M60" s="154">
        <v>7.87757499E8</v>
      </c>
      <c r="N60" s="154">
        <v>13311.0</v>
      </c>
      <c r="O60" s="153" t="s">
        <v>233</v>
      </c>
      <c r="P60" s="153">
        <v>25.0</v>
      </c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21.0" customHeight="1">
      <c r="A61" s="153">
        <v>1.71827401E8</v>
      </c>
      <c r="B61" s="153" t="s">
        <v>248</v>
      </c>
      <c r="C61" s="154">
        <v>5.6351706E7</v>
      </c>
      <c r="D61" s="154">
        <v>1.530579353E9</v>
      </c>
      <c r="E61" s="154">
        <v>0.0</v>
      </c>
      <c r="F61" s="154">
        <v>0.0</v>
      </c>
      <c r="G61" s="154">
        <v>8346308.0</v>
      </c>
      <c r="H61" s="154">
        <v>4.2447525E7</v>
      </c>
      <c r="I61" s="154">
        <v>1.10599101E8</v>
      </c>
      <c r="J61" s="154">
        <v>1.7409868E7</v>
      </c>
      <c r="K61" s="154">
        <v>0.0</v>
      </c>
      <c r="L61" s="154">
        <v>3.145157052E9</v>
      </c>
      <c r="M61" s="154">
        <v>7.802247764E9</v>
      </c>
      <c r="N61" s="154">
        <v>31891.0</v>
      </c>
      <c r="O61" s="153" t="s">
        <v>249</v>
      </c>
      <c r="P61" s="153">
        <v>25.0</v>
      </c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21.0" customHeight="1">
      <c r="A62" s="153">
        <v>1.71355737E8</v>
      </c>
      <c r="B62" s="153" t="s">
        <v>172</v>
      </c>
      <c r="C62" s="154">
        <v>5.6058626E7</v>
      </c>
      <c r="D62" s="154">
        <v>7.84852676E8</v>
      </c>
      <c r="E62" s="154">
        <v>557984.0</v>
      </c>
      <c r="F62" s="154">
        <v>6680910.0</v>
      </c>
      <c r="G62" s="154">
        <v>7651322.0</v>
      </c>
      <c r="H62" s="154">
        <v>6822941.0</v>
      </c>
      <c r="I62" s="154">
        <v>2.9127972E7</v>
      </c>
      <c r="J62" s="154">
        <v>2.4419216E7</v>
      </c>
      <c r="K62" s="154">
        <v>0.0</v>
      </c>
      <c r="L62" s="154">
        <v>1.4652832683E10</v>
      </c>
      <c r="M62" s="154">
        <v>9.20333354E9</v>
      </c>
      <c r="N62" s="154">
        <v>81533.0</v>
      </c>
      <c r="O62" s="153" t="s">
        <v>240</v>
      </c>
      <c r="P62" s="153">
        <v>25.0</v>
      </c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21.0" customHeight="1">
      <c r="A63" s="153">
        <v>8.1160164E7</v>
      </c>
      <c r="B63" s="153" t="s">
        <v>171</v>
      </c>
      <c r="C63" s="154">
        <v>5.5836886E7</v>
      </c>
      <c r="D63" s="154">
        <v>5.47674605E8</v>
      </c>
      <c r="E63" s="154">
        <v>976017.0</v>
      </c>
      <c r="F63" s="154">
        <v>976017.0</v>
      </c>
      <c r="G63" s="154">
        <v>1.9780401E7</v>
      </c>
      <c r="H63" s="154">
        <v>9.6436926E7</v>
      </c>
      <c r="I63" s="154">
        <v>1.8767636E7</v>
      </c>
      <c r="J63" s="154">
        <v>1.6752707E7</v>
      </c>
      <c r="K63" s="154">
        <v>0.0</v>
      </c>
      <c r="L63" s="154">
        <v>3.3228257223E10</v>
      </c>
      <c r="M63" s="154">
        <v>3.2573992962E10</v>
      </c>
      <c r="N63" s="154">
        <v>53897.0</v>
      </c>
      <c r="O63" s="153" t="s">
        <v>230</v>
      </c>
      <c r="P63" s="153">
        <v>25.0</v>
      </c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21.0" customHeight="1">
      <c r="A64" s="153">
        <v>1.61646318E8</v>
      </c>
      <c r="B64" s="153" t="s">
        <v>126</v>
      </c>
      <c r="C64" s="154">
        <v>5.569214E7</v>
      </c>
      <c r="D64" s="154">
        <v>3.91668097E8</v>
      </c>
      <c r="E64" s="154">
        <v>1150642.0</v>
      </c>
      <c r="F64" s="154">
        <v>1449004.0</v>
      </c>
      <c r="G64" s="154">
        <v>9695324.0</v>
      </c>
      <c r="H64" s="154">
        <v>853896.0</v>
      </c>
      <c r="I64" s="154">
        <v>1.3052275E7</v>
      </c>
      <c r="J64" s="154">
        <v>1.2969703E7</v>
      </c>
      <c r="K64" s="154">
        <v>0.0</v>
      </c>
      <c r="L64" s="154">
        <v>1.7298762389E10</v>
      </c>
      <c r="M64" s="154">
        <v>2.67164973E9</v>
      </c>
      <c r="N64" s="154">
        <v>52066.0</v>
      </c>
      <c r="O64" s="153" t="s">
        <v>230</v>
      </c>
      <c r="P64" s="153">
        <v>25.0</v>
      </c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21.0" customHeight="1">
      <c r="A65" s="153">
        <v>1.38153082E8</v>
      </c>
      <c r="B65" s="153" t="s">
        <v>250</v>
      </c>
      <c r="C65" s="154">
        <v>5.5586906E7</v>
      </c>
      <c r="D65" s="154">
        <v>9.6697441E7</v>
      </c>
      <c r="E65" s="154">
        <v>0.0</v>
      </c>
      <c r="F65" s="154">
        <v>0.0</v>
      </c>
      <c r="G65" s="154">
        <v>4539184.0</v>
      </c>
      <c r="H65" s="154">
        <v>7529105.0</v>
      </c>
      <c r="I65" s="154">
        <v>5329196.0</v>
      </c>
      <c r="J65" s="154">
        <v>1831319.0</v>
      </c>
      <c r="K65" s="154">
        <v>0.0</v>
      </c>
      <c r="L65" s="154">
        <v>8.409815188E9</v>
      </c>
      <c r="M65" s="154">
        <v>4.8806152E8</v>
      </c>
      <c r="N65" s="154">
        <v>49419.0</v>
      </c>
      <c r="O65" s="153" t="s">
        <v>246</v>
      </c>
      <c r="P65" s="153">
        <v>25.0</v>
      </c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21.0" customHeight="1">
      <c r="A66" s="153">
        <v>1.67637163E8</v>
      </c>
      <c r="B66" s="153" t="s">
        <v>251</v>
      </c>
      <c r="C66" s="154">
        <v>5.5436271E7</v>
      </c>
      <c r="D66" s="154">
        <v>5.40371342E8</v>
      </c>
      <c r="E66" s="154">
        <v>364368.0</v>
      </c>
      <c r="F66" s="154">
        <v>506561.0</v>
      </c>
      <c r="G66" s="154">
        <v>1.1110302E7</v>
      </c>
      <c r="H66" s="154">
        <v>3301881.0</v>
      </c>
      <c r="I66" s="154">
        <v>3.0620869E7</v>
      </c>
      <c r="J66" s="154">
        <v>1.0427934E7</v>
      </c>
      <c r="K66" s="154">
        <v>0.0</v>
      </c>
      <c r="L66" s="154">
        <v>1.1388018505E10</v>
      </c>
      <c r="M66" s="154">
        <v>3.8054078167E10</v>
      </c>
      <c r="N66" s="154">
        <v>94701.0</v>
      </c>
      <c r="O66" s="153" t="s">
        <v>230</v>
      </c>
      <c r="P66" s="153">
        <v>25.0</v>
      </c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21.0" customHeight="1">
      <c r="A67" s="153">
        <v>1.45846397E8</v>
      </c>
      <c r="B67" s="153" t="s">
        <v>252</v>
      </c>
      <c r="C67" s="154">
        <v>5.3338971E7</v>
      </c>
      <c r="D67" s="154">
        <v>1.9676974E8</v>
      </c>
      <c r="E67" s="154">
        <v>0.0</v>
      </c>
      <c r="F67" s="154">
        <v>0.0</v>
      </c>
      <c r="G67" s="154">
        <v>7587964.0</v>
      </c>
      <c r="H67" s="154">
        <v>757941.0</v>
      </c>
      <c r="I67" s="154">
        <v>7458780.0</v>
      </c>
      <c r="J67" s="154">
        <v>6026542.0</v>
      </c>
      <c r="K67" s="154">
        <v>0.0</v>
      </c>
      <c r="L67" s="154">
        <v>5.783138094E9</v>
      </c>
      <c r="M67" s="154">
        <v>4.891688978E9</v>
      </c>
      <c r="N67" s="154">
        <v>34289.0</v>
      </c>
      <c r="O67" s="153" t="s">
        <v>233</v>
      </c>
      <c r="P67" s="153">
        <v>25.0</v>
      </c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21.0" customHeight="1">
      <c r="A68" s="153">
        <v>1.36662717E8</v>
      </c>
      <c r="B68" s="153" t="s">
        <v>128</v>
      </c>
      <c r="C68" s="154">
        <v>5.2278441E7</v>
      </c>
      <c r="D68" s="154">
        <v>1.083803066E9</v>
      </c>
      <c r="E68" s="154">
        <v>3395446.0</v>
      </c>
      <c r="F68" s="154">
        <v>3395446.0</v>
      </c>
      <c r="G68" s="154">
        <v>8097804.0</v>
      </c>
      <c r="H68" s="154">
        <v>9074440.0</v>
      </c>
      <c r="I68" s="154">
        <v>2.5810678E7</v>
      </c>
      <c r="J68" s="154">
        <v>4.0838011E7</v>
      </c>
      <c r="K68" s="154">
        <v>0.0</v>
      </c>
      <c r="L68" s="154">
        <v>9.790423022E9</v>
      </c>
      <c r="M68" s="154">
        <v>6.393611637E9</v>
      </c>
      <c r="N68" s="154">
        <v>55329.0</v>
      </c>
      <c r="O68" s="153" t="s">
        <v>244</v>
      </c>
      <c r="P68" s="153">
        <v>25.0</v>
      </c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21.0" customHeight="1">
      <c r="A69" s="153">
        <v>1.76044158E8</v>
      </c>
      <c r="B69" s="153" t="s">
        <v>129</v>
      </c>
      <c r="C69" s="154">
        <v>5.1668726E7</v>
      </c>
      <c r="D69" s="154">
        <v>3.03254558E8</v>
      </c>
      <c r="E69" s="154">
        <v>1469968.0</v>
      </c>
      <c r="F69" s="154">
        <v>1884429.0</v>
      </c>
      <c r="G69" s="154">
        <v>9027708.0</v>
      </c>
      <c r="H69" s="154">
        <v>1192521.0</v>
      </c>
      <c r="I69" s="154">
        <v>6353073.0</v>
      </c>
      <c r="J69" s="154">
        <v>1.1944924E7</v>
      </c>
      <c r="K69" s="154">
        <v>0.0</v>
      </c>
      <c r="L69" s="154">
        <v>2.3518088431E10</v>
      </c>
      <c r="M69" s="154">
        <v>6.214536539E9</v>
      </c>
      <c r="N69" s="154">
        <v>22880.0</v>
      </c>
      <c r="O69" s="153" t="s">
        <v>230</v>
      </c>
      <c r="P69" s="153">
        <v>25.0</v>
      </c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21.0" customHeight="1">
      <c r="A70" s="153">
        <v>7.5750446E7</v>
      </c>
      <c r="B70" s="153" t="s">
        <v>253</v>
      </c>
      <c r="C70" s="154">
        <v>4.9086695E7</v>
      </c>
      <c r="D70" s="154">
        <v>4.7582587E7</v>
      </c>
      <c r="E70" s="154">
        <v>0.0</v>
      </c>
      <c r="F70" s="154">
        <v>0.0</v>
      </c>
      <c r="G70" s="154">
        <v>5872796.0</v>
      </c>
      <c r="H70" s="154">
        <v>1962965.0</v>
      </c>
      <c r="I70" s="154">
        <v>2337799.0</v>
      </c>
      <c r="J70" s="154">
        <v>784318.0</v>
      </c>
      <c r="K70" s="154">
        <v>0.0</v>
      </c>
      <c r="L70" s="154">
        <v>7.631071719E9</v>
      </c>
      <c r="M70" s="154">
        <v>1.60164717E8</v>
      </c>
      <c r="N70" s="154">
        <v>11255.0</v>
      </c>
      <c r="O70" s="153" t="s">
        <v>233</v>
      </c>
      <c r="P70" s="153">
        <v>25.0</v>
      </c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21.0" customHeight="1">
      <c r="A71" s="153">
        <v>1.6901814E8</v>
      </c>
      <c r="B71" s="153" t="s">
        <v>175</v>
      </c>
      <c r="C71" s="154">
        <v>4.8252278E7</v>
      </c>
      <c r="D71" s="154">
        <v>2.4216674E8</v>
      </c>
      <c r="E71" s="154">
        <v>797726.0</v>
      </c>
      <c r="F71" s="154">
        <v>797726.0</v>
      </c>
      <c r="G71" s="154">
        <v>7446547.0</v>
      </c>
      <c r="H71" s="154">
        <v>472672.0</v>
      </c>
      <c r="I71" s="154">
        <v>8216811.0</v>
      </c>
      <c r="J71" s="154">
        <v>7946851.0</v>
      </c>
      <c r="K71" s="154">
        <v>0.0</v>
      </c>
      <c r="L71" s="154">
        <v>1.5220925244E10</v>
      </c>
      <c r="M71" s="154">
        <v>3.650160407E9</v>
      </c>
      <c r="N71" s="154">
        <v>36021.0</v>
      </c>
      <c r="O71" s="153" t="s">
        <v>230</v>
      </c>
      <c r="P71" s="153">
        <v>25.0</v>
      </c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21.0" customHeight="1">
      <c r="A72" s="153">
        <v>1.72029365E8</v>
      </c>
      <c r="B72" s="153" t="s">
        <v>130</v>
      </c>
      <c r="C72" s="154">
        <v>4.8235452E7</v>
      </c>
      <c r="D72" s="154">
        <v>3.39708236E8</v>
      </c>
      <c r="E72" s="154">
        <v>1081841.0</v>
      </c>
      <c r="F72" s="154">
        <v>2103805.0</v>
      </c>
      <c r="G72" s="154">
        <v>1.1778911E7</v>
      </c>
      <c r="H72" s="154">
        <v>1063644.0</v>
      </c>
      <c r="I72" s="154">
        <v>8126110.0</v>
      </c>
      <c r="J72" s="154">
        <v>1.2823622E7</v>
      </c>
      <c r="K72" s="154">
        <v>0.0</v>
      </c>
      <c r="L72" s="154">
        <v>7.259254767E9</v>
      </c>
      <c r="M72" s="154">
        <v>1.799311746E9</v>
      </c>
      <c r="N72" s="154">
        <v>25665.0</v>
      </c>
      <c r="O72" s="153" t="s">
        <v>230</v>
      </c>
      <c r="P72" s="153">
        <v>25.0</v>
      </c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21.0" customHeight="1">
      <c r="A73" s="153">
        <v>1.44114697E8</v>
      </c>
      <c r="B73" s="153" t="s">
        <v>254</v>
      </c>
      <c r="C73" s="154">
        <v>4.7881109E7</v>
      </c>
      <c r="D73" s="154">
        <v>2.01875553E8</v>
      </c>
      <c r="E73" s="154">
        <v>0.0</v>
      </c>
      <c r="F73" s="154">
        <v>0.0</v>
      </c>
      <c r="G73" s="154">
        <v>4023063.0</v>
      </c>
      <c r="H73" s="154">
        <v>682449.0</v>
      </c>
      <c r="I73" s="154">
        <v>7945813.0</v>
      </c>
      <c r="J73" s="154">
        <v>5801472.0</v>
      </c>
      <c r="K73" s="154">
        <v>0.0</v>
      </c>
      <c r="L73" s="154">
        <v>9.961200077E9</v>
      </c>
      <c r="M73" s="154">
        <v>4.278847644E9</v>
      </c>
      <c r="N73" s="154">
        <v>35353.0</v>
      </c>
      <c r="O73" s="153" t="s">
        <v>233</v>
      </c>
      <c r="P73" s="153">
        <v>25.0</v>
      </c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21.0" customHeight="1">
      <c r="A74" s="153">
        <v>1.88240539E8</v>
      </c>
      <c r="B74" s="153" t="s">
        <v>255</v>
      </c>
      <c r="C74" s="154">
        <v>4.765727E7</v>
      </c>
      <c r="D74" s="154">
        <v>3.8795705E7</v>
      </c>
      <c r="E74" s="154">
        <v>0.0</v>
      </c>
      <c r="F74" s="154">
        <v>354634.0</v>
      </c>
      <c r="G74" s="154">
        <v>572545.0</v>
      </c>
      <c r="H74" s="154">
        <v>195787.0</v>
      </c>
      <c r="I74" s="154">
        <v>2150794.0</v>
      </c>
      <c r="J74" s="154">
        <v>843097.0</v>
      </c>
      <c r="K74" s="154">
        <v>0.0</v>
      </c>
      <c r="L74" s="154">
        <v>1.1686864339E10</v>
      </c>
      <c r="M74" s="154">
        <v>1.1472739236E10</v>
      </c>
      <c r="N74" s="154">
        <v>16304.0</v>
      </c>
      <c r="O74" s="153" t="s">
        <v>256</v>
      </c>
      <c r="P74" s="153">
        <v>25.0</v>
      </c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21.0" customHeight="1">
      <c r="A75" s="153">
        <v>1.44043102E8</v>
      </c>
      <c r="B75" s="153" t="s">
        <v>257</v>
      </c>
      <c r="C75" s="154">
        <v>4.7646399E7</v>
      </c>
      <c r="D75" s="154">
        <v>1.94074769E8</v>
      </c>
      <c r="E75" s="154">
        <v>0.0</v>
      </c>
      <c r="F75" s="154">
        <v>0.0</v>
      </c>
      <c r="G75" s="154">
        <v>2455147.0</v>
      </c>
      <c r="H75" s="154">
        <v>2710006.0</v>
      </c>
      <c r="I75" s="154">
        <v>1.5319219E7</v>
      </c>
      <c r="J75" s="154">
        <v>1505973.0</v>
      </c>
      <c r="K75" s="154">
        <v>0.0</v>
      </c>
      <c r="L75" s="154">
        <v>2.095544835E9</v>
      </c>
      <c r="M75" s="154">
        <v>4.60569842E8</v>
      </c>
      <c r="N75" s="154">
        <v>20543.0</v>
      </c>
      <c r="O75" s="153" t="s">
        <v>233</v>
      </c>
      <c r="P75" s="153">
        <v>25.0</v>
      </c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21.0" customHeight="1">
      <c r="A76" s="153">
        <v>1.65728863E8</v>
      </c>
      <c r="B76" s="153" t="s">
        <v>258</v>
      </c>
      <c r="C76" s="154">
        <v>4.6781999E7</v>
      </c>
      <c r="D76" s="154">
        <v>2.44112349E8</v>
      </c>
      <c r="E76" s="154">
        <v>0.0</v>
      </c>
      <c r="F76" s="154">
        <v>0.0</v>
      </c>
      <c r="G76" s="154">
        <v>5418972.0</v>
      </c>
      <c r="H76" s="154">
        <v>959619.0</v>
      </c>
      <c r="I76" s="154">
        <v>7783760.0</v>
      </c>
      <c r="J76" s="154">
        <v>8163562.0</v>
      </c>
      <c r="K76" s="154">
        <v>0.0</v>
      </c>
      <c r="L76" s="154">
        <v>7.261325185E9</v>
      </c>
      <c r="M76" s="154">
        <v>5.39048323E8</v>
      </c>
      <c r="N76" s="154">
        <v>32400.0</v>
      </c>
      <c r="O76" s="153" t="s">
        <v>233</v>
      </c>
      <c r="P76" s="153">
        <v>25.0</v>
      </c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21.0" customHeight="1">
      <c r="A77" s="153">
        <v>1.0047682E8</v>
      </c>
      <c r="B77" s="153" t="s">
        <v>169</v>
      </c>
      <c r="C77" s="154">
        <v>4.6102618E7</v>
      </c>
      <c r="D77" s="154">
        <v>2.5263508E8</v>
      </c>
      <c r="E77" s="154">
        <v>1193689.0</v>
      </c>
      <c r="F77" s="154">
        <v>1193689.0</v>
      </c>
      <c r="G77" s="154">
        <v>1.4937951E7</v>
      </c>
      <c r="H77" s="154">
        <v>180123.0</v>
      </c>
      <c r="I77" s="154">
        <v>6244124.0</v>
      </c>
      <c r="J77" s="154">
        <v>9496377.0</v>
      </c>
      <c r="K77" s="154">
        <v>0.0</v>
      </c>
      <c r="L77" s="154">
        <v>4.1613120186E10</v>
      </c>
      <c r="M77" s="154">
        <v>4.992006293E10</v>
      </c>
      <c r="N77" s="154">
        <v>24177.0</v>
      </c>
      <c r="O77" s="153" t="s">
        <v>230</v>
      </c>
      <c r="P77" s="153">
        <v>25.0</v>
      </c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21.0" customHeight="1">
      <c r="A78" s="153">
        <v>1.65953214E8</v>
      </c>
      <c r="B78" s="153" t="s">
        <v>259</v>
      </c>
      <c r="C78" s="154">
        <v>4.5498322E7</v>
      </c>
      <c r="D78" s="154">
        <v>2.70754723E8</v>
      </c>
      <c r="E78" s="154">
        <v>0.0</v>
      </c>
      <c r="F78" s="154">
        <v>0.0</v>
      </c>
      <c r="G78" s="154">
        <v>4775818.0</v>
      </c>
      <c r="H78" s="154">
        <v>818637.0</v>
      </c>
      <c r="I78" s="154">
        <v>1.0422853E7</v>
      </c>
      <c r="J78" s="154">
        <v>8115268.0</v>
      </c>
      <c r="K78" s="154">
        <v>0.0</v>
      </c>
      <c r="L78" s="154">
        <v>1.1049396295E10</v>
      </c>
      <c r="M78" s="154">
        <v>1.748247641E9</v>
      </c>
      <c r="N78" s="154">
        <v>33780.0</v>
      </c>
      <c r="O78" s="153" t="s">
        <v>233</v>
      </c>
      <c r="P78" s="153">
        <v>25.0</v>
      </c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21.0" customHeight="1">
      <c r="A79" s="153">
        <v>1.71945722E8</v>
      </c>
      <c r="B79" s="153" t="s">
        <v>170</v>
      </c>
      <c r="C79" s="154">
        <v>4.4964065E7</v>
      </c>
      <c r="D79" s="154">
        <v>8.7163586E7</v>
      </c>
      <c r="E79" s="154">
        <v>394925.0</v>
      </c>
      <c r="F79" s="154">
        <v>394925.0</v>
      </c>
      <c r="G79" s="154">
        <v>7442660.0</v>
      </c>
      <c r="H79" s="154">
        <v>122383.0</v>
      </c>
      <c r="I79" s="154">
        <v>3680401.0</v>
      </c>
      <c r="J79" s="154">
        <v>2507497.0</v>
      </c>
      <c r="K79" s="154">
        <v>0.0</v>
      </c>
      <c r="L79" s="154">
        <v>1.3887118989E10</v>
      </c>
      <c r="M79" s="154">
        <v>4.80025022E9</v>
      </c>
      <c r="N79" s="154">
        <v>19649.0</v>
      </c>
      <c r="O79" s="153" t="s">
        <v>230</v>
      </c>
      <c r="P79" s="153">
        <v>25.0</v>
      </c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21.0" customHeight="1">
      <c r="A80" s="153">
        <v>1.4399397E8</v>
      </c>
      <c r="B80" s="153" t="s">
        <v>260</v>
      </c>
      <c r="C80" s="154">
        <v>4.4230397E7</v>
      </c>
      <c r="D80" s="154">
        <v>2.67847245E8</v>
      </c>
      <c r="E80" s="154">
        <v>0.0</v>
      </c>
      <c r="F80" s="154">
        <v>0.0</v>
      </c>
      <c r="G80" s="154">
        <v>5362732.0</v>
      </c>
      <c r="H80" s="154">
        <v>1.1902139E7</v>
      </c>
      <c r="I80" s="154">
        <v>1.6514636E7</v>
      </c>
      <c r="J80" s="154">
        <v>4190495.0</v>
      </c>
      <c r="K80" s="154">
        <v>0.0</v>
      </c>
      <c r="L80" s="154">
        <v>2.770216598E9</v>
      </c>
      <c r="M80" s="154">
        <v>9.8888026E7</v>
      </c>
      <c r="N80" s="154">
        <v>29401.0</v>
      </c>
      <c r="O80" s="153" t="s">
        <v>233</v>
      </c>
      <c r="P80" s="153">
        <v>25.0</v>
      </c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21.0" customHeight="1">
      <c r="A81" s="153">
        <v>8.8110635E7</v>
      </c>
      <c r="B81" s="153" t="s">
        <v>261</v>
      </c>
      <c r="C81" s="154">
        <v>4.3856187E7</v>
      </c>
      <c r="D81" s="154">
        <v>3.6234973E7</v>
      </c>
      <c r="E81" s="154">
        <v>0.0</v>
      </c>
      <c r="F81" s="154">
        <v>0.0</v>
      </c>
      <c r="G81" s="154">
        <v>6531506.0</v>
      </c>
      <c r="H81" s="154">
        <v>32907.0</v>
      </c>
      <c r="I81" s="154">
        <v>941976.0</v>
      </c>
      <c r="J81" s="154">
        <v>1302977.0</v>
      </c>
      <c r="K81" s="154">
        <v>0.0</v>
      </c>
      <c r="L81" s="154">
        <v>9.057569209E9</v>
      </c>
      <c r="M81" s="154">
        <v>1.05797584E8</v>
      </c>
      <c r="N81" s="154">
        <v>13106.0</v>
      </c>
      <c r="O81" s="153" t="s">
        <v>246</v>
      </c>
      <c r="P81" s="153">
        <v>25.0</v>
      </c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21.0" customHeight="1">
      <c r="A82" s="153">
        <v>1.67863288E8</v>
      </c>
      <c r="B82" s="153" t="s">
        <v>262</v>
      </c>
      <c r="C82" s="154">
        <v>4.3502593E7</v>
      </c>
      <c r="D82" s="154">
        <v>1.31331874E8</v>
      </c>
      <c r="E82" s="154">
        <v>0.0</v>
      </c>
      <c r="F82" s="154">
        <v>0.0</v>
      </c>
      <c r="G82" s="154">
        <v>6375488.0</v>
      </c>
      <c r="H82" s="154">
        <v>1542021.0</v>
      </c>
      <c r="I82" s="154">
        <v>6804637.0</v>
      </c>
      <c r="J82" s="154">
        <v>2893886.0</v>
      </c>
      <c r="K82" s="154">
        <v>0.0</v>
      </c>
      <c r="L82" s="154">
        <v>9.770770684E9</v>
      </c>
      <c r="M82" s="154">
        <v>2.405594729E9</v>
      </c>
      <c r="N82" s="154">
        <v>41172.0</v>
      </c>
      <c r="O82" s="153" t="s">
        <v>263</v>
      </c>
      <c r="P82" s="153">
        <v>25.0</v>
      </c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21.0" customHeight="1">
      <c r="A83" s="153">
        <v>5.2078022E7</v>
      </c>
      <c r="B83" s="153" t="s">
        <v>177</v>
      </c>
      <c r="C83" s="154">
        <v>4.3235676E7</v>
      </c>
      <c r="D83" s="154">
        <v>1.496697E8</v>
      </c>
      <c r="E83" s="154">
        <v>366100.0</v>
      </c>
      <c r="F83" s="154">
        <v>366100.0</v>
      </c>
      <c r="G83" s="154">
        <v>1.0046843E7</v>
      </c>
      <c r="H83" s="154">
        <v>2862020.0</v>
      </c>
      <c r="I83" s="154">
        <v>5415778.0</v>
      </c>
      <c r="J83" s="154">
        <v>4612566.0</v>
      </c>
      <c r="K83" s="154">
        <v>0.0</v>
      </c>
      <c r="L83" s="154">
        <v>1.5201746334E10</v>
      </c>
      <c r="M83" s="154">
        <v>2.0592843013E10</v>
      </c>
      <c r="N83" s="154">
        <v>24082.0</v>
      </c>
      <c r="O83" s="153" t="s">
        <v>230</v>
      </c>
      <c r="P83" s="153">
        <v>25.0</v>
      </c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21.0" customHeight="1">
      <c r="A84" s="153">
        <v>1.18148996E8</v>
      </c>
      <c r="B84" s="153" t="s">
        <v>264</v>
      </c>
      <c r="C84" s="154">
        <v>4.3101324E7</v>
      </c>
      <c r="D84" s="154">
        <v>1.31377761E8</v>
      </c>
      <c r="E84" s="154">
        <v>0.0</v>
      </c>
      <c r="F84" s="154">
        <v>0.0</v>
      </c>
      <c r="G84" s="154">
        <v>4159050.0</v>
      </c>
      <c r="H84" s="154">
        <v>2586876.0</v>
      </c>
      <c r="I84" s="154">
        <v>8574861.0</v>
      </c>
      <c r="J84" s="154">
        <v>1907623.0</v>
      </c>
      <c r="K84" s="154">
        <v>0.0</v>
      </c>
      <c r="L84" s="154">
        <v>5.898755024E9</v>
      </c>
      <c r="M84" s="154">
        <v>2.3619151E8</v>
      </c>
      <c r="N84" s="154">
        <v>11527.0</v>
      </c>
      <c r="O84" s="153" t="s">
        <v>265</v>
      </c>
      <c r="P84" s="153">
        <v>25.0</v>
      </c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21.0" customHeight="1">
      <c r="A85" s="153">
        <v>1.44088316E8</v>
      </c>
      <c r="B85" s="153" t="s">
        <v>266</v>
      </c>
      <c r="C85" s="154">
        <v>4.2997277E7</v>
      </c>
      <c r="D85" s="154">
        <v>4.2555014E7</v>
      </c>
      <c r="E85" s="154">
        <v>0.0</v>
      </c>
      <c r="F85" s="154">
        <v>0.0</v>
      </c>
      <c r="G85" s="154">
        <v>4390339.0</v>
      </c>
      <c r="H85" s="154">
        <v>456983.0</v>
      </c>
      <c r="I85" s="154">
        <v>939021.0</v>
      </c>
      <c r="J85" s="154">
        <v>1357682.0</v>
      </c>
      <c r="K85" s="154">
        <v>0.0</v>
      </c>
      <c r="L85" s="154">
        <v>1.2349764671E10</v>
      </c>
      <c r="M85" s="154">
        <v>3.21E9</v>
      </c>
      <c r="N85" s="154">
        <v>13484.0</v>
      </c>
      <c r="O85" s="153" t="s">
        <v>267</v>
      </c>
      <c r="P85" s="153">
        <v>25.0</v>
      </c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21.0" customHeight="1">
      <c r="A86" s="153">
        <v>1.71821621E8</v>
      </c>
      <c r="B86" s="153" t="s">
        <v>268</v>
      </c>
      <c r="C86" s="154">
        <v>4.1309052E7</v>
      </c>
      <c r="D86" s="154">
        <v>1.09704572E8</v>
      </c>
      <c r="E86" s="154">
        <v>0.0</v>
      </c>
      <c r="F86" s="154">
        <v>0.0</v>
      </c>
      <c r="G86" s="154">
        <v>6107237.0</v>
      </c>
      <c r="H86" s="154">
        <v>1438724.0</v>
      </c>
      <c r="I86" s="154">
        <v>4837171.0</v>
      </c>
      <c r="J86" s="154">
        <v>3016913.0</v>
      </c>
      <c r="K86" s="154">
        <v>0.0</v>
      </c>
      <c r="L86" s="154">
        <v>1.73725704E9</v>
      </c>
      <c r="M86" s="154">
        <v>1007394.0</v>
      </c>
      <c r="N86" s="154">
        <v>3428.0</v>
      </c>
      <c r="O86" s="153" t="s">
        <v>233</v>
      </c>
      <c r="P86" s="153">
        <v>25.0</v>
      </c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21.0" customHeight="1">
      <c r="A87" s="153">
        <v>1.75650426E8</v>
      </c>
      <c r="B87" s="153" t="s">
        <v>190</v>
      </c>
      <c r="C87" s="154">
        <v>4.0286529E7</v>
      </c>
      <c r="D87" s="154">
        <v>2.31662324E8</v>
      </c>
      <c r="E87" s="154">
        <v>94898.0</v>
      </c>
      <c r="F87" s="154">
        <v>598526.0</v>
      </c>
      <c r="G87" s="154">
        <v>8825839.0</v>
      </c>
      <c r="H87" s="154">
        <v>6331262.0</v>
      </c>
      <c r="I87" s="154">
        <v>9128081.0</v>
      </c>
      <c r="J87" s="154">
        <v>6220591.0</v>
      </c>
      <c r="K87" s="154">
        <v>0.0</v>
      </c>
      <c r="L87" s="154">
        <v>6.479807803E9</v>
      </c>
      <c r="M87" s="154">
        <v>7.080476892E9</v>
      </c>
      <c r="N87" s="154">
        <v>19680.0</v>
      </c>
      <c r="O87" s="153" t="s">
        <v>230</v>
      </c>
      <c r="P87" s="153">
        <v>25.0</v>
      </c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21.0" customHeight="1">
      <c r="A88" s="153">
        <v>1.44725652E8</v>
      </c>
      <c r="B88" s="153" t="s">
        <v>269</v>
      </c>
      <c r="C88" s="154">
        <v>3.784937E7</v>
      </c>
      <c r="D88" s="154">
        <v>2.2602338E8</v>
      </c>
      <c r="E88" s="154">
        <v>0.0</v>
      </c>
      <c r="F88" s="154">
        <v>0.0</v>
      </c>
      <c r="G88" s="154">
        <v>4769892.0</v>
      </c>
      <c r="H88" s="154">
        <v>1298393.0</v>
      </c>
      <c r="I88" s="154">
        <v>1.3170708E7</v>
      </c>
      <c r="J88" s="154">
        <v>4632625.0</v>
      </c>
      <c r="K88" s="154">
        <v>0.0</v>
      </c>
      <c r="L88" s="154">
        <v>1.3134810772E10</v>
      </c>
      <c r="M88" s="154">
        <v>5.025275405E9</v>
      </c>
      <c r="N88" s="154">
        <v>69505.0</v>
      </c>
      <c r="O88" s="153" t="s">
        <v>233</v>
      </c>
      <c r="P88" s="153">
        <v>25.0</v>
      </c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21.0" customHeight="1">
      <c r="A89" s="153">
        <v>1.43328412E8</v>
      </c>
      <c r="B89" s="153" t="s">
        <v>270</v>
      </c>
      <c r="C89" s="154">
        <v>3.7571999E7</v>
      </c>
      <c r="D89" s="154">
        <v>3.24956536E8</v>
      </c>
      <c r="E89" s="154">
        <v>0.0</v>
      </c>
      <c r="F89" s="154">
        <v>0.0</v>
      </c>
      <c r="G89" s="154">
        <v>5751734.0</v>
      </c>
      <c r="H89" s="154">
        <v>2657791.0</v>
      </c>
      <c r="I89" s="154">
        <v>2.4253096E7</v>
      </c>
      <c r="J89" s="154">
        <v>3147544.0</v>
      </c>
      <c r="K89" s="154">
        <v>0.0</v>
      </c>
      <c r="L89" s="154">
        <v>1.0062343813E10</v>
      </c>
      <c r="M89" s="154">
        <v>8.501035607E9</v>
      </c>
      <c r="N89" s="154">
        <v>30077.0</v>
      </c>
      <c r="O89" s="153" t="s">
        <v>271</v>
      </c>
      <c r="P89" s="153">
        <v>25.0</v>
      </c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21.0" customHeight="1">
      <c r="A90" s="153">
        <v>6.6847214E7</v>
      </c>
      <c r="B90" s="153" t="s">
        <v>184</v>
      </c>
      <c r="C90" s="154">
        <v>3.5068538E7</v>
      </c>
      <c r="D90" s="154">
        <v>1.67277187E8</v>
      </c>
      <c r="E90" s="154">
        <v>126997.0</v>
      </c>
      <c r="F90" s="154">
        <v>529851.0</v>
      </c>
      <c r="G90" s="154">
        <v>9606333.0</v>
      </c>
      <c r="H90" s="154">
        <v>264076.0</v>
      </c>
      <c r="I90" s="154">
        <v>4992486.0</v>
      </c>
      <c r="J90" s="154">
        <v>5793707.0</v>
      </c>
      <c r="K90" s="154">
        <v>0.0</v>
      </c>
      <c r="L90" s="154">
        <v>1.4528997285E10</v>
      </c>
      <c r="M90" s="154">
        <v>2.0029134171E10</v>
      </c>
      <c r="N90" s="154">
        <v>8936.0</v>
      </c>
      <c r="O90" s="153" t="s">
        <v>230</v>
      </c>
      <c r="P90" s="153">
        <v>25.0</v>
      </c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21.0" customHeight="1">
      <c r="A91" s="153">
        <v>1.44059309E8</v>
      </c>
      <c r="B91" s="153" t="s">
        <v>272</v>
      </c>
      <c r="C91" s="154">
        <v>3.4577836E7</v>
      </c>
      <c r="D91" s="154">
        <v>2.0386512E7</v>
      </c>
      <c r="E91" s="154">
        <v>0.0</v>
      </c>
      <c r="F91" s="154">
        <v>0.0</v>
      </c>
      <c r="G91" s="154">
        <v>1.0560714E7</v>
      </c>
      <c r="H91" s="154">
        <v>561062.0</v>
      </c>
      <c r="I91" s="154">
        <v>819120.0</v>
      </c>
      <c r="J91" s="154">
        <v>296071.0</v>
      </c>
      <c r="K91" s="154">
        <v>0.0</v>
      </c>
      <c r="L91" s="154">
        <v>4.106483621E9</v>
      </c>
      <c r="M91" s="154">
        <v>719086.0</v>
      </c>
      <c r="N91" s="154">
        <v>2538.0</v>
      </c>
      <c r="O91" s="153" t="s">
        <v>239</v>
      </c>
      <c r="P91" s="153">
        <v>25.0</v>
      </c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21.0" customHeight="1">
      <c r="A92" s="153">
        <v>1.75314255E8</v>
      </c>
      <c r="B92" s="153" t="s">
        <v>273</v>
      </c>
      <c r="C92" s="154">
        <v>3.4542867E7</v>
      </c>
      <c r="D92" s="154">
        <v>2.5098559E7</v>
      </c>
      <c r="E92" s="154">
        <v>0.0</v>
      </c>
      <c r="F92" s="154">
        <v>176072.0</v>
      </c>
      <c r="G92" s="154">
        <v>4234211.0</v>
      </c>
      <c r="H92" s="154">
        <v>281976.0</v>
      </c>
      <c r="I92" s="154">
        <v>1351099.0</v>
      </c>
      <c r="J92" s="154">
        <v>551259.0</v>
      </c>
      <c r="K92" s="154">
        <v>0.0</v>
      </c>
      <c r="L92" s="154">
        <v>4.564694037E9</v>
      </c>
      <c r="M92" s="154">
        <v>1.22435684E8</v>
      </c>
      <c r="N92" s="154">
        <v>9130.0</v>
      </c>
      <c r="O92" s="153" t="s">
        <v>271</v>
      </c>
      <c r="P92" s="153">
        <v>25.0</v>
      </c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21.0" customHeight="1">
      <c r="A93" s="155">
        <v>1.73621774E8</v>
      </c>
      <c r="B93" s="155" t="s">
        <v>274</v>
      </c>
      <c r="C93" s="156">
        <v>3.406568E7</v>
      </c>
      <c r="D93" s="156">
        <v>6546750.0</v>
      </c>
      <c r="E93" s="156">
        <v>0.0</v>
      </c>
      <c r="F93" s="156">
        <v>0.0</v>
      </c>
      <c r="G93" s="156">
        <v>1069956.0</v>
      </c>
      <c r="H93" s="156">
        <v>260504.0</v>
      </c>
      <c r="I93" s="156">
        <v>297095.0</v>
      </c>
      <c r="J93" s="156">
        <v>124976.0</v>
      </c>
      <c r="K93" s="156">
        <v>0.0</v>
      </c>
      <c r="L93" s="156">
        <v>1.1659974045E10</v>
      </c>
      <c r="M93" s="156">
        <v>1.2493697171E10</v>
      </c>
      <c r="N93" s="156">
        <v>5340.0</v>
      </c>
      <c r="O93" s="155" t="s">
        <v>237</v>
      </c>
      <c r="P93" s="155">
        <v>24.0</v>
      </c>
      <c r="Q93" s="155"/>
      <c r="R93" s="155"/>
      <c r="S93" s="153"/>
      <c r="T93" s="153"/>
      <c r="U93" s="153"/>
      <c r="V93" s="153"/>
      <c r="W93" s="153"/>
      <c r="X93" s="153"/>
      <c r="Y93" s="153"/>
      <c r="Z93" s="153"/>
    </row>
    <row r="94" ht="21.0" customHeight="1">
      <c r="A94" s="153">
        <v>1.43862597E8</v>
      </c>
      <c r="B94" s="153" t="s">
        <v>275</v>
      </c>
      <c r="C94" s="154">
        <v>3.3968021E7</v>
      </c>
      <c r="D94" s="154">
        <v>1268696.0</v>
      </c>
      <c r="E94" s="154">
        <v>0.0</v>
      </c>
      <c r="F94" s="154">
        <v>0.0</v>
      </c>
      <c r="G94" s="154">
        <v>1071323.0</v>
      </c>
      <c r="H94" s="154">
        <v>77260.0</v>
      </c>
      <c r="I94" s="154">
        <v>110176.0</v>
      </c>
      <c r="J94" s="154">
        <v>1207.0</v>
      </c>
      <c r="K94" s="154">
        <v>0.0</v>
      </c>
      <c r="L94" s="154">
        <v>5.161603641E9</v>
      </c>
      <c r="M94" s="154">
        <v>0.0</v>
      </c>
      <c r="N94" s="154">
        <v>2256.0</v>
      </c>
      <c r="O94" s="153" t="s">
        <v>233</v>
      </c>
      <c r="P94" s="153">
        <v>25.0</v>
      </c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21.0" customHeight="1">
      <c r="A95" s="153">
        <v>1.72219261E8</v>
      </c>
      <c r="B95" s="153" t="s">
        <v>276</v>
      </c>
      <c r="C95" s="154">
        <v>3.3769899E7</v>
      </c>
      <c r="D95" s="154">
        <v>1.0906867E7</v>
      </c>
      <c r="E95" s="154">
        <v>0.0</v>
      </c>
      <c r="F95" s="154">
        <v>0.0</v>
      </c>
      <c r="G95" s="154">
        <v>6169941.0</v>
      </c>
      <c r="H95" s="154">
        <v>80005.0</v>
      </c>
      <c r="I95" s="154">
        <v>232078.0</v>
      </c>
      <c r="J95" s="154">
        <v>419847.0</v>
      </c>
      <c r="K95" s="154">
        <v>0.0</v>
      </c>
      <c r="L95" s="154">
        <v>5.269419702E9</v>
      </c>
      <c r="M95" s="154">
        <v>2.75E7</v>
      </c>
      <c r="N95" s="154">
        <v>4060.0</v>
      </c>
      <c r="O95" s="153" t="s">
        <v>277</v>
      </c>
      <c r="P95" s="153">
        <v>25.0</v>
      </c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21.0" customHeight="1">
      <c r="A96" s="153">
        <v>6.1881204E7</v>
      </c>
      <c r="B96" s="153" t="s">
        <v>278</v>
      </c>
      <c r="C96" s="154">
        <v>3.2521761E7</v>
      </c>
      <c r="D96" s="154">
        <v>6.4330239E7</v>
      </c>
      <c r="E96" s="154">
        <v>0.0</v>
      </c>
      <c r="F96" s="154">
        <v>32.0</v>
      </c>
      <c r="G96" s="154">
        <v>1.0290878E7</v>
      </c>
      <c r="H96" s="154">
        <v>729778.0</v>
      </c>
      <c r="I96" s="154">
        <v>1791230.0</v>
      </c>
      <c r="J96" s="154">
        <v>2261007.0</v>
      </c>
      <c r="K96" s="154">
        <v>0.0</v>
      </c>
      <c r="L96" s="154">
        <v>1.8925068652E10</v>
      </c>
      <c r="M96" s="154">
        <v>2.3359006903E10</v>
      </c>
      <c r="N96" s="154">
        <v>11608.0</v>
      </c>
      <c r="O96" s="153" t="s">
        <v>267</v>
      </c>
      <c r="P96" s="153">
        <v>25.0</v>
      </c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21.0" customHeight="1">
      <c r="A97" s="153">
        <v>1.81734011E8</v>
      </c>
      <c r="B97" s="153" t="s">
        <v>132</v>
      </c>
      <c r="C97" s="154">
        <v>3.2392119E7</v>
      </c>
      <c r="D97" s="154">
        <v>1.58474683E8</v>
      </c>
      <c r="E97" s="154">
        <v>830961.0</v>
      </c>
      <c r="F97" s="154">
        <v>830961.0</v>
      </c>
      <c r="G97" s="154">
        <v>5248935.0</v>
      </c>
      <c r="H97" s="154">
        <v>680829.0</v>
      </c>
      <c r="I97" s="154">
        <v>5487971.0</v>
      </c>
      <c r="J97" s="154">
        <v>4977658.0</v>
      </c>
      <c r="K97" s="154">
        <v>0.0</v>
      </c>
      <c r="L97" s="154">
        <v>1.0199728242E10</v>
      </c>
      <c r="M97" s="154">
        <v>2.99070086E8</v>
      </c>
      <c r="N97" s="154">
        <v>13827.0</v>
      </c>
      <c r="O97" s="153" t="s">
        <v>230</v>
      </c>
      <c r="P97" s="153">
        <v>25.0</v>
      </c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21.0" customHeight="1">
      <c r="A98" s="153">
        <v>1.86763477E8</v>
      </c>
      <c r="B98" s="153" t="s">
        <v>189</v>
      </c>
      <c r="C98" s="154">
        <v>3.1317668E7</v>
      </c>
      <c r="D98" s="154">
        <v>1.8850858E7</v>
      </c>
      <c r="E98" s="154">
        <v>74866.0</v>
      </c>
      <c r="F98" s="154">
        <v>160185.0</v>
      </c>
      <c r="G98" s="154">
        <v>3943868.0</v>
      </c>
      <c r="H98" s="154">
        <v>487342.0</v>
      </c>
      <c r="I98" s="154">
        <v>838469.0</v>
      </c>
      <c r="J98" s="154">
        <v>385231.0</v>
      </c>
      <c r="K98" s="154">
        <v>0.0</v>
      </c>
      <c r="L98" s="154">
        <v>4.580136135E9</v>
      </c>
      <c r="M98" s="154">
        <v>3.8228E8</v>
      </c>
      <c r="N98" s="154">
        <v>15104.0</v>
      </c>
      <c r="O98" s="153" t="s">
        <v>230</v>
      </c>
      <c r="P98" s="153">
        <v>25.0</v>
      </c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21.0" customHeight="1">
      <c r="A99" s="153">
        <v>1.48890128E8</v>
      </c>
      <c r="B99" s="153" t="s">
        <v>279</v>
      </c>
      <c r="C99" s="154">
        <v>3.0964283E7</v>
      </c>
      <c r="D99" s="154">
        <v>2.7264129E7</v>
      </c>
      <c r="E99" s="154">
        <v>0.0</v>
      </c>
      <c r="F99" s="154">
        <v>18623.0</v>
      </c>
      <c r="G99" s="154">
        <v>4665688.0</v>
      </c>
      <c r="H99" s="154">
        <v>282207.0</v>
      </c>
      <c r="I99" s="154">
        <v>1744694.0</v>
      </c>
      <c r="J99" s="154">
        <v>383599.0</v>
      </c>
      <c r="K99" s="154">
        <v>0.0</v>
      </c>
      <c r="L99" s="154">
        <v>8.407765769E9</v>
      </c>
      <c r="M99" s="154">
        <v>4.011433363E9</v>
      </c>
      <c r="N99" s="154">
        <v>6523.0</v>
      </c>
      <c r="O99" s="153" t="s">
        <v>246</v>
      </c>
      <c r="P99" s="153">
        <v>25.0</v>
      </c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21.0" customHeight="1">
      <c r="A100" s="153">
        <v>1.1363981E7</v>
      </c>
      <c r="B100" s="153" t="s">
        <v>183</v>
      </c>
      <c r="C100" s="154">
        <v>3.0714274E7</v>
      </c>
      <c r="D100" s="154">
        <v>2.20945736E8</v>
      </c>
      <c r="E100" s="154">
        <v>193109.0</v>
      </c>
      <c r="F100" s="154">
        <v>193109.0</v>
      </c>
      <c r="G100" s="154">
        <v>9077119.0</v>
      </c>
      <c r="H100" s="154">
        <v>912260.0</v>
      </c>
      <c r="I100" s="154">
        <v>8088591.0</v>
      </c>
      <c r="J100" s="154">
        <v>6884882.0</v>
      </c>
      <c r="K100" s="154">
        <v>0.0</v>
      </c>
      <c r="L100" s="154">
        <v>1.1712066656E10</v>
      </c>
      <c r="M100" s="154">
        <v>1.529163898E10</v>
      </c>
      <c r="N100" s="154">
        <v>12482.0</v>
      </c>
      <c r="O100" s="153" t="s">
        <v>230</v>
      </c>
      <c r="P100" s="153">
        <v>25.0</v>
      </c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21.0" customHeight="1">
      <c r="A101" s="153">
        <v>1.72508036E8</v>
      </c>
      <c r="B101" s="153" t="s">
        <v>188</v>
      </c>
      <c r="C101" s="154">
        <v>2.9643351E7</v>
      </c>
      <c r="D101" s="154">
        <v>1.2759788E7</v>
      </c>
      <c r="E101" s="154">
        <v>95753.0</v>
      </c>
      <c r="F101" s="154">
        <v>95753.0</v>
      </c>
      <c r="G101" s="154">
        <v>1133748.0</v>
      </c>
      <c r="H101" s="154">
        <v>249903.0</v>
      </c>
      <c r="I101" s="154">
        <v>187546.0</v>
      </c>
      <c r="J101" s="154">
        <v>535688.0</v>
      </c>
      <c r="K101" s="154">
        <v>0.0</v>
      </c>
      <c r="L101" s="154">
        <v>6.758334299E9</v>
      </c>
      <c r="M101" s="154">
        <v>6.385134608E9</v>
      </c>
      <c r="N101" s="154">
        <v>2501.0</v>
      </c>
      <c r="O101" s="153" t="s">
        <v>230</v>
      </c>
      <c r="P101" s="153">
        <v>25.0</v>
      </c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21.0" customHeight="1">
      <c r="A102" s="153">
        <v>6.3513788E7</v>
      </c>
      <c r="B102" s="153" t="s">
        <v>280</v>
      </c>
      <c r="C102" s="154">
        <v>2.961012E7</v>
      </c>
      <c r="D102" s="154">
        <v>3.5069308E7</v>
      </c>
      <c r="E102" s="154">
        <v>0.0</v>
      </c>
      <c r="F102" s="154">
        <v>36.0</v>
      </c>
      <c r="G102" s="154">
        <v>8961628.0</v>
      </c>
      <c r="H102" s="154">
        <v>22581.0</v>
      </c>
      <c r="I102" s="154">
        <v>1179501.0</v>
      </c>
      <c r="J102" s="154">
        <v>1151874.0</v>
      </c>
      <c r="K102" s="154">
        <v>0.0</v>
      </c>
      <c r="L102" s="154">
        <v>1.9147720458E10</v>
      </c>
      <c r="M102" s="154">
        <v>2.3487597762E10</v>
      </c>
      <c r="N102" s="154">
        <v>8706.0</v>
      </c>
      <c r="O102" s="153" t="s">
        <v>267</v>
      </c>
      <c r="P102" s="153">
        <v>25.0</v>
      </c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21.0" customHeight="1">
      <c r="A103" s="153">
        <v>1.44094596E8</v>
      </c>
      <c r="B103" s="153" t="s">
        <v>281</v>
      </c>
      <c r="C103" s="154">
        <v>2.9396534E7</v>
      </c>
      <c r="D103" s="154">
        <v>8.6221516E7</v>
      </c>
      <c r="E103" s="154">
        <v>0.0</v>
      </c>
      <c r="F103" s="154">
        <v>0.0</v>
      </c>
      <c r="G103" s="154">
        <v>3041212.0</v>
      </c>
      <c r="H103" s="154">
        <v>1.3616531E7</v>
      </c>
      <c r="I103" s="154">
        <v>5274309.0</v>
      </c>
      <c r="J103" s="154">
        <v>1449625.0</v>
      </c>
      <c r="K103" s="154">
        <v>0.0</v>
      </c>
      <c r="L103" s="154">
        <v>5.357258082E9</v>
      </c>
      <c r="M103" s="154">
        <v>1.2391473E7</v>
      </c>
      <c r="N103" s="154">
        <v>9785.0</v>
      </c>
      <c r="O103" s="153" t="s">
        <v>233</v>
      </c>
      <c r="P103" s="153">
        <v>25.0</v>
      </c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21.0" customHeight="1">
      <c r="A104" s="155">
        <v>9.716129E7</v>
      </c>
      <c r="B104" s="155" t="s">
        <v>282</v>
      </c>
      <c r="C104" s="156">
        <v>2.9256308E7</v>
      </c>
      <c r="D104" s="156">
        <v>663448.0</v>
      </c>
      <c r="E104" s="156">
        <v>0.0</v>
      </c>
      <c r="F104" s="156">
        <v>0.0</v>
      </c>
      <c r="G104" s="156">
        <v>580431.0</v>
      </c>
      <c r="H104" s="156">
        <v>3771.0</v>
      </c>
      <c r="I104" s="156">
        <v>10201.0</v>
      </c>
      <c r="J104" s="156">
        <v>27973.0</v>
      </c>
      <c r="K104" s="156">
        <v>0.0</v>
      </c>
      <c r="L104" s="156">
        <v>8.722261389E9</v>
      </c>
      <c r="M104" s="156">
        <v>7.056032619E9</v>
      </c>
      <c r="N104" s="156">
        <v>1324.0</v>
      </c>
      <c r="O104" s="155" t="s">
        <v>237</v>
      </c>
      <c r="P104" s="155">
        <v>24.0</v>
      </c>
      <c r="Q104" s="155"/>
      <c r="R104" s="155"/>
      <c r="S104" s="153"/>
      <c r="T104" s="153"/>
      <c r="U104" s="153"/>
      <c r="V104" s="153"/>
      <c r="W104" s="153"/>
      <c r="X104" s="153"/>
      <c r="Y104" s="153"/>
      <c r="Z104" s="153"/>
    </row>
    <row r="105" ht="21.0" customHeight="1">
      <c r="A105" s="155">
        <v>1.72587132E8</v>
      </c>
      <c r="B105" s="155" t="s">
        <v>283</v>
      </c>
      <c r="C105" s="156">
        <v>2.8960113E7</v>
      </c>
      <c r="D105" s="156">
        <v>8334003.0</v>
      </c>
      <c r="E105" s="156">
        <v>0.0</v>
      </c>
      <c r="F105" s="156">
        <v>0.0</v>
      </c>
      <c r="G105" s="156">
        <v>1608532.0</v>
      </c>
      <c r="H105" s="156">
        <v>280268.0</v>
      </c>
      <c r="I105" s="156">
        <v>476069.0</v>
      </c>
      <c r="J105" s="156">
        <v>160265.0</v>
      </c>
      <c r="K105" s="156">
        <v>0.0</v>
      </c>
      <c r="L105" s="156">
        <v>1.712429029E10</v>
      </c>
      <c r="M105" s="156">
        <v>1.4480530063E10</v>
      </c>
      <c r="N105" s="156">
        <v>4541.0</v>
      </c>
      <c r="O105" s="155" t="s">
        <v>271</v>
      </c>
      <c r="P105" s="155">
        <v>23.0</v>
      </c>
      <c r="Q105" s="155"/>
      <c r="R105" s="155"/>
      <c r="S105" s="153"/>
      <c r="T105" s="153"/>
      <c r="U105" s="153"/>
      <c r="V105" s="153"/>
      <c r="W105" s="153"/>
      <c r="X105" s="153"/>
      <c r="Y105" s="153"/>
      <c r="Z105" s="153"/>
    </row>
    <row r="106" ht="21.0" customHeight="1">
      <c r="A106" s="153">
        <v>7.7474302E7</v>
      </c>
      <c r="B106" s="153" t="s">
        <v>284</v>
      </c>
      <c r="C106" s="154">
        <v>2.8725074E7</v>
      </c>
      <c r="D106" s="154">
        <v>3.8237111E7</v>
      </c>
      <c r="E106" s="154">
        <v>0.0</v>
      </c>
      <c r="F106" s="154">
        <v>36.0</v>
      </c>
      <c r="G106" s="154">
        <v>4747649.0</v>
      </c>
      <c r="H106" s="154">
        <v>164935.0</v>
      </c>
      <c r="I106" s="154">
        <v>925311.0</v>
      </c>
      <c r="J106" s="154">
        <v>1410659.0</v>
      </c>
      <c r="K106" s="154">
        <v>0.0</v>
      </c>
      <c r="L106" s="154">
        <v>1.5728713194E10</v>
      </c>
      <c r="M106" s="154">
        <v>2.0471393693E10</v>
      </c>
      <c r="N106" s="154">
        <v>9540.0</v>
      </c>
      <c r="O106" s="153" t="s">
        <v>267</v>
      </c>
      <c r="P106" s="153">
        <v>25.0</v>
      </c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21.0" customHeight="1">
      <c r="A107" s="153">
        <v>1.39587334E8</v>
      </c>
      <c r="B107" s="153" t="s">
        <v>285</v>
      </c>
      <c r="C107" s="154">
        <v>2.8468557E7</v>
      </c>
      <c r="D107" s="154">
        <v>5214500.0</v>
      </c>
      <c r="E107" s="154">
        <v>0.0</v>
      </c>
      <c r="F107" s="154">
        <v>0.0</v>
      </c>
      <c r="G107" s="154">
        <v>1838382.0</v>
      </c>
      <c r="H107" s="154">
        <v>48721.0</v>
      </c>
      <c r="I107" s="154">
        <v>299500.0</v>
      </c>
      <c r="J107" s="154">
        <v>65886.0</v>
      </c>
      <c r="K107" s="154">
        <v>0.0</v>
      </c>
      <c r="L107" s="154">
        <v>3.346980651E9</v>
      </c>
      <c r="M107" s="154">
        <v>1154275.0</v>
      </c>
      <c r="N107" s="154">
        <v>2568.0</v>
      </c>
      <c r="O107" s="153" t="s">
        <v>233</v>
      </c>
      <c r="P107" s="153">
        <v>25.0</v>
      </c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21.0" customHeight="1">
      <c r="A108" s="153">
        <v>7.1189562E7</v>
      </c>
      <c r="B108" s="153" t="s">
        <v>286</v>
      </c>
      <c r="C108" s="154">
        <v>2.8390551E7</v>
      </c>
      <c r="D108" s="154">
        <v>3551389.0</v>
      </c>
      <c r="E108" s="154">
        <v>26535.0</v>
      </c>
      <c r="F108" s="154">
        <v>26535.0</v>
      </c>
      <c r="G108" s="154">
        <v>887844.0</v>
      </c>
      <c r="H108" s="154">
        <v>18168.0</v>
      </c>
      <c r="I108" s="154">
        <v>191680.0</v>
      </c>
      <c r="J108" s="154">
        <v>73944.0</v>
      </c>
      <c r="K108" s="154">
        <v>0.0</v>
      </c>
      <c r="L108" s="154">
        <v>1.8400084721E10</v>
      </c>
      <c r="M108" s="154">
        <v>1.9651429333E10</v>
      </c>
      <c r="N108" s="154">
        <v>3748.0</v>
      </c>
      <c r="O108" s="153" t="s">
        <v>230</v>
      </c>
      <c r="P108" s="153">
        <v>25.0</v>
      </c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21.0" customHeight="1">
      <c r="A109" s="153">
        <v>1.43759137E8</v>
      </c>
      <c r="B109" s="153" t="s">
        <v>287</v>
      </c>
      <c r="C109" s="154">
        <v>2.8379046E7</v>
      </c>
      <c r="D109" s="154">
        <v>4.5839917E7</v>
      </c>
      <c r="E109" s="154">
        <v>0.0</v>
      </c>
      <c r="F109" s="154">
        <v>0.0</v>
      </c>
      <c r="G109" s="154">
        <v>2124173.0</v>
      </c>
      <c r="H109" s="154">
        <v>135668.0</v>
      </c>
      <c r="I109" s="154">
        <v>3485602.0</v>
      </c>
      <c r="J109" s="154">
        <v>478796.0</v>
      </c>
      <c r="K109" s="154">
        <v>0.0</v>
      </c>
      <c r="L109" s="154">
        <v>4.668320232E9</v>
      </c>
      <c r="M109" s="154">
        <v>1.7246239E7</v>
      </c>
      <c r="N109" s="154">
        <v>23064.0</v>
      </c>
      <c r="O109" s="153" t="s">
        <v>233</v>
      </c>
      <c r="P109" s="153">
        <v>25.0</v>
      </c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21.0" customHeight="1">
      <c r="A110" s="153">
        <v>1.44637263E8</v>
      </c>
      <c r="B110" s="153" t="s">
        <v>288</v>
      </c>
      <c r="C110" s="154">
        <v>2.8065865E7</v>
      </c>
      <c r="D110" s="154">
        <v>6.9743988E7</v>
      </c>
      <c r="E110" s="154">
        <v>0.0</v>
      </c>
      <c r="F110" s="154">
        <v>0.0</v>
      </c>
      <c r="G110" s="154">
        <v>3582025.0</v>
      </c>
      <c r="H110" s="154">
        <v>794551.0</v>
      </c>
      <c r="I110" s="154">
        <v>4624058.0</v>
      </c>
      <c r="J110" s="154">
        <v>1030741.0</v>
      </c>
      <c r="K110" s="154">
        <v>0.0</v>
      </c>
      <c r="L110" s="154">
        <v>5.083440858E9</v>
      </c>
      <c r="M110" s="154">
        <v>1.485775749E9</v>
      </c>
      <c r="N110" s="154">
        <v>20420.0</v>
      </c>
      <c r="O110" s="153" t="s">
        <v>289</v>
      </c>
      <c r="P110" s="153">
        <v>25.0</v>
      </c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21.0" customHeight="1">
      <c r="A111" s="155">
        <v>1.72730913E8</v>
      </c>
      <c r="B111" s="155" t="s">
        <v>290</v>
      </c>
      <c r="C111" s="156">
        <v>2.6684825E7</v>
      </c>
      <c r="D111" s="156">
        <v>0.0</v>
      </c>
      <c r="E111" s="156">
        <v>0.0</v>
      </c>
      <c r="F111" s="156">
        <v>0.0</v>
      </c>
      <c r="G111" s="156">
        <v>0.0</v>
      </c>
      <c r="H111" s="156">
        <v>0.0</v>
      </c>
      <c r="I111" s="156">
        <v>0.0</v>
      </c>
      <c r="J111" s="156">
        <v>0.0</v>
      </c>
      <c r="K111" s="156">
        <v>0.0</v>
      </c>
      <c r="L111" s="156">
        <v>7.614651042E9</v>
      </c>
      <c r="M111" s="156">
        <v>5.702826725E9</v>
      </c>
      <c r="N111" s="156">
        <v>2241.0</v>
      </c>
      <c r="O111" s="155" t="s">
        <v>237</v>
      </c>
      <c r="P111" s="155">
        <v>24.0</v>
      </c>
      <c r="Q111" s="155"/>
      <c r="R111" s="155"/>
      <c r="S111" s="153"/>
      <c r="T111" s="153"/>
      <c r="U111" s="153"/>
      <c r="V111" s="153"/>
      <c r="W111" s="153"/>
      <c r="X111" s="153"/>
      <c r="Y111" s="153"/>
      <c r="Z111" s="153"/>
    </row>
    <row r="112" ht="21.0" customHeight="1">
      <c r="A112" s="155">
        <v>1.84287725E8</v>
      </c>
      <c r="B112" s="155" t="s">
        <v>291</v>
      </c>
      <c r="C112" s="156">
        <v>2.665785E7</v>
      </c>
      <c r="D112" s="156">
        <v>4017250.0</v>
      </c>
      <c r="E112" s="156">
        <v>0.0</v>
      </c>
      <c r="F112" s="156">
        <v>0.0</v>
      </c>
      <c r="G112" s="156">
        <v>0.0</v>
      </c>
      <c r="H112" s="156">
        <v>0.0</v>
      </c>
      <c r="I112" s="156">
        <v>104791.0</v>
      </c>
      <c r="J112" s="156">
        <v>148467.0</v>
      </c>
      <c r="K112" s="156">
        <v>0.0</v>
      </c>
      <c r="L112" s="156">
        <v>7.491073337E9</v>
      </c>
      <c r="M112" s="156">
        <v>2.264629318E9</v>
      </c>
      <c r="N112" s="156">
        <v>1267.0</v>
      </c>
      <c r="O112" s="155" t="s">
        <v>271</v>
      </c>
      <c r="P112" s="155">
        <v>24.0</v>
      </c>
      <c r="Q112" s="155"/>
      <c r="R112" s="155"/>
      <c r="S112" s="153"/>
      <c r="T112" s="153"/>
      <c r="U112" s="153"/>
      <c r="V112" s="153"/>
      <c r="W112" s="153"/>
      <c r="X112" s="153"/>
      <c r="Y112" s="153"/>
      <c r="Z112" s="153"/>
    </row>
    <row r="113" ht="21.0" customHeight="1">
      <c r="A113" s="155">
        <v>1.85391227E8</v>
      </c>
      <c r="B113" s="155" t="s">
        <v>292</v>
      </c>
      <c r="C113" s="156">
        <v>2.6041989E7</v>
      </c>
      <c r="D113" s="156">
        <v>5314217.0</v>
      </c>
      <c r="E113" s="156">
        <v>0.0</v>
      </c>
      <c r="F113" s="156">
        <v>0.0</v>
      </c>
      <c r="G113" s="156">
        <v>1794252.0</v>
      </c>
      <c r="H113" s="156">
        <v>186.0</v>
      </c>
      <c r="I113" s="156">
        <v>214.0</v>
      </c>
      <c r="J113" s="156">
        <v>265602.0</v>
      </c>
      <c r="K113" s="156">
        <v>0.0</v>
      </c>
      <c r="L113" s="156">
        <v>1.057078121E10</v>
      </c>
      <c r="M113" s="156">
        <v>8.709495661E9</v>
      </c>
      <c r="N113" s="156">
        <v>2828.0</v>
      </c>
      <c r="O113" s="155" t="s">
        <v>271</v>
      </c>
      <c r="P113" s="155">
        <v>24.0</v>
      </c>
      <c r="Q113" s="155"/>
      <c r="R113" s="155"/>
      <c r="S113" s="153"/>
      <c r="T113" s="153"/>
      <c r="U113" s="153"/>
      <c r="V113" s="153"/>
      <c r="W113" s="153"/>
      <c r="X113" s="153"/>
      <c r="Y113" s="153"/>
      <c r="Z113" s="153"/>
    </row>
    <row r="114" ht="21.0" customHeight="1">
      <c r="A114" s="153">
        <v>1.44019569E8</v>
      </c>
      <c r="B114" s="153" t="s">
        <v>293</v>
      </c>
      <c r="C114" s="154">
        <v>2.5799824E7</v>
      </c>
      <c r="D114" s="154">
        <v>2.438795E7</v>
      </c>
      <c r="E114" s="154">
        <v>0.0</v>
      </c>
      <c r="F114" s="154">
        <v>0.0</v>
      </c>
      <c r="G114" s="154">
        <v>2999492.0</v>
      </c>
      <c r="H114" s="154">
        <v>1394153.0</v>
      </c>
      <c r="I114" s="154">
        <v>1409989.0</v>
      </c>
      <c r="J114" s="154">
        <v>256962.0</v>
      </c>
      <c r="K114" s="154">
        <v>0.0</v>
      </c>
      <c r="L114" s="154">
        <v>3.695249488E9</v>
      </c>
      <c r="M114" s="154">
        <v>8752677.0</v>
      </c>
      <c r="N114" s="154">
        <v>6104.0</v>
      </c>
      <c r="O114" s="153" t="s">
        <v>233</v>
      </c>
      <c r="P114" s="153">
        <v>25.0</v>
      </c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21.0" customHeight="1">
      <c r="A115" s="153">
        <v>4.8558795E7</v>
      </c>
      <c r="B115" s="153" t="s">
        <v>294</v>
      </c>
      <c r="C115" s="154">
        <v>2.5745709E7</v>
      </c>
      <c r="D115" s="154">
        <v>7040761.0</v>
      </c>
      <c r="E115" s="154">
        <v>108874.0</v>
      </c>
      <c r="F115" s="154">
        <v>108874.0</v>
      </c>
      <c r="G115" s="154">
        <v>716148.0</v>
      </c>
      <c r="H115" s="154">
        <v>485.0</v>
      </c>
      <c r="I115" s="154">
        <v>232277.0</v>
      </c>
      <c r="J115" s="154">
        <v>235813.0</v>
      </c>
      <c r="K115" s="154">
        <v>0.0</v>
      </c>
      <c r="L115" s="154">
        <v>1.5807524998E10</v>
      </c>
      <c r="M115" s="154">
        <v>1.7836965074E10</v>
      </c>
      <c r="N115" s="154">
        <v>3225.0</v>
      </c>
      <c r="O115" s="153" t="s">
        <v>230</v>
      </c>
      <c r="P115" s="153">
        <v>25.0</v>
      </c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21.0" customHeight="1">
      <c r="A116" s="153">
        <v>1.4374521E8</v>
      </c>
      <c r="B116" s="153" t="s">
        <v>295</v>
      </c>
      <c r="C116" s="154">
        <v>2.570833E7</v>
      </c>
      <c r="D116" s="154">
        <v>2.2121647E8</v>
      </c>
      <c r="E116" s="154">
        <v>0.0</v>
      </c>
      <c r="F116" s="154">
        <v>0.0</v>
      </c>
      <c r="G116" s="154">
        <v>1437968.0</v>
      </c>
      <c r="H116" s="154">
        <v>771741.0</v>
      </c>
      <c r="I116" s="154">
        <v>1.4625767E7</v>
      </c>
      <c r="J116" s="154">
        <v>401566.0</v>
      </c>
      <c r="K116" s="154">
        <v>0.0</v>
      </c>
      <c r="L116" s="154">
        <v>3.022674249E9</v>
      </c>
      <c r="M116" s="154">
        <v>3.471339307E9</v>
      </c>
      <c r="N116" s="154">
        <v>16224.0</v>
      </c>
      <c r="O116" s="153" t="s">
        <v>246</v>
      </c>
      <c r="P116" s="153">
        <v>25.0</v>
      </c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21.0" customHeight="1">
      <c r="A117" s="153">
        <v>7.9647211E7</v>
      </c>
      <c r="B117" s="153" t="s">
        <v>178</v>
      </c>
      <c r="C117" s="154">
        <v>2.5432213E7</v>
      </c>
      <c r="D117" s="154">
        <v>6.8567514E7</v>
      </c>
      <c r="E117" s="154">
        <v>300624.0</v>
      </c>
      <c r="F117" s="154">
        <v>300624.0</v>
      </c>
      <c r="G117" s="154">
        <v>3063629.0</v>
      </c>
      <c r="H117" s="154">
        <v>56482.0</v>
      </c>
      <c r="I117" s="154">
        <v>1989628.0</v>
      </c>
      <c r="J117" s="154">
        <v>2430355.0</v>
      </c>
      <c r="K117" s="154">
        <v>0.0</v>
      </c>
      <c r="L117" s="154">
        <v>8.086820532E9</v>
      </c>
      <c r="M117" s="154">
        <v>1.3827980798E10</v>
      </c>
      <c r="N117" s="154">
        <v>4065.0</v>
      </c>
      <c r="O117" s="153" t="s">
        <v>230</v>
      </c>
      <c r="P117" s="153">
        <v>25.0</v>
      </c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21.0" customHeight="1">
      <c r="A118" s="153">
        <v>6.1106312E7</v>
      </c>
      <c r="B118" s="153" t="s">
        <v>296</v>
      </c>
      <c r="C118" s="154">
        <v>2.4857079E7</v>
      </c>
      <c r="D118" s="154">
        <v>1.37130092E8</v>
      </c>
      <c r="E118" s="154">
        <v>0.0</v>
      </c>
      <c r="F118" s="154">
        <v>0.0</v>
      </c>
      <c r="G118" s="154">
        <v>6656454.0</v>
      </c>
      <c r="H118" s="154">
        <v>1065572.0</v>
      </c>
      <c r="I118" s="154">
        <v>8568257.0</v>
      </c>
      <c r="J118" s="154">
        <v>1637812.0</v>
      </c>
      <c r="K118" s="154">
        <v>0.0</v>
      </c>
      <c r="L118" s="154">
        <v>1.6103016811E10</v>
      </c>
      <c r="M118" s="154">
        <v>1.7263438464E10</v>
      </c>
      <c r="N118" s="154">
        <v>12473.0</v>
      </c>
      <c r="O118" s="153" t="s">
        <v>237</v>
      </c>
      <c r="P118" s="153">
        <v>25.0</v>
      </c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21.0" customHeight="1">
      <c r="A119" s="153">
        <v>7.7531879E7</v>
      </c>
      <c r="B119" s="153" t="s">
        <v>297</v>
      </c>
      <c r="C119" s="154">
        <v>2.4597196E7</v>
      </c>
      <c r="D119" s="154">
        <v>4584755.0</v>
      </c>
      <c r="E119" s="154">
        <v>2430.0</v>
      </c>
      <c r="F119" s="154">
        <v>2430.0</v>
      </c>
      <c r="G119" s="154">
        <v>76751.0</v>
      </c>
      <c r="H119" s="154">
        <v>36.0</v>
      </c>
      <c r="I119" s="154">
        <v>104025.0</v>
      </c>
      <c r="J119" s="154">
        <v>176947.0</v>
      </c>
      <c r="K119" s="154">
        <v>0.0</v>
      </c>
      <c r="L119" s="154">
        <v>9.953696582E9</v>
      </c>
      <c r="M119" s="154">
        <v>1.3181979374E10</v>
      </c>
      <c r="N119" s="154">
        <v>3973.0</v>
      </c>
      <c r="O119" s="153" t="s">
        <v>237</v>
      </c>
      <c r="P119" s="153">
        <v>25.0</v>
      </c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21.0" customHeight="1">
      <c r="A120" s="153">
        <v>1.1279231E8</v>
      </c>
      <c r="B120" s="153" t="s">
        <v>298</v>
      </c>
      <c r="C120" s="154">
        <v>2.4563911E7</v>
      </c>
      <c r="D120" s="154">
        <v>8.344289E7</v>
      </c>
      <c r="E120" s="154">
        <v>341520.0</v>
      </c>
      <c r="F120" s="154">
        <v>341520.0</v>
      </c>
      <c r="G120" s="154">
        <v>7555550.0</v>
      </c>
      <c r="H120" s="154">
        <v>1004360.0</v>
      </c>
      <c r="I120" s="154">
        <v>3005902.0</v>
      </c>
      <c r="J120" s="154">
        <v>2509071.0</v>
      </c>
      <c r="K120" s="154">
        <v>0.0</v>
      </c>
      <c r="L120" s="154">
        <v>3.3334051922E10</v>
      </c>
      <c r="M120" s="154">
        <v>3.6975762438E10</v>
      </c>
      <c r="N120" s="154">
        <v>12846.0</v>
      </c>
      <c r="O120" s="153" t="s">
        <v>230</v>
      </c>
      <c r="P120" s="153">
        <v>25.0</v>
      </c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21.0" customHeight="1">
      <c r="A121" s="153">
        <v>1.66394798E8</v>
      </c>
      <c r="B121" s="153" t="s">
        <v>186</v>
      </c>
      <c r="C121" s="154">
        <v>2.435683E7</v>
      </c>
      <c r="D121" s="154">
        <v>5.9210817E7</v>
      </c>
      <c r="E121" s="154">
        <v>114759.0</v>
      </c>
      <c r="F121" s="154">
        <v>200284.0</v>
      </c>
      <c r="G121" s="154">
        <v>3323372.0</v>
      </c>
      <c r="H121" s="154">
        <v>567947.0</v>
      </c>
      <c r="I121" s="154">
        <v>3347490.0</v>
      </c>
      <c r="J121" s="154">
        <v>1088793.0</v>
      </c>
      <c r="K121" s="154">
        <v>0.0</v>
      </c>
      <c r="L121" s="154">
        <v>8.056366403E9</v>
      </c>
      <c r="M121" s="154">
        <v>1.7070926109E10</v>
      </c>
      <c r="N121" s="154">
        <v>12831.0</v>
      </c>
      <c r="O121" s="153" t="s">
        <v>230</v>
      </c>
      <c r="P121" s="153">
        <v>25.0</v>
      </c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21.0" customHeight="1">
      <c r="A122" s="153">
        <v>1.74530133E8</v>
      </c>
      <c r="B122" s="153" t="s">
        <v>299</v>
      </c>
      <c r="C122" s="154">
        <v>2.3588988E7</v>
      </c>
      <c r="D122" s="154">
        <v>2253561.0</v>
      </c>
      <c r="E122" s="154">
        <v>0.0</v>
      </c>
      <c r="F122" s="154">
        <v>0.0</v>
      </c>
      <c r="G122" s="154">
        <v>331940.0</v>
      </c>
      <c r="H122" s="154">
        <v>3127.0</v>
      </c>
      <c r="I122" s="154">
        <v>27691.0</v>
      </c>
      <c r="J122" s="154">
        <v>96770.0</v>
      </c>
      <c r="K122" s="154">
        <v>0.0</v>
      </c>
      <c r="L122" s="154">
        <v>2.0809165209E10</v>
      </c>
      <c r="M122" s="154">
        <v>1.8746787256E10</v>
      </c>
      <c r="N122" s="154">
        <v>4020.0</v>
      </c>
      <c r="O122" s="153" t="s">
        <v>271</v>
      </c>
      <c r="P122" s="153">
        <v>25.0</v>
      </c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21.0" customHeight="1">
      <c r="A123" s="153">
        <v>1.58392134E8</v>
      </c>
      <c r="B123" s="153" t="s">
        <v>191</v>
      </c>
      <c r="C123" s="154">
        <v>2.3522966E7</v>
      </c>
      <c r="D123" s="154">
        <v>5.3545113E7</v>
      </c>
      <c r="E123" s="154">
        <v>25366.0</v>
      </c>
      <c r="F123" s="154">
        <v>153233.0</v>
      </c>
      <c r="G123" s="154">
        <v>3971101.0</v>
      </c>
      <c r="H123" s="154">
        <v>1517407.0</v>
      </c>
      <c r="I123" s="154">
        <v>2729820.0</v>
      </c>
      <c r="J123" s="154">
        <v>1020382.0</v>
      </c>
      <c r="K123" s="154">
        <v>0.0</v>
      </c>
      <c r="L123" s="154">
        <v>5.936797778E9</v>
      </c>
      <c r="M123" s="154">
        <v>6.727031426E9</v>
      </c>
      <c r="N123" s="154">
        <v>14157.0</v>
      </c>
      <c r="O123" s="153" t="s">
        <v>230</v>
      </c>
      <c r="P123" s="153">
        <v>25.0</v>
      </c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21.0" customHeight="1">
      <c r="A124" s="153">
        <v>1.16558461E8</v>
      </c>
      <c r="B124" s="153" t="s">
        <v>300</v>
      </c>
      <c r="C124" s="154">
        <v>2.3339067E7</v>
      </c>
      <c r="D124" s="154">
        <v>3.4177984E7</v>
      </c>
      <c r="E124" s="154">
        <v>0.0</v>
      </c>
      <c r="F124" s="154">
        <v>13033.0</v>
      </c>
      <c r="G124" s="154">
        <v>4255903.0</v>
      </c>
      <c r="H124" s="154">
        <v>1366214.0</v>
      </c>
      <c r="I124" s="154">
        <v>1906576.0</v>
      </c>
      <c r="J124" s="154">
        <v>305082.0</v>
      </c>
      <c r="K124" s="154">
        <v>0.0</v>
      </c>
      <c r="L124" s="154">
        <v>5.078552451E9</v>
      </c>
      <c r="M124" s="154">
        <v>5.2E7</v>
      </c>
      <c r="N124" s="154">
        <v>2366.0</v>
      </c>
      <c r="O124" s="153" t="s">
        <v>277</v>
      </c>
      <c r="P124" s="153">
        <v>25.0</v>
      </c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21.0" customHeight="1">
      <c r="A125" s="155">
        <v>1.90203348E8</v>
      </c>
      <c r="B125" s="155" t="s">
        <v>301</v>
      </c>
      <c r="C125" s="156">
        <v>2.2486138E7</v>
      </c>
      <c r="D125" s="156">
        <v>128423.0</v>
      </c>
      <c r="E125" s="156">
        <v>0.0</v>
      </c>
      <c r="F125" s="156">
        <v>0.0</v>
      </c>
      <c r="G125" s="156">
        <v>251805.0</v>
      </c>
      <c r="H125" s="156">
        <v>4717.0</v>
      </c>
      <c r="I125" s="156">
        <v>0.0</v>
      </c>
      <c r="J125" s="156">
        <v>6374.0</v>
      </c>
      <c r="K125" s="156">
        <v>0.0</v>
      </c>
      <c r="L125" s="156">
        <v>6.330641282E9</v>
      </c>
      <c r="M125" s="156">
        <v>5.005971695E9</v>
      </c>
      <c r="N125" s="156">
        <v>1265.0</v>
      </c>
      <c r="O125" s="155" t="s">
        <v>237</v>
      </c>
      <c r="P125" s="155">
        <v>24.0</v>
      </c>
      <c r="Q125" s="155"/>
      <c r="R125" s="155"/>
      <c r="S125" s="153"/>
      <c r="T125" s="153"/>
      <c r="U125" s="153"/>
      <c r="V125" s="153"/>
      <c r="W125" s="153"/>
      <c r="X125" s="153"/>
      <c r="Y125" s="153"/>
      <c r="Z125" s="153"/>
    </row>
    <row r="126" ht="21.0" customHeight="1">
      <c r="A126" s="153">
        <v>1.4586076E8</v>
      </c>
      <c r="B126" s="153" t="s">
        <v>302</v>
      </c>
      <c r="C126" s="154">
        <v>2.2141364E7</v>
      </c>
      <c r="D126" s="154">
        <v>7475778.0</v>
      </c>
      <c r="E126" s="154">
        <v>119759.0</v>
      </c>
      <c r="F126" s="154">
        <v>119759.0</v>
      </c>
      <c r="G126" s="154">
        <v>785307.0</v>
      </c>
      <c r="H126" s="154">
        <v>196473.0</v>
      </c>
      <c r="I126" s="154">
        <v>322875.0</v>
      </c>
      <c r="J126" s="154">
        <v>189348.0</v>
      </c>
      <c r="K126" s="154">
        <v>0.0</v>
      </c>
      <c r="L126" s="154">
        <v>8.352193442E9</v>
      </c>
      <c r="M126" s="154">
        <v>8.770242499E9</v>
      </c>
      <c r="N126" s="154">
        <v>3353.0</v>
      </c>
      <c r="O126" s="153" t="s">
        <v>230</v>
      </c>
      <c r="P126" s="153">
        <v>25.0</v>
      </c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21.0" customHeight="1">
      <c r="A127" s="155">
        <v>1.71989291E8</v>
      </c>
      <c r="B127" s="155" t="s">
        <v>303</v>
      </c>
      <c r="C127" s="156">
        <v>2.1931842E7</v>
      </c>
      <c r="D127" s="156">
        <v>1953757.0</v>
      </c>
      <c r="E127" s="156">
        <v>0.0</v>
      </c>
      <c r="F127" s="156">
        <v>0.0</v>
      </c>
      <c r="G127" s="156">
        <v>1329583.0</v>
      </c>
      <c r="H127" s="156">
        <v>1398.0</v>
      </c>
      <c r="I127" s="156">
        <v>2019.0</v>
      </c>
      <c r="J127" s="156">
        <v>94344.0</v>
      </c>
      <c r="K127" s="156">
        <v>0.0</v>
      </c>
      <c r="L127" s="156">
        <v>1.0933234266E10</v>
      </c>
      <c r="M127" s="156">
        <v>9.45522926E9</v>
      </c>
      <c r="N127" s="156">
        <v>3614.0</v>
      </c>
      <c r="O127" s="155" t="s">
        <v>267</v>
      </c>
      <c r="P127" s="155">
        <v>24.0</v>
      </c>
      <c r="Q127" s="155"/>
      <c r="R127" s="155"/>
      <c r="S127" s="153"/>
      <c r="T127" s="153"/>
      <c r="U127" s="153"/>
      <c r="V127" s="153"/>
      <c r="W127" s="153"/>
      <c r="X127" s="153"/>
      <c r="Y127" s="153"/>
      <c r="Z127" s="153"/>
    </row>
    <row r="128" ht="21.0" customHeight="1">
      <c r="A128" s="153">
        <v>1.71556791E8</v>
      </c>
      <c r="B128" s="153" t="s">
        <v>304</v>
      </c>
      <c r="C128" s="154">
        <v>2.1824009E7</v>
      </c>
      <c r="D128" s="154">
        <v>2.266218E7</v>
      </c>
      <c r="E128" s="154">
        <v>50037.0</v>
      </c>
      <c r="F128" s="154">
        <v>291587.0</v>
      </c>
      <c r="G128" s="154">
        <v>1414221.0</v>
      </c>
      <c r="H128" s="154">
        <v>56373.0</v>
      </c>
      <c r="I128" s="154">
        <v>912627.0</v>
      </c>
      <c r="J128" s="154">
        <v>650257.0</v>
      </c>
      <c r="K128" s="154">
        <v>0.0</v>
      </c>
      <c r="L128" s="154">
        <v>9.370004848E9</v>
      </c>
      <c r="M128" s="154">
        <v>1.6338648709E10</v>
      </c>
      <c r="N128" s="154">
        <v>3932.0</v>
      </c>
      <c r="O128" s="153" t="s">
        <v>230</v>
      </c>
      <c r="P128" s="153">
        <v>25.0</v>
      </c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21.0" customHeight="1">
      <c r="A129" s="153">
        <v>1.07309959E8</v>
      </c>
      <c r="B129" s="153" t="s">
        <v>305</v>
      </c>
      <c r="C129" s="154">
        <v>2.1400764E7</v>
      </c>
      <c r="D129" s="154">
        <v>883748.0</v>
      </c>
      <c r="E129" s="154">
        <v>93.0</v>
      </c>
      <c r="F129" s="154">
        <v>93.0</v>
      </c>
      <c r="G129" s="154">
        <v>633209.0</v>
      </c>
      <c r="H129" s="154">
        <v>24063.0</v>
      </c>
      <c r="I129" s="154">
        <v>19292.0</v>
      </c>
      <c r="J129" s="154">
        <v>136.0</v>
      </c>
      <c r="K129" s="154">
        <v>0.0</v>
      </c>
      <c r="L129" s="154">
        <v>5.431426463E9</v>
      </c>
      <c r="M129" s="154">
        <v>2.608E9</v>
      </c>
      <c r="N129" s="154">
        <v>2451.0</v>
      </c>
      <c r="O129" s="153" t="s">
        <v>237</v>
      </c>
      <c r="P129" s="153">
        <v>25.0</v>
      </c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21.0" customHeight="1">
      <c r="A130" s="155">
        <v>1.73351722E8</v>
      </c>
      <c r="B130" s="155" t="s">
        <v>306</v>
      </c>
      <c r="C130" s="156">
        <v>2.0928548E7</v>
      </c>
      <c r="D130" s="156">
        <v>7756888.0</v>
      </c>
      <c r="E130" s="156">
        <v>0.0</v>
      </c>
      <c r="F130" s="156">
        <v>0.0</v>
      </c>
      <c r="G130" s="156">
        <v>550547.0</v>
      </c>
      <c r="H130" s="156">
        <v>323190.0</v>
      </c>
      <c r="I130" s="156">
        <v>336667.0</v>
      </c>
      <c r="J130" s="156">
        <v>216279.0</v>
      </c>
      <c r="K130" s="156">
        <v>0.0</v>
      </c>
      <c r="L130" s="156">
        <v>1.3588529065E10</v>
      </c>
      <c r="M130" s="156">
        <v>1.2211484199E10</v>
      </c>
      <c r="N130" s="156">
        <v>2290.0</v>
      </c>
      <c r="O130" s="155" t="s">
        <v>267</v>
      </c>
      <c r="P130" s="155">
        <v>24.0</v>
      </c>
      <c r="Q130" s="155"/>
      <c r="R130" s="155"/>
      <c r="S130" s="153"/>
      <c r="T130" s="153"/>
      <c r="U130" s="153"/>
      <c r="V130" s="153"/>
      <c r="W130" s="153"/>
      <c r="X130" s="153"/>
      <c r="Y130" s="153"/>
      <c r="Z130" s="153"/>
    </row>
    <row r="131" ht="21.0" customHeight="1">
      <c r="A131" s="153">
        <v>1.44068963E8</v>
      </c>
      <c r="B131" s="153" t="s">
        <v>307</v>
      </c>
      <c r="C131" s="154">
        <v>2.0928363E7</v>
      </c>
      <c r="D131" s="154">
        <v>1242154.0</v>
      </c>
      <c r="E131" s="154">
        <v>0.0</v>
      </c>
      <c r="F131" s="154">
        <v>0.0</v>
      </c>
      <c r="G131" s="154">
        <v>1892316.0</v>
      </c>
      <c r="H131" s="154">
        <v>10404.0</v>
      </c>
      <c r="I131" s="154">
        <v>7009.0</v>
      </c>
      <c r="J131" s="154">
        <v>57313.0</v>
      </c>
      <c r="K131" s="154">
        <v>0.0</v>
      </c>
      <c r="L131" s="154">
        <v>1.876128985E9</v>
      </c>
      <c r="M131" s="154">
        <v>200000.0</v>
      </c>
      <c r="N131" s="154">
        <v>323.0</v>
      </c>
      <c r="O131" s="153" t="s">
        <v>308</v>
      </c>
      <c r="P131" s="153">
        <v>25.0</v>
      </c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21.0" customHeight="1">
      <c r="A132" s="153">
        <v>1.24153706E8</v>
      </c>
      <c r="B132" s="153" t="s">
        <v>309</v>
      </c>
      <c r="C132" s="154">
        <v>2.0861616E7</v>
      </c>
      <c r="D132" s="154">
        <v>5961830.0</v>
      </c>
      <c r="E132" s="154">
        <v>0.0</v>
      </c>
      <c r="F132" s="154">
        <v>0.0</v>
      </c>
      <c r="G132" s="154">
        <v>2019501.0</v>
      </c>
      <c r="H132" s="154">
        <v>332924.0</v>
      </c>
      <c r="I132" s="154">
        <v>471947.0</v>
      </c>
      <c r="J132" s="154">
        <v>54058.0</v>
      </c>
      <c r="K132" s="154">
        <v>0.0</v>
      </c>
      <c r="L132" s="154">
        <v>6.269229112E9</v>
      </c>
      <c r="M132" s="154">
        <v>8.06453798E9</v>
      </c>
      <c r="N132" s="154">
        <v>10352.0</v>
      </c>
      <c r="O132" s="153" t="s">
        <v>237</v>
      </c>
      <c r="P132" s="153">
        <v>25.0</v>
      </c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21.0" customHeight="1">
      <c r="A133" s="155">
        <v>9.726265E7</v>
      </c>
      <c r="B133" s="155" t="s">
        <v>310</v>
      </c>
      <c r="C133" s="156">
        <v>2.0280179E7</v>
      </c>
      <c r="D133" s="156">
        <v>0.0</v>
      </c>
      <c r="E133" s="156">
        <v>0.0</v>
      </c>
      <c r="F133" s="156">
        <v>0.0</v>
      </c>
      <c r="G133" s="156">
        <v>0.0</v>
      </c>
      <c r="H133" s="156">
        <v>0.0</v>
      </c>
      <c r="I133" s="156">
        <v>0.0</v>
      </c>
      <c r="J133" s="156">
        <v>0.0</v>
      </c>
      <c r="K133" s="156">
        <v>0.0</v>
      </c>
      <c r="L133" s="156">
        <v>4.543690613E9</v>
      </c>
      <c r="M133" s="156">
        <v>2.672820629E9</v>
      </c>
      <c r="N133" s="156">
        <v>727.0</v>
      </c>
      <c r="O133" s="155" t="s">
        <v>237</v>
      </c>
      <c r="P133" s="155">
        <v>24.0</v>
      </c>
      <c r="Q133" s="155"/>
      <c r="R133" s="155"/>
      <c r="S133" s="153"/>
      <c r="T133" s="153"/>
      <c r="U133" s="153"/>
      <c r="V133" s="153"/>
      <c r="W133" s="153"/>
      <c r="X133" s="153"/>
      <c r="Y133" s="153"/>
      <c r="Z133" s="153"/>
    </row>
    <row r="134" ht="21.0" customHeight="1">
      <c r="A134" s="153">
        <v>6.9795161E7</v>
      </c>
      <c r="B134" s="153" t="s">
        <v>311</v>
      </c>
      <c r="C134" s="154">
        <v>2.0242751E7</v>
      </c>
      <c r="D134" s="154">
        <v>1728444.0</v>
      </c>
      <c r="E134" s="154">
        <v>4548.0</v>
      </c>
      <c r="F134" s="154">
        <v>49389.0</v>
      </c>
      <c r="G134" s="154">
        <v>1739100.0</v>
      </c>
      <c r="H134" s="154">
        <v>3542.0</v>
      </c>
      <c r="I134" s="154">
        <v>25822.0</v>
      </c>
      <c r="J134" s="154">
        <v>73371.0</v>
      </c>
      <c r="K134" s="154">
        <v>0.0</v>
      </c>
      <c r="L134" s="154">
        <v>6.009121163E9</v>
      </c>
      <c r="M134" s="154">
        <v>5.082992757E9</v>
      </c>
      <c r="N134" s="154">
        <v>2216.0</v>
      </c>
      <c r="O134" s="153" t="s">
        <v>230</v>
      </c>
      <c r="P134" s="153">
        <v>25.0</v>
      </c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21.0" customHeight="1">
      <c r="A135" s="153">
        <v>7521367.0</v>
      </c>
      <c r="B135" s="153" t="s">
        <v>187</v>
      </c>
      <c r="C135" s="154">
        <v>2.0070202E7</v>
      </c>
      <c r="D135" s="154">
        <v>6.8498595E7</v>
      </c>
      <c r="E135" s="154">
        <v>136585.0</v>
      </c>
      <c r="F135" s="154">
        <v>136585.0</v>
      </c>
      <c r="G135" s="154">
        <v>3142762.0</v>
      </c>
      <c r="H135" s="154">
        <v>238086.0</v>
      </c>
      <c r="I135" s="154">
        <v>2661382.0</v>
      </c>
      <c r="J135" s="154">
        <v>2086687.0</v>
      </c>
      <c r="K135" s="154">
        <v>0.0</v>
      </c>
      <c r="L135" s="154">
        <v>8.292669247E9</v>
      </c>
      <c r="M135" s="154">
        <v>7.505159382E9</v>
      </c>
      <c r="N135" s="154">
        <v>3971.0</v>
      </c>
      <c r="O135" s="153" t="s">
        <v>230</v>
      </c>
      <c r="P135" s="153">
        <v>25.0</v>
      </c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21.0" customHeight="1">
      <c r="A136" s="153">
        <v>3.5412124E7</v>
      </c>
      <c r="B136" s="153" t="s">
        <v>312</v>
      </c>
      <c r="C136" s="154">
        <v>1.9695637E7</v>
      </c>
      <c r="D136" s="154">
        <v>1.6079536E7</v>
      </c>
      <c r="E136" s="154">
        <v>0.0</v>
      </c>
      <c r="F136" s="154">
        <v>0.0</v>
      </c>
      <c r="G136" s="154">
        <v>1300602.0</v>
      </c>
      <c r="H136" s="154">
        <v>839812.0</v>
      </c>
      <c r="I136" s="154">
        <v>993740.0</v>
      </c>
      <c r="J136" s="154">
        <v>75045.0</v>
      </c>
      <c r="K136" s="154">
        <v>0.0</v>
      </c>
      <c r="L136" s="154">
        <v>4.54021342E8</v>
      </c>
      <c r="M136" s="154">
        <v>1709320.0</v>
      </c>
      <c r="N136" s="154">
        <v>1206.0</v>
      </c>
      <c r="O136" s="153" t="s">
        <v>249</v>
      </c>
      <c r="P136" s="153">
        <v>25.0</v>
      </c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21.0" customHeight="1">
      <c r="A137" s="155">
        <v>1.26974968E8</v>
      </c>
      <c r="B137" s="155" t="s">
        <v>313</v>
      </c>
      <c r="C137" s="156">
        <v>1.8901602E7</v>
      </c>
      <c r="D137" s="156">
        <v>1232807.0</v>
      </c>
      <c r="E137" s="156">
        <v>0.0</v>
      </c>
      <c r="F137" s="156">
        <v>0.0</v>
      </c>
      <c r="G137" s="156">
        <v>877225.0</v>
      </c>
      <c r="H137" s="156">
        <v>5599.0</v>
      </c>
      <c r="I137" s="156">
        <v>56920.0</v>
      </c>
      <c r="J137" s="156">
        <v>25459.0</v>
      </c>
      <c r="K137" s="156">
        <v>0.0</v>
      </c>
      <c r="L137" s="156">
        <v>9.66118176E9</v>
      </c>
      <c r="M137" s="156">
        <v>1.2229576466E10</v>
      </c>
      <c r="N137" s="156">
        <v>2767.0</v>
      </c>
      <c r="O137" s="155" t="s">
        <v>271</v>
      </c>
      <c r="P137" s="155">
        <v>24.0</v>
      </c>
      <c r="Q137" s="155"/>
      <c r="R137" s="155"/>
      <c r="S137" s="153"/>
      <c r="T137" s="153"/>
      <c r="U137" s="153"/>
      <c r="V137" s="153"/>
      <c r="W137" s="153"/>
      <c r="X137" s="153"/>
      <c r="Y137" s="153"/>
      <c r="Z137" s="153"/>
    </row>
    <row r="138" ht="21.0" customHeight="1">
      <c r="A138" s="153">
        <v>9.9317493E7</v>
      </c>
      <c r="B138" s="153" t="s">
        <v>314</v>
      </c>
      <c r="C138" s="154">
        <v>1.8485405E7</v>
      </c>
      <c r="D138" s="154">
        <v>1.1147718E7</v>
      </c>
      <c r="E138" s="154">
        <v>0.0</v>
      </c>
      <c r="F138" s="154">
        <v>0.0</v>
      </c>
      <c r="G138" s="154">
        <v>2481046.0</v>
      </c>
      <c r="H138" s="154">
        <v>49534.0</v>
      </c>
      <c r="I138" s="154">
        <v>893317.0</v>
      </c>
      <c r="J138" s="154">
        <v>67760.0</v>
      </c>
      <c r="K138" s="154">
        <v>0.0</v>
      </c>
      <c r="L138" s="154">
        <v>2.983028283E9</v>
      </c>
      <c r="M138" s="154">
        <v>6.1133632E7</v>
      </c>
      <c r="N138" s="154">
        <v>3793.0</v>
      </c>
      <c r="O138" s="153" t="s">
        <v>246</v>
      </c>
      <c r="P138" s="153">
        <v>25.0</v>
      </c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21.0" customHeight="1">
      <c r="A139" s="155">
        <v>1.57465282E8</v>
      </c>
      <c r="B139" s="155" t="s">
        <v>315</v>
      </c>
      <c r="C139" s="156">
        <v>1.8335081E7</v>
      </c>
      <c r="D139" s="156">
        <v>1059330.0</v>
      </c>
      <c r="E139" s="156">
        <v>0.0</v>
      </c>
      <c r="F139" s="156">
        <v>0.0</v>
      </c>
      <c r="G139" s="156">
        <v>435892.0</v>
      </c>
      <c r="H139" s="156">
        <v>81933.0</v>
      </c>
      <c r="I139" s="156">
        <v>58926.0</v>
      </c>
      <c r="J139" s="156">
        <v>5178.0</v>
      </c>
      <c r="K139" s="156">
        <v>0.0</v>
      </c>
      <c r="L139" s="156">
        <v>9.533256193E9</v>
      </c>
      <c r="M139" s="156">
        <v>2.366887416E9</v>
      </c>
      <c r="N139" s="156">
        <v>2005.0</v>
      </c>
      <c r="O139" s="155" t="s">
        <v>249</v>
      </c>
      <c r="P139" s="155">
        <v>22.0</v>
      </c>
      <c r="Q139" s="155"/>
      <c r="R139" s="155"/>
      <c r="S139" s="153"/>
      <c r="T139" s="153"/>
      <c r="U139" s="153"/>
      <c r="V139" s="153"/>
      <c r="W139" s="153"/>
      <c r="X139" s="153"/>
      <c r="Y139" s="153"/>
      <c r="Z139" s="153"/>
    </row>
    <row r="140" ht="21.0" customHeight="1">
      <c r="A140" s="155">
        <v>1.78556109E8</v>
      </c>
      <c r="B140" s="155" t="s">
        <v>316</v>
      </c>
      <c r="C140" s="156">
        <v>1.831348E7</v>
      </c>
      <c r="D140" s="156">
        <v>1240300.0</v>
      </c>
      <c r="E140" s="156">
        <v>0.0</v>
      </c>
      <c r="F140" s="156">
        <v>0.0</v>
      </c>
      <c r="G140" s="156">
        <v>125805.0</v>
      </c>
      <c r="H140" s="156">
        <v>0.0</v>
      </c>
      <c r="I140" s="156">
        <v>7308.0</v>
      </c>
      <c r="J140" s="156">
        <v>58361.0</v>
      </c>
      <c r="K140" s="156">
        <v>0.0</v>
      </c>
      <c r="L140" s="156">
        <v>1.7197002285E10</v>
      </c>
      <c r="M140" s="156">
        <v>1.4415735344E10</v>
      </c>
      <c r="N140" s="156">
        <v>4085.0</v>
      </c>
      <c r="O140" s="155" t="s">
        <v>267</v>
      </c>
      <c r="P140" s="155">
        <v>24.0</v>
      </c>
      <c r="Q140" s="155"/>
      <c r="R140" s="155"/>
      <c r="S140" s="153"/>
      <c r="T140" s="153"/>
      <c r="U140" s="153"/>
      <c r="V140" s="153"/>
      <c r="W140" s="153"/>
      <c r="X140" s="153"/>
      <c r="Y140" s="153"/>
      <c r="Z140" s="153"/>
    </row>
    <row r="141" ht="21.0" customHeight="1">
      <c r="A141" s="155">
        <v>1.59431767E8</v>
      </c>
      <c r="B141" s="155" t="s">
        <v>317</v>
      </c>
      <c r="C141" s="156">
        <v>1.8193964E7</v>
      </c>
      <c r="D141" s="156">
        <v>200940.0</v>
      </c>
      <c r="E141" s="156">
        <v>0.0</v>
      </c>
      <c r="F141" s="156">
        <v>0.0</v>
      </c>
      <c r="G141" s="156">
        <v>0.0</v>
      </c>
      <c r="H141" s="156">
        <v>0.0</v>
      </c>
      <c r="I141" s="156">
        <v>0.0</v>
      </c>
      <c r="J141" s="156">
        <v>10047.0</v>
      </c>
      <c r="K141" s="156">
        <v>0.0</v>
      </c>
      <c r="L141" s="156">
        <v>8.64856339E9</v>
      </c>
      <c r="M141" s="156">
        <v>7.261101588E9</v>
      </c>
      <c r="N141" s="156">
        <v>1381.0</v>
      </c>
      <c r="O141" s="155" t="s">
        <v>237</v>
      </c>
      <c r="P141" s="155">
        <v>24.0</v>
      </c>
      <c r="Q141" s="155"/>
      <c r="R141" s="155"/>
      <c r="S141" s="153"/>
      <c r="T141" s="153"/>
      <c r="U141" s="153"/>
      <c r="V141" s="153"/>
      <c r="W141" s="153"/>
      <c r="X141" s="153"/>
      <c r="Y141" s="153"/>
      <c r="Z141" s="153"/>
    </row>
    <row r="142" ht="21.0" customHeight="1">
      <c r="A142" s="155">
        <v>1.79309911E8</v>
      </c>
      <c r="B142" s="155" t="s">
        <v>318</v>
      </c>
      <c r="C142" s="156">
        <v>1.8128197E7</v>
      </c>
      <c r="D142" s="156">
        <v>4224134.0</v>
      </c>
      <c r="E142" s="156">
        <v>0.0</v>
      </c>
      <c r="F142" s="156">
        <v>0.0</v>
      </c>
      <c r="G142" s="156">
        <v>2120712.0</v>
      </c>
      <c r="H142" s="156">
        <v>53021.0</v>
      </c>
      <c r="I142" s="156">
        <v>321382.0</v>
      </c>
      <c r="J142" s="156">
        <v>39895.0</v>
      </c>
      <c r="K142" s="156">
        <v>0.0</v>
      </c>
      <c r="L142" s="156">
        <v>6.374927305E9</v>
      </c>
      <c r="M142" s="156">
        <v>4.744483125E9</v>
      </c>
      <c r="N142" s="156">
        <v>1580.0</v>
      </c>
      <c r="O142" s="155" t="s">
        <v>271</v>
      </c>
      <c r="P142" s="155">
        <v>24.0</v>
      </c>
      <c r="Q142" s="155"/>
      <c r="R142" s="155"/>
      <c r="S142" s="153"/>
      <c r="T142" s="153"/>
      <c r="U142" s="153"/>
      <c r="V142" s="153"/>
      <c r="W142" s="153"/>
      <c r="X142" s="153"/>
      <c r="Y142" s="153"/>
      <c r="Z142" s="153"/>
    </row>
    <row r="143" ht="21.0" customHeight="1">
      <c r="A143" s="153">
        <v>1.0996021E8</v>
      </c>
      <c r="B143" s="153" t="s">
        <v>174</v>
      </c>
      <c r="C143" s="154">
        <v>1.7982492E7</v>
      </c>
      <c r="D143" s="154">
        <v>2.8576865E7</v>
      </c>
      <c r="E143" s="154">
        <v>139435.0</v>
      </c>
      <c r="F143" s="154">
        <v>201765.0</v>
      </c>
      <c r="G143" s="154">
        <v>1488906.0</v>
      </c>
      <c r="H143" s="154">
        <v>32987.0</v>
      </c>
      <c r="I143" s="154">
        <v>824920.0</v>
      </c>
      <c r="J143" s="154">
        <v>1015771.0</v>
      </c>
      <c r="K143" s="154">
        <v>0.0</v>
      </c>
      <c r="L143" s="154">
        <v>4.762456952E9</v>
      </c>
      <c r="M143" s="154">
        <v>3.638056578E9</v>
      </c>
      <c r="N143" s="154">
        <v>1850.0</v>
      </c>
      <c r="O143" s="153" t="s">
        <v>319</v>
      </c>
      <c r="P143" s="153">
        <v>25.0</v>
      </c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21.0" customHeight="1">
      <c r="A144" s="155">
        <v>1.44078795E8</v>
      </c>
      <c r="B144" s="155" t="s">
        <v>320</v>
      </c>
      <c r="C144" s="156">
        <v>1.7804537E7</v>
      </c>
      <c r="D144" s="156">
        <v>1549019.0</v>
      </c>
      <c r="E144" s="156">
        <v>0.0</v>
      </c>
      <c r="F144" s="156">
        <v>0.0</v>
      </c>
      <c r="G144" s="156">
        <v>1344548.0</v>
      </c>
      <c r="H144" s="156">
        <v>1515.0</v>
      </c>
      <c r="I144" s="156">
        <v>114206.0</v>
      </c>
      <c r="J144" s="156">
        <v>20138.0</v>
      </c>
      <c r="K144" s="156">
        <v>0.0</v>
      </c>
      <c r="L144" s="156">
        <v>1.977636E7</v>
      </c>
      <c r="M144" s="156">
        <v>3904993.0</v>
      </c>
      <c r="N144" s="156">
        <v>1689.0</v>
      </c>
      <c r="O144" s="155" t="s">
        <v>321</v>
      </c>
      <c r="P144" s="155">
        <v>22.0</v>
      </c>
      <c r="Q144" s="155"/>
      <c r="R144" s="155"/>
      <c r="S144" s="153"/>
      <c r="T144" s="153"/>
      <c r="U144" s="153"/>
      <c r="V144" s="153"/>
      <c r="W144" s="153"/>
      <c r="X144" s="153"/>
      <c r="Y144" s="153"/>
      <c r="Z144" s="153"/>
    </row>
    <row r="145" ht="21.0" customHeight="1">
      <c r="A145" s="155">
        <v>1.28213955E8</v>
      </c>
      <c r="B145" s="155" t="s">
        <v>322</v>
      </c>
      <c r="C145" s="156">
        <v>1.7176288E7</v>
      </c>
      <c r="D145" s="156">
        <v>75852.0</v>
      </c>
      <c r="E145" s="156">
        <v>0.0</v>
      </c>
      <c r="F145" s="156">
        <v>0.0</v>
      </c>
      <c r="G145" s="156">
        <v>0.0</v>
      </c>
      <c r="H145" s="156">
        <v>720.0</v>
      </c>
      <c r="I145" s="156">
        <v>1254.0</v>
      </c>
      <c r="J145" s="156">
        <v>0.0</v>
      </c>
      <c r="K145" s="156">
        <v>0.0</v>
      </c>
      <c r="L145" s="156">
        <v>1.0505631113E10</v>
      </c>
      <c r="M145" s="156">
        <v>1.3098779936E10</v>
      </c>
      <c r="N145" s="156">
        <v>2586.0</v>
      </c>
      <c r="O145" s="155" t="s">
        <v>271</v>
      </c>
      <c r="P145" s="155">
        <v>24.0</v>
      </c>
      <c r="Q145" s="155"/>
      <c r="R145" s="155"/>
      <c r="S145" s="153"/>
      <c r="T145" s="153"/>
      <c r="U145" s="153"/>
      <c r="V145" s="153"/>
      <c r="W145" s="153"/>
      <c r="X145" s="153"/>
      <c r="Y145" s="153"/>
      <c r="Z145" s="153"/>
    </row>
    <row r="146" ht="21.0" customHeight="1">
      <c r="A146" s="153">
        <v>9.397707E7</v>
      </c>
      <c r="B146" s="153" t="s">
        <v>323</v>
      </c>
      <c r="C146" s="154">
        <v>1.705482E7</v>
      </c>
      <c r="D146" s="154">
        <v>3.811219E7</v>
      </c>
      <c r="E146" s="154">
        <v>0.0</v>
      </c>
      <c r="F146" s="154">
        <v>0.0</v>
      </c>
      <c r="G146" s="154">
        <v>1456459.0</v>
      </c>
      <c r="H146" s="154">
        <v>81043.0</v>
      </c>
      <c r="I146" s="154">
        <v>3217566.0</v>
      </c>
      <c r="J146" s="154">
        <v>239867.0</v>
      </c>
      <c r="K146" s="154">
        <v>0.0</v>
      </c>
      <c r="L146" s="154">
        <v>4.819682768E9</v>
      </c>
      <c r="M146" s="154">
        <v>1.976E9</v>
      </c>
      <c r="N146" s="154">
        <v>30218.0</v>
      </c>
      <c r="O146" s="153" t="s">
        <v>233</v>
      </c>
      <c r="P146" s="153">
        <v>25.0</v>
      </c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21.0" customHeight="1">
      <c r="A147" s="153">
        <v>9.3652844E7</v>
      </c>
      <c r="B147" s="153" t="s">
        <v>324</v>
      </c>
      <c r="C147" s="154">
        <v>1.6792817E7</v>
      </c>
      <c r="D147" s="154">
        <v>155776.0</v>
      </c>
      <c r="E147" s="154">
        <v>0.0</v>
      </c>
      <c r="F147" s="154">
        <v>0.0</v>
      </c>
      <c r="G147" s="154">
        <v>1024.0</v>
      </c>
      <c r="H147" s="154">
        <v>9910.0</v>
      </c>
      <c r="I147" s="154">
        <v>3171.0</v>
      </c>
      <c r="J147" s="154">
        <v>4808.0</v>
      </c>
      <c r="K147" s="154">
        <v>0.0</v>
      </c>
      <c r="L147" s="154">
        <v>6.686298257E9</v>
      </c>
      <c r="M147" s="154">
        <v>7.576815403E9</v>
      </c>
      <c r="N147" s="154">
        <v>2039.0</v>
      </c>
      <c r="O147" s="153" t="s">
        <v>237</v>
      </c>
      <c r="P147" s="153">
        <v>25.0</v>
      </c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21.0" customHeight="1">
      <c r="A148" s="153">
        <v>1.59425846E8</v>
      </c>
      <c r="B148" s="153" t="s">
        <v>325</v>
      </c>
      <c r="C148" s="154">
        <v>1.675918E7</v>
      </c>
      <c r="D148" s="154">
        <v>1.8063899E7</v>
      </c>
      <c r="E148" s="154">
        <v>212121.0</v>
      </c>
      <c r="F148" s="154">
        <v>212121.0</v>
      </c>
      <c r="G148" s="154">
        <v>662432.0</v>
      </c>
      <c r="H148" s="154">
        <v>6.0</v>
      </c>
      <c r="I148" s="154">
        <v>313165.0</v>
      </c>
      <c r="J148" s="154">
        <v>746500.0</v>
      </c>
      <c r="K148" s="154">
        <v>0.0</v>
      </c>
      <c r="L148" s="154">
        <v>4.822286071E9</v>
      </c>
      <c r="M148" s="154">
        <v>0.0</v>
      </c>
      <c r="N148" s="154">
        <v>1954.0</v>
      </c>
      <c r="O148" s="153" t="s">
        <v>230</v>
      </c>
      <c r="P148" s="153">
        <v>25.0</v>
      </c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21.0" customHeight="1">
      <c r="A149" s="155">
        <v>1.96555794E8</v>
      </c>
      <c r="B149" s="155" t="s">
        <v>326</v>
      </c>
      <c r="C149" s="156">
        <v>1.6407632E7</v>
      </c>
      <c r="D149" s="156">
        <v>112502.0</v>
      </c>
      <c r="E149" s="156">
        <v>0.0</v>
      </c>
      <c r="F149" s="156">
        <v>0.0</v>
      </c>
      <c r="G149" s="156">
        <v>0.0</v>
      </c>
      <c r="H149" s="156">
        <v>105330.0</v>
      </c>
      <c r="I149" s="156">
        <v>401.0</v>
      </c>
      <c r="J149" s="156">
        <v>158.0</v>
      </c>
      <c r="K149" s="156">
        <v>0.0</v>
      </c>
      <c r="L149" s="156">
        <v>8.011823018E9</v>
      </c>
      <c r="M149" s="156">
        <v>3.432615507E9</v>
      </c>
      <c r="N149" s="156">
        <v>3141.0</v>
      </c>
      <c r="O149" s="155" t="s">
        <v>237</v>
      </c>
      <c r="P149" s="155">
        <v>23.0</v>
      </c>
      <c r="Q149" s="155"/>
      <c r="R149" s="155"/>
      <c r="S149" s="153"/>
      <c r="T149" s="153"/>
      <c r="U149" s="153"/>
      <c r="V149" s="153"/>
      <c r="W149" s="153"/>
      <c r="X149" s="153"/>
      <c r="Y149" s="153"/>
      <c r="Z149" s="153"/>
    </row>
    <row r="150" ht="21.0" customHeight="1">
      <c r="A150" s="153">
        <v>1.78759749E8</v>
      </c>
      <c r="B150" s="153" t="s">
        <v>327</v>
      </c>
      <c r="C150" s="154">
        <v>1.6044098E7</v>
      </c>
      <c r="D150" s="154">
        <v>123088.0</v>
      </c>
      <c r="E150" s="154">
        <v>0.0</v>
      </c>
      <c r="F150" s="154">
        <v>0.0</v>
      </c>
      <c r="G150" s="154">
        <v>127880.0</v>
      </c>
      <c r="H150" s="154">
        <v>362.0</v>
      </c>
      <c r="I150" s="154">
        <v>8565.0</v>
      </c>
      <c r="J150" s="154">
        <v>0.0</v>
      </c>
      <c r="K150" s="154">
        <v>0.0</v>
      </c>
      <c r="L150" s="154">
        <v>8.578865145E9</v>
      </c>
      <c r="M150" s="154">
        <v>7.964402378E9</v>
      </c>
      <c r="N150" s="154">
        <v>1675.0</v>
      </c>
      <c r="O150" s="153" t="s">
        <v>237</v>
      </c>
      <c r="P150" s="153">
        <v>25.0</v>
      </c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21.0" customHeight="1">
      <c r="A151" s="155">
        <v>1.44003473E8</v>
      </c>
      <c r="B151" s="155" t="s">
        <v>328</v>
      </c>
      <c r="C151" s="156">
        <v>1.5893551E7</v>
      </c>
      <c r="D151" s="156">
        <v>2822808.0</v>
      </c>
      <c r="E151" s="156">
        <v>0.0</v>
      </c>
      <c r="F151" s="156">
        <v>0.0</v>
      </c>
      <c r="G151" s="156">
        <v>799051.0</v>
      </c>
      <c r="H151" s="156">
        <v>10740.0</v>
      </c>
      <c r="I151" s="156">
        <v>213874.0</v>
      </c>
      <c r="J151" s="156">
        <v>26473.0</v>
      </c>
      <c r="K151" s="156">
        <v>0.0</v>
      </c>
      <c r="L151" s="156">
        <v>8.745454906E9</v>
      </c>
      <c r="M151" s="156">
        <v>7.136029275E9</v>
      </c>
      <c r="N151" s="156">
        <v>2769.0</v>
      </c>
      <c r="O151" s="155" t="s">
        <v>237</v>
      </c>
      <c r="P151" s="155">
        <v>24.0</v>
      </c>
      <c r="Q151" s="155"/>
      <c r="R151" s="155"/>
      <c r="S151" s="153"/>
      <c r="T151" s="153"/>
      <c r="U151" s="153"/>
      <c r="V151" s="153"/>
      <c r="W151" s="153"/>
      <c r="X151" s="153"/>
      <c r="Y151" s="153"/>
      <c r="Z151" s="153"/>
    </row>
    <row r="152" ht="21.0" customHeight="1">
      <c r="A152" s="155">
        <v>1.90202885E8</v>
      </c>
      <c r="B152" s="155" t="s">
        <v>329</v>
      </c>
      <c r="C152" s="156">
        <v>1.5737458E7</v>
      </c>
      <c r="D152" s="156">
        <v>141106.0</v>
      </c>
      <c r="E152" s="156">
        <v>0.0</v>
      </c>
      <c r="F152" s="156">
        <v>0.0</v>
      </c>
      <c r="G152" s="156">
        <v>825092.0</v>
      </c>
      <c r="H152" s="156">
        <v>30.0</v>
      </c>
      <c r="I152" s="156">
        <v>0.0</v>
      </c>
      <c r="J152" s="156">
        <v>7055.0</v>
      </c>
      <c r="K152" s="156">
        <v>0.0</v>
      </c>
      <c r="L152" s="156">
        <v>5.002601438E9</v>
      </c>
      <c r="M152" s="156">
        <v>2.86460658E9</v>
      </c>
      <c r="N152" s="156">
        <v>1386.0</v>
      </c>
      <c r="O152" s="155" t="s">
        <v>267</v>
      </c>
      <c r="P152" s="155">
        <v>24.0</v>
      </c>
      <c r="Q152" s="155"/>
      <c r="R152" s="155"/>
      <c r="S152" s="153"/>
      <c r="T152" s="153"/>
      <c r="U152" s="153"/>
      <c r="V152" s="153"/>
      <c r="W152" s="153"/>
      <c r="X152" s="153"/>
      <c r="Y152" s="153"/>
      <c r="Z152" s="153"/>
    </row>
    <row r="153" ht="21.0" customHeight="1">
      <c r="A153" s="155">
        <v>1.44017958E8</v>
      </c>
      <c r="B153" s="155" t="s">
        <v>330</v>
      </c>
      <c r="C153" s="156">
        <v>1.5124451E7</v>
      </c>
      <c r="D153" s="156">
        <v>645796.0</v>
      </c>
      <c r="E153" s="156">
        <v>0.0</v>
      </c>
      <c r="F153" s="156">
        <v>0.0</v>
      </c>
      <c r="G153" s="156">
        <v>1039792.0</v>
      </c>
      <c r="H153" s="156">
        <v>19183.0</v>
      </c>
      <c r="I153" s="156">
        <v>0.0</v>
      </c>
      <c r="J153" s="156">
        <v>32098.0</v>
      </c>
      <c r="K153" s="156">
        <v>0.0</v>
      </c>
      <c r="L153" s="156">
        <v>2.130650965E9</v>
      </c>
      <c r="M153" s="156">
        <v>0.0</v>
      </c>
      <c r="N153" s="156">
        <v>378.0</v>
      </c>
      <c r="O153" s="155" t="s">
        <v>277</v>
      </c>
      <c r="P153" s="155">
        <v>23.0</v>
      </c>
      <c r="Q153" s="155"/>
      <c r="R153" s="155"/>
      <c r="S153" s="153"/>
      <c r="T153" s="153"/>
      <c r="U153" s="153"/>
      <c r="V153" s="153"/>
      <c r="W153" s="153"/>
      <c r="X153" s="153"/>
      <c r="Y153" s="153"/>
      <c r="Z153" s="153"/>
    </row>
    <row r="154" ht="21.0" customHeight="1">
      <c r="A154" s="155">
        <v>1.31105326E8</v>
      </c>
      <c r="B154" s="155" t="s">
        <v>331</v>
      </c>
      <c r="C154" s="156">
        <v>1.5084755E7</v>
      </c>
      <c r="D154" s="156">
        <v>52342.0</v>
      </c>
      <c r="E154" s="156">
        <v>0.0</v>
      </c>
      <c r="F154" s="156">
        <v>0.0</v>
      </c>
      <c r="G154" s="156">
        <v>0.0</v>
      </c>
      <c r="H154" s="156">
        <v>8582.0</v>
      </c>
      <c r="I154" s="156">
        <v>3649.0</v>
      </c>
      <c r="J154" s="156">
        <v>0.0</v>
      </c>
      <c r="K154" s="156">
        <v>0.0</v>
      </c>
      <c r="L154" s="156">
        <v>8.45345725E9</v>
      </c>
      <c r="M154" s="156">
        <v>1.0683486974E10</v>
      </c>
      <c r="N154" s="156">
        <v>1723.0</v>
      </c>
      <c r="O154" s="155" t="s">
        <v>271</v>
      </c>
      <c r="P154" s="155">
        <v>24.0</v>
      </c>
      <c r="Q154" s="155"/>
      <c r="R154" s="155"/>
      <c r="S154" s="153"/>
      <c r="T154" s="153"/>
      <c r="U154" s="153"/>
      <c r="V154" s="153"/>
      <c r="W154" s="153"/>
      <c r="X154" s="153"/>
      <c r="Y154" s="153"/>
      <c r="Z154" s="153"/>
    </row>
    <row r="155" ht="21.0" customHeight="1">
      <c r="A155" s="155">
        <v>1.92309473E8</v>
      </c>
      <c r="B155" s="155" t="s">
        <v>332</v>
      </c>
      <c r="C155" s="156">
        <v>1.5064327E7</v>
      </c>
      <c r="D155" s="156">
        <v>0.0</v>
      </c>
      <c r="E155" s="156">
        <v>0.0</v>
      </c>
      <c r="F155" s="156">
        <v>0.0</v>
      </c>
      <c r="G155" s="156">
        <v>0.0</v>
      </c>
      <c r="H155" s="156">
        <v>0.0</v>
      </c>
      <c r="I155" s="156">
        <v>0.0</v>
      </c>
      <c r="J155" s="156">
        <v>0.0</v>
      </c>
      <c r="K155" s="156">
        <v>0.0</v>
      </c>
      <c r="L155" s="156">
        <v>8.074433203E9</v>
      </c>
      <c r="M155" s="156">
        <v>3.661332907E9</v>
      </c>
      <c r="N155" s="156">
        <v>1554.0</v>
      </c>
      <c r="O155" s="155" t="s">
        <v>237</v>
      </c>
      <c r="P155" s="155">
        <v>24.0</v>
      </c>
      <c r="Q155" s="155"/>
      <c r="R155" s="155"/>
      <c r="S155" s="153"/>
      <c r="T155" s="153"/>
      <c r="U155" s="153"/>
      <c r="V155" s="153"/>
      <c r="W155" s="153"/>
      <c r="X155" s="153"/>
      <c r="Y155" s="153"/>
      <c r="Z155" s="153"/>
    </row>
    <row r="156" ht="21.0" customHeight="1">
      <c r="A156" s="153">
        <v>1.79651678E8</v>
      </c>
      <c r="B156" s="153" t="s">
        <v>333</v>
      </c>
      <c r="C156" s="154">
        <v>1.4959447E7</v>
      </c>
      <c r="D156" s="154">
        <v>1.3361107E7</v>
      </c>
      <c r="E156" s="154">
        <v>40091.0</v>
      </c>
      <c r="F156" s="154">
        <v>40091.0</v>
      </c>
      <c r="G156" s="154">
        <v>1900804.0</v>
      </c>
      <c r="H156" s="154">
        <v>593649.0</v>
      </c>
      <c r="I156" s="154">
        <v>703881.0</v>
      </c>
      <c r="J156" s="154">
        <v>304069.0</v>
      </c>
      <c r="K156" s="154">
        <v>0.0</v>
      </c>
      <c r="L156" s="154">
        <v>6.944999875E9</v>
      </c>
      <c r="M156" s="154">
        <v>5.315016721E9</v>
      </c>
      <c r="N156" s="154">
        <v>2455.0</v>
      </c>
      <c r="O156" s="153" t="s">
        <v>230</v>
      </c>
      <c r="P156" s="153">
        <v>25.0</v>
      </c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21.0" customHeight="1">
      <c r="A157" s="155">
        <v>1.92376835E8</v>
      </c>
      <c r="B157" s="155" t="s">
        <v>334</v>
      </c>
      <c r="C157" s="156">
        <v>1.4950141E7</v>
      </c>
      <c r="D157" s="156">
        <v>0.0</v>
      </c>
      <c r="E157" s="156">
        <v>0.0</v>
      </c>
      <c r="F157" s="156">
        <v>0.0</v>
      </c>
      <c r="G157" s="156">
        <v>0.0</v>
      </c>
      <c r="H157" s="156">
        <v>0.0</v>
      </c>
      <c r="I157" s="156">
        <v>0.0</v>
      </c>
      <c r="J157" s="156">
        <v>0.0</v>
      </c>
      <c r="K157" s="156">
        <v>0.0</v>
      </c>
      <c r="L157" s="156">
        <v>7.879761087E9</v>
      </c>
      <c r="M157" s="156">
        <v>3.673808969E9</v>
      </c>
      <c r="N157" s="156">
        <v>1579.0</v>
      </c>
      <c r="O157" s="155" t="s">
        <v>237</v>
      </c>
      <c r="P157" s="155">
        <v>24.0</v>
      </c>
      <c r="Q157" s="155"/>
      <c r="R157" s="155"/>
      <c r="S157" s="153"/>
      <c r="T157" s="153"/>
      <c r="U157" s="153"/>
      <c r="V157" s="153"/>
      <c r="W157" s="153"/>
      <c r="X157" s="153"/>
      <c r="Y157" s="153"/>
      <c r="Z157" s="153"/>
    </row>
    <row r="158" ht="21.0" customHeight="1">
      <c r="A158" s="155">
        <v>1.83302822E8</v>
      </c>
      <c r="B158" s="155" t="s">
        <v>335</v>
      </c>
      <c r="C158" s="156">
        <v>1.485746E7</v>
      </c>
      <c r="D158" s="156">
        <v>1542546.0</v>
      </c>
      <c r="E158" s="156">
        <v>0.0</v>
      </c>
      <c r="F158" s="156">
        <v>0.0</v>
      </c>
      <c r="G158" s="156">
        <v>1851903.0</v>
      </c>
      <c r="H158" s="156">
        <v>28604.0</v>
      </c>
      <c r="I158" s="156">
        <v>64450.0</v>
      </c>
      <c r="J158" s="156">
        <v>37278.0</v>
      </c>
      <c r="K158" s="156">
        <v>0.0</v>
      </c>
      <c r="L158" s="156">
        <v>5.266614198E9</v>
      </c>
      <c r="M158" s="156">
        <v>4.519501571E9</v>
      </c>
      <c r="N158" s="156">
        <v>1537.0</v>
      </c>
      <c r="O158" s="155" t="s">
        <v>271</v>
      </c>
      <c r="P158" s="155">
        <v>24.0</v>
      </c>
      <c r="Q158" s="155"/>
      <c r="R158" s="155"/>
      <c r="S158" s="153"/>
      <c r="T158" s="153"/>
      <c r="U158" s="153"/>
      <c r="V158" s="153"/>
      <c r="W158" s="153"/>
      <c r="X158" s="153"/>
      <c r="Y158" s="153"/>
      <c r="Z158" s="153"/>
    </row>
    <row r="159" ht="21.0" customHeight="1">
      <c r="A159" s="155">
        <v>9.5732009E7</v>
      </c>
      <c r="B159" s="155" t="s">
        <v>336</v>
      </c>
      <c r="C159" s="156">
        <v>1.470904E7</v>
      </c>
      <c r="D159" s="156">
        <v>1061225.0</v>
      </c>
      <c r="E159" s="156">
        <v>0.0</v>
      </c>
      <c r="F159" s="156">
        <v>0.0</v>
      </c>
      <c r="G159" s="156">
        <v>446335.0</v>
      </c>
      <c r="H159" s="156">
        <v>32265.0</v>
      </c>
      <c r="I159" s="156">
        <v>86422.0</v>
      </c>
      <c r="J159" s="156">
        <v>6764.0</v>
      </c>
      <c r="K159" s="156">
        <v>0.0</v>
      </c>
      <c r="L159" s="156">
        <v>1.776045939E9</v>
      </c>
      <c r="M159" s="156">
        <v>1.159226599E9</v>
      </c>
      <c r="N159" s="156">
        <v>1118.0</v>
      </c>
      <c r="O159" s="155" t="s">
        <v>337</v>
      </c>
      <c r="P159" s="155">
        <v>22.0</v>
      </c>
      <c r="Q159" s="155"/>
      <c r="R159" s="155"/>
      <c r="S159" s="153"/>
      <c r="T159" s="153"/>
      <c r="U159" s="153"/>
      <c r="V159" s="153"/>
      <c r="W159" s="153"/>
      <c r="X159" s="153"/>
      <c r="Y159" s="153"/>
      <c r="Z159" s="153"/>
    </row>
    <row r="160" ht="21.0" customHeight="1">
      <c r="A160" s="155">
        <v>9.0073079E7</v>
      </c>
      <c r="B160" s="155" t="s">
        <v>338</v>
      </c>
      <c r="C160" s="156">
        <v>1.4549378E7</v>
      </c>
      <c r="D160" s="156">
        <v>442264.0</v>
      </c>
      <c r="E160" s="156">
        <v>0.0</v>
      </c>
      <c r="F160" s="156">
        <v>0.0</v>
      </c>
      <c r="G160" s="156">
        <v>12587.0</v>
      </c>
      <c r="H160" s="156">
        <v>95320.0</v>
      </c>
      <c r="I160" s="156">
        <v>8707.0</v>
      </c>
      <c r="J160" s="156">
        <v>0.0</v>
      </c>
      <c r="K160" s="156">
        <v>0.0</v>
      </c>
      <c r="L160" s="156">
        <v>1.2475074501E10</v>
      </c>
      <c r="M160" s="156">
        <v>1.4927882156E10</v>
      </c>
      <c r="N160" s="156">
        <v>5253.0</v>
      </c>
      <c r="O160" s="155" t="s">
        <v>271</v>
      </c>
      <c r="P160" s="155">
        <v>22.0</v>
      </c>
      <c r="Q160" s="155"/>
      <c r="R160" s="155"/>
      <c r="S160" s="153"/>
      <c r="T160" s="153"/>
      <c r="U160" s="153"/>
      <c r="V160" s="153"/>
      <c r="W160" s="153"/>
      <c r="X160" s="153"/>
      <c r="Y160" s="153"/>
      <c r="Z160" s="153"/>
    </row>
    <row r="161" ht="21.0" customHeight="1">
      <c r="A161" s="155">
        <v>6.8375667E7</v>
      </c>
      <c r="B161" s="155" t="s">
        <v>339</v>
      </c>
      <c r="C161" s="156">
        <v>1.4333942E7</v>
      </c>
      <c r="D161" s="156">
        <v>5464.0</v>
      </c>
      <c r="E161" s="156">
        <v>0.0</v>
      </c>
      <c r="F161" s="156">
        <v>0.0</v>
      </c>
      <c r="G161" s="156">
        <v>0.0</v>
      </c>
      <c r="H161" s="156">
        <v>1771.0</v>
      </c>
      <c r="I161" s="156">
        <v>0.0</v>
      </c>
      <c r="J161" s="156">
        <v>0.0</v>
      </c>
      <c r="K161" s="156">
        <v>0.0</v>
      </c>
      <c r="L161" s="156">
        <v>3.34737817E9</v>
      </c>
      <c r="M161" s="156">
        <v>0.0</v>
      </c>
      <c r="N161" s="156">
        <v>626.0</v>
      </c>
      <c r="O161" s="155" t="s">
        <v>267</v>
      </c>
      <c r="P161" s="155">
        <v>24.0</v>
      </c>
      <c r="Q161" s="155"/>
      <c r="R161" s="155"/>
      <c r="S161" s="153"/>
      <c r="T161" s="153"/>
      <c r="U161" s="153"/>
      <c r="V161" s="153"/>
      <c r="W161" s="153"/>
      <c r="X161" s="153"/>
      <c r="Y161" s="153"/>
      <c r="Z161" s="153"/>
    </row>
    <row r="162" ht="21.0" customHeight="1">
      <c r="A162" s="155">
        <v>1.71127947E8</v>
      </c>
      <c r="B162" s="155" t="s">
        <v>340</v>
      </c>
      <c r="C162" s="156">
        <v>1.4279847E7</v>
      </c>
      <c r="D162" s="156">
        <v>9603824.0</v>
      </c>
      <c r="E162" s="156">
        <v>0.0</v>
      </c>
      <c r="F162" s="156">
        <v>0.0</v>
      </c>
      <c r="G162" s="156">
        <v>1765766.0</v>
      </c>
      <c r="H162" s="156">
        <v>17910.0</v>
      </c>
      <c r="I162" s="156">
        <v>752982.0</v>
      </c>
      <c r="J162" s="156">
        <v>102627.0</v>
      </c>
      <c r="K162" s="156">
        <v>0.0</v>
      </c>
      <c r="L162" s="156">
        <v>4.108737234E9</v>
      </c>
      <c r="M162" s="156">
        <v>2.3642211E9</v>
      </c>
      <c r="N162" s="156">
        <v>1770.0</v>
      </c>
      <c r="O162" s="155" t="s">
        <v>237</v>
      </c>
      <c r="P162" s="155">
        <v>23.0</v>
      </c>
      <c r="Q162" s="155"/>
      <c r="R162" s="155"/>
      <c r="S162" s="153"/>
      <c r="T162" s="153"/>
      <c r="U162" s="153"/>
      <c r="V162" s="153"/>
      <c r="W162" s="153"/>
      <c r="X162" s="153"/>
      <c r="Y162" s="153"/>
      <c r="Z162" s="153"/>
    </row>
    <row r="163" ht="21.0" customHeight="1">
      <c r="A163" s="155">
        <v>8.7312053E7</v>
      </c>
      <c r="B163" s="155" t="s">
        <v>341</v>
      </c>
      <c r="C163" s="156">
        <v>1.4238421E7</v>
      </c>
      <c r="D163" s="156">
        <v>1422545.0</v>
      </c>
      <c r="E163" s="156">
        <v>0.0</v>
      </c>
      <c r="F163" s="156">
        <v>0.0</v>
      </c>
      <c r="G163" s="156">
        <v>137846.0</v>
      </c>
      <c r="H163" s="156">
        <v>205069.0</v>
      </c>
      <c r="I163" s="156">
        <v>11703.0</v>
      </c>
      <c r="J163" s="156">
        <v>0.0</v>
      </c>
      <c r="K163" s="156">
        <v>0.0</v>
      </c>
      <c r="L163" s="156">
        <v>1.1963434661E10</v>
      </c>
      <c r="M163" s="156">
        <v>1.3179131063E10</v>
      </c>
      <c r="N163" s="156">
        <v>6565.0</v>
      </c>
      <c r="O163" s="155" t="s">
        <v>271</v>
      </c>
      <c r="P163" s="155">
        <v>22.0</v>
      </c>
      <c r="Q163" s="155"/>
      <c r="R163" s="155"/>
      <c r="S163" s="153"/>
      <c r="T163" s="153"/>
      <c r="U163" s="153"/>
      <c r="V163" s="153"/>
      <c r="W163" s="153"/>
      <c r="X163" s="153"/>
      <c r="Y163" s="153"/>
      <c r="Z163" s="153"/>
    </row>
    <row r="164" ht="21.0" customHeight="1">
      <c r="A164" s="155">
        <v>1.86292814E8</v>
      </c>
      <c r="B164" s="155" t="s">
        <v>342</v>
      </c>
      <c r="C164" s="156">
        <v>1.4208886E7</v>
      </c>
      <c r="D164" s="156">
        <v>0.0</v>
      </c>
      <c r="E164" s="156">
        <v>0.0</v>
      </c>
      <c r="F164" s="156">
        <v>0.0</v>
      </c>
      <c r="G164" s="156">
        <v>1713.0</v>
      </c>
      <c r="H164" s="156">
        <v>0.0</v>
      </c>
      <c r="I164" s="156">
        <v>0.0</v>
      </c>
      <c r="J164" s="156">
        <v>0.0</v>
      </c>
      <c r="K164" s="156">
        <v>0.0</v>
      </c>
      <c r="L164" s="156">
        <v>2.928723445E9</v>
      </c>
      <c r="M164" s="156">
        <v>7.7870587E8</v>
      </c>
      <c r="N164" s="156">
        <v>786.0</v>
      </c>
      <c r="O164" s="155" t="s">
        <v>237</v>
      </c>
      <c r="P164" s="155">
        <v>24.0</v>
      </c>
      <c r="Q164" s="155"/>
      <c r="R164" s="155"/>
      <c r="S164" s="153"/>
      <c r="T164" s="153"/>
      <c r="U164" s="153"/>
      <c r="V164" s="153"/>
      <c r="W164" s="153"/>
      <c r="X164" s="153"/>
      <c r="Y164" s="153"/>
      <c r="Z164" s="153"/>
    </row>
    <row r="165" ht="21.0" customHeight="1">
      <c r="A165" s="153">
        <v>6.7692991E7</v>
      </c>
      <c r="B165" s="153" t="s">
        <v>343</v>
      </c>
      <c r="C165" s="154">
        <v>1.4175071E7</v>
      </c>
      <c r="D165" s="154">
        <v>5.5674397E7</v>
      </c>
      <c r="E165" s="154">
        <v>0.0</v>
      </c>
      <c r="F165" s="154">
        <v>69.0</v>
      </c>
      <c r="G165" s="154">
        <v>3523654.0</v>
      </c>
      <c r="H165" s="154">
        <v>254237.0</v>
      </c>
      <c r="I165" s="154">
        <v>2653898.0</v>
      </c>
      <c r="J165" s="154">
        <v>1373193.0</v>
      </c>
      <c r="K165" s="154">
        <v>0.0</v>
      </c>
      <c r="L165" s="154">
        <v>7.257667007E9</v>
      </c>
      <c r="M165" s="154">
        <v>6.66372148E9</v>
      </c>
      <c r="N165" s="154">
        <v>5333.0</v>
      </c>
      <c r="O165" s="153" t="s">
        <v>249</v>
      </c>
      <c r="P165" s="153">
        <v>25.0</v>
      </c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21.0" customHeight="1">
      <c r="A166" s="155">
        <v>1.51248241E8</v>
      </c>
      <c r="B166" s="155" t="s">
        <v>344</v>
      </c>
      <c r="C166" s="156">
        <v>1.4088221E7</v>
      </c>
      <c r="D166" s="156">
        <v>1371541.0</v>
      </c>
      <c r="E166" s="156">
        <v>0.0</v>
      </c>
      <c r="F166" s="156">
        <v>0.0</v>
      </c>
      <c r="G166" s="156">
        <v>94486.0</v>
      </c>
      <c r="H166" s="156">
        <v>6395.0</v>
      </c>
      <c r="I166" s="156">
        <v>126790.0</v>
      </c>
      <c r="J166" s="156">
        <v>0.0</v>
      </c>
      <c r="K166" s="156">
        <v>0.0</v>
      </c>
      <c r="L166" s="156">
        <v>4.266207437E9</v>
      </c>
      <c r="M166" s="156">
        <v>1.654317496E9</v>
      </c>
      <c r="N166" s="156">
        <v>6071.0</v>
      </c>
      <c r="O166" s="155" t="s">
        <v>237</v>
      </c>
      <c r="P166" s="155">
        <v>24.0</v>
      </c>
      <c r="Q166" s="155"/>
      <c r="R166" s="155"/>
      <c r="S166" s="153"/>
      <c r="T166" s="153"/>
      <c r="U166" s="153"/>
      <c r="V166" s="153"/>
      <c r="W166" s="153"/>
      <c r="X166" s="153"/>
      <c r="Y166" s="153"/>
      <c r="Z166" s="153"/>
    </row>
    <row r="167" ht="21.0" customHeight="1">
      <c r="A167" s="155">
        <v>1.73868631E8</v>
      </c>
      <c r="B167" s="155" t="s">
        <v>345</v>
      </c>
      <c r="C167" s="156">
        <v>1.4020581E7</v>
      </c>
      <c r="D167" s="156">
        <v>994926.0</v>
      </c>
      <c r="E167" s="156">
        <v>0.0</v>
      </c>
      <c r="F167" s="156">
        <v>0.0</v>
      </c>
      <c r="G167" s="156">
        <v>242253.0</v>
      </c>
      <c r="H167" s="156">
        <v>19361.0</v>
      </c>
      <c r="I167" s="156">
        <v>3755.0</v>
      </c>
      <c r="J167" s="156">
        <v>0.0</v>
      </c>
      <c r="K167" s="156">
        <v>0.0</v>
      </c>
      <c r="L167" s="156">
        <v>8.379217403E9</v>
      </c>
      <c r="M167" s="156">
        <v>1.1840804835E10</v>
      </c>
      <c r="N167" s="156">
        <v>2671.0</v>
      </c>
      <c r="O167" s="155" t="s">
        <v>249</v>
      </c>
      <c r="P167" s="155">
        <v>22.0</v>
      </c>
      <c r="Q167" s="155"/>
      <c r="R167" s="155"/>
      <c r="S167" s="153"/>
      <c r="T167" s="153"/>
      <c r="U167" s="153"/>
      <c r="V167" s="153"/>
      <c r="W167" s="153"/>
      <c r="X167" s="153"/>
      <c r="Y167" s="153"/>
      <c r="Z167" s="153"/>
    </row>
    <row r="168" ht="21.0" customHeight="1">
      <c r="A168" s="155">
        <v>1.73962432E8</v>
      </c>
      <c r="B168" s="155" t="s">
        <v>346</v>
      </c>
      <c r="C168" s="156">
        <v>1.3979303E7</v>
      </c>
      <c r="D168" s="156">
        <v>602784.0</v>
      </c>
      <c r="E168" s="156">
        <v>0.0</v>
      </c>
      <c r="F168" s="156">
        <v>0.0</v>
      </c>
      <c r="G168" s="156">
        <v>53647.0</v>
      </c>
      <c r="H168" s="156">
        <v>74.0</v>
      </c>
      <c r="I168" s="156">
        <v>56829.0</v>
      </c>
      <c r="J168" s="156">
        <v>1724.0</v>
      </c>
      <c r="K168" s="156">
        <v>0.0</v>
      </c>
      <c r="L168" s="156">
        <v>6.587409282E9</v>
      </c>
      <c r="M168" s="156">
        <v>8.313233468E9</v>
      </c>
      <c r="N168" s="156">
        <v>1756.0</v>
      </c>
      <c r="O168" s="155" t="s">
        <v>249</v>
      </c>
      <c r="P168" s="155">
        <v>23.0</v>
      </c>
      <c r="Q168" s="155"/>
      <c r="R168" s="155"/>
      <c r="S168" s="153"/>
      <c r="T168" s="153"/>
      <c r="U168" s="153"/>
      <c r="V168" s="153"/>
      <c r="W168" s="153"/>
      <c r="X168" s="153"/>
      <c r="Y168" s="153"/>
      <c r="Z168" s="153"/>
    </row>
    <row r="169" ht="21.0" customHeight="1">
      <c r="A169" s="155">
        <v>8.9432154E7</v>
      </c>
      <c r="B169" s="155" t="s">
        <v>347</v>
      </c>
      <c r="C169" s="156">
        <v>1.3859936E7</v>
      </c>
      <c r="D169" s="156">
        <v>2306854.0</v>
      </c>
      <c r="E169" s="156">
        <v>0.0</v>
      </c>
      <c r="F169" s="156">
        <v>0.0</v>
      </c>
      <c r="G169" s="156">
        <v>552580.0</v>
      </c>
      <c r="H169" s="156">
        <v>11044.0</v>
      </c>
      <c r="I169" s="156">
        <v>192874.0</v>
      </c>
      <c r="J169" s="156">
        <v>0.0</v>
      </c>
      <c r="K169" s="156">
        <v>0.0</v>
      </c>
      <c r="L169" s="156">
        <v>1.2427316295E10</v>
      </c>
      <c r="M169" s="156">
        <v>1.4303220707E10</v>
      </c>
      <c r="N169" s="156">
        <v>4683.0</v>
      </c>
      <c r="O169" s="155" t="s">
        <v>271</v>
      </c>
      <c r="P169" s="155">
        <v>22.0</v>
      </c>
      <c r="Q169" s="155"/>
      <c r="R169" s="155"/>
      <c r="S169" s="153"/>
      <c r="T169" s="153"/>
      <c r="U169" s="153"/>
      <c r="V169" s="153"/>
      <c r="W169" s="153"/>
      <c r="X169" s="153"/>
      <c r="Y169" s="153"/>
      <c r="Z169" s="153"/>
    </row>
    <row r="170" ht="21.0" customHeight="1">
      <c r="A170" s="155">
        <v>1.5265234E8</v>
      </c>
      <c r="B170" s="155" t="s">
        <v>348</v>
      </c>
      <c r="C170" s="156">
        <v>1.3800334E7</v>
      </c>
      <c r="D170" s="156">
        <v>3280939.0</v>
      </c>
      <c r="E170" s="156">
        <v>0.0</v>
      </c>
      <c r="F170" s="156">
        <v>0.0</v>
      </c>
      <c r="G170" s="156">
        <v>2379037.0</v>
      </c>
      <c r="H170" s="156">
        <v>18066.0</v>
      </c>
      <c r="I170" s="156">
        <v>179178.0</v>
      </c>
      <c r="J170" s="156">
        <v>53452.0</v>
      </c>
      <c r="K170" s="156">
        <v>0.0</v>
      </c>
      <c r="L170" s="156">
        <v>8.376942822E9</v>
      </c>
      <c r="M170" s="156">
        <v>6.805845242E9</v>
      </c>
      <c r="N170" s="156">
        <v>1654.0</v>
      </c>
      <c r="O170" s="155" t="s">
        <v>271</v>
      </c>
      <c r="P170" s="155">
        <v>24.0</v>
      </c>
      <c r="Q170" s="155"/>
      <c r="R170" s="155"/>
      <c r="S170" s="153"/>
      <c r="T170" s="153"/>
      <c r="U170" s="153"/>
      <c r="V170" s="153"/>
      <c r="W170" s="153"/>
      <c r="X170" s="153"/>
      <c r="Y170" s="153"/>
      <c r="Z170" s="153"/>
    </row>
    <row r="171" ht="21.0" customHeight="1">
      <c r="A171" s="155">
        <v>1.52653457E8</v>
      </c>
      <c r="B171" s="155" t="s">
        <v>349</v>
      </c>
      <c r="C171" s="156">
        <v>1.3485741E7</v>
      </c>
      <c r="D171" s="156">
        <v>3195669.0</v>
      </c>
      <c r="E171" s="156">
        <v>0.0</v>
      </c>
      <c r="F171" s="156">
        <v>0.0</v>
      </c>
      <c r="G171" s="156">
        <v>2692068.0</v>
      </c>
      <c r="H171" s="156">
        <v>37019.0</v>
      </c>
      <c r="I171" s="156">
        <v>144359.0</v>
      </c>
      <c r="J171" s="156">
        <v>72708.0</v>
      </c>
      <c r="K171" s="156">
        <v>0.0</v>
      </c>
      <c r="L171" s="156">
        <v>8.34914473E9</v>
      </c>
      <c r="M171" s="156">
        <v>6.765689967E9</v>
      </c>
      <c r="N171" s="156">
        <v>1577.0</v>
      </c>
      <c r="O171" s="155" t="s">
        <v>271</v>
      </c>
      <c r="P171" s="155">
        <v>24.0</v>
      </c>
      <c r="Q171" s="155"/>
      <c r="R171" s="155"/>
      <c r="S171" s="153"/>
      <c r="T171" s="153"/>
      <c r="U171" s="153"/>
      <c r="V171" s="153"/>
      <c r="W171" s="153"/>
      <c r="X171" s="153"/>
      <c r="Y171" s="153"/>
      <c r="Z171" s="153"/>
    </row>
    <row r="172" ht="21.0" customHeight="1">
      <c r="A172" s="155">
        <v>8.7531547E7</v>
      </c>
      <c r="B172" s="155" t="s">
        <v>350</v>
      </c>
      <c r="C172" s="156">
        <v>1.3436417E7</v>
      </c>
      <c r="D172" s="156">
        <v>1588813.0</v>
      </c>
      <c r="E172" s="156">
        <v>0.0</v>
      </c>
      <c r="F172" s="156">
        <v>0.0</v>
      </c>
      <c r="G172" s="156">
        <v>692135.0</v>
      </c>
      <c r="H172" s="156">
        <v>309639.0</v>
      </c>
      <c r="I172" s="156">
        <v>82124.0</v>
      </c>
      <c r="J172" s="156">
        <v>962.0</v>
      </c>
      <c r="K172" s="156">
        <v>0.0</v>
      </c>
      <c r="L172" s="156">
        <v>1.1260806937E10</v>
      </c>
      <c r="M172" s="156">
        <v>1.2650606953E10</v>
      </c>
      <c r="N172" s="156">
        <v>4111.0</v>
      </c>
      <c r="O172" s="155" t="s">
        <v>271</v>
      </c>
      <c r="P172" s="155">
        <v>22.0</v>
      </c>
      <c r="Q172" s="155"/>
      <c r="R172" s="155"/>
      <c r="S172" s="153"/>
      <c r="T172" s="153"/>
      <c r="U172" s="153"/>
      <c r="V172" s="153"/>
      <c r="W172" s="153"/>
      <c r="X172" s="153"/>
      <c r="Y172" s="153"/>
      <c r="Z172" s="153"/>
    </row>
    <row r="173" ht="21.0" customHeight="1">
      <c r="A173" s="155">
        <v>2.12123377E8</v>
      </c>
      <c r="B173" s="155" t="s">
        <v>351</v>
      </c>
      <c r="C173" s="156">
        <v>1.3417511E7</v>
      </c>
      <c r="D173" s="156">
        <v>0.0</v>
      </c>
      <c r="E173" s="156">
        <v>0.0</v>
      </c>
      <c r="F173" s="156">
        <v>0.0</v>
      </c>
      <c r="G173" s="156">
        <v>0.0</v>
      </c>
      <c r="H173" s="156">
        <v>0.0</v>
      </c>
      <c r="I173" s="156">
        <v>0.0</v>
      </c>
      <c r="J173" s="156">
        <v>0.0</v>
      </c>
      <c r="K173" s="156">
        <v>0.0</v>
      </c>
      <c r="L173" s="156">
        <v>1.055900558E9</v>
      </c>
      <c r="M173" s="156">
        <v>8.00583957E8</v>
      </c>
      <c r="N173" s="156">
        <v>843.0</v>
      </c>
      <c r="O173" s="155" t="s">
        <v>271</v>
      </c>
      <c r="P173" s="155">
        <v>23.0</v>
      </c>
      <c r="Q173" s="155"/>
      <c r="R173" s="155"/>
      <c r="S173" s="153"/>
      <c r="T173" s="153"/>
      <c r="U173" s="153"/>
      <c r="V173" s="153"/>
      <c r="W173" s="153"/>
      <c r="X173" s="153"/>
      <c r="Y173" s="153"/>
      <c r="Z173" s="153"/>
    </row>
    <row r="174" ht="21.0" customHeight="1">
      <c r="A174" s="155">
        <v>1.72151323E8</v>
      </c>
      <c r="B174" s="155" t="s">
        <v>352</v>
      </c>
      <c r="C174" s="156">
        <v>1.3415932E7</v>
      </c>
      <c r="D174" s="156">
        <v>887439.0</v>
      </c>
      <c r="E174" s="156">
        <v>0.0</v>
      </c>
      <c r="F174" s="156">
        <v>0.0</v>
      </c>
      <c r="G174" s="156">
        <v>781079.0</v>
      </c>
      <c r="H174" s="156">
        <v>24025.0</v>
      </c>
      <c r="I174" s="156">
        <v>15840.0</v>
      </c>
      <c r="J174" s="156">
        <v>33010.0</v>
      </c>
      <c r="K174" s="156">
        <v>0.0</v>
      </c>
      <c r="L174" s="156">
        <v>2.387109283E9</v>
      </c>
      <c r="M174" s="156">
        <v>2.331004646E9</v>
      </c>
      <c r="N174" s="156">
        <v>6662.0</v>
      </c>
      <c r="O174" s="155" t="s">
        <v>267</v>
      </c>
      <c r="P174" s="155">
        <v>24.0</v>
      </c>
      <c r="Q174" s="155"/>
      <c r="R174" s="155"/>
      <c r="S174" s="153"/>
      <c r="T174" s="153"/>
      <c r="U174" s="153"/>
      <c r="V174" s="153"/>
      <c r="W174" s="153"/>
      <c r="X174" s="153"/>
      <c r="Y174" s="153"/>
      <c r="Z174" s="153"/>
    </row>
    <row r="175" ht="21.0" customHeight="1">
      <c r="A175" s="155">
        <v>1.77721232E8</v>
      </c>
      <c r="B175" s="155" t="s">
        <v>353</v>
      </c>
      <c r="C175" s="156">
        <v>1.3218771E7</v>
      </c>
      <c r="D175" s="156">
        <v>169357.0</v>
      </c>
      <c r="E175" s="156">
        <v>0.0</v>
      </c>
      <c r="F175" s="156">
        <v>0.0</v>
      </c>
      <c r="G175" s="156">
        <v>716670.0</v>
      </c>
      <c r="H175" s="156">
        <v>3768.0</v>
      </c>
      <c r="I175" s="156">
        <v>16742.0</v>
      </c>
      <c r="J175" s="156">
        <v>0.0</v>
      </c>
      <c r="K175" s="156">
        <v>0.0</v>
      </c>
      <c r="L175" s="156">
        <v>9.464995441E9</v>
      </c>
      <c r="M175" s="156">
        <v>9.716275447E9</v>
      </c>
      <c r="N175" s="156">
        <v>2902.0</v>
      </c>
      <c r="O175" s="155" t="s">
        <v>237</v>
      </c>
      <c r="P175" s="155">
        <v>23.0</v>
      </c>
      <c r="Q175" s="155"/>
      <c r="R175" s="155"/>
      <c r="S175" s="153"/>
      <c r="T175" s="153"/>
      <c r="U175" s="153"/>
      <c r="V175" s="153"/>
      <c r="W175" s="153"/>
      <c r="X175" s="153"/>
      <c r="Y175" s="153"/>
      <c r="Z175" s="153"/>
    </row>
    <row r="176" ht="21.0" customHeight="1">
      <c r="A176" s="155">
        <v>1.86991365E8</v>
      </c>
      <c r="B176" s="155" t="s">
        <v>354</v>
      </c>
      <c r="C176" s="156">
        <v>1.3057647E7</v>
      </c>
      <c r="D176" s="156">
        <v>0.0</v>
      </c>
      <c r="E176" s="156">
        <v>0.0</v>
      </c>
      <c r="F176" s="156">
        <v>0.0</v>
      </c>
      <c r="G176" s="156">
        <v>0.0</v>
      </c>
      <c r="H176" s="156">
        <v>0.0</v>
      </c>
      <c r="I176" s="156">
        <v>0.0</v>
      </c>
      <c r="J176" s="156">
        <v>0.0</v>
      </c>
      <c r="K176" s="156">
        <v>0.0</v>
      </c>
      <c r="L176" s="156">
        <v>3.228939952E9</v>
      </c>
      <c r="M176" s="156">
        <v>3.650485715E9</v>
      </c>
      <c r="N176" s="156">
        <v>904.0</v>
      </c>
      <c r="O176" s="155" t="s">
        <v>271</v>
      </c>
      <c r="P176" s="155">
        <v>23.0</v>
      </c>
      <c r="Q176" s="155"/>
      <c r="R176" s="155"/>
      <c r="S176" s="153"/>
      <c r="T176" s="153"/>
      <c r="U176" s="153"/>
      <c r="V176" s="153"/>
      <c r="W176" s="153"/>
      <c r="X176" s="153"/>
      <c r="Y176" s="153"/>
      <c r="Z176" s="153"/>
    </row>
    <row r="177" ht="21.0" customHeight="1">
      <c r="A177" s="155">
        <v>1.86999076E8</v>
      </c>
      <c r="B177" s="155" t="s">
        <v>355</v>
      </c>
      <c r="C177" s="156">
        <v>1.2842209E7</v>
      </c>
      <c r="D177" s="156">
        <v>0.0</v>
      </c>
      <c r="E177" s="156">
        <v>0.0</v>
      </c>
      <c r="F177" s="156">
        <v>0.0</v>
      </c>
      <c r="G177" s="156">
        <v>0.0</v>
      </c>
      <c r="H177" s="156">
        <v>0.0</v>
      </c>
      <c r="I177" s="156">
        <v>0.0</v>
      </c>
      <c r="J177" s="156">
        <v>0.0</v>
      </c>
      <c r="K177" s="156">
        <v>0.0</v>
      </c>
      <c r="L177" s="156">
        <v>2.785299639E9</v>
      </c>
      <c r="M177" s="156">
        <v>2.719767766E9</v>
      </c>
      <c r="N177" s="156">
        <v>684.0</v>
      </c>
      <c r="O177" s="155" t="s">
        <v>271</v>
      </c>
      <c r="P177" s="155">
        <v>23.0</v>
      </c>
      <c r="Q177" s="155"/>
      <c r="R177" s="155"/>
      <c r="S177" s="153"/>
      <c r="T177" s="153"/>
      <c r="U177" s="153"/>
      <c r="V177" s="153"/>
      <c r="W177" s="153"/>
      <c r="X177" s="153"/>
      <c r="Y177" s="153"/>
      <c r="Z177" s="153"/>
    </row>
    <row r="178" ht="21.0" customHeight="1">
      <c r="A178" s="155">
        <v>1.77225071E8</v>
      </c>
      <c r="B178" s="155" t="s">
        <v>356</v>
      </c>
      <c r="C178" s="156">
        <v>1.2697169E7</v>
      </c>
      <c r="D178" s="156">
        <v>1033872.0</v>
      </c>
      <c r="E178" s="156">
        <v>0.0</v>
      </c>
      <c r="F178" s="156">
        <v>0.0</v>
      </c>
      <c r="G178" s="156">
        <v>2192960.0</v>
      </c>
      <c r="H178" s="156">
        <v>662231.0</v>
      </c>
      <c r="I178" s="156">
        <v>58320.0</v>
      </c>
      <c r="J178" s="156">
        <v>9575.0</v>
      </c>
      <c r="K178" s="156">
        <v>0.0</v>
      </c>
      <c r="L178" s="156">
        <v>6.430190718E9</v>
      </c>
      <c r="M178" s="156">
        <v>6.362115718E9</v>
      </c>
      <c r="N178" s="156">
        <v>1511.0</v>
      </c>
      <c r="O178" s="155" t="s">
        <v>237</v>
      </c>
      <c r="P178" s="155">
        <v>24.0</v>
      </c>
      <c r="Q178" s="155"/>
      <c r="R178" s="155"/>
      <c r="S178" s="153"/>
      <c r="T178" s="153"/>
      <c r="U178" s="153"/>
      <c r="V178" s="153"/>
      <c r="W178" s="153"/>
      <c r="X178" s="153"/>
      <c r="Y178" s="153"/>
      <c r="Z178" s="153"/>
    </row>
    <row r="179" ht="21.0" customHeight="1">
      <c r="A179" s="155">
        <v>7.7397858E7</v>
      </c>
      <c r="B179" s="155" t="s">
        <v>357</v>
      </c>
      <c r="C179" s="156">
        <v>1.2654803E7</v>
      </c>
      <c r="D179" s="156">
        <v>7720687.0</v>
      </c>
      <c r="E179" s="156">
        <v>0.0</v>
      </c>
      <c r="F179" s="156">
        <v>0.0</v>
      </c>
      <c r="G179" s="156">
        <v>1121881.0</v>
      </c>
      <c r="H179" s="156">
        <v>280829.0</v>
      </c>
      <c r="I179" s="156">
        <v>438868.0</v>
      </c>
      <c r="J179" s="156">
        <v>61751.0</v>
      </c>
      <c r="K179" s="156">
        <v>0.0</v>
      </c>
      <c r="L179" s="156">
        <v>7.45713424E8</v>
      </c>
      <c r="M179" s="156">
        <v>0.0</v>
      </c>
      <c r="N179" s="156">
        <v>1095.0</v>
      </c>
      <c r="O179" s="155" t="s">
        <v>233</v>
      </c>
      <c r="P179" s="155">
        <v>23.0</v>
      </c>
      <c r="Q179" s="155"/>
      <c r="R179" s="155"/>
      <c r="S179" s="153"/>
      <c r="T179" s="153"/>
      <c r="U179" s="153"/>
      <c r="V179" s="153"/>
      <c r="W179" s="153"/>
      <c r="X179" s="153"/>
      <c r="Y179" s="153"/>
      <c r="Z179" s="153"/>
    </row>
    <row r="180" ht="21.0" customHeight="1">
      <c r="A180" s="155">
        <v>8.7273183E7</v>
      </c>
      <c r="B180" s="155" t="s">
        <v>358</v>
      </c>
      <c r="C180" s="156">
        <v>1.2584462E7</v>
      </c>
      <c r="D180" s="156">
        <v>1562113.0</v>
      </c>
      <c r="E180" s="156">
        <v>0.0</v>
      </c>
      <c r="F180" s="156">
        <v>0.0</v>
      </c>
      <c r="G180" s="156">
        <v>629419.0</v>
      </c>
      <c r="H180" s="156">
        <v>84546.0</v>
      </c>
      <c r="I180" s="156">
        <v>135458.0</v>
      </c>
      <c r="J180" s="156">
        <v>0.0</v>
      </c>
      <c r="K180" s="156">
        <v>0.0</v>
      </c>
      <c r="L180" s="156">
        <v>1.1843394042E10</v>
      </c>
      <c r="M180" s="156">
        <v>1.2807133008E10</v>
      </c>
      <c r="N180" s="156">
        <v>4538.0</v>
      </c>
      <c r="O180" s="155" t="s">
        <v>271</v>
      </c>
      <c r="P180" s="155">
        <v>22.0</v>
      </c>
      <c r="Q180" s="155"/>
      <c r="R180" s="155"/>
      <c r="S180" s="153"/>
      <c r="T180" s="153"/>
      <c r="U180" s="153"/>
      <c r="V180" s="153"/>
      <c r="W180" s="153"/>
      <c r="X180" s="153"/>
      <c r="Y180" s="153"/>
      <c r="Z180" s="153"/>
    </row>
    <row r="181" ht="21.0" customHeight="1">
      <c r="A181" s="153">
        <v>1.84527302E8</v>
      </c>
      <c r="B181" s="153" t="s">
        <v>359</v>
      </c>
      <c r="C181" s="154">
        <v>1.251393E7</v>
      </c>
      <c r="D181" s="154">
        <v>2270388.0</v>
      </c>
      <c r="E181" s="154">
        <v>0.0</v>
      </c>
      <c r="F181" s="154">
        <v>17804.0</v>
      </c>
      <c r="G181" s="154">
        <v>391847.0</v>
      </c>
      <c r="H181" s="154">
        <v>54171.0</v>
      </c>
      <c r="I181" s="154">
        <v>6341.0</v>
      </c>
      <c r="J181" s="154">
        <v>109806.0</v>
      </c>
      <c r="K181" s="154">
        <v>0.0</v>
      </c>
      <c r="L181" s="154">
        <v>2.368949346E9</v>
      </c>
      <c r="M181" s="154">
        <v>1.1313724893E10</v>
      </c>
      <c r="N181" s="154">
        <v>643.0</v>
      </c>
      <c r="O181" s="153" t="s">
        <v>237</v>
      </c>
      <c r="P181" s="153">
        <v>25.0</v>
      </c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21.0" customHeight="1">
      <c r="A182" s="153">
        <v>6.5702055E7</v>
      </c>
      <c r="B182" s="153" t="s">
        <v>360</v>
      </c>
      <c r="C182" s="154">
        <v>1.2454803E7</v>
      </c>
      <c r="D182" s="154">
        <v>506067.0</v>
      </c>
      <c r="E182" s="154">
        <v>0.0</v>
      </c>
      <c r="F182" s="154">
        <v>0.0</v>
      </c>
      <c r="G182" s="154">
        <v>795024.0</v>
      </c>
      <c r="H182" s="154">
        <v>28966.0</v>
      </c>
      <c r="I182" s="154">
        <v>25195.0</v>
      </c>
      <c r="J182" s="154">
        <v>3024.0</v>
      </c>
      <c r="K182" s="154">
        <v>0.0</v>
      </c>
      <c r="L182" s="154">
        <v>1.0384794912E10</v>
      </c>
      <c r="M182" s="154">
        <v>1.0218488381E10</v>
      </c>
      <c r="N182" s="154">
        <v>2239.0</v>
      </c>
      <c r="O182" s="153" t="s">
        <v>267</v>
      </c>
      <c r="P182" s="153">
        <v>25.0</v>
      </c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21.0" customHeight="1">
      <c r="A183" s="155">
        <v>1.92778268E8</v>
      </c>
      <c r="B183" s="155" t="s">
        <v>361</v>
      </c>
      <c r="C183" s="156">
        <v>1.2426162E7</v>
      </c>
      <c r="D183" s="156">
        <v>261402.0</v>
      </c>
      <c r="E183" s="156">
        <v>0.0</v>
      </c>
      <c r="F183" s="156">
        <v>0.0</v>
      </c>
      <c r="G183" s="156">
        <v>481252.0</v>
      </c>
      <c r="H183" s="156">
        <v>960.0</v>
      </c>
      <c r="I183" s="156">
        <v>20856.0</v>
      </c>
      <c r="J183" s="156">
        <v>2629.0</v>
      </c>
      <c r="K183" s="156">
        <v>0.0</v>
      </c>
      <c r="L183" s="156">
        <v>2.385755414E9</v>
      </c>
      <c r="M183" s="156">
        <v>1.8633691E9</v>
      </c>
      <c r="N183" s="156">
        <v>930.0</v>
      </c>
      <c r="O183" s="155" t="s">
        <v>249</v>
      </c>
      <c r="P183" s="155">
        <v>23.0</v>
      </c>
      <c r="Q183" s="155"/>
      <c r="R183" s="155"/>
      <c r="S183" s="153"/>
      <c r="T183" s="153"/>
      <c r="U183" s="153"/>
      <c r="V183" s="153"/>
      <c r="W183" s="153"/>
      <c r="X183" s="153"/>
      <c r="Y183" s="153"/>
      <c r="Z183" s="153"/>
    </row>
    <row r="184" ht="21.0" customHeight="1">
      <c r="A184" s="155">
        <v>1.04333804E8</v>
      </c>
      <c r="B184" s="155" t="s">
        <v>362</v>
      </c>
      <c r="C184" s="156">
        <v>1.2410395E7</v>
      </c>
      <c r="D184" s="156">
        <v>1832974.0</v>
      </c>
      <c r="E184" s="156">
        <v>0.0</v>
      </c>
      <c r="F184" s="156">
        <v>0.0</v>
      </c>
      <c r="G184" s="156">
        <v>665217.0</v>
      </c>
      <c r="H184" s="156">
        <v>175972.0</v>
      </c>
      <c r="I184" s="156">
        <v>105192.0</v>
      </c>
      <c r="J184" s="156">
        <v>13980.0</v>
      </c>
      <c r="K184" s="156">
        <v>0.0</v>
      </c>
      <c r="L184" s="156">
        <v>4.41665998E8</v>
      </c>
      <c r="M184" s="156">
        <v>0.0</v>
      </c>
      <c r="N184" s="156">
        <v>1209.0</v>
      </c>
      <c r="O184" s="155" t="s">
        <v>249</v>
      </c>
      <c r="P184" s="155">
        <v>24.0</v>
      </c>
      <c r="Q184" s="155"/>
      <c r="R184" s="155"/>
      <c r="S184" s="153"/>
      <c r="T184" s="153"/>
      <c r="U184" s="153"/>
      <c r="V184" s="153"/>
      <c r="W184" s="153"/>
      <c r="X184" s="153"/>
      <c r="Y184" s="153"/>
      <c r="Z184" s="153"/>
    </row>
    <row r="185" ht="21.0" customHeight="1">
      <c r="A185" s="155">
        <v>1.38285772E8</v>
      </c>
      <c r="B185" s="155" t="s">
        <v>363</v>
      </c>
      <c r="C185" s="156">
        <v>1.2267324E7</v>
      </c>
      <c r="D185" s="156">
        <v>188240.0</v>
      </c>
      <c r="E185" s="156">
        <v>0.0</v>
      </c>
      <c r="F185" s="156">
        <v>0.0</v>
      </c>
      <c r="G185" s="156">
        <v>31313.0</v>
      </c>
      <c r="H185" s="156">
        <v>0.0</v>
      </c>
      <c r="I185" s="156">
        <v>18824.0</v>
      </c>
      <c r="J185" s="156">
        <v>0.0</v>
      </c>
      <c r="K185" s="156">
        <v>0.0</v>
      </c>
      <c r="L185" s="156">
        <v>7.738761333E9</v>
      </c>
      <c r="M185" s="156">
        <v>1.0629568903E10</v>
      </c>
      <c r="N185" s="156">
        <v>1526.0</v>
      </c>
      <c r="O185" s="155" t="s">
        <v>271</v>
      </c>
      <c r="P185" s="155">
        <v>24.0</v>
      </c>
      <c r="Q185" s="155"/>
      <c r="R185" s="155"/>
      <c r="S185" s="153"/>
      <c r="T185" s="153"/>
      <c r="U185" s="153"/>
      <c r="V185" s="153"/>
      <c r="W185" s="153"/>
      <c r="X185" s="153"/>
      <c r="Y185" s="153"/>
      <c r="Z185" s="153"/>
    </row>
    <row r="186" ht="21.0" customHeight="1">
      <c r="A186" s="155">
        <v>1.6604384E8</v>
      </c>
      <c r="B186" s="155" t="s">
        <v>364</v>
      </c>
      <c r="C186" s="156">
        <v>1.2160344E7</v>
      </c>
      <c r="D186" s="156">
        <v>36517.0</v>
      </c>
      <c r="E186" s="156">
        <v>0.0</v>
      </c>
      <c r="F186" s="156">
        <v>0.0</v>
      </c>
      <c r="G186" s="156">
        <v>0.0</v>
      </c>
      <c r="H186" s="156">
        <v>7887.0</v>
      </c>
      <c r="I186" s="156">
        <v>3055.0</v>
      </c>
      <c r="J186" s="156">
        <v>0.0</v>
      </c>
      <c r="K186" s="156">
        <v>0.0</v>
      </c>
      <c r="L186" s="156">
        <v>8.340204338E9</v>
      </c>
      <c r="M186" s="156">
        <v>8.435210235E9</v>
      </c>
      <c r="N186" s="156">
        <v>3019.0</v>
      </c>
      <c r="O186" s="155" t="s">
        <v>271</v>
      </c>
      <c r="P186" s="155">
        <v>23.0</v>
      </c>
      <c r="Q186" s="155"/>
      <c r="R186" s="155"/>
      <c r="S186" s="153"/>
      <c r="T186" s="153"/>
      <c r="U186" s="153"/>
      <c r="V186" s="153"/>
      <c r="W186" s="153"/>
      <c r="X186" s="153"/>
      <c r="Y186" s="153"/>
      <c r="Z186" s="153"/>
    </row>
    <row r="187" ht="21.0" customHeight="1">
      <c r="A187" s="155">
        <v>1.27971579E8</v>
      </c>
      <c r="B187" s="155" t="s">
        <v>365</v>
      </c>
      <c r="C187" s="156">
        <v>1.2133441E7</v>
      </c>
      <c r="D187" s="156">
        <v>237179.0</v>
      </c>
      <c r="E187" s="156">
        <v>0.0</v>
      </c>
      <c r="F187" s="156">
        <v>0.0</v>
      </c>
      <c r="G187" s="156">
        <v>194220.0</v>
      </c>
      <c r="H187" s="156">
        <v>73789.0</v>
      </c>
      <c r="I187" s="156">
        <v>9123.0</v>
      </c>
      <c r="J187" s="156">
        <v>2937.0</v>
      </c>
      <c r="K187" s="156">
        <v>0.0</v>
      </c>
      <c r="L187" s="156">
        <v>1.992404598E9</v>
      </c>
      <c r="M187" s="156">
        <v>1.55517302E9</v>
      </c>
      <c r="N187" s="156">
        <v>2781.0</v>
      </c>
      <c r="O187" s="155" t="s">
        <v>237</v>
      </c>
      <c r="P187" s="155">
        <v>23.0</v>
      </c>
      <c r="Q187" s="155"/>
      <c r="R187" s="155"/>
      <c r="S187" s="153"/>
      <c r="T187" s="153"/>
      <c r="U187" s="153"/>
      <c r="V187" s="153"/>
      <c r="W187" s="153"/>
      <c r="X187" s="153"/>
      <c r="Y187" s="153"/>
      <c r="Z187" s="153"/>
    </row>
    <row r="188" ht="21.0" customHeight="1">
      <c r="A188" s="155">
        <v>1.81171114E8</v>
      </c>
      <c r="B188" s="155" t="s">
        <v>366</v>
      </c>
      <c r="C188" s="156">
        <v>1.1968181E7</v>
      </c>
      <c r="D188" s="156">
        <v>32912.0</v>
      </c>
      <c r="E188" s="156">
        <v>0.0</v>
      </c>
      <c r="F188" s="156">
        <v>0.0</v>
      </c>
      <c r="G188" s="156">
        <v>0.0</v>
      </c>
      <c r="H188" s="156">
        <v>0.0</v>
      </c>
      <c r="I188" s="156">
        <v>270.0</v>
      </c>
      <c r="J188" s="156">
        <v>1333.0</v>
      </c>
      <c r="K188" s="156">
        <v>0.0</v>
      </c>
      <c r="L188" s="156">
        <v>4.556041803E9</v>
      </c>
      <c r="M188" s="156">
        <v>5.660934838E9</v>
      </c>
      <c r="N188" s="156">
        <v>1043.0</v>
      </c>
      <c r="O188" s="155" t="s">
        <v>249</v>
      </c>
      <c r="P188" s="155">
        <v>23.0</v>
      </c>
      <c r="Q188" s="155"/>
      <c r="R188" s="155"/>
      <c r="S188" s="153"/>
      <c r="T188" s="153"/>
      <c r="U188" s="153"/>
      <c r="V188" s="153"/>
      <c r="W188" s="153"/>
      <c r="X188" s="153"/>
      <c r="Y188" s="153"/>
      <c r="Z188" s="153"/>
    </row>
    <row r="189" ht="21.0" customHeight="1">
      <c r="A189" s="153">
        <v>9.6284047E7</v>
      </c>
      <c r="B189" s="153" t="s">
        <v>367</v>
      </c>
      <c r="C189" s="154">
        <v>1.1926141E7</v>
      </c>
      <c r="D189" s="154">
        <v>43742.0</v>
      </c>
      <c r="E189" s="154">
        <v>0.0</v>
      </c>
      <c r="F189" s="154">
        <v>0.0</v>
      </c>
      <c r="G189" s="154">
        <v>57258.0</v>
      </c>
      <c r="H189" s="154">
        <v>913.0</v>
      </c>
      <c r="I189" s="154">
        <v>1456.0</v>
      </c>
      <c r="J189" s="154">
        <v>1390.0</v>
      </c>
      <c r="K189" s="154">
        <v>0.0</v>
      </c>
      <c r="L189" s="154">
        <v>2.7456301E9</v>
      </c>
      <c r="M189" s="154">
        <v>3.515321983E9</v>
      </c>
      <c r="N189" s="154">
        <v>1013.0</v>
      </c>
      <c r="O189" s="153" t="s">
        <v>237</v>
      </c>
      <c r="P189" s="153">
        <v>25.0</v>
      </c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21.0" customHeight="1">
      <c r="A190" s="155">
        <v>1.81177912E8</v>
      </c>
      <c r="B190" s="155" t="s">
        <v>368</v>
      </c>
      <c r="C190" s="156">
        <v>1.1919395E7</v>
      </c>
      <c r="D190" s="156">
        <v>0.0</v>
      </c>
      <c r="E190" s="156">
        <v>0.0</v>
      </c>
      <c r="F190" s="156">
        <v>0.0</v>
      </c>
      <c r="G190" s="156">
        <v>0.0</v>
      </c>
      <c r="H190" s="156">
        <v>0.0</v>
      </c>
      <c r="I190" s="156">
        <v>0.0</v>
      </c>
      <c r="J190" s="156">
        <v>0.0</v>
      </c>
      <c r="K190" s="156">
        <v>0.0</v>
      </c>
      <c r="L190" s="156">
        <v>4.223791164E9</v>
      </c>
      <c r="M190" s="156">
        <v>5.165941188E9</v>
      </c>
      <c r="N190" s="156">
        <v>981.0</v>
      </c>
      <c r="O190" s="155" t="s">
        <v>249</v>
      </c>
      <c r="P190" s="155">
        <v>23.0</v>
      </c>
      <c r="Q190" s="155"/>
      <c r="R190" s="155"/>
      <c r="S190" s="153"/>
      <c r="T190" s="153"/>
      <c r="U190" s="153"/>
      <c r="V190" s="153"/>
      <c r="W190" s="153"/>
      <c r="X190" s="153"/>
      <c r="Y190" s="153"/>
      <c r="Z190" s="153"/>
    </row>
    <row r="191" ht="21.0" customHeight="1">
      <c r="A191" s="153">
        <v>1.76614955E8</v>
      </c>
      <c r="B191" s="153" t="s">
        <v>369</v>
      </c>
      <c r="C191" s="154">
        <v>1.1884348E7</v>
      </c>
      <c r="D191" s="154">
        <v>4710518.0</v>
      </c>
      <c r="E191" s="154">
        <v>113098.0</v>
      </c>
      <c r="F191" s="154">
        <v>113098.0</v>
      </c>
      <c r="G191" s="154">
        <v>1987682.0</v>
      </c>
      <c r="H191" s="154">
        <v>206953.0</v>
      </c>
      <c r="I191" s="154">
        <v>256630.0</v>
      </c>
      <c r="J191" s="154">
        <v>85124.0</v>
      </c>
      <c r="K191" s="154">
        <v>0.0</v>
      </c>
      <c r="L191" s="154">
        <v>1.1889344863E10</v>
      </c>
      <c r="M191" s="154">
        <v>1.1468649701E10</v>
      </c>
      <c r="N191" s="154">
        <v>5206.0</v>
      </c>
      <c r="O191" s="153" t="s">
        <v>237</v>
      </c>
      <c r="P191" s="153">
        <v>25.0</v>
      </c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21.0" customHeight="1">
      <c r="A192" s="155">
        <v>1.28382827E8</v>
      </c>
      <c r="B192" s="155" t="s">
        <v>370</v>
      </c>
      <c r="C192" s="156">
        <v>1.1710868E7</v>
      </c>
      <c r="D192" s="156">
        <v>5689027.0</v>
      </c>
      <c r="E192" s="156">
        <v>0.0</v>
      </c>
      <c r="F192" s="156">
        <v>0.0</v>
      </c>
      <c r="G192" s="156">
        <v>1604666.0</v>
      </c>
      <c r="H192" s="156">
        <v>26229.0</v>
      </c>
      <c r="I192" s="156">
        <v>520858.0</v>
      </c>
      <c r="J192" s="156">
        <v>20165.0</v>
      </c>
      <c r="K192" s="156">
        <v>0.0</v>
      </c>
      <c r="L192" s="156">
        <v>1.0309668424E10</v>
      </c>
      <c r="M192" s="156">
        <v>1.2893006339E10</v>
      </c>
      <c r="N192" s="156">
        <v>2210.0</v>
      </c>
      <c r="O192" s="155" t="s">
        <v>271</v>
      </c>
      <c r="P192" s="155">
        <v>24.0</v>
      </c>
      <c r="Q192" s="155"/>
      <c r="R192" s="155"/>
      <c r="S192" s="153"/>
      <c r="T192" s="153"/>
      <c r="U192" s="153"/>
      <c r="V192" s="153"/>
      <c r="W192" s="153"/>
      <c r="X192" s="153"/>
      <c r="Y192" s="153"/>
      <c r="Z192" s="153"/>
    </row>
    <row r="193" ht="21.0" customHeight="1">
      <c r="A193" s="155">
        <v>1.44095312E8</v>
      </c>
      <c r="B193" s="155" t="s">
        <v>371</v>
      </c>
      <c r="C193" s="156">
        <v>1.1601376E7</v>
      </c>
      <c r="D193" s="156">
        <v>1433010.0</v>
      </c>
      <c r="E193" s="156">
        <v>0.0</v>
      </c>
      <c r="F193" s="156">
        <v>0.0</v>
      </c>
      <c r="G193" s="156">
        <v>27213.0</v>
      </c>
      <c r="H193" s="156">
        <v>44181.0</v>
      </c>
      <c r="I193" s="156">
        <v>105780.0</v>
      </c>
      <c r="J193" s="156">
        <v>0.0</v>
      </c>
      <c r="K193" s="156">
        <v>0.0</v>
      </c>
      <c r="L193" s="156">
        <v>1.423873189E9</v>
      </c>
      <c r="M193" s="156">
        <v>0.0</v>
      </c>
      <c r="N193" s="156">
        <v>2741.0</v>
      </c>
      <c r="O193" s="155" t="s">
        <v>372</v>
      </c>
      <c r="P193" s="155">
        <v>24.0</v>
      </c>
      <c r="Q193" s="155"/>
      <c r="R193" s="155"/>
      <c r="S193" s="153"/>
      <c r="T193" s="153"/>
      <c r="U193" s="153"/>
      <c r="V193" s="153"/>
      <c r="W193" s="153"/>
      <c r="X193" s="153"/>
      <c r="Y193" s="153"/>
      <c r="Z193" s="153"/>
    </row>
    <row r="194" ht="21.0" customHeight="1">
      <c r="A194" s="155">
        <v>9.5732933E7</v>
      </c>
      <c r="B194" s="155" t="s">
        <v>373</v>
      </c>
      <c r="C194" s="156">
        <v>1.1570709E7</v>
      </c>
      <c r="D194" s="156">
        <v>514295.0</v>
      </c>
      <c r="E194" s="156">
        <v>0.0</v>
      </c>
      <c r="F194" s="156">
        <v>0.0</v>
      </c>
      <c r="G194" s="156">
        <v>283468.0</v>
      </c>
      <c r="H194" s="156">
        <v>11727.0</v>
      </c>
      <c r="I194" s="156">
        <v>16994.0</v>
      </c>
      <c r="J194" s="156">
        <v>118.0</v>
      </c>
      <c r="K194" s="156">
        <v>0.0</v>
      </c>
      <c r="L194" s="156">
        <v>1.244262932E9</v>
      </c>
      <c r="M194" s="156">
        <v>9.49380001E8</v>
      </c>
      <c r="N194" s="156">
        <v>2646.0</v>
      </c>
      <c r="O194" s="155" t="s">
        <v>267</v>
      </c>
      <c r="P194" s="155">
        <v>22.0</v>
      </c>
      <c r="Q194" s="155"/>
      <c r="R194" s="155"/>
      <c r="S194" s="153"/>
      <c r="T194" s="153"/>
      <c r="U194" s="153"/>
      <c r="V194" s="153"/>
      <c r="W194" s="153"/>
      <c r="X194" s="153"/>
      <c r="Y194" s="153"/>
      <c r="Z194" s="153"/>
    </row>
    <row r="195" ht="21.0" customHeight="1">
      <c r="A195" s="155">
        <v>6.9287686E7</v>
      </c>
      <c r="B195" s="155" t="s">
        <v>374</v>
      </c>
      <c r="C195" s="156">
        <v>1.1441362E7</v>
      </c>
      <c r="D195" s="156">
        <v>2027902.0</v>
      </c>
      <c r="E195" s="156">
        <v>0.0</v>
      </c>
      <c r="F195" s="156">
        <v>0.0</v>
      </c>
      <c r="G195" s="156">
        <v>235658.0</v>
      </c>
      <c r="H195" s="156">
        <v>457711.0</v>
      </c>
      <c r="I195" s="156">
        <v>39331.0</v>
      </c>
      <c r="J195" s="156">
        <v>0.0</v>
      </c>
      <c r="K195" s="156">
        <v>0.0</v>
      </c>
      <c r="L195" s="156">
        <v>6.610961752E9</v>
      </c>
      <c r="M195" s="156">
        <v>7.191670239E9</v>
      </c>
      <c r="N195" s="156">
        <v>3938.0</v>
      </c>
      <c r="O195" s="155" t="s">
        <v>271</v>
      </c>
      <c r="P195" s="155">
        <v>24.0</v>
      </c>
      <c r="Q195" s="155"/>
      <c r="R195" s="155"/>
      <c r="S195" s="153"/>
      <c r="T195" s="153"/>
      <c r="U195" s="153"/>
      <c r="V195" s="153"/>
      <c r="W195" s="153"/>
      <c r="X195" s="153"/>
      <c r="Y195" s="153"/>
      <c r="Z195" s="153"/>
    </row>
    <row r="196" ht="21.0" customHeight="1">
      <c r="A196" s="155">
        <v>1.76571744E8</v>
      </c>
      <c r="B196" s="155" t="s">
        <v>375</v>
      </c>
      <c r="C196" s="156">
        <v>1.1413514E7</v>
      </c>
      <c r="D196" s="156">
        <v>90653.0</v>
      </c>
      <c r="E196" s="156">
        <v>0.0</v>
      </c>
      <c r="F196" s="156">
        <v>0.0</v>
      </c>
      <c r="G196" s="156">
        <v>171035.0</v>
      </c>
      <c r="H196" s="156">
        <v>5.0</v>
      </c>
      <c r="I196" s="156">
        <v>8553.0</v>
      </c>
      <c r="J196" s="156">
        <v>256.0</v>
      </c>
      <c r="K196" s="156">
        <v>0.0</v>
      </c>
      <c r="L196" s="156">
        <v>2.003433865E9</v>
      </c>
      <c r="M196" s="156">
        <v>1.799850154E9</v>
      </c>
      <c r="N196" s="156">
        <v>684.0</v>
      </c>
      <c r="O196" s="155" t="s">
        <v>237</v>
      </c>
      <c r="P196" s="155">
        <v>23.0</v>
      </c>
      <c r="Q196" s="155"/>
      <c r="R196" s="155"/>
      <c r="S196" s="153"/>
      <c r="T196" s="153"/>
      <c r="U196" s="153"/>
      <c r="V196" s="153"/>
      <c r="W196" s="153"/>
      <c r="X196" s="153"/>
      <c r="Y196" s="153"/>
      <c r="Z196" s="153"/>
    </row>
    <row r="197" ht="21.0" customHeight="1">
      <c r="A197" s="155">
        <v>1.51510542E8</v>
      </c>
      <c r="B197" s="155" t="s">
        <v>376</v>
      </c>
      <c r="C197" s="156">
        <v>1.1278244E7</v>
      </c>
      <c r="D197" s="156">
        <v>3116343.0</v>
      </c>
      <c r="E197" s="156">
        <v>0.0</v>
      </c>
      <c r="F197" s="156">
        <v>0.0</v>
      </c>
      <c r="G197" s="156">
        <v>396601.0</v>
      </c>
      <c r="H197" s="156">
        <v>540468.0</v>
      </c>
      <c r="I197" s="156">
        <v>1031.0</v>
      </c>
      <c r="J197" s="156">
        <v>18629.0</v>
      </c>
      <c r="K197" s="156">
        <v>0.0</v>
      </c>
      <c r="L197" s="156">
        <v>1.98862047E9</v>
      </c>
      <c r="M197" s="156">
        <v>2085843.0</v>
      </c>
      <c r="N197" s="156">
        <v>5540.0</v>
      </c>
      <c r="O197" s="155" t="s">
        <v>267</v>
      </c>
      <c r="P197" s="155">
        <v>23.0</v>
      </c>
      <c r="Q197" s="155"/>
      <c r="R197" s="155"/>
      <c r="S197" s="153"/>
      <c r="T197" s="153"/>
      <c r="U197" s="153"/>
      <c r="V197" s="153"/>
      <c r="W197" s="153"/>
      <c r="X197" s="153"/>
      <c r="Y197" s="153"/>
      <c r="Z197" s="153"/>
    </row>
    <row r="198" ht="21.0" customHeight="1">
      <c r="A198" s="153">
        <v>1.71293992E8</v>
      </c>
      <c r="B198" s="153" t="s">
        <v>377</v>
      </c>
      <c r="C198" s="154">
        <v>1.1221554E7</v>
      </c>
      <c r="D198" s="154">
        <v>1539071.0</v>
      </c>
      <c r="E198" s="154">
        <v>0.0</v>
      </c>
      <c r="F198" s="154">
        <v>0.0</v>
      </c>
      <c r="G198" s="154">
        <v>1163927.0</v>
      </c>
      <c r="H198" s="154">
        <v>265108.0</v>
      </c>
      <c r="I198" s="154">
        <v>99031.0</v>
      </c>
      <c r="J198" s="154">
        <v>16819.0</v>
      </c>
      <c r="K198" s="154">
        <v>0.0</v>
      </c>
      <c r="L198" s="154">
        <v>2.315074409E9</v>
      </c>
      <c r="M198" s="154">
        <v>2.822861326E9</v>
      </c>
      <c r="N198" s="154">
        <v>959.0</v>
      </c>
      <c r="O198" s="153" t="s">
        <v>237</v>
      </c>
      <c r="P198" s="153">
        <v>25.0</v>
      </c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21.0" customHeight="1">
      <c r="A199" s="155">
        <v>1.73310899E8</v>
      </c>
      <c r="B199" s="155" t="s">
        <v>378</v>
      </c>
      <c r="C199" s="156">
        <v>1.1196759E7</v>
      </c>
      <c r="D199" s="156">
        <v>111342.0</v>
      </c>
      <c r="E199" s="156">
        <v>0.0</v>
      </c>
      <c r="F199" s="156">
        <v>0.0</v>
      </c>
      <c r="G199" s="156">
        <v>145605.0</v>
      </c>
      <c r="H199" s="156">
        <v>452.0</v>
      </c>
      <c r="I199" s="156">
        <v>10464.0</v>
      </c>
      <c r="J199" s="156">
        <v>0.0</v>
      </c>
      <c r="K199" s="156">
        <v>0.0</v>
      </c>
      <c r="L199" s="156">
        <v>2.050552673E9</v>
      </c>
      <c r="M199" s="156">
        <v>1.895059819E9</v>
      </c>
      <c r="N199" s="156">
        <v>640.0</v>
      </c>
      <c r="O199" s="155" t="s">
        <v>237</v>
      </c>
      <c r="P199" s="155">
        <v>23.0</v>
      </c>
      <c r="Q199" s="155"/>
      <c r="R199" s="155"/>
      <c r="S199" s="153"/>
      <c r="T199" s="153"/>
      <c r="U199" s="153"/>
      <c r="V199" s="153"/>
      <c r="W199" s="153"/>
      <c r="X199" s="153"/>
      <c r="Y199" s="153"/>
      <c r="Z199" s="153"/>
    </row>
    <row r="200" ht="21.0" customHeight="1">
      <c r="A200" s="155">
        <v>1.67125555E8</v>
      </c>
      <c r="B200" s="155" t="s">
        <v>379</v>
      </c>
      <c r="C200" s="156">
        <v>1.1150952E7</v>
      </c>
      <c r="D200" s="156">
        <v>53959.0</v>
      </c>
      <c r="E200" s="156">
        <v>0.0</v>
      </c>
      <c r="F200" s="156">
        <v>0.0</v>
      </c>
      <c r="G200" s="156">
        <v>0.0</v>
      </c>
      <c r="H200" s="156">
        <v>2077.0</v>
      </c>
      <c r="I200" s="156">
        <v>4939.0</v>
      </c>
      <c r="J200" s="156">
        <v>0.0</v>
      </c>
      <c r="K200" s="156">
        <v>0.0</v>
      </c>
      <c r="L200" s="156">
        <v>7.939836321E9</v>
      </c>
      <c r="M200" s="156">
        <v>7.821221081E9</v>
      </c>
      <c r="N200" s="156">
        <v>1678.0</v>
      </c>
      <c r="O200" s="155" t="s">
        <v>271</v>
      </c>
      <c r="P200" s="155">
        <v>23.0</v>
      </c>
      <c r="Q200" s="155"/>
      <c r="R200" s="155"/>
      <c r="S200" s="153"/>
      <c r="T200" s="153"/>
      <c r="U200" s="153"/>
      <c r="V200" s="153"/>
      <c r="W200" s="153"/>
      <c r="X200" s="153"/>
      <c r="Y200" s="153"/>
      <c r="Z200" s="153"/>
    </row>
    <row r="201" ht="21.0" customHeight="1">
      <c r="A201" s="155">
        <v>1.71770625E8</v>
      </c>
      <c r="B201" s="155" t="s">
        <v>380</v>
      </c>
      <c r="C201" s="156">
        <v>1.1103851E7</v>
      </c>
      <c r="D201" s="156">
        <v>91022.0</v>
      </c>
      <c r="E201" s="156">
        <v>0.0</v>
      </c>
      <c r="F201" s="156">
        <v>0.0</v>
      </c>
      <c r="G201" s="156">
        <v>234142.0</v>
      </c>
      <c r="H201" s="156">
        <v>7103.0</v>
      </c>
      <c r="I201" s="156">
        <v>6147.0</v>
      </c>
      <c r="J201" s="156">
        <v>857.0</v>
      </c>
      <c r="K201" s="156">
        <v>0.0</v>
      </c>
      <c r="L201" s="156">
        <v>2.015531112E9</v>
      </c>
      <c r="M201" s="156">
        <v>1.81813032E9</v>
      </c>
      <c r="N201" s="156">
        <v>910.0</v>
      </c>
      <c r="O201" s="155" t="s">
        <v>237</v>
      </c>
      <c r="P201" s="155">
        <v>23.0</v>
      </c>
      <c r="Q201" s="155"/>
      <c r="R201" s="155"/>
      <c r="S201" s="153"/>
      <c r="T201" s="153"/>
      <c r="U201" s="153"/>
      <c r="V201" s="153"/>
      <c r="W201" s="153"/>
      <c r="X201" s="153"/>
      <c r="Y201" s="153"/>
      <c r="Z201" s="153"/>
    </row>
    <row r="202" ht="21.0" customHeight="1">
      <c r="A202" s="155">
        <v>1.71233186E8</v>
      </c>
      <c r="B202" s="155" t="s">
        <v>381</v>
      </c>
      <c r="C202" s="156">
        <v>1.0648593E7</v>
      </c>
      <c r="D202" s="156">
        <v>971104.0</v>
      </c>
      <c r="E202" s="156">
        <v>0.0</v>
      </c>
      <c r="F202" s="156">
        <v>0.0</v>
      </c>
      <c r="G202" s="156">
        <v>4667.0</v>
      </c>
      <c r="H202" s="156">
        <v>0.0</v>
      </c>
      <c r="I202" s="156">
        <v>90418.0</v>
      </c>
      <c r="J202" s="156">
        <v>2023.0</v>
      </c>
      <c r="K202" s="156">
        <v>0.0</v>
      </c>
      <c r="L202" s="156">
        <v>1.1354536593E10</v>
      </c>
      <c r="M202" s="156">
        <v>8.108603226E9</v>
      </c>
      <c r="N202" s="156">
        <v>2415.0</v>
      </c>
      <c r="O202" s="155" t="s">
        <v>267</v>
      </c>
      <c r="P202" s="155">
        <v>23.0</v>
      </c>
      <c r="Q202" s="155"/>
      <c r="R202" s="155"/>
      <c r="S202" s="153"/>
      <c r="T202" s="153"/>
      <c r="U202" s="153"/>
      <c r="V202" s="153"/>
      <c r="W202" s="153"/>
      <c r="X202" s="153"/>
      <c r="Y202" s="153"/>
      <c r="Z202" s="153"/>
    </row>
    <row r="203" ht="21.0" customHeight="1">
      <c r="A203" s="155">
        <v>1.99046581E8</v>
      </c>
      <c r="B203" s="155" t="s">
        <v>382</v>
      </c>
      <c r="C203" s="156">
        <v>1.0555697E7</v>
      </c>
      <c r="D203" s="156">
        <v>811680.0</v>
      </c>
      <c r="E203" s="156">
        <v>0.0</v>
      </c>
      <c r="F203" s="156">
        <v>0.0</v>
      </c>
      <c r="G203" s="156">
        <v>0.0</v>
      </c>
      <c r="H203" s="156">
        <v>0.0</v>
      </c>
      <c r="I203" s="156">
        <v>212.0</v>
      </c>
      <c r="J203" s="156">
        <v>40478.0</v>
      </c>
      <c r="K203" s="156">
        <v>0.0</v>
      </c>
      <c r="L203" s="156">
        <v>3.509456374E9</v>
      </c>
      <c r="M203" s="156">
        <v>2.301602968E9</v>
      </c>
      <c r="N203" s="156">
        <v>744.0</v>
      </c>
      <c r="O203" s="155" t="s">
        <v>237</v>
      </c>
      <c r="P203" s="155">
        <v>23.0</v>
      </c>
      <c r="Q203" s="155"/>
      <c r="R203" s="155"/>
      <c r="S203" s="153"/>
      <c r="T203" s="153"/>
      <c r="U203" s="153"/>
      <c r="V203" s="153"/>
      <c r="W203" s="153"/>
      <c r="X203" s="153"/>
      <c r="Y203" s="153"/>
      <c r="Z203" s="153"/>
    </row>
    <row r="204" ht="21.0" customHeight="1">
      <c r="A204" s="155">
        <v>1.14834828E8</v>
      </c>
      <c r="B204" s="155" t="s">
        <v>383</v>
      </c>
      <c r="C204" s="156">
        <v>1.0461802E7</v>
      </c>
      <c r="D204" s="156">
        <v>2545490.0</v>
      </c>
      <c r="E204" s="156">
        <v>0.0</v>
      </c>
      <c r="F204" s="156">
        <v>0.0</v>
      </c>
      <c r="G204" s="156">
        <v>648186.0</v>
      </c>
      <c r="H204" s="156">
        <v>181924.0</v>
      </c>
      <c r="I204" s="156">
        <v>64602.0</v>
      </c>
      <c r="J204" s="156">
        <v>23672.0</v>
      </c>
      <c r="K204" s="156">
        <v>0.0</v>
      </c>
      <c r="L204" s="156">
        <v>2.245634226E9</v>
      </c>
      <c r="M204" s="156">
        <v>9.47171054E8</v>
      </c>
      <c r="N204" s="156">
        <v>1481.0</v>
      </c>
      <c r="O204" s="155" t="s">
        <v>267</v>
      </c>
      <c r="P204" s="155">
        <v>23.0</v>
      </c>
      <c r="Q204" s="155"/>
      <c r="R204" s="155"/>
      <c r="S204" s="153"/>
      <c r="T204" s="153"/>
      <c r="U204" s="153"/>
      <c r="V204" s="153"/>
      <c r="W204" s="153"/>
      <c r="X204" s="153"/>
      <c r="Y204" s="153"/>
      <c r="Z204" s="153"/>
    </row>
    <row r="205" ht="21.0" customHeight="1">
      <c r="A205" s="155">
        <v>1.49335105E8</v>
      </c>
      <c r="B205" s="155" t="s">
        <v>384</v>
      </c>
      <c r="C205" s="156">
        <v>1.0407706E7</v>
      </c>
      <c r="D205" s="156">
        <v>557579.0</v>
      </c>
      <c r="E205" s="156">
        <v>0.0</v>
      </c>
      <c r="F205" s="156">
        <v>0.0</v>
      </c>
      <c r="G205" s="156">
        <v>217099.0</v>
      </c>
      <c r="H205" s="156">
        <v>558.0</v>
      </c>
      <c r="I205" s="156">
        <v>38148.0</v>
      </c>
      <c r="J205" s="156">
        <v>0.0</v>
      </c>
      <c r="K205" s="156">
        <v>0.0</v>
      </c>
      <c r="L205" s="156">
        <v>6.168526755E9</v>
      </c>
      <c r="M205" s="156">
        <v>6.690992805E9</v>
      </c>
      <c r="N205" s="156">
        <v>1202.0</v>
      </c>
      <c r="O205" s="155" t="s">
        <v>271</v>
      </c>
      <c r="P205" s="155">
        <v>23.0</v>
      </c>
      <c r="Q205" s="155"/>
      <c r="R205" s="155"/>
      <c r="S205" s="153"/>
      <c r="T205" s="153"/>
      <c r="U205" s="153"/>
      <c r="V205" s="153"/>
      <c r="W205" s="153"/>
      <c r="X205" s="153"/>
      <c r="Y205" s="153"/>
      <c r="Z205" s="153"/>
    </row>
    <row r="206" ht="21.0" customHeight="1">
      <c r="A206" s="155">
        <v>2.02681373E8</v>
      </c>
      <c r="B206" s="155" t="s">
        <v>385</v>
      </c>
      <c r="C206" s="156">
        <v>1.0270735E7</v>
      </c>
      <c r="D206" s="156">
        <v>396.0</v>
      </c>
      <c r="E206" s="156">
        <v>0.0</v>
      </c>
      <c r="F206" s="156">
        <v>0.0</v>
      </c>
      <c r="G206" s="156">
        <v>0.0</v>
      </c>
      <c r="H206" s="156">
        <v>0.0</v>
      </c>
      <c r="I206" s="156">
        <v>0.0</v>
      </c>
      <c r="J206" s="156">
        <v>0.0</v>
      </c>
      <c r="K206" s="156">
        <v>0.0</v>
      </c>
      <c r="L206" s="156">
        <v>1.542391227E9</v>
      </c>
      <c r="M206" s="156">
        <v>9.012E8</v>
      </c>
      <c r="N206" s="156">
        <v>371.0</v>
      </c>
      <c r="O206" s="155" t="s">
        <v>386</v>
      </c>
      <c r="P206" s="155">
        <v>22.0</v>
      </c>
      <c r="Q206" s="155"/>
      <c r="R206" s="155"/>
      <c r="S206" s="153"/>
      <c r="T206" s="153"/>
      <c r="U206" s="153"/>
      <c r="V206" s="153"/>
      <c r="W206" s="153"/>
      <c r="X206" s="153"/>
      <c r="Y206" s="153"/>
      <c r="Z206" s="153"/>
    </row>
    <row r="207" ht="21.0" customHeight="1">
      <c r="A207" s="155">
        <v>2.02638038E8</v>
      </c>
      <c r="B207" s="155" t="s">
        <v>387</v>
      </c>
      <c r="C207" s="156">
        <v>1.0201672E7</v>
      </c>
      <c r="D207" s="156">
        <v>379661.0</v>
      </c>
      <c r="E207" s="156">
        <v>0.0</v>
      </c>
      <c r="F207" s="156">
        <v>0.0</v>
      </c>
      <c r="G207" s="156">
        <v>594391.0</v>
      </c>
      <c r="H207" s="156">
        <v>456.0</v>
      </c>
      <c r="I207" s="156">
        <v>829.0</v>
      </c>
      <c r="J207" s="156">
        <v>18564.0</v>
      </c>
      <c r="K207" s="156">
        <v>0.0</v>
      </c>
      <c r="L207" s="156">
        <v>9.418394074E9</v>
      </c>
      <c r="M207" s="156">
        <v>6.275698549E9</v>
      </c>
      <c r="N207" s="156">
        <v>1264.0</v>
      </c>
      <c r="O207" s="155" t="s">
        <v>271</v>
      </c>
      <c r="P207" s="155">
        <v>23.0</v>
      </c>
      <c r="Q207" s="155"/>
      <c r="R207" s="155"/>
      <c r="S207" s="153"/>
      <c r="T207" s="153"/>
      <c r="U207" s="153"/>
      <c r="V207" s="153"/>
      <c r="W207" s="153"/>
      <c r="X207" s="153"/>
      <c r="Y207" s="153"/>
      <c r="Z207" s="153"/>
    </row>
    <row r="208" ht="21.0" customHeight="1">
      <c r="A208" s="155">
        <v>1.4400776E8</v>
      </c>
      <c r="B208" s="155" t="s">
        <v>388</v>
      </c>
      <c r="C208" s="156">
        <v>1.0077436E7</v>
      </c>
      <c r="D208" s="156">
        <v>115320.0</v>
      </c>
      <c r="E208" s="156">
        <v>0.0</v>
      </c>
      <c r="F208" s="156">
        <v>0.0</v>
      </c>
      <c r="G208" s="156">
        <v>337263.0</v>
      </c>
      <c r="H208" s="156">
        <v>0.0</v>
      </c>
      <c r="I208" s="156">
        <v>0.0</v>
      </c>
      <c r="J208" s="156">
        <v>5766.0</v>
      </c>
      <c r="K208" s="156">
        <v>0.0</v>
      </c>
      <c r="L208" s="156">
        <v>1.337404541E9</v>
      </c>
      <c r="M208" s="156">
        <v>0.0</v>
      </c>
      <c r="N208" s="156">
        <v>277.0</v>
      </c>
      <c r="O208" s="155" t="s">
        <v>372</v>
      </c>
      <c r="P208" s="155">
        <v>23.0</v>
      </c>
      <c r="Q208" s="155"/>
      <c r="R208" s="155"/>
      <c r="S208" s="153"/>
      <c r="T208" s="153"/>
      <c r="U208" s="153"/>
      <c r="V208" s="153"/>
      <c r="W208" s="153"/>
      <c r="X208" s="153"/>
      <c r="Y208" s="153"/>
      <c r="Z208" s="153"/>
    </row>
    <row r="209" ht="21.0" customHeight="1">
      <c r="A209" s="155">
        <v>2.04180498E8</v>
      </c>
      <c r="B209" s="155" t="s">
        <v>389</v>
      </c>
      <c r="C209" s="156">
        <v>1.0026146E7</v>
      </c>
      <c r="D209" s="156">
        <v>-1.0</v>
      </c>
      <c r="E209" s="156">
        <v>0.0</v>
      </c>
      <c r="F209" s="156">
        <v>0.0</v>
      </c>
      <c r="G209" s="156">
        <v>106855.0</v>
      </c>
      <c r="H209" s="156">
        <v>0.0</v>
      </c>
      <c r="I209" s="156">
        <v>669.0</v>
      </c>
      <c r="J209" s="156">
        <v>0.0</v>
      </c>
      <c r="K209" s="156">
        <v>0.0</v>
      </c>
      <c r="L209" s="156">
        <v>1.750640073E9</v>
      </c>
      <c r="M209" s="156">
        <v>2.39414689E8</v>
      </c>
      <c r="N209" s="156">
        <v>535.0</v>
      </c>
      <c r="O209" s="155" t="s">
        <v>237</v>
      </c>
      <c r="P209" s="155">
        <v>23.0</v>
      </c>
      <c r="Q209" s="155"/>
      <c r="R209" s="155"/>
      <c r="S209" s="153"/>
      <c r="T209" s="153"/>
      <c r="U209" s="153"/>
      <c r="V209" s="153"/>
      <c r="W209" s="153"/>
      <c r="X209" s="153"/>
      <c r="Y209" s="153"/>
      <c r="Z209" s="153"/>
    </row>
    <row r="210" ht="21.0" customHeight="1">
      <c r="A210" s="155">
        <v>1.13555236E8</v>
      </c>
      <c r="B210" s="155" t="s">
        <v>390</v>
      </c>
      <c r="C210" s="156">
        <v>9965819.0</v>
      </c>
      <c r="D210" s="156">
        <v>103512.0</v>
      </c>
      <c r="E210" s="156">
        <v>0.0</v>
      </c>
      <c r="F210" s="156">
        <v>0.0</v>
      </c>
      <c r="G210" s="156">
        <v>134884.0</v>
      </c>
      <c r="H210" s="156">
        <v>463.0</v>
      </c>
      <c r="I210" s="156">
        <v>1291.0</v>
      </c>
      <c r="J210" s="156">
        <v>2911.0</v>
      </c>
      <c r="K210" s="156">
        <v>0.0</v>
      </c>
      <c r="L210" s="156">
        <v>4.05726641E9</v>
      </c>
      <c r="M210" s="156">
        <v>3.681322204E9</v>
      </c>
      <c r="N210" s="156">
        <v>2872.0</v>
      </c>
      <c r="O210" s="155" t="s">
        <v>233</v>
      </c>
      <c r="P210" s="155">
        <v>23.0</v>
      </c>
      <c r="Q210" s="155"/>
      <c r="R210" s="155"/>
      <c r="S210" s="153"/>
      <c r="T210" s="153"/>
      <c r="U210" s="153"/>
      <c r="V210" s="153"/>
      <c r="W210" s="153"/>
      <c r="X210" s="153"/>
      <c r="Y210" s="153"/>
      <c r="Z210" s="153"/>
    </row>
    <row r="211" ht="21.0" customHeight="1">
      <c r="A211" s="155">
        <v>1.49337313E8</v>
      </c>
      <c r="B211" s="155" t="s">
        <v>391</v>
      </c>
      <c r="C211" s="156">
        <v>9821897.0</v>
      </c>
      <c r="D211" s="156">
        <v>36814.0</v>
      </c>
      <c r="E211" s="156">
        <v>0.0</v>
      </c>
      <c r="F211" s="156">
        <v>0.0</v>
      </c>
      <c r="G211" s="156">
        <v>0.0</v>
      </c>
      <c r="H211" s="156">
        <v>0.0</v>
      </c>
      <c r="I211" s="156">
        <v>2163.0</v>
      </c>
      <c r="J211" s="156">
        <v>0.0</v>
      </c>
      <c r="K211" s="156">
        <v>0.0</v>
      </c>
      <c r="L211" s="156">
        <v>5.991294403E9</v>
      </c>
      <c r="M211" s="156">
        <v>6.432883312E9</v>
      </c>
      <c r="N211" s="156">
        <v>1094.0</v>
      </c>
      <c r="O211" s="155" t="s">
        <v>271</v>
      </c>
      <c r="P211" s="155">
        <v>23.0</v>
      </c>
      <c r="Q211" s="155"/>
      <c r="R211" s="155"/>
      <c r="S211" s="153"/>
      <c r="T211" s="153"/>
      <c r="U211" s="153"/>
      <c r="V211" s="153"/>
      <c r="W211" s="153"/>
      <c r="X211" s="153"/>
      <c r="Y211" s="153"/>
      <c r="Z211" s="153"/>
    </row>
    <row r="212" ht="21.0" customHeight="1">
      <c r="A212" s="155">
        <v>1.33538918E8</v>
      </c>
      <c r="B212" s="155" t="s">
        <v>392</v>
      </c>
      <c r="C212" s="156">
        <v>9332129.0</v>
      </c>
      <c r="D212" s="156">
        <v>6373876.0</v>
      </c>
      <c r="E212" s="156">
        <v>0.0</v>
      </c>
      <c r="F212" s="156">
        <v>0.0</v>
      </c>
      <c r="G212" s="156">
        <v>148250.0</v>
      </c>
      <c r="H212" s="156">
        <v>321780.0</v>
      </c>
      <c r="I212" s="156">
        <v>368210.0</v>
      </c>
      <c r="J212" s="156">
        <v>4379.0</v>
      </c>
      <c r="K212" s="156">
        <v>0.0</v>
      </c>
      <c r="L212" s="156">
        <v>1.050920712E9</v>
      </c>
      <c r="M212" s="156">
        <v>6018692.0</v>
      </c>
      <c r="N212" s="156">
        <v>4258.0</v>
      </c>
      <c r="O212" s="155" t="s">
        <v>233</v>
      </c>
      <c r="P212" s="155">
        <v>22.0</v>
      </c>
      <c r="Q212" s="155"/>
      <c r="R212" s="155"/>
      <c r="S212" s="153"/>
      <c r="T212" s="153"/>
      <c r="U212" s="153"/>
      <c r="V212" s="153"/>
      <c r="W212" s="153"/>
      <c r="X212" s="153"/>
      <c r="Y212" s="153"/>
      <c r="Z212" s="153"/>
    </row>
    <row r="213" ht="21.0" customHeight="1">
      <c r="A213" s="155">
        <v>2.13819912E8</v>
      </c>
      <c r="B213" s="155" t="s">
        <v>393</v>
      </c>
      <c r="C213" s="156">
        <v>8897679.0</v>
      </c>
      <c r="D213" s="156">
        <v>0.0</v>
      </c>
      <c r="E213" s="156">
        <v>0.0</v>
      </c>
      <c r="F213" s="156">
        <v>0.0</v>
      </c>
      <c r="G213" s="156">
        <v>0.0</v>
      </c>
      <c r="H213" s="156">
        <v>0.0</v>
      </c>
      <c r="I213" s="156">
        <v>0.0</v>
      </c>
      <c r="J213" s="156">
        <v>0.0</v>
      </c>
      <c r="K213" s="156">
        <v>0.0</v>
      </c>
      <c r="L213" s="156">
        <v>1.224896333E9</v>
      </c>
      <c r="M213" s="156">
        <v>8.17401E7</v>
      </c>
      <c r="N213" s="156">
        <v>471.0</v>
      </c>
      <c r="O213" s="155" t="s">
        <v>271</v>
      </c>
      <c r="P213" s="155">
        <v>23.0</v>
      </c>
      <c r="Q213" s="155"/>
      <c r="R213" s="155"/>
      <c r="S213" s="153"/>
      <c r="T213" s="153"/>
      <c r="U213" s="153"/>
      <c r="V213" s="153"/>
      <c r="W213" s="153"/>
      <c r="X213" s="153"/>
      <c r="Y213" s="153"/>
      <c r="Z213" s="153"/>
    </row>
    <row r="214" ht="21.0" customHeight="1">
      <c r="A214" s="155">
        <v>1.84418003E8</v>
      </c>
      <c r="B214" s="155" t="s">
        <v>394</v>
      </c>
      <c r="C214" s="156">
        <v>8791225.0</v>
      </c>
      <c r="D214" s="156">
        <v>139800.0</v>
      </c>
      <c r="E214" s="156">
        <v>0.0</v>
      </c>
      <c r="F214" s="156">
        <v>0.0</v>
      </c>
      <c r="G214" s="156">
        <v>794628.0</v>
      </c>
      <c r="H214" s="156">
        <v>0.0</v>
      </c>
      <c r="I214" s="156">
        <v>0.0</v>
      </c>
      <c r="J214" s="156">
        <v>6990.0</v>
      </c>
      <c r="K214" s="156">
        <v>0.0</v>
      </c>
      <c r="L214" s="156">
        <v>1.888399071E9</v>
      </c>
      <c r="M214" s="156">
        <v>1.820331639E9</v>
      </c>
      <c r="N214" s="156">
        <v>433.0</v>
      </c>
      <c r="O214" s="155" t="s">
        <v>237</v>
      </c>
      <c r="P214" s="155">
        <v>23.0</v>
      </c>
      <c r="Q214" s="155"/>
      <c r="R214" s="155"/>
      <c r="S214" s="153"/>
      <c r="T214" s="153"/>
      <c r="U214" s="153"/>
      <c r="V214" s="153"/>
      <c r="W214" s="153"/>
      <c r="X214" s="153"/>
      <c r="Y214" s="153"/>
      <c r="Z214" s="153"/>
    </row>
    <row r="215" ht="21.0" customHeight="1">
      <c r="A215" s="155">
        <v>9.0288938E7</v>
      </c>
      <c r="B215" s="155" t="s">
        <v>395</v>
      </c>
      <c r="C215" s="156">
        <v>8652801.0</v>
      </c>
      <c r="D215" s="156">
        <v>1217786.0</v>
      </c>
      <c r="E215" s="156">
        <v>0.0</v>
      </c>
      <c r="F215" s="156">
        <v>0.0</v>
      </c>
      <c r="G215" s="156">
        <v>2291738.0</v>
      </c>
      <c r="H215" s="156">
        <v>128951.0</v>
      </c>
      <c r="I215" s="156">
        <v>52036.0</v>
      </c>
      <c r="J215" s="156">
        <v>14292.0</v>
      </c>
      <c r="K215" s="156">
        <v>0.0</v>
      </c>
      <c r="L215" s="156">
        <v>1.0614850694E10</v>
      </c>
      <c r="M215" s="156">
        <v>1.1576546306E10</v>
      </c>
      <c r="N215" s="156">
        <v>5013.0</v>
      </c>
      <c r="O215" s="155" t="s">
        <v>271</v>
      </c>
      <c r="P215" s="155">
        <v>22.0</v>
      </c>
      <c r="Q215" s="155"/>
      <c r="R215" s="155"/>
      <c r="S215" s="153"/>
      <c r="T215" s="153"/>
      <c r="U215" s="153"/>
      <c r="V215" s="153"/>
      <c r="W215" s="153"/>
      <c r="X215" s="153"/>
      <c r="Y215" s="153"/>
      <c r="Z215" s="153"/>
    </row>
    <row r="216" ht="21.0" customHeight="1">
      <c r="A216" s="155">
        <v>1.66962601E8</v>
      </c>
      <c r="B216" s="155" t="s">
        <v>396</v>
      </c>
      <c r="C216" s="156">
        <v>8638477.0</v>
      </c>
      <c r="D216" s="156">
        <v>431662.0</v>
      </c>
      <c r="E216" s="156">
        <v>0.0</v>
      </c>
      <c r="F216" s="156">
        <v>0.0</v>
      </c>
      <c r="G216" s="156">
        <v>11975.0</v>
      </c>
      <c r="H216" s="156">
        <v>0.0</v>
      </c>
      <c r="I216" s="156">
        <v>140.0</v>
      </c>
      <c r="J216" s="156">
        <v>20884.0</v>
      </c>
      <c r="K216" s="156">
        <v>0.0</v>
      </c>
      <c r="L216" s="156">
        <v>2.078729429E9</v>
      </c>
      <c r="M216" s="156">
        <v>2.3880738E8</v>
      </c>
      <c r="N216" s="156">
        <v>790.0</v>
      </c>
      <c r="O216" s="155" t="s">
        <v>267</v>
      </c>
      <c r="P216" s="155">
        <v>24.0</v>
      </c>
      <c r="Q216" s="155"/>
      <c r="R216" s="155"/>
      <c r="S216" s="153"/>
      <c r="T216" s="153"/>
      <c r="U216" s="153"/>
      <c r="V216" s="153"/>
      <c r="W216" s="153"/>
      <c r="X216" s="153"/>
      <c r="Y216" s="153"/>
      <c r="Z216" s="153"/>
    </row>
    <row r="217" ht="21.0" customHeight="1">
      <c r="A217" s="155">
        <v>1.66962218E8</v>
      </c>
      <c r="B217" s="155" t="s">
        <v>397</v>
      </c>
      <c r="C217" s="156">
        <v>8444779.0</v>
      </c>
      <c r="D217" s="156">
        <v>372030.0</v>
      </c>
      <c r="E217" s="156">
        <v>0.0</v>
      </c>
      <c r="F217" s="156">
        <v>0.0</v>
      </c>
      <c r="G217" s="156">
        <v>112816.0</v>
      </c>
      <c r="H217" s="156">
        <v>0.0</v>
      </c>
      <c r="I217" s="156">
        <v>5143.0</v>
      </c>
      <c r="J217" s="156">
        <v>16030.0</v>
      </c>
      <c r="K217" s="156">
        <v>0.0</v>
      </c>
      <c r="L217" s="156">
        <v>1.956066014E9</v>
      </c>
      <c r="M217" s="156">
        <v>1.40517281E8</v>
      </c>
      <c r="N217" s="156">
        <v>681.0</v>
      </c>
      <c r="O217" s="155" t="s">
        <v>267</v>
      </c>
      <c r="P217" s="155">
        <v>24.0</v>
      </c>
      <c r="Q217" s="155"/>
      <c r="R217" s="155"/>
      <c r="S217" s="153"/>
      <c r="T217" s="153"/>
      <c r="U217" s="153"/>
      <c r="V217" s="153"/>
      <c r="W217" s="153"/>
      <c r="X217" s="153"/>
      <c r="Y217" s="153"/>
      <c r="Z217" s="153"/>
    </row>
    <row r="218" ht="21.0" customHeight="1">
      <c r="A218" s="155">
        <v>1.3548449E8</v>
      </c>
      <c r="B218" s="155" t="s">
        <v>398</v>
      </c>
      <c r="C218" s="156">
        <v>8193437.0</v>
      </c>
      <c r="D218" s="156">
        <v>1459298.0</v>
      </c>
      <c r="E218" s="156">
        <v>0.0</v>
      </c>
      <c r="F218" s="156">
        <v>0.0</v>
      </c>
      <c r="G218" s="156">
        <v>536604.0</v>
      </c>
      <c r="H218" s="156">
        <v>81914.0</v>
      </c>
      <c r="I218" s="156">
        <v>92020.0</v>
      </c>
      <c r="J218" s="156">
        <v>6050.0</v>
      </c>
      <c r="K218" s="156">
        <v>0.0</v>
      </c>
      <c r="L218" s="156">
        <v>2.49666639E8</v>
      </c>
      <c r="M218" s="156">
        <v>3599999.0</v>
      </c>
      <c r="N218" s="156">
        <v>832.0</v>
      </c>
      <c r="O218" s="155" t="s">
        <v>233</v>
      </c>
      <c r="P218" s="155">
        <v>21.0</v>
      </c>
      <c r="Q218" s="155"/>
      <c r="R218" s="155"/>
      <c r="S218" s="153"/>
      <c r="T218" s="153"/>
      <c r="U218" s="153"/>
      <c r="V218" s="153"/>
      <c r="W218" s="153"/>
      <c r="X218" s="153"/>
      <c r="Y218" s="153"/>
      <c r="Z218" s="153"/>
    </row>
    <row r="219" ht="21.0" customHeight="1">
      <c r="A219" s="155">
        <v>6.8333758E7</v>
      </c>
      <c r="B219" s="155" t="s">
        <v>399</v>
      </c>
      <c r="C219" s="156">
        <v>8114698.0</v>
      </c>
      <c r="D219" s="156">
        <v>3073830.0</v>
      </c>
      <c r="E219" s="156">
        <v>0.0</v>
      </c>
      <c r="F219" s="156">
        <v>0.0</v>
      </c>
      <c r="G219" s="156">
        <v>441969.0</v>
      </c>
      <c r="H219" s="156">
        <v>131194.0</v>
      </c>
      <c r="I219" s="156">
        <v>10314.0</v>
      </c>
      <c r="J219" s="156">
        <v>1195.0</v>
      </c>
      <c r="K219" s="156">
        <v>0.0</v>
      </c>
      <c r="L219" s="156">
        <v>1.74776976E9</v>
      </c>
      <c r="M219" s="156">
        <v>1.837726989E9</v>
      </c>
      <c r="N219" s="156">
        <v>1031.0</v>
      </c>
      <c r="O219" s="155" t="s">
        <v>237</v>
      </c>
      <c r="P219" s="155">
        <v>22.0</v>
      </c>
      <c r="Q219" s="155"/>
      <c r="R219" s="155"/>
      <c r="S219" s="153"/>
      <c r="T219" s="153"/>
      <c r="U219" s="153"/>
      <c r="V219" s="153"/>
      <c r="W219" s="153"/>
      <c r="X219" s="153"/>
      <c r="Y219" s="153"/>
      <c r="Z219" s="153"/>
    </row>
    <row r="220" ht="21.0" customHeight="1">
      <c r="A220" s="155">
        <v>1.55130383E8</v>
      </c>
      <c r="B220" s="155" t="s">
        <v>400</v>
      </c>
      <c r="C220" s="156">
        <v>8071452.0</v>
      </c>
      <c r="D220" s="156">
        <v>255844.0</v>
      </c>
      <c r="E220" s="156">
        <v>0.0</v>
      </c>
      <c r="F220" s="156">
        <v>0.0</v>
      </c>
      <c r="G220" s="156">
        <v>183982.0</v>
      </c>
      <c r="H220" s="156">
        <v>20484.0</v>
      </c>
      <c r="I220" s="156">
        <v>21263.0</v>
      </c>
      <c r="J220" s="156">
        <v>0.0</v>
      </c>
      <c r="K220" s="156">
        <v>0.0</v>
      </c>
      <c r="L220" s="156">
        <v>5.463876487E9</v>
      </c>
      <c r="M220" s="156">
        <v>7.03225566E9</v>
      </c>
      <c r="N220" s="156">
        <v>1003.0</v>
      </c>
      <c r="O220" s="155" t="s">
        <v>271</v>
      </c>
      <c r="P220" s="155">
        <v>23.0</v>
      </c>
      <c r="Q220" s="155"/>
      <c r="R220" s="155"/>
      <c r="S220" s="153"/>
      <c r="T220" s="153"/>
      <c r="U220" s="153"/>
      <c r="V220" s="153"/>
      <c r="W220" s="153"/>
      <c r="X220" s="153"/>
      <c r="Y220" s="153"/>
      <c r="Z220" s="153"/>
    </row>
    <row r="221" ht="21.0" customHeight="1">
      <c r="A221" s="155">
        <v>1.69426622E8</v>
      </c>
      <c r="B221" s="155" t="s">
        <v>401</v>
      </c>
      <c r="C221" s="156">
        <v>8003071.0</v>
      </c>
      <c r="D221" s="156">
        <v>1622017.0</v>
      </c>
      <c r="E221" s="156">
        <v>0.0</v>
      </c>
      <c r="F221" s="156">
        <v>0.0</v>
      </c>
      <c r="G221" s="156">
        <v>1457138.0</v>
      </c>
      <c r="H221" s="156">
        <v>9188.0</v>
      </c>
      <c r="I221" s="156">
        <v>91197.0</v>
      </c>
      <c r="J221" s="156">
        <v>10575.0</v>
      </c>
      <c r="K221" s="156">
        <v>0.0</v>
      </c>
      <c r="L221" s="156">
        <v>7.708470192E9</v>
      </c>
      <c r="M221" s="156">
        <v>9.735053378E9</v>
      </c>
      <c r="N221" s="156">
        <v>2417.0</v>
      </c>
      <c r="O221" s="155" t="s">
        <v>233</v>
      </c>
      <c r="P221" s="155">
        <v>23.0</v>
      </c>
      <c r="Q221" s="155"/>
      <c r="R221" s="155"/>
      <c r="S221" s="153"/>
      <c r="T221" s="153"/>
      <c r="U221" s="153"/>
      <c r="V221" s="153"/>
      <c r="W221" s="153"/>
      <c r="X221" s="153"/>
      <c r="Y221" s="153"/>
      <c r="Z221" s="153"/>
    </row>
    <row r="222" ht="21.0" customHeight="1">
      <c r="A222" s="155">
        <v>1.84419591E8</v>
      </c>
      <c r="B222" s="155" t="s">
        <v>402</v>
      </c>
      <c r="C222" s="156">
        <v>7941129.0</v>
      </c>
      <c r="D222" s="156">
        <v>201072.0</v>
      </c>
      <c r="E222" s="156">
        <v>0.0</v>
      </c>
      <c r="F222" s="156">
        <v>0.0</v>
      </c>
      <c r="G222" s="156">
        <v>954687.0</v>
      </c>
      <c r="H222" s="156">
        <v>6472.0</v>
      </c>
      <c r="I222" s="156">
        <v>9681.0</v>
      </c>
      <c r="J222" s="156">
        <v>4889.0</v>
      </c>
      <c r="K222" s="156">
        <v>0.0</v>
      </c>
      <c r="L222" s="156">
        <v>1.687881874E9</v>
      </c>
      <c r="M222" s="156">
        <v>1.673486671E9</v>
      </c>
      <c r="N222" s="156">
        <v>422.0</v>
      </c>
      <c r="O222" s="155" t="s">
        <v>237</v>
      </c>
      <c r="P222" s="155">
        <v>23.0</v>
      </c>
      <c r="Q222" s="155"/>
      <c r="R222" s="155"/>
      <c r="S222" s="153"/>
      <c r="T222" s="153"/>
      <c r="U222" s="153"/>
      <c r="V222" s="153"/>
      <c r="W222" s="153"/>
      <c r="X222" s="153"/>
      <c r="Y222" s="153"/>
      <c r="Z222" s="153"/>
    </row>
    <row r="223" ht="21.0" customHeight="1">
      <c r="A223" s="155">
        <v>2.03299524E8</v>
      </c>
      <c r="B223" s="155" t="s">
        <v>403</v>
      </c>
      <c r="C223" s="156">
        <v>7793404.0</v>
      </c>
      <c r="D223" s="156">
        <v>302780.0</v>
      </c>
      <c r="E223" s="156">
        <v>0.0</v>
      </c>
      <c r="F223" s="156">
        <v>0.0</v>
      </c>
      <c r="G223" s="156">
        <v>9736.0</v>
      </c>
      <c r="H223" s="156">
        <v>0.0</v>
      </c>
      <c r="I223" s="156">
        <v>0.0</v>
      </c>
      <c r="J223" s="156">
        <v>15139.0</v>
      </c>
      <c r="K223" s="156">
        <v>0.0</v>
      </c>
      <c r="L223" s="156">
        <v>2.250945216E9</v>
      </c>
      <c r="M223" s="156">
        <v>1.820845363E9</v>
      </c>
      <c r="N223" s="156">
        <v>495.0</v>
      </c>
      <c r="O223" s="155" t="s">
        <v>237</v>
      </c>
      <c r="P223" s="155">
        <v>24.0</v>
      </c>
      <c r="Q223" s="155"/>
      <c r="R223" s="155"/>
      <c r="S223" s="153"/>
      <c r="T223" s="153"/>
      <c r="U223" s="153"/>
      <c r="V223" s="153"/>
      <c r="W223" s="153"/>
      <c r="X223" s="153"/>
      <c r="Y223" s="153"/>
      <c r="Z223" s="153"/>
    </row>
    <row r="224" ht="21.0" customHeight="1">
      <c r="A224" s="155">
        <v>1.00973453E8</v>
      </c>
      <c r="B224" s="155" t="s">
        <v>404</v>
      </c>
      <c r="C224" s="156">
        <v>7577525.0</v>
      </c>
      <c r="D224" s="156">
        <v>1332298.0</v>
      </c>
      <c r="E224" s="156">
        <v>0.0</v>
      </c>
      <c r="F224" s="156">
        <v>0.0</v>
      </c>
      <c r="G224" s="156">
        <v>42195.0</v>
      </c>
      <c r="H224" s="156">
        <v>91540.0</v>
      </c>
      <c r="I224" s="156">
        <v>76492.0</v>
      </c>
      <c r="J224" s="156">
        <v>0.0</v>
      </c>
      <c r="K224" s="156">
        <v>0.0</v>
      </c>
      <c r="L224" s="156">
        <v>4.45011948E8</v>
      </c>
      <c r="M224" s="156">
        <v>2.994071E7</v>
      </c>
      <c r="N224" s="156">
        <v>2276.0</v>
      </c>
      <c r="O224" s="155" t="s">
        <v>233</v>
      </c>
      <c r="P224" s="155">
        <v>21.0</v>
      </c>
      <c r="Q224" s="155"/>
      <c r="R224" s="155"/>
      <c r="S224" s="153"/>
      <c r="T224" s="153"/>
      <c r="U224" s="153"/>
      <c r="V224" s="153"/>
      <c r="W224" s="153"/>
      <c r="X224" s="153"/>
      <c r="Y224" s="153"/>
      <c r="Z224" s="153"/>
    </row>
    <row r="225" ht="21.0" customHeight="1">
      <c r="A225" s="155">
        <v>1.39314561E8</v>
      </c>
      <c r="B225" s="155" t="s">
        <v>405</v>
      </c>
      <c r="C225" s="156">
        <v>7558876.0</v>
      </c>
      <c r="D225" s="156">
        <v>844989.0</v>
      </c>
      <c r="E225" s="156">
        <v>0.0</v>
      </c>
      <c r="F225" s="156">
        <v>0.0</v>
      </c>
      <c r="G225" s="156">
        <v>1104651.0</v>
      </c>
      <c r="H225" s="156">
        <v>122436.0</v>
      </c>
      <c r="I225" s="156">
        <v>2180.0</v>
      </c>
      <c r="J225" s="156">
        <v>22274.0</v>
      </c>
      <c r="K225" s="156">
        <v>0.0</v>
      </c>
      <c r="L225" s="156">
        <v>4.990938696E9</v>
      </c>
      <c r="M225" s="156">
        <v>6.475716286E9</v>
      </c>
      <c r="N225" s="156">
        <v>3207.0</v>
      </c>
      <c r="O225" s="155" t="s">
        <v>271</v>
      </c>
      <c r="P225" s="155">
        <v>23.0</v>
      </c>
      <c r="Q225" s="155"/>
      <c r="R225" s="155"/>
      <c r="S225" s="153"/>
      <c r="T225" s="153"/>
      <c r="U225" s="153"/>
      <c r="V225" s="153"/>
      <c r="W225" s="153"/>
      <c r="X225" s="153"/>
      <c r="Y225" s="153"/>
      <c r="Z225" s="153"/>
    </row>
    <row r="226" ht="21.0" customHeight="1">
      <c r="A226" s="155">
        <v>1.54666115E8</v>
      </c>
      <c r="B226" s="155" t="s">
        <v>406</v>
      </c>
      <c r="C226" s="156">
        <v>7520968.0</v>
      </c>
      <c r="D226" s="156">
        <v>358066.0</v>
      </c>
      <c r="E226" s="156">
        <v>0.0</v>
      </c>
      <c r="F226" s="156">
        <v>0.0</v>
      </c>
      <c r="G226" s="156">
        <v>688345.0</v>
      </c>
      <c r="H226" s="156">
        <v>1574.0</v>
      </c>
      <c r="I226" s="156">
        <v>28655.0</v>
      </c>
      <c r="J226" s="156">
        <v>0.0</v>
      </c>
      <c r="K226" s="156">
        <v>0.0</v>
      </c>
      <c r="L226" s="156">
        <v>2.866579771E9</v>
      </c>
      <c r="M226" s="156">
        <v>1.994138173E9</v>
      </c>
      <c r="N226" s="156">
        <v>979.0</v>
      </c>
      <c r="O226" s="155" t="s">
        <v>237</v>
      </c>
      <c r="P226" s="155">
        <v>22.0</v>
      </c>
      <c r="Q226" s="155"/>
      <c r="R226" s="155"/>
      <c r="S226" s="153"/>
      <c r="T226" s="153"/>
      <c r="U226" s="153"/>
      <c r="V226" s="153"/>
      <c r="W226" s="153"/>
      <c r="X226" s="153"/>
      <c r="Y226" s="153"/>
      <c r="Z226" s="153"/>
    </row>
    <row r="227" ht="21.0" customHeight="1">
      <c r="A227" s="155">
        <v>1.25287315E8</v>
      </c>
      <c r="B227" s="155" t="s">
        <v>407</v>
      </c>
      <c r="C227" s="156">
        <v>7518570.0</v>
      </c>
      <c r="D227" s="156">
        <v>491058.0</v>
      </c>
      <c r="E227" s="156">
        <v>0.0</v>
      </c>
      <c r="F227" s="156">
        <v>0.0</v>
      </c>
      <c r="G227" s="156">
        <v>445843.0</v>
      </c>
      <c r="H227" s="156">
        <v>0.0</v>
      </c>
      <c r="I227" s="156">
        <v>38715.0</v>
      </c>
      <c r="J227" s="156">
        <v>3924.0</v>
      </c>
      <c r="K227" s="156">
        <v>0.0</v>
      </c>
      <c r="L227" s="156">
        <v>3.178014543E9</v>
      </c>
      <c r="M227" s="156">
        <v>3.510403774E9</v>
      </c>
      <c r="N227" s="156">
        <v>1334.0</v>
      </c>
      <c r="O227" s="155" t="s">
        <v>237</v>
      </c>
      <c r="P227" s="155">
        <v>23.0</v>
      </c>
      <c r="Q227" s="155"/>
      <c r="R227" s="155"/>
      <c r="S227" s="153"/>
      <c r="T227" s="153"/>
      <c r="U227" s="153"/>
      <c r="V227" s="153"/>
      <c r="W227" s="153"/>
      <c r="X227" s="153"/>
      <c r="Y227" s="153"/>
      <c r="Z227" s="153"/>
    </row>
    <row r="228" ht="21.0" customHeight="1">
      <c r="A228" s="155">
        <v>1.89315421E8</v>
      </c>
      <c r="B228" s="155" t="s">
        <v>408</v>
      </c>
      <c r="C228" s="156">
        <v>7476467.0</v>
      </c>
      <c r="D228" s="156">
        <v>0.0</v>
      </c>
      <c r="E228" s="156">
        <v>0.0</v>
      </c>
      <c r="F228" s="156">
        <v>0.0</v>
      </c>
      <c r="G228" s="156">
        <v>0.0</v>
      </c>
      <c r="H228" s="156">
        <v>0.0</v>
      </c>
      <c r="I228" s="156">
        <v>0.0</v>
      </c>
      <c r="J228" s="156">
        <v>0.0</v>
      </c>
      <c r="K228" s="156">
        <v>0.0</v>
      </c>
      <c r="L228" s="156">
        <v>4.592839558E9</v>
      </c>
      <c r="M228" s="156">
        <v>4.611400733E9</v>
      </c>
      <c r="N228" s="156">
        <v>561.0</v>
      </c>
      <c r="O228" s="155" t="s">
        <v>271</v>
      </c>
      <c r="P228" s="155">
        <v>23.0</v>
      </c>
      <c r="Q228" s="155"/>
      <c r="R228" s="155"/>
      <c r="S228" s="153"/>
      <c r="T228" s="153"/>
      <c r="U228" s="153"/>
      <c r="V228" s="153"/>
      <c r="W228" s="153"/>
      <c r="X228" s="153"/>
      <c r="Y228" s="153"/>
      <c r="Z228" s="153"/>
    </row>
    <row r="229" ht="21.0" customHeight="1">
      <c r="A229" s="155">
        <v>1.89315962E8</v>
      </c>
      <c r="B229" s="155" t="s">
        <v>409</v>
      </c>
      <c r="C229" s="156">
        <v>7405693.0</v>
      </c>
      <c r="D229" s="156">
        <v>0.0</v>
      </c>
      <c r="E229" s="156">
        <v>0.0</v>
      </c>
      <c r="F229" s="156">
        <v>0.0</v>
      </c>
      <c r="G229" s="156">
        <v>0.0</v>
      </c>
      <c r="H229" s="156">
        <v>0.0</v>
      </c>
      <c r="I229" s="156">
        <v>0.0</v>
      </c>
      <c r="J229" s="156">
        <v>0.0</v>
      </c>
      <c r="K229" s="156">
        <v>0.0</v>
      </c>
      <c r="L229" s="156">
        <v>4.463145435E9</v>
      </c>
      <c r="M229" s="156">
        <v>4.522569424E9</v>
      </c>
      <c r="N229" s="156">
        <v>700.0</v>
      </c>
      <c r="O229" s="155" t="s">
        <v>271</v>
      </c>
      <c r="P229" s="155">
        <v>23.0</v>
      </c>
      <c r="Q229" s="155"/>
      <c r="R229" s="155"/>
      <c r="S229" s="153"/>
      <c r="T229" s="153"/>
      <c r="U229" s="153"/>
      <c r="V229" s="153"/>
      <c r="W229" s="153"/>
      <c r="X229" s="153"/>
      <c r="Y229" s="153"/>
      <c r="Z229" s="153"/>
    </row>
    <row r="230" ht="21.0" customHeight="1">
      <c r="A230" s="155">
        <v>1.55274009E8</v>
      </c>
      <c r="B230" s="155" t="s">
        <v>410</v>
      </c>
      <c r="C230" s="156">
        <v>7365698.0</v>
      </c>
      <c r="D230" s="156">
        <v>628233.0</v>
      </c>
      <c r="E230" s="156">
        <v>0.0</v>
      </c>
      <c r="F230" s="156">
        <v>0.0</v>
      </c>
      <c r="G230" s="156">
        <v>179107.0</v>
      </c>
      <c r="H230" s="156">
        <v>10606.0</v>
      </c>
      <c r="I230" s="156">
        <v>56908.0</v>
      </c>
      <c r="J230" s="156">
        <v>0.0</v>
      </c>
      <c r="K230" s="156">
        <v>0.0</v>
      </c>
      <c r="L230" s="156">
        <v>3.090557179E9</v>
      </c>
      <c r="M230" s="156">
        <v>4.025076435E9</v>
      </c>
      <c r="N230" s="156">
        <v>799.0</v>
      </c>
      <c r="O230" s="155" t="s">
        <v>271</v>
      </c>
      <c r="P230" s="155">
        <v>22.0</v>
      </c>
      <c r="Q230" s="155"/>
      <c r="R230" s="155"/>
      <c r="S230" s="153"/>
      <c r="T230" s="153"/>
      <c r="U230" s="153"/>
      <c r="V230" s="153"/>
      <c r="W230" s="153"/>
      <c r="X230" s="153"/>
      <c r="Y230" s="153"/>
      <c r="Z230" s="153"/>
    </row>
    <row r="231" ht="21.0" customHeight="1">
      <c r="A231" s="155">
        <v>1.88176323E8</v>
      </c>
      <c r="B231" s="155" t="s">
        <v>411</v>
      </c>
      <c r="C231" s="156">
        <v>7357757.0</v>
      </c>
      <c r="D231" s="156">
        <v>494214.0</v>
      </c>
      <c r="E231" s="156">
        <v>0.0</v>
      </c>
      <c r="F231" s="156">
        <v>0.0</v>
      </c>
      <c r="G231" s="156">
        <v>1099457.0</v>
      </c>
      <c r="H231" s="156">
        <v>13001.0</v>
      </c>
      <c r="I231" s="156">
        <v>36089.0</v>
      </c>
      <c r="J231" s="156">
        <v>2523.0</v>
      </c>
      <c r="K231" s="156">
        <v>0.0</v>
      </c>
      <c r="L231" s="156">
        <v>5.346843838E9</v>
      </c>
      <c r="M231" s="156">
        <v>5.905493359E9</v>
      </c>
      <c r="N231" s="156">
        <v>1559.0</v>
      </c>
      <c r="O231" s="155" t="s">
        <v>233</v>
      </c>
      <c r="P231" s="155">
        <v>22.0</v>
      </c>
      <c r="Q231" s="155"/>
      <c r="R231" s="155"/>
      <c r="S231" s="153"/>
      <c r="T231" s="153"/>
      <c r="U231" s="153"/>
      <c r="V231" s="153"/>
      <c r="W231" s="153"/>
      <c r="X231" s="153"/>
      <c r="Y231" s="153"/>
      <c r="Z231" s="153"/>
    </row>
    <row r="232" ht="21.0" customHeight="1">
      <c r="A232" s="155">
        <v>1.89330314E8</v>
      </c>
      <c r="B232" s="155" t="s">
        <v>412</v>
      </c>
      <c r="C232" s="156">
        <v>7330045.0</v>
      </c>
      <c r="D232" s="156">
        <v>0.0</v>
      </c>
      <c r="E232" s="156">
        <v>0.0</v>
      </c>
      <c r="F232" s="156">
        <v>0.0</v>
      </c>
      <c r="G232" s="156">
        <v>0.0</v>
      </c>
      <c r="H232" s="156">
        <v>0.0</v>
      </c>
      <c r="I232" s="156">
        <v>0.0</v>
      </c>
      <c r="J232" s="156">
        <v>0.0</v>
      </c>
      <c r="K232" s="156">
        <v>0.0</v>
      </c>
      <c r="L232" s="156">
        <v>4.631143924E9</v>
      </c>
      <c r="M232" s="156">
        <v>4.645600324E9</v>
      </c>
      <c r="N232" s="156">
        <v>621.0</v>
      </c>
      <c r="O232" s="155" t="s">
        <v>271</v>
      </c>
      <c r="P232" s="155">
        <v>23.0</v>
      </c>
      <c r="Q232" s="155"/>
      <c r="R232" s="155"/>
      <c r="S232" s="153"/>
      <c r="T232" s="153"/>
      <c r="U232" s="153"/>
      <c r="V232" s="153"/>
      <c r="W232" s="153"/>
      <c r="X232" s="153"/>
      <c r="Y232" s="153"/>
      <c r="Z232" s="153"/>
    </row>
    <row r="233" ht="21.0" customHeight="1">
      <c r="A233" s="155">
        <v>1.74340615E8</v>
      </c>
      <c r="B233" s="155" t="s">
        <v>413</v>
      </c>
      <c r="C233" s="156">
        <v>7308515.0</v>
      </c>
      <c r="D233" s="156">
        <v>279534.0</v>
      </c>
      <c r="E233" s="156">
        <v>0.0</v>
      </c>
      <c r="F233" s="156">
        <v>0.0</v>
      </c>
      <c r="G233" s="156">
        <v>383198.0</v>
      </c>
      <c r="H233" s="156">
        <v>822.0</v>
      </c>
      <c r="I233" s="156">
        <v>21956.0</v>
      </c>
      <c r="J233" s="156">
        <v>1429.0</v>
      </c>
      <c r="K233" s="156">
        <v>0.0</v>
      </c>
      <c r="L233" s="156">
        <v>2.695350539E9</v>
      </c>
      <c r="M233" s="156">
        <v>2.724224127E9</v>
      </c>
      <c r="N233" s="156">
        <v>841.0</v>
      </c>
      <c r="O233" s="155" t="s">
        <v>237</v>
      </c>
      <c r="P233" s="155">
        <v>23.0</v>
      </c>
      <c r="Q233" s="155"/>
      <c r="R233" s="155"/>
      <c r="S233" s="153"/>
      <c r="T233" s="153"/>
      <c r="U233" s="153"/>
      <c r="V233" s="153"/>
      <c r="W233" s="153"/>
      <c r="X233" s="153"/>
      <c r="Y233" s="153"/>
      <c r="Z233" s="153"/>
    </row>
    <row r="234" ht="21.0" customHeight="1">
      <c r="A234" s="155">
        <v>2.07380752E8</v>
      </c>
      <c r="B234" s="155" t="s">
        <v>414</v>
      </c>
      <c r="C234" s="156">
        <v>7286263.0</v>
      </c>
      <c r="D234" s="156">
        <v>0.0</v>
      </c>
      <c r="E234" s="156">
        <v>0.0</v>
      </c>
      <c r="F234" s="156">
        <v>0.0</v>
      </c>
      <c r="G234" s="156">
        <v>0.0</v>
      </c>
      <c r="H234" s="156">
        <v>0.0</v>
      </c>
      <c r="I234" s="156">
        <v>0.0</v>
      </c>
      <c r="J234" s="156">
        <v>0.0</v>
      </c>
      <c r="K234" s="156">
        <v>0.0</v>
      </c>
      <c r="L234" s="156">
        <v>6.59958502E8</v>
      </c>
      <c r="M234" s="156">
        <v>0.0</v>
      </c>
      <c r="N234" s="156">
        <v>372.0</v>
      </c>
      <c r="O234" s="155" t="s">
        <v>237</v>
      </c>
      <c r="P234" s="155">
        <v>23.0</v>
      </c>
      <c r="Q234" s="155"/>
      <c r="R234" s="155"/>
      <c r="S234" s="153"/>
      <c r="T234" s="153"/>
      <c r="U234" s="153"/>
      <c r="V234" s="153"/>
      <c r="W234" s="153"/>
      <c r="X234" s="153"/>
      <c r="Y234" s="153"/>
      <c r="Z234" s="153"/>
    </row>
    <row r="235" ht="21.0" customHeight="1">
      <c r="A235" s="155">
        <v>1.50922497E8</v>
      </c>
      <c r="B235" s="155" t="s">
        <v>415</v>
      </c>
      <c r="C235" s="156">
        <v>7249473.0</v>
      </c>
      <c r="D235" s="156">
        <v>1075595.0</v>
      </c>
      <c r="E235" s="156">
        <v>0.0</v>
      </c>
      <c r="F235" s="156">
        <v>0.0</v>
      </c>
      <c r="G235" s="156">
        <v>800491.0</v>
      </c>
      <c r="H235" s="156">
        <v>4988.0</v>
      </c>
      <c r="I235" s="156">
        <v>78712.0</v>
      </c>
      <c r="J235" s="156">
        <v>12487.0</v>
      </c>
      <c r="K235" s="156">
        <v>0.0</v>
      </c>
      <c r="L235" s="156">
        <v>3.312970844E9</v>
      </c>
      <c r="M235" s="156">
        <v>3.218617071E9</v>
      </c>
      <c r="N235" s="156">
        <v>987.0</v>
      </c>
      <c r="O235" s="155" t="s">
        <v>271</v>
      </c>
      <c r="P235" s="155">
        <v>23.0</v>
      </c>
      <c r="Q235" s="155"/>
      <c r="R235" s="155"/>
      <c r="S235" s="153"/>
      <c r="T235" s="153"/>
      <c r="U235" s="153"/>
      <c r="V235" s="153"/>
      <c r="W235" s="153"/>
      <c r="X235" s="153"/>
      <c r="Y235" s="153"/>
      <c r="Z235" s="153"/>
    </row>
    <row r="236" ht="21.0" customHeight="1">
      <c r="A236" s="155">
        <v>1.42654966E8</v>
      </c>
      <c r="B236" s="155" t="s">
        <v>416</v>
      </c>
      <c r="C236" s="156">
        <v>7095023.0</v>
      </c>
      <c r="D236" s="156">
        <v>382484.0</v>
      </c>
      <c r="E236" s="156">
        <v>0.0</v>
      </c>
      <c r="F236" s="156">
        <v>0.0</v>
      </c>
      <c r="G236" s="156">
        <v>457436.0</v>
      </c>
      <c r="H236" s="156">
        <v>0.0</v>
      </c>
      <c r="I236" s="156">
        <v>14102.0</v>
      </c>
      <c r="J236" s="156">
        <v>12068.0</v>
      </c>
      <c r="K236" s="156">
        <v>0.0</v>
      </c>
      <c r="L236" s="156">
        <v>3.506846169E9</v>
      </c>
      <c r="M236" s="156">
        <v>5.419590575E9</v>
      </c>
      <c r="N236" s="156">
        <v>851.0</v>
      </c>
      <c r="O236" s="155" t="s">
        <v>271</v>
      </c>
      <c r="P236" s="155">
        <v>23.0</v>
      </c>
      <c r="Q236" s="155"/>
      <c r="R236" s="155"/>
      <c r="S236" s="153"/>
      <c r="T236" s="153"/>
      <c r="U236" s="153"/>
      <c r="V236" s="153"/>
      <c r="W236" s="153"/>
      <c r="X236" s="153"/>
      <c r="Y236" s="153"/>
      <c r="Z236" s="153"/>
    </row>
    <row r="237" ht="21.0" customHeight="1">
      <c r="A237" s="155">
        <v>1.50921199E8</v>
      </c>
      <c r="B237" s="155" t="s">
        <v>417</v>
      </c>
      <c r="C237" s="156">
        <v>7020906.0</v>
      </c>
      <c r="D237" s="156">
        <v>812578.0</v>
      </c>
      <c r="E237" s="156">
        <v>0.0</v>
      </c>
      <c r="F237" s="156">
        <v>0.0</v>
      </c>
      <c r="G237" s="156">
        <v>493773.0</v>
      </c>
      <c r="H237" s="156">
        <v>5181.0</v>
      </c>
      <c r="I237" s="156">
        <v>79027.0</v>
      </c>
      <c r="J237" s="156">
        <v>147.0</v>
      </c>
      <c r="K237" s="156">
        <v>0.0</v>
      </c>
      <c r="L237" s="156">
        <v>3.645185254E9</v>
      </c>
      <c r="M237" s="156">
        <v>4.491716531E9</v>
      </c>
      <c r="N237" s="156">
        <v>1052.0</v>
      </c>
      <c r="O237" s="155" t="s">
        <v>271</v>
      </c>
      <c r="P237" s="155">
        <v>23.0</v>
      </c>
      <c r="Q237" s="155"/>
      <c r="R237" s="155"/>
      <c r="S237" s="153"/>
      <c r="T237" s="153"/>
      <c r="U237" s="153"/>
      <c r="V237" s="153"/>
      <c r="W237" s="153"/>
      <c r="X237" s="153"/>
      <c r="Y237" s="153"/>
      <c r="Z237" s="153"/>
    </row>
    <row r="238" ht="21.0" customHeight="1">
      <c r="A238" s="155">
        <v>1.1037795E8</v>
      </c>
      <c r="B238" s="155" t="s">
        <v>418</v>
      </c>
      <c r="C238" s="156">
        <v>6905832.0</v>
      </c>
      <c r="D238" s="156">
        <v>1155575.0</v>
      </c>
      <c r="E238" s="156">
        <v>0.0</v>
      </c>
      <c r="F238" s="156">
        <v>0.0</v>
      </c>
      <c r="G238" s="156">
        <v>250245.0</v>
      </c>
      <c r="H238" s="156">
        <v>56606.0</v>
      </c>
      <c r="I238" s="156">
        <v>52221.0</v>
      </c>
      <c r="J238" s="156">
        <v>0.0</v>
      </c>
      <c r="K238" s="156">
        <v>0.0</v>
      </c>
      <c r="L238" s="156">
        <v>3.190818094E9</v>
      </c>
      <c r="M238" s="156">
        <v>1.167876327E9</v>
      </c>
      <c r="N238" s="156">
        <v>2349.0</v>
      </c>
      <c r="O238" s="155" t="s">
        <v>267</v>
      </c>
      <c r="P238" s="155">
        <v>23.0</v>
      </c>
      <c r="Q238" s="155"/>
      <c r="R238" s="155"/>
      <c r="S238" s="153"/>
      <c r="T238" s="153"/>
      <c r="U238" s="153"/>
      <c r="V238" s="153"/>
      <c r="W238" s="153"/>
      <c r="X238" s="153"/>
      <c r="Y238" s="153"/>
      <c r="Z238" s="153"/>
    </row>
    <row r="239" ht="21.0" customHeight="1">
      <c r="A239" s="155">
        <v>1.82386088E8</v>
      </c>
      <c r="B239" s="155" t="s">
        <v>419</v>
      </c>
      <c r="C239" s="156">
        <v>6874285.0</v>
      </c>
      <c r="D239" s="156">
        <v>52552.0</v>
      </c>
      <c r="E239" s="156">
        <v>0.0</v>
      </c>
      <c r="F239" s="156">
        <v>0.0</v>
      </c>
      <c r="G239" s="156">
        <v>47655.0</v>
      </c>
      <c r="H239" s="156">
        <v>3.0</v>
      </c>
      <c r="I239" s="156">
        <v>4549.0</v>
      </c>
      <c r="J239" s="156">
        <v>0.0</v>
      </c>
      <c r="K239" s="156">
        <v>0.0</v>
      </c>
      <c r="L239" s="156">
        <v>1.336513421E9</v>
      </c>
      <c r="M239" s="156">
        <v>1.678151889E9</v>
      </c>
      <c r="N239" s="156">
        <v>405.0</v>
      </c>
      <c r="O239" s="155" t="s">
        <v>237</v>
      </c>
      <c r="P239" s="155">
        <v>23.0</v>
      </c>
      <c r="Q239" s="155"/>
      <c r="R239" s="155"/>
      <c r="S239" s="153"/>
      <c r="T239" s="153"/>
      <c r="U239" s="153"/>
      <c r="V239" s="153"/>
      <c r="W239" s="153"/>
      <c r="X239" s="153"/>
      <c r="Y239" s="153"/>
      <c r="Z239" s="153"/>
    </row>
    <row r="240" ht="21.0" customHeight="1">
      <c r="A240" s="155">
        <v>5.6368551E7</v>
      </c>
      <c r="B240" s="155" t="s">
        <v>420</v>
      </c>
      <c r="C240" s="156">
        <v>6848234.0</v>
      </c>
      <c r="D240" s="156">
        <v>205308.0</v>
      </c>
      <c r="E240" s="156">
        <v>0.0</v>
      </c>
      <c r="F240" s="156">
        <v>0.0</v>
      </c>
      <c r="G240" s="156">
        <v>434643.0</v>
      </c>
      <c r="H240" s="156">
        <v>21260.0</v>
      </c>
      <c r="I240" s="156">
        <v>0.0</v>
      </c>
      <c r="J240" s="156">
        <v>9901.0</v>
      </c>
      <c r="K240" s="156">
        <v>0.0</v>
      </c>
      <c r="L240" s="156">
        <v>9.71260548E8</v>
      </c>
      <c r="M240" s="156">
        <v>3.296E8</v>
      </c>
      <c r="N240" s="156">
        <v>2443.0</v>
      </c>
      <c r="O240" s="155" t="s">
        <v>233</v>
      </c>
      <c r="P240" s="155">
        <v>21.0</v>
      </c>
      <c r="Q240" s="155"/>
      <c r="R240" s="155"/>
      <c r="S240" s="153"/>
      <c r="T240" s="153"/>
      <c r="U240" s="153"/>
      <c r="V240" s="153"/>
      <c r="W240" s="153"/>
      <c r="X240" s="153"/>
      <c r="Y240" s="153"/>
      <c r="Z240" s="153"/>
    </row>
    <row r="241" ht="21.0" customHeight="1">
      <c r="A241" s="155">
        <v>1.45076382E8</v>
      </c>
      <c r="B241" s="155" t="s">
        <v>421</v>
      </c>
      <c r="C241" s="156">
        <v>6800356.0</v>
      </c>
      <c r="D241" s="156">
        <v>791515.0</v>
      </c>
      <c r="E241" s="156">
        <v>0.0</v>
      </c>
      <c r="F241" s="156">
        <v>0.0</v>
      </c>
      <c r="G241" s="156">
        <v>1011943.0</v>
      </c>
      <c r="H241" s="156">
        <v>25258.0</v>
      </c>
      <c r="I241" s="156">
        <v>52938.0</v>
      </c>
      <c r="J241" s="156">
        <v>0.0</v>
      </c>
      <c r="K241" s="156">
        <v>0.0</v>
      </c>
      <c r="L241" s="156">
        <v>6.10049069E8</v>
      </c>
      <c r="M241" s="156">
        <v>9.7220782E7</v>
      </c>
      <c r="N241" s="156">
        <v>1728.0</v>
      </c>
      <c r="O241" s="155" t="s">
        <v>372</v>
      </c>
      <c r="P241" s="155">
        <v>21.0</v>
      </c>
      <c r="Q241" s="155"/>
      <c r="R241" s="155"/>
      <c r="S241" s="153"/>
      <c r="T241" s="153"/>
      <c r="U241" s="153"/>
      <c r="V241" s="153"/>
      <c r="W241" s="153"/>
      <c r="X241" s="153"/>
      <c r="Y241" s="153"/>
      <c r="Z241" s="153"/>
    </row>
    <row r="242" ht="21.0" customHeight="1">
      <c r="A242" s="155">
        <v>1.99849227E8</v>
      </c>
      <c r="B242" s="155" t="s">
        <v>422</v>
      </c>
      <c r="C242" s="156">
        <v>6800050.0</v>
      </c>
      <c r="D242" s="156">
        <v>0.0</v>
      </c>
      <c r="E242" s="156">
        <v>0.0</v>
      </c>
      <c r="F242" s="156">
        <v>0.0</v>
      </c>
      <c r="G242" s="156">
        <v>0.0</v>
      </c>
      <c r="H242" s="156">
        <v>0.0</v>
      </c>
      <c r="I242" s="156">
        <v>0.0</v>
      </c>
      <c r="J242" s="156">
        <v>0.0</v>
      </c>
      <c r="K242" s="156">
        <v>0.0</v>
      </c>
      <c r="L242" s="156">
        <v>3.032922781E9</v>
      </c>
      <c r="M242" s="156">
        <v>2.85005554E9</v>
      </c>
      <c r="N242" s="156">
        <v>592.0</v>
      </c>
      <c r="O242" s="155" t="s">
        <v>237</v>
      </c>
      <c r="P242" s="155">
        <v>23.0</v>
      </c>
      <c r="Q242" s="155"/>
      <c r="R242" s="155"/>
      <c r="S242" s="153"/>
      <c r="T242" s="153"/>
      <c r="U242" s="153"/>
      <c r="V242" s="153"/>
      <c r="W242" s="153"/>
      <c r="X242" s="153"/>
      <c r="Y242" s="153"/>
      <c r="Z242" s="153"/>
    </row>
    <row r="243" ht="21.0" customHeight="1">
      <c r="A243" s="155">
        <v>1.9984814E8</v>
      </c>
      <c r="B243" s="155" t="s">
        <v>423</v>
      </c>
      <c r="C243" s="156">
        <v>6730836.0</v>
      </c>
      <c r="D243" s="156">
        <v>129274.0</v>
      </c>
      <c r="E243" s="156">
        <v>0.0</v>
      </c>
      <c r="F243" s="156">
        <v>0.0</v>
      </c>
      <c r="G243" s="156">
        <v>150860.0</v>
      </c>
      <c r="H243" s="156">
        <v>16222.0</v>
      </c>
      <c r="I243" s="156">
        <v>0.0</v>
      </c>
      <c r="J243" s="156">
        <v>0.0</v>
      </c>
      <c r="K243" s="156">
        <v>0.0</v>
      </c>
      <c r="L243" s="156">
        <v>3.807727351E9</v>
      </c>
      <c r="M243" s="156">
        <v>3.534916542E9</v>
      </c>
      <c r="N243" s="156">
        <v>565.0</v>
      </c>
      <c r="O243" s="155" t="s">
        <v>237</v>
      </c>
      <c r="P243" s="155">
        <v>23.0</v>
      </c>
      <c r="Q243" s="155"/>
      <c r="R243" s="155"/>
      <c r="S243" s="153"/>
      <c r="T243" s="153"/>
      <c r="U243" s="153"/>
      <c r="V243" s="153"/>
      <c r="W243" s="153"/>
      <c r="X243" s="153"/>
      <c r="Y243" s="153"/>
      <c r="Z243" s="153"/>
    </row>
    <row r="244" ht="21.0" customHeight="1">
      <c r="A244" s="155">
        <v>1.42997337E8</v>
      </c>
      <c r="B244" s="155" t="s">
        <v>424</v>
      </c>
      <c r="C244" s="156">
        <v>6679148.0</v>
      </c>
      <c r="D244" s="156">
        <v>236726.0</v>
      </c>
      <c r="E244" s="156">
        <v>0.0</v>
      </c>
      <c r="F244" s="156">
        <v>0.0</v>
      </c>
      <c r="G244" s="156">
        <v>390513.0</v>
      </c>
      <c r="H244" s="156">
        <v>0.0</v>
      </c>
      <c r="I244" s="156">
        <v>23385.0</v>
      </c>
      <c r="J244" s="156">
        <v>0.0</v>
      </c>
      <c r="K244" s="156">
        <v>0.0</v>
      </c>
      <c r="L244" s="156">
        <v>3.208578411E9</v>
      </c>
      <c r="M244" s="156">
        <v>4.641198238E9</v>
      </c>
      <c r="N244" s="156">
        <v>780.0</v>
      </c>
      <c r="O244" s="155" t="s">
        <v>271</v>
      </c>
      <c r="P244" s="155">
        <v>23.0</v>
      </c>
      <c r="Q244" s="155"/>
      <c r="R244" s="155"/>
      <c r="S244" s="153"/>
      <c r="T244" s="153"/>
      <c r="U244" s="153"/>
      <c r="V244" s="153"/>
      <c r="W244" s="153"/>
      <c r="X244" s="153"/>
      <c r="Y244" s="153"/>
      <c r="Z244" s="153"/>
    </row>
    <row r="245" ht="21.0" customHeight="1">
      <c r="A245" s="155">
        <v>1.8694735E8</v>
      </c>
      <c r="B245" s="155" t="s">
        <v>425</v>
      </c>
      <c r="C245" s="156">
        <v>6673156.0</v>
      </c>
      <c r="D245" s="156">
        <v>26232.0</v>
      </c>
      <c r="E245" s="156">
        <v>0.0</v>
      </c>
      <c r="F245" s="156">
        <v>0.0</v>
      </c>
      <c r="G245" s="156">
        <v>33548.0</v>
      </c>
      <c r="H245" s="156">
        <v>682.0</v>
      </c>
      <c r="I245" s="156">
        <v>1549.0</v>
      </c>
      <c r="J245" s="156">
        <v>208.0</v>
      </c>
      <c r="K245" s="156">
        <v>0.0</v>
      </c>
      <c r="L245" s="156">
        <v>3.407916207E9</v>
      </c>
      <c r="M245" s="156">
        <v>3.444734788E9</v>
      </c>
      <c r="N245" s="156">
        <v>1156.0</v>
      </c>
      <c r="O245" s="155" t="s">
        <v>237</v>
      </c>
      <c r="P245" s="155">
        <v>23.0</v>
      </c>
      <c r="Q245" s="155"/>
      <c r="R245" s="155"/>
      <c r="S245" s="153"/>
      <c r="T245" s="153"/>
      <c r="U245" s="153"/>
      <c r="V245" s="153"/>
      <c r="W245" s="153"/>
      <c r="X245" s="153"/>
      <c r="Y245" s="153"/>
      <c r="Z245" s="153"/>
    </row>
    <row r="246" ht="21.0" customHeight="1">
      <c r="A246" s="155">
        <v>1.55274491E8</v>
      </c>
      <c r="B246" s="155" t="s">
        <v>426</v>
      </c>
      <c r="C246" s="156">
        <v>6659356.0</v>
      </c>
      <c r="D246" s="156">
        <v>448923.0</v>
      </c>
      <c r="E246" s="156">
        <v>0.0</v>
      </c>
      <c r="F246" s="156">
        <v>0.0</v>
      </c>
      <c r="G246" s="156">
        <v>294692.0</v>
      </c>
      <c r="H246" s="156">
        <v>4316.0</v>
      </c>
      <c r="I246" s="156">
        <v>27286.0</v>
      </c>
      <c r="J246" s="156">
        <v>7306.0</v>
      </c>
      <c r="K246" s="156">
        <v>0.0</v>
      </c>
      <c r="L246" s="156">
        <v>2.900118539E9</v>
      </c>
      <c r="M246" s="156">
        <v>3.907774684E9</v>
      </c>
      <c r="N246" s="156">
        <v>831.0</v>
      </c>
      <c r="O246" s="155" t="s">
        <v>271</v>
      </c>
      <c r="P246" s="155">
        <v>22.0</v>
      </c>
      <c r="Q246" s="155"/>
      <c r="R246" s="155"/>
      <c r="S246" s="153"/>
      <c r="T246" s="153"/>
      <c r="U246" s="153"/>
      <c r="V246" s="153"/>
      <c r="W246" s="153"/>
      <c r="X246" s="153"/>
      <c r="Y246" s="153"/>
      <c r="Z246" s="153"/>
    </row>
    <row r="247" ht="21.0" customHeight="1">
      <c r="A247" s="155">
        <v>1.67022679E8</v>
      </c>
      <c r="B247" s="155" t="s">
        <v>427</v>
      </c>
      <c r="C247" s="156">
        <v>6610174.0</v>
      </c>
      <c r="D247" s="156">
        <v>0.0</v>
      </c>
      <c r="E247" s="156">
        <v>0.0</v>
      </c>
      <c r="F247" s="156">
        <v>0.0</v>
      </c>
      <c r="G247" s="156">
        <v>0.0</v>
      </c>
      <c r="H247" s="156">
        <v>0.0</v>
      </c>
      <c r="I247" s="156">
        <v>0.0</v>
      </c>
      <c r="J247" s="156">
        <v>0.0</v>
      </c>
      <c r="K247" s="156">
        <v>0.0</v>
      </c>
      <c r="L247" s="156">
        <v>2.348440803E9</v>
      </c>
      <c r="M247" s="156">
        <v>3.470645481E9</v>
      </c>
      <c r="N247" s="156">
        <v>647.0</v>
      </c>
      <c r="O247" s="155" t="s">
        <v>271</v>
      </c>
      <c r="P247" s="155">
        <v>22.0</v>
      </c>
      <c r="Q247" s="155"/>
      <c r="R247" s="155"/>
      <c r="S247" s="153"/>
      <c r="T247" s="153"/>
      <c r="U247" s="153"/>
      <c r="V247" s="153"/>
      <c r="W247" s="153"/>
      <c r="X247" s="153"/>
      <c r="Y247" s="153"/>
      <c r="Z247" s="153"/>
    </row>
    <row r="248" ht="21.0" customHeight="1">
      <c r="A248" s="155">
        <v>1.71676297E8</v>
      </c>
      <c r="B248" s="155" t="s">
        <v>428</v>
      </c>
      <c r="C248" s="156">
        <v>6577517.0</v>
      </c>
      <c r="D248" s="156">
        <v>786538.0</v>
      </c>
      <c r="E248" s="156">
        <v>0.0</v>
      </c>
      <c r="F248" s="156">
        <v>0.0</v>
      </c>
      <c r="G248" s="156">
        <v>175505.0</v>
      </c>
      <c r="H248" s="156">
        <v>0.0</v>
      </c>
      <c r="I248" s="156">
        <v>60321.0</v>
      </c>
      <c r="J248" s="156">
        <v>0.0</v>
      </c>
      <c r="K248" s="156">
        <v>0.0</v>
      </c>
      <c r="L248" s="156">
        <v>9.0680036E9</v>
      </c>
      <c r="M248" s="156">
        <v>7.15944105E9</v>
      </c>
      <c r="N248" s="156">
        <v>2059.0</v>
      </c>
      <c r="O248" s="155" t="s">
        <v>249</v>
      </c>
      <c r="P248" s="155">
        <v>22.0</v>
      </c>
      <c r="Q248" s="155"/>
      <c r="R248" s="155"/>
      <c r="S248" s="153"/>
      <c r="T248" s="153"/>
      <c r="U248" s="153"/>
      <c r="V248" s="153"/>
      <c r="W248" s="153"/>
      <c r="X248" s="153"/>
      <c r="Y248" s="153"/>
      <c r="Z248" s="153"/>
    </row>
    <row r="249" ht="21.0" customHeight="1">
      <c r="A249" s="155">
        <v>1.6701236E8</v>
      </c>
      <c r="B249" s="155" t="s">
        <v>429</v>
      </c>
      <c r="C249" s="156">
        <v>6508970.0</v>
      </c>
      <c r="D249" s="156">
        <v>99433.0</v>
      </c>
      <c r="E249" s="156">
        <v>0.0</v>
      </c>
      <c r="F249" s="156">
        <v>0.0</v>
      </c>
      <c r="G249" s="156">
        <v>363369.0</v>
      </c>
      <c r="H249" s="156">
        <v>20815.0</v>
      </c>
      <c r="I249" s="156">
        <v>9023.0</v>
      </c>
      <c r="J249" s="156">
        <v>0.0</v>
      </c>
      <c r="K249" s="156">
        <v>0.0</v>
      </c>
      <c r="L249" s="156">
        <v>2.533079048E9</v>
      </c>
      <c r="M249" s="156">
        <v>3.409046474E9</v>
      </c>
      <c r="N249" s="156">
        <v>1007.0</v>
      </c>
      <c r="O249" s="155" t="s">
        <v>271</v>
      </c>
      <c r="P249" s="155">
        <v>22.0</v>
      </c>
      <c r="Q249" s="155"/>
      <c r="R249" s="155"/>
      <c r="S249" s="153"/>
      <c r="T249" s="153"/>
      <c r="U249" s="153"/>
      <c r="V249" s="153"/>
      <c r="W249" s="153"/>
      <c r="X249" s="153"/>
      <c r="Y249" s="153"/>
      <c r="Z249" s="153"/>
    </row>
    <row r="250" ht="21.0" customHeight="1">
      <c r="A250" s="155">
        <v>1.55131611E8</v>
      </c>
      <c r="B250" s="155" t="s">
        <v>430</v>
      </c>
      <c r="C250" s="156">
        <v>6508811.0</v>
      </c>
      <c r="D250" s="156">
        <v>237792.0</v>
      </c>
      <c r="E250" s="156">
        <v>0.0</v>
      </c>
      <c r="F250" s="156">
        <v>0.0</v>
      </c>
      <c r="G250" s="156">
        <v>675437.0</v>
      </c>
      <c r="H250" s="156">
        <v>522.0</v>
      </c>
      <c r="I250" s="156">
        <v>986.0</v>
      </c>
      <c r="J250" s="156">
        <v>10595.0</v>
      </c>
      <c r="K250" s="156">
        <v>0.0</v>
      </c>
      <c r="L250" s="156">
        <v>5.651255073E9</v>
      </c>
      <c r="M250" s="156">
        <v>7.300770767E9</v>
      </c>
      <c r="N250" s="156">
        <v>1097.0</v>
      </c>
      <c r="O250" s="155" t="s">
        <v>271</v>
      </c>
      <c r="P250" s="155">
        <v>23.0</v>
      </c>
      <c r="Q250" s="155"/>
      <c r="R250" s="155"/>
      <c r="S250" s="153"/>
      <c r="T250" s="153"/>
      <c r="U250" s="153"/>
      <c r="V250" s="153"/>
      <c r="W250" s="153"/>
      <c r="X250" s="153"/>
      <c r="Y250" s="153"/>
      <c r="Z250" s="153"/>
    </row>
    <row r="251" ht="21.0" customHeight="1">
      <c r="A251" s="155">
        <v>1.69290751E8</v>
      </c>
      <c r="B251" s="155" t="s">
        <v>431</v>
      </c>
      <c r="C251" s="156">
        <v>6506771.0</v>
      </c>
      <c r="D251" s="156">
        <v>1804086.0</v>
      </c>
      <c r="E251" s="156">
        <v>0.0</v>
      </c>
      <c r="F251" s="156">
        <v>0.0</v>
      </c>
      <c r="G251" s="156">
        <v>941384.0</v>
      </c>
      <c r="H251" s="156">
        <v>4381.0</v>
      </c>
      <c r="I251" s="156">
        <v>100648.0</v>
      </c>
      <c r="J251" s="156">
        <v>28480.0</v>
      </c>
      <c r="K251" s="156">
        <v>0.0</v>
      </c>
      <c r="L251" s="156">
        <v>5.373165147E9</v>
      </c>
      <c r="M251" s="156">
        <v>4.145315326E9</v>
      </c>
      <c r="N251" s="156">
        <v>1150.0</v>
      </c>
      <c r="O251" s="155" t="s">
        <v>267</v>
      </c>
      <c r="P251" s="155">
        <v>23.0</v>
      </c>
      <c r="Q251" s="155"/>
      <c r="R251" s="155"/>
      <c r="S251" s="153"/>
      <c r="T251" s="153"/>
      <c r="U251" s="153"/>
      <c r="V251" s="153"/>
      <c r="W251" s="153"/>
      <c r="X251" s="153"/>
      <c r="Y251" s="153"/>
      <c r="Z251" s="153"/>
    </row>
    <row r="252" ht="21.0" customHeight="1">
      <c r="A252" s="155">
        <v>1.60430702E8</v>
      </c>
      <c r="B252" s="155" t="s">
        <v>432</v>
      </c>
      <c r="C252" s="156">
        <v>6493093.0</v>
      </c>
      <c r="D252" s="156">
        <v>544276.0</v>
      </c>
      <c r="E252" s="156">
        <v>0.0</v>
      </c>
      <c r="F252" s="156">
        <v>0.0</v>
      </c>
      <c r="G252" s="156">
        <v>643180.0</v>
      </c>
      <c r="H252" s="156">
        <v>28014.0</v>
      </c>
      <c r="I252" s="156">
        <v>37376.0</v>
      </c>
      <c r="J252" s="156">
        <v>0.0</v>
      </c>
      <c r="K252" s="156">
        <v>0.0</v>
      </c>
      <c r="L252" s="156">
        <v>4.470136695E9</v>
      </c>
      <c r="M252" s="156">
        <v>4.060521206E9</v>
      </c>
      <c r="N252" s="156">
        <v>1406.0</v>
      </c>
      <c r="O252" s="155" t="s">
        <v>271</v>
      </c>
      <c r="P252" s="155">
        <v>22.0</v>
      </c>
      <c r="Q252" s="155"/>
      <c r="R252" s="155"/>
      <c r="S252" s="153"/>
      <c r="T252" s="153"/>
      <c r="U252" s="153"/>
      <c r="V252" s="153"/>
      <c r="W252" s="153"/>
      <c r="X252" s="153"/>
      <c r="Y252" s="153"/>
      <c r="Z252" s="153"/>
    </row>
    <row r="253" ht="21.0" customHeight="1">
      <c r="A253" s="155">
        <v>1.44793579E8</v>
      </c>
      <c r="B253" s="155" t="s">
        <v>433</v>
      </c>
      <c r="C253" s="156">
        <v>6477641.0</v>
      </c>
      <c r="D253" s="156">
        <v>982487.0</v>
      </c>
      <c r="E253" s="156">
        <v>0.0</v>
      </c>
      <c r="F253" s="156">
        <v>0.0</v>
      </c>
      <c r="G253" s="156">
        <v>1145190.0</v>
      </c>
      <c r="H253" s="156">
        <v>59859.0</v>
      </c>
      <c r="I253" s="156">
        <v>21866.0</v>
      </c>
      <c r="J253" s="156">
        <v>14873.0</v>
      </c>
      <c r="K253" s="156">
        <v>0.0</v>
      </c>
      <c r="L253" s="156">
        <v>4.751168261E9</v>
      </c>
      <c r="M253" s="156">
        <v>4.316740785E9</v>
      </c>
      <c r="N253" s="156">
        <v>3960.0</v>
      </c>
      <c r="O253" s="155" t="s">
        <v>271</v>
      </c>
      <c r="P253" s="155">
        <v>22.0</v>
      </c>
      <c r="Q253" s="155"/>
      <c r="R253" s="155"/>
      <c r="S253" s="153"/>
      <c r="T253" s="153"/>
      <c r="U253" s="153"/>
      <c r="V253" s="153"/>
      <c r="W253" s="153"/>
      <c r="X253" s="153"/>
      <c r="Y253" s="153"/>
      <c r="Z253" s="153"/>
    </row>
    <row r="254" ht="21.0" customHeight="1">
      <c r="A254" s="155">
        <v>2.04661393E8</v>
      </c>
      <c r="B254" s="155" t="s">
        <v>434</v>
      </c>
      <c r="C254" s="156">
        <v>6460204.0</v>
      </c>
      <c r="D254" s="156">
        <v>3800.0</v>
      </c>
      <c r="E254" s="156">
        <v>0.0</v>
      </c>
      <c r="F254" s="156">
        <v>0.0</v>
      </c>
      <c r="G254" s="156">
        <v>0.0</v>
      </c>
      <c r="H254" s="156">
        <v>0.0</v>
      </c>
      <c r="I254" s="156">
        <v>380.0</v>
      </c>
      <c r="J254" s="156">
        <v>0.0</v>
      </c>
      <c r="K254" s="156">
        <v>0.0</v>
      </c>
      <c r="L254" s="156">
        <v>1.386746034E9</v>
      </c>
      <c r="M254" s="156">
        <v>1.536889607E9</v>
      </c>
      <c r="N254" s="156">
        <v>806.0</v>
      </c>
      <c r="O254" s="155" t="s">
        <v>271</v>
      </c>
      <c r="P254" s="155">
        <v>22.0</v>
      </c>
      <c r="Q254" s="155"/>
      <c r="R254" s="155"/>
      <c r="S254" s="153"/>
      <c r="T254" s="153"/>
      <c r="U254" s="153"/>
      <c r="V254" s="153"/>
      <c r="W254" s="153"/>
      <c r="X254" s="153"/>
      <c r="Y254" s="153"/>
      <c r="Z254" s="153"/>
    </row>
    <row r="255" ht="21.0" customHeight="1">
      <c r="A255" s="155">
        <v>2.03596351E8</v>
      </c>
      <c r="B255" s="155" t="s">
        <v>435</v>
      </c>
      <c r="C255" s="156">
        <v>6457039.0</v>
      </c>
      <c r="D255" s="156">
        <v>0.0</v>
      </c>
      <c r="E255" s="156">
        <v>0.0</v>
      </c>
      <c r="F255" s="156">
        <v>0.0</v>
      </c>
      <c r="G255" s="156">
        <v>0.0</v>
      </c>
      <c r="H255" s="156">
        <v>0.0</v>
      </c>
      <c r="I255" s="156">
        <v>0.0</v>
      </c>
      <c r="J255" s="156">
        <v>0.0</v>
      </c>
      <c r="K255" s="156">
        <v>0.0</v>
      </c>
      <c r="L255" s="156">
        <v>2.950417833E9</v>
      </c>
      <c r="M255" s="156">
        <v>2.899821286E9</v>
      </c>
      <c r="N255" s="156">
        <v>535.0</v>
      </c>
      <c r="O255" s="155" t="s">
        <v>237</v>
      </c>
      <c r="P255" s="155">
        <v>23.0</v>
      </c>
      <c r="Q255" s="155"/>
      <c r="R255" s="155"/>
      <c r="S255" s="153"/>
      <c r="T255" s="153"/>
      <c r="U255" s="153"/>
      <c r="V255" s="153"/>
      <c r="W255" s="153"/>
      <c r="X255" s="153"/>
      <c r="Y255" s="153"/>
      <c r="Z255" s="153"/>
    </row>
    <row r="256" ht="21.0" customHeight="1">
      <c r="A256" s="155">
        <v>1.4292227E8</v>
      </c>
      <c r="B256" s="155" t="s">
        <v>436</v>
      </c>
      <c r="C256" s="156">
        <v>6367700.0</v>
      </c>
      <c r="D256" s="156">
        <v>242417.0</v>
      </c>
      <c r="E256" s="156">
        <v>0.0</v>
      </c>
      <c r="F256" s="156">
        <v>0.0</v>
      </c>
      <c r="G256" s="156">
        <v>165165.0</v>
      </c>
      <c r="H256" s="156">
        <v>2748.0</v>
      </c>
      <c r="I256" s="156">
        <v>19831.0</v>
      </c>
      <c r="J256" s="156">
        <v>0.0</v>
      </c>
      <c r="K256" s="156">
        <v>0.0</v>
      </c>
      <c r="L256" s="156">
        <v>2.868350831E9</v>
      </c>
      <c r="M256" s="156">
        <v>3.638538717E9</v>
      </c>
      <c r="N256" s="156">
        <v>1716.0</v>
      </c>
      <c r="O256" s="155" t="s">
        <v>271</v>
      </c>
      <c r="P256" s="155">
        <v>22.0</v>
      </c>
      <c r="Q256" s="155"/>
      <c r="R256" s="155"/>
      <c r="S256" s="153"/>
      <c r="T256" s="153"/>
      <c r="U256" s="153"/>
      <c r="V256" s="153"/>
      <c r="W256" s="153"/>
      <c r="X256" s="153"/>
      <c r="Y256" s="153"/>
      <c r="Z256" s="153"/>
    </row>
    <row r="257" ht="21.0" customHeight="1">
      <c r="A257" s="155">
        <v>1.71630346E8</v>
      </c>
      <c r="B257" s="155" t="s">
        <v>437</v>
      </c>
      <c r="C257" s="156">
        <v>6278536.0</v>
      </c>
      <c r="D257" s="156">
        <v>119761.0</v>
      </c>
      <c r="E257" s="156">
        <v>0.0</v>
      </c>
      <c r="F257" s="156">
        <v>0.0</v>
      </c>
      <c r="G257" s="156">
        <v>53599.0</v>
      </c>
      <c r="H257" s="156">
        <v>588.0</v>
      </c>
      <c r="I257" s="156">
        <v>11120.0</v>
      </c>
      <c r="J257" s="156">
        <v>0.0</v>
      </c>
      <c r="K257" s="156">
        <v>0.0</v>
      </c>
      <c r="L257" s="156">
        <v>1.253407761E9</v>
      </c>
      <c r="M257" s="156">
        <v>1.08309109E9</v>
      </c>
      <c r="N257" s="156">
        <v>874.0</v>
      </c>
      <c r="O257" s="155" t="s">
        <v>267</v>
      </c>
      <c r="P257" s="155">
        <v>21.0</v>
      </c>
      <c r="Q257" s="155"/>
      <c r="R257" s="155"/>
      <c r="S257" s="153"/>
      <c r="T257" s="153"/>
      <c r="U257" s="153"/>
      <c r="V257" s="153"/>
      <c r="W257" s="153"/>
      <c r="X257" s="153"/>
      <c r="Y257" s="153"/>
      <c r="Z257" s="153"/>
    </row>
    <row r="258" ht="21.0" customHeight="1">
      <c r="A258" s="155">
        <v>1.13047486E8</v>
      </c>
      <c r="B258" s="155" t="s">
        <v>438</v>
      </c>
      <c r="C258" s="156">
        <v>6154653.0</v>
      </c>
      <c r="D258" s="156">
        <v>24873.0</v>
      </c>
      <c r="E258" s="156">
        <v>0.0</v>
      </c>
      <c r="F258" s="156">
        <v>0.0</v>
      </c>
      <c r="G258" s="156">
        <v>0.0</v>
      </c>
      <c r="H258" s="156">
        <v>14595.0</v>
      </c>
      <c r="I258" s="156">
        <v>0.0</v>
      </c>
      <c r="J258" s="156">
        <v>0.0</v>
      </c>
      <c r="K258" s="156">
        <v>0.0</v>
      </c>
      <c r="L258" s="156">
        <v>2.705931062E9</v>
      </c>
      <c r="M258" s="156">
        <v>3.964927719E9</v>
      </c>
      <c r="N258" s="156">
        <v>923.0</v>
      </c>
      <c r="O258" s="155" t="s">
        <v>271</v>
      </c>
      <c r="P258" s="155">
        <v>22.0</v>
      </c>
      <c r="Q258" s="155"/>
      <c r="R258" s="155"/>
      <c r="S258" s="153"/>
      <c r="T258" s="153"/>
      <c r="U258" s="153"/>
      <c r="V258" s="153"/>
      <c r="W258" s="153"/>
      <c r="X258" s="153"/>
      <c r="Y258" s="153"/>
      <c r="Z258" s="153"/>
    </row>
    <row r="259" ht="21.0" customHeight="1">
      <c r="A259" s="155">
        <v>2.03594717E8</v>
      </c>
      <c r="B259" s="155" t="s">
        <v>439</v>
      </c>
      <c r="C259" s="156">
        <v>6132466.0</v>
      </c>
      <c r="D259" s="156">
        <v>64320.0</v>
      </c>
      <c r="E259" s="156">
        <v>0.0</v>
      </c>
      <c r="F259" s="156">
        <v>0.0</v>
      </c>
      <c r="G259" s="156">
        <v>114871.0</v>
      </c>
      <c r="H259" s="156">
        <v>0.0</v>
      </c>
      <c r="I259" s="156">
        <v>6432.0</v>
      </c>
      <c r="J259" s="156">
        <v>0.0</v>
      </c>
      <c r="K259" s="156">
        <v>0.0</v>
      </c>
      <c r="L259" s="156">
        <v>2.619624885E9</v>
      </c>
      <c r="M259" s="156">
        <v>2.674809991E9</v>
      </c>
      <c r="N259" s="156">
        <v>571.0</v>
      </c>
      <c r="O259" s="155" t="s">
        <v>237</v>
      </c>
      <c r="P259" s="155">
        <v>23.0</v>
      </c>
      <c r="Q259" s="155"/>
      <c r="R259" s="155"/>
      <c r="S259" s="153"/>
      <c r="T259" s="153"/>
      <c r="U259" s="153"/>
      <c r="V259" s="153"/>
      <c r="W259" s="153"/>
      <c r="X259" s="153"/>
      <c r="Y259" s="153"/>
      <c r="Z259" s="153"/>
    </row>
    <row r="260" ht="21.0" customHeight="1">
      <c r="A260" s="155">
        <v>1.45317422E8</v>
      </c>
      <c r="B260" s="155" t="s">
        <v>440</v>
      </c>
      <c r="C260" s="156">
        <v>6103468.0</v>
      </c>
      <c r="D260" s="156">
        <v>524520.0</v>
      </c>
      <c r="E260" s="156">
        <v>0.0</v>
      </c>
      <c r="F260" s="156">
        <v>0.0</v>
      </c>
      <c r="G260" s="156">
        <v>392407.0</v>
      </c>
      <c r="H260" s="156">
        <v>60022.0</v>
      </c>
      <c r="I260" s="156">
        <v>33707.0</v>
      </c>
      <c r="J260" s="156">
        <v>0.0</v>
      </c>
      <c r="K260" s="156">
        <v>0.0</v>
      </c>
      <c r="L260" s="156">
        <v>4.563311409E9</v>
      </c>
      <c r="M260" s="156">
        <v>4.138895231E9</v>
      </c>
      <c r="N260" s="156">
        <v>1760.0</v>
      </c>
      <c r="O260" s="155" t="s">
        <v>271</v>
      </c>
      <c r="P260" s="155">
        <v>23.0</v>
      </c>
      <c r="Q260" s="155"/>
      <c r="R260" s="155"/>
      <c r="S260" s="153"/>
      <c r="T260" s="153"/>
      <c r="U260" s="153"/>
      <c r="V260" s="153"/>
      <c r="W260" s="153"/>
      <c r="X260" s="153"/>
      <c r="Y260" s="153"/>
      <c r="Z260" s="153"/>
    </row>
    <row r="261" ht="21.0" customHeight="1">
      <c r="A261" s="155">
        <v>1.59863084E8</v>
      </c>
      <c r="B261" s="155" t="s">
        <v>441</v>
      </c>
      <c r="C261" s="156">
        <v>6075183.0</v>
      </c>
      <c r="D261" s="156">
        <v>2537290.0</v>
      </c>
      <c r="E261" s="156">
        <v>0.0</v>
      </c>
      <c r="F261" s="156">
        <v>0.0</v>
      </c>
      <c r="G261" s="156">
        <v>2237363.0</v>
      </c>
      <c r="H261" s="156">
        <v>10942.0</v>
      </c>
      <c r="I261" s="156">
        <v>167200.0</v>
      </c>
      <c r="J261" s="156">
        <v>42455.0</v>
      </c>
      <c r="K261" s="156">
        <v>0.0</v>
      </c>
      <c r="L261" s="156">
        <v>3.08479553E9</v>
      </c>
      <c r="M261" s="156">
        <v>4.666515544E9</v>
      </c>
      <c r="N261" s="156">
        <v>1517.0</v>
      </c>
      <c r="O261" s="155" t="s">
        <v>237</v>
      </c>
      <c r="P261" s="155">
        <v>23.0</v>
      </c>
      <c r="Q261" s="155"/>
      <c r="R261" s="155"/>
      <c r="S261" s="153"/>
      <c r="T261" s="153"/>
      <c r="U261" s="153"/>
      <c r="V261" s="153"/>
      <c r="W261" s="153"/>
      <c r="X261" s="153"/>
      <c r="Y261" s="153"/>
      <c r="Z261" s="153"/>
    </row>
    <row r="262" ht="21.0" customHeight="1">
      <c r="A262" s="155">
        <v>1.61657382E8</v>
      </c>
      <c r="B262" s="155" t="s">
        <v>442</v>
      </c>
      <c r="C262" s="156">
        <v>6053214.0</v>
      </c>
      <c r="D262" s="156">
        <v>484807.0</v>
      </c>
      <c r="E262" s="156">
        <v>0.0</v>
      </c>
      <c r="F262" s="156">
        <v>0.0</v>
      </c>
      <c r="G262" s="156">
        <v>567358.0</v>
      </c>
      <c r="H262" s="156">
        <v>487.0</v>
      </c>
      <c r="I262" s="156">
        <v>38317.0</v>
      </c>
      <c r="J262" s="156">
        <v>627.0</v>
      </c>
      <c r="K262" s="156">
        <v>0.0</v>
      </c>
      <c r="L262" s="156">
        <v>3.098959931E9</v>
      </c>
      <c r="M262" s="156">
        <v>1.821646828E9</v>
      </c>
      <c r="N262" s="156">
        <v>1545.0</v>
      </c>
      <c r="O262" s="155" t="s">
        <v>271</v>
      </c>
      <c r="P262" s="155">
        <v>22.0</v>
      </c>
      <c r="Q262" s="155"/>
      <c r="R262" s="155"/>
      <c r="S262" s="153"/>
      <c r="T262" s="153"/>
      <c r="U262" s="153"/>
      <c r="V262" s="153"/>
      <c r="W262" s="153"/>
      <c r="X262" s="153"/>
      <c r="Y262" s="153"/>
      <c r="Z262" s="153"/>
    </row>
    <row r="263" ht="21.0" customHeight="1">
      <c r="A263" s="155">
        <v>1.44106559E8</v>
      </c>
      <c r="B263" s="155" t="s">
        <v>443</v>
      </c>
      <c r="C263" s="156">
        <v>5948873.0</v>
      </c>
      <c r="D263" s="156">
        <v>2730852.0</v>
      </c>
      <c r="E263" s="156">
        <v>0.0</v>
      </c>
      <c r="F263" s="156">
        <v>0.0</v>
      </c>
      <c r="G263" s="156">
        <v>623031.0</v>
      </c>
      <c r="H263" s="156">
        <v>150273.0</v>
      </c>
      <c r="I263" s="156">
        <v>119699.0</v>
      </c>
      <c r="J263" s="156">
        <v>9767.0</v>
      </c>
      <c r="K263" s="156">
        <v>0.0</v>
      </c>
      <c r="L263" s="156">
        <v>4.58437398E8</v>
      </c>
      <c r="M263" s="156">
        <v>25284.0</v>
      </c>
      <c r="N263" s="156">
        <v>529.0</v>
      </c>
      <c r="O263" s="155" t="s">
        <v>444</v>
      </c>
      <c r="P263" s="155">
        <v>21.0</v>
      </c>
      <c r="Q263" s="155"/>
      <c r="R263" s="155"/>
      <c r="S263" s="153"/>
      <c r="T263" s="153"/>
      <c r="U263" s="153"/>
      <c r="V263" s="153"/>
      <c r="W263" s="153"/>
      <c r="X263" s="153"/>
      <c r="Y263" s="153"/>
      <c r="Z263" s="153"/>
    </row>
    <row r="264" ht="21.0" customHeight="1">
      <c r="A264" s="155">
        <v>1.71825702E8</v>
      </c>
      <c r="B264" s="155" t="s">
        <v>445</v>
      </c>
      <c r="C264" s="156">
        <v>5947900.0</v>
      </c>
      <c r="D264" s="156">
        <v>495334.0</v>
      </c>
      <c r="E264" s="156">
        <v>0.0</v>
      </c>
      <c r="F264" s="156">
        <v>0.0</v>
      </c>
      <c r="G264" s="156">
        <v>665734.0</v>
      </c>
      <c r="H264" s="156">
        <v>1604.0</v>
      </c>
      <c r="I264" s="156">
        <v>22399.0</v>
      </c>
      <c r="J264" s="156">
        <v>12792.0</v>
      </c>
      <c r="K264" s="156">
        <v>0.0</v>
      </c>
      <c r="L264" s="156">
        <v>4.203461247E9</v>
      </c>
      <c r="M264" s="156">
        <v>3.598100167E9</v>
      </c>
      <c r="N264" s="156">
        <v>759.0</v>
      </c>
      <c r="O264" s="155" t="s">
        <v>267</v>
      </c>
      <c r="P264" s="155">
        <v>22.0</v>
      </c>
      <c r="Q264" s="155"/>
      <c r="R264" s="155"/>
      <c r="S264" s="153"/>
      <c r="T264" s="153"/>
      <c r="U264" s="153"/>
      <c r="V264" s="153"/>
      <c r="W264" s="153"/>
      <c r="X264" s="153"/>
      <c r="Y264" s="153"/>
      <c r="Z264" s="153"/>
    </row>
    <row r="265" ht="21.0" customHeight="1">
      <c r="A265" s="155">
        <v>1.42880145E8</v>
      </c>
      <c r="B265" s="155" t="s">
        <v>446</v>
      </c>
      <c r="C265" s="156">
        <v>5929393.0</v>
      </c>
      <c r="D265" s="156">
        <v>1496008.0</v>
      </c>
      <c r="E265" s="156">
        <v>0.0</v>
      </c>
      <c r="F265" s="156">
        <v>0.0</v>
      </c>
      <c r="G265" s="156">
        <v>1142705.0</v>
      </c>
      <c r="H265" s="156">
        <v>36700.0</v>
      </c>
      <c r="I265" s="156">
        <v>141788.0</v>
      </c>
      <c r="J265" s="156">
        <v>0.0</v>
      </c>
      <c r="K265" s="156">
        <v>0.0</v>
      </c>
      <c r="L265" s="156">
        <v>3.715665529E9</v>
      </c>
      <c r="M265" s="156">
        <v>4.316637415E9</v>
      </c>
      <c r="N265" s="156">
        <v>3574.0</v>
      </c>
      <c r="O265" s="155" t="s">
        <v>271</v>
      </c>
      <c r="P265" s="155">
        <v>23.0</v>
      </c>
      <c r="Q265" s="155"/>
      <c r="R265" s="155"/>
      <c r="S265" s="153"/>
      <c r="T265" s="153"/>
      <c r="U265" s="153"/>
      <c r="V265" s="153"/>
      <c r="W265" s="153"/>
      <c r="X265" s="153"/>
      <c r="Y265" s="153"/>
      <c r="Z265" s="153"/>
    </row>
    <row r="266" ht="21.0" customHeight="1">
      <c r="A266" s="155">
        <v>1.45180743E8</v>
      </c>
      <c r="B266" s="155" t="s">
        <v>447</v>
      </c>
      <c r="C266" s="156">
        <v>5880997.0</v>
      </c>
      <c r="D266" s="156">
        <v>368644.0</v>
      </c>
      <c r="E266" s="156">
        <v>0.0</v>
      </c>
      <c r="F266" s="156">
        <v>0.0</v>
      </c>
      <c r="G266" s="156">
        <v>778239.0</v>
      </c>
      <c r="H266" s="156">
        <v>26431.0</v>
      </c>
      <c r="I266" s="156">
        <v>2465.0</v>
      </c>
      <c r="J266" s="156">
        <v>7187.0</v>
      </c>
      <c r="K266" s="156">
        <v>0.0</v>
      </c>
      <c r="L266" s="156">
        <v>3.630151645E9</v>
      </c>
      <c r="M266" s="156">
        <v>2.658318405E9</v>
      </c>
      <c r="N266" s="156">
        <v>1148.0</v>
      </c>
      <c r="O266" s="155" t="s">
        <v>271</v>
      </c>
      <c r="P266" s="155">
        <v>23.0</v>
      </c>
      <c r="Q266" s="155"/>
      <c r="R266" s="155"/>
      <c r="S266" s="153"/>
      <c r="T266" s="153"/>
      <c r="U266" s="153"/>
      <c r="V266" s="153"/>
      <c r="W266" s="153"/>
      <c r="X266" s="153"/>
      <c r="Y266" s="153"/>
      <c r="Z266" s="153"/>
    </row>
    <row r="267" ht="21.0" customHeight="1">
      <c r="A267" s="155">
        <v>1.92333394E8</v>
      </c>
      <c r="B267" s="155" t="s">
        <v>448</v>
      </c>
      <c r="C267" s="156">
        <v>5863544.0</v>
      </c>
      <c r="D267" s="156">
        <v>0.0</v>
      </c>
      <c r="E267" s="156">
        <v>0.0</v>
      </c>
      <c r="F267" s="156">
        <v>0.0</v>
      </c>
      <c r="G267" s="156">
        <v>0.0</v>
      </c>
      <c r="H267" s="156">
        <v>0.0</v>
      </c>
      <c r="I267" s="156">
        <v>0.0</v>
      </c>
      <c r="J267" s="156">
        <v>0.0</v>
      </c>
      <c r="K267" s="156">
        <v>0.0</v>
      </c>
      <c r="L267" s="156">
        <v>2.52103822E9</v>
      </c>
      <c r="M267" s="156">
        <v>2.857402886E9</v>
      </c>
      <c r="N267" s="156">
        <v>805.0</v>
      </c>
      <c r="O267" s="155" t="s">
        <v>237</v>
      </c>
      <c r="P267" s="155">
        <v>23.0</v>
      </c>
      <c r="Q267" s="155"/>
      <c r="R267" s="155"/>
      <c r="S267" s="153"/>
      <c r="T267" s="153"/>
      <c r="U267" s="153"/>
      <c r="V267" s="153"/>
      <c r="W267" s="153"/>
      <c r="X267" s="153"/>
      <c r="Y267" s="153"/>
      <c r="Z267" s="153"/>
    </row>
    <row r="268" ht="21.0" customHeight="1">
      <c r="A268" s="155">
        <v>1.92258353E8</v>
      </c>
      <c r="B268" s="155" t="s">
        <v>449</v>
      </c>
      <c r="C268" s="156">
        <v>5843422.0</v>
      </c>
      <c r="D268" s="156">
        <v>0.0</v>
      </c>
      <c r="E268" s="156">
        <v>0.0</v>
      </c>
      <c r="F268" s="156">
        <v>0.0</v>
      </c>
      <c r="G268" s="156">
        <v>0.0</v>
      </c>
      <c r="H268" s="156">
        <v>0.0</v>
      </c>
      <c r="I268" s="156">
        <v>0.0</v>
      </c>
      <c r="J268" s="156">
        <v>0.0</v>
      </c>
      <c r="K268" s="156">
        <v>0.0</v>
      </c>
      <c r="L268" s="156">
        <v>2.624682976E9</v>
      </c>
      <c r="M268" s="156">
        <v>3.098898393E9</v>
      </c>
      <c r="N268" s="156">
        <v>890.0</v>
      </c>
      <c r="O268" s="155" t="s">
        <v>237</v>
      </c>
      <c r="P268" s="155">
        <v>23.0</v>
      </c>
      <c r="Q268" s="155"/>
      <c r="R268" s="155"/>
      <c r="S268" s="153"/>
      <c r="T268" s="153"/>
      <c r="U268" s="153"/>
      <c r="V268" s="153"/>
      <c r="W268" s="153"/>
      <c r="X268" s="153"/>
      <c r="Y268" s="153"/>
      <c r="Z268" s="153"/>
    </row>
    <row r="269" ht="21.0" customHeight="1">
      <c r="A269" s="155">
        <v>1.92258498E8</v>
      </c>
      <c r="B269" s="155" t="s">
        <v>450</v>
      </c>
      <c r="C269" s="156">
        <v>5838985.0</v>
      </c>
      <c r="D269" s="156">
        <v>0.0</v>
      </c>
      <c r="E269" s="156">
        <v>0.0</v>
      </c>
      <c r="F269" s="156">
        <v>0.0</v>
      </c>
      <c r="G269" s="156">
        <v>0.0</v>
      </c>
      <c r="H269" s="156">
        <v>0.0</v>
      </c>
      <c r="I269" s="156">
        <v>0.0</v>
      </c>
      <c r="J269" s="156">
        <v>0.0</v>
      </c>
      <c r="K269" s="156">
        <v>0.0</v>
      </c>
      <c r="L269" s="156">
        <v>2.611497302E9</v>
      </c>
      <c r="M269" s="156">
        <v>3.034111017E9</v>
      </c>
      <c r="N269" s="156">
        <v>913.0</v>
      </c>
      <c r="O269" s="155" t="s">
        <v>237</v>
      </c>
      <c r="P269" s="155">
        <v>23.0</v>
      </c>
      <c r="Q269" s="155"/>
      <c r="R269" s="155"/>
      <c r="S269" s="153"/>
      <c r="T269" s="153"/>
      <c r="U269" s="153"/>
      <c r="V269" s="153"/>
      <c r="W269" s="153"/>
      <c r="X269" s="153"/>
      <c r="Y269" s="153"/>
      <c r="Z269" s="153"/>
    </row>
    <row r="270" ht="21.0" customHeight="1">
      <c r="A270" s="155">
        <v>1.62814191E8</v>
      </c>
      <c r="B270" s="155" t="s">
        <v>451</v>
      </c>
      <c r="C270" s="156">
        <v>5792826.0</v>
      </c>
      <c r="D270" s="156">
        <v>757123.0</v>
      </c>
      <c r="E270" s="156">
        <v>0.0</v>
      </c>
      <c r="F270" s="156">
        <v>0.0</v>
      </c>
      <c r="G270" s="156">
        <v>425320.0</v>
      </c>
      <c r="H270" s="156">
        <v>191036.0</v>
      </c>
      <c r="I270" s="156">
        <v>30453.0</v>
      </c>
      <c r="J270" s="156">
        <v>0.0</v>
      </c>
      <c r="K270" s="156">
        <v>0.0</v>
      </c>
      <c r="L270" s="156">
        <v>2.683309415E9</v>
      </c>
      <c r="M270" s="156">
        <v>2.465525973E9</v>
      </c>
      <c r="N270" s="156">
        <v>1554.0</v>
      </c>
      <c r="O270" s="155" t="s">
        <v>271</v>
      </c>
      <c r="P270" s="155">
        <v>22.0</v>
      </c>
      <c r="Q270" s="155"/>
      <c r="R270" s="155"/>
      <c r="S270" s="153"/>
      <c r="T270" s="153"/>
      <c r="U270" s="153"/>
      <c r="V270" s="153"/>
      <c r="W270" s="153"/>
      <c r="X270" s="153"/>
      <c r="Y270" s="153"/>
      <c r="Z270" s="153"/>
    </row>
    <row r="271" ht="21.0" customHeight="1">
      <c r="A271" s="155">
        <v>1.69246974E8</v>
      </c>
      <c r="B271" s="155" t="s">
        <v>452</v>
      </c>
      <c r="C271" s="156">
        <v>5748523.0</v>
      </c>
      <c r="D271" s="156">
        <v>2465570.0</v>
      </c>
      <c r="E271" s="156">
        <v>0.0</v>
      </c>
      <c r="F271" s="156">
        <v>0.0</v>
      </c>
      <c r="G271" s="156">
        <v>1212264.0</v>
      </c>
      <c r="H271" s="156">
        <v>33483.0</v>
      </c>
      <c r="I271" s="156">
        <v>170169.0</v>
      </c>
      <c r="J271" s="156">
        <v>0.0</v>
      </c>
      <c r="K271" s="156">
        <v>0.0</v>
      </c>
      <c r="L271" s="156">
        <v>6.529853803E9</v>
      </c>
      <c r="M271" s="156">
        <v>7.52849164E9</v>
      </c>
      <c r="N271" s="156">
        <v>2669.0</v>
      </c>
      <c r="O271" s="155" t="s">
        <v>237</v>
      </c>
      <c r="P271" s="155">
        <v>22.0</v>
      </c>
      <c r="Q271" s="155"/>
      <c r="R271" s="155"/>
      <c r="S271" s="153"/>
      <c r="T271" s="153"/>
      <c r="U271" s="153"/>
      <c r="V271" s="153"/>
      <c r="W271" s="153"/>
      <c r="X271" s="153"/>
      <c r="Y271" s="153"/>
      <c r="Z271" s="153"/>
    </row>
    <row r="272" ht="21.0" customHeight="1">
      <c r="A272" s="155">
        <v>2.03599132E8</v>
      </c>
      <c r="B272" s="155" t="s">
        <v>453</v>
      </c>
      <c r="C272" s="156">
        <v>5649512.0</v>
      </c>
      <c r="D272" s="156">
        <v>0.0</v>
      </c>
      <c r="E272" s="156">
        <v>0.0</v>
      </c>
      <c r="F272" s="156">
        <v>0.0</v>
      </c>
      <c r="G272" s="156">
        <v>0.0</v>
      </c>
      <c r="H272" s="156">
        <v>0.0</v>
      </c>
      <c r="I272" s="156">
        <v>0.0</v>
      </c>
      <c r="J272" s="156">
        <v>0.0</v>
      </c>
      <c r="K272" s="156">
        <v>0.0</v>
      </c>
      <c r="L272" s="156">
        <v>1.985284786E9</v>
      </c>
      <c r="M272" s="156">
        <v>1.926215395E9</v>
      </c>
      <c r="N272" s="156">
        <v>435.0</v>
      </c>
      <c r="O272" s="155" t="s">
        <v>237</v>
      </c>
      <c r="P272" s="155">
        <v>23.0</v>
      </c>
      <c r="Q272" s="155"/>
      <c r="R272" s="155"/>
      <c r="S272" s="153"/>
      <c r="T272" s="153"/>
      <c r="U272" s="153"/>
      <c r="V272" s="153"/>
      <c r="W272" s="153"/>
      <c r="X272" s="153"/>
      <c r="Y272" s="153"/>
      <c r="Z272" s="153"/>
    </row>
    <row r="273" ht="21.0" customHeight="1">
      <c r="A273" s="155">
        <v>1.4804556E8</v>
      </c>
      <c r="B273" s="155" t="s">
        <v>454</v>
      </c>
      <c r="C273" s="156">
        <v>5495685.0</v>
      </c>
      <c r="D273" s="156">
        <v>7869852.0</v>
      </c>
      <c r="E273" s="156">
        <v>0.0</v>
      </c>
      <c r="F273" s="156">
        <v>0.0</v>
      </c>
      <c r="G273" s="156">
        <v>561222.0</v>
      </c>
      <c r="H273" s="156">
        <v>963281.0</v>
      </c>
      <c r="I273" s="156">
        <v>69287.0</v>
      </c>
      <c r="J273" s="156">
        <v>0.0</v>
      </c>
      <c r="K273" s="156">
        <v>0.0</v>
      </c>
      <c r="L273" s="156">
        <v>8.34526653E8</v>
      </c>
      <c r="M273" s="156">
        <v>1.8519723E7</v>
      </c>
      <c r="N273" s="156">
        <v>1334.0</v>
      </c>
      <c r="O273" s="155" t="s">
        <v>233</v>
      </c>
      <c r="P273" s="155">
        <v>22.0</v>
      </c>
      <c r="Q273" s="155"/>
      <c r="R273" s="155"/>
      <c r="S273" s="153"/>
      <c r="T273" s="153"/>
      <c r="U273" s="153"/>
      <c r="V273" s="153"/>
      <c r="W273" s="153"/>
      <c r="X273" s="153"/>
      <c r="Y273" s="153"/>
      <c r="Z273" s="153"/>
    </row>
    <row r="274" ht="21.0" customHeight="1">
      <c r="A274" s="155">
        <v>1.65389557E8</v>
      </c>
      <c r="B274" s="155" t="s">
        <v>455</v>
      </c>
      <c r="C274" s="156">
        <v>5446660.0</v>
      </c>
      <c r="D274" s="156">
        <v>482192.0</v>
      </c>
      <c r="E274" s="156">
        <v>0.0</v>
      </c>
      <c r="F274" s="156">
        <v>0.0</v>
      </c>
      <c r="G274" s="156">
        <v>406283.0</v>
      </c>
      <c r="H274" s="156">
        <v>953.0</v>
      </c>
      <c r="I274" s="156">
        <v>39472.0</v>
      </c>
      <c r="J274" s="156">
        <v>4152.0</v>
      </c>
      <c r="K274" s="156">
        <v>0.0</v>
      </c>
      <c r="L274" s="156">
        <v>2.011103234E9</v>
      </c>
      <c r="M274" s="156">
        <v>3.494273792E9</v>
      </c>
      <c r="N274" s="156">
        <v>756.0</v>
      </c>
      <c r="O274" s="155" t="s">
        <v>271</v>
      </c>
      <c r="P274" s="155">
        <v>22.0</v>
      </c>
      <c r="Q274" s="155"/>
      <c r="R274" s="155"/>
      <c r="S274" s="153"/>
      <c r="T274" s="153"/>
      <c r="U274" s="153"/>
      <c r="V274" s="153"/>
      <c r="W274" s="153"/>
      <c r="X274" s="153"/>
      <c r="Y274" s="153"/>
      <c r="Z274" s="153"/>
    </row>
    <row r="275" ht="21.0" customHeight="1">
      <c r="A275" s="155">
        <v>1.44057893E8</v>
      </c>
      <c r="B275" s="155" t="s">
        <v>456</v>
      </c>
      <c r="C275" s="156">
        <v>5436996.0</v>
      </c>
      <c r="D275" s="156">
        <v>1735550.0</v>
      </c>
      <c r="E275" s="156">
        <v>0.0</v>
      </c>
      <c r="F275" s="156">
        <v>0.0</v>
      </c>
      <c r="G275" s="156">
        <v>104106.0</v>
      </c>
      <c r="H275" s="156">
        <v>378474.0</v>
      </c>
      <c r="I275" s="156">
        <v>15150.0</v>
      </c>
      <c r="J275" s="156">
        <v>0.0</v>
      </c>
      <c r="K275" s="156">
        <v>0.0</v>
      </c>
      <c r="L275" s="156">
        <v>4.32467707E8</v>
      </c>
      <c r="M275" s="156">
        <v>0.0</v>
      </c>
      <c r="N275" s="156">
        <v>1821.0</v>
      </c>
      <c r="O275" s="155" t="s">
        <v>277</v>
      </c>
      <c r="P275" s="155">
        <v>21.0</v>
      </c>
      <c r="Q275" s="155"/>
      <c r="R275" s="155"/>
      <c r="S275" s="153"/>
      <c r="T275" s="153"/>
      <c r="U275" s="153"/>
      <c r="V275" s="153"/>
      <c r="W275" s="153"/>
      <c r="X275" s="153"/>
      <c r="Y275" s="153"/>
      <c r="Z275" s="153"/>
    </row>
    <row r="276" ht="21.0" customHeight="1">
      <c r="A276" s="155">
        <v>1.51290693E8</v>
      </c>
      <c r="B276" s="155" t="s">
        <v>457</v>
      </c>
      <c r="C276" s="156">
        <v>5423736.0</v>
      </c>
      <c r="D276" s="156">
        <v>0.0</v>
      </c>
      <c r="E276" s="156">
        <v>0.0</v>
      </c>
      <c r="F276" s="156">
        <v>0.0</v>
      </c>
      <c r="G276" s="156">
        <v>0.0</v>
      </c>
      <c r="H276" s="156">
        <v>0.0</v>
      </c>
      <c r="I276" s="156">
        <v>0.0</v>
      </c>
      <c r="J276" s="156">
        <v>0.0</v>
      </c>
      <c r="K276" s="156">
        <v>0.0</v>
      </c>
      <c r="L276" s="156">
        <v>2.4280356E7</v>
      </c>
      <c r="M276" s="156">
        <v>0.0</v>
      </c>
      <c r="N276" s="156">
        <v>398.0</v>
      </c>
      <c r="O276" s="155" t="s">
        <v>246</v>
      </c>
      <c r="P276" s="155">
        <v>22.0</v>
      </c>
      <c r="Q276" s="155"/>
      <c r="R276" s="155"/>
      <c r="S276" s="153"/>
      <c r="T276" s="153"/>
      <c r="U276" s="153"/>
      <c r="V276" s="153"/>
      <c r="W276" s="153"/>
      <c r="X276" s="153"/>
      <c r="Y276" s="153"/>
      <c r="Z276" s="153"/>
    </row>
    <row r="277" ht="21.0" customHeight="1">
      <c r="A277" s="155">
        <v>1.78457149E8</v>
      </c>
      <c r="B277" s="155" t="s">
        <v>458</v>
      </c>
      <c r="C277" s="156">
        <v>5395353.0</v>
      </c>
      <c r="D277" s="156">
        <v>834615.0</v>
      </c>
      <c r="E277" s="156">
        <v>0.0</v>
      </c>
      <c r="F277" s="156">
        <v>0.0</v>
      </c>
      <c r="G277" s="156">
        <v>348254.0</v>
      </c>
      <c r="H277" s="156">
        <v>6975.0</v>
      </c>
      <c r="I277" s="156">
        <v>40589.0</v>
      </c>
      <c r="J277" s="156">
        <v>0.0</v>
      </c>
      <c r="K277" s="156">
        <v>0.0</v>
      </c>
      <c r="L277" s="156">
        <v>6.35394096E8</v>
      </c>
      <c r="M277" s="156">
        <v>3.71660278E8</v>
      </c>
      <c r="N277" s="156">
        <v>1828.0</v>
      </c>
      <c r="O277" s="155" t="s">
        <v>267</v>
      </c>
      <c r="P277" s="155">
        <v>23.0</v>
      </c>
      <c r="Q277" s="155"/>
      <c r="R277" s="155"/>
      <c r="S277" s="153"/>
      <c r="T277" s="153"/>
      <c r="U277" s="153"/>
      <c r="V277" s="153"/>
      <c r="W277" s="153"/>
      <c r="X277" s="153"/>
      <c r="Y277" s="153"/>
      <c r="Z277" s="153"/>
    </row>
    <row r="278" ht="21.0" customHeight="1">
      <c r="A278" s="155">
        <v>1.61102851E8</v>
      </c>
      <c r="B278" s="155" t="s">
        <v>459</v>
      </c>
      <c r="C278" s="156">
        <v>5394934.0</v>
      </c>
      <c r="D278" s="156">
        <v>493445.0</v>
      </c>
      <c r="E278" s="156">
        <v>0.0</v>
      </c>
      <c r="F278" s="156">
        <v>0.0</v>
      </c>
      <c r="G278" s="156">
        <v>731740.0</v>
      </c>
      <c r="H278" s="156">
        <v>10978.0</v>
      </c>
      <c r="I278" s="156">
        <v>39248.0</v>
      </c>
      <c r="J278" s="156">
        <v>0.0</v>
      </c>
      <c r="K278" s="156">
        <v>0.0</v>
      </c>
      <c r="L278" s="156">
        <v>4.248368087E9</v>
      </c>
      <c r="M278" s="156">
        <v>3.959967397E9</v>
      </c>
      <c r="N278" s="156">
        <v>2803.0</v>
      </c>
      <c r="O278" s="155" t="s">
        <v>271</v>
      </c>
      <c r="P278" s="155">
        <v>22.0</v>
      </c>
      <c r="Q278" s="155"/>
      <c r="R278" s="155"/>
      <c r="S278" s="153"/>
      <c r="T278" s="153"/>
      <c r="U278" s="153"/>
      <c r="V278" s="153"/>
      <c r="W278" s="153"/>
      <c r="X278" s="153"/>
      <c r="Y278" s="153"/>
      <c r="Z278" s="153"/>
    </row>
    <row r="279" ht="21.0" customHeight="1">
      <c r="A279" s="155">
        <v>1.61623756E8</v>
      </c>
      <c r="B279" s="155" t="s">
        <v>460</v>
      </c>
      <c r="C279" s="156">
        <v>5339123.0</v>
      </c>
      <c r="D279" s="156">
        <v>848985.0</v>
      </c>
      <c r="E279" s="156">
        <v>0.0</v>
      </c>
      <c r="F279" s="156">
        <v>0.0</v>
      </c>
      <c r="G279" s="156">
        <v>1318480.0</v>
      </c>
      <c r="H279" s="156">
        <v>9286.0</v>
      </c>
      <c r="I279" s="156">
        <v>57789.0</v>
      </c>
      <c r="J279" s="156">
        <v>11702.0</v>
      </c>
      <c r="K279" s="156">
        <v>0.0</v>
      </c>
      <c r="L279" s="156">
        <v>2.900766341E9</v>
      </c>
      <c r="M279" s="156">
        <v>2.210407202E9</v>
      </c>
      <c r="N279" s="156">
        <v>2466.0</v>
      </c>
      <c r="O279" s="155" t="s">
        <v>271</v>
      </c>
      <c r="P279" s="155">
        <v>23.0</v>
      </c>
      <c r="Q279" s="155"/>
      <c r="R279" s="155"/>
      <c r="S279" s="153"/>
      <c r="T279" s="153"/>
      <c r="U279" s="153"/>
      <c r="V279" s="153"/>
      <c r="W279" s="153"/>
      <c r="X279" s="153"/>
      <c r="Y279" s="153"/>
      <c r="Z279" s="153"/>
    </row>
    <row r="280" ht="21.0" customHeight="1">
      <c r="A280" s="155">
        <v>1.05764434E8</v>
      </c>
      <c r="B280" s="155" t="s">
        <v>461</v>
      </c>
      <c r="C280" s="156">
        <v>5336144.0</v>
      </c>
      <c r="D280" s="156">
        <v>6420.0</v>
      </c>
      <c r="E280" s="156">
        <v>0.0</v>
      </c>
      <c r="F280" s="156">
        <v>0.0</v>
      </c>
      <c r="G280" s="156">
        <v>0.0</v>
      </c>
      <c r="H280" s="156">
        <v>0.0</v>
      </c>
      <c r="I280" s="156">
        <v>642.0</v>
      </c>
      <c r="J280" s="156">
        <v>0.0</v>
      </c>
      <c r="K280" s="156">
        <v>0.0</v>
      </c>
      <c r="L280" s="156">
        <v>8.65757716E8</v>
      </c>
      <c r="M280" s="156">
        <v>8.75276091E8</v>
      </c>
      <c r="N280" s="156">
        <v>227.0</v>
      </c>
      <c r="O280" s="155" t="s">
        <v>237</v>
      </c>
      <c r="P280" s="155">
        <v>22.0</v>
      </c>
      <c r="Q280" s="155"/>
      <c r="R280" s="155"/>
      <c r="S280" s="153"/>
      <c r="T280" s="153"/>
      <c r="U280" s="153"/>
      <c r="V280" s="153"/>
      <c r="W280" s="153"/>
      <c r="X280" s="153"/>
      <c r="Y280" s="153"/>
      <c r="Z280" s="153"/>
    </row>
    <row r="281" ht="21.0" customHeight="1">
      <c r="A281" s="155">
        <v>1.65390118E8</v>
      </c>
      <c r="B281" s="155" t="s">
        <v>462</v>
      </c>
      <c r="C281" s="156">
        <v>5315556.0</v>
      </c>
      <c r="D281" s="156">
        <v>155050.0</v>
      </c>
      <c r="E281" s="156">
        <v>0.0</v>
      </c>
      <c r="F281" s="156">
        <v>0.0</v>
      </c>
      <c r="G281" s="156">
        <v>533671.0</v>
      </c>
      <c r="H281" s="156">
        <v>0.0</v>
      </c>
      <c r="I281" s="156">
        <v>11003.0</v>
      </c>
      <c r="J281" s="156">
        <v>2251.0</v>
      </c>
      <c r="K281" s="156">
        <v>0.0</v>
      </c>
      <c r="L281" s="156">
        <v>1.973712868E9</v>
      </c>
      <c r="M281" s="156">
        <v>3.480140481E9</v>
      </c>
      <c r="N281" s="156">
        <v>791.0</v>
      </c>
      <c r="O281" s="155" t="s">
        <v>271</v>
      </c>
      <c r="P281" s="155">
        <v>22.0</v>
      </c>
      <c r="Q281" s="155"/>
      <c r="R281" s="155"/>
      <c r="S281" s="153"/>
      <c r="T281" s="153"/>
      <c r="U281" s="153"/>
      <c r="V281" s="153"/>
      <c r="W281" s="153"/>
      <c r="X281" s="153"/>
      <c r="Y281" s="153"/>
      <c r="Z281" s="153"/>
    </row>
    <row r="282" ht="21.0" customHeight="1">
      <c r="A282" s="155">
        <v>1.24754233E8</v>
      </c>
      <c r="B282" s="155" t="s">
        <v>463</v>
      </c>
      <c r="C282" s="156">
        <v>5277404.0</v>
      </c>
      <c r="D282" s="156">
        <v>508002.0</v>
      </c>
      <c r="E282" s="156">
        <v>0.0</v>
      </c>
      <c r="F282" s="156">
        <v>0.0</v>
      </c>
      <c r="G282" s="156">
        <v>1018380.0</v>
      </c>
      <c r="H282" s="156">
        <v>3501.0</v>
      </c>
      <c r="I282" s="156">
        <v>50725.0</v>
      </c>
      <c r="J282" s="156">
        <v>0.0</v>
      </c>
      <c r="K282" s="156">
        <v>0.0</v>
      </c>
      <c r="L282" s="156">
        <v>1.111106022E9</v>
      </c>
      <c r="M282" s="156">
        <v>4.036015E8</v>
      </c>
      <c r="N282" s="156">
        <v>5144.0</v>
      </c>
      <c r="O282" s="155" t="s">
        <v>233</v>
      </c>
      <c r="P282" s="155">
        <v>21.0</v>
      </c>
      <c r="Q282" s="155"/>
      <c r="R282" s="155"/>
      <c r="S282" s="153"/>
      <c r="T282" s="153"/>
      <c r="U282" s="153"/>
      <c r="V282" s="153"/>
      <c r="W282" s="153"/>
      <c r="X282" s="153"/>
      <c r="Y282" s="153"/>
      <c r="Z282" s="153"/>
    </row>
    <row r="283" ht="21.0" customHeight="1">
      <c r="A283" s="155">
        <v>1.44051069E8</v>
      </c>
      <c r="B283" s="155" t="s">
        <v>464</v>
      </c>
      <c r="C283" s="156">
        <v>5174171.0</v>
      </c>
      <c r="D283" s="156">
        <v>724843.0</v>
      </c>
      <c r="E283" s="156">
        <v>0.0</v>
      </c>
      <c r="F283" s="156">
        <v>0.0</v>
      </c>
      <c r="G283" s="156">
        <v>335806.0</v>
      </c>
      <c r="H283" s="156">
        <v>13037.0</v>
      </c>
      <c r="I283" s="156">
        <v>33795.0</v>
      </c>
      <c r="J283" s="156">
        <v>0.0</v>
      </c>
      <c r="K283" s="156">
        <v>0.0</v>
      </c>
      <c r="L283" s="156">
        <v>5.7795912E8</v>
      </c>
      <c r="M283" s="156">
        <v>0.0</v>
      </c>
      <c r="N283" s="156">
        <v>1175.0</v>
      </c>
      <c r="O283" s="155" t="s">
        <v>277</v>
      </c>
      <c r="P283" s="155">
        <v>19.0</v>
      </c>
      <c r="Q283" s="155"/>
      <c r="R283" s="155"/>
      <c r="S283" s="153"/>
      <c r="T283" s="153"/>
      <c r="U283" s="153"/>
      <c r="V283" s="153"/>
      <c r="W283" s="153"/>
      <c r="X283" s="153"/>
      <c r="Y283" s="153"/>
      <c r="Z283" s="153"/>
    </row>
    <row r="284" ht="21.0" customHeight="1">
      <c r="A284" s="155">
        <v>1.64498674E8</v>
      </c>
      <c r="B284" s="155" t="s">
        <v>465</v>
      </c>
      <c r="C284" s="156">
        <v>5118934.0</v>
      </c>
      <c r="D284" s="156">
        <v>839696.0</v>
      </c>
      <c r="E284" s="156">
        <v>0.0</v>
      </c>
      <c r="F284" s="156">
        <v>0.0</v>
      </c>
      <c r="G284" s="156">
        <v>471692.0</v>
      </c>
      <c r="H284" s="156">
        <v>111.0</v>
      </c>
      <c r="I284" s="156">
        <v>83712.0</v>
      </c>
      <c r="J284" s="156">
        <v>0.0</v>
      </c>
      <c r="K284" s="156">
        <v>0.0</v>
      </c>
      <c r="L284" s="156">
        <v>7.92215409E8</v>
      </c>
      <c r="M284" s="156">
        <v>5.87182417E8</v>
      </c>
      <c r="N284" s="156">
        <v>722.0</v>
      </c>
      <c r="O284" s="155" t="s">
        <v>267</v>
      </c>
      <c r="P284" s="155">
        <v>21.0</v>
      </c>
      <c r="Q284" s="155"/>
      <c r="R284" s="155"/>
      <c r="S284" s="153"/>
      <c r="T284" s="153"/>
      <c r="U284" s="153"/>
      <c r="V284" s="153"/>
      <c r="W284" s="153"/>
      <c r="X284" s="153"/>
      <c r="Y284" s="153"/>
      <c r="Z284" s="153"/>
    </row>
    <row r="285" ht="21.0" customHeight="1">
      <c r="A285" s="155">
        <v>1.06570268E8</v>
      </c>
      <c r="B285" s="155" t="s">
        <v>466</v>
      </c>
      <c r="C285" s="156">
        <v>5114730.0</v>
      </c>
      <c r="D285" s="156">
        <v>1838.0</v>
      </c>
      <c r="E285" s="156">
        <v>0.0</v>
      </c>
      <c r="F285" s="156">
        <v>0.0</v>
      </c>
      <c r="G285" s="156">
        <v>0.0</v>
      </c>
      <c r="H285" s="156">
        <v>574.0</v>
      </c>
      <c r="I285" s="156">
        <v>0.0</v>
      </c>
      <c r="J285" s="156">
        <v>0.0</v>
      </c>
      <c r="K285" s="156">
        <v>0.0</v>
      </c>
      <c r="L285" s="156">
        <v>3.34089322E8</v>
      </c>
      <c r="M285" s="156">
        <v>6000000.0</v>
      </c>
      <c r="N285" s="156">
        <v>413.0</v>
      </c>
      <c r="O285" s="155" t="s">
        <v>237</v>
      </c>
      <c r="P285" s="155">
        <v>22.0</v>
      </c>
      <c r="Q285" s="155"/>
      <c r="R285" s="155"/>
      <c r="S285" s="153"/>
      <c r="T285" s="153"/>
      <c r="U285" s="153"/>
      <c r="V285" s="153"/>
      <c r="W285" s="153"/>
      <c r="X285" s="153"/>
      <c r="Y285" s="153"/>
      <c r="Z285" s="153"/>
    </row>
    <row r="286" ht="21.0" customHeight="1">
      <c r="A286" s="155">
        <v>1.80482241E8</v>
      </c>
      <c r="B286" s="155" t="s">
        <v>467</v>
      </c>
      <c r="C286" s="156">
        <v>5033889.0</v>
      </c>
      <c r="D286" s="156">
        <v>111146.0</v>
      </c>
      <c r="E286" s="156">
        <v>0.0</v>
      </c>
      <c r="F286" s="156">
        <v>0.0</v>
      </c>
      <c r="G286" s="156">
        <v>762470.0</v>
      </c>
      <c r="H286" s="156">
        <v>0.0</v>
      </c>
      <c r="I286" s="156">
        <v>10497.0</v>
      </c>
      <c r="J286" s="156">
        <v>0.0</v>
      </c>
      <c r="K286" s="156">
        <v>0.0</v>
      </c>
      <c r="L286" s="156">
        <v>4.896741118E9</v>
      </c>
      <c r="M286" s="156">
        <v>5.619690264E9</v>
      </c>
      <c r="N286" s="156">
        <v>924.0</v>
      </c>
      <c r="O286" s="155" t="s">
        <v>237</v>
      </c>
      <c r="P286" s="155">
        <v>22.0</v>
      </c>
      <c r="Q286" s="155"/>
      <c r="R286" s="155"/>
      <c r="S286" s="153"/>
      <c r="T286" s="153"/>
      <c r="U286" s="153"/>
      <c r="V286" s="153"/>
      <c r="W286" s="153"/>
      <c r="X286" s="153"/>
      <c r="Y286" s="153"/>
      <c r="Z286" s="153"/>
    </row>
    <row r="287" ht="21.0" customHeight="1">
      <c r="A287" s="155">
        <v>1.92237785E8</v>
      </c>
      <c r="B287" s="155" t="s">
        <v>468</v>
      </c>
      <c r="C287" s="156">
        <v>4971906.0</v>
      </c>
      <c r="D287" s="156">
        <v>111508.0</v>
      </c>
      <c r="E287" s="156">
        <v>0.0</v>
      </c>
      <c r="F287" s="156">
        <v>0.0</v>
      </c>
      <c r="G287" s="156">
        <v>42650.0</v>
      </c>
      <c r="H287" s="156">
        <v>2.0</v>
      </c>
      <c r="I287" s="156">
        <v>2171.0</v>
      </c>
      <c r="J287" s="156">
        <v>0.0</v>
      </c>
      <c r="K287" s="156">
        <v>0.0</v>
      </c>
      <c r="L287" s="156">
        <v>1.500722729E9</v>
      </c>
      <c r="M287" s="156">
        <v>2.269243362E9</v>
      </c>
      <c r="N287" s="156">
        <v>502.0</v>
      </c>
      <c r="O287" s="155" t="s">
        <v>271</v>
      </c>
      <c r="P287" s="155">
        <v>23.0</v>
      </c>
      <c r="Q287" s="155"/>
      <c r="R287" s="155"/>
      <c r="S287" s="153"/>
      <c r="T287" s="153"/>
      <c r="U287" s="153"/>
      <c r="V287" s="153"/>
      <c r="W287" s="153"/>
      <c r="X287" s="153"/>
      <c r="Y287" s="153"/>
      <c r="Z287" s="153"/>
    </row>
    <row r="288" ht="21.0" customHeight="1">
      <c r="A288" s="155">
        <v>1.51358705E8</v>
      </c>
      <c r="B288" s="155" t="s">
        <v>469</v>
      </c>
      <c r="C288" s="156">
        <v>4882069.0</v>
      </c>
      <c r="D288" s="156">
        <v>83580.0</v>
      </c>
      <c r="E288" s="156">
        <v>0.0</v>
      </c>
      <c r="F288" s="156">
        <v>0.0</v>
      </c>
      <c r="G288" s="156">
        <v>11674.0</v>
      </c>
      <c r="H288" s="156">
        <v>11564.0</v>
      </c>
      <c r="I288" s="156">
        <v>0.0</v>
      </c>
      <c r="J288" s="156">
        <v>1146.0</v>
      </c>
      <c r="K288" s="156">
        <v>0.0</v>
      </c>
      <c r="L288" s="156">
        <v>6.42415586E8</v>
      </c>
      <c r="M288" s="156">
        <v>0.0</v>
      </c>
      <c r="N288" s="156">
        <v>1041.0</v>
      </c>
      <c r="O288" s="155" t="s">
        <v>267</v>
      </c>
      <c r="P288" s="155">
        <v>22.0</v>
      </c>
      <c r="Q288" s="155"/>
      <c r="R288" s="155"/>
      <c r="S288" s="153"/>
      <c r="T288" s="153"/>
      <c r="U288" s="153"/>
      <c r="V288" s="153"/>
      <c r="W288" s="153"/>
      <c r="X288" s="153"/>
      <c r="Y288" s="153"/>
      <c r="Z288" s="153"/>
    </row>
    <row r="289" ht="21.0" customHeight="1">
      <c r="A289" s="155">
        <v>1.92238027E8</v>
      </c>
      <c r="B289" s="155" t="s">
        <v>470</v>
      </c>
      <c r="C289" s="156">
        <v>4788366.0</v>
      </c>
      <c r="D289" s="156">
        <v>33202.0</v>
      </c>
      <c r="E289" s="156">
        <v>0.0</v>
      </c>
      <c r="F289" s="156">
        <v>0.0</v>
      </c>
      <c r="G289" s="156">
        <v>16484.0</v>
      </c>
      <c r="H289" s="156">
        <v>0.0</v>
      </c>
      <c r="I289" s="156">
        <v>1563.0</v>
      </c>
      <c r="J289" s="156">
        <v>0.0</v>
      </c>
      <c r="K289" s="156">
        <v>0.0</v>
      </c>
      <c r="L289" s="156">
        <v>1.461655941E9</v>
      </c>
      <c r="M289" s="156">
        <v>2.268279177E9</v>
      </c>
      <c r="N289" s="156">
        <v>583.0</v>
      </c>
      <c r="O289" s="155" t="s">
        <v>271</v>
      </c>
      <c r="P289" s="155">
        <v>23.0</v>
      </c>
      <c r="Q289" s="155"/>
      <c r="R289" s="155"/>
      <c r="S289" s="153"/>
      <c r="T289" s="153"/>
      <c r="U289" s="153"/>
      <c r="V289" s="153"/>
      <c r="W289" s="153"/>
      <c r="X289" s="153"/>
      <c r="Y289" s="153"/>
      <c r="Z289" s="153"/>
    </row>
    <row r="290" ht="21.0" customHeight="1">
      <c r="A290" s="155">
        <v>2.01324459E8</v>
      </c>
      <c r="B290" s="155" t="s">
        <v>471</v>
      </c>
      <c r="C290" s="156">
        <v>4762254.0</v>
      </c>
      <c r="D290" s="156">
        <v>847542.0</v>
      </c>
      <c r="E290" s="156">
        <v>0.0</v>
      </c>
      <c r="F290" s="156">
        <v>0.0</v>
      </c>
      <c r="G290" s="156">
        <v>302065.0</v>
      </c>
      <c r="H290" s="156">
        <v>770.0</v>
      </c>
      <c r="I290" s="156">
        <v>79054.0</v>
      </c>
      <c r="J290" s="156">
        <v>0.0</v>
      </c>
      <c r="K290" s="156">
        <v>0.0</v>
      </c>
      <c r="L290" s="156">
        <v>4.81542358E8</v>
      </c>
      <c r="M290" s="156">
        <v>0.0</v>
      </c>
      <c r="N290" s="156">
        <v>2491.0</v>
      </c>
      <c r="O290" s="155" t="s">
        <v>267</v>
      </c>
      <c r="P290" s="155">
        <v>22.0</v>
      </c>
      <c r="Q290" s="155"/>
      <c r="R290" s="155"/>
      <c r="S290" s="153"/>
      <c r="T290" s="153"/>
      <c r="U290" s="153"/>
      <c r="V290" s="153"/>
      <c r="W290" s="153"/>
      <c r="X290" s="153"/>
      <c r="Y290" s="153"/>
      <c r="Z290" s="153"/>
    </row>
    <row r="291" ht="21.0" customHeight="1">
      <c r="A291" s="155">
        <v>1.09086125E8</v>
      </c>
      <c r="B291" s="155" t="s">
        <v>472</v>
      </c>
      <c r="C291" s="156">
        <v>4750041.0</v>
      </c>
      <c r="D291" s="156">
        <v>580651.0</v>
      </c>
      <c r="E291" s="156">
        <v>0.0</v>
      </c>
      <c r="F291" s="156">
        <v>0.0</v>
      </c>
      <c r="G291" s="156">
        <v>246831.0</v>
      </c>
      <c r="H291" s="156">
        <v>146866.0</v>
      </c>
      <c r="I291" s="156">
        <v>4969.0</v>
      </c>
      <c r="J291" s="156">
        <v>10009.0</v>
      </c>
      <c r="K291" s="156">
        <v>0.0</v>
      </c>
      <c r="L291" s="156">
        <v>1.650224207E9</v>
      </c>
      <c r="M291" s="156">
        <v>1.871295825E9</v>
      </c>
      <c r="N291" s="156">
        <v>3411.0</v>
      </c>
      <c r="O291" s="155" t="s">
        <v>271</v>
      </c>
      <c r="P291" s="155">
        <v>22.0</v>
      </c>
      <c r="Q291" s="155"/>
      <c r="R291" s="155"/>
      <c r="S291" s="153"/>
      <c r="T291" s="153"/>
      <c r="U291" s="153"/>
      <c r="V291" s="153"/>
      <c r="W291" s="153"/>
      <c r="X291" s="153"/>
      <c r="Y291" s="153"/>
      <c r="Z291" s="153"/>
    </row>
    <row r="292" ht="21.0" customHeight="1">
      <c r="A292" s="155">
        <v>1.87304672E8</v>
      </c>
      <c r="B292" s="155" t="s">
        <v>473</v>
      </c>
      <c r="C292" s="156">
        <v>4739849.0</v>
      </c>
      <c r="D292" s="156">
        <v>102018.0</v>
      </c>
      <c r="E292" s="156">
        <v>0.0</v>
      </c>
      <c r="F292" s="156">
        <v>0.0</v>
      </c>
      <c r="G292" s="156">
        <v>523384.0</v>
      </c>
      <c r="H292" s="156">
        <v>100.0</v>
      </c>
      <c r="I292" s="156">
        <v>8983.0</v>
      </c>
      <c r="J292" s="156">
        <v>0.0</v>
      </c>
      <c r="K292" s="156">
        <v>0.0</v>
      </c>
      <c r="L292" s="156">
        <v>3.198844625E9</v>
      </c>
      <c r="M292" s="156">
        <v>4.157294201E9</v>
      </c>
      <c r="N292" s="156">
        <v>713.0</v>
      </c>
      <c r="O292" s="155" t="s">
        <v>237</v>
      </c>
      <c r="P292" s="155">
        <v>22.0</v>
      </c>
      <c r="Q292" s="155"/>
      <c r="R292" s="155"/>
      <c r="S292" s="153"/>
      <c r="T292" s="153"/>
      <c r="U292" s="153"/>
      <c r="V292" s="153"/>
      <c r="W292" s="153"/>
      <c r="X292" s="153"/>
      <c r="Y292" s="153"/>
      <c r="Z292" s="153"/>
    </row>
    <row r="293" ht="21.0" customHeight="1">
      <c r="A293" s="155">
        <v>1.92120531E8</v>
      </c>
      <c r="B293" s="155" t="s">
        <v>474</v>
      </c>
      <c r="C293" s="156">
        <v>4638702.0</v>
      </c>
      <c r="D293" s="156">
        <v>217960.0</v>
      </c>
      <c r="E293" s="156">
        <v>0.0</v>
      </c>
      <c r="F293" s="156">
        <v>0.0</v>
      </c>
      <c r="G293" s="156">
        <v>562133.0</v>
      </c>
      <c r="H293" s="156">
        <v>8794.0</v>
      </c>
      <c r="I293" s="156">
        <v>5403.0</v>
      </c>
      <c r="J293" s="156">
        <v>2637.0</v>
      </c>
      <c r="K293" s="156">
        <v>0.0</v>
      </c>
      <c r="L293" s="156">
        <v>1.40902522E9</v>
      </c>
      <c r="M293" s="156">
        <v>1.859951783E9</v>
      </c>
      <c r="N293" s="156">
        <v>1265.0</v>
      </c>
      <c r="O293" s="155" t="s">
        <v>271</v>
      </c>
      <c r="P293" s="155">
        <v>23.0</v>
      </c>
      <c r="Q293" s="155"/>
      <c r="R293" s="155"/>
      <c r="S293" s="153"/>
      <c r="T293" s="153"/>
      <c r="U293" s="153"/>
      <c r="V293" s="153"/>
      <c r="W293" s="153"/>
      <c r="X293" s="153"/>
      <c r="Y293" s="153"/>
      <c r="Z293" s="153"/>
    </row>
    <row r="294" ht="21.0" customHeight="1">
      <c r="A294" s="155">
        <v>1.1308072E8</v>
      </c>
      <c r="B294" s="155" t="s">
        <v>475</v>
      </c>
      <c r="C294" s="156">
        <v>4632925.0</v>
      </c>
      <c r="D294" s="156">
        <v>2411.0</v>
      </c>
      <c r="E294" s="156">
        <v>0.0</v>
      </c>
      <c r="F294" s="156">
        <v>0.0</v>
      </c>
      <c r="G294" s="156">
        <v>0.0</v>
      </c>
      <c r="H294" s="156">
        <v>2338.0</v>
      </c>
      <c r="I294" s="156">
        <v>0.0</v>
      </c>
      <c r="J294" s="156">
        <v>0.0</v>
      </c>
      <c r="K294" s="156">
        <v>0.0</v>
      </c>
      <c r="L294" s="156">
        <v>9.53795433E8</v>
      </c>
      <c r="M294" s="156">
        <v>1.717884414E9</v>
      </c>
      <c r="N294" s="156">
        <v>314.0</v>
      </c>
      <c r="O294" s="155" t="s">
        <v>271</v>
      </c>
      <c r="P294" s="155">
        <v>22.0</v>
      </c>
      <c r="Q294" s="155"/>
      <c r="R294" s="155"/>
      <c r="S294" s="153"/>
      <c r="T294" s="153"/>
      <c r="U294" s="153"/>
      <c r="V294" s="153"/>
      <c r="W294" s="153"/>
      <c r="X294" s="153"/>
      <c r="Y294" s="153"/>
      <c r="Z294" s="153"/>
    </row>
    <row r="295" ht="21.0" customHeight="1">
      <c r="A295" s="155">
        <v>2.27733564E8</v>
      </c>
      <c r="B295" s="155" t="s">
        <v>476</v>
      </c>
      <c r="C295" s="156">
        <v>4550916.0</v>
      </c>
      <c r="D295" s="156">
        <v>0.0</v>
      </c>
      <c r="E295" s="156">
        <v>0.0</v>
      </c>
      <c r="F295" s="156">
        <v>0.0</v>
      </c>
      <c r="G295" s="156">
        <v>0.0</v>
      </c>
      <c r="H295" s="156">
        <v>0.0</v>
      </c>
      <c r="I295" s="156">
        <v>0.0</v>
      </c>
      <c r="J295" s="156">
        <v>0.0</v>
      </c>
      <c r="K295" s="156">
        <v>0.0</v>
      </c>
      <c r="L295" s="156">
        <v>4.21785279E8</v>
      </c>
      <c r="M295" s="156">
        <v>0.0</v>
      </c>
      <c r="N295" s="156">
        <v>147.0</v>
      </c>
      <c r="O295" s="155" t="s">
        <v>237</v>
      </c>
      <c r="P295" s="155">
        <v>21.0</v>
      </c>
      <c r="Q295" s="155"/>
      <c r="R295" s="155"/>
      <c r="S295" s="153"/>
      <c r="T295" s="153"/>
      <c r="U295" s="153"/>
      <c r="V295" s="153"/>
      <c r="W295" s="153"/>
      <c r="X295" s="153"/>
      <c r="Y295" s="153"/>
      <c r="Z295" s="153"/>
    </row>
    <row r="296" ht="21.0" customHeight="1">
      <c r="A296" s="155">
        <v>1.44088401E8</v>
      </c>
      <c r="B296" s="155" t="s">
        <v>477</v>
      </c>
      <c r="C296" s="156">
        <v>4441104.0</v>
      </c>
      <c r="D296" s="156">
        <v>164366.0</v>
      </c>
      <c r="E296" s="156">
        <v>0.0</v>
      </c>
      <c r="F296" s="156">
        <v>0.0</v>
      </c>
      <c r="G296" s="156">
        <v>25397.0</v>
      </c>
      <c r="H296" s="156">
        <v>61034.0</v>
      </c>
      <c r="I296" s="156">
        <v>0.0</v>
      </c>
      <c r="J296" s="156">
        <v>0.0</v>
      </c>
      <c r="K296" s="156">
        <v>0.0</v>
      </c>
      <c r="L296" s="156">
        <v>5.09757259E8</v>
      </c>
      <c r="M296" s="156">
        <v>4898.0</v>
      </c>
      <c r="N296" s="156">
        <v>13.0</v>
      </c>
      <c r="O296" s="155" t="s">
        <v>478</v>
      </c>
      <c r="P296" s="155">
        <v>18.0</v>
      </c>
      <c r="Q296" s="155"/>
      <c r="R296" s="155"/>
      <c r="S296" s="153"/>
      <c r="T296" s="153"/>
      <c r="U296" s="153"/>
      <c r="V296" s="153"/>
      <c r="W296" s="153"/>
      <c r="X296" s="153"/>
      <c r="Y296" s="153"/>
      <c r="Z296" s="153"/>
    </row>
    <row r="297" ht="21.0" customHeight="1">
      <c r="A297" s="155">
        <v>2.07550826E8</v>
      </c>
      <c r="B297" s="155" t="s">
        <v>479</v>
      </c>
      <c r="C297" s="156">
        <v>4398174.0</v>
      </c>
      <c r="D297" s="156">
        <v>0.0</v>
      </c>
      <c r="E297" s="156">
        <v>0.0</v>
      </c>
      <c r="F297" s="156">
        <v>0.0</v>
      </c>
      <c r="G297" s="156">
        <v>0.0</v>
      </c>
      <c r="H297" s="156">
        <v>0.0</v>
      </c>
      <c r="I297" s="156">
        <v>0.0</v>
      </c>
      <c r="J297" s="156">
        <v>0.0</v>
      </c>
      <c r="K297" s="156">
        <v>0.0</v>
      </c>
      <c r="L297" s="156">
        <v>4.38124E8</v>
      </c>
      <c r="M297" s="156">
        <v>0.0</v>
      </c>
      <c r="N297" s="156">
        <v>282.0</v>
      </c>
      <c r="O297" s="155" t="s">
        <v>237</v>
      </c>
      <c r="P297" s="155">
        <v>22.0</v>
      </c>
      <c r="Q297" s="155"/>
      <c r="R297" s="155"/>
      <c r="S297" s="153"/>
      <c r="T297" s="153"/>
      <c r="U297" s="153"/>
      <c r="V297" s="153"/>
      <c r="W297" s="153"/>
      <c r="X297" s="153"/>
      <c r="Y297" s="153"/>
      <c r="Z297" s="153"/>
    </row>
    <row r="298" ht="21.0" customHeight="1">
      <c r="A298" s="155">
        <v>1.73982471E8</v>
      </c>
      <c r="B298" s="155" t="s">
        <v>480</v>
      </c>
      <c r="C298" s="156">
        <v>4358376.0</v>
      </c>
      <c r="D298" s="156">
        <v>1922412.0</v>
      </c>
      <c r="E298" s="156">
        <v>0.0</v>
      </c>
      <c r="F298" s="156">
        <v>0.0</v>
      </c>
      <c r="G298" s="156">
        <v>2539279.0</v>
      </c>
      <c r="H298" s="156">
        <v>6140.0</v>
      </c>
      <c r="I298" s="156">
        <v>51534.0</v>
      </c>
      <c r="J298" s="156">
        <v>64581.0</v>
      </c>
      <c r="K298" s="156">
        <v>0.0</v>
      </c>
      <c r="L298" s="156">
        <v>3.331889435E9</v>
      </c>
      <c r="M298" s="156">
        <v>4.792748408E9</v>
      </c>
      <c r="N298" s="156">
        <v>992.0</v>
      </c>
      <c r="O298" s="155" t="s">
        <v>237</v>
      </c>
      <c r="P298" s="155">
        <v>21.0</v>
      </c>
      <c r="Q298" s="155"/>
      <c r="R298" s="155"/>
      <c r="S298" s="153"/>
      <c r="T298" s="153"/>
      <c r="U298" s="153"/>
      <c r="V298" s="153"/>
      <c r="W298" s="153"/>
      <c r="X298" s="153"/>
      <c r="Y298" s="153"/>
      <c r="Z298" s="153"/>
    </row>
    <row r="299" ht="21.0" customHeight="1">
      <c r="A299" s="155">
        <v>1.72613502E8</v>
      </c>
      <c r="B299" s="155" t="s">
        <v>481</v>
      </c>
      <c r="C299" s="156">
        <v>4332333.0</v>
      </c>
      <c r="D299" s="156">
        <v>1276604.0</v>
      </c>
      <c r="E299" s="156">
        <v>0.0</v>
      </c>
      <c r="F299" s="156">
        <v>0.0</v>
      </c>
      <c r="G299" s="156">
        <v>634982.0</v>
      </c>
      <c r="H299" s="156">
        <v>24293.0</v>
      </c>
      <c r="I299" s="156">
        <v>106277.0</v>
      </c>
      <c r="J299" s="156">
        <v>0.0</v>
      </c>
      <c r="K299" s="156">
        <v>0.0</v>
      </c>
      <c r="L299" s="156">
        <v>4.823321943E9</v>
      </c>
      <c r="M299" s="156">
        <v>5.551813144E9</v>
      </c>
      <c r="N299" s="156">
        <v>1080.0</v>
      </c>
      <c r="O299" s="155" t="s">
        <v>271</v>
      </c>
      <c r="P299" s="155">
        <v>22.0</v>
      </c>
      <c r="Q299" s="155"/>
      <c r="R299" s="155"/>
      <c r="S299" s="153"/>
      <c r="T299" s="153"/>
      <c r="U299" s="153"/>
      <c r="V299" s="153"/>
      <c r="W299" s="153"/>
      <c r="X299" s="153"/>
      <c r="Y299" s="153"/>
      <c r="Z299" s="153"/>
    </row>
    <row r="300" ht="21.0" customHeight="1">
      <c r="A300" s="155">
        <v>1.59829578E8</v>
      </c>
      <c r="B300" s="155" t="s">
        <v>482</v>
      </c>
      <c r="C300" s="156">
        <v>4318857.0</v>
      </c>
      <c r="D300" s="156">
        <v>1317112.0</v>
      </c>
      <c r="E300" s="156">
        <v>0.0</v>
      </c>
      <c r="F300" s="156">
        <v>0.0</v>
      </c>
      <c r="G300" s="156">
        <v>758553.0</v>
      </c>
      <c r="H300" s="156">
        <v>67392.0</v>
      </c>
      <c r="I300" s="156">
        <v>88677.0</v>
      </c>
      <c r="J300" s="156">
        <v>2087.0</v>
      </c>
      <c r="K300" s="156">
        <v>0.0</v>
      </c>
      <c r="L300" s="156">
        <v>1.99141661E8</v>
      </c>
      <c r="M300" s="156">
        <v>9000000.0</v>
      </c>
      <c r="N300" s="156">
        <v>278.0</v>
      </c>
      <c r="O300" s="155" t="s">
        <v>483</v>
      </c>
      <c r="P300" s="155">
        <v>20.0</v>
      </c>
      <c r="Q300" s="155"/>
      <c r="R300" s="155"/>
      <c r="S300" s="153"/>
      <c r="T300" s="153"/>
      <c r="U300" s="153"/>
      <c r="V300" s="153"/>
      <c r="W300" s="153"/>
      <c r="X300" s="153"/>
      <c r="Y300" s="153"/>
      <c r="Z300" s="153"/>
    </row>
    <row r="301" ht="21.0" customHeight="1">
      <c r="A301" s="155">
        <v>2.04434399E8</v>
      </c>
      <c r="B301" s="155" t="s">
        <v>484</v>
      </c>
      <c r="C301" s="156">
        <v>4282050.0</v>
      </c>
      <c r="D301" s="156">
        <v>21780.0</v>
      </c>
      <c r="E301" s="156">
        <v>0.0</v>
      </c>
      <c r="F301" s="156">
        <v>0.0</v>
      </c>
      <c r="G301" s="156">
        <v>149.0</v>
      </c>
      <c r="H301" s="156">
        <v>0.0</v>
      </c>
      <c r="I301" s="156">
        <v>2178.0</v>
      </c>
      <c r="J301" s="156">
        <v>0.0</v>
      </c>
      <c r="K301" s="156">
        <v>0.0</v>
      </c>
      <c r="L301" s="156">
        <v>3.96126508E8</v>
      </c>
      <c r="M301" s="156">
        <v>400000.0</v>
      </c>
      <c r="N301" s="156">
        <v>182.0</v>
      </c>
      <c r="O301" s="155" t="s">
        <v>249</v>
      </c>
      <c r="P301" s="155">
        <v>22.0</v>
      </c>
      <c r="Q301" s="155"/>
      <c r="R301" s="155"/>
      <c r="S301" s="153"/>
      <c r="T301" s="153"/>
      <c r="U301" s="153"/>
      <c r="V301" s="153"/>
      <c r="W301" s="153"/>
      <c r="X301" s="153"/>
      <c r="Y301" s="153"/>
      <c r="Z301" s="153"/>
    </row>
    <row r="302" ht="21.0" customHeight="1">
      <c r="A302" s="157"/>
      <c r="B302" s="157"/>
      <c r="C302" s="100">
        <f t="shared" ref="C302:N302" si="1">SUM(C2:C301)</f>
        <v>8598593405</v>
      </c>
      <c r="D302" s="100">
        <f t="shared" si="1"/>
        <v>153105571027</v>
      </c>
      <c r="E302" s="100">
        <f t="shared" si="1"/>
        <v>187528635</v>
      </c>
      <c r="F302" s="100">
        <f t="shared" si="1"/>
        <v>336305632</v>
      </c>
      <c r="G302" s="100">
        <f t="shared" si="1"/>
        <v>1268913947</v>
      </c>
      <c r="H302" s="100">
        <f t="shared" si="1"/>
        <v>1710033372</v>
      </c>
      <c r="I302" s="100">
        <f t="shared" si="1"/>
        <v>4078646691</v>
      </c>
      <c r="J302" s="100">
        <f t="shared" si="1"/>
        <v>5524351122</v>
      </c>
      <c r="K302" s="100">
        <f t="shared" si="1"/>
        <v>6653533</v>
      </c>
      <c r="L302" s="100">
        <f t="shared" si="1"/>
        <v>2488607125617</v>
      </c>
      <c r="M302" s="100">
        <f t="shared" si="1"/>
        <v>2047537599063</v>
      </c>
      <c r="N302" s="100">
        <f t="shared" si="1"/>
        <v>6978907</v>
      </c>
      <c r="O302" s="157"/>
      <c r="P302" s="157">
        <f>COUNT(P2:P301)</f>
        <v>300</v>
      </c>
      <c r="Q302" s="157"/>
      <c r="R302" s="157"/>
      <c r="S302" s="153"/>
      <c r="T302" s="153"/>
      <c r="U302" s="153"/>
      <c r="V302" s="153"/>
      <c r="W302" s="153"/>
      <c r="X302" s="153"/>
      <c r="Y302" s="153"/>
      <c r="Z302" s="153"/>
    </row>
    <row r="303" ht="21.0" customHeight="1">
      <c r="A303" s="153"/>
      <c r="B303" s="158" t="s">
        <v>485</v>
      </c>
      <c r="C303" s="159">
        <f t="shared" ref="C303:N303" si="2">SUMIFS(C2:C301, $P$2:$P$301, "25")</f>
        <v>6945980113</v>
      </c>
      <c r="D303" s="159">
        <f t="shared" si="2"/>
        <v>152934210301</v>
      </c>
      <c r="E303" s="159">
        <f t="shared" si="2"/>
        <v>187528635</v>
      </c>
      <c r="F303" s="159">
        <f t="shared" si="2"/>
        <v>336305632</v>
      </c>
      <c r="G303" s="159">
        <f t="shared" si="2"/>
        <v>1191452700</v>
      </c>
      <c r="H303" s="159">
        <f t="shared" si="2"/>
        <v>1702069346</v>
      </c>
      <c r="I303" s="159">
        <f t="shared" si="2"/>
        <v>4070154899</v>
      </c>
      <c r="J303" s="159">
        <f t="shared" si="2"/>
        <v>5522149780</v>
      </c>
      <c r="K303" s="159">
        <f t="shared" si="2"/>
        <v>6653533</v>
      </c>
      <c r="L303" s="159">
        <f t="shared" si="2"/>
        <v>1787133173133</v>
      </c>
      <c r="M303" s="159">
        <f t="shared" si="2"/>
        <v>1394514365668</v>
      </c>
      <c r="N303" s="159">
        <f t="shared" si="2"/>
        <v>6707020</v>
      </c>
      <c r="O303" s="158" t="s">
        <v>486</v>
      </c>
      <c r="P303" s="158">
        <f>COUNTIF(P2:P301,"25")</f>
        <v>138</v>
      </c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ht="21.0" customHeight="1">
      <c r="A304" s="153"/>
      <c r="B304" s="153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ht="21.0" customHeight="1">
      <c r="A305" s="153"/>
      <c r="B305" s="153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ht="21.0" customHeight="1">
      <c r="A306" s="160" t="s">
        <v>487</v>
      </c>
      <c r="B306" s="161"/>
      <c r="C306" s="161"/>
      <c r="D306" s="161"/>
      <c r="E306" s="162"/>
      <c r="F306" s="154"/>
      <c r="G306" s="154"/>
      <c r="H306" s="154"/>
      <c r="I306" s="154"/>
      <c r="J306" s="154"/>
      <c r="K306" s="154"/>
      <c r="L306" s="154"/>
      <c r="M306" s="154"/>
      <c r="N306" s="154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ht="21.0" customHeight="1">
      <c r="A307" s="163" t="s">
        <v>155</v>
      </c>
      <c r="B307" s="164" t="s">
        <v>64</v>
      </c>
      <c r="C307" s="164" t="s">
        <v>5</v>
      </c>
      <c r="D307" s="164" t="s">
        <v>82</v>
      </c>
      <c r="E307" s="165" t="s">
        <v>229</v>
      </c>
      <c r="F307" s="154"/>
      <c r="G307" s="154"/>
      <c r="H307" s="154"/>
      <c r="I307" s="154"/>
      <c r="J307" s="154"/>
      <c r="K307" s="154"/>
      <c r="L307" s="154"/>
      <c r="M307" s="154"/>
      <c r="N307" s="154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ht="21.0" customHeight="1">
      <c r="A308" s="166">
        <v>3.2454401E7</v>
      </c>
      <c r="B308" s="166" t="s">
        <v>242</v>
      </c>
      <c r="C308" s="167">
        <v>6.4288515E7</v>
      </c>
      <c r="D308" s="167">
        <v>7.53338788E8</v>
      </c>
      <c r="E308" s="168"/>
      <c r="F308" s="154"/>
      <c r="G308" s="154"/>
      <c r="H308" s="154"/>
      <c r="I308" s="154"/>
      <c r="J308" s="154"/>
      <c r="K308" s="154"/>
      <c r="L308" s="154"/>
      <c r="M308" s="154"/>
      <c r="N308" s="154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ht="21.0" customHeight="1">
      <c r="A309" s="169">
        <v>2.1489428E7</v>
      </c>
      <c r="B309" s="153" t="s">
        <v>245</v>
      </c>
      <c r="C309" s="154">
        <v>5.7660764E7</v>
      </c>
      <c r="D309" s="154">
        <v>5.8078841E8</v>
      </c>
      <c r="E309" s="170"/>
      <c r="F309" s="154"/>
      <c r="G309" s="154"/>
      <c r="H309" s="154"/>
      <c r="I309" s="154"/>
      <c r="J309" s="154"/>
      <c r="K309" s="154"/>
      <c r="L309" s="154"/>
      <c r="M309" s="154"/>
      <c r="N309" s="154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ht="21.0" customHeight="1">
      <c r="A310" s="153">
        <v>1.44015947E8</v>
      </c>
      <c r="B310" s="153" t="s">
        <v>247</v>
      </c>
      <c r="C310" s="154">
        <v>5.7172311E7</v>
      </c>
      <c r="D310" s="154">
        <v>3.84257948E8</v>
      </c>
      <c r="E310" s="154"/>
      <c r="F310" s="171"/>
      <c r="G310" s="154"/>
      <c r="H310" s="154"/>
      <c r="I310" s="154"/>
      <c r="J310" s="154"/>
      <c r="K310" s="154"/>
      <c r="L310" s="154"/>
      <c r="M310" s="154"/>
      <c r="N310" s="154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ht="21.0" customHeight="1">
      <c r="A311" s="153">
        <v>1.38153082E8</v>
      </c>
      <c r="B311" s="153" t="s">
        <v>250</v>
      </c>
      <c r="C311" s="154">
        <v>5.5586906E7</v>
      </c>
      <c r="D311" s="154">
        <v>9.6697441E7</v>
      </c>
      <c r="E311" s="170"/>
      <c r="F311" s="154"/>
      <c r="G311" s="154"/>
      <c r="H311" s="154"/>
      <c r="I311" s="154"/>
      <c r="J311" s="154"/>
      <c r="K311" s="154"/>
      <c r="L311" s="154"/>
      <c r="M311" s="154"/>
      <c r="N311" s="154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ht="21.0" customHeight="1">
      <c r="A312" s="153">
        <v>7.5750446E7</v>
      </c>
      <c r="B312" s="153" t="s">
        <v>253</v>
      </c>
      <c r="C312" s="154">
        <v>4.9086695E7</v>
      </c>
      <c r="D312" s="154">
        <v>4.7582587E7</v>
      </c>
      <c r="E312" s="170"/>
      <c r="F312" s="154"/>
      <c r="G312" s="154"/>
      <c r="H312" s="154"/>
      <c r="I312" s="154"/>
      <c r="J312" s="154"/>
      <c r="K312" s="154"/>
      <c r="L312" s="154"/>
      <c r="M312" s="154"/>
      <c r="N312" s="154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ht="21.0" customHeight="1">
      <c r="A313" s="153">
        <v>1.44114697E8</v>
      </c>
      <c r="B313" s="153" t="s">
        <v>254</v>
      </c>
      <c r="C313" s="154">
        <v>4.7881109E7</v>
      </c>
      <c r="D313" s="154">
        <v>2.01875553E8</v>
      </c>
      <c r="E313" s="170"/>
      <c r="F313" s="154"/>
      <c r="G313" s="154"/>
      <c r="H313" s="154"/>
      <c r="I313" s="154"/>
      <c r="J313" s="154"/>
      <c r="K313" s="154"/>
      <c r="L313" s="154"/>
      <c r="M313" s="154"/>
      <c r="N313" s="154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ht="21.0" customHeight="1">
      <c r="A314" s="153">
        <v>1.44043102E8</v>
      </c>
      <c r="B314" s="153" t="s">
        <v>257</v>
      </c>
      <c r="C314" s="154">
        <v>4.7646399E7</v>
      </c>
      <c r="D314" s="154">
        <v>1.94074769E8</v>
      </c>
      <c r="E314" s="170"/>
      <c r="F314" s="154"/>
      <c r="G314" s="154"/>
      <c r="H314" s="154"/>
      <c r="I314" s="154"/>
      <c r="J314" s="154"/>
      <c r="K314" s="154"/>
      <c r="L314" s="154"/>
      <c r="M314" s="154"/>
      <c r="N314" s="154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ht="21.0" customHeight="1">
      <c r="A315" s="153">
        <v>1.65728863E8</v>
      </c>
      <c r="B315" s="153" t="s">
        <v>258</v>
      </c>
      <c r="C315" s="154">
        <v>4.6781999E7</v>
      </c>
      <c r="D315" s="154">
        <v>2.44112349E8</v>
      </c>
      <c r="E315" s="170"/>
      <c r="F315" s="154"/>
      <c r="G315" s="154"/>
      <c r="H315" s="154"/>
      <c r="I315" s="154"/>
      <c r="J315" s="154"/>
      <c r="K315" s="154"/>
      <c r="L315" s="154"/>
      <c r="M315" s="154"/>
      <c r="N315" s="154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ht="21.0" customHeight="1">
      <c r="A316" s="153">
        <v>1.65953214E8</v>
      </c>
      <c r="B316" s="153" t="s">
        <v>259</v>
      </c>
      <c r="C316" s="154">
        <v>4.5498322E7</v>
      </c>
      <c r="D316" s="154">
        <v>2.70754723E8</v>
      </c>
      <c r="E316" s="170"/>
      <c r="F316" s="154"/>
      <c r="G316" s="154"/>
      <c r="H316" s="154"/>
      <c r="I316" s="154"/>
      <c r="J316" s="154"/>
      <c r="K316" s="154"/>
      <c r="L316" s="154"/>
      <c r="M316" s="154"/>
      <c r="N316" s="154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ht="21.0" customHeight="1">
      <c r="A317" s="153">
        <v>1.4399397E8</v>
      </c>
      <c r="B317" s="153" t="s">
        <v>260</v>
      </c>
      <c r="C317" s="154">
        <v>4.4230397E7</v>
      </c>
      <c r="D317" s="154">
        <v>2.67847245E8</v>
      </c>
      <c r="E317" s="170"/>
      <c r="F317" s="154"/>
      <c r="G317" s="154"/>
      <c r="H317" s="154"/>
      <c r="I317" s="154"/>
      <c r="J317" s="154"/>
      <c r="K317" s="154"/>
      <c r="L317" s="154"/>
      <c r="M317" s="154"/>
      <c r="N317" s="154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ht="21.0" customHeight="1">
      <c r="A318" s="153">
        <v>1.44725652E8</v>
      </c>
      <c r="B318" s="153" t="s">
        <v>269</v>
      </c>
      <c r="C318" s="154">
        <v>3.784937E7</v>
      </c>
      <c r="D318" s="154">
        <v>2.2602338E8</v>
      </c>
      <c r="E318" s="170"/>
      <c r="F318" s="154"/>
      <c r="G318" s="154"/>
      <c r="H318" s="154"/>
      <c r="I318" s="154"/>
      <c r="J318" s="154"/>
      <c r="K318" s="154"/>
      <c r="L318" s="154"/>
      <c r="M318" s="154"/>
      <c r="N318" s="154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ht="21.0" customHeight="1">
      <c r="A319" s="153">
        <v>1.43862597E8</v>
      </c>
      <c r="B319" s="153" t="s">
        <v>275</v>
      </c>
      <c r="C319" s="154">
        <v>3.3968021E7</v>
      </c>
      <c r="D319" s="154">
        <v>1268696.0</v>
      </c>
      <c r="E319" s="170"/>
      <c r="F319" s="154"/>
      <c r="G319" s="154"/>
      <c r="H319" s="154"/>
      <c r="I319" s="154"/>
      <c r="J319" s="154"/>
      <c r="K319" s="154"/>
      <c r="L319" s="154"/>
      <c r="M319" s="154"/>
      <c r="N319" s="154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ht="21.0" customHeight="1">
      <c r="A320" s="153">
        <v>1.44094596E8</v>
      </c>
      <c r="B320" s="153" t="s">
        <v>281</v>
      </c>
      <c r="C320" s="154">
        <v>2.9396534E7</v>
      </c>
      <c r="D320" s="154">
        <v>8.6221516E7</v>
      </c>
      <c r="E320" s="170"/>
      <c r="F320" s="154"/>
      <c r="G320" s="154"/>
      <c r="H320" s="154"/>
      <c r="I320" s="154"/>
      <c r="J320" s="154"/>
      <c r="K320" s="154"/>
      <c r="L320" s="154"/>
      <c r="M320" s="154"/>
      <c r="N320" s="154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ht="21.0" customHeight="1">
      <c r="A321" s="153">
        <v>1.39587334E8</v>
      </c>
      <c r="B321" s="153" t="s">
        <v>285</v>
      </c>
      <c r="C321" s="154">
        <v>2.8468557E7</v>
      </c>
      <c r="D321" s="154">
        <v>5214500.0</v>
      </c>
      <c r="E321" s="170"/>
      <c r="F321" s="154"/>
      <c r="G321" s="154"/>
      <c r="H321" s="154"/>
      <c r="I321" s="154"/>
      <c r="J321" s="154"/>
      <c r="K321" s="154"/>
      <c r="L321" s="154"/>
      <c r="M321" s="154"/>
      <c r="N321" s="154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ht="21.0" customHeight="1">
      <c r="A322" s="172">
        <v>1.43759137E8</v>
      </c>
      <c r="B322" s="172" t="s">
        <v>287</v>
      </c>
      <c r="C322" s="173">
        <v>2.8379046E7</v>
      </c>
      <c r="D322" s="173">
        <v>4.5839917E7</v>
      </c>
      <c r="E322" s="17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ht="21.0" customHeight="1">
      <c r="A323" s="153"/>
      <c r="B323" s="153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ht="21.0" customHeight="1">
      <c r="A324" s="153"/>
      <c r="B324" s="153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ht="21.0" customHeight="1">
      <c r="A325" s="153"/>
      <c r="B325" s="153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ht="21.0" customHeight="1">
      <c r="A326" s="153"/>
      <c r="B326" s="153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ht="21.0" customHeight="1">
      <c r="A327" s="153"/>
      <c r="B327" s="153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ht="21.0" customHeight="1">
      <c r="A328" s="153"/>
      <c r="B328" s="153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ht="21.0" customHeight="1">
      <c r="A329" s="153"/>
      <c r="B329" s="153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ht="21.0" customHeight="1">
      <c r="A330" s="153"/>
      <c r="B330" s="153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ht="21.0" customHeight="1">
      <c r="A331" s="153"/>
      <c r="B331" s="153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ht="21.0" customHeight="1">
      <c r="A332" s="153"/>
      <c r="B332" s="153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ht="21.0" customHeight="1">
      <c r="A333" s="153"/>
      <c r="B333" s="153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ht="21.0" customHeight="1">
      <c r="A334" s="153"/>
      <c r="B334" s="153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ht="21.0" customHeight="1">
      <c r="A335" s="153"/>
      <c r="B335" s="153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ht="21.0" customHeight="1">
      <c r="A336" s="153"/>
      <c r="B336" s="153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ht="21.0" customHeight="1">
      <c r="A337" s="153"/>
      <c r="B337" s="153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ht="21.0" customHeight="1">
      <c r="A338" s="153"/>
      <c r="B338" s="153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ht="21.0" customHeight="1">
      <c r="A339" s="153"/>
      <c r="B339" s="153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ht="21.0" customHeight="1">
      <c r="A340" s="153"/>
      <c r="B340" s="153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ht="21.0" customHeight="1">
      <c r="A341" s="153"/>
      <c r="B341" s="153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ht="21.0" customHeight="1">
      <c r="A342" s="153"/>
      <c r="B342" s="153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ht="21.0" customHeight="1">
      <c r="A343" s="153"/>
      <c r="B343" s="153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ht="21.0" customHeight="1">
      <c r="A344" s="153"/>
      <c r="B344" s="153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ht="21.0" customHeight="1">
      <c r="A345" s="153"/>
      <c r="B345" s="153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ht="21.0" customHeight="1">
      <c r="A346" s="153"/>
      <c r="B346" s="153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ht="21.0" customHeight="1">
      <c r="A347" s="153"/>
      <c r="B347" s="153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ht="21.0" customHeight="1">
      <c r="A348" s="153"/>
      <c r="B348" s="153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ht="21.0" customHeight="1">
      <c r="A349" s="153"/>
      <c r="B349" s="153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ht="21.0" customHeight="1">
      <c r="A350" s="153"/>
      <c r="B350" s="153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ht="21.0" customHeight="1">
      <c r="A351" s="153"/>
      <c r="B351" s="153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ht="21.0" customHeight="1">
      <c r="A352" s="153"/>
      <c r="B352" s="153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ht="21.0" customHeight="1">
      <c r="A353" s="153"/>
      <c r="B353" s="153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ht="21.0" customHeight="1">
      <c r="A354" s="153"/>
      <c r="B354" s="153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ht="21.0" customHeight="1">
      <c r="A355" s="153"/>
      <c r="B355" s="153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ht="21.0" customHeight="1">
      <c r="A356" s="153"/>
      <c r="B356" s="153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ht="21.0" customHeight="1">
      <c r="A357" s="153"/>
      <c r="B357" s="153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ht="21.0" customHeight="1">
      <c r="A358" s="153"/>
      <c r="B358" s="153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ht="21.0" customHeight="1">
      <c r="A359" s="153"/>
      <c r="B359" s="153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ht="21.0" customHeight="1">
      <c r="A360" s="153"/>
      <c r="B360" s="153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ht="21.0" customHeight="1">
      <c r="A361" s="153"/>
      <c r="B361" s="153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ht="21.0" customHeight="1">
      <c r="A362" s="153"/>
      <c r="B362" s="153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ht="21.0" customHeight="1">
      <c r="A363" s="153"/>
      <c r="B363" s="153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ht="21.0" customHeight="1">
      <c r="A364" s="153"/>
      <c r="B364" s="153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ht="21.0" customHeight="1">
      <c r="A365" s="153"/>
      <c r="B365" s="153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ht="21.0" customHeight="1">
      <c r="A366" s="153"/>
      <c r="B366" s="153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ht="21.0" customHeight="1">
      <c r="A367" s="153"/>
      <c r="B367" s="153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ht="21.0" customHeight="1">
      <c r="A368" s="153"/>
      <c r="B368" s="153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ht="21.0" customHeight="1">
      <c r="A369" s="153"/>
      <c r="B369" s="153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ht="21.0" customHeight="1">
      <c r="A370" s="153"/>
      <c r="B370" s="153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ht="21.0" customHeight="1">
      <c r="A371" s="153"/>
      <c r="B371" s="153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ht="21.0" customHeight="1">
      <c r="A372" s="153"/>
      <c r="B372" s="153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ht="21.0" customHeight="1">
      <c r="A373" s="153"/>
      <c r="B373" s="153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ht="21.0" customHeight="1">
      <c r="A374" s="153"/>
      <c r="B374" s="153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ht="21.0" customHeight="1">
      <c r="A375" s="153"/>
      <c r="B375" s="153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ht="21.0" customHeight="1">
      <c r="A376" s="153"/>
      <c r="B376" s="153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ht="21.0" customHeight="1">
      <c r="A377" s="153"/>
      <c r="B377" s="153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ht="21.0" customHeight="1">
      <c r="A378" s="153"/>
      <c r="B378" s="153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ht="21.0" customHeight="1">
      <c r="A379" s="153"/>
      <c r="B379" s="153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ht="21.0" customHeight="1">
      <c r="A380" s="153"/>
      <c r="B380" s="153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ht="21.0" customHeight="1">
      <c r="A381" s="153"/>
      <c r="B381" s="153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ht="21.0" customHeight="1">
      <c r="A382" s="153"/>
      <c r="B382" s="153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ht="21.0" customHeight="1">
      <c r="A383" s="153"/>
      <c r="B383" s="153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ht="21.0" customHeight="1">
      <c r="A384" s="153"/>
      <c r="B384" s="153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ht="21.0" customHeight="1">
      <c r="A385" s="153"/>
      <c r="B385" s="153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ht="21.0" customHeight="1">
      <c r="A386" s="153"/>
      <c r="B386" s="153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ht="21.0" customHeight="1">
      <c r="A387" s="153"/>
      <c r="B387" s="153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ht="21.0" customHeight="1">
      <c r="A388" s="153"/>
      <c r="B388" s="153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ht="21.0" customHeight="1">
      <c r="A389" s="153"/>
      <c r="B389" s="153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ht="21.0" customHeight="1">
      <c r="A390" s="153"/>
      <c r="B390" s="153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ht="21.0" customHeight="1">
      <c r="A391" s="153"/>
      <c r="B391" s="153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ht="21.0" customHeight="1">
      <c r="A392" s="153"/>
      <c r="B392" s="153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ht="21.0" customHeight="1">
      <c r="A393" s="153"/>
      <c r="B393" s="153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ht="21.0" customHeight="1">
      <c r="A394" s="153"/>
      <c r="B394" s="153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ht="21.0" customHeight="1">
      <c r="A395" s="153"/>
      <c r="B395" s="153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ht="21.0" customHeight="1">
      <c r="A396" s="153"/>
      <c r="B396" s="153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ht="21.0" customHeight="1">
      <c r="A397" s="153"/>
      <c r="B397" s="153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ht="21.0" customHeight="1">
      <c r="A398" s="153"/>
      <c r="B398" s="153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ht="21.0" customHeight="1">
      <c r="A399" s="153"/>
      <c r="B399" s="153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ht="21.0" customHeight="1">
      <c r="A400" s="153"/>
      <c r="B400" s="153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ht="21.0" customHeight="1">
      <c r="A401" s="153"/>
      <c r="B401" s="153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ht="21.0" customHeight="1">
      <c r="A402" s="153"/>
      <c r="B402" s="153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ht="21.0" customHeight="1">
      <c r="A403" s="153"/>
      <c r="B403" s="153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ht="21.0" customHeight="1">
      <c r="A404" s="153"/>
      <c r="B404" s="153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ht="21.0" customHeight="1">
      <c r="A405" s="153"/>
      <c r="B405" s="153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ht="21.0" customHeight="1">
      <c r="A406" s="153"/>
      <c r="B406" s="153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ht="21.0" customHeight="1">
      <c r="A407" s="153"/>
      <c r="B407" s="153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ht="21.0" customHeight="1">
      <c r="A408" s="153"/>
      <c r="B408" s="153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ht="21.0" customHeight="1">
      <c r="A409" s="153"/>
      <c r="B409" s="153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ht="21.0" customHeight="1">
      <c r="A410" s="153"/>
      <c r="B410" s="153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ht="21.0" customHeight="1">
      <c r="A411" s="153"/>
      <c r="B411" s="153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ht="21.0" customHeight="1">
      <c r="A412" s="153"/>
      <c r="B412" s="153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ht="21.0" customHeight="1">
      <c r="A413" s="153"/>
      <c r="B413" s="153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ht="21.0" customHeight="1">
      <c r="A414" s="153"/>
      <c r="B414" s="153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ht="21.0" customHeight="1">
      <c r="A415" s="153"/>
      <c r="B415" s="153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ht="21.0" customHeight="1">
      <c r="A416" s="153"/>
      <c r="B416" s="153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ht="21.0" customHeight="1">
      <c r="A417" s="153"/>
      <c r="B417" s="153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ht="21.0" customHeight="1">
      <c r="A418" s="153"/>
      <c r="B418" s="153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ht="21.0" customHeight="1">
      <c r="A419" s="153"/>
      <c r="B419" s="153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ht="21.0" customHeight="1">
      <c r="A420" s="153"/>
      <c r="B420" s="153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ht="21.0" customHeight="1">
      <c r="A421" s="153"/>
      <c r="B421" s="153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ht="21.0" customHeight="1">
      <c r="A422" s="153"/>
      <c r="B422" s="153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ht="21.0" customHeight="1">
      <c r="A423" s="153"/>
      <c r="B423" s="153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ht="21.0" customHeight="1">
      <c r="A424" s="153"/>
      <c r="B424" s="153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ht="21.0" customHeight="1">
      <c r="A425" s="153"/>
      <c r="B425" s="153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ht="21.0" customHeight="1">
      <c r="A426" s="153"/>
      <c r="B426" s="153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ht="21.0" customHeight="1">
      <c r="A427" s="153"/>
      <c r="B427" s="153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ht="21.0" customHeight="1">
      <c r="A428" s="153"/>
      <c r="B428" s="153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ht="21.0" customHeight="1">
      <c r="A429" s="153"/>
      <c r="B429" s="153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ht="21.0" customHeight="1">
      <c r="A430" s="153"/>
      <c r="B430" s="153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ht="21.0" customHeight="1">
      <c r="A431" s="153"/>
      <c r="B431" s="153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ht="21.0" customHeight="1">
      <c r="A432" s="153"/>
      <c r="B432" s="153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ht="21.0" customHeight="1">
      <c r="A433" s="153"/>
      <c r="B433" s="153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ht="21.0" customHeight="1">
      <c r="A434" s="153"/>
      <c r="B434" s="153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ht="21.0" customHeight="1">
      <c r="A435" s="153"/>
      <c r="B435" s="153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ht="21.0" customHeight="1">
      <c r="A436" s="153"/>
      <c r="B436" s="153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ht="21.0" customHeight="1">
      <c r="A437" s="153"/>
      <c r="B437" s="153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ht="21.0" customHeight="1">
      <c r="A438" s="153"/>
      <c r="B438" s="153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ht="21.0" customHeight="1">
      <c r="A439" s="153"/>
      <c r="B439" s="153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ht="21.0" customHeight="1">
      <c r="A440" s="153"/>
      <c r="B440" s="153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ht="21.0" customHeight="1">
      <c r="A441" s="153"/>
      <c r="B441" s="153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ht="21.0" customHeight="1">
      <c r="A442" s="153"/>
      <c r="B442" s="153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ht="21.0" customHeight="1">
      <c r="A443" s="153"/>
      <c r="B443" s="153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ht="21.0" customHeight="1">
      <c r="A444" s="153"/>
      <c r="B444" s="153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ht="21.0" customHeight="1">
      <c r="A445" s="153"/>
      <c r="B445" s="153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ht="21.0" customHeight="1">
      <c r="A446" s="153"/>
      <c r="B446" s="153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ht="21.0" customHeight="1">
      <c r="A447" s="153"/>
      <c r="B447" s="153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ht="21.0" customHeight="1">
      <c r="A448" s="153"/>
      <c r="B448" s="153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ht="21.0" customHeight="1">
      <c r="A449" s="153"/>
      <c r="B449" s="153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ht="21.0" customHeight="1">
      <c r="A450" s="153"/>
      <c r="B450" s="153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ht="21.0" customHeight="1">
      <c r="A451" s="153"/>
      <c r="B451" s="153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ht="21.0" customHeight="1">
      <c r="A452" s="153"/>
      <c r="B452" s="153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ht="21.0" customHeight="1">
      <c r="A453" s="153"/>
      <c r="B453" s="153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ht="21.0" customHeight="1">
      <c r="A454" s="153"/>
      <c r="B454" s="153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ht="21.0" customHeight="1">
      <c r="A455" s="153"/>
      <c r="B455" s="153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ht="21.0" customHeight="1">
      <c r="A456" s="153"/>
      <c r="B456" s="153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ht="21.0" customHeight="1">
      <c r="A457" s="153"/>
      <c r="B457" s="153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ht="21.0" customHeight="1">
      <c r="A458" s="153"/>
      <c r="B458" s="153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ht="21.0" customHeight="1">
      <c r="A459" s="153"/>
      <c r="B459" s="153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ht="21.0" customHeight="1">
      <c r="A460" s="153"/>
      <c r="B460" s="153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ht="21.0" customHeight="1">
      <c r="A461" s="153"/>
      <c r="B461" s="153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ht="21.0" customHeight="1">
      <c r="A462" s="153"/>
      <c r="B462" s="153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ht="21.0" customHeight="1">
      <c r="A463" s="153"/>
      <c r="B463" s="153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ht="21.0" customHeight="1">
      <c r="A464" s="153"/>
      <c r="B464" s="153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ht="21.0" customHeight="1">
      <c r="A465" s="153"/>
      <c r="B465" s="153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ht="21.0" customHeight="1">
      <c r="A466" s="153"/>
      <c r="B466" s="153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ht="21.0" customHeight="1">
      <c r="A467" s="153"/>
      <c r="B467" s="153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ht="21.0" customHeight="1">
      <c r="A468" s="153"/>
      <c r="B468" s="153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ht="21.0" customHeight="1">
      <c r="A469" s="153"/>
      <c r="B469" s="153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ht="21.0" customHeight="1">
      <c r="A470" s="153"/>
      <c r="B470" s="153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ht="21.0" customHeight="1">
      <c r="A471" s="153"/>
      <c r="B471" s="153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ht="21.0" customHeight="1">
      <c r="A472" s="153"/>
      <c r="B472" s="153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ht="21.0" customHeight="1">
      <c r="A473" s="153"/>
      <c r="B473" s="153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ht="21.0" customHeight="1">
      <c r="A474" s="153"/>
      <c r="B474" s="153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ht="21.0" customHeight="1">
      <c r="A475" s="153"/>
      <c r="B475" s="153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ht="21.0" customHeight="1">
      <c r="A476" s="153"/>
      <c r="B476" s="153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ht="21.0" customHeight="1">
      <c r="A477" s="153"/>
      <c r="B477" s="153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ht="21.0" customHeight="1">
      <c r="A478" s="153"/>
      <c r="B478" s="153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ht="21.0" customHeight="1">
      <c r="A479" s="153"/>
      <c r="B479" s="153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ht="21.0" customHeight="1">
      <c r="A480" s="153"/>
      <c r="B480" s="153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ht="21.0" customHeight="1">
      <c r="A481" s="153"/>
      <c r="B481" s="153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ht="21.0" customHeight="1">
      <c r="A482" s="153"/>
      <c r="B482" s="153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ht="21.0" customHeight="1">
      <c r="A483" s="153"/>
      <c r="B483" s="153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ht="21.0" customHeight="1">
      <c r="A484" s="153"/>
      <c r="B484" s="153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ht="21.0" customHeight="1">
      <c r="A485" s="153"/>
      <c r="B485" s="153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ht="21.0" customHeight="1">
      <c r="A486" s="153"/>
      <c r="B486" s="153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ht="21.0" customHeight="1">
      <c r="A487" s="153"/>
      <c r="B487" s="153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ht="21.0" customHeight="1">
      <c r="A488" s="153"/>
      <c r="B488" s="153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ht="21.0" customHeight="1">
      <c r="A489" s="153"/>
      <c r="B489" s="153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ht="21.0" customHeight="1">
      <c r="A490" s="153"/>
      <c r="B490" s="153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ht="21.0" customHeight="1">
      <c r="A491" s="153"/>
      <c r="B491" s="153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ht="21.0" customHeight="1">
      <c r="A492" s="153"/>
      <c r="B492" s="153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ht="21.0" customHeight="1">
      <c r="A493" s="153"/>
      <c r="B493" s="153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ht="21.0" customHeight="1">
      <c r="A494" s="153"/>
      <c r="B494" s="153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ht="21.0" customHeight="1">
      <c r="A495" s="153"/>
      <c r="B495" s="153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ht="21.0" customHeight="1">
      <c r="A496" s="153"/>
      <c r="B496" s="153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ht="21.0" customHeight="1">
      <c r="A497" s="153"/>
      <c r="B497" s="153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ht="21.0" customHeight="1">
      <c r="A498" s="153"/>
      <c r="B498" s="153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ht="21.0" customHeight="1">
      <c r="A499" s="153"/>
      <c r="B499" s="153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ht="21.0" customHeight="1">
      <c r="A500" s="153"/>
      <c r="B500" s="153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ht="21.0" customHeight="1">
      <c r="A501" s="153"/>
      <c r="B501" s="153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ht="21.0" customHeight="1">
      <c r="A502" s="153"/>
      <c r="B502" s="153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ht="21.0" customHeight="1">
      <c r="A503" s="153"/>
      <c r="B503" s="153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ht="21.0" customHeight="1">
      <c r="A504" s="153"/>
      <c r="B504" s="153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ht="21.0" customHeight="1">
      <c r="A505" s="153"/>
      <c r="B505" s="153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ht="21.0" customHeight="1">
      <c r="A506" s="153"/>
      <c r="B506" s="153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ht="21.0" customHeight="1">
      <c r="A507" s="153"/>
      <c r="B507" s="153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ht="21.0" customHeight="1">
      <c r="A508" s="153"/>
      <c r="B508" s="153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ht="21.0" customHeight="1">
      <c r="A509" s="153"/>
      <c r="B509" s="153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ht="21.0" customHeight="1">
      <c r="A510" s="153"/>
      <c r="B510" s="153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ht="21.0" customHeight="1">
      <c r="A511" s="153"/>
      <c r="B511" s="153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ht="21.0" customHeight="1">
      <c r="A512" s="153"/>
      <c r="B512" s="153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ht="21.0" customHeight="1">
      <c r="A513" s="153"/>
      <c r="B513" s="153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ht="21.0" customHeight="1">
      <c r="A514" s="153"/>
      <c r="B514" s="153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ht="21.0" customHeight="1">
      <c r="A515" s="153"/>
      <c r="B515" s="153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ht="21.0" customHeight="1">
      <c r="A516" s="153"/>
      <c r="B516" s="153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ht="21.0" customHeight="1">
      <c r="A517" s="153"/>
      <c r="B517" s="153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ht="21.0" customHeight="1">
      <c r="A518" s="153"/>
      <c r="B518" s="153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ht="21.0" customHeight="1">
      <c r="A519" s="153"/>
      <c r="B519" s="153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ht="21.0" customHeight="1">
      <c r="A520" s="153"/>
      <c r="B520" s="153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ht="21.0" customHeight="1">
      <c r="A521" s="153"/>
      <c r="B521" s="153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ht="21.0" customHeight="1">
      <c r="A522" s="153"/>
      <c r="B522" s="153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ht="21.0" customHeight="1">
      <c r="A523" s="153"/>
      <c r="B523" s="153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ht="21.0" customHeight="1">
      <c r="A524" s="153"/>
      <c r="B524" s="153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ht="21.0" customHeight="1">
      <c r="A525" s="153"/>
      <c r="B525" s="153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ht="21.0" customHeight="1">
      <c r="A526" s="153"/>
      <c r="B526" s="153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ht="21.0" customHeight="1">
      <c r="A527" s="153"/>
      <c r="B527" s="153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ht="21.0" customHeight="1">
      <c r="A528" s="153"/>
      <c r="B528" s="153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ht="21.0" customHeight="1">
      <c r="A529" s="153"/>
      <c r="B529" s="153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ht="21.0" customHeight="1">
      <c r="A530" s="153"/>
      <c r="B530" s="153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ht="21.0" customHeight="1">
      <c r="A531" s="153"/>
      <c r="B531" s="153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ht="21.0" customHeight="1">
      <c r="A532" s="153"/>
      <c r="B532" s="153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ht="21.0" customHeight="1">
      <c r="A533" s="153"/>
      <c r="B533" s="153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ht="21.0" customHeight="1">
      <c r="A534" s="153"/>
      <c r="B534" s="153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ht="21.0" customHeight="1">
      <c r="A535" s="153"/>
      <c r="B535" s="153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ht="21.0" customHeight="1">
      <c r="A536" s="153"/>
      <c r="B536" s="153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ht="21.0" customHeight="1">
      <c r="A537" s="153"/>
      <c r="B537" s="153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ht="21.0" customHeight="1">
      <c r="A538" s="153"/>
      <c r="B538" s="153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ht="21.0" customHeight="1">
      <c r="A539" s="153"/>
      <c r="B539" s="153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ht="21.0" customHeight="1">
      <c r="A540" s="153"/>
      <c r="B540" s="153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ht="21.0" customHeight="1">
      <c r="A541" s="153"/>
      <c r="B541" s="153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ht="21.0" customHeight="1">
      <c r="A542" s="153"/>
      <c r="B542" s="153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ht="21.0" customHeight="1">
      <c r="A543" s="153"/>
      <c r="B543" s="153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ht="21.0" customHeight="1">
      <c r="A544" s="153"/>
      <c r="B544" s="153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ht="21.0" customHeight="1">
      <c r="A545" s="153"/>
      <c r="B545" s="153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ht="21.0" customHeight="1">
      <c r="A546" s="153"/>
      <c r="B546" s="153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ht="21.0" customHeight="1">
      <c r="A547" s="153"/>
      <c r="B547" s="153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ht="21.0" customHeight="1">
      <c r="A548" s="153"/>
      <c r="B548" s="153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ht="21.0" customHeight="1">
      <c r="A549" s="153"/>
      <c r="B549" s="153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ht="21.0" customHeight="1">
      <c r="A550" s="153"/>
      <c r="B550" s="153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ht="21.0" customHeight="1">
      <c r="A551" s="153"/>
      <c r="B551" s="153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ht="21.0" customHeight="1">
      <c r="A552" s="153"/>
      <c r="B552" s="153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ht="21.0" customHeight="1">
      <c r="A553" s="153"/>
      <c r="B553" s="153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ht="21.0" customHeight="1">
      <c r="A554" s="153"/>
      <c r="B554" s="153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ht="21.0" customHeight="1">
      <c r="A555" s="153"/>
      <c r="B555" s="153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ht="21.0" customHeight="1">
      <c r="A556" s="153"/>
      <c r="B556" s="153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ht="21.0" customHeight="1">
      <c r="A557" s="153"/>
      <c r="B557" s="153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ht="21.0" customHeight="1">
      <c r="A558" s="153"/>
      <c r="B558" s="153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ht="21.0" customHeight="1">
      <c r="A559" s="153"/>
      <c r="B559" s="153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ht="21.0" customHeight="1">
      <c r="A560" s="153"/>
      <c r="B560" s="153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ht="21.0" customHeight="1">
      <c r="A561" s="153"/>
      <c r="B561" s="153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ht="21.0" customHeight="1">
      <c r="A562" s="153"/>
      <c r="B562" s="153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ht="21.0" customHeight="1">
      <c r="A563" s="153"/>
      <c r="B563" s="153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ht="21.0" customHeight="1">
      <c r="A564" s="153"/>
      <c r="B564" s="153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ht="21.0" customHeight="1">
      <c r="A565" s="153"/>
      <c r="B565" s="153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ht="21.0" customHeight="1">
      <c r="A566" s="153"/>
      <c r="B566" s="153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ht="21.0" customHeight="1">
      <c r="A567" s="153"/>
      <c r="B567" s="153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ht="21.0" customHeight="1">
      <c r="A568" s="153"/>
      <c r="B568" s="153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ht="21.0" customHeight="1">
      <c r="A569" s="153"/>
      <c r="B569" s="153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ht="21.0" customHeight="1">
      <c r="A570" s="153"/>
      <c r="B570" s="153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ht="21.0" customHeight="1">
      <c r="A571" s="153"/>
      <c r="B571" s="153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ht="21.0" customHeight="1">
      <c r="A572" s="153"/>
      <c r="B572" s="153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ht="21.0" customHeight="1">
      <c r="A573" s="153"/>
      <c r="B573" s="153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ht="21.0" customHeight="1">
      <c r="A574" s="153"/>
      <c r="B574" s="153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ht="21.0" customHeight="1">
      <c r="A575" s="153"/>
      <c r="B575" s="153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ht="21.0" customHeight="1">
      <c r="A576" s="153"/>
      <c r="B576" s="153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ht="21.0" customHeight="1">
      <c r="A577" s="153"/>
      <c r="B577" s="153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ht="21.0" customHeight="1">
      <c r="A578" s="153"/>
      <c r="B578" s="153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ht="21.0" customHeight="1">
      <c r="A579" s="153"/>
      <c r="B579" s="153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ht="21.0" customHeight="1">
      <c r="A580" s="153"/>
      <c r="B580" s="153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ht="21.0" customHeight="1">
      <c r="A581" s="153"/>
      <c r="B581" s="153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ht="21.0" customHeight="1">
      <c r="A582" s="153"/>
      <c r="B582" s="153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ht="21.0" customHeight="1">
      <c r="A583" s="153"/>
      <c r="B583" s="153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ht="21.0" customHeight="1">
      <c r="A584" s="153"/>
      <c r="B584" s="153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ht="21.0" customHeight="1">
      <c r="A585" s="153"/>
      <c r="B585" s="153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ht="21.0" customHeight="1">
      <c r="A586" s="153"/>
      <c r="B586" s="153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ht="21.0" customHeight="1">
      <c r="A587" s="153"/>
      <c r="B587" s="153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ht="21.0" customHeight="1">
      <c r="A588" s="153"/>
      <c r="B588" s="153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ht="21.0" customHeight="1">
      <c r="A589" s="153"/>
      <c r="B589" s="153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ht="21.0" customHeight="1">
      <c r="A590" s="153"/>
      <c r="B590" s="153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ht="21.0" customHeight="1">
      <c r="A591" s="153"/>
      <c r="B591" s="153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ht="21.0" customHeight="1">
      <c r="A592" s="153"/>
      <c r="B592" s="153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ht="21.0" customHeight="1">
      <c r="A593" s="153"/>
      <c r="B593" s="153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ht="21.0" customHeight="1">
      <c r="A594" s="153"/>
      <c r="B594" s="153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ht="21.0" customHeight="1">
      <c r="A595" s="153"/>
      <c r="B595" s="153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ht="21.0" customHeight="1">
      <c r="A596" s="153"/>
      <c r="B596" s="153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ht="21.0" customHeight="1">
      <c r="A597" s="153"/>
      <c r="B597" s="153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ht="21.0" customHeight="1">
      <c r="A598" s="153"/>
      <c r="B598" s="153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ht="21.0" customHeight="1">
      <c r="A599" s="153"/>
      <c r="B599" s="153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ht="21.0" customHeight="1">
      <c r="A600" s="153"/>
      <c r="B600" s="153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ht="21.0" customHeight="1">
      <c r="A601" s="153"/>
      <c r="B601" s="153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ht="21.0" customHeight="1">
      <c r="A602" s="153"/>
      <c r="B602" s="153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ht="21.0" customHeight="1">
      <c r="A603" s="153"/>
      <c r="B603" s="153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ht="21.0" customHeight="1">
      <c r="A604" s="153"/>
      <c r="B604" s="153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ht="21.0" customHeight="1">
      <c r="A605" s="153"/>
      <c r="B605" s="153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ht="21.0" customHeight="1">
      <c r="A606" s="153"/>
      <c r="B606" s="153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ht="21.0" customHeight="1">
      <c r="A607" s="153"/>
      <c r="B607" s="153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ht="21.0" customHeight="1">
      <c r="A608" s="153"/>
      <c r="B608" s="153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ht="21.0" customHeight="1">
      <c r="A609" s="153"/>
      <c r="B609" s="153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ht="21.0" customHeight="1">
      <c r="A610" s="153"/>
      <c r="B610" s="153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ht="21.0" customHeight="1">
      <c r="A611" s="153"/>
      <c r="B611" s="153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ht="21.0" customHeight="1">
      <c r="A612" s="153"/>
      <c r="B612" s="153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ht="21.0" customHeight="1">
      <c r="A613" s="153"/>
      <c r="B613" s="153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ht="21.0" customHeight="1">
      <c r="A614" s="153"/>
      <c r="B614" s="153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ht="21.0" customHeight="1">
      <c r="A615" s="153"/>
      <c r="B615" s="153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ht="21.0" customHeight="1">
      <c r="A616" s="153"/>
      <c r="B616" s="153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ht="21.0" customHeight="1">
      <c r="A617" s="153"/>
      <c r="B617" s="153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ht="21.0" customHeight="1">
      <c r="A618" s="153"/>
      <c r="B618" s="153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ht="21.0" customHeight="1">
      <c r="A619" s="153"/>
      <c r="B619" s="153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ht="21.0" customHeight="1">
      <c r="A620" s="153"/>
      <c r="B620" s="153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ht="21.0" customHeight="1">
      <c r="A621" s="153"/>
      <c r="B621" s="153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ht="21.0" customHeight="1">
      <c r="A622" s="153"/>
      <c r="B622" s="153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ht="21.0" customHeight="1">
      <c r="A623" s="153"/>
      <c r="B623" s="153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ht="21.0" customHeight="1">
      <c r="A624" s="153"/>
      <c r="B624" s="153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ht="21.0" customHeight="1">
      <c r="A625" s="153"/>
      <c r="B625" s="153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ht="21.0" customHeight="1">
      <c r="A626" s="153"/>
      <c r="B626" s="153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ht="21.0" customHeight="1">
      <c r="A627" s="153"/>
      <c r="B627" s="153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ht="21.0" customHeight="1">
      <c r="A628" s="153"/>
      <c r="B628" s="153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ht="21.0" customHeight="1">
      <c r="A629" s="153"/>
      <c r="B629" s="153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ht="21.0" customHeight="1">
      <c r="A630" s="153"/>
      <c r="B630" s="153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ht="21.0" customHeight="1">
      <c r="A631" s="153"/>
      <c r="B631" s="153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ht="21.0" customHeight="1">
      <c r="A632" s="153"/>
      <c r="B632" s="153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ht="21.0" customHeight="1">
      <c r="A633" s="153"/>
      <c r="B633" s="153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ht="21.0" customHeight="1">
      <c r="A634" s="153"/>
      <c r="B634" s="153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ht="21.0" customHeight="1">
      <c r="A635" s="153"/>
      <c r="B635" s="153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ht="21.0" customHeight="1">
      <c r="A636" s="153"/>
      <c r="B636" s="153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ht="21.0" customHeight="1">
      <c r="A637" s="153"/>
      <c r="B637" s="153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ht="21.0" customHeight="1">
      <c r="A638" s="153"/>
      <c r="B638" s="153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ht="21.0" customHeight="1">
      <c r="A639" s="153"/>
      <c r="B639" s="153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ht="21.0" customHeight="1">
      <c r="A640" s="153"/>
      <c r="B640" s="153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ht="21.0" customHeight="1">
      <c r="A641" s="153"/>
      <c r="B641" s="153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ht="21.0" customHeight="1">
      <c r="A642" s="153"/>
      <c r="B642" s="153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ht="21.0" customHeight="1">
      <c r="A643" s="153"/>
      <c r="B643" s="153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ht="21.0" customHeight="1">
      <c r="A644" s="153"/>
      <c r="B644" s="153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ht="21.0" customHeight="1">
      <c r="A645" s="153"/>
      <c r="B645" s="153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ht="21.0" customHeight="1">
      <c r="A646" s="153"/>
      <c r="B646" s="153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ht="21.0" customHeight="1">
      <c r="A647" s="153"/>
      <c r="B647" s="153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ht="21.0" customHeight="1">
      <c r="A648" s="153"/>
      <c r="B648" s="153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ht="21.0" customHeight="1">
      <c r="A649" s="153"/>
      <c r="B649" s="153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ht="21.0" customHeight="1">
      <c r="A650" s="153"/>
      <c r="B650" s="153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ht="21.0" customHeight="1">
      <c r="A651" s="153"/>
      <c r="B651" s="153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ht="21.0" customHeight="1">
      <c r="A652" s="153"/>
      <c r="B652" s="153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ht="21.0" customHeight="1">
      <c r="A653" s="153"/>
      <c r="B653" s="153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ht="21.0" customHeight="1">
      <c r="A654" s="153"/>
      <c r="B654" s="153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ht="21.0" customHeight="1">
      <c r="A655" s="153"/>
      <c r="B655" s="153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ht="21.0" customHeight="1">
      <c r="A656" s="153"/>
      <c r="B656" s="153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ht="21.0" customHeight="1">
      <c r="A657" s="153"/>
      <c r="B657" s="153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ht="21.0" customHeight="1">
      <c r="A658" s="153"/>
      <c r="B658" s="153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ht="21.0" customHeight="1">
      <c r="A659" s="153"/>
      <c r="B659" s="153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ht="21.0" customHeight="1">
      <c r="A660" s="153"/>
      <c r="B660" s="153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ht="21.0" customHeight="1">
      <c r="A661" s="153"/>
      <c r="B661" s="153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ht="21.0" customHeight="1">
      <c r="A662" s="153"/>
      <c r="B662" s="153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ht="21.0" customHeight="1">
      <c r="A663" s="153"/>
      <c r="B663" s="153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ht="21.0" customHeight="1">
      <c r="A664" s="153"/>
      <c r="B664" s="153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ht="21.0" customHeight="1">
      <c r="A665" s="153"/>
      <c r="B665" s="153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ht="21.0" customHeight="1">
      <c r="A666" s="153"/>
      <c r="B666" s="153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ht="21.0" customHeight="1">
      <c r="A667" s="153"/>
      <c r="B667" s="153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ht="21.0" customHeight="1">
      <c r="A668" s="153"/>
      <c r="B668" s="153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ht="21.0" customHeight="1">
      <c r="A669" s="153"/>
      <c r="B669" s="153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ht="21.0" customHeight="1">
      <c r="A670" s="153"/>
      <c r="B670" s="153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ht="21.0" customHeight="1">
      <c r="A671" s="153"/>
      <c r="B671" s="153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ht="21.0" customHeight="1">
      <c r="A672" s="153"/>
      <c r="B672" s="153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ht="21.0" customHeight="1">
      <c r="A673" s="153"/>
      <c r="B673" s="153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ht="21.0" customHeight="1">
      <c r="A674" s="153"/>
      <c r="B674" s="153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ht="21.0" customHeight="1">
      <c r="A675" s="153"/>
      <c r="B675" s="153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ht="21.0" customHeight="1">
      <c r="A676" s="153"/>
      <c r="B676" s="153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ht="21.0" customHeight="1">
      <c r="A677" s="153"/>
      <c r="B677" s="153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ht="21.0" customHeight="1">
      <c r="A678" s="153"/>
      <c r="B678" s="153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ht="21.0" customHeight="1">
      <c r="A679" s="153"/>
      <c r="B679" s="153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ht="21.0" customHeight="1">
      <c r="A680" s="153"/>
      <c r="B680" s="153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ht="21.0" customHeight="1">
      <c r="A681" s="153"/>
      <c r="B681" s="153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ht="21.0" customHeight="1">
      <c r="A682" s="153"/>
      <c r="B682" s="153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ht="21.0" customHeight="1">
      <c r="A683" s="153"/>
      <c r="B683" s="153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ht="21.0" customHeight="1">
      <c r="A684" s="153"/>
      <c r="B684" s="153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ht="21.0" customHeight="1">
      <c r="A685" s="153"/>
      <c r="B685" s="153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ht="21.0" customHeight="1">
      <c r="A686" s="153"/>
      <c r="B686" s="153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ht="21.0" customHeight="1">
      <c r="A687" s="153"/>
      <c r="B687" s="153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ht="21.0" customHeight="1">
      <c r="A688" s="153"/>
      <c r="B688" s="153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ht="21.0" customHeight="1">
      <c r="A689" s="153"/>
      <c r="B689" s="153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ht="21.0" customHeight="1">
      <c r="A690" s="153"/>
      <c r="B690" s="153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ht="21.0" customHeight="1">
      <c r="A691" s="153"/>
      <c r="B691" s="153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ht="21.0" customHeight="1">
      <c r="A692" s="153"/>
      <c r="B692" s="153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ht="21.0" customHeight="1">
      <c r="A693" s="153"/>
      <c r="B693" s="153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ht="21.0" customHeight="1">
      <c r="A694" s="153"/>
      <c r="B694" s="153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ht="21.0" customHeight="1">
      <c r="A695" s="153"/>
      <c r="B695" s="153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ht="21.0" customHeight="1">
      <c r="A696" s="153"/>
      <c r="B696" s="153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ht="21.0" customHeight="1">
      <c r="A697" s="153"/>
      <c r="B697" s="153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ht="21.0" customHeight="1">
      <c r="A698" s="153"/>
      <c r="B698" s="153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ht="21.0" customHeight="1">
      <c r="A699" s="153"/>
      <c r="B699" s="153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ht="21.0" customHeight="1">
      <c r="A700" s="153"/>
      <c r="B700" s="153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ht="21.0" customHeight="1">
      <c r="A701" s="153"/>
      <c r="B701" s="153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ht="21.0" customHeight="1">
      <c r="A702" s="153"/>
      <c r="B702" s="153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ht="21.0" customHeight="1">
      <c r="A703" s="153"/>
      <c r="B703" s="153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ht="21.0" customHeight="1">
      <c r="A704" s="153"/>
      <c r="B704" s="153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ht="21.0" customHeight="1">
      <c r="A705" s="153"/>
      <c r="B705" s="153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ht="21.0" customHeight="1">
      <c r="A706" s="153"/>
      <c r="B706" s="153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ht="21.0" customHeight="1">
      <c r="A707" s="153"/>
      <c r="B707" s="153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ht="21.0" customHeight="1">
      <c r="A708" s="153"/>
      <c r="B708" s="153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ht="21.0" customHeight="1">
      <c r="A709" s="153"/>
      <c r="B709" s="153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ht="21.0" customHeight="1">
      <c r="A710" s="153"/>
      <c r="B710" s="153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ht="21.0" customHeight="1">
      <c r="A711" s="153"/>
      <c r="B711" s="153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ht="21.0" customHeight="1">
      <c r="A712" s="153"/>
      <c r="B712" s="153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ht="21.0" customHeight="1">
      <c r="A713" s="153"/>
      <c r="B713" s="153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ht="21.0" customHeight="1">
      <c r="A714" s="153"/>
      <c r="B714" s="153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ht="21.0" customHeight="1">
      <c r="A715" s="153"/>
      <c r="B715" s="153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ht="21.0" customHeight="1">
      <c r="A716" s="153"/>
      <c r="B716" s="153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ht="21.0" customHeight="1">
      <c r="A717" s="153"/>
      <c r="B717" s="153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ht="21.0" customHeight="1">
      <c r="A718" s="153"/>
      <c r="B718" s="153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ht="21.0" customHeight="1">
      <c r="A719" s="153"/>
      <c r="B719" s="153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ht="21.0" customHeight="1">
      <c r="A720" s="153"/>
      <c r="B720" s="153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ht="21.0" customHeight="1">
      <c r="A721" s="153"/>
      <c r="B721" s="153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ht="21.0" customHeight="1">
      <c r="A722" s="153"/>
      <c r="B722" s="153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ht="21.0" customHeight="1">
      <c r="A723" s="153"/>
      <c r="B723" s="153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ht="21.0" customHeight="1">
      <c r="A724" s="153"/>
      <c r="B724" s="153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ht="21.0" customHeight="1">
      <c r="A725" s="153"/>
      <c r="B725" s="153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ht="21.0" customHeight="1">
      <c r="A726" s="153"/>
      <c r="B726" s="153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ht="21.0" customHeight="1">
      <c r="A727" s="153"/>
      <c r="B727" s="153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ht="21.0" customHeight="1">
      <c r="A728" s="153"/>
      <c r="B728" s="153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ht="21.0" customHeight="1">
      <c r="A729" s="153"/>
      <c r="B729" s="153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ht="21.0" customHeight="1">
      <c r="A730" s="153"/>
      <c r="B730" s="153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ht="21.0" customHeight="1">
      <c r="A731" s="153"/>
      <c r="B731" s="153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ht="21.0" customHeight="1">
      <c r="A732" s="153"/>
      <c r="B732" s="153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ht="21.0" customHeight="1">
      <c r="A733" s="153"/>
      <c r="B733" s="153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ht="21.0" customHeight="1">
      <c r="A734" s="153"/>
      <c r="B734" s="153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ht="21.0" customHeight="1">
      <c r="A735" s="153"/>
      <c r="B735" s="153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ht="21.0" customHeight="1">
      <c r="A736" s="153"/>
      <c r="B736" s="153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ht="21.0" customHeight="1">
      <c r="A737" s="153"/>
      <c r="B737" s="153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ht="21.0" customHeight="1">
      <c r="A738" s="153"/>
      <c r="B738" s="153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ht="21.0" customHeight="1">
      <c r="A739" s="153"/>
      <c r="B739" s="153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ht="21.0" customHeight="1">
      <c r="A740" s="153"/>
      <c r="B740" s="153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ht="21.0" customHeight="1">
      <c r="A741" s="153"/>
      <c r="B741" s="153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ht="21.0" customHeight="1">
      <c r="A742" s="153"/>
      <c r="B742" s="153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ht="21.0" customHeight="1">
      <c r="A743" s="153"/>
      <c r="B743" s="153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ht="21.0" customHeight="1">
      <c r="A744" s="153"/>
      <c r="B744" s="153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ht="21.0" customHeight="1">
      <c r="A745" s="153"/>
      <c r="B745" s="153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ht="21.0" customHeight="1">
      <c r="A746" s="153"/>
      <c r="B746" s="153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ht="21.0" customHeight="1">
      <c r="A747" s="153"/>
      <c r="B747" s="153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ht="21.0" customHeight="1">
      <c r="A748" s="153"/>
      <c r="B748" s="153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ht="21.0" customHeight="1">
      <c r="A749" s="153"/>
      <c r="B749" s="153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ht="21.0" customHeight="1">
      <c r="A750" s="153"/>
      <c r="B750" s="153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ht="21.0" customHeight="1">
      <c r="A751" s="153"/>
      <c r="B751" s="153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ht="21.0" customHeight="1">
      <c r="A752" s="153"/>
      <c r="B752" s="153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ht="21.0" customHeight="1">
      <c r="A753" s="153"/>
      <c r="B753" s="153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ht="21.0" customHeight="1">
      <c r="A754" s="153"/>
      <c r="B754" s="153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ht="21.0" customHeight="1">
      <c r="A755" s="153"/>
      <c r="B755" s="153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ht="21.0" customHeight="1">
      <c r="A756" s="153"/>
      <c r="B756" s="153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ht="21.0" customHeight="1">
      <c r="A757" s="153"/>
      <c r="B757" s="153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ht="21.0" customHeight="1">
      <c r="A758" s="153"/>
      <c r="B758" s="153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ht="21.0" customHeight="1">
      <c r="A759" s="153"/>
      <c r="B759" s="153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ht="21.0" customHeight="1">
      <c r="A760" s="153"/>
      <c r="B760" s="153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ht="21.0" customHeight="1">
      <c r="A761" s="153"/>
      <c r="B761" s="153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ht="21.0" customHeight="1">
      <c r="A762" s="153"/>
      <c r="B762" s="153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ht="21.0" customHeight="1">
      <c r="A763" s="153"/>
      <c r="B763" s="153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ht="21.0" customHeight="1">
      <c r="A764" s="153"/>
      <c r="B764" s="153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ht="21.0" customHeight="1">
      <c r="A765" s="153"/>
      <c r="B765" s="153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ht="21.0" customHeight="1">
      <c r="A766" s="153"/>
      <c r="B766" s="153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ht="21.0" customHeight="1">
      <c r="A767" s="153"/>
      <c r="B767" s="153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ht="21.0" customHeight="1">
      <c r="A768" s="153"/>
      <c r="B768" s="153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ht="21.0" customHeight="1">
      <c r="A769" s="153"/>
      <c r="B769" s="153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ht="21.0" customHeight="1">
      <c r="A770" s="153"/>
      <c r="B770" s="153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ht="21.0" customHeight="1">
      <c r="A771" s="153"/>
      <c r="B771" s="153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ht="21.0" customHeight="1">
      <c r="A772" s="153"/>
      <c r="B772" s="153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ht="21.0" customHeight="1">
      <c r="A773" s="153"/>
      <c r="B773" s="153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ht="21.0" customHeight="1">
      <c r="A774" s="153"/>
      <c r="B774" s="153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ht="21.0" customHeight="1">
      <c r="A775" s="153"/>
      <c r="B775" s="153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ht="21.0" customHeight="1">
      <c r="A776" s="153"/>
      <c r="B776" s="153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ht="21.0" customHeight="1">
      <c r="A777" s="153"/>
      <c r="B777" s="153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ht="21.0" customHeight="1">
      <c r="A778" s="153"/>
      <c r="B778" s="153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ht="21.0" customHeight="1">
      <c r="A779" s="153"/>
      <c r="B779" s="153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ht="21.0" customHeight="1">
      <c r="A780" s="153"/>
      <c r="B780" s="153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ht="21.0" customHeight="1">
      <c r="A781" s="153"/>
      <c r="B781" s="153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ht="21.0" customHeight="1">
      <c r="A782" s="153"/>
      <c r="B782" s="153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ht="21.0" customHeight="1">
      <c r="A783" s="153"/>
      <c r="B783" s="153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ht="21.0" customHeight="1">
      <c r="A784" s="153"/>
      <c r="B784" s="153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ht="21.0" customHeight="1">
      <c r="A785" s="153"/>
      <c r="B785" s="153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ht="21.0" customHeight="1">
      <c r="A786" s="153"/>
      <c r="B786" s="153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ht="21.0" customHeight="1">
      <c r="A787" s="153"/>
      <c r="B787" s="153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ht="21.0" customHeight="1">
      <c r="A788" s="153"/>
      <c r="B788" s="153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ht="21.0" customHeight="1">
      <c r="A789" s="153"/>
      <c r="B789" s="153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ht="21.0" customHeight="1">
      <c r="A790" s="153"/>
      <c r="B790" s="153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ht="21.0" customHeight="1">
      <c r="A791" s="153"/>
      <c r="B791" s="153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ht="21.0" customHeight="1">
      <c r="A792" s="153"/>
      <c r="B792" s="153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ht="21.0" customHeight="1">
      <c r="A793" s="153"/>
      <c r="B793" s="153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ht="21.0" customHeight="1">
      <c r="A794" s="153"/>
      <c r="B794" s="153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ht="21.0" customHeight="1">
      <c r="A795" s="153"/>
      <c r="B795" s="153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ht="21.0" customHeight="1">
      <c r="A796" s="153"/>
      <c r="B796" s="153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ht="21.0" customHeight="1">
      <c r="A797" s="153"/>
      <c r="B797" s="153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ht="21.0" customHeight="1">
      <c r="A798" s="153"/>
      <c r="B798" s="153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ht="21.0" customHeight="1">
      <c r="A799" s="153"/>
      <c r="B799" s="153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ht="21.0" customHeight="1">
      <c r="A800" s="153"/>
      <c r="B800" s="153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ht="21.0" customHeight="1">
      <c r="A801" s="153"/>
      <c r="B801" s="153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ht="21.0" customHeight="1">
      <c r="A802" s="153"/>
      <c r="B802" s="153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ht="21.0" customHeight="1">
      <c r="A803" s="153"/>
      <c r="B803" s="153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ht="21.0" customHeight="1">
      <c r="A804" s="153"/>
      <c r="B804" s="153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ht="21.0" customHeight="1">
      <c r="A805" s="153"/>
      <c r="B805" s="153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ht="21.0" customHeight="1">
      <c r="A806" s="153"/>
      <c r="B806" s="153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ht="21.0" customHeight="1">
      <c r="A807" s="153"/>
      <c r="B807" s="153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ht="21.0" customHeight="1">
      <c r="A808" s="153"/>
      <c r="B808" s="153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ht="21.0" customHeight="1">
      <c r="A809" s="153"/>
      <c r="B809" s="153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ht="21.0" customHeight="1">
      <c r="A810" s="153"/>
      <c r="B810" s="153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ht="21.0" customHeight="1">
      <c r="A811" s="153"/>
      <c r="B811" s="153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ht="21.0" customHeight="1">
      <c r="A812" s="153"/>
      <c r="B812" s="153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ht="21.0" customHeight="1">
      <c r="A813" s="153"/>
      <c r="B813" s="153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ht="21.0" customHeight="1">
      <c r="A814" s="153"/>
      <c r="B814" s="153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ht="21.0" customHeight="1">
      <c r="A815" s="153"/>
      <c r="B815" s="153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ht="21.0" customHeight="1">
      <c r="A816" s="153"/>
      <c r="B816" s="153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ht="21.0" customHeight="1">
      <c r="A817" s="153"/>
      <c r="B817" s="153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ht="21.0" customHeight="1">
      <c r="A818" s="153"/>
      <c r="B818" s="153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ht="21.0" customHeight="1">
      <c r="A819" s="153"/>
      <c r="B819" s="153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ht="21.0" customHeight="1">
      <c r="A820" s="153"/>
      <c r="B820" s="153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ht="21.0" customHeight="1">
      <c r="A821" s="153"/>
      <c r="B821" s="153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ht="21.0" customHeight="1">
      <c r="A822" s="153"/>
      <c r="B822" s="153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ht="21.0" customHeight="1">
      <c r="A823" s="153"/>
      <c r="B823" s="153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ht="21.0" customHeight="1">
      <c r="A824" s="153"/>
      <c r="B824" s="153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ht="21.0" customHeight="1">
      <c r="A825" s="153"/>
      <c r="B825" s="153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ht="21.0" customHeight="1">
      <c r="A826" s="153"/>
      <c r="B826" s="153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ht="21.0" customHeight="1">
      <c r="A827" s="153"/>
      <c r="B827" s="153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ht="21.0" customHeight="1">
      <c r="A828" s="153"/>
      <c r="B828" s="153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ht="21.0" customHeight="1">
      <c r="A829" s="153"/>
      <c r="B829" s="153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ht="21.0" customHeight="1">
      <c r="A830" s="153"/>
      <c r="B830" s="153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ht="21.0" customHeight="1">
      <c r="A831" s="153"/>
      <c r="B831" s="153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ht="21.0" customHeight="1">
      <c r="A832" s="153"/>
      <c r="B832" s="153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ht="21.0" customHeight="1">
      <c r="A833" s="153"/>
      <c r="B833" s="153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ht="21.0" customHeight="1">
      <c r="A834" s="153"/>
      <c r="B834" s="153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ht="21.0" customHeight="1">
      <c r="A835" s="153"/>
      <c r="B835" s="153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ht="21.0" customHeight="1">
      <c r="A836" s="153"/>
      <c r="B836" s="153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ht="21.0" customHeight="1">
      <c r="A837" s="153"/>
      <c r="B837" s="153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ht="21.0" customHeight="1">
      <c r="A838" s="153"/>
      <c r="B838" s="153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ht="21.0" customHeight="1">
      <c r="A839" s="153"/>
      <c r="B839" s="153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ht="21.0" customHeight="1">
      <c r="A840" s="153"/>
      <c r="B840" s="153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ht="21.0" customHeight="1">
      <c r="A841" s="153"/>
      <c r="B841" s="153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ht="21.0" customHeight="1">
      <c r="A842" s="153"/>
      <c r="B842" s="153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ht="21.0" customHeight="1">
      <c r="A843" s="153"/>
      <c r="B843" s="153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ht="21.0" customHeight="1">
      <c r="A844" s="153"/>
      <c r="B844" s="153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ht="21.0" customHeight="1">
      <c r="A845" s="153"/>
      <c r="B845" s="153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ht="21.0" customHeight="1">
      <c r="A846" s="153"/>
      <c r="B846" s="153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ht="21.0" customHeight="1">
      <c r="A847" s="153"/>
      <c r="B847" s="153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ht="21.0" customHeight="1">
      <c r="A848" s="153"/>
      <c r="B848" s="153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ht="21.0" customHeight="1">
      <c r="A849" s="153"/>
      <c r="B849" s="153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ht="21.0" customHeight="1">
      <c r="A850" s="153"/>
      <c r="B850" s="153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ht="21.0" customHeight="1">
      <c r="A851" s="153"/>
      <c r="B851" s="153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ht="21.0" customHeight="1">
      <c r="A852" s="153"/>
      <c r="B852" s="153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ht="21.0" customHeight="1">
      <c r="A853" s="153"/>
      <c r="B853" s="153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ht="21.0" customHeight="1">
      <c r="A854" s="153"/>
      <c r="B854" s="153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ht="21.0" customHeight="1">
      <c r="A855" s="153"/>
      <c r="B855" s="153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ht="21.0" customHeight="1">
      <c r="A856" s="153"/>
      <c r="B856" s="153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ht="21.0" customHeight="1">
      <c r="A857" s="153"/>
      <c r="B857" s="153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ht="21.0" customHeight="1">
      <c r="A858" s="153"/>
      <c r="B858" s="153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ht="21.0" customHeight="1">
      <c r="A859" s="153"/>
      <c r="B859" s="153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ht="21.0" customHeight="1">
      <c r="A860" s="153"/>
      <c r="B860" s="153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ht="21.0" customHeight="1">
      <c r="A861" s="153"/>
      <c r="B861" s="153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ht="21.0" customHeight="1">
      <c r="A862" s="153"/>
      <c r="B862" s="153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ht="21.0" customHeight="1">
      <c r="A863" s="153"/>
      <c r="B863" s="153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ht="21.0" customHeight="1">
      <c r="A864" s="153"/>
      <c r="B864" s="153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ht="21.0" customHeight="1">
      <c r="A865" s="153"/>
      <c r="B865" s="153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ht="21.0" customHeight="1">
      <c r="A866" s="153"/>
      <c r="B866" s="153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ht="21.0" customHeight="1">
      <c r="A867" s="153"/>
      <c r="B867" s="153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ht="21.0" customHeight="1">
      <c r="A868" s="153"/>
      <c r="B868" s="153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ht="21.0" customHeight="1">
      <c r="A869" s="153"/>
      <c r="B869" s="153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ht="21.0" customHeight="1">
      <c r="A870" s="153"/>
      <c r="B870" s="153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ht="21.0" customHeight="1">
      <c r="A871" s="153"/>
      <c r="B871" s="153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ht="21.0" customHeight="1">
      <c r="A872" s="153"/>
      <c r="B872" s="153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ht="21.0" customHeight="1">
      <c r="A873" s="153"/>
      <c r="B873" s="153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ht="21.0" customHeight="1">
      <c r="A874" s="153"/>
      <c r="B874" s="153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ht="21.0" customHeight="1">
      <c r="A875" s="153"/>
      <c r="B875" s="153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ht="21.0" customHeight="1">
      <c r="A876" s="153"/>
      <c r="B876" s="153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ht="21.0" customHeight="1">
      <c r="A877" s="153"/>
      <c r="B877" s="153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ht="21.0" customHeight="1">
      <c r="A878" s="153"/>
      <c r="B878" s="153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ht="21.0" customHeight="1">
      <c r="A879" s="153"/>
      <c r="B879" s="153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ht="21.0" customHeight="1">
      <c r="A880" s="153"/>
      <c r="B880" s="153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ht="21.0" customHeight="1">
      <c r="A881" s="153"/>
      <c r="B881" s="153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ht="21.0" customHeight="1">
      <c r="A882" s="153"/>
      <c r="B882" s="153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ht="21.0" customHeight="1">
      <c r="A883" s="153"/>
      <c r="B883" s="153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ht="21.0" customHeight="1">
      <c r="A884" s="153"/>
      <c r="B884" s="153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ht="21.0" customHeight="1">
      <c r="A885" s="153"/>
      <c r="B885" s="153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ht="21.0" customHeight="1">
      <c r="A886" s="153"/>
      <c r="B886" s="153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ht="21.0" customHeight="1">
      <c r="A887" s="153"/>
      <c r="B887" s="153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ht="21.0" customHeight="1">
      <c r="A888" s="153"/>
      <c r="B888" s="153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ht="21.0" customHeight="1">
      <c r="A889" s="153"/>
      <c r="B889" s="153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ht="21.0" customHeight="1">
      <c r="A890" s="153"/>
      <c r="B890" s="153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ht="21.0" customHeight="1">
      <c r="A891" s="153"/>
      <c r="B891" s="153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ht="21.0" customHeight="1">
      <c r="A892" s="153"/>
      <c r="B892" s="153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ht="21.0" customHeight="1">
      <c r="A893" s="153"/>
      <c r="B893" s="153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ht="21.0" customHeight="1">
      <c r="A894" s="153"/>
      <c r="B894" s="153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ht="21.0" customHeight="1">
      <c r="A895" s="153"/>
      <c r="B895" s="153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ht="21.0" customHeight="1">
      <c r="A896" s="153"/>
      <c r="B896" s="153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ht="21.0" customHeight="1">
      <c r="A897" s="153"/>
      <c r="B897" s="153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ht="21.0" customHeight="1">
      <c r="A898" s="153"/>
      <c r="B898" s="153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ht="21.0" customHeight="1">
      <c r="A899" s="153"/>
      <c r="B899" s="153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ht="21.0" customHeight="1">
      <c r="A900" s="153"/>
      <c r="B900" s="153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ht="21.0" customHeight="1">
      <c r="A901" s="153"/>
      <c r="B901" s="153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ht="21.0" customHeight="1">
      <c r="A902" s="153"/>
      <c r="B902" s="153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ht="21.0" customHeight="1">
      <c r="A903" s="153"/>
      <c r="B903" s="153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ht="21.0" customHeight="1">
      <c r="A904" s="153"/>
      <c r="B904" s="153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ht="21.0" customHeight="1">
      <c r="A905" s="153"/>
      <c r="B905" s="153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ht="21.0" customHeight="1">
      <c r="A906" s="153"/>
      <c r="B906" s="153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ht="21.0" customHeight="1">
      <c r="A907" s="153"/>
      <c r="B907" s="153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ht="21.0" customHeight="1">
      <c r="A908" s="153"/>
      <c r="B908" s="153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ht="21.0" customHeight="1">
      <c r="A909" s="153"/>
      <c r="B909" s="153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ht="21.0" customHeight="1">
      <c r="A910" s="153"/>
      <c r="B910" s="153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ht="21.0" customHeight="1">
      <c r="A911" s="153"/>
      <c r="B911" s="153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ht="21.0" customHeight="1">
      <c r="A912" s="153"/>
      <c r="B912" s="153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ht="21.0" customHeight="1">
      <c r="A913" s="153"/>
      <c r="B913" s="153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ht="21.0" customHeight="1">
      <c r="A914" s="153"/>
      <c r="B914" s="153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ht="21.0" customHeight="1">
      <c r="A915" s="153"/>
      <c r="B915" s="153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ht="21.0" customHeight="1">
      <c r="A916" s="153"/>
      <c r="B916" s="153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ht="21.0" customHeight="1">
      <c r="A917" s="153"/>
      <c r="B917" s="153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ht="21.0" customHeight="1">
      <c r="A918" s="153"/>
      <c r="B918" s="153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ht="21.0" customHeight="1">
      <c r="A919" s="153"/>
      <c r="B919" s="153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ht="21.0" customHeight="1">
      <c r="A920" s="153"/>
      <c r="B920" s="153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ht="21.0" customHeight="1">
      <c r="A921" s="153"/>
      <c r="B921" s="153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ht="21.0" customHeight="1">
      <c r="A922" s="153"/>
      <c r="B922" s="153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ht="21.0" customHeight="1">
      <c r="A923" s="153"/>
      <c r="B923" s="153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ht="21.0" customHeight="1">
      <c r="A924" s="153"/>
      <c r="B924" s="153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ht="21.0" customHeight="1">
      <c r="A925" s="153"/>
      <c r="B925" s="153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ht="21.0" customHeight="1">
      <c r="A926" s="153"/>
      <c r="B926" s="153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ht="21.0" customHeight="1">
      <c r="A927" s="153"/>
      <c r="B927" s="153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ht="21.0" customHeight="1">
      <c r="A928" s="153"/>
      <c r="B928" s="153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ht="21.0" customHeight="1">
      <c r="A929" s="153"/>
      <c r="B929" s="153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ht="21.0" customHeight="1">
      <c r="A930" s="153"/>
      <c r="B930" s="153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ht="21.0" customHeight="1">
      <c r="A931" s="153"/>
      <c r="B931" s="153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ht="21.0" customHeight="1">
      <c r="A932" s="153"/>
      <c r="B932" s="153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ht="21.0" customHeight="1">
      <c r="A933" s="153"/>
      <c r="B933" s="153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ht="21.0" customHeight="1">
      <c r="A934" s="153"/>
      <c r="B934" s="153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ht="21.0" customHeight="1">
      <c r="A935" s="153"/>
      <c r="B935" s="153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ht="21.0" customHeight="1">
      <c r="A936" s="153"/>
      <c r="B936" s="153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ht="21.0" customHeight="1">
      <c r="A937" s="153"/>
      <c r="B937" s="153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ht="21.0" customHeight="1">
      <c r="A938" s="153"/>
      <c r="B938" s="153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ht="21.0" customHeight="1">
      <c r="A939" s="153"/>
      <c r="B939" s="153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ht="21.0" customHeight="1">
      <c r="A940" s="153"/>
      <c r="B940" s="153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ht="21.0" customHeight="1">
      <c r="A941" s="153"/>
      <c r="B941" s="153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ht="21.0" customHeight="1">
      <c r="A942" s="153"/>
      <c r="B942" s="153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ht="21.0" customHeight="1">
      <c r="A943" s="153"/>
      <c r="B943" s="153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ht="21.0" customHeight="1">
      <c r="A944" s="153"/>
      <c r="B944" s="153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ht="21.0" customHeight="1">
      <c r="A945" s="153"/>
      <c r="B945" s="153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ht="21.0" customHeight="1">
      <c r="A946" s="153"/>
      <c r="B946" s="153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ht="21.0" customHeight="1">
      <c r="A947" s="153"/>
      <c r="B947" s="153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ht="21.0" customHeight="1">
      <c r="A948" s="153"/>
      <c r="B948" s="153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ht="21.0" customHeight="1">
      <c r="A949" s="153"/>
      <c r="B949" s="153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ht="21.0" customHeight="1">
      <c r="A950" s="153"/>
      <c r="B950" s="153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ht="21.0" customHeight="1">
      <c r="A951" s="153"/>
      <c r="B951" s="153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ht="21.0" customHeight="1">
      <c r="A952" s="153"/>
      <c r="B952" s="153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ht="21.0" customHeight="1">
      <c r="A953" s="153"/>
      <c r="B953" s="153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ht="21.0" customHeight="1">
      <c r="A954" s="153"/>
      <c r="B954" s="153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ht="21.0" customHeight="1">
      <c r="A955" s="153"/>
      <c r="B955" s="153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ht="21.0" customHeight="1">
      <c r="A956" s="153"/>
      <c r="B956" s="153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ht="21.0" customHeight="1">
      <c r="A957" s="153"/>
      <c r="B957" s="153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ht="21.0" customHeight="1">
      <c r="A958" s="153"/>
      <c r="B958" s="153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ht="21.0" customHeight="1">
      <c r="A959" s="153"/>
      <c r="B959" s="153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ht="21.0" customHeight="1">
      <c r="A960" s="153"/>
      <c r="B960" s="153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ht="21.0" customHeight="1">
      <c r="A961" s="153"/>
      <c r="B961" s="153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ht="21.0" customHeight="1">
      <c r="A962" s="153"/>
      <c r="B962" s="153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ht="21.0" customHeight="1">
      <c r="A963" s="153"/>
      <c r="B963" s="153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ht="21.0" customHeight="1">
      <c r="A964" s="153"/>
      <c r="B964" s="153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ht="21.0" customHeight="1">
      <c r="A965" s="153"/>
      <c r="B965" s="153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ht="21.0" customHeight="1">
      <c r="A966" s="153"/>
      <c r="B966" s="153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ht="21.0" customHeight="1">
      <c r="A967" s="153"/>
      <c r="B967" s="153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ht="21.0" customHeight="1">
      <c r="A968" s="153"/>
      <c r="B968" s="153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ht="21.0" customHeight="1">
      <c r="A969" s="153"/>
      <c r="B969" s="153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ht="21.0" customHeight="1">
      <c r="A970" s="153"/>
      <c r="B970" s="153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ht="21.0" customHeight="1">
      <c r="A971" s="153"/>
      <c r="B971" s="153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ht="21.0" customHeight="1">
      <c r="A972" s="153"/>
      <c r="B972" s="153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ht="21.0" customHeight="1">
      <c r="A973" s="153"/>
      <c r="B973" s="153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ht="21.0" customHeight="1">
      <c r="A974" s="153"/>
      <c r="B974" s="153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ht="21.0" customHeight="1">
      <c r="A975" s="153"/>
      <c r="B975" s="153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ht="21.0" customHeight="1">
      <c r="A976" s="153"/>
      <c r="B976" s="153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ht="21.0" customHeight="1">
      <c r="A977" s="153"/>
      <c r="B977" s="153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ht="21.0" customHeight="1">
      <c r="A978" s="153"/>
      <c r="B978" s="153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ht="21.0" customHeight="1">
      <c r="A979" s="153"/>
      <c r="B979" s="153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ht="21.0" customHeight="1">
      <c r="A980" s="153"/>
      <c r="B980" s="153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ht="21.0" customHeight="1">
      <c r="A981" s="153"/>
      <c r="B981" s="153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ht="21.0" customHeight="1">
      <c r="A982" s="153"/>
      <c r="B982" s="153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ht="21.0" customHeight="1">
      <c r="A983" s="153"/>
      <c r="B983" s="153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ht="21.0" customHeight="1">
      <c r="A984" s="153"/>
      <c r="B984" s="153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ht="21.0" customHeight="1">
      <c r="A985" s="153"/>
      <c r="B985" s="153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ht="21.0" customHeight="1">
      <c r="A986" s="153"/>
      <c r="B986" s="153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ht="21.0" customHeight="1">
      <c r="A987" s="153"/>
      <c r="B987" s="153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ht="21.0" customHeight="1">
      <c r="A988" s="153"/>
      <c r="B988" s="153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ht="21.0" customHeight="1">
      <c r="A989" s="153"/>
      <c r="B989" s="153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ht="21.0" customHeight="1">
      <c r="A990" s="153"/>
      <c r="B990" s="153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ht="21.0" customHeight="1">
      <c r="A991" s="153"/>
      <c r="B991" s="153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ht="21.0" customHeight="1">
      <c r="A992" s="153"/>
      <c r="B992" s="153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ht="21.0" customHeight="1">
      <c r="A993" s="153"/>
      <c r="B993" s="153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ht="21.0" customHeight="1">
      <c r="A994" s="153"/>
      <c r="B994" s="153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ht="21.0" customHeight="1">
      <c r="A995" s="153"/>
      <c r="B995" s="153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ht="21.0" customHeight="1">
      <c r="A996" s="153"/>
      <c r="B996" s="153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 ht="21.0" customHeight="1">
      <c r="A997" s="153"/>
      <c r="B997" s="153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 ht="21.0" customHeight="1">
      <c r="A998" s="153"/>
      <c r="B998" s="153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 ht="21.0" customHeight="1">
      <c r="A999" s="153"/>
      <c r="B999" s="153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 ht="21.0" customHeight="1">
      <c r="A1000" s="153"/>
      <c r="B1000" s="153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</sheetData>
  <mergeCells count="1">
    <mergeCell ref="A306:E30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2.13"/>
    <col customWidth="1" min="3" max="5" width="21.13"/>
    <col customWidth="1" min="6" max="6" width="21.5"/>
    <col customWidth="1" min="7" max="7" width="24.13"/>
    <col customWidth="1" min="8" max="8" width="34.25"/>
    <col customWidth="1" min="9" max="26" width="8.63"/>
  </cols>
  <sheetData>
    <row r="1" ht="21.0" customHeight="1">
      <c r="A1" s="175" t="s">
        <v>488</v>
      </c>
      <c r="B1" s="175" t="s">
        <v>489</v>
      </c>
      <c r="C1" s="176" t="s">
        <v>5</v>
      </c>
      <c r="D1" s="176" t="s">
        <v>490</v>
      </c>
      <c r="E1" s="176" t="s">
        <v>491</v>
      </c>
      <c r="F1" s="176" t="s">
        <v>492</v>
      </c>
      <c r="G1" s="176" t="s">
        <v>493</v>
      </c>
      <c r="H1" s="176" t="s">
        <v>494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21.0" customHeight="1">
      <c r="A2" s="77">
        <v>7.5481347E7</v>
      </c>
      <c r="B2" s="77" t="s">
        <v>55</v>
      </c>
      <c r="C2" s="67">
        <v>1.23005111E8</v>
      </c>
      <c r="D2" s="67">
        <v>1.50616681E8</v>
      </c>
      <c r="E2" s="67">
        <v>3262800.0</v>
      </c>
      <c r="F2" s="67">
        <v>0.0</v>
      </c>
      <c r="G2" s="67">
        <v>1.174227156E9</v>
      </c>
      <c r="H2" s="67">
        <v>4.11480111E8</v>
      </c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21.0" customHeight="1">
      <c r="A3" s="77">
        <v>5.5421671E7</v>
      </c>
      <c r="B3" s="77" t="s">
        <v>231</v>
      </c>
      <c r="C3" s="67">
        <v>1.1321338E8</v>
      </c>
      <c r="D3" s="67">
        <v>1.13921734E8</v>
      </c>
      <c r="E3" s="67">
        <v>0.0</v>
      </c>
      <c r="F3" s="67">
        <v>0.0</v>
      </c>
      <c r="G3" s="67">
        <v>189600.0</v>
      </c>
      <c r="H3" s="67">
        <v>4.4512199E7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21.0" customHeight="1">
      <c r="A4" s="77">
        <v>1.68455139E8</v>
      </c>
      <c r="B4" s="77" t="s">
        <v>89</v>
      </c>
      <c r="C4" s="67">
        <v>1.0170647E8</v>
      </c>
      <c r="D4" s="67">
        <v>1.18847241E8</v>
      </c>
      <c r="E4" s="67">
        <v>1487561.0</v>
      </c>
      <c r="F4" s="67">
        <v>11.0</v>
      </c>
      <c r="G4" s="67">
        <v>5.56564275E8</v>
      </c>
      <c r="H4" s="67">
        <v>1.03804448E8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21.0" customHeight="1">
      <c r="A5" s="77">
        <v>1.03336195E8</v>
      </c>
      <c r="B5" s="77" t="s">
        <v>219</v>
      </c>
      <c r="C5" s="67">
        <v>9.9544154E7</v>
      </c>
      <c r="D5" s="67">
        <v>1.00409594E8</v>
      </c>
      <c r="E5" s="67">
        <v>0.0</v>
      </c>
      <c r="F5" s="67">
        <v>0.0</v>
      </c>
      <c r="G5" s="67">
        <v>0.0</v>
      </c>
      <c r="H5" s="67">
        <v>2.43093182E8</v>
      </c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1.0" customHeight="1">
      <c r="A6" s="77">
        <v>6.496634E7</v>
      </c>
      <c r="B6" s="77" t="s">
        <v>88</v>
      </c>
      <c r="C6" s="67">
        <v>9.8623217E7</v>
      </c>
      <c r="D6" s="67">
        <v>1.2789049E8</v>
      </c>
      <c r="E6" s="67">
        <v>2404483.0</v>
      </c>
      <c r="F6" s="67">
        <v>0.0</v>
      </c>
      <c r="G6" s="67">
        <v>9.26173606E8</v>
      </c>
      <c r="H6" s="67">
        <v>6.31432903E8</v>
      </c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1.0" customHeight="1">
      <c r="A7" s="77">
        <v>6.7071592E7</v>
      </c>
      <c r="B7" s="77" t="s">
        <v>91</v>
      </c>
      <c r="C7" s="67">
        <v>8.7867764E7</v>
      </c>
      <c r="D7" s="67">
        <v>9.2829373E7</v>
      </c>
      <c r="E7" s="67">
        <v>153967.0</v>
      </c>
      <c r="F7" s="67">
        <v>2511.0</v>
      </c>
      <c r="G7" s="67">
        <v>9.19486612E8</v>
      </c>
      <c r="H7" s="67">
        <v>3.06006345E8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21.0" customHeight="1">
      <c r="A8" s="77">
        <v>7.9650085E7</v>
      </c>
      <c r="B8" s="77" t="s">
        <v>94</v>
      </c>
      <c r="C8" s="67">
        <v>8.468128E7</v>
      </c>
      <c r="D8" s="67">
        <v>9.1525715E7</v>
      </c>
      <c r="E8" s="67">
        <v>360377.0</v>
      </c>
      <c r="F8" s="67">
        <v>72477.0</v>
      </c>
      <c r="G8" s="67">
        <v>3.5853547E7</v>
      </c>
      <c r="H8" s="67">
        <v>1.68020589E8</v>
      </c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1.0" customHeight="1">
      <c r="A9" s="77">
        <v>5.5809672E7</v>
      </c>
      <c r="B9" s="77" t="s">
        <v>232</v>
      </c>
      <c r="C9" s="67">
        <v>8.4564144E7</v>
      </c>
      <c r="D9" s="67">
        <v>8.4564144E7</v>
      </c>
      <c r="E9" s="67">
        <v>0.0</v>
      </c>
      <c r="F9" s="67">
        <v>0.0</v>
      </c>
      <c r="G9" s="67">
        <v>91540.0</v>
      </c>
      <c r="H9" s="67">
        <v>2.4718174E7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21.0" customHeight="1">
      <c r="A10" s="77">
        <v>6.2576249E7</v>
      </c>
      <c r="B10" s="77" t="s">
        <v>92</v>
      </c>
      <c r="C10" s="67">
        <v>8.2142556E7</v>
      </c>
      <c r="D10" s="67">
        <v>1.01841276E8</v>
      </c>
      <c r="E10" s="67">
        <v>1139841.0</v>
      </c>
      <c r="F10" s="67">
        <v>0.0</v>
      </c>
      <c r="G10" s="67">
        <v>3.96421221E8</v>
      </c>
      <c r="H10" s="67">
        <v>5.5618989E7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21.0" customHeight="1">
      <c r="A11" s="77">
        <v>1.1726598E7</v>
      </c>
      <c r="B11" s="77" t="s">
        <v>93</v>
      </c>
      <c r="C11" s="67">
        <v>8.2130417E7</v>
      </c>
      <c r="D11" s="67">
        <v>9.4386535E7</v>
      </c>
      <c r="E11" s="67">
        <v>365166.0</v>
      </c>
      <c r="F11" s="67">
        <v>7226.0</v>
      </c>
      <c r="G11" s="67">
        <v>4.80185285E8</v>
      </c>
      <c r="H11" s="67">
        <v>4.2340544E7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21.0" customHeight="1">
      <c r="A12" s="77">
        <v>1.71701107E8</v>
      </c>
      <c r="B12" s="77" t="s">
        <v>99</v>
      </c>
      <c r="C12" s="67">
        <v>8.1628304E7</v>
      </c>
      <c r="D12" s="67">
        <v>8.5584124E7</v>
      </c>
      <c r="E12" s="67">
        <v>295225.0</v>
      </c>
      <c r="F12" s="67">
        <v>0.0</v>
      </c>
      <c r="G12" s="67">
        <v>3.6356502E7</v>
      </c>
      <c r="H12" s="67">
        <v>1.31141619E8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21.0" customHeight="1">
      <c r="A13" s="77">
        <v>1.72021868E8</v>
      </c>
      <c r="B13" s="77" t="s">
        <v>53</v>
      </c>
      <c r="C13" s="67">
        <v>8.140417E7</v>
      </c>
      <c r="D13" s="67">
        <v>8.713467E7</v>
      </c>
      <c r="E13" s="67">
        <v>824155.0</v>
      </c>
      <c r="F13" s="67">
        <v>0.0</v>
      </c>
      <c r="G13" s="67">
        <v>8.64698407E8</v>
      </c>
      <c r="H13" s="67">
        <v>2.8205106E7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21.0" customHeight="1">
      <c r="A14" s="77">
        <v>2463403.0</v>
      </c>
      <c r="B14" s="77" t="s">
        <v>90</v>
      </c>
      <c r="C14" s="67">
        <v>8.0838051E7</v>
      </c>
      <c r="D14" s="67">
        <v>9.5750851E7</v>
      </c>
      <c r="E14" s="67">
        <v>1681534.0</v>
      </c>
      <c r="F14" s="67">
        <v>0.0</v>
      </c>
      <c r="G14" s="67">
        <v>7.95295E8</v>
      </c>
      <c r="H14" s="67">
        <v>3.10800511E8</v>
      </c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21.0" customHeight="1">
      <c r="A15" s="77">
        <v>4.8741756E7</v>
      </c>
      <c r="B15" s="77" t="s">
        <v>98</v>
      </c>
      <c r="C15" s="67">
        <v>7.9357858E7</v>
      </c>
      <c r="D15" s="67">
        <v>8.7098979E7</v>
      </c>
      <c r="E15" s="67">
        <v>704677.0</v>
      </c>
      <c r="F15" s="67">
        <v>0.0</v>
      </c>
      <c r="G15" s="67">
        <v>2.35308255E8</v>
      </c>
      <c r="H15" s="67">
        <v>3.11528867E8</v>
      </c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21.0" customHeight="1">
      <c r="A16" s="77">
        <v>1.68923934E8</v>
      </c>
      <c r="B16" s="77" t="s">
        <v>234</v>
      </c>
      <c r="C16" s="67">
        <v>7.7726275E7</v>
      </c>
      <c r="D16" s="67">
        <v>9.6711004E7</v>
      </c>
      <c r="E16" s="67">
        <v>1290517.0</v>
      </c>
      <c r="F16" s="67">
        <v>441034.0</v>
      </c>
      <c r="G16" s="67">
        <v>2.84800611E8</v>
      </c>
      <c r="H16" s="67">
        <v>4.48680302E8</v>
      </c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21.0" customHeight="1">
      <c r="A17" s="77">
        <v>1.71604682E8</v>
      </c>
      <c r="B17" s="77" t="s">
        <v>105</v>
      </c>
      <c r="C17" s="67">
        <v>7.6881142E7</v>
      </c>
      <c r="D17" s="67">
        <v>7.8315325E7</v>
      </c>
      <c r="E17" s="67">
        <v>293911.0</v>
      </c>
      <c r="F17" s="67">
        <v>0.0</v>
      </c>
      <c r="G17" s="67">
        <v>3.18517989E8</v>
      </c>
      <c r="H17" s="67">
        <v>3.32010099E8</v>
      </c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21.0" customHeight="1">
      <c r="A18" s="77">
        <v>1.71879011E8</v>
      </c>
      <c r="B18" s="77" t="s">
        <v>106</v>
      </c>
      <c r="C18" s="67">
        <v>7.6623501E7</v>
      </c>
      <c r="D18" s="67">
        <v>8.3289231E7</v>
      </c>
      <c r="E18" s="67">
        <v>301474.0</v>
      </c>
      <c r="F18" s="67">
        <v>6163.0</v>
      </c>
      <c r="G18" s="67">
        <v>4.6172389E7</v>
      </c>
      <c r="H18" s="67">
        <v>4.90364041E8</v>
      </c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21.0" customHeight="1">
      <c r="A19" s="77">
        <v>1.69326547E8</v>
      </c>
      <c r="B19" s="77" t="s">
        <v>110</v>
      </c>
      <c r="C19" s="67">
        <v>7.6315125E7</v>
      </c>
      <c r="D19" s="67">
        <v>7.7842485E7</v>
      </c>
      <c r="E19" s="67">
        <v>0.0</v>
      </c>
      <c r="F19" s="67">
        <v>0.0</v>
      </c>
      <c r="G19" s="67">
        <v>327380.0</v>
      </c>
      <c r="H19" s="67">
        <v>3.3019547E7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21.0" customHeight="1">
      <c r="A20" s="77">
        <v>2.708355E7</v>
      </c>
      <c r="B20" s="77" t="s">
        <v>95</v>
      </c>
      <c r="C20" s="67">
        <v>7.5952945E7</v>
      </c>
      <c r="D20" s="67">
        <v>1.18004839E8</v>
      </c>
      <c r="E20" s="67">
        <v>1893795.0</v>
      </c>
      <c r="F20" s="67">
        <v>646.0</v>
      </c>
      <c r="G20" s="67">
        <v>2.58381337E8</v>
      </c>
      <c r="H20" s="67">
        <v>2.67135496E8</v>
      </c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21.0" customHeight="1">
      <c r="A21" s="77">
        <v>1.70708608E8</v>
      </c>
      <c r="B21" s="77" t="s">
        <v>107</v>
      </c>
      <c r="C21" s="67">
        <v>7.5747328E7</v>
      </c>
      <c r="D21" s="67">
        <v>7.9652741E7</v>
      </c>
      <c r="E21" s="67">
        <v>75920.0</v>
      </c>
      <c r="F21" s="67">
        <v>141757.0</v>
      </c>
      <c r="G21" s="67">
        <v>8.0275213E7</v>
      </c>
      <c r="H21" s="67">
        <v>5.87806237E8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21.0" customHeight="1">
      <c r="A22" s="77">
        <v>1.71927851E8</v>
      </c>
      <c r="B22" s="77" t="s">
        <v>116</v>
      </c>
      <c r="C22" s="67">
        <v>7.5177476E7</v>
      </c>
      <c r="D22" s="67">
        <v>7.5183976E7</v>
      </c>
      <c r="E22" s="67">
        <v>33967.0</v>
      </c>
      <c r="F22" s="67">
        <v>20939.0</v>
      </c>
      <c r="G22" s="67">
        <v>1.478532E7</v>
      </c>
      <c r="H22" s="67">
        <v>1.17582624E8</v>
      </c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21.0" customHeight="1">
      <c r="A23" s="77">
        <v>1.71503078E8</v>
      </c>
      <c r="B23" s="77" t="s">
        <v>101</v>
      </c>
      <c r="C23" s="67">
        <v>7.4368812E7</v>
      </c>
      <c r="D23" s="67">
        <v>8.112461E7</v>
      </c>
      <c r="E23" s="67">
        <v>662332.0</v>
      </c>
      <c r="F23" s="67">
        <v>74155.0</v>
      </c>
      <c r="G23" s="67">
        <v>4.93161035E8</v>
      </c>
      <c r="H23" s="67">
        <v>7.72836325E8</v>
      </c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21.0" customHeight="1">
      <c r="A24" s="77">
        <v>7.7394861E7</v>
      </c>
      <c r="B24" s="77" t="s">
        <v>97</v>
      </c>
      <c r="C24" s="67">
        <v>7.3844595E7</v>
      </c>
      <c r="D24" s="67">
        <v>8.6877618E7</v>
      </c>
      <c r="E24" s="67">
        <v>806017.0</v>
      </c>
      <c r="F24" s="67">
        <v>2402.0</v>
      </c>
      <c r="G24" s="67">
        <v>1.03367173E8</v>
      </c>
      <c r="H24" s="67">
        <v>6.0198546E8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21.0" customHeight="1">
      <c r="A25" s="77">
        <v>9.8107237E7</v>
      </c>
      <c r="B25" s="77" t="s">
        <v>102</v>
      </c>
      <c r="C25" s="67">
        <v>7.3836377E7</v>
      </c>
      <c r="D25" s="67">
        <v>9.8453484E7</v>
      </c>
      <c r="E25" s="67">
        <v>686755.0</v>
      </c>
      <c r="F25" s="67">
        <v>0.0</v>
      </c>
      <c r="G25" s="67">
        <v>3.44350695E8</v>
      </c>
      <c r="H25" s="67">
        <v>7.28918706E8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21.0" customHeight="1">
      <c r="A26" s="77">
        <v>1.6942777E8</v>
      </c>
      <c r="B26" s="77" t="s">
        <v>96</v>
      </c>
      <c r="C26" s="67">
        <v>7.3677928E7</v>
      </c>
      <c r="D26" s="67">
        <v>8.4735126E7</v>
      </c>
      <c r="E26" s="67">
        <v>1462044.0</v>
      </c>
      <c r="F26" s="67">
        <v>68097.0</v>
      </c>
      <c r="G26" s="67">
        <v>2.43204505E8</v>
      </c>
      <c r="H26" s="67">
        <v>8.6399013E8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21.0" customHeight="1">
      <c r="A27" s="77">
        <v>1.67614515E8</v>
      </c>
      <c r="B27" s="77" t="s">
        <v>121</v>
      </c>
      <c r="C27" s="67">
        <v>7.3440076E7</v>
      </c>
      <c r="D27" s="67">
        <v>7.3440076E7</v>
      </c>
      <c r="E27" s="67">
        <v>130757.0</v>
      </c>
      <c r="F27" s="67">
        <v>41329.0</v>
      </c>
      <c r="G27" s="67">
        <v>2.066585E7</v>
      </c>
      <c r="H27" s="67">
        <v>5.02604181E8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21.0" customHeight="1">
      <c r="A28" s="77">
        <v>1.71910225E8</v>
      </c>
      <c r="B28" s="77" t="s">
        <v>113</v>
      </c>
      <c r="C28" s="67">
        <v>7.3388594E7</v>
      </c>
      <c r="D28" s="67">
        <v>7.8440197E7</v>
      </c>
      <c r="E28" s="67">
        <v>701504.0</v>
      </c>
      <c r="F28" s="67">
        <v>0.0</v>
      </c>
      <c r="G28" s="67">
        <v>5.6817074E7</v>
      </c>
      <c r="H28" s="67">
        <v>6.34471831E8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21.0" customHeight="1">
      <c r="A29" s="77">
        <v>7.4556991E7</v>
      </c>
      <c r="B29" s="77" t="s">
        <v>108</v>
      </c>
      <c r="C29" s="67">
        <v>7.3348405E7</v>
      </c>
      <c r="D29" s="67">
        <v>8.5322721E7</v>
      </c>
      <c r="E29" s="67">
        <v>426816.0</v>
      </c>
      <c r="F29" s="67">
        <v>109282.0</v>
      </c>
      <c r="G29" s="67">
        <v>2.16954097E8</v>
      </c>
      <c r="H29" s="67">
        <v>8.4956419E7</v>
      </c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21.0" customHeight="1">
      <c r="A30" s="77">
        <v>7887352.0</v>
      </c>
      <c r="B30" s="77" t="s">
        <v>119</v>
      </c>
      <c r="C30" s="67">
        <v>7.2762353E7</v>
      </c>
      <c r="D30" s="67">
        <v>9.1785057E7</v>
      </c>
      <c r="E30" s="67">
        <v>0.0</v>
      </c>
      <c r="F30" s="67">
        <v>0.0</v>
      </c>
      <c r="G30" s="67">
        <v>0.0</v>
      </c>
      <c r="H30" s="67">
        <v>3.621468E7</v>
      </c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21.0" customHeight="1">
      <c r="A31" s="77">
        <v>1.43088559E8</v>
      </c>
      <c r="B31" s="77" t="s">
        <v>235</v>
      </c>
      <c r="C31" s="67">
        <v>7.2664913E7</v>
      </c>
      <c r="D31" s="67">
        <v>7.5435253E7</v>
      </c>
      <c r="E31" s="67">
        <v>128959.0</v>
      </c>
      <c r="F31" s="67">
        <v>24601.0</v>
      </c>
      <c r="G31" s="67">
        <v>3.7485144E7</v>
      </c>
      <c r="H31" s="67">
        <v>4.11726693E8</v>
      </c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21.0" customHeight="1">
      <c r="A32" s="77">
        <v>1.71753933E8</v>
      </c>
      <c r="B32" s="77" t="s">
        <v>111</v>
      </c>
      <c r="C32" s="67">
        <v>7.1107037E7</v>
      </c>
      <c r="D32" s="67">
        <v>7.6342555E7</v>
      </c>
      <c r="E32" s="67">
        <v>632435.0</v>
      </c>
      <c r="F32" s="67">
        <v>113151.0</v>
      </c>
      <c r="G32" s="67">
        <v>3.7139375E7</v>
      </c>
      <c r="H32" s="67">
        <v>3.20930723E8</v>
      </c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21.0" customHeight="1">
      <c r="A33" s="77">
        <v>1.6757738E8</v>
      </c>
      <c r="B33" s="77" t="s">
        <v>236</v>
      </c>
      <c r="C33" s="67">
        <v>7.0943125E7</v>
      </c>
      <c r="D33" s="67">
        <v>7.0943125E7</v>
      </c>
      <c r="E33" s="67">
        <v>0.0</v>
      </c>
      <c r="F33" s="67">
        <v>0.0</v>
      </c>
      <c r="G33" s="67">
        <v>0.0</v>
      </c>
      <c r="H33" s="67">
        <v>0.0</v>
      </c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21.0" customHeight="1">
      <c r="A34" s="77">
        <v>5.524249E7</v>
      </c>
      <c r="B34" s="77" t="s">
        <v>112</v>
      </c>
      <c r="C34" s="67">
        <v>7.0565239E7</v>
      </c>
      <c r="D34" s="67">
        <v>7.577704E7</v>
      </c>
      <c r="E34" s="67">
        <v>421263.0</v>
      </c>
      <c r="F34" s="67">
        <v>406089.0</v>
      </c>
      <c r="G34" s="67">
        <v>2.29098579E8</v>
      </c>
      <c r="H34" s="67">
        <v>4.25228998E8</v>
      </c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21.0" customHeight="1">
      <c r="A35" s="77">
        <v>1.20029911E8</v>
      </c>
      <c r="B35" s="77" t="s">
        <v>103</v>
      </c>
      <c r="C35" s="67">
        <v>6.9604038E7</v>
      </c>
      <c r="D35" s="67">
        <v>8.0168713E7</v>
      </c>
      <c r="E35" s="67">
        <v>1438633.0</v>
      </c>
      <c r="F35" s="67">
        <v>0.0</v>
      </c>
      <c r="G35" s="67">
        <v>1.75744646E8</v>
      </c>
      <c r="H35" s="67">
        <v>3.75700546E8</v>
      </c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21.0" customHeight="1">
      <c r="A36" s="77">
        <v>1.66497805E8</v>
      </c>
      <c r="B36" s="77" t="s">
        <v>109</v>
      </c>
      <c r="C36" s="67">
        <v>6.9525141E7</v>
      </c>
      <c r="D36" s="67">
        <v>7.8129034E7</v>
      </c>
      <c r="E36" s="67">
        <v>958330.0</v>
      </c>
      <c r="F36" s="67">
        <v>0.0</v>
      </c>
      <c r="G36" s="67">
        <v>1.36217754E8</v>
      </c>
      <c r="H36" s="67">
        <v>6.40680599E8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21.0" customHeight="1">
      <c r="A37" s="77">
        <v>1.70728362E8</v>
      </c>
      <c r="B37" s="77" t="s">
        <v>117</v>
      </c>
      <c r="C37" s="67">
        <v>6.9518172E7</v>
      </c>
      <c r="D37" s="67">
        <v>7.3538448E7</v>
      </c>
      <c r="E37" s="67">
        <v>619404.0</v>
      </c>
      <c r="F37" s="67">
        <v>65828.0</v>
      </c>
      <c r="G37" s="67">
        <v>2.2377958E8</v>
      </c>
      <c r="H37" s="67">
        <v>2.47604941E8</v>
      </c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21.0" customHeight="1">
      <c r="A38" s="77">
        <v>1.4361245E8</v>
      </c>
      <c r="B38" s="77" t="s">
        <v>131</v>
      </c>
      <c r="C38" s="67">
        <v>6.9072888E7</v>
      </c>
      <c r="D38" s="67">
        <v>7.7093358E7</v>
      </c>
      <c r="E38" s="67">
        <v>174573.0</v>
      </c>
      <c r="F38" s="67">
        <v>826623.0</v>
      </c>
      <c r="G38" s="67">
        <v>2.24920104E8</v>
      </c>
      <c r="H38" s="67">
        <v>1.022426404E9</v>
      </c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21.0" customHeight="1">
      <c r="A39" s="77">
        <v>1.70866748E8</v>
      </c>
      <c r="B39" s="77" t="s">
        <v>118</v>
      </c>
      <c r="C39" s="67">
        <v>6.8772995E7</v>
      </c>
      <c r="D39" s="67">
        <v>7.7501841E7</v>
      </c>
      <c r="E39" s="67">
        <v>85043.0</v>
      </c>
      <c r="F39" s="67">
        <v>479162.0</v>
      </c>
      <c r="G39" s="67">
        <v>2.02958402E8</v>
      </c>
      <c r="H39" s="67">
        <v>5.75419117E8</v>
      </c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21.0" customHeight="1">
      <c r="A40" s="77">
        <v>1.69247313E8</v>
      </c>
      <c r="B40" s="77" t="s">
        <v>100</v>
      </c>
      <c r="C40" s="67">
        <v>6.8597398E7</v>
      </c>
      <c r="D40" s="67">
        <v>8.8694155E7</v>
      </c>
      <c r="E40" s="67">
        <v>1839980.0</v>
      </c>
      <c r="F40" s="67">
        <v>0.0</v>
      </c>
      <c r="G40" s="67">
        <v>1.98237574E8</v>
      </c>
      <c r="H40" s="67">
        <v>9.10942498E8</v>
      </c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21.0" customHeight="1">
      <c r="A41" s="77">
        <v>1.77526978E8</v>
      </c>
      <c r="B41" s="77" t="s">
        <v>179</v>
      </c>
      <c r="C41" s="67">
        <v>6.7364884E7</v>
      </c>
      <c r="D41" s="67">
        <v>8.2203022E7</v>
      </c>
      <c r="E41" s="67">
        <v>1361168.0</v>
      </c>
      <c r="F41" s="67">
        <v>148954.0</v>
      </c>
      <c r="G41" s="67">
        <v>3.5648152E7</v>
      </c>
      <c r="H41" s="67">
        <v>3.4237739E7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21.0" customHeight="1">
      <c r="A42" s="77">
        <v>1.39292614E8</v>
      </c>
      <c r="B42" s="77" t="s">
        <v>120</v>
      </c>
      <c r="C42" s="67">
        <v>6.7213851E7</v>
      </c>
      <c r="D42" s="67">
        <v>7.1929159E7</v>
      </c>
      <c r="E42" s="67">
        <v>545291.0</v>
      </c>
      <c r="F42" s="67">
        <v>30498.0</v>
      </c>
      <c r="G42" s="67">
        <v>1.29766345E8</v>
      </c>
      <c r="H42" s="67">
        <v>2.35389975E8</v>
      </c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21.0" customHeight="1">
      <c r="A43" s="77">
        <v>1.5633938E8</v>
      </c>
      <c r="B43" s="77" t="s">
        <v>176</v>
      </c>
      <c r="C43" s="67">
        <v>6.655363E7</v>
      </c>
      <c r="D43" s="67">
        <v>7.3813536E7</v>
      </c>
      <c r="E43" s="67">
        <v>937717.0</v>
      </c>
      <c r="F43" s="67">
        <v>0.0</v>
      </c>
      <c r="G43" s="67">
        <v>3.3729662E7</v>
      </c>
      <c r="H43" s="67">
        <v>1.71441967E8</v>
      </c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21.0" customHeight="1">
      <c r="A44" s="77">
        <v>1.69446444E8</v>
      </c>
      <c r="B44" s="77" t="s">
        <v>185</v>
      </c>
      <c r="C44" s="67">
        <v>6.6438116E7</v>
      </c>
      <c r="D44" s="67">
        <v>7.0026453E7</v>
      </c>
      <c r="E44" s="67">
        <v>370328.0</v>
      </c>
      <c r="F44" s="67">
        <v>76358.0</v>
      </c>
      <c r="G44" s="67">
        <v>8493752.0</v>
      </c>
      <c r="H44" s="67">
        <v>2.7245184E7</v>
      </c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21.0" customHeight="1">
      <c r="A45" s="77">
        <v>6.4010776E7</v>
      </c>
      <c r="B45" s="77" t="s">
        <v>181</v>
      </c>
      <c r="C45" s="67">
        <v>6.6158351E7</v>
      </c>
      <c r="D45" s="67">
        <v>8.8354827E7</v>
      </c>
      <c r="E45" s="67">
        <v>790083.0</v>
      </c>
      <c r="F45" s="67">
        <v>7264.0</v>
      </c>
      <c r="G45" s="67">
        <v>1.2277322E7</v>
      </c>
      <c r="H45" s="67">
        <v>2.2647429E8</v>
      </c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21.0" customHeight="1">
      <c r="A46" s="77">
        <v>1.19051033E8</v>
      </c>
      <c r="B46" s="77" t="s">
        <v>241</v>
      </c>
      <c r="C46" s="67">
        <v>6.6038256E7</v>
      </c>
      <c r="D46" s="67">
        <v>7.3724068E7</v>
      </c>
      <c r="E46" s="67">
        <v>0.0</v>
      </c>
      <c r="F46" s="67">
        <v>0.0</v>
      </c>
      <c r="G46" s="67">
        <v>0.0</v>
      </c>
      <c r="H46" s="67">
        <v>3.445686E7</v>
      </c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21.0" customHeight="1">
      <c r="A47" s="77">
        <v>1.71972257E8</v>
      </c>
      <c r="B47" s="77" t="s">
        <v>115</v>
      </c>
      <c r="C47" s="67">
        <v>6.5943265E7</v>
      </c>
      <c r="D47" s="67">
        <v>7.522689E7</v>
      </c>
      <c r="E47" s="67">
        <v>670367.0</v>
      </c>
      <c r="F47" s="67">
        <v>344841.0</v>
      </c>
      <c r="G47" s="67">
        <v>9.7159995E7</v>
      </c>
      <c r="H47" s="67">
        <v>5.39556279E8</v>
      </c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21.0" customHeight="1">
      <c r="A48" s="77">
        <v>1.69461237E8</v>
      </c>
      <c r="B48" s="77" t="s">
        <v>180</v>
      </c>
      <c r="C48" s="67">
        <v>6.4054543E7</v>
      </c>
      <c r="D48" s="67">
        <v>7.7574855E7</v>
      </c>
      <c r="E48" s="67">
        <v>1049064.0</v>
      </c>
      <c r="F48" s="67">
        <v>0.0</v>
      </c>
      <c r="G48" s="67">
        <v>3.5330183E7</v>
      </c>
      <c r="H48" s="67">
        <v>1.37217157E8</v>
      </c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21.0" customHeight="1">
      <c r="A49" s="77">
        <v>1.68091444E8</v>
      </c>
      <c r="B49" s="77" t="s">
        <v>124</v>
      </c>
      <c r="C49" s="67">
        <v>6.4035361E7</v>
      </c>
      <c r="D49" s="67">
        <v>6.9212397E7</v>
      </c>
      <c r="E49" s="67">
        <v>508167.0</v>
      </c>
      <c r="F49" s="67">
        <v>908733.0</v>
      </c>
      <c r="G49" s="67">
        <v>3.1366979E7</v>
      </c>
      <c r="H49" s="67">
        <v>4.53776996E8</v>
      </c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21.0" customHeight="1">
      <c r="A50" s="77">
        <v>1.72041454E8</v>
      </c>
      <c r="B50" s="77" t="s">
        <v>104</v>
      </c>
      <c r="C50" s="67">
        <v>6.3835827E7</v>
      </c>
      <c r="D50" s="67">
        <v>7.97838E7</v>
      </c>
      <c r="E50" s="67">
        <v>2025575.0</v>
      </c>
      <c r="F50" s="67">
        <v>0.0</v>
      </c>
      <c r="G50" s="67">
        <v>2.01593853E8</v>
      </c>
      <c r="H50" s="67">
        <v>3.66745646E8</v>
      </c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21.0" customHeight="1">
      <c r="A51" s="77">
        <v>1.69446634E8</v>
      </c>
      <c r="B51" s="77" t="s">
        <v>182</v>
      </c>
      <c r="C51" s="67">
        <v>6.3158274E7</v>
      </c>
      <c r="D51" s="67">
        <v>8.0113704E7</v>
      </c>
      <c r="E51" s="67">
        <v>435150.0</v>
      </c>
      <c r="F51" s="67">
        <v>0.0</v>
      </c>
      <c r="G51" s="67">
        <v>1.0309114E7</v>
      </c>
      <c r="H51" s="67">
        <v>2.6120839E7</v>
      </c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21.0" customHeight="1">
      <c r="A52" s="77">
        <v>1.7160984E8</v>
      </c>
      <c r="B52" s="77" t="s">
        <v>114</v>
      </c>
      <c r="C52" s="67">
        <v>6.2970253E7</v>
      </c>
      <c r="D52" s="67">
        <v>7.6621567E7</v>
      </c>
      <c r="E52" s="67">
        <v>1083419.0</v>
      </c>
      <c r="F52" s="67">
        <v>100897.0</v>
      </c>
      <c r="G52" s="67">
        <v>2.19590914E8</v>
      </c>
      <c r="H52" s="67">
        <v>7.27521647E8</v>
      </c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21.0" customHeight="1">
      <c r="A53" s="77">
        <v>1.4461836E8</v>
      </c>
      <c r="B53" s="77" t="s">
        <v>125</v>
      </c>
      <c r="C53" s="67">
        <v>6.2433385E7</v>
      </c>
      <c r="D53" s="67">
        <v>7.2692154E7</v>
      </c>
      <c r="E53" s="67">
        <v>260586.0</v>
      </c>
      <c r="F53" s="67">
        <v>597399.0</v>
      </c>
      <c r="G53" s="67">
        <v>1.16234169E8</v>
      </c>
      <c r="H53" s="67">
        <v>2.05492315E8</v>
      </c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21.0" customHeight="1">
      <c r="A54" s="77">
        <v>1.71697263E8</v>
      </c>
      <c r="B54" s="77" t="s">
        <v>123</v>
      </c>
      <c r="C54" s="67">
        <v>5.986501E7</v>
      </c>
      <c r="D54" s="67">
        <v>6.9388099E7</v>
      </c>
      <c r="E54" s="67">
        <v>1156475.0</v>
      </c>
      <c r="F54" s="67">
        <v>779834.0</v>
      </c>
      <c r="G54" s="67">
        <v>2.1657427E8</v>
      </c>
      <c r="H54" s="67">
        <v>4.31202617E8</v>
      </c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21.0" customHeight="1">
      <c r="A55" s="77">
        <v>1.69672885E8</v>
      </c>
      <c r="B55" s="77" t="s">
        <v>127</v>
      </c>
      <c r="C55" s="67">
        <v>5.819547E7</v>
      </c>
      <c r="D55" s="67">
        <v>6.3201519E7</v>
      </c>
      <c r="E55" s="67">
        <v>660689.0</v>
      </c>
      <c r="F55" s="67">
        <v>88685.0</v>
      </c>
      <c r="G55" s="67">
        <v>1.23081326E8</v>
      </c>
      <c r="H55" s="67">
        <v>2.67065592E8</v>
      </c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21.0" customHeight="1">
      <c r="A56" s="77">
        <v>1.61646318E8</v>
      </c>
      <c r="B56" s="77" t="s">
        <v>126</v>
      </c>
      <c r="C56" s="67">
        <v>5.813228E7</v>
      </c>
      <c r="D56" s="67">
        <v>6.4206686E7</v>
      </c>
      <c r="E56" s="67">
        <v>526490.0</v>
      </c>
      <c r="F56" s="67">
        <v>895323.0</v>
      </c>
      <c r="G56" s="67">
        <v>5.8255005E7</v>
      </c>
      <c r="H56" s="67">
        <v>5.27012765E8</v>
      </c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21.0" customHeight="1">
      <c r="A57" s="77">
        <v>1.71827401E8</v>
      </c>
      <c r="B57" s="77" t="s">
        <v>248</v>
      </c>
      <c r="C57" s="67">
        <v>5.6351706E7</v>
      </c>
      <c r="D57" s="67">
        <v>7.2747613E7</v>
      </c>
      <c r="E57" s="67">
        <v>0.0</v>
      </c>
      <c r="F57" s="67">
        <v>0.0</v>
      </c>
      <c r="G57" s="67">
        <v>0.0</v>
      </c>
      <c r="H57" s="67">
        <v>9583904.0</v>
      </c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21.0" customHeight="1">
      <c r="A58" s="77">
        <v>1.71355737E8</v>
      </c>
      <c r="B58" s="77" t="s">
        <v>172</v>
      </c>
      <c r="C58" s="67">
        <v>5.6058626E7</v>
      </c>
      <c r="D58" s="67">
        <v>7.5060662E7</v>
      </c>
      <c r="E58" s="67">
        <v>1264519.0</v>
      </c>
      <c r="F58" s="67">
        <v>201137.0</v>
      </c>
      <c r="G58" s="67">
        <v>1.5856111E7</v>
      </c>
      <c r="H58" s="67">
        <v>2.2646518E7</v>
      </c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21.0" customHeight="1">
      <c r="A59" s="77">
        <v>8.1160164E7</v>
      </c>
      <c r="B59" s="77" t="s">
        <v>171</v>
      </c>
      <c r="C59" s="67">
        <v>5.5862886E7</v>
      </c>
      <c r="D59" s="67">
        <v>6.3845316E7</v>
      </c>
      <c r="E59" s="67">
        <v>0.0</v>
      </c>
      <c r="F59" s="67">
        <v>1822567.0</v>
      </c>
      <c r="G59" s="67">
        <v>4.6211669E7</v>
      </c>
      <c r="H59" s="67">
        <v>4.9382244E8</v>
      </c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21.0" customHeight="1">
      <c r="A60" s="77">
        <v>1.67637163E8</v>
      </c>
      <c r="B60" s="77" t="s">
        <v>251</v>
      </c>
      <c r="C60" s="67">
        <v>5.5591033E7</v>
      </c>
      <c r="D60" s="67">
        <v>6.4217827E7</v>
      </c>
      <c r="E60" s="67">
        <v>362935.0</v>
      </c>
      <c r="F60" s="67">
        <v>367800.0</v>
      </c>
      <c r="G60" s="67">
        <v>1.6034634E7</v>
      </c>
      <c r="H60" s="67">
        <v>6.384545E7</v>
      </c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21.0" customHeight="1">
      <c r="A61" s="77">
        <v>1.45846397E8</v>
      </c>
      <c r="B61" s="77" t="s">
        <v>252</v>
      </c>
      <c r="C61" s="67">
        <v>5.3338971E7</v>
      </c>
      <c r="D61" s="67">
        <v>6.4179824E7</v>
      </c>
      <c r="E61" s="67">
        <v>0.0</v>
      </c>
      <c r="F61" s="67">
        <v>0.0</v>
      </c>
      <c r="G61" s="67">
        <v>0.0</v>
      </c>
      <c r="H61" s="67">
        <v>0.0</v>
      </c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21.0" customHeight="1">
      <c r="A62" s="77">
        <v>1.36662717E8</v>
      </c>
      <c r="B62" s="77" t="s">
        <v>128</v>
      </c>
      <c r="C62" s="67">
        <v>5.2278441E7</v>
      </c>
      <c r="D62" s="67">
        <v>5.5784551E7</v>
      </c>
      <c r="E62" s="67">
        <v>0.0</v>
      </c>
      <c r="F62" s="67">
        <v>1054618.0</v>
      </c>
      <c r="G62" s="67">
        <v>2.49052307E8</v>
      </c>
      <c r="H62" s="67">
        <v>2.14618162E8</v>
      </c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21.0" customHeight="1">
      <c r="A63" s="77">
        <v>1.76044158E8</v>
      </c>
      <c r="B63" s="77" t="s">
        <v>129</v>
      </c>
      <c r="C63" s="67">
        <v>5.1668726E7</v>
      </c>
      <c r="D63" s="67">
        <v>5.5533795E7</v>
      </c>
      <c r="E63" s="67">
        <v>0.0</v>
      </c>
      <c r="F63" s="67">
        <v>1629089.0</v>
      </c>
      <c r="G63" s="67">
        <v>7.6686986E7</v>
      </c>
      <c r="H63" s="67">
        <v>8.57312584E8</v>
      </c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21.0" customHeight="1">
      <c r="A64" s="77">
        <v>7.5750446E7</v>
      </c>
      <c r="B64" s="77" t="s">
        <v>253</v>
      </c>
      <c r="C64" s="67">
        <v>4.9086695E7</v>
      </c>
      <c r="D64" s="67">
        <v>4.9141895E7</v>
      </c>
      <c r="E64" s="67">
        <v>0.0</v>
      </c>
      <c r="F64" s="67">
        <v>0.0</v>
      </c>
      <c r="G64" s="67">
        <v>0.0</v>
      </c>
      <c r="H64" s="67">
        <v>0.0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21.0" customHeight="1">
      <c r="A65" s="77">
        <v>1.6901814E8</v>
      </c>
      <c r="B65" s="77" t="s">
        <v>175</v>
      </c>
      <c r="C65" s="67">
        <v>4.8276278E7</v>
      </c>
      <c r="D65" s="67">
        <v>5.399115E7</v>
      </c>
      <c r="E65" s="67">
        <v>0.0</v>
      </c>
      <c r="F65" s="67">
        <v>1448821.0</v>
      </c>
      <c r="G65" s="67">
        <v>4.3921915E7</v>
      </c>
      <c r="H65" s="67">
        <v>4.67940588E8</v>
      </c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21.0" customHeight="1">
      <c r="A66" s="77">
        <v>1.72029365E8</v>
      </c>
      <c r="B66" s="77" t="s">
        <v>130</v>
      </c>
      <c r="C66" s="67">
        <v>4.8239452E7</v>
      </c>
      <c r="D66" s="67">
        <v>5.0695085E7</v>
      </c>
      <c r="E66" s="67">
        <v>0.0</v>
      </c>
      <c r="F66" s="67">
        <v>1023934.0</v>
      </c>
      <c r="G66" s="67">
        <v>5.3964534E7</v>
      </c>
      <c r="H66" s="67">
        <v>1.94014468E8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21.0" customHeight="1">
      <c r="A67" s="77">
        <v>1.88240539E8</v>
      </c>
      <c r="B67" s="77" t="s">
        <v>255</v>
      </c>
      <c r="C67" s="67">
        <v>4.765727E7</v>
      </c>
      <c r="D67" s="67">
        <v>4.76608E7</v>
      </c>
      <c r="E67" s="67">
        <v>0.0</v>
      </c>
      <c r="F67" s="67">
        <v>0.0</v>
      </c>
      <c r="G67" s="67">
        <v>0.0</v>
      </c>
      <c r="H67" s="67">
        <v>0.0</v>
      </c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21.0" customHeight="1">
      <c r="A68" s="77">
        <v>1.0047682E8</v>
      </c>
      <c r="B68" s="77" t="s">
        <v>169</v>
      </c>
      <c r="C68" s="67">
        <v>4.6276578E7</v>
      </c>
      <c r="D68" s="67">
        <v>5.9452824E7</v>
      </c>
      <c r="E68" s="67">
        <v>0.0</v>
      </c>
      <c r="F68" s="67">
        <v>1522325.0</v>
      </c>
      <c r="G68" s="67">
        <v>6.6929509E7</v>
      </c>
      <c r="H68" s="67">
        <v>7.97249906E8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21.0" customHeight="1">
      <c r="A69" s="77">
        <v>1.71945722E8</v>
      </c>
      <c r="B69" s="77" t="s">
        <v>170</v>
      </c>
      <c r="C69" s="67">
        <v>4.5508265E7</v>
      </c>
      <c r="D69" s="67">
        <v>5.2612963E7</v>
      </c>
      <c r="E69" s="67">
        <v>0.0</v>
      </c>
      <c r="F69" s="67">
        <v>2321210.0</v>
      </c>
      <c r="G69" s="67">
        <v>9067205.0</v>
      </c>
      <c r="H69" s="67">
        <v>4.3282795E8</v>
      </c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21.0" customHeight="1">
      <c r="A70" s="77">
        <v>8.8110635E7</v>
      </c>
      <c r="B70" s="77" t="s">
        <v>261</v>
      </c>
      <c r="C70" s="67">
        <v>4.3856187E7</v>
      </c>
      <c r="D70" s="67">
        <v>4.9220744E7</v>
      </c>
      <c r="E70" s="67">
        <v>0.0</v>
      </c>
      <c r="F70" s="67">
        <v>0.0</v>
      </c>
      <c r="G70" s="67">
        <v>0.0</v>
      </c>
      <c r="H70" s="67">
        <v>0.0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21.0" customHeight="1">
      <c r="A71" s="77">
        <v>1.67863288E8</v>
      </c>
      <c r="B71" s="77" t="s">
        <v>262</v>
      </c>
      <c r="C71" s="67">
        <v>4.3502593E7</v>
      </c>
      <c r="D71" s="67">
        <v>4.5795762E7</v>
      </c>
      <c r="E71" s="67">
        <v>0.0</v>
      </c>
      <c r="F71" s="67">
        <v>0.0</v>
      </c>
      <c r="G71" s="67">
        <v>0.0</v>
      </c>
      <c r="H71" s="67">
        <v>4.42918816E8</v>
      </c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21.0" customHeight="1">
      <c r="A72" s="77">
        <v>5.2078022E7</v>
      </c>
      <c r="B72" s="77" t="s">
        <v>177</v>
      </c>
      <c r="C72" s="67">
        <v>4.3235668E7</v>
      </c>
      <c r="D72" s="67">
        <v>4.6796079E7</v>
      </c>
      <c r="E72" s="67">
        <v>0.0</v>
      </c>
      <c r="F72" s="67">
        <v>774958.0</v>
      </c>
      <c r="G72" s="67">
        <v>1.7857202E7</v>
      </c>
      <c r="H72" s="67">
        <v>9.9543686E7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21.0" customHeight="1">
      <c r="A73" s="77">
        <v>1.18148996E8</v>
      </c>
      <c r="B73" s="77" t="s">
        <v>264</v>
      </c>
      <c r="C73" s="67">
        <v>4.310768E7</v>
      </c>
      <c r="D73" s="67">
        <v>4.3111232E7</v>
      </c>
      <c r="E73" s="67">
        <v>0.0</v>
      </c>
      <c r="F73" s="67">
        <v>0.0</v>
      </c>
      <c r="G73" s="67">
        <v>0.0</v>
      </c>
      <c r="H73" s="67">
        <v>1.70981695E8</v>
      </c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21.0" customHeight="1">
      <c r="A74" s="77">
        <v>1.44088316E8</v>
      </c>
      <c r="B74" s="77" t="s">
        <v>266</v>
      </c>
      <c r="C74" s="67">
        <v>4.2997277E7</v>
      </c>
      <c r="D74" s="67">
        <v>4.9238856E7</v>
      </c>
      <c r="E74" s="67">
        <v>0.0</v>
      </c>
      <c r="F74" s="67">
        <v>0.0</v>
      </c>
      <c r="G74" s="67">
        <v>0.0</v>
      </c>
      <c r="H74" s="67">
        <v>2.50859102E8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21.0" customHeight="1">
      <c r="A75" s="77">
        <v>1.71821621E8</v>
      </c>
      <c r="B75" s="77" t="s">
        <v>268</v>
      </c>
      <c r="C75" s="67">
        <v>4.1309052E7</v>
      </c>
      <c r="D75" s="67">
        <v>4.1309052E7</v>
      </c>
      <c r="E75" s="67">
        <v>0.0</v>
      </c>
      <c r="F75" s="67">
        <v>0.0</v>
      </c>
      <c r="G75" s="67">
        <v>0.0</v>
      </c>
      <c r="H75" s="67">
        <v>2.9319017E7</v>
      </c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21.0" customHeight="1">
      <c r="A76" s="77">
        <v>1.75650426E8</v>
      </c>
      <c r="B76" s="77" t="s">
        <v>190</v>
      </c>
      <c r="C76" s="67">
        <v>4.0286529E7</v>
      </c>
      <c r="D76" s="67">
        <v>4.2582848E7</v>
      </c>
      <c r="E76" s="67">
        <v>0.0</v>
      </c>
      <c r="F76" s="67">
        <v>95252.0</v>
      </c>
      <c r="G76" s="67">
        <v>5244392.0</v>
      </c>
      <c r="H76" s="67">
        <v>7087500.0</v>
      </c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21.0" customHeight="1">
      <c r="A77" s="77">
        <v>1.43328412E8</v>
      </c>
      <c r="B77" s="77" t="s">
        <v>270</v>
      </c>
      <c r="C77" s="67">
        <v>3.7571999E7</v>
      </c>
      <c r="D77" s="67">
        <v>3.7571999E7</v>
      </c>
      <c r="E77" s="67">
        <v>0.0</v>
      </c>
      <c r="F77" s="67">
        <v>0.0</v>
      </c>
      <c r="G77" s="67">
        <v>0.0</v>
      </c>
      <c r="H77" s="67">
        <v>0.0</v>
      </c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21.0" customHeight="1">
      <c r="A78" s="77">
        <v>6.6847214E7</v>
      </c>
      <c r="B78" s="77" t="s">
        <v>184</v>
      </c>
      <c r="C78" s="67">
        <v>3.5683229E7</v>
      </c>
      <c r="D78" s="67">
        <v>3.9591113E7</v>
      </c>
      <c r="E78" s="67">
        <v>0.0</v>
      </c>
      <c r="F78" s="67">
        <v>244994.0</v>
      </c>
      <c r="G78" s="67">
        <v>5595351.0</v>
      </c>
      <c r="H78" s="67">
        <v>0.0</v>
      </c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21.0" customHeight="1">
      <c r="A79" s="77">
        <v>1.44059309E8</v>
      </c>
      <c r="B79" s="77" t="s">
        <v>272</v>
      </c>
      <c r="C79" s="67">
        <v>3.4577836E7</v>
      </c>
      <c r="D79" s="67">
        <v>3.5716549E7</v>
      </c>
      <c r="E79" s="67">
        <v>0.0</v>
      </c>
      <c r="F79" s="67">
        <v>0.0</v>
      </c>
      <c r="G79" s="67">
        <v>0.0</v>
      </c>
      <c r="H79" s="67">
        <v>3885140.0</v>
      </c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21.0" customHeight="1">
      <c r="A80" s="77">
        <v>1.75314255E8</v>
      </c>
      <c r="B80" s="77" t="s">
        <v>273</v>
      </c>
      <c r="C80" s="67">
        <v>3.4542867E7</v>
      </c>
      <c r="D80" s="67">
        <v>3.4544391E7</v>
      </c>
      <c r="E80" s="67">
        <v>0.0</v>
      </c>
      <c r="F80" s="67">
        <v>0.0</v>
      </c>
      <c r="G80" s="67">
        <v>0.0</v>
      </c>
      <c r="H80" s="67">
        <v>1.3721139E7</v>
      </c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21.0" customHeight="1">
      <c r="A81" s="77">
        <v>1.73621774E8</v>
      </c>
      <c r="B81" s="77" t="s">
        <v>274</v>
      </c>
      <c r="C81" s="67">
        <v>3.406568E7</v>
      </c>
      <c r="D81" s="67">
        <v>3.7677495E7</v>
      </c>
      <c r="E81" s="67">
        <v>0.0</v>
      </c>
      <c r="F81" s="67">
        <v>0.0</v>
      </c>
      <c r="G81" s="67">
        <v>0.0</v>
      </c>
      <c r="H81" s="67">
        <v>2.4613351E7</v>
      </c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21.0" customHeight="1">
      <c r="A82" s="77">
        <v>1.72219261E8</v>
      </c>
      <c r="B82" s="77" t="s">
        <v>276</v>
      </c>
      <c r="C82" s="67">
        <v>3.3769899E7</v>
      </c>
      <c r="D82" s="67">
        <v>3.7772352E7</v>
      </c>
      <c r="E82" s="67">
        <v>0.0</v>
      </c>
      <c r="F82" s="67">
        <v>0.0</v>
      </c>
      <c r="G82" s="67">
        <v>0.0</v>
      </c>
      <c r="H82" s="67">
        <v>3.8875097E7</v>
      </c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21.0" customHeight="1">
      <c r="A83" s="77">
        <v>6.1881204E7</v>
      </c>
      <c r="B83" s="77" t="s">
        <v>278</v>
      </c>
      <c r="C83" s="67">
        <v>3.2521761E7</v>
      </c>
      <c r="D83" s="67">
        <v>4.405715E7</v>
      </c>
      <c r="E83" s="67">
        <v>0.0</v>
      </c>
      <c r="F83" s="67">
        <v>0.0</v>
      </c>
      <c r="G83" s="67">
        <v>0.0</v>
      </c>
      <c r="H83" s="67">
        <v>1.9130542E7</v>
      </c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21.0" customHeight="1">
      <c r="A84" s="77">
        <v>1.81734011E8</v>
      </c>
      <c r="B84" s="77" t="s">
        <v>132</v>
      </c>
      <c r="C84" s="67">
        <v>3.2392187E7</v>
      </c>
      <c r="D84" s="67">
        <v>3.6755505E7</v>
      </c>
      <c r="E84" s="67">
        <v>0.0</v>
      </c>
      <c r="F84" s="67">
        <v>1313927.0</v>
      </c>
      <c r="G84" s="67">
        <v>4.3304725E7</v>
      </c>
      <c r="H84" s="67">
        <v>3.54705346E8</v>
      </c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21.0" customHeight="1">
      <c r="A85" s="77">
        <v>1.86763477E8</v>
      </c>
      <c r="B85" s="77" t="s">
        <v>189</v>
      </c>
      <c r="C85" s="67">
        <v>3.1345668E7</v>
      </c>
      <c r="D85" s="67">
        <v>3.1345668E7</v>
      </c>
      <c r="E85" s="67">
        <v>0.0</v>
      </c>
      <c r="F85" s="67">
        <v>108744.0</v>
      </c>
      <c r="G85" s="67">
        <v>1673120.0</v>
      </c>
      <c r="H85" s="67">
        <v>3.6934376E8</v>
      </c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21.0" customHeight="1">
      <c r="A86" s="77">
        <v>1.48890128E8</v>
      </c>
      <c r="B86" s="77" t="s">
        <v>279</v>
      </c>
      <c r="C86" s="67">
        <v>3.0964283E7</v>
      </c>
      <c r="D86" s="67">
        <v>3.6389938E7</v>
      </c>
      <c r="E86" s="67">
        <v>0.0</v>
      </c>
      <c r="F86" s="67">
        <v>2000.0</v>
      </c>
      <c r="G86" s="67">
        <v>16960.0</v>
      </c>
      <c r="H86" s="67">
        <v>1943763.0</v>
      </c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21.0" customHeight="1">
      <c r="A87" s="77">
        <v>1.1363981E7</v>
      </c>
      <c r="B87" s="77" t="s">
        <v>183</v>
      </c>
      <c r="C87" s="67">
        <v>3.0714274E7</v>
      </c>
      <c r="D87" s="67">
        <v>3.2529826E7</v>
      </c>
      <c r="E87" s="67">
        <v>0.0</v>
      </c>
      <c r="F87" s="67">
        <v>375315.0</v>
      </c>
      <c r="G87" s="67">
        <v>7409496.0</v>
      </c>
      <c r="H87" s="67">
        <v>6.4769266E7</v>
      </c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21.0" customHeight="1">
      <c r="A88" s="77">
        <v>1.72508036E8</v>
      </c>
      <c r="B88" s="77" t="s">
        <v>188</v>
      </c>
      <c r="C88" s="67">
        <v>2.9656751E7</v>
      </c>
      <c r="D88" s="67">
        <v>2.9763498E7</v>
      </c>
      <c r="E88" s="67">
        <v>0.0</v>
      </c>
      <c r="F88" s="67">
        <v>207462.0</v>
      </c>
      <c r="G88" s="67">
        <v>4640010.0</v>
      </c>
      <c r="H88" s="67">
        <v>5.29317741E8</v>
      </c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21.0" customHeight="1">
      <c r="A89" s="77">
        <v>6.3513788E7</v>
      </c>
      <c r="B89" s="77" t="s">
        <v>280</v>
      </c>
      <c r="C89" s="67">
        <v>2.961012E7</v>
      </c>
      <c r="D89" s="67">
        <v>3.7547303E7</v>
      </c>
      <c r="E89" s="67">
        <v>0.0</v>
      </c>
      <c r="F89" s="67">
        <v>0.0</v>
      </c>
      <c r="G89" s="67">
        <v>0.0</v>
      </c>
      <c r="H89" s="67">
        <v>1.73817E7</v>
      </c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21.0" customHeight="1">
      <c r="A90" s="77">
        <v>9.716129E7</v>
      </c>
      <c r="B90" s="77" t="s">
        <v>282</v>
      </c>
      <c r="C90" s="67">
        <v>2.9259708E7</v>
      </c>
      <c r="D90" s="67">
        <v>2.9259708E7</v>
      </c>
      <c r="E90" s="67">
        <v>0.0</v>
      </c>
      <c r="F90" s="67">
        <v>0.0</v>
      </c>
      <c r="G90" s="67">
        <v>0.0</v>
      </c>
      <c r="H90" s="67">
        <v>6.7949581E8</v>
      </c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21.0" customHeight="1">
      <c r="A91" s="77">
        <v>1.72587132E8</v>
      </c>
      <c r="B91" s="77" t="s">
        <v>283</v>
      </c>
      <c r="C91" s="67">
        <v>2.8960113E7</v>
      </c>
      <c r="D91" s="67">
        <v>2.8960113E7</v>
      </c>
      <c r="E91" s="67">
        <v>0.0</v>
      </c>
      <c r="F91" s="67">
        <v>0.0</v>
      </c>
      <c r="G91" s="67">
        <v>0.0</v>
      </c>
      <c r="H91" s="67">
        <v>9.02224871E8</v>
      </c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21.0" customHeight="1">
      <c r="A92" s="77">
        <v>7.1189562E7</v>
      </c>
      <c r="B92" s="77" t="s">
        <v>286</v>
      </c>
      <c r="C92" s="67">
        <v>2.8765319E7</v>
      </c>
      <c r="D92" s="67">
        <v>2.8981851E7</v>
      </c>
      <c r="E92" s="67">
        <v>0.0</v>
      </c>
      <c r="F92" s="67">
        <v>60538.0</v>
      </c>
      <c r="G92" s="67">
        <v>959520.0</v>
      </c>
      <c r="H92" s="67">
        <v>0.0</v>
      </c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21.0" customHeight="1">
      <c r="A93" s="77">
        <v>7.7474302E7</v>
      </c>
      <c r="B93" s="77" t="s">
        <v>284</v>
      </c>
      <c r="C93" s="67">
        <v>2.8725074E7</v>
      </c>
      <c r="D93" s="67">
        <v>3.8100329E7</v>
      </c>
      <c r="E93" s="67">
        <v>0.0</v>
      </c>
      <c r="F93" s="67">
        <v>0.0</v>
      </c>
      <c r="G93" s="67">
        <v>0.0</v>
      </c>
      <c r="H93" s="67">
        <v>1.6675857E7</v>
      </c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21.0" customHeight="1">
      <c r="A94" s="77">
        <v>1.72730913E8</v>
      </c>
      <c r="B94" s="77" t="s">
        <v>290</v>
      </c>
      <c r="C94" s="67">
        <v>2.6684825E7</v>
      </c>
      <c r="D94" s="67">
        <v>2.6684825E7</v>
      </c>
      <c r="E94" s="67">
        <v>0.0</v>
      </c>
      <c r="F94" s="67">
        <v>0.0</v>
      </c>
      <c r="G94" s="67">
        <v>0.0</v>
      </c>
      <c r="H94" s="67">
        <v>4.62820793E8</v>
      </c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21.0" customHeight="1">
      <c r="A95" s="77">
        <v>1.84287725E8</v>
      </c>
      <c r="B95" s="77" t="s">
        <v>291</v>
      </c>
      <c r="C95" s="67">
        <v>2.665785E7</v>
      </c>
      <c r="D95" s="67">
        <v>2.665785E7</v>
      </c>
      <c r="E95" s="67">
        <v>0.0</v>
      </c>
      <c r="F95" s="67">
        <v>0.0</v>
      </c>
      <c r="G95" s="67">
        <v>0.0</v>
      </c>
      <c r="H95" s="67">
        <v>8.03820533E8</v>
      </c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21.0" customHeight="1">
      <c r="A96" s="77">
        <v>1.85391227E8</v>
      </c>
      <c r="B96" s="77" t="s">
        <v>292</v>
      </c>
      <c r="C96" s="67">
        <v>2.6041989E7</v>
      </c>
      <c r="D96" s="67">
        <v>2.6041989E7</v>
      </c>
      <c r="E96" s="67">
        <v>0.0</v>
      </c>
      <c r="F96" s="67">
        <v>0.0</v>
      </c>
      <c r="G96" s="67">
        <v>0.0</v>
      </c>
      <c r="H96" s="67">
        <v>3.44910436E8</v>
      </c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21.0" customHeight="1">
      <c r="A97" s="77">
        <v>4.8558795E7</v>
      </c>
      <c r="B97" s="77" t="s">
        <v>294</v>
      </c>
      <c r="C97" s="67">
        <v>2.5744629E7</v>
      </c>
      <c r="D97" s="67">
        <v>2.6851993E7</v>
      </c>
      <c r="E97" s="67">
        <v>0.0</v>
      </c>
      <c r="F97" s="67">
        <v>254583.0</v>
      </c>
      <c r="G97" s="67">
        <v>4974104.0</v>
      </c>
      <c r="H97" s="67">
        <v>0.0</v>
      </c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21.0" customHeight="1">
      <c r="A98" s="77">
        <v>7.9647211E7</v>
      </c>
      <c r="B98" s="77" t="s">
        <v>178</v>
      </c>
      <c r="C98" s="67">
        <v>2.5432213E7</v>
      </c>
      <c r="D98" s="67">
        <v>2.8506976E7</v>
      </c>
      <c r="E98" s="67">
        <v>0.0</v>
      </c>
      <c r="F98" s="67">
        <v>452830.0</v>
      </c>
      <c r="G98" s="67">
        <v>1.5572357E7</v>
      </c>
      <c r="H98" s="67">
        <v>1.19968139E8</v>
      </c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21.0" customHeight="1">
      <c r="A99" s="77">
        <v>6.1106312E7</v>
      </c>
      <c r="B99" s="77" t="s">
        <v>296</v>
      </c>
      <c r="C99" s="67">
        <v>2.4857079E7</v>
      </c>
      <c r="D99" s="67">
        <v>2.9759595E7</v>
      </c>
      <c r="E99" s="67">
        <v>0.0</v>
      </c>
      <c r="F99" s="67">
        <v>0.0</v>
      </c>
      <c r="G99" s="67">
        <v>0.0</v>
      </c>
      <c r="H99" s="67">
        <v>8599500.0</v>
      </c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21.0" customHeight="1">
      <c r="A100" s="77">
        <v>7.7531879E7</v>
      </c>
      <c r="B100" s="77" t="s">
        <v>297</v>
      </c>
      <c r="C100" s="67">
        <v>2.4597196E7</v>
      </c>
      <c r="D100" s="67">
        <v>2.4598112E7</v>
      </c>
      <c r="E100" s="67">
        <v>0.0</v>
      </c>
      <c r="F100" s="67">
        <v>229.0</v>
      </c>
      <c r="G100" s="67">
        <v>46860.0</v>
      </c>
      <c r="H100" s="67">
        <v>5.83002E7</v>
      </c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21.0" customHeight="1">
      <c r="A101" s="77">
        <v>1.1279231E8</v>
      </c>
      <c r="B101" s="77" t="s">
        <v>298</v>
      </c>
      <c r="C101" s="67">
        <v>2.4589959E7</v>
      </c>
      <c r="D101" s="67">
        <v>2.9449025E7</v>
      </c>
      <c r="E101" s="67">
        <v>0.0</v>
      </c>
      <c r="F101" s="67">
        <v>877057.0</v>
      </c>
      <c r="G101" s="67">
        <v>1.467793E7</v>
      </c>
      <c r="H101" s="67">
        <v>9.5784841E7</v>
      </c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21.0" customHeight="1">
      <c r="A102" s="77">
        <v>1.66394798E8</v>
      </c>
      <c r="B102" s="77" t="s">
        <v>186</v>
      </c>
      <c r="C102" s="67">
        <v>2.435683E7</v>
      </c>
      <c r="D102" s="67">
        <v>2.6383005E7</v>
      </c>
      <c r="E102" s="67">
        <v>0.0</v>
      </c>
      <c r="F102" s="67">
        <v>233771.0</v>
      </c>
      <c r="G102" s="67">
        <v>5353362.0</v>
      </c>
      <c r="H102" s="67">
        <v>1.34584873E8</v>
      </c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21.0" customHeight="1">
      <c r="A103" s="77">
        <v>1.74530133E8</v>
      </c>
      <c r="B103" s="77" t="s">
        <v>299</v>
      </c>
      <c r="C103" s="67">
        <v>2.3588988E7</v>
      </c>
      <c r="D103" s="67">
        <v>2.5913675E7</v>
      </c>
      <c r="E103" s="67">
        <v>0.0</v>
      </c>
      <c r="F103" s="67">
        <v>0.0</v>
      </c>
      <c r="G103" s="67">
        <v>0.0</v>
      </c>
      <c r="H103" s="67">
        <v>7.85981793E8</v>
      </c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21.0" customHeight="1">
      <c r="A104" s="77">
        <v>1.58392134E8</v>
      </c>
      <c r="B104" s="77" t="s">
        <v>191</v>
      </c>
      <c r="C104" s="67">
        <v>2.3522966E7</v>
      </c>
      <c r="D104" s="67">
        <v>2.4192786E7</v>
      </c>
      <c r="E104" s="67">
        <v>0.0</v>
      </c>
      <c r="F104" s="67">
        <v>91442.0</v>
      </c>
      <c r="G104" s="67">
        <v>959780.0</v>
      </c>
      <c r="H104" s="67">
        <v>1.89768461E8</v>
      </c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21.0" customHeight="1">
      <c r="A105" s="77">
        <v>1.16558461E8</v>
      </c>
      <c r="B105" s="77" t="s">
        <v>300</v>
      </c>
      <c r="C105" s="67">
        <v>2.3339067E7</v>
      </c>
      <c r="D105" s="67">
        <v>2.7639596E7</v>
      </c>
      <c r="E105" s="67">
        <v>0.0</v>
      </c>
      <c r="F105" s="67">
        <v>0.0</v>
      </c>
      <c r="G105" s="67">
        <v>31740.0</v>
      </c>
      <c r="H105" s="67">
        <v>0.0</v>
      </c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21.0" customHeight="1">
      <c r="A106" s="77">
        <v>1.90203348E8</v>
      </c>
      <c r="B106" s="77" t="s">
        <v>301</v>
      </c>
      <c r="C106" s="67">
        <v>2.2486138E7</v>
      </c>
      <c r="D106" s="67">
        <v>2.2486138E7</v>
      </c>
      <c r="E106" s="67">
        <v>0.0</v>
      </c>
      <c r="F106" s="67">
        <v>0.0</v>
      </c>
      <c r="G106" s="67">
        <v>0.0</v>
      </c>
      <c r="H106" s="67">
        <v>2.5514287E8</v>
      </c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21.0" customHeight="1">
      <c r="A107" s="77">
        <v>1.4586076E8</v>
      </c>
      <c r="B107" s="77" t="s">
        <v>302</v>
      </c>
      <c r="C107" s="67">
        <v>2.2141364E7</v>
      </c>
      <c r="D107" s="67">
        <v>2.2141364E7</v>
      </c>
      <c r="E107" s="67">
        <v>0.0</v>
      </c>
      <c r="F107" s="67">
        <v>143791.0</v>
      </c>
      <c r="G107" s="67">
        <v>4972032.0</v>
      </c>
      <c r="H107" s="67">
        <v>4.07477125E8</v>
      </c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21.0" customHeight="1">
      <c r="A108" s="77">
        <v>1.71989291E8</v>
      </c>
      <c r="B108" s="77" t="s">
        <v>303</v>
      </c>
      <c r="C108" s="67">
        <v>2.1931842E7</v>
      </c>
      <c r="D108" s="67">
        <v>2.2354749E7</v>
      </c>
      <c r="E108" s="67">
        <v>0.0</v>
      </c>
      <c r="F108" s="67">
        <v>0.0</v>
      </c>
      <c r="G108" s="67">
        <v>0.0</v>
      </c>
      <c r="H108" s="67">
        <v>1.3860575E7</v>
      </c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21.0" customHeight="1">
      <c r="A109" s="77">
        <v>1.71556791E8</v>
      </c>
      <c r="B109" s="77" t="s">
        <v>304</v>
      </c>
      <c r="C109" s="67">
        <v>2.1826009E7</v>
      </c>
      <c r="D109" s="67">
        <v>2.3541769E7</v>
      </c>
      <c r="E109" s="67">
        <v>0.0</v>
      </c>
      <c r="F109" s="67">
        <v>141425.0</v>
      </c>
      <c r="G109" s="67">
        <v>2038970.0</v>
      </c>
      <c r="H109" s="67">
        <v>4.9408131E7</v>
      </c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21.0" customHeight="1">
      <c r="A110" s="77">
        <v>1.07309959E8</v>
      </c>
      <c r="B110" s="77" t="s">
        <v>305</v>
      </c>
      <c r="C110" s="67">
        <v>2.1400764E7</v>
      </c>
      <c r="D110" s="67">
        <v>2.1400764E7</v>
      </c>
      <c r="E110" s="67">
        <v>0.0</v>
      </c>
      <c r="F110" s="67">
        <v>0.0</v>
      </c>
      <c r="G110" s="67">
        <v>3110.0</v>
      </c>
      <c r="H110" s="67">
        <v>3.87883166E8</v>
      </c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21.0" customHeight="1">
      <c r="A111" s="77">
        <v>1.73351722E8</v>
      </c>
      <c r="B111" s="77" t="s">
        <v>306</v>
      </c>
      <c r="C111" s="67">
        <v>2.0928548E7</v>
      </c>
      <c r="D111" s="67">
        <v>2.136088E7</v>
      </c>
      <c r="E111" s="67">
        <v>0.0</v>
      </c>
      <c r="F111" s="67">
        <v>0.0</v>
      </c>
      <c r="G111" s="67">
        <v>0.0</v>
      </c>
      <c r="H111" s="67">
        <v>6.06011862E8</v>
      </c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21.0" customHeight="1">
      <c r="A112" s="77">
        <v>1.24153706E8</v>
      </c>
      <c r="B112" s="77" t="s">
        <v>309</v>
      </c>
      <c r="C112" s="67">
        <v>2.0861616E7</v>
      </c>
      <c r="D112" s="67">
        <v>2.4135768E7</v>
      </c>
      <c r="E112" s="67">
        <v>0.0</v>
      </c>
      <c r="F112" s="67">
        <v>0.0</v>
      </c>
      <c r="G112" s="67">
        <v>0.0</v>
      </c>
      <c r="H112" s="67">
        <v>6063750.0</v>
      </c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21.0" customHeight="1">
      <c r="A113" s="77">
        <v>9.726265E7</v>
      </c>
      <c r="B113" s="77" t="s">
        <v>310</v>
      </c>
      <c r="C113" s="67">
        <v>2.0290579E7</v>
      </c>
      <c r="D113" s="67">
        <v>2.0290579E7</v>
      </c>
      <c r="E113" s="67">
        <v>0.0</v>
      </c>
      <c r="F113" s="67">
        <v>0.0</v>
      </c>
      <c r="G113" s="67">
        <v>0.0</v>
      </c>
      <c r="H113" s="67">
        <v>6.71033265E8</v>
      </c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21.0" customHeight="1">
      <c r="A114" s="77">
        <v>6.9795161E7</v>
      </c>
      <c r="B114" s="77" t="s">
        <v>311</v>
      </c>
      <c r="C114" s="67">
        <v>2.0242751E7</v>
      </c>
      <c r="D114" s="67">
        <v>2.3069051E7</v>
      </c>
      <c r="E114" s="67">
        <v>0.0</v>
      </c>
      <c r="F114" s="67">
        <v>4185.0</v>
      </c>
      <c r="G114" s="67">
        <v>306200.0</v>
      </c>
      <c r="H114" s="67">
        <v>1.48750087E8</v>
      </c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21.0" customHeight="1">
      <c r="A115" s="77">
        <v>7521367.0</v>
      </c>
      <c r="B115" s="77" t="s">
        <v>187</v>
      </c>
      <c r="C115" s="67">
        <v>2.0070202E7</v>
      </c>
      <c r="D115" s="67">
        <v>2.1535293E7</v>
      </c>
      <c r="E115" s="67">
        <v>0.0</v>
      </c>
      <c r="F115" s="67">
        <v>266989.0</v>
      </c>
      <c r="G115" s="67">
        <v>6409041.0</v>
      </c>
      <c r="H115" s="67">
        <v>5.6416845E7</v>
      </c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21.0" customHeight="1">
      <c r="A116" s="77">
        <v>3.5412124E7</v>
      </c>
      <c r="B116" s="77" t="s">
        <v>312</v>
      </c>
      <c r="C116" s="67">
        <v>1.9695637E7</v>
      </c>
      <c r="D116" s="67">
        <v>1.9695637E7</v>
      </c>
      <c r="E116" s="67">
        <v>0.0</v>
      </c>
      <c r="F116" s="67">
        <v>0.0</v>
      </c>
      <c r="G116" s="67">
        <v>0.0</v>
      </c>
      <c r="H116" s="67">
        <v>0.0</v>
      </c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21.0" customHeight="1">
      <c r="A117" s="77">
        <v>1.26974968E8</v>
      </c>
      <c r="B117" s="77" t="s">
        <v>313</v>
      </c>
      <c r="C117" s="67">
        <v>1.8901602E7</v>
      </c>
      <c r="D117" s="67">
        <v>1.8901602E7</v>
      </c>
      <c r="E117" s="67">
        <v>0.0</v>
      </c>
      <c r="F117" s="67">
        <v>0.0</v>
      </c>
      <c r="G117" s="67">
        <v>0.0</v>
      </c>
      <c r="H117" s="67">
        <v>1.51329322E8</v>
      </c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21.0" customHeight="1">
      <c r="A118" s="77">
        <v>9.9317493E7</v>
      </c>
      <c r="B118" s="77" t="s">
        <v>314</v>
      </c>
      <c r="C118" s="67">
        <v>1.8485405E7</v>
      </c>
      <c r="D118" s="67">
        <v>2.2876302E7</v>
      </c>
      <c r="E118" s="67">
        <v>0.0</v>
      </c>
      <c r="F118" s="67">
        <v>0.0</v>
      </c>
      <c r="G118" s="67">
        <v>0.0</v>
      </c>
      <c r="H118" s="67">
        <v>0.0</v>
      </c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21.0" customHeight="1">
      <c r="A119" s="77">
        <v>1.57465282E8</v>
      </c>
      <c r="B119" s="77" t="s">
        <v>315</v>
      </c>
      <c r="C119" s="67">
        <v>1.8335081E7</v>
      </c>
      <c r="D119" s="67">
        <v>1.8335081E7</v>
      </c>
      <c r="E119" s="67">
        <v>0.0</v>
      </c>
      <c r="F119" s="67">
        <v>0.0</v>
      </c>
      <c r="G119" s="67">
        <v>0.0</v>
      </c>
      <c r="H119" s="67">
        <v>1.30934619E8</v>
      </c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21.0" customHeight="1">
      <c r="A120" s="77">
        <v>1.78556109E8</v>
      </c>
      <c r="B120" s="77" t="s">
        <v>316</v>
      </c>
      <c r="C120" s="67">
        <v>1.831348E7</v>
      </c>
      <c r="D120" s="67">
        <v>1.9439203E7</v>
      </c>
      <c r="E120" s="67">
        <v>0.0</v>
      </c>
      <c r="F120" s="67">
        <v>0.0</v>
      </c>
      <c r="G120" s="67">
        <v>0.0</v>
      </c>
      <c r="H120" s="67">
        <v>8.89005363E8</v>
      </c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21.0" customHeight="1">
      <c r="A121" s="77">
        <v>1.59431767E8</v>
      </c>
      <c r="B121" s="77" t="s">
        <v>317</v>
      </c>
      <c r="C121" s="67">
        <v>1.8193964E7</v>
      </c>
      <c r="D121" s="67">
        <v>1.8193964E7</v>
      </c>
      <c r="E121" s="67">
        <v>0.0</v>
      </c>
      <c r="F121" s="67">
        <v>0.0</v>
      </c>
      <c r="G121" s="67">
        <v>0.0</v>
      </c>
      <c r="H121" s="67">
        <v>0.0</v>
      </c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21.0" customHeight="1">
      <c r="A122" s="77">
        <v>1.79309911E8</v>
      </c>
      <c r="B122" s="77" t="s">
        <v>318</v>
      </c>
      <c r="C122" s="67">
        <v>1.8128197E7</v>
      </c>
      <c r="D122" s="67">
        <v>1.9398216E7</v>
      </c>
      <c r="E122" s="67">
        <v>0.0</v>
      </c>
      <c r="F122" s="67">
        <v>0.0</v>
      </c>
      <c r="G122" s="67">
        <v>0.0</v>
      </c>
      <c r="H122" s="67">
        <v>6779122.0</v>
      </c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21.0" customHeight="1">
      <c r="A123" s="77">
        <v>1.0996021E8</v>
      </c>
      <c r="B123" s="77" t="s">
        <v>174</v>
      </c>
      <c r="C123" s="67">
        <v>1.7982492E7</v>
      </c>
      <c r="D123" s="67">
        <v>2.0683732E7</v>
      </c>
      <c r="E123" s="67">
        <v>0.0</v>
      </c>
      <c r="F123" s="67">
        <v>453678.0</v>
      </c>
      <c r="G123" s="67">
        <v>5645770.0</v>
      </c>
      <c r="H123" s="67">
        <v>7.7415329E7</v>
      </c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21.0" customHeight="1">
      <c r="A124" s="77">
        <v>1.44078795E8</v>
      </c>
      <c r="B124" s="77" t="s">
        <v>320</v>
      </c>
      <c r="C124" s="67">
        <v>1.7804537E7</v>
      </c>
      <c r="D124" s="67">
        <v>1.7804537E7</v>
      </c>
      <c r="E124" s="67">
        <v>0.0</v>
      </c>
      <c r="F124" s="67">
        <v>111655.0</v>
      </c>
      <c r="G124" s="67">
        <v>36700.0</v>
      </c>
      <c r="H124" s="67">
        <v>0.0</v>
      </c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21.0" customHeight="1">
      <c r="A125" s="77">
        <v>1.28213955E8</v>
      </c>
      <c r="B125" s="77" t="s">
        <v>322</v>
      </c>
      <c r="C125" s="67">
        <v>1.7176288E7</v>
      </c>
      <c r="D125" s="67">
        <v>1.7176288E7</v>
      </c>
      <c r="E125" s="67">
        <v>0.0</v>
      </c>
      <c r="F125" s="67">
        <v>0.0</v>
      </c>
      <c r="G125" s="67">
        <v>0.0</v>
      </c>
      <c r="H125" s="67">
        <v>1.4925855E8</v>
      </c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21.0" customHeight="1">
      <c r="A126" s="77">
        <v>9.397707E7</v>
      </c>
      <c r="B126" s="77" t="s">
        <v>323</v>
      </c>
      <c r="C126" s="67">
        <v>1.705482E7</v>
      </c>
      <c r="D126" s="67">
        <v>2.1907438E7</v>
      </c>
      <c r="E126" s="67">
        <v>0.0</v>
      </c>
      <c r="F126" s="67">
        <v>0.0</v>
      </c>
      <c r="G126" s="67">
        <v>0.0</v>
      </c>
      <c r="H126" s="67">
        <v>0.0</v>
      </c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21.0" customHeight="1">
      <c r="A127" s="77">
        <v>9.3652844E7</v>
      </c>
      <c r="B127" s="77" t="s">
        <v>324</v>
      </c>
      <c r="C127" s="67">
        <v>1.6792817E7</v>
      </c>
      <c r="D127" s="67">
        <v>1.6792817E7</v>
      </c>
      <c r="E127" s="67">
        <v>0.0</v>
      </c>
      <c r="F127" s="67">
        <v>0.0</v>
      </c>
      <c r="G127" s="67">
        <v>0.0</v>
      </c>
      <c r="H127" s="67">
        <v>5.61015E7</v>
      </c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21.0" customHeight="1">
      <c r="A128" s="77">
        <v>1.59425846E8</v>
      </c>
      <c r="B128" s="77" t="s">
        <v>325</v>
      </c>
      <c r="C128" s="67">
        <v>1.678518E7</v>
      </c>
      <c r="D128" s="67">
        <v>1.8112778E7</v>
      </c>
      <c r="E128" s="67">
        <v>0.0</v>
      </c>
      <c r="F128" s="67">
        <v>418400.0</v>
      </c>
      <c r="G128" s="67">
        <v>7914001.0</v>
      </c>
      <c r="H128" s="67">
        <v>1.56437868E8</v>
      </c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21.0" customHeight="1">
      <c r="A129" s="77">
        <v>1.96555794E8</v>
      </c>
      <c r="B129" s="77" t="s">
        <v>326</v>
      </c>
      <c r="C129" s="67">
        <v>1.6407632E7</v>
      </c>
      <c r="D129" s="67">
        <v>1.6407632E7</v>
      </c>
      <c r="E129" s="67">
        <v>0.0</v>
      </c>
      <c r="F129" s="67">
        <v>0.0</v>
      </c>
      <c r="G129" s="67">
        <v>0.0</v>
      </c>
      <c r="H129" s="67">
        <v>6.73591228E8</v>
      </c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21.0" customHeight="1">
      <c r="A130" s="77">
        <v>1.78759749E8</v>
      </c>
      <c r="B130" s="77" t="s">
        <v>327</v>
      </c>
      <c r="C130" s="67">
        <v>1.6068098E7</v>
      </c>
      <c r="D130" s="67">
        <v>1.6068098E7</v>
      </c>
      <c r="E130" s="67">
        <v>0.0</v>
      </c>
      <c r="F130" s="67">
        <v>0.0</v>
      </c>
      <c r="G130" s="67">
        <v>0.0</v>
      </c>
      <c r="H130" s="67">
        <v>1.5498E7</v>
      </c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21.0" customHeight="1">
      <c r="A131" s="77">
        <v>1.44003473E8</v>
      </c>
      <c r="B131" s="77" t="s">
        <v>328</v>
      </c>
      <c r="C131" s="67">
        <v>1.5893551E7</v>
      </c>
      <c r="D131" s="67">
        <v>1.5893551E7</v>
      </c>
      <c r="E131" s="67">
        <v>0.0</v>
      </c>
      <c r="F131" s="67">
        <v>0.0</v>
      </c>
      <c r="G131" s="67">
        <v>0.0</v>
      </c>
      <c r="H131" s="67">
        <v>6.87292097E8</v>
      </c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21.0" customHeight="1">
      <c r="A132" s="77">
        <v>1.90202885E8</v>
      </c>
      <c r="B132" s="77" t="s">
        <v>329</v>
      </c>
      <c r="C132" s="67">
        <v>1.5737458E7</v>
      </c>
      <c r="D132" s="67">
        <v>1.5737458E7</v>
      </c>
      <c r="E132" s="67">
        <v>0.0</v>
      </c>
      <c r="F132" s="67">
        <v>0.0</v>
      </c>
      <c r="G132" s="67">
        <v>0.0</v>
      </c>
      <c r="H132" s="67">
        <v>2.99557759E8</v>
      </c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21.0" customHeight="1">
      <c r="A133" s="77">
        <v>1.44017958E8</v>
      </c>
      <c r="B133" s="77" t="s">
        <v>330</v>
      </c>
      <c r="C133" s="67">
        <v>1.5124451E7</v>
      </c>
      <c r="D133" s="67">
        <v>1.5124451E7</v>
      </c>
      <c r="E133" s="67">
        <v>0.0</v>
      </c>
      <c r="F133" s="67">
        <v>0.0</v>
      </c>
      <c r="G133" s="67">
        <v>164980.0</v>
      </c>
      <c r="H133" s="67">
        <v>3.8931863E8</v>
      </c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21.0" customHeight="1">
      <c r="A134" s="77">
        <v>1.31105326E8</v>
      </c>
      <c r="B134" s="77" t="s">
        <v>331</v>
      </c>
      <c r="C134" s="67">
        <v>1.5084755E7</v>
      </c>
      <c r="D134" s="67">
        <v>1.5084755E7</v>
      </c>
      <c r="E134" s="67">
        <v>0.0</v>
      </c>
      <c r="F134" s="67">
        <v>0.0</v>
      </c>
      <c r="G134" s="67">
        <v>0.0</v>
      </c>
      <c r="H134" s="67">
        <v>1.40847525E8</v>
      </c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21.0" customHeight="1">
      <c r="A135" s="77">
        <v>1.92309473E8</v>
      </c>
      <c r="B135" s="77" t="s">
        <v>332</v>
      </c>
      <c r="C135" s="67">
        <v>1.5064327E7</v>
      </c>
      <c r="D135" s="67">
        <v>1.5064327E7</v>
      </c>
      <c r="E135" s="67">
        <v>0.0</v>
      </c>
      <c r="F135" s="67">
        <v>0.0</v>
      </c>
      <c r="G135" s="67">
        <v>0.0</v>
      </c>
      <c r="H135" s="67">
        <v>4.28756227E8</v>
      </c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21.0" customHeight="1">
      <c r="A136" s="77">
        <v>1.79651678E8</v>
      </c>
      <c r="B136" s="77" t="s">
        <v>333</v>
      </c>
      <c r="C136" s="67">
        <v>1.4985931E7</v>
      </c>
      <c r="D136" s="67">
        <v>1.5220395E7</v>
      </c>
      <c r="E136" s="67">
        <v>0.0</v>
      </c>
      <c r="F136" s="67">
        <v>63916.0</v>
      </c>
      <c r="G136" s="67">
        <v>1598807.0</v>
      </c>
      <c r="H136" s="67">
        <v>2.74006975E8</v>
      </c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21.0" customHeight="1">
      <c r="A137" s="77">
        <v>1.92376835E8</v>
      </c>
      <c r="B137" s="77" t="s">
        <v>334</v>
      </c>
      <c r="C137" s="67">
        <v>1.4950141E7</v>
      </c>
      <c r="D137" s="67">
        <v>1.4950141E7</v>
      </c>
      <c r="E137" s="67">
        <v>0.0</v>
      </c>
      <c r="F137" s="67">
        <v>0.0</v>
      </c>
      <c r="G137" s="67">
        <v>0.0</v>
      </c>
      <c r="H137" s="67">
        <v>4.37972069E8</v>
      </c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21.0" customHeight="1">
      <c r="A138" s="77">
        <v>1.83302822E8</v>
      </c>
      <c r="B138" s="77" t="s">
        <v>335</v>
      </c>
      <c r="C138" s="67">
        <v>1.485746E7</v>
      </c>
      <c r="D138" s="67">
        <v>1.6031547E7</v>
      </c>
      <c r="E138" s="67">
        <v>0.0</v>
      </c>
      <c r="F138" s="67">
        <v>0.0</v>
      </c>
      <c r="G138" s="67">
        <v>0.0</v>
      </c>
      <c r="H138" s="67">
        <v>0.0</v>
      </c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21.0" customHeight="1">
      <c r="A139" s="77">
        <v>9.5732009E7</v>
      </c>
      <c r="B139" s="77" t="s">
        <v>336</v>
      </c>
      <c r="C139" s="67">
        <v>1.4721148E7</v>
      </c>
      <c r="D139" s="67">
        <v>1.472984E7</v>
      </c>
      <c r="E139" s="67">
        <v>0.0</v>
      </c>
      <c r="F139" s="67">
        <v>0.0</v>
      </c>
      <c r="G139" s="67">
        <v>5922.0</v>
      </c>
      <c r="H139" s="67">
        <v>4.193501E8</v>
      </c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21.0" customHeight="1">
      <c r="A140" s="77">
        <v>9.0073079E7</v>
      </c>
      <c r="B140" s="77" t="s">
        <v>338</v>
      </c>
      <c r="C140" s="67">
        <v>1.4549378E7</v>
      </c>
      <c r="D140" s="67">
        <v>1.5303443E7</v>
      </c>
      <c r="E140" s="67">
        <v>0.0</v>
      </c>
      <c r="F140" s="67">
        <v>0.0</v>
      </c>
      <c r="G140" s="67">
        <v>0.0</v>
      </c>
      <c r="H140" s="67">
        <v>1.63949625E8</v>
      </c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21.0" customHeight="1">
      <c r="A141" s="77">
        <v>6.8375667E7</v>
      </c>
      <c r="B141" s="77" t="s">
        <v>339</v>
      </c>
      <c r="C141" s="67">
        <v>1.4333942E7</v>
      </c>
      <c r="D141" s="67">
        <v>1.4333942E7</v>
      </c>
      <c r="E141" s="67">
        <v>0.0</v>
      </c>
      <c r="F141" s="67">
        <v>0.0</v>
      </c>
      <c r="G141" s="67">
        <v>0.0</v>
      </c>
      <c r="H141" s="67">
        <v>1.519245E7</v>
      </c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21.0" customHeight="1">
      <c r="A142" s="77">
        <v>1.71127947E8</v>
      </c>
      <c r="B142" s="77" t="s">
        <v>340</v>
      </c>
      <c r="C142" s="67">
        <v>1.4286247E7</v>
      </c>
      <c r="D142" s="67">
        <v>1.915039E7</v>
      </c>
      <c r="E142" s="67">
        <v>0.0</v>
      </c>
      <c r="F142" s="67">
        <v>0.0</v>
      </c>
      <c r="G142" s="67">
        <v>0.0</v>
      </c>
      <c r="H142" s="67">
        <v>1.3797E7</v>
      </c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21.0" customHeight="1">
      <c r="A143" s="77">
        <v>1.86292814E8</v>
      </c>
      <c r="B143" s="77" t="s">
        <v>342</v>
      </c>
      <c r="C143" s="67">
        <v>1.4208886E7</v>
      </c>
      <c r="D143" s="67">
        <v>1.4208886E7</v>
      </c>
      <c r="E143" s="67">
        <v>0.0</v>
      </c>
      <c r="F143" s="67">
        <v>0.0</v>
      </c>
      <c r="G143" s="67">
        <v>0.0</v>
      </c>
      <c r="H143" s="67">
        <v>0.0</v>
      </c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21.0" customHeight="1">
      <c r="A144" s="77">
        <v>6.7692991E7</v>
      </c>
      <c r="B144" s="77" t="s">
        <v>343</v>
      </c>
      <c r="C144" s="67">
        <v>1.4175071E7</v>
      </c>
      <c r="D144" s="67">
        <v>1.8500093E7</v>
      </c>
      <c r="E144" s="67">
        <v>0.0</v>
      </c>
      <c r="F144" s="67">
        <v>0.0</v>
      </c>
      <c r="G144" s="67">
        <v>0.0</v>
      </c>
      <c r="H144" s="67">
        <v>5.3067E7</v>
      </c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21.0" customHeight="1">
      <c r="A145" s="77">
        <v>1.51248241E8</v>
      </c>
      <c r="B145" s="77" t="s">
        <v>344</v>
      </c>
      <c r="C145" s="67">
        <v>1.4088221E7</v>
      </c>
      <c r="D145" s="67">
        <v>1.8033007E7</v>
      </c>
      <c r="E145" s="67">
        <v>0.0</v>
      </c>
      <c r="F145" s="67">
        <v>0.0</v>
      </c>
      <c r="G145" s="67">
        <v>0.0</v>
      </c>
      <c r="H145" s="67">
        <v>3.08796744E8</v>
      </c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21.0" customHeight="1">
      <c r="A146" s="77">
        <v>1.73868631E8</v>
      </c>
      <c r="B146" s="77" t="s">
        <v>345</v>
      </c>
      <c r="C146" s="67">
        <v>1.4020581E7</v>
      </c>
      <c r="D146" s="67">
        <v>1.4020581E7</v>
      </c>
      <c r="E146" s="67">
        <v>0.0</v>
      </c>
      <c r="F146" s="67">
        <v>0.0</v>
      </c>
      <c r="G146" s="67">
        <v>0.0</v>
      </c>
      <c r="H146" s="67">
        <v>1.30168439E8</v>
      </c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21.0" customHeight="1">
      <c r="A147" s="77">
        <v>1.73962432E8</v>
      </c>
      <c r="B147" s="77" t="s">
        <v>346</v>
      </c>
      <c r="C147" s="67">
        <v>1.3979303E7</v>
      </c>
      <c r="D147" s="67">
        <v>1.3979303E7</v>
      </c>
      <c r="E147" s="67">
        <v>0.0</v>
      </c>
      <c r="F147" s="67">
        <v>0.0</v>
      </c>
      <c r="G147" s="67">
        <v>0.0</v>
      </c>
      <c r="H147" s="67">
        <v>1.24053164E8</v>
      </c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21.0" customHeight="1">
      <c r="A148" s="77">
        <v>8.9432154E7</v>
      </c>
      <c r="B148" s="77" t="s">
        <v>347</v>
      </c>
      <c r="C148" s="67">
        <v>1.3859936E7</v>
      </c>
      <c r="D148" s="67">
        <v>1.5793803E7</v>
      </c>
      <c r="E148" s="67">
        <v>0.0</v>
      </c>
      <c r="F148" s="67">
        <v>0.0</v>
      </c>
      <c r="G148" s="67">
        <v>0.0</v>
      </c>
      <c r="H148" s="67">
        <v>1.669269E8</v>
      </c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21.0" customHeight="1">
      <c r="A149" s="77">
        <v>1.5265234E8</v>
      </c>
      <c r="B149" s="77" t="s">
        <v>348</v>
      </c>
      <c r="C149" s="67">
        <v>1.3800334E7</v>
      </c>
      <c r="D149" s="67">
        <v>1.3800334E7</v>
      </c>
      <c r="E149" s="67">
        <v>0.0</v>
      </c>
      <c r="F149" s="67">
        <v>0.0</v>
      </c>
      <c r="G149" s="67">
        <v>0.0</v>
      </c>
      <c r="H149" s="67">
        <v>1.66665975E8</v>
      </c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21.0" customHeight="1">
      <c r="A150" s="77">
        <v>1.52653457E8</v>
      </c>
      <c r="B150" s="77" t="s">
        <v>349</v>
      </c>
      <c r="C150" s="67">
        <v>1.3485741E7</v>
      </c>
      <c r="D150" s="67">
        <v>1.3485741E7</v>
      </c>
      <c r="E150" s="67">
        <v>0.0</v>
      </c>
      <c r="F150" s="67">
        <v>0.0</v>
      </c>
      <c r="G150" s="67">
        <v>0.0</v>
      </c>
      <c r="H150" s="67">
        <v>1.6452135E8</v>
      </c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21.0" customHeight="1">
      <c r="A151" s="77">
        <v>8.7531547E7</v>
      </c>
      <c r="B151" s="77" t="s">
        <v>350</v>
      </c>
      <c r="C151" s="67">
        <v>1.3436417E7</v>
      </c>
      <c r="D151" s="67">
        <v>1.3436417E7</v>
      </c>
      <c r="E151" s="67">
        <v>0.0</v>
      </c>
      <c r="F151" s="67">
        <v>0.0</v>
      </c>
      <c r="G151" s="67">
        <v>0.0</v>
      </c>
      <c r="H151" s="67">
        <v>1.5434055E8</v>
      </c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21.0" customHeight="1">
      <c r="A152" s="77">
        <v>2.12123377E8</v>
      </c>
      <c r="B152" s="77" t="s">
        <v>351</v>
      </c>
      <c r="C152" s="67">
        <v>1.3417511E7</v>
      </c>
      <c r="D152" s="67">
        <v>1.3417511E7</v>
      </c>
      <c r="E152" s="67">
        <v>0.0</v>
      </c>
      <c r="F152" s="67">
        <v>0.0</v>
      </c>
      <c r="G152" s="67">
        <v>0.0</v>
      </c>
      <c r="H152" s="67">
        <v>0.0</v>
      </c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21.0" customHeight="1">
      <c r="A153" s="77">
        <v>1.72151323E8</v>
      </c>
      <c r="B153" s="77" t="s">
        <v>352</v>
      </c>
      <c r="C153" s="67">
        <v>1.3415932E7</v>
      </c>
      <c r="D153" s="67">
        <v>1.3415932E7</v>
      </c>
      <c r="E153" s="67">
        <v>0.0</v>
      </c>
      <c r="F153" s="67">
        <v>0.0</v>
      </c>
      <c r="G153" s="67">
        <v>0.0</v>
      </c>
      <c r="H153" s="67">
        <v>9.0454717E7</v>
      </c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21.0" customHeight="1">
      <c r="A154" s="77">
        <v>1.77721232E8</v>
      </c>
      <c r="B154" s="77" t="s">
        <v>353</v>
      </c>
      <c r="C154" s="67">
        <v>1.3229571E7</v>
      </c>
      <c r="D154" s="67">
        <v>1.3229571E7</v>
      </c>
      <c r="E154" s="67">
        <v>0.0</v>
      </c>
      <c r="F154" s="67">
        <v>0.0</v>
      </c>
      <c r="G154" s="67">
        <v>0.0</v>
      </c>
      <c r="H154" s="67">
        <v>1.1052055E7</v>
      </c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21.0" customHeight="1">
      <c r="A155" s="77">
        <v>1.86991365E8</v>
      </c>
      <c r="B155" s="77" t="s">
        <v>354</v>
      </c>
      <c r="C155" s="67">
        <v>1.3057647E7</v>
      </c>
      <c r="D155" s="67">
        <v>1.3057647E7</v>
      </c>
      <c r="E155" s="67">
        <v>0.0</v>
      </c>
      <c r="F155" s="67">
        <v>0.0</v>
      </c>
      <c r="G155" s="67">
        <v>0.0</v>
      </c>
      <c r="H155" s="67">
        <v>2.37971357E8</v>
      </c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21.0" customHeight="1">
      <c r="A156" s="77">
        <v>1.86999076E8</v>
      </c>
      <c r="B156" s="77" t="s">
        <v>355</v>
      </c>
      <c r="C156" s="67">
        <v>1.2842209E7</v>
      </c>
      <c r="D156" s="67">
        <v>1.2842209E7</v>
      </c>
      <c r="E156" s="67">
        <v>0.0</v>
      </c>
      <c r="F156" s="67">
        <v>0.0</v>
      </c>
      <c r="G156" s="67">
        <v>0.0</v>
      </c>
      <c r="H156" s="67">
        <v>2.32554183E8</v>
      </c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21.0" customHeight="1">
      <c r="A157" s="77">
        <v>1.77225071E8</v>
      </c>
      <c r="B157" s="77" t="s">
        <v>356</v>
      </c>
      <c r="C157" s="67">
        <v>1.2697169E7</v>
      </c>
      <c r="D157" s="67">
        <v>1.8230339E7</v>
      </c>
      <c r="E157" s="67">
        <v>0.0</v>
      </c>
      <c r="F157" s="67">
        <v>0.0</v>
      </c>
      <c r="G157" s="67">
        <v>0.0</v>
      </c>
      <c r="H157" s="67">
        <v>1.7035808E7</v>
      </c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21.0" customHeight="1">
      <c r="A158" s="77">
        <v>7.7397858E7</v>
      </c>
      <c r="B158" s="77" t="s">
        <v>357</v>
      </c>
      <c r="C158" s="67">
        <v>1.2654803E7</v>
      </c>
      <c r="D158" s="67">
        <v>1.3413179E7</v>
      </c>
      <c r="E158" s="67">
        <v>0.0</v>
      </c>
      <c r="F158" s="67">
        <v>0.0</v>
      </c>
      <c r="G158" s="67">
        <v>201900.0</v>
      </c>
      <c r="H158" s="67">
        <v>6967800.0</v>
      </c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21.0" customHeight="1">
      <c r="A159" s="77">
        <v>8.7273183E7</v>
      </c>
      <c r="B159" s="77" t="s">
        <v>358</v>
      </c>
      <c r="C159" s="67">
        <v>1.2584462E7</v>
      </c>
      <c r="D159" s="67">
        <v>1.2584462E7</v>
      </c>
      <c r="E159" s="67">
        <v>0.0</v>
      </c>
      <c r="F159" s="67">
        <v>0.0</v>
      </c>
      <c r="G159" s="67">
        <v>0.0</v>
      </c>
      <c r="H159" s="67">
        <v>1.5811005E8</v>
      </c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21.0" customHeight="1">
      <c r="A160" s="77">
        <v>1.84527302E8</v>
      </c>
      <c r="B160" s="77" t="s">
        <v>359</v>
      </c>
      <c r="C160" s="67">
        <v>1.251393E7</v>
      </c>
      <c r="D160" s="67">
        <v>1.2877994E7</v>
      </c>
      <c r="E160" s="67">
        <v>0.0</v>
      </c>
      <c r="F160" s="67">
        <v>143816.0</v>
      </c>
      <c r="G160" s="67">
        <v>88300.0</v>
      </c>
      <c r="H160" s="67">
        <v>0.0</v>
      </c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21.0" customHeight="1">
      <c r="A161" s="77">
        <v>6.5702055E7</v>
      </c>
      <c r="B161" s="77" t="s">
        <v>360</v>
      </c>
      <c r="C161" s="67">
        <v>1.2454803E7</v>
      </c>
      <c r="D161" s="67">
        <v>1.2454803E7</v>
      </c>
      <c r="E161" s="67">
        <v>0.0</v>
      </c>
      <c r="F161" s="67">
        <v>0.0</v>
      </c>
      <c r="G161" s="67">
        <v>0.0</v>
      </c>
      <c r="H161" s="67">
        <v>1.4344644E7</v>
      </c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21.0" customHeight="1">
      <c r="A162" s="77">
        <v>1.92778268E8</v>
      </c>
      <c r="B162" s="77" t="s">
        <v>361</v>
      </c>
      <c r="C162" s="67">
        <v>1.2426162E7</v>
      </c>
      <c r="D162" s="67">
        <v>1.2426162E7</v>
      </c>
      <c r="E162" s="67">
        <v>0.0</v>
      </c>
      <c r="F162" s="67">
        <v>0.0</v>
      </c>
      <c r="G162" s="67">
        <v>0.0</v>
      </c>
      <c r="H162" s="67">
        <v>3.7898175E7</v>
      </c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21.0" customHeight="1">
      <c r="A163" s="77">
        <v>1.04333804E8</v>
      </c>
      <c r="B163" s="77" t="s">
        <v>362</v>
      </c>
      <c r="C163" s="67">
        <v>1.2410395E7</v>
      </c>
      <c r="D163" s="67">
        <v>1.2410395E7</v>
      </c>
      <c r="E163" s="67">
        <v>0.0</v>
      </c>
      <c r="F163" s="67">
        <v>0.0</v>
      </c>
      <c r="G163" s="67">
        <v>0.0</v>
      </c>
      <c r="H163" s="67">
        <v>5906250.0</v>
      </c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21.0" customHeight="1">
      <c r="A164" s="77">
        <v>1.38285772E8</v>
      </c>
      <c r="B164" s="77" t="s">
        <v>363</v>
      </c>
      <c r="C164" s="67">
        <v>1.2267324E7</v>
      </c>
      <c r="D164" s="67">
        <v>1.3132081E7</v>
      </c>
      <c r="E164" s="67">
        <v>0.0</v>
      </c>
      <c r="F164" s="67">
        <v>0.0</v>
      </c>
      <c r="G164" s="67">
        <v>0.0</v>
      </c>
      <c r="H164" s="67">
        <v>1.5039045E8</v>
      </c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21.0" customHeight="1">
      <c r="A165" s="77">
        <v>1.6604384E8</v>
      </c>
      <c r="B165" s="77" t="s">
        <v>364</v>
      </c>
      <c r="C165" s="67">
        <v>1.2160344E7</v>
      </c>
      <c r="D165" s="67">
        <v>1.2160344E7</v>
      </c>
      <c r="E165" s="67">
        <v>0.0</v>
      </c>
      <c r="F165" s="67">
        <v>0.0</v>
      </c>
      <c r="G165" s="67">
        <v>0.0</v>
      </c>
      <c r="H165" s="67">
        <v>1.75544775E8</v>
      </c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21.0" customHeight="1">
      <c r="A166" s="77">
        <v>1.27971579E8</v>
      </c>
      <c r="B166" s="77" t="s">
        <v>365</v>
      </c>
      <c r="C166" s="67">
        <v>1.2133441E7</v>
      </c>
      <c r="D166" s="67">
        <v>1.2133441E7</v>
      </c>
      <c r="E166" s="67">
        <v>0.0</v>
      </c>
      <c r="F166" s="67">
        <v>0.0</v>
      </c>
      <c r="G166" s="67">
        <v>0.0</v>
      </c>
      <c r="H166" s="67">
        <v>4.36413E7</v>
      </c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21.0" customHeight="1">
      <c r="A167" s="77">
        <v>1.81171114E8</v>
      </c>
      <c r="B167" s="77" t="s">
        <v>366</v>
      </c>
      <c r="C167" s="67">
        <v>1.1968181E7</v>
      </c>
      <c r="D167" s="67">
        <v>1.1968181E7</v>
      </c>
      <c r="E167" s="67">
        <v>0.0</v>
      </c>
      <c r="F167" s="67">
        <v>0.0</v>
      </c>
      <c r="G167" s="67">
        <v>0.0</v>
      </c>
      <c r="H167" s="67">
        <v>1.22808347E8</v>
      </c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21.0" customHeight="1">
      <c r="A168" s="77">
        <v>9.6284047E7</v>
      </c>
      <c r="B168" s="77" t="s">
        <v>367</v>
      </c>
      <c r="C168" s="67">
        <v>1.1926141E7</v>
      </c>
      <c r="D168" s="67">
        <v>1.1926141E7</v>
      </c>
      <c r="E168" s="67">
        <v>0.0</v>
      </c>
      <c r="F168" s="67">
        <v>0.0</v>
      </c>
      <c r="G168" s="67">
        <v>0.0</v>
      </c>
      <c r="H168" s="67">
        <v>4.6328617E7</v>
      </c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21.0" customHeight="1">
      <c r="A169" s="77">
        <v>1.81177912E8</v>
      </c>
      <c r="B169" s="77" t="s">
        <v>368</v>
      </c>
      <c r="C169" s="67">
        <v>1.1919395E7</v>
      </c>
      <c r="D169" s="67">
        <v>1.1919395E7</v>
      </c>
      <c r="E169" s="67">
        <v>0.0</v>
      </c>
      <c r="F169" s="67">
        <v>0.0</v>
      </c>
      <c r="G169" s="67">
        <v>0.0</v>
      </c>
      <c r="H169" s="67">
        <v>1.10587452E8</v>
      </c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21.0" customHeight="1">
      <c r="A170" s="77">
        <v>1.76614955E8</v>
      </c>
      <c r="B170" s="77" t="s">
        <v>369</v>
      </c>
      <c r="C170" s="67">
        <v>1.1908348E7</v>
      </c>
      <c r="D170" s="67">
        <v>1.6771892E7</v>
      </c>
      <c r="E170" s="67">
        <v>0.0</v>
      </c>
      <c r="F170" s="67">
        <v>673944.0</v>
      </c>
      <c r="G170" s="67">
        <v>1798923.0</v>
      </c>
      <c r="H170" s="67">
        <v>2.6158387E7</v>
      </c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21.0" customHeight="1">
      <c r="A171" s="77">
        <v>1.28382827E8</v>
      </c>
      <c r="B171" s="77" t="s">
        <v>370</v>
      </c>
      <c r="C171" s="67">
        <v>1.1710868E7</v>
      </c>
      <c r="D171" s="67">
        <v>1.5205228E7</v>
      </c>
      <c r="E171" s="67">
        <v>0.0</v>
      </c>
      <c r="F171" s="67">
        <v>0.0</v>
      </c>
      <c r="G171" s="67">
        <v>0.0</v>
      </c>
      <c r="H171" s="67">
        <v>1.47958125E8</v>
      </c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21.0" customHeight="1">
      <c r="A172" s="77">
        <v>9.5732933E7</v>
      </c>
      <c r="B172" s="77" t="s">
        <v>373</v>
      </c>
      <c r="C172" s="67">
        <v>1.1588709E7</v>
      </c>
      <c r="D172" s="67">
        <v>1.1588709E7</v>
      </c>
      <c r="E172" s="67">
        <v>0.0</v>
      </c>
      <c r="F172" s="67">
        <v>0.0</v>
      </c>
      <c r="G172" s="67">
        <v>0.0</v>
      </c>
      <c r="H172" s="67">
        <v>2.10480432E8</v>
      </c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21.0" customHeight="1">
      <c r="A173" s="77">
        <v>6.9287686E7</v>
      </c>
      <c r="B173" s="77" t="s">
        <v>374</v>
      </c>
      <c r="C173" s="67">
        <v>1.1441362E7</v>
      </c>
      <c r="D173" s="67">
        <v>1.1441362E7</v>
      </c>
      <c r="E173" s="67">
        <v>0.0</v>
      </c>
      <c r="F173" s="67">
        <v>0.0</v>
      </c>
      <c r="G173" s="67">
        <v>0.0</v>
      </c>
      <c r="H173" s="67">
        <v>1.504272E8</v>
      </c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21.0" customHeight="1">
      <c r="A174" s="77">
        <v>1.76571744E8</v>
      </c>
      <c r="B174" s="77" t="s">
        <v>375</v>
      </c>
      <c r="C174" s="67">
        <v>1.1413514E7</v>
      </c>
      <c r="D174" s="67">
        <v>1.1413514E7</v>
      </c>
      <c r="E174" s="67">
        <v>0.0</v>
      </c>
      <c r="F174" s="67">
        <v>0.0</v>
      </c>
      <c r="G174" s="67">
        <v>0.0</v>
      </c>
      <c r="H174" s="67">
        <v>3.6309E7</v>
      </c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21.0" customHeight="1">
      <c r="A175" s="77">
        <v>1.51510542E8</v>
      </c>
      <c r="B175" s="77" t="s">
        <v>376</v>
      </c>
      <c r="C175" s="67">
        <v>1.1278244E7</v>
      </c>
      <c r="D175" s="67">
        <v>1.1278244E7</v>
      </c>
      <c r="E175" s="67">
        <v>0.0</v>
      </c>
      <c r="F175" s="67">
        <v>0.0</v>
      </c>
      <c r="G175" s="67">
        <v>0.0</v>
      </c>
      <c r="H175" s="67">
        <v>5.6780991E7</v>
      </c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21.0" customHeight="1">
      <c r="A176" s="77">
        <v>1.71293992E8</v>
      </c>
      <c r="B176" s="77" t="s">
        <v>377</v>
      </c>
      <c r="C176" s="67">
        <v>1.1240754E7</v>
      </c>
      <c r="D176" s="67">
        <v>1.1240754E7</v>
      </c>
      <c r="E176" s="67">
        <v>0.0</v>
      </c>
      <c r="F176" s="67">
        <v>0.0</v>
      </c>
      <c r="G176" s="67">
        <v>0.0</v>
      </c>
      <c r="H176" s="67">
        <v>1.32689842E8</v>
      </c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21.0" customHeight="1">
      <c r="A177" s="77">
        <v>1.73310899E8</v>
      </c>
      <c r="B177" s="77" t="s">
        <v>378</v>
      </c>
      <c r="C177" s="67">
        <v>1.1196759E7</v>
      </c>
      <c r="D177" s="67">
        <v>1.1196759E7</v>
      </c>
      <c r="E177" s="67">
        <v>0.0</v>
      </c>
      <c r="F177" s="67">
        <v>0.0</v>
      </c>
      <c r="G177" s="67">
        <v>0.0</v>
      </c>
      <c r="H177" s="67">
        <v>3.339E7</v>
      </c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21.0" customHeight="1">
      <c r="A178" s="77">
        <v>1.67125555E8</v>
      </c>
      <c r="B178" s="77" t="s">
        <v>379</v>
      </c>
      <c r="C178" s="67">
        <v>1.1150952E7</v>
      </c>
      <c r="D178" s="67">
        <v>1.1150952E7</v>
      </c>
      <c r="E178" s="67">
        <v>0.0</v>
      </c>
      <c r="F178" s="67">
        <v>0.0</v>
      </c>
      <c r="G178" s="67">
        <v>0.0</v>
      </c>
      <c r="H178" s="67">
        <v>1.618407E8</v>
      </c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21.0" customHeight="1">
      <c r="A179" s="77">
        <v>1.71770625E8</v>
      </c>
      <c r="B179" s="77" t="s">
        <v>380</v>
      </c>
      <c r="C179" s="67">
        <v>1.1103851E7</v>
      </c>
      <c r="D179" s="67">
        <v>1.1103851E7</v>
      </c>
      <c r="E179" s="67">
        <v>0.0</v>
      </c>
      <c r="F179" s="67">
        <v>0.0</v>
      </c>
      <c r="G179" s="67">
        <v>0.0</v>
      </c>
      <c r="H179" s="67">
        <v>3.5763E7</v>
      </c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21.0" customHeight="1">
      <c r="A180" s="77">
        <v>1.71233186E8</v>
      </c>
      <c r="B180" s="77" t="s">
        <v>381</v>
      </c>
      <c r="C180" s="67">
        <v>1.0648593E7</v>
      </c>
      <c r="D180" s="67">
        <v>1.0648593E7</v>
      </c>
      <c r="E180" s="67">
        <v>0.0</v>
      </c>
      <c r="F180" s="67">
        <v>0.0</v>
      </c>
      <c r="G180" s="67">
        <v>0.0</v>
      </c>
      <c r="H180" s="67">
        <v>1.68406238E8</v>
      </c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21.0" customHeight="1">
      <c r="A181" s="77">
        <v>1.99046581E8</v>
      </c>
      <c r="B181" s="77" t="s">
        <v>382</v>
      </c>
      <c r="C181" s="67">
        <v>1.0555697E7</v>
      </c>
      <c r="D181" s="67">
        <v>1.0555697E7</v>
      </c>
      <c r="E181" s="67">
        <v>0.0</v>
      </c>
      <c r="F181" s="67">
        <v>0.0</v>
      </c>
      <c r="G181" s="67">
        <v>0.0</v>
      </c>
      <c r="H181" s="67">
        <v>2.69636476E8</v>
      </c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21.0" customHeight="1">
      <c r="A182" s="77">
        <v>1.14834828E8</v>
      </c>
      <c r="B182" s="77" t="s">
        <v>383</v>
      </c>
      <c r="C182" s="67">
        <v>1.0461802E7</v>
      </c>
      <c r="D182" s="67">
        <v>1.048427E7</v>
      </c>
      <c r="E182" s="67">
        <v>0.0</v>
      </c>
      <c r="F182" s="67">
        <v>0.0</v>
      </c>
      <c r="G182" s="67">
        <v>0.0</v>
      </c>
      <c r="H182" s="67">
        <v>0.0</v>
      </c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21.0" customHeight="1">
      <c r="A183" s="77">
        <v>1.49335105E8</v>
      </c>
      <c r="B183" s="77" t="s">
        <v>384</v>
      </c>
      <c r="C183" s="67">
        <v>1.0407706E7</v>
      </c>
      <c r="D183" s="67">
        <v>1.0407706E7</v>
      </c>
      <c r="E183" s="67">
        <v>0.0</v>
      </c>
      <c r="F183" s="67">
        <v>0.0</v>
      </c>
      <c r="G183" s="67">
        <v>0.0</v>
      </c>
      <c r="H183" s="67">
        <v>1.419222E8</v>
      </c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21.0" customHeight="1">
      <c r="A184" s="77">
        <v>2.02681373E8</v>
      </c>
      <c r="B184" s="77" t="s">
        <v>385</v>
      </c>
      <c r="C184" s="67">
        <v>1.0270735E7</v>
      </c>
      <c r="D184" s="67">
        <v>1.0270735E7</v>
      </c>
      <c r="E184" s="67">
        <v>0.0</v>
      </c>
      <c r="F184" s="67">
        <v>0.0</v>
      </c>
      <c r="G184" s="67">
        <v>0.0</v>
      </c>
      <c r="H184" s="67">
        <v>8.10264E7</v>
      </c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21.0" customHeight="1">
      <c r="A185" s="77">
        <v>2.02638038E8</v>
      </c>
      <c r="B185" s="77" t="s">
        <v>387</v>
      </c>
      <c r="C185" s="67">
        <v>1.0201672E7</v>
      </c>
      <c r="D185" s="67">
        <v>1.0678741E7</v>
      </c>
      <c r="E185" s="67">
        <v>0.0</v>
      </c>
      <c r="F185" s="67">
        <v>0.0</v>
      </c>
      <c r="G185" s="67">
        <v>0.0</v>
      </c>
      <c r="H185" s="67">
        <v>7.98700194E8</v>
      </c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21.0" customHeight="1">
      <c r="A186" s="77">
        <v>1.4400776E8</v>
      </c>
      <c r="B186" s="77" t="s">
        <v>388</v>
      </c>
      <c r="C186" s="67">
        <v>1.0077436E7</v>
      </c>
      <c r="D186" s="67">
        <v>1.0077436E7</v>
      </c>
      <c r="E186" s="67">
        <v>0.0</v>
      </c>
      <c r="F186" s="67">
        <v>0.0</v>
      </c>
      <c r="G186" s="67">
        <v>0.0</v>
      </c>
      <c r="H186" s="67">
        <v>2.18737658E8</v>
      </c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21.0" customHeight="1">
      <c r="A187" s="77">
        <v>2.04180498E8</v>
      </c>
      <c r="B187" s="77" t="s">
        <v>389</v>
      </c>
      <c r="C187" s="67">
        <v>1.0026146E7</v>
      </c>
      <c r="D187" s="67">
        <v>1.0026146E7</v>
      </c>
      <c r="E187" s="67">
        <v>0.0</v>
      </c>
      <c r="F187" s="67">
        <v>0.0</v>
      </c>
      <c r="G187" s="67">
        <v>0.0</v>
      </c>
      <c r="H187" s="67">
        <v>3.90301363E8</v>
      </c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21.0" customHeight="1">
      <c r="A188" s="77">
        <v>1.13555236E8</v>
      </c>
      <c r="B188" s="77" t="s">
        <v>390</v>
      </c>
      <c r="C188" s="67">
        <v>9965819.0</v>
      </c>
      <c r="D188" s="67">
        <v>1.055801E7</v>
      </c>
      <c r="E188" s="67">
        <v>0.0</v>
      </c>
      <c r="F188" s="67">
        <v>0.0</v>
      </c>
      <c r="G188" s="67">
        <v>0.0</v>
      </c>
      <c r="H188" s="67">
        <v>6496875.0</v>
      </c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21.0" customHeight="1">
      <c r="A189" s="77">
        <v>1.49337313E8</v>
      </c>
      <c r="B189" s="77" t="s">
        <v>391</v>
      </c>
      <c r="C189" s="67">
        <v>9821897.0</v>
      </c>
      <c r="D189" s="67">
        <v>1.0038975E7</v>
      </c>
      <c r="E189" s="67">
        <v>0.0</v>
      </c>
      <c r="F189" s="67">
        <v>0.0</v>
      </c>
      <c r="G189" s="67">
        <v>0.0</v>
      </c>
      <c r="H189" s="67">
        <v>1.3202595E8</v>
      </c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21.0" customHeight="1">
      <c r="A190" s="77">
        <v>2.13819912E8</v>
      </c>
      <c r="B190" s="77" t="s">
        <v>393</v>
      </c>
      <c r="C190" s="67">
        <v>8897679.0</v>
      </c>
      <c r="D190" s="67">
        <v>8897679.0</v>
      </c>
      <c r="E190" s="67">
        <v>0.0</v>
      </c>
      <c r="F190" s="67">
        <v>0.0</v>
      </c>
      <c r="G190" s="67">
        <v>0.0</v>
      </c>
      <c r="H190" s="67">
        <v>2639700.0</v>
      </c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21.0" customHeight="1">
      <c r="A191" s="77">
        <v>1.84418003E8</v>
      </c>
      <c r="B191" s="77" t="s">
        <v>394</v>
      </c>
      <c r="C191" s="67">
        <v>8791225.0</v>
      </c>
      <c r="D191" s="67">
        <v>1.0022433E7</v>
      </c>
      <c r="E191" s="67">
        <v>0.0</v>
      </c>
      <c r="F191" s="67">
        <v>0.0</v>
      </c>
      <c r="G191" s="67">
        <v>0.0</v>
      </c>
      <c r="H191" s="67">
        <v>4951800.0</v>
      </c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21.0" customHeight="1">
      <c r="A192" s="77">
        <v>9.0288938E7</v>
      </c>
      <c r="B192" s="77" t="s">
        <v>395</v>
      </c>
      <c r="C192" s="67">
        <v>8652801.0</v>
      </c>
      <c r="D192" s="67">
        <v>8652801.0</v>
      </c>
      <c r="E192" s="67">
        <v>0.0</v>
      </c>
      <c r="F192" s="67">
        <v>0.0</v>
      </c>
      <c r="G192" s="67">
        <v>0.0</v>
      </c>
      <c r="H192" s="67">
        <v>1.72498796E8</v>
      </c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21.0" customHeight="1">
      <c r="A193" s="77">
        <v>1.66962601E8</v>
      </c>
      <c r="B193" s="77" t="s">
        <v>396</v>
      </c>
      <c r="C193" s="67">
        <v>8638477.0</v>
      </c>
      <c r="D193" s="67">
        <v>8638477.0</v>
      </c>
      <c r="E193" s="67">
        <v>0.0</v>
      </c>
      <c r="F193" s="67">
        <v>0.0</v>
      </c>
      <c r="G193" s="67">
        <v>0.0</v>
      </c>
      <c r="H193" s="67">
        <v>7.0714875E7</v>
      </c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21.0" customHeight="1">
      <c r="A194" s="77">
        <v>1.66962218E8</v>
      </c>
      <c r="B194" s="77" t="s">
        <v>397</v>
      </c>
      <c r="C194" s="67">
        <v>8444779.0</v>
      </c>
      <c r="D194" s="67">
        <v>8444779.0</v>
      </c>
      <c r="E194" s="67">
        <v>0.0</v>
      </c>
      <c r="F194" s="67">
        <v>0.0</v>
      </c>
      <c r="G194" s="67">
        <v>0.0</v>
      </c>
      <c r="H194" s="67">
        <v>6.62235E7</v>
      </c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21.0" customHeight="1">
      <c r="A195" s="77">
        <v>1.3548449E8</v>
      </c>
      <c r="B195" s="77" t="s">
        <v>398</v>
      </c>
      <c r="C195" s="67">
        <v>8193437.0</v>
      </c>
      <c r="D195" s="67">
        <v>8193437.0</v>
      </c>
      <c r="E195" s="67">
        <v>0.0</v>
      </c>
      <c r="F195" s="67">
        <v>0.0</v>
      </c>
      <c r="G195" s="67">
        <v>0.0</v>
      </c>
      <c r="H195" s="67">
        <v>3150000.0</v>
      </c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21.0" customHeight="1">
      <c r="A196" s="77">
        <v>6.8333758E7</v>
      </c>
      <c r="B196" s="77" t="s">
        <v>399</v>
      </c>
      <c r="C196" s="67">
        <v>8114698.0</v>
      </c>
      <c r="D196" s="67">
        <v>8114698.0</v>
      </c>
      <c r="E196" s="67">
        <v>0.0</v>
      </c>
      <c r="F196" s="67">
        <v>0.0</v>
      </c>
      <c r="G196" s="67">
        <v>0.0</v>
      </c>
      <c r="H196" s="67">
        <v>2803500.0</v>
      </c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21.0" customHeight="1">
      <c r="A197" s="77">
        <v>1.55130383E8</v>
      </c>
      <c r="B197" s="77" t="s">
        <v>400</v>
      </c>
      <c r="C197" s="67">
        <v>8071452.0</v>
      </c>
      <c r="D197" s="67">
        <v>8071452.0</v>
      </c>
      <c r="E197" s="67">
        <v>0.0</v>
      </c>
      <c r="F197" s="67">
        <v>0.0</v>
      </c>
      <c r="G197" s="67">
        <v>0.0</v>
      </c>
      <c r="H197" s="67">
        <v>1.42299675E8</v>
      </c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21.0" customHeight="1">
      <c r="A198" s="77">
        <v>1.69426622E8</v>
      </c>
      <c r="B198" s="77" t="s">
        <v>401</v>
      </c>
      <c r="C198" s="67">
        <v>8003071.0</v>
      </c>
      <c r="D198" s="67">
        <v>8726074.0</v>
      </c>
      <c r="E198" s="67">
        <v>0.0</v>
      </c>
      <c r="F198" s="67">
        <v>0.0</v>
      </c>
      <c r="G198" s="67">
        <v>0.0</v>
      </c>
      <c r="H198" s="67">
        <v>4344375.0</v>
      </c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21.0" customHeight="1">
      <c r="A199" s="77">
        <v>1.84419591E8</v>
      </c>
      <c r="B199" s="77" t="s">
        <v>402</v>
      </c>
      <c r="C199" s="67">
        <v>7941129.0</v>
      </c>
      <c r="D199" s="67">
        <v>9180139.0</v>
      </c>
      <c r="E199" s="67">
        <v>0.0</v>
      </c>
      <c r="F199" s="67">
        <v>0.0</v>
      </c>
      <c r="G199" s="67">
        <v>0.0</v>
      </c>
      <c r="H199" s="67">
        <v>6748875.0</v>
      </c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21.0" customHeight="1">
      <c r="A200" s="77">
        <v>2.03299524E8</v>
      </c>
      <c r="B200" s="77" t="s">
        <v>403</v>
      </c>
      <c r="C200" s="67">
        <v>7793404.0</v>
      </c>
      <c r="D200" s="67">
        <v>7793404.0</v>
      </c>
      <c r="E200" s="67">
        <v>0.0</v>
      </c>
      <c r="F200" s="67">
        <v>0.0</v>
      </c>
      <c r="G200" s="67">
        <v>0.0</v>
      </c>
      <c r="H200" s="67">
        <v>2.42024178E8</v>
      </c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21.0" customHeight="1">
      <c r="A201" s="77">
        <v>1.39314561E8</v>
      </c>
      <c r="B201" s="77" t="s">
        <v>405</v>
      </c>
      <c r="C201" s="67">
        <v>7558876.0</v>
      </c>
      <c r="D201" s="67">
        <v>9348565.0</v>
      </c>
      <c r="E201" s="67">
        <v>0.0</v>
      </c>
      <c r="F201" s="67">
        <v>0.0</v>
      </c>
      <c r="G201" s="67">
        <v>0.0</v>
      </c>
      <c r="H201" s="67">
        <v>1.29819374E8</v>
      </c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21.0" customHeight="1">
      <c r="A202" s="77">
        <v>1.54666115E8</v>
      </c>
      <c r="B202" s="77" t="s">
        <v>406</v>
      </c>
      <c r="C202" s="67">
        <v>7520968.0</v>
      </c>
      <c r="D202" s="67">
        <v>7520968.0</v>
      </c>
      <c r="E202" s="67">
        <v>0.0</v>
      </c>
      <c r="F202" s="67">
        <v>0.0</v>
      </c>
      <c r="G202" s="67">
        <v>0.0</v>
      </c>
      <c r="H202" s="67">
        <v>1.39371539E8</v>
      </c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21.0" customHeight="1">
      <c r="A203" s="77">
        <v>1.25287315E8</v>
      </c>
      <c r="B203" s="77" t="s">
        <v>407</v>
      </c>
      <c r="C203" s="67">
        <v>7518570.0</v>
      </c>
      <c r="D203" s="67">
        <v>7518570.0</v>
      </c>
      <c r="E203" s="67">
        <v>0.0</v>
      </c>
      <c r="F203" s="67">
        <v>0.0</v>
      </c>
      <c r="G203" s="67">
        <v>0.0</v>
      </c>
      <c r="H203" s="67">
        <v>6496875.0</v>
      </c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21.0" customHeight="1">
      <c r="A204" s="77">
        <v>1.89315421E8</v>
      </c>
      <c r="B204" s="77" t="s">
        <v>408</v>
      </c>
      <c r="C204" s="67">
        <v>7476467.0</v>
      </c>
      <c r="D204" s="67">
        <v>7476467.0</v>
      </c>
      <c r="E204" s="67">
        <v>0.0</v>
      </c>
      <c r="F204" s="67">
        <v>0.0</v>
      </c>
      <c r="G204" s="67">
        <v>0.0</v>
      </c>
      <c r="H204" s="67">
        <v>2.055375E7</v>
      </c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21.0" customHeight="1">
      <c r="A205" s="77">
        <v>1.89315962E8</v>
      </c>
      <c r="B205" s="77" t="s">
        <v>409</v>
      </c>
      <c r="C205" s="67">
        <v>7405693.0</v>
      </c>
      <c r="D205" s="67">
        <v>7405693.0</v>
      </c>
      <c r="E205" s="67">
        <v>0.0</v>
      </c>
      <c r="F205" s="67">
        <v>0.0</v>
      </c>
      <c r="G205" s="67">
        <v>0.0</v>
      </c>
      <c r="H205" s="67">
        <v>2.1706125E7</v>
      </c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21.0" customHeight="1">
      <c r="A206" s="77">
        <v>1.55274009E8</v>
      </c>
      <c r="B206" s="77" t="s">
        <v>410</v>
      </c>
      <c r="C206" s="67">
        <v>7365698.0</v>
      </c>
      <c r="D206" s="67">
        <v>7365698.0</v>
      </c>
      <c r="E206" s="67">
        <v>0.0</v>
      </c>
      <c r="F206" s="67">
        <v>0.0</v>
      </c>
      <c r="G206" s="67">
        <v>0.0</v>
      </c>
      <c r="H206" s="67">
        <v>1.40594901E8</v>
      </c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21.0" customHeight="1">
      <c r="A207" s="77">
        <v>1.88176323E8</v>
      </c>
      <c r="B207" s="77" t="s">
        <v>411</v>
      </c>
      <c r="C207" s="67">
        <v>7357757.0</v>
      </c>
      <c r="D207" s="67">
        <v>8734656.0</v>
      </c>
      <c r="E207" s="67">
        <v>0.0</v>
      </c>
      <c r="F207" s="67">
        <v>0.0</v>
      </c>
      <c r="G207" s="67">
        <v>0.0</v>
      </c>
      <c r="H207" s="67">
        <v>0.0</v>
      </c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21.0" customHeight="1">
      <c r="A208" s="77">
        <v>1.89330314E8</v>
      </c>
      <c r="B208" s="77" t="s">
        <v>412</v>
      </c>
      <c r="C208" s="67">
        <v>7330045.0</v>
      </c>
      <c r="D208" s="67">
        <v>7330045.0</v>
      </c>
      <c r="E208" s="67">
        <v>0.0</v>
      </c>
      <c r="F208" s="67">
        <v>0.0</v>
      </c>
      <c r="G208" s="67">
        <v>0.0</v>
      </c>
      <c r="H208" s="67">
        <v>1.63275E7</v>
      </c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21.0" customHeight="1">
      <c r="A209" s="77">
        <v>1.74340615E8</v>
      </c>
      <c r="B209" s="77" t="s">
        <v>413</v>
      </c>
      <c r="C209" s="67">
        <v>7308515.0</v>
      </c>
      <c r="D209" s="67">
        <v>7308515.0</v>
      </c>
      <c r="E209" s="67">
        <v>0.0</v>
      </c>
      <c r="F209" s="67">
        <v>0.0</v>
      </c>
      <c r="G209" s="67">
        <v>0.0</v>
      </c>
      <c r="H209" s="67">
        <v>6284250.0</v>
      </c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21.0" customHeight="1">
      <c r="A210" s="77">
        <v>2.07380752E8</v>
      </c>
      <c r="B210" s="77" t="s">
        <v>414</v>
      </c>
      <c r="C210" s="67">
        <v>7286263.0</v>
      </c>
      <c r="D210" s="67">
        <v>7286263.0</v>
      </c>
      <c r="E210" s="67">
        <v>0.0</v>
      </c>
      <c r="F210" s="67">
        <v>0.0</v>
      </c>
      <c r="G210" s="67">
        <v>0.0</v>
      </c>
      <c r="H210" s="67">
        <v>1.0511025E7</v>
      </c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21.0" customHeight="1">
      <c r="A211" s="77">
        <v>1.50922497E8</v>
      </c>
      <c r="B211" s="77" t="s">
        <v>415</v>
      </c>
      <c r="C211" s="67">
        <v>7249473.0</v>
      </c>
      <c r="D211" s="67">
        <v>7249473.0</v>
      </c>
      <c r="E211" s="67">
        <v>0.0</v>
      </c>
      <c r="F211" s="67">
        <v>0.0</v>
      </c>
      <c r="G211" s="67">
        <v>0.0</v>
      </c>
      <c r="H211" s="67">
        <v>1.37929575E8</v>
      </c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21.0" customHeight="1">
      <c r="A212" s="77">
        <v>1.42654966E8</v>
      </c>
      <c r="B212" s="77" t="s">
        <v>416</v>
      </c>
      <c r="C212" s="67">
        <v>7095023.0</v>
      </c>
      <c r="D212" s="67">
        <v>7299902.0</v>
      </c>
      <c r="E212" s="67">
        <v>0.0</v>
      </c>
      <c r="F212" s="67">
        <v>0.0</v>
      </c>
      <c r="G212" s="67">
        <v>0.0</v>
      </c>
      <c r="H212" s="67">
        <v>1.32654701E8</v>
      </c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21.0" customHeight="1">
      <c r="A213" s="77">
        <v>1.50921199E8</v>
      </c>
      <c r="B213" s="77" t="s">
        <v>417</v>
      </c>
      <c r="C213" s="67">
        <v>7020906.0</v>
      </c>
      <c r="D213" s="67">
        <v>7020906.0</v>
      </c>
      <c r="E213" s="67">
        <v>0.0</v>
      </c>
      <c r="F213" s="67">
        <v>0.0</v>
      </c>
      <c r="G213" s="67">
        <v>0.0</v>
      </c>
      <c r="H213" s="67">
        <v>1.52059425E8</v>
      </c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21.0" customHeight="1">
      <c r="A214" s="77">
        <v>1.1037795E8</v>
      </c>
      <c r="B214" s="77" t="s">
        <v>418</v>
      </c>
      <c r="C214" s="67">
        <v>6905832.0</v>
      </c>
      <c r="D214" s="67">
        <v>6905832.0</v>
      </c>
      <c r="E214" s="67">
        <v>0.0</v>
      </c>
      <c r="F214" s="67">
        <v>0.0</v>
      </c>
      <c r="G214" s="67">
        <v>0.0</v>
      </c>
      <c r="H214" s="67">
        <v>9234107.0</v>
      </c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21.0" customHeight="1">
      <c r="A215" s="77">
        <v>1.82386088E8</v>
      </c>
      <c r="B215" s="77" t="s">
        <v>419</v>
      </c>
      <c r="C215" s="67">
        <v>6874285.0</v>
      </c>
      <c r="D215" s="67">
        <v>6874285.0</v>
      </c>
      <c r="E215" s="67">
        <v>0.0</v>
      </c>
      <c r="F215" s="67">
        <v>0.0</v>
      </c>
      <c r="G215" s="67">
        <v>0.0</v>
      </c>
      <c r="H215" s="67">
        <v>6237000.0</v>
      </c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21.0" customHeight="1">
      <c r="A216" s="77">
        <v>1.99849227E8</v>
      </c>
      <c r="B216" s="77" t="s">
        <v>422</v>
      </c>
      <c r="C216" s="67">
        <v>6800050.0</v>
      </c>
      <c r="D216" s="67">
        <v>6800050.0</v>
      </c>
      <c r="E216" s="67">
        <v>0.0</v>
      </c>
      <c r="F216" s="67">
        <v>0.0</v>
      </c>
      <c r="G216" s="67">
        <v>0.0</v>
      </c>
      <c r="H216" s="67">
        <v>9155834.0</v>
      </c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21.0" customHeight="1">
      <c r="A217" s="77">
        <v>1.9984814E8</v>
      </c>
      <c r="B217" s="77" t="s">
        <v>423</v>
      </c>
      <c r="C217" s="67">
        <v>6730836.0</v>
      </c>
      <c r="D217" s="67">
        <v>6730836.0</v>
      </c>
      <c r="E217" s="67">
        <v>0.0</v>
      </c>
      <c r="F217" s="67">
        <v>0.0</v>
      </c>
      <c r="G217" s="67">
        <v>0.0</v>
      </c>
      <c r="H217" s="67">
        <v>8127000.0</v>
      </c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21.0" customHeight="1">
      <c r="A218" s="77">
        <v>1.42997337E8</v>
      </c>
      <c r="B218" s="77" t="s">
        <v>424</v>
      </c>
      <c r="C218" s="67">
        <v>6679148.0</v>
      </c>
      <c r="D218" s="67">
        <v>6679148.0</v>
      </c>
      <c r="E218" s="67">
        <v>0.0</v>
      </c>
      <c r="F218" s="67">
        <v>0.0</v>
      </c>
      <c r="G218" s="67">
        <v>0.0</v>
      </c>
      <c r="H218" s="67">
        <v>1.46009744E8</v>
      </c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21.0" customHeight="1">
      <c r="A219" s="77">
        <v>1.8694735E8</v>
      </c>
      <c r="B219" s="77" t="s">
        <v>425</v>
      </c>
      <c r="C219" s="67">
        <v>6673156.0</v>
      </c>
      <c r="D219" s="67">
        <v>6673156.0</v>
      </c>
      <c r="E219" s="67">
        <v>0.0</v>
      </c>
      <c r="F219" s="67">
        <v>0.0</v>
      </c>
      <c r="G219" s="67">
        <v>0.0</v>
      </c>
      <c r="H219" s="67">
        <v>1.1487681E7</v>
      </c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21.0" customHeight="1">
      <c r="A220" s="77">
        <v>1.55274491E8</v>
      </c>
      <c r="B220" s="77" t="s">
        <v>426</v>
      </c>
      <c r="C220" s="67">
        <v>6659356.0</v>
      </c>
      <c r="D220" s="67">
        <v>6659356.0</v>
      </c>
      <c r="E220" s="67">
        <v>0.0</v>
      </c>
      <c r="F220" s="67">
        <v>0.0</v>
      </c>
      <c r="G220" s="67">
        <v>0.0</v>
      </c>
      <c r="H220" s="67">
        <v>1.35813037E8</v>
      </c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21.0" customHeight="1">
      <c r="A221" s="77">
        <v>1.67022679E8</v>
      </c>
      <c r="B221" s="77" t="s">
        <v>427</v>
      </c>
      <c r="C221" s="67">
        <v>6610174.0</v>
      </c>
      <c r="D221" s="67">
        <v>6610174.0</v>
      </c>
      <c r="E221" s="67">
        <v>0.0</v>
      </c>
      <c r="F221" s="67">
        <v>0.0</v>
      </c>
      <c r="G221" s="67">
        <v>0.0</v>
      </c>
      <c r="H221" s="67">
        <v>1.384236E8</v>
      </c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21.0" customHeight="1">
      <c r="A222" s="77">
        <v>1.71676297E8</v>
      </c>
      <c r="B222" s="77" t="s">
        <v>428</v>
      </c>
      <c r="C222" s="67">
        <v>6577517.0</v>
      </c>
      <c r="D222" s="67">
        <v>6577517.0</v>
      </c>
      <c r="E222" s="67">
        <v>0.0</v>
      </c>
      <c r="F222" s="67">
        <v>0.0</v>
      </c>
      <c r="G222" s="67">
        <v>0.0</v>
      </c>
      <c r="H222" s="67">
        <v>9.42543E7</v>
      </c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21.0" customHeight="1">
      <c r="A223" s="77">
        <v>1.6701236E8</v>
      </c>
      <c r="B223" s="77" t="s">
        <v>429</v>
      </c>
      <c r="C223" s="67">
        <v>6508970.0</v>
      </c>
      <c r="D223" s="67">
        <v>6508970.0</v>
      </c>
      <c r="E223" s="67">
        <v>0.0</v>
      </c>
      <c r="F223" s="67">
        <v>0.0</v>
      </c>
      <c r="G223" s="67">
        <v>0.0</v>
      </c>
      <c r="H223" s="67">
        <v>1.40292862E8</v>
      </c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21.0" customHeight="1">
      <c r="A224" s="77">
        <v>1.55131611E8</v>
      </c>
      <c r="B224" s="77" t="s">
        <v>430</v>
      </c>
      <c r="C224" s="67">
        <v>6508811.0</v>
      </c>
      <c r="D224" s="67">
        <v>7070582.0</v>
      </c>
      <c r="E224" s="67">
        <v>0.0</v>
      </c>
      <c r="F224" s="67">
        <v>0.0</v>
      </c>
      <c r="G224" s="67">
        <v>0.0</v>
      </c>
      <c r="H224" s="67">
        <v>1.453599E8</v>
      </c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21.0" customHeight="1">
      <c r="A225" s="77">
        <v>1.69290751E8</v>
      </c>
      <c r="B225" s="77" t="s">
        <v>431</v>
      </c>
      <c r="C225" s="67">
        <v>6506771.0</v>
      </c>
      <c r="D225" s="67">
        <v>6506771.0</v>
      </c>
      <c r="E225" s="67">
        <v>0.0</v>
      </c>
      <c r="F225" s="67">
        <v>0.0</v>
      </c>
      <c r="G225" s="67">
        <v>0.0</v>
      </c>
      <c r="H225" s="67">
        <v>0.0</v>
      </c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21.0" customHeight="1">
      <c r="A226" s="77">
        <v>1.60430702E8</v>
      </c>
      <c r="B226" s="77" t="s">
        <v>432</v>
      </c>
      <c r="C226" s="67">
        <v>6493093.0</v>
      </c>
      <c r="D226" s="67">
        <v>6493093.0</v>
      </c>
      <c r="E226" s="67">
        <v>0.0</v>
      </c>
      <c r="F226" s="67">
        <v>0.0</v>
      </c>
      <c r="G226" s="67">
        <v>0.0</v>
      </c>
      <c r="H226" s="67">
        <v>1.36021725E8</v>
      </c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21.0" customHeight="1">
      <c r="A227" s="77">
        <v>1.44793579E8</v>
      </c>
      <c r="B227" s="77" t="s">
        <v>433</v>
      </c>
      <c r="C227" s="67">
        <v>6477641.0</v>
      </c>
      <c r="D227" s="67">
        <v>7297525.0</v>
      </c>
      <c r="E227" s="67">
        <v>0.0</v>
      </c>
      <c r="F227" s="67">
        <v>0.0</v>
      </c>
      <c r="G227" s="67">
        <v>0.0</v>
      </c>
      <c r="H227" s="67">
        <v>1.38241491E8</v>
      </c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21.0" customHeight="1">
      <c r="A228" s="77">
        <v>2.04661393E8</v>
      </c>
      <c r="B228" s="77" t="s">
        <v>434</v>
      </c>
      <c r="C228" s="67">
        <v>6460204.0</v>
      </c>
      <c r="D228" s="67">
        <v>6460204.0</v>
      </c>
      <c r="E228" s="67">
        <v>0.0</v>
      </c>
      <c r="F228" s="67">
        <v>0.0</v>
      </c>
      <c r="G228" s="67">
        <v>0.0</v>
      </c>
      <c r="H228" s="67">
        <v>7.5180737E7</v>
      </c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21.0" customHeight="1">
      <c r="A229" s="77">
        <v>2.03596351E8</v>
      </c>
      <c r="B229" s="77" t="s">
        <v>435</v>
      </c>
      <c r="C229" s="67">
        <v>6457039.0</v>
      </c>
      <c r="D229" s="67">
        <v>6457039.0</v>
      </c>
      <c r="E229" s="67">
        <v>0.0</v>
      </c>
      <c r="F229" s="67">
        <v>0.0</v>
      </c>
      <c r="G229" s="67">
        <v>0.0</v>
      </c>
      <c r="H229" s="67">
        <v>7906500.0</v>
      </c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21.0" customHeight="1">
      <c r="A230" s="77">
        <v>1.4292227E8</v>
      </c>
      <c r="B230" s="77" t="s">
        <v>436</v>
      </c>
      <c r="C230" s="67">
        <v>6367700.0</v>
      </c>
      <c r="D230" s="67">
        <v>6367700.0</v>
      </c>
      <c r="E230" s="67">
        <v>0.0</v>
      </c>
      <c r="F230" s="67">
        <v>0.0</v>
      </c>
      <c r="G230" s="67">
        <v>0.0</v>
      </c>
      <c r="H230" s="67">
        <v>1.24969425E8</v>
      </c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21.0" customHeight="1">
      <c r="A231" s="77">
        <v>1.71630346E8</v>
      </c>
      <c r="B231" s="77" t="s">
        <v>437</v>
      </c>
      <c r="C231" s="67">
        <v>6290936.0</v>
      </c>
      <c r="D231" s="67">
        <v>6290936.0</v>
      </c>
      <c r="E231" s="67">
        <v>0.0</v>
      </c>
      <c r="F231" s="67">
        <v>0.0</v>
      </c>
      <c r="G231" s="67">
        <v>0.0</v>
      </c>
      <c r="H231" s="67">
        <v>2.18841049E8</v>
      </c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21.0" customHeight="1">
      <c r="A232" s="77">
        <v>1.13047486E8</v>
      </c>
      <c r="B232" s="77" t="s">
        <v>438</v>
      </c>
      <c r="C232" s="67">
        <v>6154653.0</v>
      </c>
      <c r="D232" s="67">
        <v>6154653.0</v>
      </c>
      <c r="E232" s="67">
        <v>0.0</v>
      </c>
      <c r="F232" s="67">
        <v>0.0</v>
      </c>
      <c r="G232" s="67">
        <v>0.0</v>
      </c>
      <c r="H232" s="67">
        <v>1.44811537E8</v>
      </c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21.0" customHeight="1">
      <c r="A233" s="77">
        <v>2.03594717E8</v>
      </c>
      <c r="B233" s="77" t="s">
        <v>439</v>
      </c>
      <c r="C233" s="67">
        <v>6132466.0</v>
      </c>
      <c r="D233" s="67">
        <v>6132466.0</v>
      </c>
      <c r="E233" s="67">
        <v>0.0</v>
      </c>
      <c r="F233" s="67">
        <v>0.0</v>
      </c>
      <c r="G233" s="67">
        <v>0.0</v>
      </c>
      <c r="H233" s="67">
        <v>7906500.0</v>
      </c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21.0" customHeight="1">
      <c r="A234" s="77">
        <v>1.45317422E8</v>
      </c>
      <c r="B234" s="77" t="s">
        <v>440</v>
      </c>
      <c r="C234" s="67">
        <v>6103468.0</v>
      </c>
      <c r="D234" s="67">
        <v>6103468.0</v>
      </c>
      <c r="E234" s="67">
        <v>0.0</v>
      </c>
      <c r="F234" s="67">
        <v>0.0</v>
      </c>
      <c r="G234" s="67">
        <v>0.0</v>
      </c>
      <c r="H234" s="67">
        <v>1.21456125E8</v>
      </c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21.0" customHeight="1">
      <c r="A235" s="77">
        <v>1.59863084E8</v>
      </c>
      <c r="B235" s="77" t="s">
        <v>441</v>
      </c>
      <c r="C235" s="67">
        <v>6075183.0</v>
      </c>
      <c r="D235" s="67">
        <v>6892439.0</v>
      </c>
      <c r="E235" s="67">
        <v>0.0</v>
      </c>
      <c r="F235" s="67">
        <v>232814.0</v>
      </c>
      <c r="G235" s="67">
        <v>122060.0</v>
      </c>
      <c r="H235" s="67">
        <v>1.32801016E8</v>
      </c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21.0" customHeight="1">
      <c r="A236" s="77">
        <v>1.61657382E8</v>
      </c>
      <c r="B236" s="77" t="s">
        <v>442</v>
      </c>
      <c r="C236" s="67">
        <v>6053214.0</v>
      </c>
      <c r="D236" s="67">
        <v>6053214.0</v>
      </c>
      <c r="E236" s="67">
        <v>0.0</v>
      </c>
      <c r="F236" s="67">
        <v>0.0</v>
      </c>
      <c r="G236" s="67">
        <v>0.0</v>
      </c>
      <c r="H236" s="67">
        <v>1.37760225E8</v>
      </c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21.0" customHeight="1">
      <c r="A237" s="77">
        <v>1.44106559E8</v>
      </c>
      <c r="B237" s="77" t="s">
        <v>443</v>
      </c>
      <c r="C237" s="67">
        <v>5966873.0</v>
      </c>
      <c r="D237" s="67">
        <v>5966873.0</v>
      </c>
      <c r="E237" s="67">
        <v>0.0</v>
      </c>
      <c r="F237" s="67">
        <v>0.0</v>
      </c>
      <c r="G237" s="67">
        <v>0.0</v>
      </c>
      <c r="H237" s="67">
        <v>7.9500487E7</v>
      </c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21.0" customHeight="1">
      <c r="A238" s="77">
        <v>1.71825702E8</v>
      </c>
      <c r="B238" s="77" t="s">
        <v>445</v>
      </c>
      <c r="C238" s="67">
        <v>5947900.0</v>
      </c>
      <c r="D238" s="67">
        <v>5947900.0</v>
      </c>
      <c r="E238" s="67">
        <v>0.0</v>
      </c>
      <c r="F238" s="67">
        <v>0.0</v>
      </c>
      <c r="G238" s="67">
        <v>0.0</v>
      </c>
      <c r="H238" s="67">
        <v>0.0</v>
      </c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21.0" customHeight="1">
      <c r="A239" s="77">
        <v>1.42880145E8</v>
      </c>
      <c r="B239" s="77" t="s">
        <v>446</v>
      </c>
      <c r="C239" s="67">
        <v>5929393.0</v>
      </c>
      <c r="D239" s="67">
        <v>6363571.0</v>
      </c>
      <c r="E239" s="67">
        <v>0.0</v>
      </c>
      <c r="F239" s="67">
        <v>0.0</v>
      </c>
      <c r="G239" s="67">
        <v>0.0</v>
      </c>
      <c r="H239" s="67">
        <v>1.222368E8</v>
      </c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21.0" customHeight="1">
      <c r="A240" s="77">
        <v>1.45180743E8</v>
      </c>
      <c r="B240" s="77" t="s">
        <v>447</v>
      </c>
      <c r="C240" s="67">
        <v>5880997.0</v>
      </c>
      <c r="D240" s="67">
        <v>5880997.0</v>
      </c>
      <c r="E240" s="67">
        <v>0.0</v>
      </c>
      <c r="F240" s="67">
        <v>0.0</v>
      </c>
      <c r="G240" s="67">
        <v>0.0</v>
      </c>
      <c r="H240" s="67">
        <v>1.58315325E8</v>
      </c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21.0" customHeight="1">
      <c r="A241" s="77">
        <v>2.03598736E8</v>
      </c>
      <c r="B241" s="77" t="s">
        <v>495</v>
      </c>
      <c r="C241" s="67">
        <v>5865719.0</v>
      </c>
      <c r="D241" s="67">
        <v>5865719.0</v>
      </c>
      <c r="E241" s="67">
        <v>0.0</v>
      </c>
      <c r="F241" s="67">
        <v>0.0</v>
      </c>
      <c r="G241" s="67">
        <v>0.0</v>
      </c>
      <c r="H241" s="67">
        <v>0.0</v>
      </c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21.0" customHeight="1">
      <c r="A242" s="77">
        <v>1.92333394E8</v>
      </c>
      <c r="B242" s="77" t="s">
        <v>448</v>
      </c>
      <c r="C242" s="67">
        <v>5863544.0</v>
      </c>
      <c r="D242" s="67">
        <v>5863544.0</v>
      </c>
      <c r="E242" s="67">
        <v>0.0</v>
      </c>
      <c r="F242" s="67">
        <v>0.0</v>
      </c>
      <c r="G242" s="67">
        <v>0.0</v>
      </c>
      <c r="H242" s="67">
        <v>1.0637981E7</v>
      </c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21.0" customHeight="1">
      <c r="A243" s="77">
        <v>1.92258353E8</v>
      </c>
      <c r="B243" s="77" t="s">
        <v>449</v>
      </c>
      <c r="C243" s="67">
        <v>5843422.0</v>
      </c>
      <c r="D243" s="67">
        <v>5843422.0</v>
      </c>
      <c r="E243" s="67">
        <v>0.0</v>
      </c>
      <c r="F243" s="67">
        <v>0.0</v>
      </c>
      <c r="G243" s="67">
        <v>0.0</v>
      </c>
      <c r="H243" s="67">
        <v>1.1049137E7</v>
      </c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21.0" customHeight="1">
      <c r="A244" s="77">
        <v>1.92258498E8</v>
      </c>
      <c r="B244" s="77" t="s">
        <v>450</v>
      </c>
      <c r="C244" s="67">
        <v>5838985.0</v>
      </c>
      <c r="D244" s="67">
        <v>5838985.0</v>
      </c>
      <c r="E244" s="67">
        <v>0.0</v>
      </c>
      <c r="F244" s="67">
        <v>0.0</v>
      </c>
      <c r="G244" s="67">
        <v>0.0</v>
      </c>
      <c r="H244" s="67">
        <v>6247657.0</v>
      </c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21.0" customHeight="1">
      <c r="A245" s="77">
        <v>1.62814191E8</v>
      </c>
      <c r="B245" s="77" t="s">
        <v>451</v>
      </c>
      <c r="C245" s="67">
        <v>5792826.0</v>
      </c>
      <c r="D245" s="67">
        <v>5792826.0</v>
      </c>
      <c r="E245" s="67">
        <v>0.0</v>
      </c>
      <c r="F245" s="67">
        <v>0.0</v>
      </c>
      <c r="G245" s="67">
        <v>0.0</v>
      </c>
      <c r="H245" s="67">
        <v>1.3490295E8</v>
      </c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21.0" customHeight="1">
      <c r="A246" s="77">
        <v>1.69246974E8</v>
      </c>
      <c r="B246" s="77" t="s">
        <v>452</v>
      </c>
      <c r="C246" s="67">
        <v>5748523.0</v>
      </c>
      <c r="D246" s="67">
        <v>7079331.0</v>
      </c>
      <c r="E246" s="67">
        <v>0.0</v>
      </c>
      <c r="F246" s="67">
        <v>0.0</v>
      </c>
      <c r="G246" s="67">
        <v>0.0</v>
      </c>
      <c r="H246" s="67">
        <v>2.16865237E8</v>
      </c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21.0" customHeight="1">
      <c r="A247" s="77">
        <v>2.03599132E8</v>
      </c>
      <c r="B247" s="77" t="s">
        <v>453</v>
      </c>
      <c r="C247" s="67">
        <v>5649512.0</v>
      </c>
      <c r="D247" s="67">
        <v>5649512.0</v>
      </c>
      <c r="E247" s="67">
        <v>0.0</v>
      </c>
      <c r="F247" s="67">
        <v>0.0</v>
      </c>
      <c r="G247" s="67">
        <v>0.0</v>
      </c>
      <c r="H247" s="67">
        <v>7081200.0</v>
      </c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21.0" customHeight="1">
      <c r="A248" s="77">
        <v>1.65389557E8</v>
      </c>
      <c r="B248" s="77" t="s">
        <v>455</v>
      </c>
      <c r="C248" s="67">
        <v>5446660.0</v>
      </c>
      <c r="D248" s="67">
        <v>5446660.0</v>
      </c>
      <c r="E248" s="67">
        <v>0.0</v>
      </c>
      <c r="F248" s="67">
        <v>0.0</v>
      </c>
      <c r="G248" s="67">
        <v>0.0</v>
      </c>
      <c r="H248" s="67">
        <v>1.31357625E8</v>
      </c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21.0" customHeight="1">
      <c r="A249" s="77">
        <v>1.78457149E8</v>
      </c>
      <c r="B249" s="77" t="s">
        <v>458</v>
      </c>
      <c r="C249" s="67">
        <v>5395353.0</v>
      </c>
      <c r="D249" s="67">
        <v>5395353.0</v>
      </c>
      <c r="E249" s="67">
        <v>0.0</v>
      </c>
      <c r="F249" s="67">
        <v>0.0</v>
      </c>
      <c r="G249" s="67">
        <v>0.0</v>
      </c>
      <c r="H249" s="67">
        <v>0.0</v>
      </c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21.0" customHeight="1">
      <c r="A250" s="77">
        <v>1.61102851E8</v>
      </c>
      <c r="B250" s="77" t="s">
        <v>459</v>
      </c>
      <c r="C250" s="67">
        <v>5394934.0</v>
      </c>
      <c r="D250" s="67">
        <v>5834100.0</v>
      </c>
      <c r="E250" s="67">
        <v>0.0</v>
      </c>
      <c r="F250" s="67">
        <v>0.0</v>
      </c>
      <c r="G250" s="67">
        <v>0.0</v>
      </c>
      <c r="H250" s="67">
        <v>1.38153855E8</v>
      </c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21.0" customHeight="1">
      <c r="A251" s="77">
        <v>1.61623756E8</v>
      </c>
      <c r="B251" s="77" t="s">
        <v>460</v>
      </c>
      <c r="C251" s="67">
        <v>5339123.0</v>
      </c>
      <c r="D251" s="67">
        <v>5339123.0</v>
      </c>
      <c r="E251" s="67">
        <v>0.0</v>
      </c>
      <c r="F251" s="67">
        <v>0.0</v>
      </c>
      <c r="G251" s="67">
        <v>0.0</v>
      </c>
      <c r="H251" s="67">
        <v>1.4667217E8</v>
      </c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21.0" customHeight="1">
      <c r="A252" s="77">
        <v>1.05764434E8</v>
      </c>
      <c r="B252" s="77" t="s">
        <v>461</v>
      </c>
      <c r="C252" s="67">
        <v>5336144.0</v>
      </c>
      <c r="D252" s="67">
        <v>5336144.0</v>
      </c>
      <c r="E252" s="67">
        <v>0.0</v>
      </c>
      <c r="F252" s="67">
        <v>0.0</v>
      </c>
      <c r="G252" s="67">
        <v>0.0</v>
      </c>
      <c r="H252" s="67">
        <v>3801000.0</v>
      </c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21.0" customHeight="1">
      <c r="A253" s="77">
        <v>1.65390118E8</v>
      </c>
      <c r="B253" s="77" t="s">
        <v>462</v>
      </c>
      <c r="C253" s="67">
        <v>5315556.0</v>
      </c>
      <c r="D253" s="67">
        <v>5315556.0</v>
      </c>
      <c r="E253" s="67">
        <v>0.0</v>
      </c>
      <c r="F253" s="67">
        <v>0.0</v>
      </c>
      <c r="G253" s="67">
        <v>0.0</v>
      </c>
      <c r="H253" s="67">
        <v>1.31634825E8</v>
      </c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21.0" customHeight="1">
      <c r="A254" s="77">
        <v>1.24754233E8</v>
      </c>
      <c r="B254" s="77" t="s">
        <v>463</v>
      </c>
      <c r="C254" s="67">
        <v>5277404.0</v>
      </c>
      <c r="D254" s="67">
        <v>5277404.0</v>
      </c>
      <c r="E254" s="67">
        <v>0.0</v>
      </c>
      <c r="F254" s="67">
        <v>0.0</v>
      </c>
      <c r="G254" s="67">
        <v>0.0</v>
      </c>
      <c r="H254" s="67">
        <v>0.0</v>
      </c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21.0" customHeight="1">
      <c r="A255" s="77">
        <v>1.44051069E8</v>
      </c>
      <c r="B255" s="77" t="s">
        <v>464</v>
      </c>
      <c r="C255" s="67">
        <v>5174171.0</v>
      </c>
      <c r="D255" s="67">
        <v>5174171.0</v>
      </c>
      <c r="E255" s="67">
        <v>0.0</v>
      </c>
      <c r="F255" s="67">
        <v>0.0</v>
      </c>
      <c r="G255" s="67">
        <v>0.0</v>
      </c>
      <c r="H255" s="67">
        <v>4937625.0</v>
      </c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21.0" customHeight="1">
      <c r="A256" s="77">
        <v>1.64498674E8</v>
      </c>
      <c r="B256" s="77" t="s">
        <v>465</v>
      </c>
      <c r="C256" s="67">
        <v>5128534.0</v>
      </c>
      <c r="D256" s="67">
        <v>5128534.0</v>
      </c>
      <c r="E256" s="67">
        <v>0.0</v>
      </c>
      <c r="F256" s="67">
        <v>0.0</v>
      </c>
      <c r="G256" s="67">
        <v>0.0</v>
      </c>
      <c r="H256" s="67">
        <v>1.23729777E8</v>
      </c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21.0" customHeight="1">
      <c r="A257" s="77">
        <v>1.06570268E8</v>
      </c>
      <c r="B257" s="77" t="s">
        <v>466</v>
      </c>
      <c r="C257" s="67">
        <v>5114730.0</v>
      </c>
      <c r="D257" s="67">
        <v>5114730.0</v>
      </c>
      <c r="E257" s="67">
        <v>0.0</v>
      </c>
      <c r="F257" s="67">
        <v>0.0</v>
      </c>
      <c r="G257" s="67">
        <v>0.0</v>
      </c>
      <c r="H257" s="67">
        <v>1.6791075E7</v>
      </c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21.0" customHeight="1">
      <c r="A258" s="77">
        <v>1.80482241E8</v>
      </c>
      <c r="B258" s="77" t="s">
        <v>467</v>
      </c>
      <c r="C258" s="67">
        <v>5033889.0</v>
      </c>
      <c r="D258" s="67">
        <v>5771976.0</v>
      </c>
      <c r="E258" s="67">
        <v>0.0</v>
      </c>
      <c r="F258" s="67">
        <v>0.0</v>
      </c>
      <c r="G258" s="67">
        <v>0.0</v>
      </c>
      <c r="H258" s="67">
        <v>1.96150225E8</v>
      </c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21.0" customHeight="1">
      <c r="A259" s="77">
        <v>1.92237785E8</v>
      </c>
      <c r="B259" s="77" t="s">
        <v>468</v>
      </c>
      <c r="C259" s="67">
        <v>4971906.0</v>
      </c>
      <c r="D259" s="67">
        <v>4971906.0</v>
      </c>
      <c r="E259" s="67">
        <v>0.0</v>
      </c>
      <c r="F259" s="67">
        <v>0.0</v>
      </c>
      <c r="G259" s="67">
        <v>0.0</v>
      </c>
      <c r="H259" s="67">
        <v>8190000.0</v>
      </c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21.0" customHeight="1">
      <c r="A260" s="77">
        <v>1.51358705E8</v>
      </c>
      <c r="B260" s="77" t="s">
        <v>469</v>
      </c>
      <c r="C260" s="67">
        <v>4882069.0</v>
      </c>
      <c r="D260" s="67">
        <v>4882069.0</v>
      </c>
      <c r="E260" s="67">
        <v>0.0</v>
      </c>
      <c r="F260" s="67">
        <v>0.0</v>
      </c>
      <c r="G260" s="67">
        <v>0.0</v>
      </c>
      <c r="H260" s="67">
        <v>3.224847E7</v>
      </c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21.0" customHeight="1">
      <c r="A261" s="77">
        <v>1.92238027E8</v>
      </c>
      <c r="B261" s="77" t="s">
        <v>470</v>
      </c>
      <c r="C261" s="67">
        <v>4788366.0</v>
      </c>
      <c r="D261" s="67">
        <v>4788366.0</v>
      </c>
      <c r="E261" s="67">
        <v>0.0</v>
      </c>
      <c r="F261" s="67">
        <v>0.0</v>
      </c>
      <c r="G261" s="67">
        <v>0.0</v>
      </c>
      <c r="H261" s="67">
        <v>1.13568E7</v>
      </c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21.0" customHeight="1">
      <c r="A262" s="77">
        <v>2.01324459E8</v>
      </c>
      <c r="B262" s="77" t="s">
        <v>471</v>
      </c>
      <c r="C262" s="67">
        <v>4762254.0</v>
      </c>
      <c r="D262" s="67">
        <v>5178503.0</v>
      </c>
      <c r="E262" s="67">
        <v>0.0</v>
      </c>
      <c r="F262" s="67">
        <v>0.0</v>
      </c>
      <c r="G262" s="67">
        <v>0.0</v>
      </c>
      <c r="H262" s="67">
        <v>0.0</v>
      </c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21.0" customHeight="1">
      <c r="A263" s="77">
        <v>1.09086125E8</v>
      </c>
      <c r="B263" s="77" t="s">
        <v>472</v>
      </c>
      <c r="C263" s="67">
        <v>4750041.0</v>
      </c>
      <c r="D263" s="67">
        <v>4750041.0</v>
      </c>
      <c r="E263" s="67">
        <v>0.0</v>
      </c>
      <c r="F263" s="67">
        <v>0.0</v>
      </c>
      <c r="G263" s="67">
        <v>0.0</v>
      </c>
      <c r="H263" s="67">
        <v>1.6064039E8</v>
      </c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21.0" customHeight="1">
      <c r="A264" s="77">
        <v>1.87304672E8</v>
      </c>
      <c r="B264" s="77" t="s">
        <v>473</v>
      </c>
      <c r="C264" s="67">
        <v>4739849.0</v>
      </c>
      <c r="D264" s="67">
        <v>4739849.0</v>
      </c>
      <c r="E264" s="67">
        <v>0.0</v>
      </c>
      <c r="F264" s="67">
        <v>0.0</v>
      </c>
      <c r="G264" s="67">
        <v>0.0</v>
      </c>
      <c r="H264" s="67">
        <v>1.70272529E8</v>
      </c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21.0" customHeight="1">
      <c r="A265" s="77">
        <v>1.92120531E8</v>
      </c>
      <c r="B265" s="77" t="s">
        <v>474</v>
      </c>
      <c r="C265" s="67">
        <v>4638702.0</v>
      </c>
      <c r="D265" s="67">
        <v>4638702.0</v>
      </c>
      <c r="E265" s="67">
        <v>0.0</v>
      </c>
      <c r="F265" s="67">
        <v>0.0</v>
      </c>
      <c r="G265" s="67">
        <v>0.0</v>
      </c>
      <c r="H265" s="67">
        <v>9009525.0</v>
      </c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21.0" customHeight="1">
      <c r="A266" s="77">
        <v>1.1308072E8</v>
      </c>
      <c r="B266" s="77" t="s">
        <v>475</v>
      </c>
      <c r="C266" s="67">
        <v>4632925.0</v>
      </c>
      <c r="D266" s="67">
        <v>4632925.0</v>
      </c>
      <c r="E266" s="67">
        <v>0.0</v>
      </c>
      <c r="F266" s="67">
        <v>0.0</v>
      </c>
      <c r="G266" s="67">
        <v>0.0</v>
      </c>
      <c r="H266" s="67">
        <v>1.419537E8</v>
      </c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21.0" customHeight="1">
      <c r="A267" s="77">
        <v>2.27733564E8</v>
      </c>
      <c r="B267" s="77" t="s">
        <v>476</v>
      </c>
      <c r="C267" s="67">
        <v>4550916.0</v>
      </c>
      <c r="D267" s="67">
        <v>4550916.0</v>
      </c>
      <c r="E267" s="67">
        <v>0.0</v>
      </c>
      <c r="F267" s="67">
        <v>0.0</v>
      </c>
      <c r="G267" s="67">
        <v>0.0</v>
      </c>
      <c r="H267" s="67">
        <v>4.02107809E8</v>
      </c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21.0" customHeight="1">
      <c r="A268" s="77">
        <v>1.44088401E8</v>
      </c>
      <c r="B268" s="77" t="s">
        <v>477</v>
      </c>
      <c r="C268" s="67">
        <v>4441104.0</v>
      </c>
      <c r="D268" s="67">
        <v>4441104.0</v>
      </c>
      <c r="E268" s="67">
        <v>0.0</v>
      </c>
      <c r="F268" s="67">
        <v>0.0</v>
      </c>
      <c r="G268" s="67">
        <v>0.0</v>
      </c>
      <c r="H268" s="67">
        <v>3.7129502E7</v>
      </c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21.0" customHeight="1">
      <c r="A269" s="77">
        <v>2.07550826E8</v>
      </c>
      <c r="B269" s="77" t="s">
        <v>479</v>
      </c>
      <c r="C269" s="67">
        <v>4398174.0</v>
      </c>
      <c r="D269" s="67">
        <v>4398174.0</v>
      </c>
      <c r="E269" s="67">
        <v>0.0</v>
      </c>
      <c r="F269" s="67">
        <v>0.0</v>
      </c>
      <c r="G269" s="67">
        <v>0.0</v>
      </c>
      <c r="H269" s="67">
        <v>0.0</v>
      </c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21.0" customHeight="1">
      <c r="A270" s="77">
        <v>1.73982471E8</v>
      </c>
      <c r="B270" s="77" t="s">
        <v>480</v>
      </c>
      <c r="C270" s="67">
        <v>4358376.0</v>
      </c>
      <c r="D270" s="67">
        <v>4613672.0</v>
      </c>
      <c r="E270" s="67">
        <v>0.0</v>
      </c>
      <c r="F270" s="67">
        <v>0.0</v>
      </c>
      <c r="G270" s="67">
        <v>0.0</v>
      </c>
      <c r="H270" s="67">
        <v>1.1493405E8</v>
      </c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21.0" customHeight="1">
      <c r="A271" s="77">
        <v>1.72613502E8</v>
      </c>
      <c r="B271" s="77" t="s">
        <v>481</v>
      </c>
      <c r="C271" s="67">
        <v>4332333.0</v>
      </c>
      <c r="D271" s="67">
        <v>4332333.0</v>
      </c>
      <c r="E271" s="67">
        <v>0.0</v>
      </c>
      <c r="F271" s="67">
        <v>0.0</v>
      </c>
      <c r="G271" s="67">
        <v>0.0</v>
      </c>
      <c r="H271" s="67">
        <v>1.73471331E8</v>
      </c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21.0" customHeight="1">
      <c r="A272" s="77">
        <v>1.59829578E8</v>
      </c>
      <c r="B272" s="77" t="s">
        <v>482</v>
      </c>
      <c r="C272" s="67">
        <v>4318857.0</v>
      </c>
      <c r="D272" s="67">
        <v>4318857.0</v>
      </c>
      <c r="E272" s="67">
        <v>0.0</v>
      </c>
      <c r="F272" s="67">
        <v>0.0</v>
      </c>
      <c r="G272" s="67">
        <v>0.0</v>
      </c>
      <c r="H272" s="67">
        <v>0.0</v>
      </c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21.0" customHeight="1">
      <c r="A273" s="77">
        <v>2.04434399E8</v>
      </c>
      <c r="B273" s="77" t="s">
        <v>484</v>
      </c>
      <c r="C273" s="67">
        <v>4289400.0</v>
      </c>
      <c r="D273" s="67">
        <v>4289400.0</v>
      </c>
      <c r="E273" s="67">
        <v>0.0</v>
      </c>
      <c r="F273" s="67">
        <v>0.0</v>
      </c>
      <c r="G273" s="67">
        <v>0.0</v>
      </c>
      <c r="H273" s="67">
        <v>5.2618192E7</v>
      </c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21.0" customHeight="1">
      <c r="A274" s="77">
        <v>1.71969413E8</v>
      </c>
      <c r="B274" s="77" t="s">
        <v>496</v>
      </c>
      <c r="C274" s="67">
        <v>4233336.0</v>
      </c>
      <c r="D274" s="67">
        <v>4233336.0</v>
      </c>
      <c r="E274" s="67">
        <v>0.0</v>
      </c>
      <c r="F274" s="67">
        <v>0.0</v>
      </c>
      <c r="G274" s="67">
        <v>0.0</v>
      </c>
      <c r="H274" s="67">
        <v>1.76736817E8</v>
      </c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21.0" customHeight="1">
      <c r="A275" s="77">
        <v>1.92118073E8</v>
      </c>
      <c r="B275" s="77" t="s">
        <v>497</v>
      </c>
      <c r="C275" s="67">
        <v>4133151.0</v>
      </c>
      <c r="D275" s="67">
        <v>4133151.0</v>
      </c>
      <c r="E275" s="67">
        <v>0.0</v>
      </c>
      <c r="F275" s="67">
        <v>0.0</v>
      </c>
      <c r="G275" s="67">
        <v>0.0</v>
      </c>
      <c r="H275" s="67">
        <v>1.1088E7</v>
      </c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21.0" customHeight="1">
      <c r="A276" s="77">
        <v>1.78230803E8</v>
      </c>
      <c r="B276" s="77" t="s">
        <v>498</v>
      </c>
      <c r="C276" s="67">
        <v>4115611.0</v>
      </c>
      <c r="D276" s="67">
        <v>4115611.0</v>
      </c>
      <c r="E276" s="67">
        <v>0.0</v>
      </c>
      <c r="F276" s="67">
        <v>0.0</v>
      </c>
      <c r="G276" s="67">
        <v>0.0</v>
      </c>
      <c r="H276" s="67">
        <v>6.213375E7</v>
      </c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21.0" customHeight="1">
      <c r="A277" s="77">
        <v>1.05764069E8</v>
      </c>
      <c r="B277" s="77" t="s">
        <v>499</v>
      </c>
      <c r="C277" s="67">
        <v>4106313.0</v>
      </c>
      <c r="D277" s="67">
        <v>4106313.0</v>
      </c>
      <c r="E277" s="67">
        <v>0.0</v>
      </c>
      <c r="F277" s="67">
        <v>0.0</v>
      </c>
      <c r="G277" s="67">
        <v>0.0</v>
      </c>
      <c r="H277" s="67">
        <v>2230200.0</v>
      </c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21.0" customHeight="1">
      <c r="A278" s="77">
        <v>1.90955062E8</v>
      </c>
      <c r="B278" s="77" t="s">
        <v>500</v>
      </c>
      <c r="C278" s="67">
        <v>4025589.0</v>
      </c>
      <c r="D278" s="67">
        <v>4025589.0</v>
      </c>
      <c r="E278" s="67">
        <v>0.0</v>
      </c>
      <c r="F278" s="67">
        <v>0.0</v>
      </c>
      <c r="G278" s="67">
        <v>0.0</v>
      </c>
      <c r="H278" s="67">
        <v>1.48450062E8</v>
      </c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21.0" customHeight="1">
      <c r="A279" s="77">
        <v>1.93515397E8</v>
      </c>
      <c r="B279" s="77" t="s">
        <v>501</v>
      </c>
      <c r="C279" s="67">
        <v>3859577.0</v>
      </c>
      <c r="D279" s="67">
        <v>3859577.0</v>
      </c>
      <c r="E279" s="67">
        <v>0.0</v>
      </c>
      <c r="F279" s="67">
        <v>0.0</v>
      </c>
      <c r="G279" s="67">
        <v>0.0</v>
      </c>
      <c r="H279" s="67">
        <v>1.4873896E7</v>
      </c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21.0" customHeight="1">
      <c r="A280" s="77">
        <v>1.76243565E8</v>
      </c>
      <c r="B280" s="77" t="s">
        <v>502</v>
      </c>
      <c r="C280" s="67">
        <v>3607804.0</v>
      </c>
      <c r="D280" s="67">
        <v>3607804.0</v>
      </c>
      <c r="E280" s="67">
        <v>0.0</v>
      </c>
      <c r="F280" s="67">
        <v>0.0</v>
      </c>
      <c r="G280" s="67">
        <v>0.0</v>
      </c>
      <c r="H280" s="67">
        <v>0.0</v>
      </c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21.0" customHeight="1">
      <c r="A281" s="77">
        <v>1.71303189E8</v>
      </c>
      <c r="B281" s="77" t="s">
        <v>503</v>
      </c>
      <c r="C281" s="67">
        <v>3502233.0</v>
      </c>
      <c r="D281" s="67">
        <v>3502233.0</v>
      </c>
      <c r="E281" s="67">
        <v>0.0</v>
      </c>
      <c r="F281" s="67">
        <v>0.0</v>
      </c>
      <c r="G281" s="67">
        <v>0.0</v>
      </c>
      <c r="H281" s="67">
        <v>1.5554776E8</v>
      </c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21.0" customHeight="1">
      <c r="A282" s="77">
        <v>1.44091906E8</v>
      </c>
      <c r="B282" s="77" t="s">
        <v>504</v>
      </c>
      <c r="C282" s="67">
        <v>3375048.0</v>
      </c>
      <c r="D282" s="67">
        <v>3375048.0</v>
      </c>
      <c r="E282" s="67">
        <v>0.0</v>
      </c>
      <c r="F282" s="67">
        <v>0.0</v>
      </c>
      <c r="G282" s="67">
        <v>0.0</v>
      </c>
      <c r="H282" s="67">
        <v>0.0</v>
      </c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21.0" customHeight="1">
      <c r="A283" s="77">
        <v>2.14288343E8</v>
      </c>
      <c r="B283" s="77" t="s">
        <v>505</v>
      </c>
      <c r="C283" s="67">
        <v>3300765.0</v>
      </c>
      <c r="D283" s="67">
        <v>3300765.0</v>
      </c>
      <c r="E283" s="67">
        <v>0.0</v>
      </c>
      <c r="F283" s="67">
        <v>0.0</v>
      </c>
      <c r="G283" s="67">
        <v>0.0</v>
      </c>
      <c r="H283" s="67">
        <v>8.0790777E7</v>
      </c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21.0" customHeight="1">
      <c r="A284" s="77">
        <v>2.15442541E8</v>
      </c>
      <c r="B284" s="77" t="s">
        <v>506</v>
      </c>
      <c r="C284" s="67">
        <v>3243949.0</v>
      </c>
      <c r="D284" s="67">
        <v>3243949.0</v>
      </c>
      <c r="E284" s="67">
        <v>0.0</v>
      </c>
      <c r="F284" s="67">
        <v>0.0</v>
      </c>
      <c r="G284" s="67">
        <v>0.0</v>
      </c>
      <c r="H284" s="67">
        <v>7.4304679E7</v>
      </c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21.0" customHeight="1">
      <c r="A285" s="77">
        <v>2.15443338E8</v>
      </c>
      <c r="B285" s="77" t="s">
        <v>507</v>
      </c>
      <c r="C285" s="67">
        <v>3199226.0</v>
      </c>
      <c r="D285" s="67">
        <v>3199226.0</v>
      </c>
      <c r="E285" s="67">
        <v>0.0</v>
      </c>
      <c r="F285" s="67">
        <v>0.0</v>
      </c>
      <c r="G285" s="67">
        <v>0.0</v>
      </c>
      <c r="H285" s="67">
        <v>6.7932296E7</v>
      </c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21.0" customHeight="1">
      <c r="A286" s="77">
        <v>2.01207267E8</v>
      </c>
      <c r="B286" s="77" t="s">
        <v>508</v>
      </c>
      <c r="C286" s="67">
        <v>3126673.0</v>
      </c>
      <c r="D286" s="67">
        <v>3126673.0</v>
      </c>
      <c r="E286" s="67">
        <v>0.0</v>
      </c>
      <c r="F286" s="67">
        <v>0.0</v>
      </c>
      <c r="G286" s="67">
        <v>0.0</v>
      </c>
      <c r="H286" s="67">
        <v>6124473.0</v>
      </c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21.0" customHeight="1">
      <c r="A287" s="77">
        <v>2.14289079E8</v>
      </c>
      <c r="B287" s="77" t="s">
        <v>509</v>
      </c>
      <c r="C287" s="67">
        <v>3120801.0</v>
      </c>
      <c r="D287" s="67">
        <v>3120801.0</v>
      </c>
      <c r="E287" s="67">
        <v>0.0</v>
      </c>
      <c r="F287" s="67">
        <v>0.0</v>
      </c>
      <c r="G287" s="67">
        <v>0.0</v>
      </c>
      <c r="H287" s="67">
        <v>7.0347915E7</v>
      </c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21.0" customHeight="1">
      <c r="A288" s="77">
        <v>1.93878993E8</v>
      </c>
      <c r="B288" s="77" t="s">
        <v>510</v>
      </c>
      <c r="C288" s="67">
        <v>3091180.0</v>
      </c>
      <c r="D288" s="67">
        <v>3091180.0</v>
      </c>
      <c r="E288" s="67">
        <v>0.0</v>
      </c>
      <c r="F288" s="67">
        <v>0.0</v>
      </c>
      <c r="G288" s="67">
        <v>0.0</v>
      </c>
      <c r="H288" s="67">
        <v>2142000.0</v>
      </c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21.0" customHeight="1">
      <c r="A289" s="77">
        <v>2.19342764E8</v>
      </c>
      <c r="B289" s="77" t="s">
        <v>511</v>
      </c>
      <c r="C289" s="67">
        <v>3067807.0</v>
      </c>
      <c r="D289" s="67">
        <v>3067807.0</v>
      </c>
      <c r="E289" s="67">
        <v>0.0</v>
      </c>
      <c r="F289" s="67">
        <v>0.0</v>
      </c>
      <c r="G289" s="67">
        <v>0.0</v>
      </c>
      <c r="H289" s="67">
        <v>4366494.0</v>
      </c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21.0" customHeight="1">
      <c r="A290" s="77">
        <v>1.57339912E8</v>
      </c>
      <c r="B290" s="77" t="s">
        <v>512</v>
      </c>
      <c r="C290" s="67">
        <v>2869649.0</v>
      </c>
      <c r="D290" s="67">
        <v>2890263.0</v>
      </c>
      <c r="E290" s="67">
        <v>0.0</v>
      </c>
      <c r="F290" s="67">
        <v>0.0</v>
      </c>
      <c r="G290" s="67">
        <v>0.0</v>
      </c>
      <c r="H290" s="67">
        <v>4.4706472E7</v>
      </c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21.0" customHeight="1">
      <c r="A291" s="77">
        <v>1.44019748E8</v>
      </c>
      <c r="B291" s="77" t="s">
        <v>513</v>
      </c>
      <c r="C291" s="67">
        <v>2845910.0</v>
      </c>
      <c r="D291" s="67">
        <v>2845910.0</v>
      </c>
      <c r="E291" s="67">
        <v>0.0</v>
      </c>
      <c r="F291" s="67">
        <v>0.0</v>
      </c>
      <c r="G291" s="67">
        <v>0.0</v>
      </c>
      <c r="H291" s="67">
        <v>8573662.0</v>
      </c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21.0" customHeight="1">
      <c r="A292" s="77">
        <v>2.2056383E8</v>
      </c>
      <c r="B292" s="77" t="s">
        <v>514</v>
      </c>
      <c r="C292" s="67">
        <v>2828057.0</v>
      </c>
      <c r="D292" s="67">
        <v>2828057.0</v>
      </c>
      <c r="E292" s="67">
        <v>0.0</v>
      </c>
      <c r="F292" s="67">
        <v>0.0</v>
      </c>
      <c r="G292" s="67">
        <v>0.0</v>
      </c>
      <c r="H292" s="67">
        <v>6.953625E7</v>
      </c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21.0" customHeight="1">
      <c r="A293" s="77">
        <v>1.93246823E8</v>
      </c>
      <c r="B293" s="77" t="s">
        <v>515</v>
      </c>
      <c r="C293" s="67">
        <v>2776278.0</v>
      </c>
      <c r="D293" s="67">
        <v>2776278.0</v>
      </c>
      <c r="E293" s="67">
        <v>0.0</v>
      </c>
      <c r="F293" s="67">
        <v>0.0</v>
      </c>
      <c r="G293" s="67">
        <v>0.0</v>
      </c>
      <c r="H293" s="67">
        <v>3.4955956E7</v>
      </c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21.0" customHeight="1">
      <c r="A294" s="77">
        <v>2.06594083E8</v>
      </c>
      <c r="B294" s="77" t="s">
        <v>516</v>
      </c>
      <c r="C294" s="67">
        <v>2686960.0</v>
      </c>
      <c r="D294" s="67">
        <v>2686960.0</v>
      </c>
      <c r="E294" s="67">
        <v>0.0</v>
      </c>
      <c r="F294" s="67">
        <v>0.0</v>
      </c>
      <c r="G294" s="67">
        <v>0.0</v>
      </c>
      <c r="H294" s="67">
        <v>0.0</v>
      </c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21.0" customHeight="1">
      <c r="A295" s="77">
        <v>1.77275932E8</v>
      </c>
      <c r="B295" s="77" t="s">
        <v>517</v>
      </c>
      <c r="C295" s="67">
        <v>2538400.0</v>
      </c>
      <c r="D295" s="67">
        <v>2538400.0</v>
      </c>
      <c r="E295" s="67">
        <v>0.0</v>
      </c>
      <c r="F295" s="67">
        <v>0.0</v>
      </c>
      <c r="G295" s="67">
        <v>0.0</v>
      </c>
      <c r="H295" s="67">
        <v>7.5722553E7</v>
      </c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21.0" customHeight="1">
      <c r="A296" s="77">
        <v>2.04811327E8</v>
      </c>
      <c r="B296" s="77" t="s">
        <v>518</v>
      </c>
      <c r="C296" s="67">
        <v>2425837.0</v>
      </c>
      <c r="D296" s="67">
        <v>2425837.0</v>
      </c>
      <c r="E296" s="67">
        <v>0.0</v>
      </c>
      <c r="F296" s="67">
        <v>0.0</v>
      </c>
      <c r="G296" s="67">
        <v>0.0</v>
      </c>
      <c r="H296" s="67">
        <v>1.2310644E7</v>
      </c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21.0" customHeight="1">
      <c r="A297" s="77">
        <v>1.71358267E8</v>
      </c>
      <c r="B297" s="77" t="s">
        <v>519</v>
      </c>
      <c r="C297" s="67">
        <v>2384450.0</v>
      </c>
      <c r="D297" s="67">
        <v>2384450.0</v>
      </c>
      <c r="E297" s="67">
        <v>0.0</v>
      </c>
      <c r="F297" s="67">
        <v>0.0</v>
      </c>
      <c r="G297" s="67">
        <v>0.0</v>
      </c>
      <c r="H297" s="67">
        <v>3.7734104E7</v>
      </c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21.0" customHeight="1">
      <c r="A298" s="77">
        <v>1.70611716E8</v>
      </c>
      <c r="B298" s="77" t="s">
        <v>520</v>
      </c>
      <c r="C298" s="67">
        <v>2376313.0</v>
      </c>
      <c r="D298" s="67">
        <v>2376313.0</v>
      </c>
      <c r="E298" s="67">
        <v>0.0</v>
      </c>
      <c r="F298" s="67">
        <v>0.0</v>
      </c>
      <c r="G298" s="67">
        <v>0.0</v>
      </c>
      <c r="H298" s="67">
        <v>1.19480949E8</v>
      </c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21.0" customHeight="1">
      <c r="A299" s="77">
        <v>2.07658325E8</v>
      </c>
      <c r="B299" s="77" t="s">
        <v>521</v>
      </c>
      <c r="C299" s="67">
        <v>2252604.0</v>
      </c>
      <c r="D299" s="67">
        <v>2252604.0</v>
      </c>
      <c r="E299" s="67">
        <v>0.0</v>
      </c>
      <c r="F299" s="67">
        <v>0.0</v>
      </c>
      <c r="G299" s="67">
        <v>0.0</v>
      </c>
      <c r="H299" s="67">
        <v>9.8855466E7</v>
      </c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21.0" customHeight="1">
      <c r="A300" s="77">
        <v>1.88701676E8</v>
      </c>
      <c r="B300" s="77" t="s">
        <v>522</v>
      </c>
      <c r="C300" s="67">
        <v>2006388.0</v>
      </c>
      <c r="D300" s="67">
        <v>2006388.0</v>
      </c>
      <c r="E300" s="67">
        <v>0.0</v>
      </c>
      <c r="F300" s="67">
        <v>0.0</v>
      </c>
      <c r="G300" s="67">
        <v>0.0</v>
      </c>
      <c r="H300" s="67">
        <v>4.2145637E7</v>
      </c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21.0" customHeight="1">
      <c r="A301" s="77">
        <v>2.05928194E8</v>
      </c>
      <c r="B301" s="77" t="s">
        <v>523</v>
      </c>
      <c r="C301" s="67">
        <v>1853202.0</v>
      </c>
      <c r="D301" s="67">
        <v>2621538.0</v>
      </c>
      <c r="E301" s="67">
        <v>0.0</v>
      </c>
      <c r="F301" s="67">
        <v>0.0</v>
      </c>
      <c r="G301" s="67">
        <v>0.0</v>
      </c>
      <c r="H301" s="67">
        <v>4.86675E7</v>
      </c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21.0" customHeight="1">
      <c r="A302" s="77">
        <v>1.44003459E8</v>
      </c>
      <c r="B302" s="77" t="s">
        <v>524</v>
      </c>
      <c r="C302" s="67">
        <v>1772250.0</v>
      </c>
      <c r="D302" s="67">
        <v>1772250.0</v>
      </c>
      <c r="E302" s="67">
        <v>0.0</v>
      </c>
      <c r="F302" s="67">
        <v>0.0</v>
      </c>
      <c r="G302" s="67">
        <v>23730.0</v>
      </c>
      <c r="H302" s="67">
        <v>1.07707537E8</v>
      </c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21.0" customHeight="1">
      <c r="A303" s="77">
        <v>1.96262433E8</v>
      </c>
      <c r="B303" s="77" t="s">
        <v>525</v>
      </c>
      <c r="C303" s="67">
        <v>1771715.0</v>
      </c>
      <c r="D303" s="67">
        <v>1771715.0</v>
      </c>
      <c r="E303" s="67">
        <v>0.0</v>
      </c>
      <c r="F303" s="67">
        <v>0.0</v>
      </c>
      <c r="G303" s="67">
        <v>0.0</v>
      </c>
      <c r="H303" s="67">
        <v>0.0</v>
      </c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21.0" customHeight="1">
      <c r="A304" s="77">
        <v>1.43739483E8</v>
      </c>
      <c r="B304" s="77" t="s">
        <v>526</v>
      </c>
      <c r="C304" s="67">
        <v>1743939.0</v>
      </c>
      <c r="D304" s="67">
        <v>1743939.0</v>
      </c>
      <c r="E304" s="67">
        <v>0.0</v>
      </c>
      <c r="F304" s="67">
        <v>0.0</v>
      </c>
      <c r="G304" s="67">
        <v>0.0</v>
      </c>
      <c r="H304" s="67">
        <v>0.0</v>
      </c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21.0" customHeight="1">
      <c r="A305" s="77">
        <v>1.97796106E8</v>
      </c>
      <c r="B305" s="77" t="s">
        <v>527</v>
      </c>
      <c r="C305" s="67">
        <v>1467821.0</v>
      </c>
      <c r="D305" s="67">
        <v>1467821.0</v>
      </c>
      <c r="E305" s="67">
        <v>0.0</v>
      </c>
      <c r="F305" s="67">
        <v>0.0</v>
      </c>
      <c r="G305" s="67">
        <v>0.0</v>
      </c>
      <c r="H305" s="67">
        <v>5.2312725E7</v>
      </c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21.0" customHeight="1">
      <c r="A306" s="77">
        <v>1.44096892E8</v>
      </c>
      <c r="B306" s="77" t="s">
        <v>528</v>
      </c>
      <c r="C306" s="67">
        <v>1465308.0</v>
      </c>
      <c r="D306" s="67">
        <v>1465308.0</v>
      </c>
      <c r="E306" s="67">
        <v>0.0</v>
      </c>
      <c r="F306" s="67">
        <v>0.0</v>
      </c>
      <c r="G306" s="67">
        <v>0.0</v>
      </c>
      <c r="H306" s="67">
        <v>0.0</v>
      </c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21.0" customHeight="1">
      <c r="A307" s="77">
        <v>2.18206146E8</v>
      </c>
      <c r="B307" s="77" t="s">
        <v>529</v>
      </c>
      <c r="C307" s="67">
        <v>1454439.0</v>
      </c>
      <c r="D307" s="67">
        <v>1454439.0</v>
      </c>
      <c r="E307" s="67">
        <v>0.0</v>
      </c>
      <c r="F307" s="67">
        <v>0.0</v>
      </c>
      <c r="G307" s="67">
        <v>0.0</v>
      </c>
      <c r="H307" s="67">
        <v>1.4854081E7</v>
      </c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21.0" customHeight="1">
      <c r="A308" s="77">
        <v>1.88837345E8</v>
      </c>
      <c r="B308" s="77" t="s">
        <v>530</v>
      </c>
      <c r="C308" s="67">
        <v>1406390.0</v>
      </c>
      <c r="D308" s="67">
        <v>1406390.0</v>
      </c>
      <c r="E308" s="67">
        <v>0.0</v>
      </c>
      <c r="F308" s="67">
        <v>0.0</v>
      </c>
      <c r="G308" s="67">
        <v>0.0</v>
      </c>
      <c r="H308" s="67">
        <v>3.2901583E7</v>
      </c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21.0" customHeight="1">
      <c r="A309" s="77">
        <v>1.93528479E8</v>
      </c>
      <c r="B309" s="77" t="s">
        <v>531</v>
      </c>
      <c r="C309" s="67">
        <v>1403411.0</v>
      </c>
      <c r="D309" s="67">
        <v>1489460.0</v>
      </c>
      <c r="E309" s="67">
        <v>0.0</v>
      </c>
      <c r="F309" s="67">
        <v>0.0</v>
      </c>
      <c r="G309" s="67">
        <v>0.0</v>
      </c>
      <c r="H309" s="67">
        <v>9157375.0</v>
      </c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21.0" customHeight="1">
      <c r="A310" s="77">
        <v>6.0858422E7</v>
      </c>
      <c r="B310" s="77" t="s">
        <v>532</v>
      </c>
      <c r="C310" s="67">
        <v>1402346.0</v>
      </c>
      <c r="D310" s="67">
        <v>1402346.0</v>
      </c>
      <c r="E310" s="67">
        <v>0.0</v>
      </c>
      <c r="F310" s="67">
        <v>0.0</v>
      </c>
      <c r="G310" s="67">
        <v>0.0</v>
      </c>
      <c r="H310" s="67">
        <v>0.0</v>
      </c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21.0" customHeight="1">
      <c r="A311" s="77">
        <v>1.44114367E8</v>
      </c>
      <c r="B311" s="77" t="s">
        <v>533</v>
      </c>
      <c r="C311" s="67">
        <v>1113987.0</v>
      </c>
      <c r="D311" s="67">
        <v>1413585.0</v>
      </c>
      <c r="E311" s="67">
        <v>0.0</v>
      </c>
      <c r="F311" s="67">
        <v>0.0</v>
      </c>
      <c r="G311" s="67">
        <v>0.0</v>
      </c>
      <c r="H311" s="67">
        <v>0.0</v>
      </c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21.0" customHeight="1">
      <c r="A312" s="77">
        <v>1.44078727E8</v>
      </c>
      <c r="B312" s="77" t="s">
        <v>534</v>
      </c>
      <c r="C312" s="67">
        <v>1070925.0</v>
      </c>
      <c r="D312" s="67">
        <v>1181410.0</v>
      </c>
      <c r="E312" s="67">
        <v>0.0</v>
      </c>
      <c r="F312" s="67">
        <v>0.0</v>
      </c>
      <c r="G312" s="67">
        <v>0.0</v>
      </c>
      <c r="H312" s="67">
        <v>0.0</v>
      </c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21.0" customHeight="1">
      <c r="A313" s="77">
        <v>1.43999942E8</v>
      </c>
      <c r="B313" s="77" t="s">
        <v>535</v>
      </c>
      <c r="C313" s="67">
        <v>1069383.0</v>
      </c>
      <c r="D313" s="67">
        <v>1423888.0</v>
      </c>
      <c r="E313" s="67">
        <v>0.0</v>
      </c>
      <c r="F313" s="67">
        <v>0.0</v>
      </c>
      <c r="G313" s="67">
        <v>0.0</v>
      </c>
      <c r="H313" s="67">
        <v>0.0</v>
      </c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21.0" customHeight="1">
      <c r="A314" s="77">
        <v>2.2161084E7</v>
      </c>
      <c r="B314" s="77" t="s">
        <v>536</v>
      </c>
      <c r="C314" s="67">
        <v>929787.0</v>
      </c>
      <c r="D314" s="67">
        <v>1266115.0</v>
      </c>
      <c r="E314" s="67">
        <v>0.0</v>
      </c>
      <c r="F314" s="67">
        <v>0.0</v>
      </c>
      <c r="G314" s="67">
        <v>0.0</v>
      </c>
      <c r="H314" s="67">
        <v>0.0</v>
      </c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21.0" customHeight="1">
      <c r="A315" s="77">
        <v>1.43940084E8</v>
      </c>
      <c r="B315" s="177" t="s">
        <v>537</v>
      </c>
      <c r="C315" s="67">
        <v>892391.0</v>
      </c>
      <c r="D315" s="67">
        <v>892391.0</v>
      </c>
      <c r="E315" s="67">
        <v>0.0</v>
      </c>
      <c r="F315" s="67">
        <v>0.0</v>
      </c>
      <c r="G315" s="67">
        <v>0.0</v>
      </c>
      <c r="H315" s="67">
        <v>0.0</v>
      </c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21.0" customHeight="1">
      <c r="A316" s="77">
        <v>2.13060092E8</v>
      </c>
      <c r="B316" s="77" t="s">
        <v>538</v>
      </c>
      <c r="C316" s="67">
        <v>712543.0</v>
      </c>
      <c r="D316" s="67">
        <v>712543.0</v>
      </c>
      <c r="E316" s="67">
        <v>0.0</v>
      </c>
      <c r="F316" s="67">
        <v>0.0</v>
      </c>
      <c r="G316" s="67">
        <v>0.0</v>
      </c>
      <c r="H316" s="67">
        <v>0.0</v>
      </c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21.0" customHeight="1">
      <c r="A317" s="77">
        <v>1.73691563E8</v>
      </c>
      <c r="B317" s="77" t="s">
        <v>539</v>
      </c>
      <c r="C317" s="67">
        <v>709575.0</v>
      </c>
      <c r="D317" s="67">
        <v>709575.0</v>
      </c>
      <c r="E317" s="67">
        <v>0.0</v>
      </c>
      <c r="F317" s="67">
        <v>0.0</v>
      </c>
      <c r="G317" s="67">
        <v>0.0</v>
      </c>
      <c r="H317" s="67">
        <v>6152638.0</v>
      </c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21.0" customHeight="1">
      <c r="A318" s="77">
        <v>2.26921936E8</v>
      </c>
      <c r="B318" s="77" t="s">
        <v>540</v>
      </c>
      <c r="C318" s="67">
        <v>555405.0</v>
      </c>
      <c r="D318" s="67">
        <v>555405.0</v>
      </c>
      <c r="E318" s="67">
        <v>0.0</v>
      </c>
      <c r="F318" s="67">
        <v>0.0</v>
      </c>
      <c r="G318" s="67">
        <v>0.0</v>
      </c>
      <c r="H318" s="67">
        <v>0.0</v>
      </c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21.0" customHeight="1">
      <c r="A319" s="77">
        <v>2.09334209E8</v>
      </c>
      <c r="B319" s="77" t="s">
        <v>541</v>
      </c>
      <c r="C319" s="67">
        <v>453844.0</v>
      </c>
      <c r="D319" s="67">
        <v>453844.0</v>
      </c>
      <c r="E319" s="67">
        <v>0.0</v>
      </c>
      <c r="F319" s="67">
        <v>0.0</v>
      </c>
      <c r="G319" s="67">
        <v>0.0</v>
      </c>
      <c r="H319" s="67">
        <v>5478264.0</v>
      </c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21.0" customHeight="1">
      <c r="A320" s="77">
        <v>1.44068816E8</v>
      </c>
      <c r="B320" s="77" t="s">
        <v>542</v>
      </c>
      <c r="C320" s="67">
        <v>452812.0</v>
      </c>
      <c r="D320" s="67">
        <v>623620.0</v>
      </c>
      <c r="E320" s="67">
        <v>0.0</v>
      </c>
      <c r="F320" s="67">
        <v>0.0</v>
      </c>
      <c r="G320" s="67">
        <v>0.0</v>
      </c>
      <c r="H320" s="67">
        <v>0.0</v>
      </c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21.0" customHeight="1">
      <c r="A321" s="77">
        <v>2.27368538E8</v>
      </c>
      <c r="B321" s="77" t="s">
        <v>543</v>
      </c>
      <c r="C321" s="67">
        <v>440273.0</v>
      </c>
      <c r="D321" s="67">
        <v>440273.0</v>
      </c>
      <c r="E321" s="67">
        <v>0.0</v>
      </c>
      <c r="F321" s="67">
        <v>0.0</v>
      </c>
      <c r="G321" s="67">
        <v>0.0</v>
      </c>
      <c r="H321" s="67">
        <v>2.7282772E7</v>
      </c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21.0" customHeight="1">
      <c r="A322" s="77">
        <v>1.09187588E8</v>
      </c>
      <c r="B322" s="77" t="s">
        <v>544</v>
      </c>
      <c r="C322" s="67">
        <v>425217.0</v>
      </c>
      <c r="D322" s="67">
        <v>425217.0</v>
      </c>
      <c r="E322" s="67">
        <v>0.0</v>
      </c>
      <c r="F322" s="67">
        <v>0.0</v>
      </c>
      <c r="G322" s="67">
        <v>0.0</v>
      </c>
      <c r="H322" s="67">
        <v>0.0</v>
      </c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21.0" customHeight="1">
      <c r="A323" s="77">
        <v>1.44046309E8</v>
      </c>
      <c r="B323" s="77" t="s">
        <v>545</v>
      </c>
      <c r="C323" s="67">
        <v>387619.0</v>
      </c>
      <c r="D323" s="67">
        <v>387619.0</v>
      </c>
      <c r="E323" s="67">
        <v>0.0</v>
      </c>
      <c r="F323" s="67">
        <v>0.0</v>
      </c>
      <c r="G323" s="67">
        <v>0.0</v>
      </c>
      <c r="H323" s="67">
        <v>0.0</v>
      </c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21.0" customHeight="1">
      <c r="A324" s="77">
        <v>2.20286E8</v>
      </c>
      <c r="B324" s="77" t="s">
        <v>546</v>
      </c>
      <c r="C324" s="67">
        <v>378113.0</v>
      </c>
      <c r="D324" s="67">
        <v>378113.0</v>
      </c>
      <c r="E324" s="67">
        <v>0.0</v>
      </c>
      <c r="F324" s="67">
        <v>0.0</v>
      </c>
      <c r="G324" s="67">
        <v>0.0</v>
      </c>
      <c r="H324" s="67">
        <v>1596450.0</v>
      </c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21.0" customHeight="1">
      <c r="A325" s="77">
        <v>1.44046611E8</v>
      </c>
      <c r="B325" s="77" t="s">
        <v>547</v>
      </c>
      <c r="C325" s="67">
        <v>347268.0</v>
      </c>
      <c r="D325" s="67">
        <v>347268.0</v>
      </c>
      <c r="E325" s="67">
        <v>0.0</v>
      </c>
      <c r="F325" s="67">
        <v>0.0</v>
      </c>
      <c r="G325" s="67">
        <v>0.0</v>
      </c>
      <c r="H325" s="67">
        <v>0.0</v>
      </c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21.0" customHeight="1">
      <c r="A326" s="77">
        <v>2.27949592E8</v>
      </c>
      <c r="B326" s="77" t="s">
        <v>548</v>
      </c>
      <c r="C326" s="67">
        <v>221466.0</v>
      </c>
      <c r="D326" s="67">
        <v>221466.0</v>
      </c>
      <c r="E326" s="67">
        <v>0.0</v>
      </c>
      <c r="F326" s="67">
        <v>0.0</v>
      </c>
      <c r="G326" s="67">
        <v>0.0</v>
      </c>
      <c r="H326" s="67">
        <v>0.0</v>
      </c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21.0" customHeight="1">
      <c r="A327" s="77">
        <v>1.44047315E8</v>
      </c>
      <c r="B327" s="77" t="s">
        <v>549</v>
      </c>
      <c r="C327" s="67">
        <v>194376.0</v>
      </c>
      <c r="D327" s="67">
        <v>194376.0</v>
      </c>
      <c r="E327" s="67">
        <v>0.0</v>
      </c>
      <c r="F327" s="67">
        <v>0.0</v>
      </c>
      <c r="G327" s="67">
        <v>0.0</v>
      </c>
      <c r="H327" s="67">
        <v>0.0</v>
      </c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21.0" customHeight="1">
      <c r="A328" s="77">
        <v>1.44078045E8</v>
      </c>
      <c r="B328" s="77" t="s">
        <v>550</v>
      </c>
      <c r="C328" s="67">
        <v>167620.0</v>
      </c>
      <c r="D328" s="67">
        <v>172100.0</v>
      </c>
      <c r="E328" s="67">
        <v>0.0</v>
      </c>
      <c r="F328" s="67">
        <v>0.0</v>
      </c>
      <c r="G328" s="67">
        <v>0.0</v>
      </c>
      <c r="H328" s="67">
        <v>0.0</v>
      </c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21.0" customHeight="1">
      <c r="A329" s="77">
        <v>1.44063364E8</v>
      </c>
      <c r="B329" s="77" t="s">
        <v>551</v>
      </c>
      <c r="C329" s="67">
        <v>164021.0</v>
      </c>
      <c r="D329" s="67">
        <v>164021.0</v>
      </c>
      <c r="E329" s="67">
        <v>0.0</v>
      </c>
      <c r="F329" s="67">
        <v>0.0</v>
      </c>
      <c r="G329" s="67">
        <v>0.0</v>
      </c>
      <c r="H329" s="67">
        <v>0.0</v>
      </c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21.0" customHeight="1">
      <c r="A330" s="77">
        <v>1.44062932E8</v>
      </c>
      <c r="B330" s="77" t="s">
        <v>552</v>
      </c>
      <c r="C330" s="67">
        <v>161606.0</v>
      </c>
      <c r="D330" s="67">
        <v>161606.0</v>
      </c>
      <c r="E330" s="67">
        <v>0.0</v>
      </c>
      <c r="F330" s="67">
        <v>0.0</v>
      </c>
      <c r="G330" s="67">
        <v>0.0</v>
      </c>
      <c r="H330" s="67">
        <v>0.0</v>
      </c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21.0" customHeight="1">
      <c r="A331" s="77">
        <v>1.44046214E8</v>
      </c>
      <c r="B331" s="77" t="s">
        <v>553</v>
      </c>
      <c r="C331" s="67">
        <v>154397.0</v>
      </c>
      <c r="D331" s="67">
        <v>154397.0</v>
      </c>
      <c r="E331" s="67">
        <v>0.0</v>
      </c>
      <c r="F331" s="67">
        <v>0.0</v>
      </c>
      <c r="G331" s="67">
        <v>0.0</v>
      </c>
      <c r="H331" s="67">
        <v>0.0</v>
      </c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21.0" customHeight="1">
      <c r="A332" s="77">
        <v>1.44052959E8</v>
      </c>
      <c r="B332" s="77" t="s">
        <v>554</v>
      </c>
      <c r="C332" s="67">
        <v>114264.0</v>
      </c>
      <c r="D332" s="67">
        <v>114264.0</v>
      </c>
      <c r="E332" s="67">
        <v>0.0</v>
      </c>
      <c r="F332" s="67">
        <v>0.0</v>
      </c>
      <c r="G332" s="67">
        <v>0.0</v>
      </c>
      <c r="H332" s="67">
        <v>0.0</v>
      </c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21.0" customHeight="1">
      <c r="A333" s="77">
        <v>1.44020409E8</v>
      </c>
      <c r="B333" s="177" t="s">
        <v>555</v>
      </c>
      <c r="C333" s="67">
        <v>89689.0</v>
      </c>
      <c r="D333" s="67">
        <v>89689.0</v>
      </c>
      <c r="E333" s="67">
        <v>0.0</v>
      </c>
      <c r="F333" s="67">
        <v>0.0</v>
      </c>
      <c r="G333" s="67">
        <v>0.0</v>
      </c>
      <c r="H333" s="67">
        <v>0.0</v>
      </c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21.0" customHeight="1">
      <c r="A334" s="77">
        <v>1.44041149E8</v>
      </c>
      <c r="B334" s="77" t="s">
        <v>556</v>
      </c>
      <c r="C334" s="67">
        <v>68782.0</v>
      </c>
      <c r="D334" s="67">
        <v>68782.0</v>
      </c>
      <c r="E334" s="67">
        <v>0.0</v>
      </c>
      <c r="F334" s="67">
        <v>0.0</v>
      </c>
      <c r="G334" s="67">
        <v>0.0</v>
      </c>
      <c r="H334" s="67">
        <v>0.0</v>
      </c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21.0" customHeight="1">
      <c r="A335" s="77">
        <v>1.44053453E8</v>
      </c>
      <c r="B335" s="77" t="s">
        <v>557</v>
      </c>
      <c r="C335" s="67">
        <v>48113.0</v>
      </c>
      <c r="D335" s="67">
        <v>63108.0</v>
      </c>
      <c r="E335" s="67">
        <v>0.0</v>
      </c>
      <c r="F335" s="67">
        <v>0.0</v>
      </c>
      <c r="G335" s="67">
        <v>0.0</v>
      </c>
      <c r="H335" s="67">
        <v>0.0</v>
      </c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21.0" customHeight="1">
      <c r="A336" s="77">
        <v>2.2560278E8</v>
      </c>
      <c r="B336" s="77" t="s">
        <v>558</v>
      </c>
      <c r="C336" s="67">
        <v>42986.0</v>
      </c>
      <c r="D336" s="67">
        <v>42986.0</v>
      </c>
      <c r="E336" s="67">
        <v>0.0</v>
      </c>
      <c r="F336" s="67">
        <v>0.0</v>
      </c>
      <c r="G336" s="67">
        <v>0.0</v>
      </c>
      <c r="H336" s="67">
        <v>0.0</v>
      </c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21.0" customHeight="1">
      <c r="A337" s="77">
        <v>2.21326134E8</v>
      </c>
      <c r="B337" s="77" t="s">
        <v>559</v>
      </c>
      <c r="C337" s="67">
        <v>42231.0</v>
      </c>
      <c r="D337" s="67">
        <v>42231.0</v>
      </c>
      <c r="E337" s="67">
        <v>0.0</v>
      </c>
      <c r="F337" s="67">
        <v>0.0</v>
      </c>
      <c r="G337" s="67">
        <v>0.0</v>
      </c>
      <c r="H337" s="67">
        <v>0.0</v>
      </c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21.0" customHeight="1">
      <c r="A338" s="77">
        <v>2.0329988E8</v>
      </c>
      <c r="B338" s="77" t="s">
        <v>560</v>
      </c>
      <c r="C338" s="67">
        <v>41871.0</v>
      </c>
      <c r="D338" s="67">
        <v>41871.0</v>
      </c>
      <c r="E338" s="67">
        <v>0.0</v>
      </c>
      <c r="F338" s="67">
        <v>0.0</v>
      </c>
      <c r="G338" s="67">
        <v>0.0</v>
      </c>
      <c r="H338" s="67">
        <v>0.0</v>
      </c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21.0" customHeight="1">
      <c r="A339" s="77">
        <v>2.23638783E8</v>
      </c>
      <c r="B339" s="77" t="s">
        <v>561</v>
      </c>
      <c r="C339" s="67">
        <v>41256.0</v>
      </c>
      <c r="D339" s="67">
        <v>41256.0</v>
      </c>
      <c r="E339" s="67">
        <v>0.0</v>
      </c>
      <c r="F339" s="67">
        <v>0.0</v>
      </c>
      <c r="G339" s="67">
        <v>0.0</v>
      </c>
      <c r="H339" s="67">
        <v>0.0</v>
      </c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21.0" customHeight="1">
      <c r="A340" s="77">
        <v>2.052582E8</v>
      </c>
      <c r="B340" s="77" t="s">
        <v>562</v>
      </c>
      <c r="C340" s="67">
        <v>41221.0</v>
      </c>
      <c r="D340" s="67">
        <v>41221.0</v>
      </c>
      <c r="E340" s="67">
        <v>0.0</v>
      </c>
      <c r="F340" s="67">
        <v>0.0</v>
      </c>
      <c r="G340" s="67">
        <v>0.0</v>
      </c>
      <c r="H340" s="67">
        <v>0.0</v>
      </c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21.0" customHeight="1">
      <c r="A341" s="77">
        <v>2.23682698E8</v>
      </c>
      <c r="B341" s="77" t="s">
        <v>563</v>
      </c>
      <c r="C341" s="67">
        <v>40841.0</v>
      </c>
      <c r="D341" s="67">
        <v>40841.0</v>
      </c>
      <c r="E341" s="67">
        <v>0.0</v>
      </c>
      <c r="F341" s="67">
        <v>0.0</v>
      </c>
      <c r="G341" s="67">
        <v>0.0</v>
      </c>
      <c r="H341" s="67">
        <v>0.0</v>
      </c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21.0" customHeight="1">
      <c r="A342" s="77">
        <v>1.99926925E8</v>
      </c>
      <c r="B342" s="77" t="s">
        <v>564</v>
      </c>
      <c r="C342" s="67">
        <v>40831.0</v>
      </c>
      <c r="D342" s="67">
        <v>40831.0</v>
      </c>
      <c r="E342" s="67">
        <v>0.0</v>
      </c>
      <c r="F342" s="67">
        <v>0.0</v>
      </c>
      <c r="G342" s="67">
        <v>0.0</v>
      </c>
      <c r="H342" s="67">
        <v>0.0</v>
      </c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21.0" customHeight="1">
      <c r="A343" s="77">
        <v>2.21761605E8</v>
      </c>
      <c r="B343" s="77" t="s">
        <v>565</v>
      </c>
      <c r="C343" s="67">
        <v>40361.0</v>
      </c>
      <c r="D343" s="67">
        <v>40361.0</v>
      </c>
      <c r="E343" s="67">
        <v>0.0</v>
      </c>
      <c r="F343" s="67">
        <v>0.0</v>
      </c>
      <c r="G343" s="67">
        <v>0.0</v>
      </c>
      <c r="H343" s="67">
        <v>0.0</v>
      </c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21.0" customHeight="1">
      <c r="A344" s="77">
        <v>2.21305118E8</v>
      </c>
      <c r="B344" s="77" t="s">
        <v>566</v>
      </c>
      <c r="C344" s="67">
        <v>39836.0</v>
      </c>
      <c r="D344" s="67">
        <v>39836.0</v>
      </c>
      <c r="E344" s="67">
        <v>0.0</v>
      </c>
      <c r="F344" s="67">
        <v>0.0</v>
      </c>
      <c r="G344" s="67">
        <v>0.0</v>
      </c>
      <c r="H344" s="67">
        <v>0.0</v>
      </c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21.0" customHeight="1">
      <c r="A345" s="77">
        <v>2.21322627E8</v>
      </c>
      <c r="B345" s="77" t="s">
        <v>567</v>
      </c>
      <c r="C345" s="67">
        <v>39484.0</v>
      </c>
      <c r="D345" s="67">
        <v>39484.0</v>
      </c>
      <c r="E345" s="67">
        <v>0.0</v>
      </c>
      <c r="F345" s="67">
        <v>0.0</v>
      </c>
      <c r="G345" s="67">
        <v>0.0</v>
      </c>
      <c r="H345" s="67">
        <v>0.0</v>
      </c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21.0" customHeight="1">
      <c r="A346" s="77">
        <v>1.44068781E8</v>
      </c>
      <c r="B346" s="77" t="s">
        <v>568</v>
      </c>
      <c r="C346" s="67">
        <v>38989.0</v>
      </c>
      <c r="D346" s="67">
        <v>38989.0</v>
      </c>
      <c r="E346" s="67">
        <v>0.0</v>
      </c>
      <c r="F346" s="67">
        <v>0.0</v>
      </c>
      <c r="G346" s="67">
        <v>0.0</v>
      </c>
      <c r="H346" s="67">
        <v>0.0</v>
      </c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21.0" customHeight="1">
      <c r="A347" s="77">
        <v>2.21407025E8</v>
      </c>
      <c r="B347" s="77" t="s">
        <v>569</v>
      </c>
      <c r="C347" s="67">
        <v>37636.0</v>
      </c>
      <c r="D347" s="67">
        <v>37636.0</v>
      </c>
      <c r="E347" s="67">
        <v>0.0</v>
      </c>
      <c r="F347" s="67">
        <v>0.0</v>
      </c>
      <c r="G347" s="67">
        <v>0.0</v>
      </c>
      <c r="H347" s="67">
        <v>0.0</v>
      </c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21.0" customHeight="1">
      <c r="A348" s="77">
        <v>2.23646876E8</v>
      </c>
      <c r="B348" s="77" t="s">
        <v>570</v>
      </c>
      <c r="C348" s="67">
        <v>35316.0</v>
      </c>
      <c r="D348" s="67">
        <v>35316.0</v>
      </c>
      <c r="E348" s="67">
        <v>0.0</v>
      </c>
      <c r="F348" s="67">
        <v>0.0</v>
      </c>
      <c r="G348" s="67">
        <v>0.0</v>
      </c>
      <c r="H348" s="67">
        <v>0.0</v>
      </c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21.0" customHeight="1">
      <c r="A349" s="77">
        <v>2.20046696E8</v>
      </c>
      <c r="B349" s="77" t="s">
        <v>571</v>
      </c>
      <c r="C349" s="67">
        <v>34961.0</v>
      </c>
      <c r="D349" s="67">
        <v>34961.0</v>
      </c>
      <c r="E349" s="67">
        <v>0.0</v>
      </c>
      <c r="F349" s="67">
        <v>0.0</v>
      </c>
      <c r="G349" s="67">
        <v>0.0</v>
      </c>
      <c r="H349" s="67">
        <v>0.0</v>
      </c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21.0" customHeight="1">
      <c r="A350" s="77">
        <v>2.05345431E8</v>
      </c>
      <c r="B350" s="77" t="s">
        <v>572</v>
      </c>
      <c r="C350" s="67">
        <v>34195.0</v>
      </c>
      <c r="D350" s="67">
        <v>41456.0</v>
      </c>
      <c r="E350" s="67">
        <v>0.0</v>
      </c>
      <c r="F350" s="67">
        <v>0.0</v>
      </c>
      <c r="G350" s="67">
        <v>0.0</v>
      </c>
      <c r="H350" s="67">
        <v>0.0</v>
      </c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21.0" customHeight="1">
      <c r="A351" s="77">
        <v>2.25577824E8</v>
      </c>
      <c r="B351" s="77" t="s">
        <v>573</v>
      </c>
      <c r="C351" s="67">
        <v>32332.0</v>
      </c>
      <c r="D351" s="67">
        <v>32332.0</v>
      </c>
      <c r="E351" s="67">
        <v>0.0</v>
      </c>
      <c r="F351" s="67">
        <v>0.0</v>
      </c>
      <c r="G351" s="67">
        <v>0.0</v>
      </c>
      <c r="H351" s="67">
        <v>0.0</v>
      </c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21.0" customHeight="1">
      <c r="A352" s="77">
        <v>2.05746521E8</v>
      </c>
      <c r="B352" s="77" t="s">
        <v>574</v>
      </c>
      <c r="C352" s="67">
        <v>32098.0</v>
      </c>
      <c r="D352" s="67">
        <v>41486.0</v>
      </c>
      <c r="E352" s="67">
        <v>0.0</v>
      </c>
      <c r="F352" s="67">
        <v>0.0</v>
      </c>
      <c r="G352" s="67">
        <v>0.0</v>
      </c>
      <c r="H352" s="67">
        <v>0.0</v>
      </c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21.0" customHeight="1">
      <c r="A353" s="77">
        <v>2.23898643E8</v>
      </c>
      <c r="B353" s="77" t="s">
        <v>575</v>
      </c>
      <c r="C353" s="67">
        <v>32062.0</v>
      </c>
      <c r="D353" s="67">
        <v>32062.0</v>
      </c>
      <c r="E353" s="67">
        <v>0.0</v>
      </c>
      <c r="F353" s="67">
        <v>0.0</v>
      </c>
      <c r="G353" s="67">
        <v>0.0</v>
      </c>
      <c r="H353" s="67">
        <v>0.0</v>
      </c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21.0" customHeight="1">
      <c r="A354" s="77">
        <v>1.44050955E8</v>
      </c>
      <c r="B354" s="77" t="s">
        <v>576</v>
      </c>
      <c r="C354" s="67">
        <v>31100.0</v>
      </c>
      <c r="D354" s="67">
        <v>31100.0</v>
      </c>
      <c r="E354" s="67">
        <v>0.0</v>
      </c>
      <c r="F354" s="67">
        <v>0.0</v>
      </c>
      <c r="G354" s="67">
        <v>0.0</v>
      </c>
      <c r="H354" s="67">
        <v>0.0</v>
      </c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21.0" customHeight="1">
      <c r="A355" s="77">
        <v>2.23908345E8</v>
      </c>
      <c r="B355" s="77" t="s">
        <v>577</v>
      </c>
      <c r="C355" s="67">
        <v>30957.0</v>
      </c>
      <c r="D355" s="67">
        <v>30957.0</v>
      </c>
      <c r="E355" s="67">
        <v>0.0</v>
      </c>
      <c r="F355" s="67">
        <v>0.0</v>
      </c>
      <c r="G355" s="67">
        <v>0.0</v>
      </c>
      <c r="H355" s="67">
        <v>0.0</v>
      </c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21.0" customHeight="1">
      <c r="A356" s="77">
        <v>2.24750794E8</v>
      </c>
      <c r="B356" s="77" t="s">
        <v>578</v>
      </c>
      <c r="C356" s="67">
        <v>28481.0</v>
      </c>
      <c r="D356" s="67">
        <v>28481.0</v>
      </c>
      <c r="E356" s="67">
        <v>0.0</v>
      </c>
      <c r="F356" s="67">
        <v>0.0</v>
      </c>
      <c r="G356" s="67">
        <v>0.0</v>
      </c>
      <c r="H356" s="67">
        <v>0.0</v>
      </c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21.0" customHeight="1">
      <c r="A357" s="77">
        <v>2.24730459E8</v>
      </c>
      <c r="B357" s="77" t="s">
        <v>579</v>
      </c>
      <c r="C357" s="67">
        <v>26599.0</v>
      </c>
      <c r="D357" s="67">
        <v>26599.0</v>
      </c>
      <c r="E357" s="67">
        <v>0.0</v>
      </c>
      <c r="F357" s="67">
        <v>0.0</v>
      </c>
      <c r="G357" s="67">
        <v>0.0</v>
      </c>
      <c r="H357" s="67">
        <v>0.0</v>
      </c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21.0" customHeight="1">
      <c r="A358" s="77">
        <v>2.25593741E8</v>
      </c>
      <c r="B358" s="77" t="s">
        <v>580</v>
      </c>
      <c r="C358" s="67">
        <v>26259.0</v>
      </c>
      <c r="D358" s="67">
        <v>26259.0</v>
      </c>
      <c r="E358" s="67">
        <v>0.0</v>
      </c>
      <c r="F358" s="67">
        <v>0.0</v>
      </c>
      <c r="G358" s="67">
        <v>0.0</v>
      </c>
      <c r="H358" s="67">
        <v>0.0</v>
      </c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21.0" customHeight="1">
      <c r="A359" s="77">
        <v>2.24305057E8</v>
      </c>
      <c r="B359" s="77" t="s">
        <v>581</v>
      </c>
      <c r="C359" s="67">
        <v>25011.0</v>
      </c>
      <c r="D359" s="67">
        <v>42516.0</v>
      </c>
      <c r="E359" s="67">
        <v>0.0</v>
      </c>
      <c r="F359" s="67">
        <v>0.0</v>
      </c>
      <c r="G359" s="67">
        <v>0.0</v>
      </c>
      <c r="H359" s="67">
        <v>0.0</v>
      </c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21.0" customHeight="1">
      <c r="A360" s="77">
        <v>1.44060722E8</v>
      </c>
      <c r="B360" s="77" t="s">
        <v>582</v>
      </c>
      <c r="C360" s="67">
        <v>21971.0</v>
      </c>
      <c r="D360" s="67">
        <v>21971.0</v>
      </c>
      <c r="E360" s="67">
        <v>0.0</v>
      </c>
      <c r="F360" s="67">
        <v>0.0</v>
      </c>
      <c r="G360" s="67">
        <v>0.0</v>
      </c>
      <c r="H360" s="67">
        <v>0.0</v>
      </c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21.0" customHeight="1">
      <c r="A361" s="77">
        <v>1.44078603E8</v>
      </c>
      <c r="B361" s="77" t="s">
        <v>583</v>
      </c>
      <c r="C361" s="67">
        <v>16237.0</v>
      </c>
      <c r="D361" s="67">
        <v>16237.0</v>
      </c>
      <c r="E361" s="67">
        <v>0.0</v>
      </c>
      <c r="F361" s="67">
        <v>0.0</v>
      </c>
      <c r="G361" s="67">
        <v>0.0</v>
      </c>
      <c r="H361" s="67">
        <v>0.0</v>
      </c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21.0" customHeight="1">
      <c r="A362" s="77">
        <v>1.44056901E8</v>
      </c>
      <c r="B362" s="77" t="s">
        <v>584</v>
      </c>
      <c r="C362" s="67">
        <v>12340.0</v>
      </c>
      <c r="D362" s="67">
        <v>15160.0</v>
      </c>
      <c r="E362" s="67">
        <v>0.0</v>
      </c>
      <c r="F362" s="67">
        <v>0.0</v>
      </c>
      <c r="G362" s="67">
        <v>0.0</v>
      </c>
      <c r="H362" s="67">
        <v>0.0</v>
      </c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21.0" customHeight="1">
      <c r="A363" s="77">
        <v>1.64261828E8</v>
      </c>
      <c r="B363" s="77" t="s">
        <v>585</v>
      </c>
      <c r="C363" s="67">
        <v>10804.0</v>
      </c>
      <c r="D363" s="67">
        <v>10804.0</v>
      </c>
      <c r="E363" s="67">
        <v>0.0</v>
      </c>
      <c r="F363" s="67">
        <v>0.0</v>
      </c>
      <c r="G363" s="67">
        <v>0.0</v>
      </c>
      <c r="H363" s="67">
        <v>0.0</v>
      </c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21.0" customHeight="1">
      <c r="A364" s="77">
        <v>1.44056398E8</v>
      </c>
      <c r="B364" s="77" t="s">
        <v>586</v>
      </c>
      <c r="C364" s="67">
        <v>10139.0</v>
      </c>
      <c r="D364" s="67">
        <v>11809.0</v>
      </c>
      <c r="E364" s="67">
        <v>0.0</v>
      </c>
      <c r="F364" s="67">
        <v>0.0</v>
      </c>
      <c r="G364" s="67">
        <v>0.0</v>
      </c>
      <c r="H364" s="67">
        <v>0.0</v>
      </c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21.0" customHeight="1">
      <c r="A365" s="77"/>
      <c r="B365" s="77"/>
      <c r="C365" s="67"/>
      <c r="D365" s="67"/>
      <c r="E365" s="67"/>
      <c r="F365" s="67"/>
      <c r="G365" s="67"/>
      <c r="H365" s="6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21.0" customHeight="1">
      <c r="A366" s="77"/>
      <c r="B366" s="77"/>
      <c r="C366" s="67"/>
      <c r="D366" s="67"/>
      <c r="E366" s="67"/>
      <c r="F366" s="67"/>
      <c r="G366" s="67"/>
      <c r="H366" s="6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21.0" customHeight="1">
      <c r="A367" s="77"/>
      <c r="B367" s="77"/>
      <c r="C367" s="67"/>
      <c r="D367" s="67"/>
      <c r="E367" s="67"/>
      <c r="F367" s="67"/>
      <c r="G367" s="67"/>
      <c r="H367" s="6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21.0" customHeight="1">
      <c r="A368" s="77"/>
      <c r="B368" s="77"/>
      <c r="C368" s="67"/>
      <c r="D368" s="67"/>
      <c r="E368" s="67"/>
      <c r="F368" s="67"/>
      <c r="G368" s="67"/>
      <c r="H368" s="6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21.0" customHeight="1">
      <c r="A369" s="77"/>
      <c r="B369" s="77"/>
      <c r="C369" s="67"/>
      <c r="D369" s="67"/>
      <c r="E369" s="67"/>
      <c r="F369" s="67"/>
      <c r="G369" s="67"/>
      <c r="H369" s="6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21.0" customHeight="1">
      <c r="A370" s="77"/>
      <c r="B370" s="77"/>
      <c r="C370" s="67"/>
      <c r="D370" s="67"/>
      <c r="E370" s="67"/>
      <c r="F370" s="67"/>
      <c r="G370" s="67"/>
      <c r="H370" s="6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21.0" customHeight="1">
      <c r="A371" s="77"/>
      <c r="B371" s="77"/>
      <c r="C371" s="67"/>
      <c r="D371" s="67"/>
      <c r="E371" s="67"/>
      <c r="F371" s="67"/>
      <c r="G371" s="67"/>
      <c r="H371" s="6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21.0" customHeight="1">
      <c r="A372" s="77"/>
      <c r="B372" s="77"/>
      <c r="C372" s="67"/>
      <c r="D372" s="67"/>
      <c r="E372" s="67"/>
      <c r="F372" s="67"/>
      <c r="G372" s="67"/>
      <c r="H372" s="6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21.0" customHeight="1">
      <c r="A373" s="77"/>
      <c r="B373" s="77"/>
      <c r="C373" s="67"/>
      <c r="D373" s="67"/>
      <c r="E373" s="67"/>
      <c r="F373" s="67"/>
      <c r="G373" s="67"/>
      <c r="H373" s="6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21.0" customHeight="1">
      <c r="A374" s="77"/>
      <c r="B374" s="77"/>
      <c r="C374" s="67"/>
      <c r="D374" s="67"/>
      <c r="E374" s="67"/>
      <c r="F374" s="67"/>
      <c r="G374" s="67"/>
      <c r="H374" s="6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21.0" customHeight="1">
      <c r="A375" s="77"/>
      <c r="B375" s="77"/>
      <c r="C375" s="67"/>
      <c r="D375" s="67"/>
      <c r="E375" s="67"/>
      <c r="F375" s="67"/>
      <c r="G375" s="67"/>
      <c r="H375" s="6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21.0" customHeight="1">
      <c r="A376" s="77"/>
      <c r="B376" s="77"/>
      <c r="C376" s="67"/>
      <c r="D376" s="67"/>
      <c r="E376" s="67"/>
      <c r="F376" s="67"/>
      <c r="G376" s="67"/>
      <c r="H376" s="6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21.0" customHeight="1">
      <c r="A377" s="77"/>
      <c r="B377" s="77"/>
      <c r="C377" s="67"/>
      <c r="D377" s="67"/>
      <c r="E377" s="67"/>
      <c r="F377" s="67"/>
      <c r="G377" s="67"/>
      <c r="H377" s="6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21.0" customHeight="1">
      <c r="A378" s="77"/>
      <c r="B378" s="77"/>
      <c r="C378" s="67"/>
      <c r="D378" s="67"/>
      <c r="E378" s="67"/>
      <c r="F378" s="67"/>
      <c r="G378" s="67"/>
      <c r="H378" s="6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21.0" customHeight="1">
      <c r="A379" s="77"/>
      <c r="B379" s="77"/>
      <c r="C379" s="67"/>
      <c r="D379" s="67"/>
      <c r="E379" s="67"/>
      <c r="F379" s="67"/>
      <c r="G379" s="67"/>
      <c r="H379" s="6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21.0" customHeight="1">
      <c r="A380" s="77"/>
      <c r="B380" s="77"/>
      <c r="C380" s="67"/>
      <c r="D380" s="67"/>
      <c r="E380" s="67"/>
      <c r="F380" s="67"/>
      <c r="G380" s="67"/>
      <c r="H380" s="6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21.0" customHeight="1">
      <c r="A381" s="77"/>
      <c r="B381" s="77"/>
      <c r="C381" s="67"/>
      <c r="D381" s="67"/>
      <c r="E381" s="67"/>
      <c r="F381" s="67"/>
      <c r="G381" s="67"/>
      <c r="H381" s="6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21.0" customHeight="1">
      <c r="A382" s="77"/>
      <c r="B382" s="77"/>
      <c r="C382" s="67"/>
      <c r="D382" s="67"/>
      <c r="E382" s="67"/>
      <c r="F382" s="67"/>
      <c r="G382" s="67"/>
      <c r="H382" s="6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21.0" customHeight="1">
      <c r="A383" s="77"/>
      <c r="B383" s="77"/>
      <c r="C383" s="67"/>
      <c r="D383" s="67"/>
      <c r="E383" s="67"/>
      <c r="F383" s="67"/>
      <c r="G383" s="67"/>
      <c r="H383" s="6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21.0" customHeight="1">
      <c r="A384" s="77"/>
      <c r="B384" s="77"/>
      <c r="C384" s="67"/>
      <c r="D384" s="67"/>
      <c r="E384" s="67"/>
      <c r="F384" s="67"/>
      <c r="G384" s="67"/>
      <c r="H384" s="6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21.0" customHeight="1">
      <c r="A385" s="77"/>
      <c r="B385" s="77"/>
      <c r="C385" s="67"/>
      <c r="D385" s="67"/>
      <c r="E385" s="67"/>
      <c r="F385" s="67"/>
      <c r="G385" s="67"/>
      <c r="H385" s="6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21.0" customHeight="1">
      <c r="A386" s="77"/>
      <c r="B386" s="77"/>
      <c r="C386" s="67"/>
      <c r="D386" s="67"/>
      <c r="E386" s="67"/>
      <c r="F386" s="67"/>
      <c r="G386" s="67"/>
      <c r="H386" s="6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21.0" customHeight="1">
      <c r="A387" s="77"/>
      <c r="B387" s="77"/>
      <c r="C387" s="67"/>
      <c r="D387" s="67"/>
      <c r="E387" s="67"/>
      <c r="F387" s="67"/>
      <c r="G387" s="67"/>
      <c r="H387" s="6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21.0" customHeight="1">
      <c r="A388" s="77"/>
      <c r="B388" s="77"/>
      <c r="C388" s="67"/>
      <c r="D388" s="67"/>
      <c r="E388" s="67"/>
      <c r="F388" s="67"/>
      <c r="G388" s="67"/>
      <c r="H388" s="6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21.0" customHeight="1">
      <c r="A389" s="77"/>
      <c r="B389" s="77"/>
      <c r="C389" s="67"/>
      <c r="D389" s="67"/>
      <c r="E389" s="67"/>
      <c r="F389" s="67"/>
      <c r="G389" s="67"/>
      <c r="H389" s="6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21.0" customHeight="1">
      <c r="A390" s="77"/>
      <c r="B390" s="77"/>
      <c r="C390" s="67"/>
      <c r="D390" s="67"/>
      <c r="E390" s="67"/>
      <c r="F390" s="67"/>
      <c r="G390" s="67"/>
      <c r="H390" s="6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21.0" customHeight="1">
      <c r="A391" s="77"/>
      <c r="B391" s="77"/>
      <c r="C391" s="67"/>
      <c r="D391" s="67"/>
      <c r="E391" s="67"/>
      <c r="F391" s="67"/>
      <c r="G391" s="67"/>
      <c r="H391" s="6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21.0" customHeight="1">
      <c r="A392" s="77"/>
      <c r="B392" s="77"/>
      <c r="C392" s="67"/>
      <c r="D392" s="67"/>
      <c r="E392" s="67"/>
      <c r="F392" s="67"/>
      <c r="G392" s="67"/>
      <c r="H392" s="6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21.0" customHeight="1">
      <c r="A393" s="77"/>
      <c r="B393" s="77"/>
      <c r="C393" s="67"/>
      <c r="D393" s="67"/>
      <c r="E393" s="67"/>
      <c r="F393" s="67"/>
      <c r="G393" s="67"/>
      <c r="H393" s="6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21.0" customHeight="1">
      <c r="A394" s="77"/>
      <c r="B394" s="77"/>
      <c r="C394" s="67"/>
      <c r="D394" s="67"/>
      <c r="E394" s="67"/>
      <c r="F394" s="67"/>
      <c r="G394" s="67"/>
      <c r="H394" s="6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21.0" customHeight="1">
      <c r="A395" s="77"/>
      <c r="B395" s="77"/>
      <c r="C395" s="67"/>
      <c r="D395" s="67"/>
      <c r="E395" s="67"/>
      <c r="F395" s="67"/>
      <c r="G395" s="67"/>
      <c r="H395" s="6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21.0" customHeight="1">
      <c r="A396" s="77"/>
      <c r="B396" s="77"/>
      <c r="C396" s="67"/>
      <c r="D396" s="67"/>
      <c r="E396" s="67"/>
      <c r="F396" s="67"/>
      <c r="G396" s="67"/>
      <c r="H396" s="6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21.0" customHeight="1">
      <c r="A397" s="77"/>
      <c r="B397" s="77"/>
      <c r="C397" s="67"/>
      <c r="D397" s="67"/>
      <c r="E397" s="67"/>
      <c r="F397" s="67"/>
      <c r="G397" s="67"/>
      <c r="H397" s="6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21.0" customHeight="1">
      <c r="A398" s="77"/>
      <c r="B398" s="77"/>
      <c r="C398" s="67"/>
      <c r="D398" s="67"/>
      <c r="E398" s="67"/>
      <c r="F398" s="67"/>
      <c r="G398" s="67"/>
      <c r="H398" s="6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21.0" customHeight="1">
      <c r="A399" s="77"/>
      <c r="B399" s="77"/>
      <c r="C399" s="67"/>
      <c r="D399" s="67"/>
      <c r="E399" s="67"/>
      <c r="F399" s="67"/>
      <c r="G399" s="67"/>
      <c r="H399" s="6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21.0" customHeight="1">
      <c r="A400" s="77"/>
      <c r="B400" s="77"/>
      <c r="C400" s="67"/>
      <c r="D400" s="67"/>
      <c r="E400" s="67"/>
      <c r="F400" s="67"/>
      <c r="G400" s="67"/>
      <c r="H400" s="6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21.0" customHeight="1">
      <c r="A401" s="77"/>
      <c r="B401" s="77"/>
      <c r="C401" s="67"/>
      <c r="D401" s="67"/>
      <c r="E401" s="67"/>
      <c r="F401" s="67"/>
      <c r="G401" s="67"/>
      <c r="H401" s="6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21.0" customHeight="1">
      <c r="A402" s="77"/>
      <c r="B402" s="77"/>
      <c r="C402" s="67"/>
      <c r="D402" s="67"/>
      <c r="E402" s="67"/>
      <c r="F402" s="67"/>
      <c r="G402" s="67"/>
      <c r="H402" s="6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21.0" customHeight="1">
      <c r="A403" s="77"/>
      <c r="B403" s="77"/>
      <c r="C403" s="67"/>
      <c r="D403" s="67"/>
      <c r="E403" s="67"/>
      <c r="F403" s="67"/>
      <c r="G403" s="67"/>
      <c r="H403" s="6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21.0" customHeight="1">
      <c r="A404" s="77"/>
      <c r="B404" s="77"/>
      <c r="C404" s="67"/>
      <c r="D404" s="67"/>
      <c r="E404" s="67"/>
      <c r="F404" s="67"/>
      <c r="G404" s="67"/>
      <c r="H404" s="6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21.0" customHeight="1">
      <c r="A405" s="77"/>
      <c r="B405" s="77"/>
      <c r="C405" s="67"/>
      <c r="D405" s="67"/>
      <c r="E405" s="67"/>
      <c r="F405" s="67"/>
      <c r="G405" s="67"/>
      <c r="H405" s="6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21.0" customHeight="1">
      <c r="A406" s="77"/>
      <c r="B406" s="77"/>
      <c r="C406" s="67"/>
      <c r="D406" s="67"/>
      <c r="E406" s="67"/>
      <c r="F406" s="67"/>
      <c r="G406" s="67"/>
      <c r="H406" s="6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21.0" customHeight="1">
      <c r="A407" s="77"/>
      <c r="B407" s="77"/>
      <c r="C407" s="67"/>
      <c r="D407" s="67"/>
      <c r="E407" s="67"/>
      <c r="F407" s="67"/>
      <c r="G407" s="67"/>
      <c r="H407" s="6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21.0" customHeight="1">
      <c r="A408" s="77"/>
      <c r="B408" s="77"/>
      <c r="C408" s="67"/>
      <c r="D408" s="67"/>
      <c r="E408" s="67"/>
      <c r="F408" s="67"/>
      <c r="G408" s="67"/>
      <c r="H408" s="6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21.0" customHeight="1">
      <c r="A409" s="77"/>
      <c r="B409" s="77"/>
      <c r="C409" s="67"/>
      <c r="D409" s="67"/>
      <c r="E409" s="67"/>
      <c r="F409" s="67"/>
      <c r="G409" s="67"/>
      <c r="H409" s="6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21.0" customHeight="1">
      <c r="A410" s="77"/>
      <c r="B410" s="77"/>
      <c r="C410" s="67"/>
      <c r="D410" s="67"/>
      <c r="E410" s="67"/>
      <c r="F410" s="67"/>
      <c r="G410" s="67"/>
      <c r="H410" s="6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21.0" customHeight="1">
      <c r="A411" s="77"/>
      <c r="B411" s="77"/>
      <c r="C411" s="67"/>
      <c r="D411" s="67"/>
      <c r="E411" s="67"/>
      <c r="F411" s="67"/>
      <c r="G411" s="67"/>
      <c r="H411" s="6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21.0" customHeight="1">
      <c r="A412" s="77"/>
      <c r="B412" s="77"/>
      <c r="C412" s="67"/>
      <c r="D412" s="67"/>
      <c r="E412" s="67"/>
      <c r="F412" s="67"/>
      <c r="G412" s="67"/>
      <c r="H412" s="6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21.0" customHeight="1">
      <c r="A413" s="77"/>
      <c r="B413" s="77"/>
      <c r="C413" s="67"/>
      <c r="D413" s="67"/>
      <c r="E413" s="67"/>
      <c r="F413" s="67"/>
      <c r="G413" s="67"/>
      <c r="H413" s="6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21.0" customHeight="1">
      <c r="A414" s="77"/>
      <c r="B414" s="77"/>
      <c r="C414" s="67"/>
      <c r="D414" s="67"/>
      <c r="E414" s="67"/>
      <c r="F414" s="67"/>
      <c r="G414" s="67"/>
      <c r="H414" s="6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21.0" customHeight="1">
      <c r="A415" s="77"/>
      <c r="B415" s="77"/>
      <c r="C415" s="67"/>
      <c r="D415" s="67"/>
      <c r="E415" s="67"/>
      <c r="F415" s="67"/>
      <c r="G415" s="67"/>
      <c r="H415" s="6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21.0" customHeight="1">
      <c r="A416" s="77"/>
      <c r="B416" s="77"/>
      <c r="C416" s="67"/>
      <c r="D416" s="67"/>
      <c r="E416" s="67"/>
      <c r="F416" s="67"/>
      <c r="G416" s="67"/>
      <c r="H416" s="6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21.0" customHeight="1">
      <c r="A417" s="77"/>
      <c r="B417" s="77"/>
      <c r="C417" s="67"/>
      <c r="D417" s="67"/>
      <c r="E417" s="67"/>
      <c r="F417" s="67"/>
      <c r="G417" s="67"/>
      <c r="H417" s="6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21.0" customHeight="1">
      <c r="A418" s="77"/>
      <c r="B418" s="77"/>
      <c r="C418" s="67"/>
      <c r="D418" s="67"/>
      <c r="E418" s="67"/>
      <c r="F418" s="67"/>
      <c r="G418" s="67"/>
      <c r="H418" s="6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21.0" customHeight="1">
      <c r="A419" s="77"/>
      <c r="B419" s="77"/>
      <c r="C419" s="67"/>
      <c r="D419" s="67"/>
      <c r="E419" s="67"/>
      <c r="F419" s="67"/>
      <c r="G419" s="67"/>
      <c r="H419" s="6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21.0" customHeight="1">
      <c r="A420" s="77"/>
      <c r="B420" s="77"/>
      <c r="C420" s="67"/>
      <c r="D420" s="67"/>
      <c r="E420" s="67"/>
      <c r="F420" s="67"/>
      <c r="G420" s="67"/>
      <c r="H420" s="6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21.0" customHeight="1">
      <c r="A421" s="77"/>
      <c r="B421" s="77"/>
      <c r="C421" s="67"/>
      <c r="D421" s="67"/>
      <c r="E421" s="67"/>
      <c r="F421" s="67"/>
      <c r="G421" s="67"/>
      <c r="H421" s="6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21.0" customHeight="1">
      <c r="A422" s="77"/>
      <c r="B422" s="77"/>
      <c r="C422" s="67"/>
      <c r="D422" s="67"/>
      <c r="E422" s="67"/>
      <c r="F422" s="67"/>
      <c r="G422" s="67"/>
      <c r="H422" s="6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21.0" customHeight="1">
      <c r="A423" s="77"/>
      <c r="B423" s="77"/>
      <c r="C423" s="67"/>
      <c r="D423" s="67"/>
      <c r="E423" s="67"/>
      <c r="F423" s="67"/>
      <c r="G423" s="67"/>
      <c r="H423" s="6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21.0" customHeight="1">
      <c r="A424" s="77"/>
      <c r="B424" s="77"/>
      <c r="C424" s="67"/>
      <c r="D424" s="67"/>
      <c r="E424" s="67"/>
      <c r="F424" s="67"/>
      <c r="G424" s="67"/>
      <c r="H424" s="6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21.0" customHeight="1">
      <c r="A425" s="77"/>
      <c r="B425" s="77"/>
      <c r="C425" s="67"/>
      <c r="D425" s="67"/>
      <c r="E425" s="67"/>
      <c r="F425" s="67"/>
      <c r="G425" s="67"/>
      <c r="H425" s="6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21.0" customHeight="1">
      <c r="A426" s="77"/>
      <c r="B426" s="77"/>
      <c r="C426" s="67"/>
      <c r="D426" s="67"/>
      <c r="E426" s="67"/>
      <c r="F426" s="67"/>
      <c r="G426" s="67"/>
      <c r="H426" s="6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21.0" customHeight="1">
      <c r="A427" s="77"/>
      <c r="B427" s="77"/>
      <c r="C427" s="67"/>
      <c r="D427" s="67"/>
      <c r="E427" s="67"/>
      <c r="F427" s="67"/>
      <c r="G427" s="67"/>
      <c r="H427" s="6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21.0" customHeight="1">
      <c r="A428" s="77"/>
      <c r="B428" s="77"/>
      <c r="C428" s="67"/>
      <c r="D428" s="67"/>
      <c r="E428" s="67"/>
      <c r="F428" s="67"/>
      <c r="G428" s="67"/>
      <c r="H428" s="6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21.0" customHeight="1">
      <c r="A429" s="77"/>
      <c r="B429" s="77"/>
      <c r="C429" s="67"/>
      <c r="D429" s="67"/>
      <c r="E429" s="67"/>
      <c r="F429" s="67"/>
      <c r="G429" s="67"/>
      <c r="H429" s="6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21.0" customHeight="1">
      <c r="A430" s="77"/>
      <c r="B430" s="77"/>
      <c r="C430" s="67"/>
      <c r="D430" s="67"/>
      <c r="E430" s="67"/>
      <c r="F430" s="67"/>
      <c r="G430" s="67"/>
      <c r="H430" s="6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21.0" customHeight="1">
      <c r="A431" s="77"/>
      <c r="B431" s="77"/>
      <c r="C431" s="67"/>
      <c r="D431" s="67"/>
      <c r="E431" s="67"/>
      <c r="F431" s="67"/>
      <c r="G431" s="67"/>
      <c r="H431" s="6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21.0" customHeight="1">
      <c r="A432" s="77"/>
      <c r="B432" s="77"/>
      <c r="C432" s="67"/>
      <c r="D432" s="67"/>
      <c r="E432" s="67"/>
      <c r="F432" s="67"/>
      <c r="G432" s="67"/>
      <c r="H432" s="6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21.0" customHeight="1">
      <c r="A433" s="77"/>
      <c r="B433" s="77"/>
      <c r="C433" s="67"/>
      <c r="D433" s="67"/>
      <c r="E433" s="67"/>
      <c r="F433" s="67"/>
      <c r="G433" s="67"/>
      <c r="H433" s="6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21.0" customHeight="1">
      <c r="A434" s="77"/>
      <c r="B434" s="77"/>
      <c r="C434" s="67"/>
      <c r="D434" s="67"/>
      <c r="E434" s="67"/>
      <c r="F434" s="67"/>
      <c r="G434" s="67"/>
      <c r="H434" s="6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21.0" customHeight="1">
      <c r="A435" s="77"/>
      <c r="B435" s="77"/>
      <c r="C435" s="67"/>
      <c r="D435" s="67"/>
      <c r="E435" s="67"/>
      <c r="F435" s="67"/>
      <c r="G435" s="67"/>
      <c r="H435" s="6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21.0" customHeight="1">
      <c r="A436" s="77"/>
      <c r="B436" s="77"/>
      <c r="C436" s="67"/>
      <c r="D436" s="67"/>
      <c r="E436" s="67"/>
      <c r="F436" s="67"/>
      <c r="G436" s="67"/>
      <c r="H436" s="6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21.0" customHeight="1">
      <c r="A437" s="77"/>
      <c r="B437" s="77"/>
      <c r="C437" s="67"/>
      <c r="D437" s="67"/>
      <c r="E437" s="67"/>
      <c r="F437" s="67"/>
      <c r="G437" s="67"/>
      <c r="H437" s="6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21.0" customHeight="1">
      <c r="A438" s="77"/>
      <c r="B438" s="77"/>
      <c r="C438" s="67"/>
      <c r="D438" s="67"/>
      <c r="E438" s="67"/>
      <c r="F438" s="67"/>
      <c r="G438" s="67"/>
      <c r="H438" s="6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21.0" customHeight="1">
      <c r="A439" s="77"/>
      <c r="B439" s="77"/>
      <c r="C439" s="67"/>
      <c r="D439" s="67"/>
      <c r="E439" s="67"/>
      <c r="F439" s="67"/>
      <c r="G439" s="67"/>
      <c r="H439" s="6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21.0" customHeight="1">
      <c r="A440" s="77"/>
      <c r="B440" s="77"/>
      <c r="C440" s="67"/>
      <c r="D440" s="67"/>
      <c r="E440" s="67"/>
      <c r="F440" s="67"/>
      <c r="G440" s="67"/>
      <c r="H440" s="6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21.0" customHeight="1">
      <c r="A441" s="77"/>
      <c r="B441" s="77"/>
      <c r="C441" s="67"/>
      <c r="D441" s="67"/>
      <c r="E441" s="67"/>
      <c r="F441" s="67"/>
      <c r="G441" s="67"/>
      <c r="H441" s="6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21.0" customHeight="1">
      <c r="A442" s="77"/>
      <c r="B442" s="77"/>
      <c r="C442" s="67"/>
      <c r="D442" s="67"/>
      <c r="E442" s="67"/>
      <c r="F442" s="67"/>
      <c r="G442" s="67"/>
      <c r="H442" s="6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21.0" customHeight="1">
      <c r="A443" s="77"/>
      <c r="B443" s="77"/>
      <c r="C443" s="67"/>
      <c r="D443" s="67"/>
      <c r="E443" s="67"/>
      <c r="F443" s="67"/>
      <c r="G443" s="67"/>
      <c r="H443" s="6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21.0" customHeight="1">
      <c r="A444" s="77"/>
      <c r="B444" s="77"/>
      <c r="C444" s="67"/>
      <c r="D444" s="67"/>
      <c r="E444" s="67"/>
      <c r="F444" s="67"/>
      <c r="G444" s="67"/>
      <c r="H444" s="6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21.0" customHeight="1">
      <c r="A445" s="77"/>
      <c r="B445" s="77"/>
      <c r="C445" s="67"/>
      <c r="D445" s="67"/>
      <c r="E445" s="67"/>
      <c r="F445" s="67"/>
      <c r="G445" s="67"/>
      <c r="H445" s="6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21.0" customHeight="1">
      <c r="A446" s="77"/>
      <c r="B446" s="77"/>
      <c r="C446" s="67"/>
      <c r="D446" s="67"/>
      <c r="E446" s="67"/>
      <c r="F446" s="67"/>
      <c r="G446" s="67"/>
      <c r="H446" s="6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21.0" customHeight="1">
      <c r="A447" s="77"/>
      <c r="B447" s="77"/>
      <c r="C447" s="67"/>
      <c r="D447" s="67"/>
      <c r="E447" s="67"/>
      <c r="F447" s="67"/>
      <c r="G447" s="67"/>
      <c r="H447" s="6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21.0" customHeight="1">
      <c r="A448" s="77"/>
      <c r="B448" s="77"/>
      <c r="C448" s="67"/>
      <c r="D448" s="67"/>
      <c r="E448" s="67"/>
      <c r="F448" s="67"/>
      <c r="G448" s="67"/>
      <c r="H448" s="6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21.0" customHeight="1">
      <c r="A449" s="77"/>
      <c r="B449" s="77"/>
      <c r="C449" s="67"/>
      <c r="D449" s="67"/>
      <c r="E449" s="67"/>
      <c r="F449" s="67"/>
      <c r="G449" s="67"/>
      <c r="H449" s="6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21.0" customHeight="1">
      <c r="A450" s="77"/>
      <c r="B450" s="77"/>
      <c r="C450" s="67"/>
      <c r="D450" s="67"/>
      <c r="E450" s="67"/>
      <c r="F450" s="67"/>
      <c r="G450" s="67"/>
      <c r="H450" s="6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21.0" customHeight="1">
      <c r="A451" s="77"/>
      <c r="B451" s="77"/>
      <c r="C451" s="67"/>
      <c r="D451" s="67"/>
      <c r="E451" s="67"/>
      <c r="F451" s="67"/>
      <c r="G451" s="67"/>
      <c r="H451" s="6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21.0" customHeight="1">
      <c r="A452" s="77"/>
      <c r="B452" s="77"/>
      <c r="C452" s="67"/>
      <c r="D452" s="67"/>
      <c r="E452" s="67"/>
      <c r="F452" s="67"/>
      <c r="G452" s="67"/>
      <c r="H452" s="6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21.0" customHeight="1">
      <c r="A453" s="77"/>
      <c r="B453" s="77"/>
      <c r="C453" s="67"/>
      <c r="D453" s="67"/>
      <c r="E453" s="67"/>
      <c r="F453" s="67"/>
      <c r="G453" s="67"/>
      <c r="H453" s="6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21.0" customHeight="1">
      <c r="A454" s="77"/>
      <c r="B454" s="77"/>
      <c r="C454" s="67"/>
      <c r="D454" s="67"/>
      <c r="E454" s="67"/>
      <c r="F454" s="67"/>
      <c r="G454" s="67"/>
      <c r="H454" s="6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21.0" customHeight="1">
      <c r="A455" s="77"/>
      <c r="B455" s="77"/>
      <c r="C455" s="67"/>
      <c r="D455" s="67"/>
      <c r="E455" s="67"/>
      <c r="F455" s="67"/>
      <c r="G455" s="67"/>
      <c r="H455" s="6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21.0" customHeight="1">
      <c r="A456" s="77"/>
      <c r="B456" s="77"/>
      <c r="C456" s="67"/>
      <c r="D456" s="67"/>
      <c r="E456" s="67"/>
      <c r="F456" s="67"/>
      <c r="G456" s="67"/>
      <c r="H456" s="6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21.0" customHeight="1">
      <c r="A457" s="77"/>
      <c r="B457" s="77"/>
      <c r="C457" s="67"/>
      <c r="D457" s="67"/>
      <c r="E457" s="67"/>
      <c r="F457" s="67"/>
      <c r="G457" s="67"/>
      <c r="H457" s="6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21.0" customHeight="1">
      <c r="A458" s="77"/>
      <c r="B458" s="77"/>
      <c r="C458" s="67"/>
      <c r="D458" s="67"/>
      <c r="E458" s="67"/>
      <c r="F458" s="67"/>
      <c r="G458" s="67"/>
      <c r="H458" s="6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21.0" customHeight="1">
      <c r="A459" s="77"/>
      <c r="B459" s="77"/>
      <c r="C459" s="67"/>
      <c r="D459" s="67"/>
      <c r="E459" s="67"/>
      <c r="F459" s="67"/>
      <c r="G459" s="67"/>
      <c r="H459" s="6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21.0" customHeight="1">
      <c r="A460" s="77"/>
      <c r="B460" s="77"/>
      <c r="C460" s="67"/>
      <c r="D460" s="67"/>
      <c r="E460" s="67"/>
      <c r="F460" s="67"/>
      <c r="G460" s="67"/>
      <c r="H460" s="6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21.0" customHeight="1">
      <c r="A461" s="77"/>
      <c r="B461" s="77"/>
      <c r="C461" s="67"/>
      <c r="D461" s="67"/>
      <c r="E461" s="67"/>
      <c r="F461" s="67"/>
      <c r="G461" s="67"/>
      <c r="H461" s="6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21.0" customHeight="1">
      <c r="A462" s="77"/>
      <c r="B462" s="77"/>
      <c r="C462" s="67"/>
      <c r="D462" s="67"/>
      <c r="E462" s="67"/>
      <c r="F462" s="67"/>
      <c r="G462" s="67"/>
      <c r="H462" s="6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21.0" customHeight="1">
      <c r="A463" s="77"/>
      <c r="B463" s="77"/>
      <c r="C463" s="67"/>
      <c r="D463" s="67"/>
      <c r="E463" s="67"/>
      <c r="F463" s="67"/>
      <c r="G463" s="67"/>
      <c r="H463" s="6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21.0" customHeight="1">
      <c r="A464" s="77"/>
      <c r="B464" s="77"/>
      <c r="C464" s="67"/>
      <c r="D464" s="67"/>
      <c r="E464" s="67"/>
      <c r="F464" s="67"/>
      <c r="G464" s="67"/>
      <c r="H464" s="6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21.0" customHeight="1">
      <c r="A465" s="77"/>
      <c r="B465" s="77"/>
      <c r="C465" s="67"/>
      <c r="D465" s="67"/>
      <c r="E465" s="67"/>
      <c r="F465" s="67"/>
      <c r="G465" s="67"/>
      <c r="H465" s="6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21.0" customHeight="1">
      <c r="A466" s="77"/>
      <c r="B466" s="77"/>
      <c r="C466" s="67"/>
      <c r="D466" s="67"/>
      <c r="E466" s="67"/>
      <c r="F466" s="67"/>
      <c r="G466" s="67"/>
      <c r="H466" s="6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21.0" customHeight="1">
      <c r="A467" s="77"/>
      <c r="B467" s="77"/>
      <c r="C467" s="67"/>
      <c r="D467" s="67"/>
      <c r="E467" s="67"/>
      <c r="F467" s="67"/>
      <c r="G467" s="67"/>
      <c r="H467" s="6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21.0" customHeight="1">
      <c r="A468" s="77"/>
      <c r="B468" s="77"/>
      <c r="C468" s="67"/>
      <c r="D468" s="67"/>
      <c r="E468" s="67"/>
      <c r="F468" s="67"/>
      <c r="G468" s="67"/>
      <c r="H468" s="6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21.0" customHeight="1">
      <c r="A469" s="77"/>
      <c r="B469" s="77"/>
      <c r="C469" s="67"/>
      <c r="D469" s="67"/>
      <c r="E469" s="67"/>
      <c r="F469" s="67"/>
      <c r="G469" s="67"/>
      <c r="H469" s="6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21.0" customHeight="1">
      <c r="A470" s="77"/>
      <c r="B470" s="77"/>
      <c r="C470" s="67"/>
      <c r="D470" s="67"/>
      <c r="E470" s="67"/>
      <c r="F470" s="67"/>
      <c r="G470" s="67"/>
      <c r="H470" s="6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21.0" customHeight="1">
      <c r="A471" s="77"/>
      <c r="B471" s="77"/>
      <c r="C471" s="67"/>
      <c r="D471" s="67"/>
      <c r="E471" s="67"/>
      <c r="F471" s="67"/>
      <c r="G471" s="67"/>
      <c r="H471" s="6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21.0" customHeight="1">
      <c r="A472" s="77"/>
      <c r="B472" s="77"/>
      <c r="C472" s="67"/>
      <c r="D472" s="67"/>
      <c r="E472" s="67"/>
      <c r="F472" s="67"/>
      <c r="G472" s="67"/>
      <c r="H472" s="6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21.0" customHeight="1">
      <c r="A473" s="77"/>
      <c r="B473" s="77"/>
      <c r="C473" s="67"/>
      <c r="D473" s="67"/>
      <c r="E473" s="67"/>
      <c r="F473" s="67"/>
      <c r="G473" s="67"/>
      <c r="H473" s="6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21.0" customHeight="1">
      <c r="A474" s="77"/>
      <c r="B474" s="77"/>
      <c r="C474" s="67"/>
      <c r="D474" s="67"/>
      <c r="E474" s="67"/>
      <c r="F474" s="67"/>
      <c r="G474" s="67"/>
      <c r="H474" s="6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21.0" customHeight="1">
      <c r="A475" s="77"/>
      <c r="B475" s="77"/>
      <c r="C475" s="67"/>
      <c r="D475" s="67"/>
      <c r="E475" s="67"/>
      <c r="F475" s="67"/>
      <c r="G475" s="67"/>
      <c r="H475" s="6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21.0" customHeight="1">
      <c r="A476" s="77"/>
      <c r="B476" s="77"/>
      <c r="C476" s="67"/>
      <c r="D476" s="67"/>
      <c r="E476" s="67"/>
      <c r="F476" s="67"/>
      <c r="G476" s="67"/>
      <c r="H476" s="6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21.0" customHeight="1">
      <c r="A477" s="77"/>
      <c r="B477" s="77"/>
      <c r="C477" s="67"/>
      <c r="D477" s="67"/>
      <c r="E477" s="67"/>
      <c r="F477" s="67"/>
      <c r="G477" s="67"/>
      <c r="H477" s="6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21.0" customHeight="1">
      <c r="A478" s="77"/>
      <c r="B478" s="77"/>
      <c r="C478" s="67"/>
      <c r="D478" s="67"/>
      <c r="E478" s="67"/>
      <c r="F478" s="67"/>
      <c r="G478" s="67"/>
      <c r="H478" s="6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21.0" customHeight="1">
      <c r="A479" s="77"/>
      <c r="B479" s="77"/>
      <c r="C479" s="67"/>
      <c r="D479" s="67"/>
      <c r="E479" s="67"/>
      <c r="F479" s="67"/>
      <c r="G479" s="67"/>
      <c r="H479" s="6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21.0" customHeight="1">
      <c r="A480" s="77"/>
      <c r="B480" s="77"/>
      <c r="C480" s="67"/>
      <c r="D480" s="67"/>
      <c r="E480" s="67"/>
      <c r="F480" s="67"/>
      <c r="G480" s="67"/>
      <c r="H480" s="6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21.0" customHeight="1">
      <c r="A481" s="77"/>
      <c r="B481" s="77"/>
      <c r="C481" s="67"/>
      <c r="D481" s="67"/>
      <c r="E481" s="67"/>
      <c r="F481" s="67"/>
      <c r="G481" s="67"/>
      <c r="H481" s="6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21.0" customHeight="1">
      <c r="A482" s="77"/>
      <c r="B482" s="77"/>
      <c r="C482" s="67"/>
      <c r="D482" s="67"/>
      <c r="E482" s="67"/>
      <c r="F482" s="67"/>
      <c r="G482" s="67"/>
      <c r="H482" s="6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21.0" customHeight="1">
      <c r="A483" s="77"/>
      <c r="B483" s="77"/>
      <c r="C483" s="67"/>
      <c r="D483" s="67"/>
      <c r="E483" s="67"/>
      <c r="F483" s="67"/>
      <c r="G483" s="67"/>
      <c r="H483" s="6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21.0" customHeight="1">
      <c r="A484" s="77"/>
      <c r="B484" s="77"/>
      <c r="C484" s="67"/>
      <c r="D484" s="67"/>
      <c r="E484" s="67"/>
      <c r="F484" s="67"/>
      <c r="G484" s="67"/>
      <c r="H484" s="6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21.0" customHeight="1">
      <c r="A485" s="77"/>
      <c r="B485" s="77"/>
      <c r="C485" s="67"/>
      <c r="D485" s="67"/>
      <c r="E485" s="67"/>
      <c r="F485" s="67"/>
      <c r="G485" s="67"/>
      <c r="H485" s="6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21.0" customHeight="1">
      <c r="A486" s="77"/>
      <c r="B486" s="77"/>
      <c r="C486" s="67"/>
      <c r="D486" s="67"/>
      <c r="E486" s="67"/>
      <c r="F486" s="67"/>
      <c r="G486" s="67"/>
      <c r="H486" s="6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21.0" customHeight="1">
      <c r="A487" s="77"/>
      <c r="B487" s="77"/>
      <c r="C487" s="67"/>
      <c r="D487" s="67"/>
      <c r="E487" s="67"/>
      <c r="F487" s="67"/>
      <c r="G487" s="67"/>
      <c r="H487" s="6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21.0" customHeight="1">
      <c r="A488" s="77"/>
      <c r="B488" s="77"/>
      <c r="C488" s="67"/>
      <c r="D488" s="67"/>
      <c r="E488" s="67"/>
      <c r="F488" s="67"/>
      <c r="G488" s="67"/>
      <c r="H488" s="6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21.0" customHeight="1">
      <c r="A489" s="77"/>
      <c r="B489" s="77"/>
      <c r="C489" s="67"/>
      <c r="D489" s="67"/>
      <c r="E489" s="67"/>
      <c r="F489" s="67"/>
      <c r="G489" s="67"/>
      <c r="H489" s="6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21.0" customHeight="1">
      <c r="A490" s="77"/>
      <c r="B490" s="77"/>
      <c r="C490" s="67"/>
      <c r="D490" s="67"/>
      <c r="E490" s="67"/>
      <c r="F490" s="67"/>
      <c r="G490" s="67"/>
      <c r="H490" s="6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21.0" customHeight="1">
      <c r="A491" s="77"/>
      <c r="B491" s="77"/>
      <c r="C491" s="67"/>
      <c r="D491" s="67"/>
      <c r="E491" s="67"/>
      <c r="F491" s="67"/>
      <c r="G491" s="67"/>
      <c r="H491" s="6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21.0" customHeight="1">
      <c r="A492" s="77"/>
      <c r="B492" s="77"/>
      <c r="C492" s="67"/>
      <c r="D492" s="67"/>
      <c r="E492" s="67"/>
      <c r="F492" s="67"/>
      <c r="G492" s="67"/>
      <c r="H492" s="6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21.0" customHeight="1">
      <c r="A493" s="77"/>
      <c r="B493" s="77"/>
      <c r="C493" s="67"/>
      <c r="D493" s="67"/>
      <c r="E493" s="67"/>
      <c r="F493" s="67"/>
      <c r="G493" s="67"/>
      <c r="H493" s="6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21.0" customHeight="1">
      <c r="A494" s="77"/>
      <c r="B494" s="77"/>
      <c r="C494" s="67"/>
      <c r="D494" s="67"/>
      <c r="E494" s="67"/>
      <c r="F494" s="67"/>
      <c r="G494" s="67"/>
      <c r="H494" s="6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21.0" customHeight="1">
      <c r="A495" s="77"/>
      <c r="B495" s="77"/>
      <c r="C495" s="67"/>
      <c r="D495" s="67"/>
      <c r="E495" s="67"/>
      <c r="F495" s="67"/>
      <c r="G495" s="67"/>
      <c r="H495" s="6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21.0" customHeight="1">
      <c r="A496" s="77"/>
      <c r="B496" s="77"/>
      <c r="C496" s="67"/>
      <c r="D496" s="67"/>
      <c r="E496" s="67"/>
      <c r="F496" s="67"/>
      <c r="G496" s="67"/>
      <c r="H496" s="6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21.0" customHeight="1">
      <c r="A497" s="77"/>
      <c r="B497" s="77"/>
      <c r="C497" s="67"/>
      <c r="D497" s="67"/>
      <c r="E497" s="67"/>
      <c r="F497" s="67"/>
      <c r="G497" s="67"/>
      <c r="H497" s="6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21.0" customHeight="1">
      <c r="A498" s="77"/>
      <c r="B498" s="77"/>
      <c r="C498" s="67"/>
      <c r="D498" s="67"/>
      <c r="E498" s="67"/>
      <c r="F498" s="67"/>
      <c r="G498" s="67"/>
      <c r="H498" s="6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21.0" customHeight="1">
      <c r="A499" s="77"/>
      <c r="B499" s="77"/>
      <c r="C499" s="67"/>
      <c r="D499" s="67"/>
      <c r="E499" s="67"/>
      <c r="F499" s="67"/>
      <c r="G499" s="67"/>
      <c r="H499" s="6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21.0" customHeight="1">
      <c r="A500" s="77"/>
      <c r="B500" s="77"/>
      <c r="C500" s="67"/>
      <c r="D500" s="67"/>
      <c r="E500" s="67"/>
      <c r="F500" s="67"/>
      <c r="G500" s="67"/>
      <c r="H500" s="6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21.0" customHeight="1">
      <c r="A501" s="77"/>
      <c r="B501" s="77"/>
      <c r="C501" s="67"/>
      <c r="D501" s="67"/>
      <c r="E501" s="67"/>
      <c r="F501" s="67"/>
      <c r="G501" s="67"/>
      <c r="H501" s="6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21.0" customHeight="1">
      <c r="A502" s="77"/>
      <c r="B502" s="77"/>
      <c r="C502" s="67"/>
      <c r="D502" s="67"/>
      <c r="E502" s="67"/>
      <c r="F502" s="67"/>
      <c r="G502" s="67"/>
      <c r="H502" s="6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21.0" customHeight="1">
      <c r="A503" s="77"/>
      <c r="B503" s="77"/>
      <c r="C503" s="67"/>
      <c r="D503" s="67"/>
      <c r="E503" s="67"/>
      <c r="F503" s="67"/>
      <c r="G503" s="67"/>
      <c r="H503" s="6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21.0" customHeight="1">
      <c r="A504" s="77"/>
      <c r="B504" s="77"/>
      <c r="C504" s="67"/>
      <c r="D504" s="67"/>
      <c r="E504" s="67"/>
      <c r="F504" s="67"/>
      <c r="G504" s="67"/>
      <c r="H504" s="6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21.0" customHeight="1">
      <c r="A505" s="77"/>
      <c r="B505" s="77"/>
      <c r="C505" s="67"/>
      <c r="D505" s="67"/>
      <c r="E505" s="67"/>
      <c r="F505" s="67"/>
      <c r="G505" s="67"/>
      <c r="H505" s="6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21.0" customHeight="1">
      <c r="A506" s="77"/>
      <c r="B506" s="77"/>
      <c r="C506" s="67"/>
      <c r="D506" s="67"/>
      <c r="E506" s="67"/>
      <c r="F506" s="67"/>
      <c r="G506" s="67"/>
      <c r="H506" s="6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21.0" customHeight="1">
      <c r="A507" s="77"/>
      <c r="B507" s="77"/>
      <c r="C507" s="67"/>
      <c r="D507" s="67"/>
      <c r="E507" s="67"/>
      <c r="F507" s="67"/>
      <c r="G507" s="67"/>
      <c r="H507" s="6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21.0" customHeight="1">
      <c r="A508" s="77"/>
      <c r="B508" s="77"/>
      <c r="C508" s="67"/>
      <c r="D508" s="67"/>
      <c r="E508" s="67"/>
      <c r="F508" s="67"/>
      <c r="G508" s="67"/>
      <c r="H508" s="6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21.0" customHeight="1">
      <c r="A509" s="77"/>
      <c r="B509" s="77"/>
      <c r="C509" s="67"/>
      <c r="D509" s="67"/>
      <c r="E509" s="67"/>
      <c r="F509" s="67"/>
      <c r="G509" s="67"/>
      <c r="H509" s="6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21.0" customHeight="1">
      <c r="A510" s="77"/>
      <c r="B510" s="77"/>
      <c r="C510" s="67"/>
      <c r="D510" s="67"/>
      <c r="E510" s="67"/>
      <c r="F510" s="67"/>
      <c r="G510" s="67"/>
      <c r="H510" s="6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21.0" customHeight="1">
      <c r="A511" s="77"/>
      <c r="B511" s="77"/>
      <c r="C511" s="67"/>
      <c r="D511" s="67"/>
      <c r="E511" s="67"/>
      <c r="F511" s="67"/>
      <c r="G511" s="67"/>
      <c r="H511" s="6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21.0" customHeight="1">
      <c r="A512" s="77"/>
      <c r="B512" s="77"/>
      <c r="C512" s="67"/>
      <c r="D512" s="67"/>
      <c r="E512" s="67"/>
      <c r="F512" s="67"/>
      <c r="G512" s="67"/>
      <c r="H512" s="6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21.0" customHeight="1">
      <c r="A513" s="77"/>
      <c r="B513" s="77"/>
      <c r="C513" s="67"/>
      <c r="D513" s="67"/>
      <c r="E513" s="67"/>
      <c r="F513" s="67"/>
      <c r="G513" s="67"/>
      <c r="H513" s="6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21.0" customHeight="1">
      <c r="A514" s="77"/>
      <c r="B514" s="77"/>
      <c r="C514" s="67"/>
      <c r="D514" s="67"/>
      <c r="E514" s="67"/>
      <c r="F514" s="67"/>
      <c r="G514" s="67"/>
      <c r="H514" s="6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21.0" customHeight="1">
      <c r="A515" s="77"/>
      <c r="B515" s="77"/>
      <c r="C515" s="67"/>
      <c r="D515" s="67"/>
      <c r="E515" s="67"/>
      <c r="F515" s="67"/>
      <c r="G515" s="67"/>
      <c r="H515" s="6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21.0" customHeight="1">
      <c r="A516" s="77"/>
      <c r="B516" s="77"/>
      <c r="C516" s="67"/>
      <c r="D516" s="67"/>
      <c r="E516" s="67"/>
      <c r="F516" s="67"/>
      <c r="G516" s="67"/>
      <c r="H516" s="6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21.0" customHeight="1">
      <c r="A517" s="77"/>
      <c r="B517" s="77"/>
      <c r="C517" s="67"/>
      <c r="D517" s="67"/>
      <c r="E517" s="67"/>
      <c r="F517" s="67"/>
      <c r="G517" s="67"/>
      <c r="H517" s="6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21.0" customHeight="1">
      <c r="A518" s="77"/>
      <c r="B518" s="77"/>
      <c r="C518" s="67"/>
      <c r="D518" s="67"/>
      <c r="E518" s="67"/>
      <c r="F518" s="67"/>
      <c r="G518" s="67"/>
      <c r="H518" s="6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21.0" customHeight="1">
      <c r="A519" s="77"/>
      <c r="B519" s="77"/>
      <c r="C519" s="67"/>
      <c r="D519" s="67"/>
      <c r="E519" s="67"/>
      <c r="F519" s="67"/>
      <c r="G519" s="67"/>
      <c r="H519" s="6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21.0" customHeight="1">
      <c r="A520" s="77"/>
      <c r="B520" s="77"/>
      <c r="C520" s="67"/>
      <c r="D520" s="67"/>
      <c r="E520" s="67"/>
      <c r="F520" s="67"/>
      <c r="G520" s="67"/>
      <c r="H520" s="6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21.0" customHeight="1">
      <c r="A521" s="77"/>
      <c r="B521" s="77"/>
      <c r="C521" s="67"/>
      <c r="D521" s="67"/>
      <c r="E521" s="67"/>
      <c r="F521" s="67"/>
      <c r="G521" s="67"/>
      <c r="H521" s="6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21.0" customHeight="1">
      <c r="A522" s="77"/>
      <c r="B522" s="77"/>
      <c r="C522" s="67"/>
      <c r="D522" s="67"/>
      <c r="E522" s="67"/>
      <c r="F522" s="67"/>
      <c r="G522" s="67"/>
      <c r="H522" s="6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21.0" customHeight="1">
      <c r="A523" s="77"/>
      <c r="B523" s="77"/>
      <c r="C523" s="67"/>
      <c r="D523" s="67"/>
      <c r="E523" s="67"/>
      <c r="F523" s="67"/>
      <c r="G523" s="67"/>
      <c r="H523" s="6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21.0" customHeight="1">
      <c r="A524" s="77"/>
      <c r="B524" s="77"/>
      <c r="C524" s="67"/>
      <c r="D524" s="67"/>
      <c r="E524" s="67"/>
      <c r="F524" s="67"/>
      <c r="G524" s="67"/>
      <c r="H524" s="6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21.0" customHeight="1">
      <c r="A525" s="77"/>
      <c r="B525" s="77"/>
      <c r="C525" s="67"/>
      <c r="D525" s="67"/>
      <c r="E525" s="67"/>
      <c r="F525" s="67"/>
      <c r="G525" s="67"/>
      <c r="H525" s="6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21.0" customHeight="1">
      <c r="A526" s="77"/>
      <c r="B526" s="77"/>
      <c r="C526" s="67"/>
      <c r="D526" s="67"/>
      <c r="E526" s="67"/>
      <c r="F526" s="67"/>
      <c r="G526" s="67"/>
      <c r="H526" s="6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21.0" customHeight="1">
      <c r="A527" s="77"/>
      <c r="B527" s="77"/>
      <c r="C527" s="67"/>
      <c r="D527" s="67"/>
      <c r="E527" s="67"/>
      <c r="F527" s="67"/>
      <c r="G527" s="67"/>
      <c r="H527" s="6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21.0" customHeight="1">
      <c r="A528" s="77"/>
      <c r="B528" s="77"/>
      <c r="C528" s="67"/>
      <c r="D528" s="67"/>
      <c r="E528" s="67"/>
      <c r="F528" s="67"/>
      <c r="G528" s="67"/>
      <c r="H528" s="6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21.0" customHeight="1">
      <c r="A529" s="77"/>
      <c r="B529" s="77"/>
      <c r="C529" s="67"/>
      <c r="D529" s="67"/>
      <c r="E529" s="67"/>
      <c r="F529" s="67"/>
      <c r="G529" s="67"/>
      <c r="H529" s="6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21.0" customHeight="1">
      <c r="A530" s="77"/>
      <c r="B530" s="77"/>
      <c r="C530" s="67"/>
      <c r="D530" s="67"/>
      <c r="E530" s="67"/>
      <c r="F530" s="67"/>
      <c r="G530" s="67"/>
      <c r="H530" s="6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21.0" customHeight="1">
      <c r="A531" s="77"/>
      <c r="B531" s="77"/>
      <c r="C531" s="67"/>
      <c r="D531" s="67"/>
      <c r="E531" s="67"/>
      <c r="F531" s="67"/>
      <c r="G531" s="67"/>
      <c r="H531" s="6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21.0" customHeight="1">
      <c r="A532" s="77"/>
      <c r="B532" s="77"/>
      <c r="C532" s="67"/>
      <c r="D532" s="67"/>
      <c r="E532" s="67"/>
      <c r="F532" s="67"/>
      <c r="G532" s="67"/>
      <c r="H532" s="6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21.0" customHeight="1">
      <c r="A533" s="77"/>
      <c r="B533" s="77"/>
      <c r="C533" s="67"/>
      <c r="D533" s="67"/>
      <c r="E533" s="67"/>
      <c r="F533" s="67"/>
      <c r="G533" s="67"/>
      <c r="H533" s="6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21.0" customHeight="1">
      <c r="A534" s="77"/>
      <c r="B534" s="77"/>
      <c r="C534" s="67"/>
      <c r="D534" s="67"/>
      <c r="E534" s="67"/>
      <c r="F534" s="67"/>
      <c r="G534" s="67"/>
      <c r="H534" s="6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21.0" customHeight="1">
      <c r="A535" s="77"/>
      <c r="B535" s="77"/>
      <c r="C535" s="67"/>
      <c r="D535" s="67"/>
      <c r="E535" s="67"/>
      <c r="F535" s="67"/>
      <c r="G535" s="67"/>
      <c r="H535" s="6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21.0" customHeight="1">
      <c r="A536" s="77"/>
      <c r="B536" s="77"/>
      <c r="C536" s="67"/>
      <c r="D536" s="67"/>
      <c r="E536" s="67"/>
      <c r="F536" s="67"/>
      <c r="G536" s="67"/>
      <c r="H536" s="6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21.0" customHeight="1">
      <c r="A537" s="77"/>
      <c r="B537" s="77"/>
      <c r="C537" s="67"/>
      <c r="D537" s="67"/>
      <c r="E537" s="67"/>
      <c r="F537" s="67"/>
      <c r="G537" s="67"/>
      <c r="H537" s="6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21.0" customHeight="1">
      <c r="A538" s="77"/>
      <c r="B538" s="77"/>
      <c r="C538" s="67"/>
      <c r="D538" s="67"/>
      <c r="E538" s="67"/>
      <c r="F538" s="67"/>
      <c r="G538" s="67"/>
      <c r="H538" s="6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21.0" customHeight="1">
      <c r="A539" s="77"/>
      <c r="B539" s="77"/>
      <c r="C539" s="67"/>
      <c r="D539" s="67"/>
      <c r="E539" s="67"/>
      <c r="F539" s="67"/>
      <c r="G539" s="67"/>
      <c r="H539" s="6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21.0" customHeight="1">
      <c r="A540" s="77"/>
      <c r="B540" s="77"/>
      <c r="C540" s="67"/>
      <c r="D540" s="67"/>
      <c r="E540" s="67"/>
      <c r="F540" s="67"/>
      <c r="G540" s="67"/>
      <c r="H540" s="6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21.0" customHeight="1">
      <c r="A541" s="77"/>
      <c r="B541" s="77"/>
      <c r="C541" s="67"/>
      <c r="D541" s="67"/>
      <c r="E541" s="67"/>
      <c r="F541" s="67"/>
      <c r="G541" s="67"/>
      <c r="H541" s="6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21.0" customHeight="1">
      <c r="A542" s="77"/>
      <c r="B542" s="77"/>
      <c r="C542" s="67"/>
      <c r="D542" s="67"/>
      <c r="E542" s="67"/>
      <c r="F542" s="67"/>
      <c r="G542" s="67"/>
      <c r="H542" s="6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21.0" customHeight="1">
      <c r="A543" s="77"/>
      <c r="B543" s="77"/>
      <c r="C543" s="67"/>
      <c r="D543" s="67"/>
      <c r="E543" s="67"/>
      <c r="F543" s="67"/>
      <c r="G543" s="67"/>
      <c r="H543" s="6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21.0" customHeight="1">
      <c r="A544" s="77"/>
      <c r="B544" s="77"/>
      <c r="C544" s="67"/>
      <c r="D544" s="67"/>
      <c r="E544" s="67"/>
      <c r="F544" s="67"/>
      <c r="G544" s="67"/>
      <c r="H544" s="6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21.0" customHeight="1">
      <c r="A545" s="77"/>
      <c r="B545" s="77"/>
      <c r="C545" s="67"/>
      <c r="D545" s="67"/>
      <c r="E545" s="67"/>
      <c r="F545" s="67"/>
      <c r="G545" s="67"/>
      <c r="H545" s="6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21.0" customHeight="1">
      <c r="A546" s="77"/>
      <c r="B546" s="77"/>
      <c r="C546" s="67"/>
      <c r="D546" s="67"/>
      <c r="E546" s="67"/>
      <c r="F546" s="67"/>
      <c r="G546" s="67"/>
      <c r="H546" s="6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21.0" customHeight="1">
      <c r="A547" s="77"/>
      <c r="B547" s="77"/>
      <c r="C547" s="67"/>
      <c r="D547" s="67"/>
      <c r="E547" s="67"/>
      <c r="F547" s="67"/>
      <c r="G547" s="67"/>
      <c r="H547" s="6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21.0" customHeight="1">
      <c r="A548" s="77"/>
      <c r="B548" s="77"/>
      <c r="C548" s="67"/>
      <c r="D548" s="67"/>
      <c r="E548" s="67"/>
      <c r="F548" s="67"/>
      <c r="G548" s="67"/>
      <c r="H548" s="6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21.0" customHeight="1">
      <c r="A549" s="77"/>
      <c r="B549" s="77"/>
      <c r="C549" s="67"/>
      <c r="D549" s="67"/>
      <c r="E549" s="67"/>
      <c r="F549" s="67"/>
      <c r="G549" s="67"/>
      <c r="H549" s="6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21.0" customHeight="1">
      <c r="A550" s="77"/>
      <c r="B550" s="77"/>
      <c r="C550" s="67"/>
      <c r="D550" s="67"/>
      <c r="E550" s="67"/>
      <c r="F550" s="67"/>
      <c r="G550" s="67"/>
      <c r="H550" s="6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21.0" customHeight="1">
      <c r="A551" s="77"/>
      <c r="B551" s="77"/>
      <c r="C551" s="67"/>
      <c r="D551" s="67"/>
      <c r="E551" s="67"/>
      <c r="F551" s="67"/>
      <c r="G551" s="67"/>
      <c r="H551" s="6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21.0" customHeight="1">
      <c r="A552" s="77"/>
      <c r="B552" s="77"/>
      <c r="C552" s="67"/>
      <c r="D552" s="67"/>
      <c r="E552" s="67"/>
      <c r="F552" s="67"/>
      <c r="G552" s="67"/>
      <c r="H552" s="6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21.0" customHeight="1">
      <c r="A553" s="77"/>
      <c r="B553" s="77"/>
      <c r="C553" s="67"/>
      <c r="D553" s="67"/>
      <c r="E553" s="67"/>
      <c r="F553" s="67"/>
      <c r="G553" s="67"/>
      <c r="H553" s="6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21.0" customHeight="1">
      <c r="A554" s="77"/>
      <c r="B554" s="77"/>
      <c r="C554" s="67"/>
      <c r="D554" s="67"/>
      <c r="E554" s="67"/>
      <c r="F554" s="67"/>
      <c r="G554" s="67"/>
      <c r="H554" s="6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21.0" customHeight="1">
      <c r="A555" s="77"/>
      <c r="B555" s="77"/>
      <c r="C555" s="67"/>
      <c r="D555" s="67"/>
      <c r="E555" s="67"/>
      <c r="F555" s="67"/>
      <c r="G555" s="67"/>
      <c r="H555" s="6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21.0" customHeight="1">
      <c r="A556" s="77"/>
      <c r="B556" s="77"/>
      <c r="C556" s="67"/>
      <c r="D556" s="67"/>
      <c r="E556" s="67"/>
      <c r="F556" s="67"/>
      <c r="G556" s="67"/>
      <c r="H556" s="6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21.0" customHeight="1">
      <c r="A557" s="77"/>
      <c r="B557" s="77"/>
      <c r="C557" s="67"/>
      <c r="D557" s="67"/>
      <c r="E557" s="67"/>
      <c r="F557" s="67"/>
      <c r="G557" s="67"/>
      <c r="H557" s="6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21.0" customHeight="1">
      <c r="A558" s="77"/>
      <c r="B558" s="77"/>
      <c r="C558" s="67"/>
      <c r="D558" s="67"/>
      <c r="E558" s="67"/>
      <c r="F558" s="67"/>
      <c r="G558" s="67"/>
      <c r="H558" s="6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21.0" customHeight="1">
      <c r="A559" s="77"/>
      <c r="B559" s="77"/>
      <c r="C559" s="67"/>
      <c r="D559" s="67"/>
      <c r="E559" s="67"/>
      <c r="F559" s="67"/>
      <c r="G559" s="67"/>
      <c r="H559" s="6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21.0" customHeight="1">
      <c r="A560" s="77"/>
      <c r="B560" s="77"/>
      <c r="C560" s="67"/>
      <c r="D560" s="67"/>
      <c r="E560" s="67"/>
      <c r="F560" s="67"/>
      <c r="G560" s="67"/>
      <c r="H560" s="6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21.0" customHeight="1">
      <c r="A561" s="77"/>
      <c r="B561" s="77"/>
      <c r="C561" s="67"/>
      <c r="D561" s="67"/>
      <c r="E561" s="67"/>
      <c r="F561" s="67"/>
      <c r="G561" s="67"/>
      <c r="H561" s="6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21.0" customHeight="1">
      <c r="A562" s="77"/>
      <c r="B562" s="77"/>
      <c r="C562" s="67"/>
      <c r="D562" s="67"/>
      <c r="E562" s="67"/>
      <c r="F562" s="67"/>
      <c r="G562" s="67"/>
      <c r="H562" s="6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21.0" customHeight="1">
      <c r="A563" s="77"/>
      <c r="B563" s="77"/>
      <c r="C563" s="67"/>
      <c r="D563" s="67"/>
      <c r="E563" s="67"/>
      <c r="F563" s="67"/>
      <c r="G563" s="67"/>
      <c r="H563" s="6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21.0" customHeight="1">
      <c r="A564" s="77"/>
      <c r="B564" s="77"/>
      <c r="C564" s="67"/>
      <c r="D564" s="67"/>
      <c r="E564" s="67"/>
      <c r="F564" s="67"/>
      <c r="G564" s="67"/>
      <c r="H564" s="6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21.0" customHeight="1">
      <c r="A565" s="77"/>
      <c r="B565" s="77"/>
      <c r="C565" s="67"/>
      <c r="D565" s="67"/>
      <c r="E565" s="67"/>
      <c r="F565" s="67"/>
      <c r="G565" s="67"/>
      <c r="H565" s="6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21.0" customHeight="1">
      <c r="A566" s="77"/>
      <c r="B566" s="77"/>
      <c r="C566" s="67"/>
      <c r="D566" s="67"/>
      <c r="E566" s="67"/>
      <c r="F566" s="67"/>
      <c r="G566" s="67"/>
      <c r="H566" s="6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21.0" customHeight="1">
      <c r="A567" s="77"/>
      <c r="B567" s="77"/>
      <c r="C567" s="67"/>
      <c r="D567" s="67"/>
      <c r="E567" s="67"/>
      <c r="F567" s="67"/>
      <c r="G567" s="67"/>
      <c r="H567" s="6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21.0" customHeight="1">
      <c r="A568" s="77"/>
      <c r="B568" s="77"/>
      <c r="C568" s="67"/>
      <c r="D568" s="67"/>
      <c r="E568" s="67"/>
      <c r="F568" s="67"/>
      <c r="G568" s="67"/>
      <c r="H568" s="6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21.0" customHeight="1">
      <c r="A569" s="77"/>
      <c r="B569" s="77"/>
      <c r="C569" s="67"/>
      <c r="D569" s="67"/>
      <c r="E569" s="67"/>
      <c r="F569" s="67"/>
      <c r="G569" s="67"/>
      <c r="H569" s="6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21.0" customHeight="1">
      <c r="A570" s="77"/>
      <c r="B570" s="77"/>
      <c r="C570" s="67"/>
      <c r="D570" s="67"/>
      <c r="E570" s="67"/>
      <c r="F570" s="67"/>
      <c r="G570" s="67"/>
      <c r="H570" s="6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21.0" customHeight="1">
      <c r="A571" s="77"/>
      <c r="B571" s="77"/>
      <c r="C571" s="67"/>
      <c r="D571" s="67"/>
      <c r="E571" s="67"/>
      <c r="F571" s="67"/>
      <c r="G571" s="67"/>
      <c r="H571" s="6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21.0" customHeight="1">
      <c r="A572" s="77"/>
      <c r="B572" s="77"/>
      <c r="C572" s="67"/>
      <c r="D572" s="67"/>
      <c r="E572" s="67"/>
      <c r="F572" s="67"/>
      <c r="G572" s="67"/>
      <c r="H572" s="6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21.0" customHeight="1">
      <c r="A573" s="77"/>
      <c r="B573" s="77"/>
      <c r="C573" s="67"/>
      <c r="D573" s="67"/>
      <c r="E573" s="67"/>
      <c r="F573" s="67"/>
      <c r="G573" s="67"/>
      <c r="H573" s="6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21.0" customHeight="1">
      <c r="A574" s="77"/>
      <c r="B574" s="77"/>
      <c r="C574" s="67"/>
      <c r="D574" s="67"/>
      <c r="E574" s="67"/>
      <c r="F574" s="67"/>
      <c r="G574" s="67"/>
      <c r="H574" s="6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21.0" customHeight="1">
      <c r="A575" s="77"/>
      <c r="B575" s="77"/>
      <c r="C575" s="67"/>
      <c r="D575" s="67"/>
      <c r="E575" s="67"/>
      <c r="F575" s="67"/>
      <c r="G575" s="67"/>
      <c r="H575" s="6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21.0" customHeight="1">
      <c r="A576" s="77"/>
      <c r="B576" s="77"/>
      <c r="C576" s="67"/>
      <c r="D576" s="67"/>
      <c r="E576" s="67"/>
      <c r="F576" s="67"/>
      <c r="G576" s="67"/>
      <c r="H576" s="6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21.0" customHeight="1">
      <c r="A577" s="77"/>
      <c r="B577" s="77"/>
      <c r="C577" s="67"/>
      <c r="D577" s="67"/>
      <c r="E577" s="67"/>
      <c r="F577" s="67"/>
      <c r="G577" s="67"/>
      <c r="H577" s="6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21.0" customHeight="1">
      <c r="A578" s="77"/>
      <c r="B578" s="77"/>
      <c r="C578" s="67"/>
      <c r="D578" s="67"/>
      <c r="E578" s="67"/>
      <c r="F578" s="67"/>
      <c r="G578" s="67"/>
      <c r="H578" s="6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21.0" customHeight="1">
      <c r="A579" s="77"/>
      <c r="B579" s="77"/>
      <c r="C579" s="67"/>
      <c r="D579" s="67"/>
      <c r="E579" s="67"/>
      <c r="F579" s="67"/>
      <c r="G579" s="67"/>
      <c r="H579" s="6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21.0" customHeight="1">
      <c r="A580" s="77"/>
      <c r="B580" s="77"/>
      <c r="C580" s="67"/>
      <c r="D580" s="67"/>
      <c r="E580" s="67"/>
      <c r="F580" s="67"/>
      <c r="G580" s="67"/>
      <c r="H580" s="6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21.0" customHeight="1">
      <c r="A581" s="77"/>
      <c r="B581" s="77"/>
      <c r="C581" s="67"/>
      <c r="D581" s="67"/>
      <c r="E581" s="67"/>
      <c r="F581" s="67"/>
      <c r="G581" s="67"/>
      <c r="H581" s="6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21.0" customHeight="1">
      <c r="A582" s="77"/>
      <c r="B582" s="77"/>
      <c r="C582" s="67"/>
      <c r="D582" s="67"/>
      <c r="E582" s="67"/>
      <c r="F582" s="67"/>
      <c r="G582" s="67"/>
      <c r="H582" s="6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21.0" customHeight="1">
      <c r="A583" s="77"/>
      <c r="B583" s="77"/>
      <c r="C583" s="67"/>
      <c r="D583" s="67"/>
      <c r="E583" s="67"/>
      <c r="F583" s="67"/>
      <c r="G583" s="67"/>
      <c r="H583" s="6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21.0" customHeight="1">
      <c r="A584" s="77"/>
      <c r="B584" s="77"/>
      <c r="C584" s="67"/>
      <c r="D584" s="67"/>
      <c r="E584" s="67"/>
      <c r="F584" s="67"/>
      <c r="G584" s="67"/>
      <c r="H584" s="6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21.0" customHeight="1">
      <c r="A585" s="77"/>
      <c r="B585" s="77"/>
      <c r="C585" s="67"/>
      <c r="D585" s="67"/>
      <c r="E585" s="67"/>
      <c r="F585" s="67"/>
      <c r="G585" s="67"/>
      <c r="H585" s="6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21.0" customHeight="1">
      <c r="A586" s="77"/>
      <c r="B586" s="77"/>
      <c r="C586" s="67"/>
      <c r="D586" s="67"/>
      <c r="E586" s="67"/>
      <c r="F586" s="67"/>
      <c r="G586" s="67"/>
      <c r="H586" s="6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21.0" customHeight="1">
      <c r="A587" s="77"/>
      <c r="B587" s="77"/>
      <c r="C587" s="67"/>
      <c r="D587" s="67"/>
      <c r="E587" s="67"/>
      <c r="F587" s="67"/>
      <c r="G587" s="67"/>
      <c r="H587" s="6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21.0" customHeight="1">
      <c r="A588" s="77"/>
      <c r="B588" s="77"/>
      <c r="C588" s="67"/>
      <c r="D588" s="67"/>
      <c r="E588" s="67"/>
      <c r="F588" s="67"/>
      <c r="G588" s="67"/>
      <c r="H588" s="6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21.0" customHeight="1">
      <c r="A589" s="77"/>
      <c r="B589" s="77"/>
      <c r="C589" s="67"/>
      <c r="D589" s="67"/>
      <c r="E589" s="67"/>
      <c r="F589" s="67"/>
      <c r="G589" s="67"/>
      <c r="H589" s="6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21.0" customHeight="1">
      <c r="A590" s="77"/>
      <c r="B590" s="77"/>
      <c r="C590" s="67"/>
      <c r="D590" s="67"/>
      <c r="E590" s="67"/>
      <c r="F590" s="67"/>
      <c r="G590" s="67"/>
      <c r="H590" s="6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21.0" customHeight="1">
      <c r="A591" s="77"/>
      <c r="B591" s="77"/>
      <c r="C591" s="67"/>
      <c r="D591" s="67"/>
      <c r="E591" s="67"/>
      <c r="F591" s="67"/>
      <c r="G591" s="67"/>
      <c r="H591" s="6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21.0" customHeight="1">
      <c r="A592" s="77"/>
      <c r="B592" s="77"/>
      <c r="C592" s="67"/>
      <c r="D592" s="67"/>
      <c r="E592" s="67"/>
      <c r="F592" s="67"/>
      <c r="G592" s="67"/>
      <c r="H592" s="6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21.0" customHeight="1">
      <c r="A593" s="77"/>
      <c r="B593" s="77"/>
      <c r="C593" s="67"/>
      <c r="D593" s="67"/>
      <c r="E593" s="67"/>
      <c r="F593" s="67"/>
      <c r="G593" s="67"/>
      <c r="H593" s="6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21.0" customHeight="1">
      <c r="A594" s="77"/>
      <c r="B594" s="77"/>
      <c r="C594" s="67"/>
      <c r="D594" s="67"/>
      <c r="E594" s="67"/>
      <c r="F594" s="67"/>
      <c r="G594" s="67"/>
      <c r="H594" s="6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21.0" customHeight="1">
      <c r="A595" s="77"/>
      <c r="B595" s="77"/>
      <c r="C595" s="67"/>
      <c r="D595" s="67"/>
      <c r="E595" s="67"/>
      <c r="F595" s="67"/>
      <c r="G595" s="67"/>
      <c r="H595" s="6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21.0" customHeight="1">
      <c r="A596" s="77"/>
      <c r="B596" s="77"/>
      <c r="C596" s="67"/>
      <c r="D596" s="67"/>
      <c r="E596" s="67"/>
      <c r="F596" s="67"/>
      <c r="G596" s="67"/>
      <c r="H596" s="6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21.0" customHeight="1">
      <c r="A597" s="77"/>
      <c r="B597" s="77"/>
      <c r="C597" s="67"/>
      <c r="D597" s="67"/>
      <c r="E597" s="67"/>
      <c r="F597" s="67"/>
      <c r="G597" s="67"/>
      <c r="H597" s="6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21.0" customHeight="1">
      <c r="A598" s="77"/>
      <c r="B598" s="77"/>
      <c r="C598" s="67"/>
      <c r="D598" s="67"/>
      <c r="E598" s="67"/>
      <c r="F598" s="67"/>
      <c r="G598" s="67"/>
      <c r="H598" s="6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21.0" customHeight="1">
      <c r="A599" s="77"/>
      <c r="B599" s="77"/>
      <c r="C599" s="67"/>
      <c r="D599" s="67"/>
      <c r="E599" s="67"/>
      <c r="F599" s="67"/>
      <c r="G599" s="67"/>
      <c r="H599" s="6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21.0" customHeight="1">
      <c r="A600" s="77"/>
      <c r="B600" s="77"/>
      <c r="C600" s="67"/>
      <c r="D600" s="67"/>
      <c r="E600" s="67"/>
      <c r="F600" s="67"/>
      <c r="G600" s="67"/>
      <c r="H600" s="6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21.0" customHeight="1">
      <c r="A601" s="77"/>
      <c r="B601" s="77"/>
      <c r="C601" s="67"/>
      <c r="D601" s="67"/>
      <c r="E601" s="67"/>
      <c r="F601" s="67"/>
      <c r="G601" s="67"/>
      <c r="H601" s="6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21.0" customHeight="1">
      <c r="A602" s="77"/>
      <c r="B602" s="77"/>
      <c r="C602" s="67"/>
      <c r="D602" s="67"/>
      <c r="E602" s="67"/>
      <c r="F602" s="67"/>
      <c r="G602" s="67"/>
      <c r="H602" s="6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21.0" customHeight="1">
      <c r="A603" s="77"/>
      <c r="B603" s="77"/>
      <c r="C603" s="67"/>
      <c r="D603" s="67"/>
      <c r="E603" s="67"/>
      <c r="F603" s="67"/>
      <c r="G603" s="67"/>
      <c r="H603" s="6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21.0" customHeight="1">
      <c r="A604" s="77"/>
      <c r="B604" s="77"/>
      <c r="C604" s="67"/>
      <c r="D604" s="67"/>
      <c r="E604" s="67"/>
      <c r="F604" s="67"/>
      <c r="G604" s="67"/>
      <c r="H604" s="6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21.0" customHeight="1">
      <c r="A605" s="77"/>
      <c r="B605" s="77"/>
      <c r="C605" s="67"/>
      <c r="D605" s="67"/>
      <c r="E605" s="67"/>
      <c r="F605" s="67"/>
      <c r="G605" s="67"/>
      <c r="H605" s="6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21.0" customHeight="1">
      <c r="A606" s="77"/>
      <c r="B606" s="77"/>
      <c r="C606" s="67"/>
      <c r="D606" s="67"/>
      <c r="E606" s="67"/>
      <c r="F606" s="67"/>
      <c r="G606" s="67"/>
      <c r="H606" s="6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21.0" customHeight="1">
      <c r="A607" s="77"/>
      <c r="B607" s="77"/>
      <c r="C607" s="67"/>
      <c r="D607" s="67"/>
      <c r="E607" s="67"/>
      <c r="F607" s="67"/>
      <c r="G607" s="67"/>
      <c r="H607" s="6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21.0" customHeight="1">
      <c r="A608" s="77"/>
      <c r="B608" s="77"/>
      <c r="C608" s="67"/>
      <c r="D608" s="67"/>
      <c r="E608" s="67"/>
      <c r="F608" s="67"/>
      <c r="G608" s="67"/>
      <c r="H608" s="6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21.0" customHeight="1">
      <c r="A609" s="77"/>
      <c r="B609" s="77"/>
      <c r="C609" s="67"/>
      <c r="D609" s="67"/>
      <c r="E609" s="67"/>
      <c r="F609" s="67"/>
      <c r="G609" s="67"/>
      <c r="H609" s="6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21.0" customHeight="1">
      <c r="A610" s="77"/>
      <c r="B610" s="77"/>
      <c r="C610" s="67"/>
      <c r="D610" s="67"/>
      <c r="E610" s="67"/>
      <c r="F610" s="67"/>
      <c r="G610" s="67"/>
      <c r="H610" s="6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21.0" customHeight="1">
      <c r="A611" s="77"/>
      <c r="B611" s="77"/>
      <c r="C611" s="67"/>
      <c r="D611" s="67"/>
      <c r="E611" s="67"/>
      <c r="F611" s="67"/>
      <c r="G611" s="67"/>
      <c r="H611" s="6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21.0" customHeight="1">
      <c r="A612" s="77"/>
      <c r="B612" s="77"/>
      <c r="C612" s="67"/>
      <c r="D612" s="67"/>
      <c r="E612" s="67"/>
      <c r="F612" s="67"/>
      <c r="G612" s="67"/>
      <c r="H612" s="6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21.0" customHeight="1">
      <c r="A613" s="77"/>
      <c r="B613" s="77"/>
      <c r="C613" s="67"/>
      <c r="D613" s="67"/>
      <c r="E613" s="67"/>
      <c r="F613" s="67"/>
      <c r="G613" s="67"/>
      <c r="H613" s="6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21.0" customHeight="1">
      <c r="A614" s="77"/>
      <c r="B614" s="77"/>
      <c r="C614" s="67"/>
      <c r="D614" s="67"/>
      <c r="E614" s="67"/>
      <c r="F614" s="67"/>
      <c r="G614" s="67"/>
      <c r="H614" s="6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21.0" customHeight="1">
      <c r="A615" s="77"/>
      <c r="B615" s="77"/>
      <c r="C615" s="67"/>
      <c r="D615" s="67"/>
      <c r="E615" s="67"/>
      <c r="F615" s="67"/>
      <c r="G615" s="67"/>
      <c r="H615" s="6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21.0" customHeight="1">
      <c r="A616" s="77"/>
      <c r="B616" s="77"/>
      <c r="C616" s="67"/>
      <c r="D616" s="67"/>
      <c r="E616" s="67"/>
      <c r="F616" s="67"/>
      <c r="G616" s="67"/>
      <c r="H616" s="6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21.0" customHeight="1">
      <c r="A617" s="77"/>
      <c r="B617" s="77"/>
      <c r="C617" s="67"/>
      <c r="D617" s="67"/>
      <c r="E617" s="67"/>
      <c r="F617" s="67"/>
      <c r="G617" s="67"/>
      <c r="H617" s="6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21.0" customHeight="1">
      <c r="A618" s="77"/>
      <c r="B618" s="77"/>
      <c r="C618" s="67"/>
      <c r="D618" s="67"/>
      <c r="E618" s="67"/>
      <c r="F618" s="67"/>
      <c r="G618" s="67"/>
      <c r="H618" s="6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21.0" customHeight="1">
      <c r="A619" s="77"/>
      <c r="B619" s="77"/>
      <c r="C619" s="67"/>
      <c r="D619" s="67"/>
      <c r="E619" s="67"/>
      <c r="F619" s="67"/>
      <c r="G619" s="67"/>
      <c r="H619" s="6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21.0" customHeight="1">
      <c r="A620" s="77"/>
      <c r="B620" s="77"/>
      <c r="C620" s="67"/>
      <c r="D620" s="67"/>
      <c r="E620" s="67"/>
      <c r="F620" s="67"/>
      <c r="G620" s="67"/>
      <c r="H620" s="6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21.0" customHeight="1">
      <c r="A621" s="77"/>
      <c r="B621" s="77"/>
      <c r="C621" s="67"/>
      <c r="D621" s="67"/>
      <c r="E621" s="67"/>
      <c r="F621" s="67"/>
      <c r="G621" s="67"/>
      <c r="H621" s="6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21.0" customHeight="1">
      <c r="A622" s="77"/>
      <c r="B622" s="77"/>
      <c r="C622" s="67"/>
      <c r="D622" s="67"/>
      <c r="E622" s="67"/>
      <c r="F622" s="67"/>
      <c r="G622" s="67"/>
      <c r="H622" s="6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21.0" customHeight="1">
      <c r="A623" s="77"/>
      <c r="B623" s="77"/>
      <c r="C623" s="67"/>
      <c r="D623" s="67"/>
      <c r="E623" s="67"/>
      <c r="F623" s="67"/>
      <c r="G623" s="67"/>
      <c r="H623" s="6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21.0" customHeight="1">
      <c r="A624" s="77"/>
      <c r="B624" s="77"/>
      <c r="C624" s="67"/>
      <c r="D624" s="67"/>
      <c r="E624" s="67"/>
      <c r="F624" s="67"/>
      <c r="G624" s="67"/>
      <c r="H624" s="6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21.0" customHeight="1">
      <c r="A625" s="77"/>
      <c r="B625" s="77"/>
      <c r="C625" s="67"/>
      <c r="D625" s="67"/>
      <c r="E625" s="67"/>
      <c r="F625" s="67"/>
      <c r="G625" s="67"/>
      <c r="H625" s="6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21.0" customHeight="1">
      <c r="A626" s="77"/>
      <c r="B626" s="77"/>
      <c r="C626" s="67"/>
      <c r="D626" s="67"/>
      <c r="E626" s="67"/>
      <c r="F626" s="67"/>
      <c r="G626" s="67"/>
      <c r="H626" s="6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21.0" customHeight="1">
      <c r="A627" s="77"/>
      <c r="B627" s="77"/>
      <c r="C627" s="67"/>
      <c r="D627" s="67"/>
      <c r="E627" s="67"/>
      <c r="F627" s="67"/>
      <c r="G627" s="67"/>
      <c r="H627" s="6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21.0" customHeight="1">
      <c r="A628" s="77"/>
      <c r="B628" s="77"/>
      <c r="C628" s="67"/>
      <c r="D628" s="67"/>
      <c r="E628" s="67"/>
      <c r="F628" s="67"/>
      <c r="G628" s="67"/>
      <c r="H628" s="6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21.0" customHeight="1">
      <c r="A629" s="77"/>
      <c r="B629" s="77"/>
      <c r="C629" s="67"/>
      <c r="D629" s="67"/>
      <c r="E629" s="67"/>
      <c r="F629" s="67"/>
      <c r="G629" s="67"/>
      <c r="H629" s="6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21.0" customHeight="1">
      <c r="A630" s="77"/>
      <c r="B630" s="77"/>
      <c r="C630" s="67"/>
      <c r="D630" s="67"/>
      <c r="E630" s="67"/>
      <c r="F630" s="67"/>
      <c r="G630" s="67"/>
      <c r="H630" s="6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21.0" customHeight="1">
      <c r="A631" s="77"/>
      <c r="B631" s="77"/>
      <c r="C631" s="67"/>
      <c r="D631" s="67"/>
      <c r="E631" s="67"/>
      <c r="F631" s="67"/>
      <c r="G631" s="67"/>
      <c r="H631" s="6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21.0" customHeight="1">
      <c r="A632" s="77"/>
      <c r="B632" s="77"/>
      <c r="C632" s="67"/>
      <c r="D632" s="67"/>
      <c r="E632" s="67"/>
      <c r="F632" s="67"/>
      <c r="G632" s="67"/>
      <c r="H632" s="6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21.0" customHeight="1">
      <c r="A633" s="77"/>
      <c r="B633" s="77"/>
      <c r="C633" s="67"/>
      <c r="D633" s="67"/>
      <c r="E633" s="67"/>
      <c r="F633" s="67"/>
      <c r="G633" s="67"/>
      <c r="H633" s="6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21.0" customHeight="1">
      <c r="A634" s="77"/>
      <c r="B634" s="77"/>
      <c r="C634" s="67"/>
      <c r="D634" s="67"/>
      <c r="E634" s="67"/>
      <c r="F634" s="67"/>
      <c r="G634" s="67"/>
      <c r="H634" s="6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21.0" customHeight="1">
      <c r="A635" s="77"/>
      <c r="B635" s="77"/>
      <c r="C635" s="67"/>
      <c r="D635" s="67"/>
      <c r="E635" s="67"/>
      <c r="F635" s="67"/>
      <c r="G635" s="67"/>
      <c r="H635" s="6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21.0" customHeight="1">
      <c r="A636" s="77"/>
      <c r="B636" s="77"/>
      <c r="C636" s="67"/>
      <c r="D636" s="67"/>
      <c r="E636" s="67"/>
      <c r="F636" s="67"/>
      <c r="G636" s="67"/>
      <c r="H636" s="6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21.0" customHeight="1">
      <c r="A637" s="77"/>
      <c r="B637" s="77"/>
      <c r="C637" s="67"/>
      <c r="D637" s="67"/>
      <c r="E637" s="67"/>
      <c r="F637" s="67"/>
      <c r="G637" s="67"/>
      <c r="H637" s="6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21.0" customHeight="1">
      <c r="A638" s="77"/>
      <c r="B638" s="77"/>
      <c r="C638" s="67"/>
      <c r="D638" s="67"/>
      <c r="E638" s="67"/>
      <c r="F638" s="67"/>
      <c r="G638" s="67"/>
      <c r="H638" s="6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21.0" customHeight="1">
      <c r="A639" s="77"/>
      <c r="B639" s="77"/>
      <c r="C639" s="67"/>
      <c r="D639" s="67"/>
      <c r="E639" s="67"/>
      <c r="F639" s="67"/>
      <c r="G639" s="67"/>
      <c r="H639" s="6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21.0" customHeight="1">
      <c r="A640" s="77"/>
      <c r="B640" s="77"/>
      <c r="C640" s="67"/>
      <c r="D640" s="67"/>
      <c r="E640" s="67"/>
      <c r="F640" s="67"/>
      <c r="G640" s="67"/>
      <c r="H640" s="6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21.0" customHeight="1">
      <c r="A641" s="77"/>
      <c r="B641" s="77"/>
      <c r="C641" s="67"/>
      <c r="D641" s="67"/>
      <c r="E641" s="67"/>
      <c r="F641" s="67"/>
      <c r="G641" s="67"/>
      <c r="H641" s="6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21.0" customHeight="1">
      <c r="A642" s="77"/>
      <c r="B642" s="77"/>
      <c r="C642" s="67"/>
      <c r="D642" s="67"/>
      <c r="E642" s="67"/>
      <c r="F642" s="67"/>
      <c r="G642" s="67"/>
      <c r="H642" s="6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21.0" customHeight="1">
      <c r="A643" s="77"/>
      <c r="B643" s="77"/>
      <c r="C643" s="67"/>
      <c r="D643" s="67"/>
      <c r="E643" s="67"/>
      <c r="F643" s="67"/>
      <c r="G643" s="67"/>
      <c r="H643" s="6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21.0" customHeight="1">
      <c r="A644" s="77"/>
      <c r="B644" s="77"/>
      <c r="C644" s="67"/>
      <c r="D644" s="67"/>
      <c r="E644" s="67"/>
      <c r="F644" s="67"/>
      <c r="G644" s="67"/>
      <c r="H644" s="6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21.0" customHeight="1">
      <c r="A645" s="77"/>
      <c r="B645" s="77"/>
      <c r="C645" s="67"/>
      <c r="D645" s="67"/>
      <c r="E645" s="67"/>
      <c r="F645" s="67"/>
      <c r="G645" s="67"/>
      <c r="H645" s="6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21.0" customHeight="1">
      <c r="A646" s="77"/>
      <c r="B646" s="77"/>
      <c r="C646" s="67"/>
      <c r="D646" s="67"/>
      <c r="E646" s="67"/>
      <c r="F646" s="67"/>
      <c r="G646" s="67"/>
      <c r="H646" s="6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21.0" customHeight="1">
      <c r="A647" s="77"/>
      <c r="B647" s="77"/>
      <c r="C647" s="67"/>
      <c r="D647" s="67"/>
      <c r="E647" s="67"/>
      <c r="F647" s="67"/>
      <c r="G647" s="67"/>
      <c r="H647" s="6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21.0" customHeight="1">
      <c r="A648" s="77"/>
      <c r="B648" s="77"/>
      <c r="C648" s="67"/>
      <c r="D648" s="67"/>
      <c r="E648" s="67"/>
      <c r="F648" s="67"/>
      <c r="G648" s="67"/>
      <c r="H648" s="6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21.0" customHeight="1">
      <c r="A649" s="77"/>
      <c r="B649" s="77"/>
      <c r="C649" s="67"/>
      <c r="D649" s="67"/>
      <c r="E649" s="67"/>
      <c r="F649" s="67"/>
      <c r="G649" s="67"/>
      <c r="H649" s="6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21.0" customHeight="1">
      <c r="A650" s="77"/>
      <c r="B650" s="77"/>
      <c r="C650" s="67"/>
      <c r="D650" s="67"/>
      <c r="E650" s="67"/>
      <c r="F650" s="67"/>
      <c r="G650" s="67"/>
      <c r="H650" s="6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21.0" customHeight="1">
      <c r="A651" s="77"/>
      <c r="B651" s="77"/>
      <c r="C651" s="67"/>
      <c r="D651" s="67"/>
      <c r="E651" s="67"/>
      <c r="F651" s="67"/>
      <c r="G651" s="67"/>
      <c r="H651" s="6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21.0" customHeight="1">
      <c r="A652" s="77"/>
      <c r="B652" s="77"/>
      <c r="C652" s="67"/>
      <c r="D652" s="67"/>
      <c r="E652" s="67"/>
      <c r="F652" s="67"/>
      <c r="G652" s="67"/>
      <c r="H652" s="6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21.0" customHeight="1">
      <c r="A653" s="77"/>
      <c r="B653" s="77"/>
      <c r="C653" s="67"/>
      <c r="D653" s="67"/>
      <c r="E653" s="67"/>
      <c r="F653" s="67"/>
      <c r="G653" s="67"/>
      <c r="H653" s="6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21.0" customHeight="1">
      <c r="A654" s="77"/>
      <c r="B654" s="77"/>
      <c r="C654" s="67"/>
      <c r="D654" s="67"/>
      <c r="E654" s="67"/>
      <c r="F654" s="67"/>
      <c r="G654" s="67"/>
      <c r="H654" s="6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21.0" customHeight="1">
      <c r="A655" s="77"/>
      <c r="B655" s="77"/>
      <c r="C655" s="67"/>
      <c r="D655" s="67"/>
      <c r="E655" s="67"/>
      <c r="F655" s="67"/>
      <c r="G655" s="67"/>
      <c r="H655" s="6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21.0" customHeight="1">
      <c r="A656" s="77"/>
      <c r="B656" s="77"/>
      <c r="C656" s="67"/>
      <c r="D656" s="67"/>
      <c r="E656" s="67"/>
      <c r="F656" s="67"/>
      <c r="G656" s="67"/>
      <c r="H656" s="6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21.0" customHeight="1">
      <c r="A657" s="77"/>
      <c r="B657" s="77"/>
      <c r="C657" s="67"/>
      <c r="D657" s="67"/>
      <c r="E657" s="67"/>
      <c r="F657" s="67"/>
      <c r="G657" s="67"/>
      <c r="H657" s="6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21.0" customHeight="1">
      <c r="A658" s="77"/>
      <c r="B658" s="77"/>
      <c r="C658" s="67"/>
      <c r="D658" s="67"/>
      <c r="E658" s="67"/>
      <c r="F658" s="67"/>
      <c r="G658" s="67"/>
      <c r="H658" s="6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21.0" customHeight="1">
      <c r="A659" s="77"/>
      <c r="B659" s="77"/>
      <c r="C659" s="67"/>
      <c r="D659" s="67"/>
      <c r="E659" s="67"/>
      <c r="F659" s="67"/>
      <c r="G659" s="67"/>
      <c r="H659" s="6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21.0" customHeight="1">
      <c r="A660" s="77"/>
      <c r="B660" s="77"/>
      <c r="C660" s="67"/>
      <c r="D660" s="67"/>
      <c r="E660" s="67"/>
      <c r="F660" s="67"/>
      <c r="G660" s="67"/>
      <c r="H660" s="6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21.0" customHeight="1">
      <c r="A661" s="77"/>
      <c r="B661" s="77"/>
      <c r="C661" s="67"/>
      <c r="D661" s="67"/>
      <c r="E661" s="67"/>
      <c r="F661" s="67"/>
      <c r="G661" s="67"/>
      <c r="H661" s="6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21.0" customHeight="1">
      <c r="A662" s="77"/>
      <c r="B662" s="77"/>
      <c r="C662" s="67"/>
      <c r="D662" s="67"/>
      <c r="E662" s="67"/>
      <c r="F662" s="67"/>
      <c r="G662" s="67"/>
      <c r="H662" s="6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21.0" customHeight="1">
      <c r="A663" s="77"/>
      <c r="B663" s="77"/>
      <c r="C663" s="67"/>
      <c r="D663" s="67"/>
      <c r="E663" s="67"/>
      <c r="F663" s="67"/>
      <c r="G663" s="67"/>
      <c r="H663" s="6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21.0" customHeight="1">
      <c r="A664" s="77"/>
      <c r="B664" s="77"/>
      <c r="C664" s="67"/>
      <c r="D664" s="67"/>
      <c r="E664" s="67"/>
      <c r="F664" s="67"/>
      <c r="G664" s="67"/>
      <c r="H664" s="6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21.0" customHeight="1">
      <c r="A665" s="77"/>
      <c r="B665" s="77"/>
      <c r="C665" s="67"/>
      <c r="D665" s="67"/>
      <c r="E665" s="67"/>
      <c r="F665" s="67"/>
      <c r="G665" s="67"/>
      <c r="H665" s="6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21.0" customHeight="1">
      <c r="A666" s="77"/>
      <c r="B666" s="77"/>
      <c r="C666" s="67"/>
      <c r="D666" s="67"/>
      <c r="E666" s="67"/>
      <c r="F666" s="67"/>
      <c r="G666" s="67"/>
      <c r="H666" s="6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21.0" customHeight="1">
      <c r="A667" s="77"/>
      <c r="B667" s="77"/>
      <c r="C667" s="67"/>
      <c r="D667" s="67"/>
      <c r="E667" s="67"/>
      <c r="F667" s="67"/>
      <c r="G667" s="67"/>
      <c r="H667" s="6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21.0" customHeight="1">
      <c r="A668" s="77"/>
      <c r="B668" s="77"/>
      <c r="C668" s="67"/>
      <c r="D668" s="67"/>
      <c r="E668" s="67"/>
      <c r="F668" s="67"/>
      <c r="G668" s="67"/>
      <c r="H668" s="6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21.0" customHeight="1">
      <c r="A669" s="77"/>
      <c r="B669" s="77"/>
      <c r="C669" s="67"/>
      <c r="D669" s="67"/>
      <c r="E669" s="67"/>
      <c r="F669" s="67"/>
      <c r="G669" s="67"/>
      <c r="H669" s="6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21.0" customHeight="1">
      <c r="A670" s="77"/>
      <c r="B670" s="77"/>
      <c r="C670" s="67"/>
      <c r="D670" s="67"/>
      <c r="E670" s="67"/>
      <c r="F670" s="67"/>
      <c r="G670" s="67"/>
      <c r="H670" s="6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21.0" customHeight="1">
      <c r="A671" s="77"/>
      <c r="B671" s="77"/>
      <c r="C671" s="67"/>
      <c r="D671" s="67"/>
      <c r="E671" s="67"/>
      <c r="F671" s="67"/>
      <c r="G671" s="67"/>
      <c r="H671" s="6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21.0" customHeight="1">
      <c r="A672" s="77"/>
      <c r="B672" s="77"/>
      <c r="C672" s="67"/>
      <c r="D672" s="67"/>
      <c r="E672" s="67"/>
      <c r="F672" s="67"/>
      <c r="G672" s="67"/>
      <c r="H672" s="6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21.0" customHeight="1">
      <c r="A673" s="77"/>
      <c r="B673" s="77"/>
      <c r="C673" s="67"/>
      <c r="D673" s="67"/>
      <c r="E673" s="67"/>
      <c r="F673" s="67"/>
      <c r="G673" s="67"/>
      <c r="H673" s="6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21.0" customHeight="1">
      <c r="A674" s="77"/>
      <c r="B674" s="77"/>
      <c r="C674" s="67"/>
      <c r="D674" s="67"/>
      <c r="E674" s="67"/>
      <c r="F674" s="67"/>
      <c r="G674" s="67"/>
      <c r="H674" s="6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21.0" customHeight="1">
      <c r="A675" s="77"/>
      <c r="B675" s="77"/>
      <c r="C675" s="67"/>
      <c r="D675" s="67"/>
      <c r="E675" s="67"/>
      <c r="F675" s="67"/>
      <c r="G675" s="67"/>
      <c r="H675" s="6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21.0" customHeight="1">
      <c r="A676" s="77"/>
      <c r="B676" s="77"/>
      <c r="C676" s="67"/>
      <c r="D676" s="67"/>
      <c r="E676" s="67"/>
      <c r="F676" s="67"/>
      <c r="G676" s="67"/>
      <c r="H676" s="6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21.0" customHeight="1">
      <c r="A677" s="77"/>
      <c r="B677" s="77"/>
      <c r="C677" s="67"/>
      <c r="D677" s="67"/>
      <c r="E677" s="67"/>
      <c r="F677" s="67"/>
      <c r="G677" s="67"/>
      <c r="H677" s="6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21.0" customHeight="1">
      <c r="A678" s="77"/>
      <c r="B678" s="77"/>
      <c r="C678" s="67"/>
      <c r="D678" s="67"/>
      <c r="E678" s="67"/>
      <c r="F678" s="67"/>
      <c r="G678" s="67"/>
      <c r="H678" s="6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21.0" customHeight="1">
      <c r="A679" s="77"/>
      <c r="B679" s="77"/>
      <c r="C679" s="67"/>
      <c r="D679" s="67"/>
      <c r="E679" s="67"/>
      <c r="F679" s="67"/>
      <c r="G679" s="67"/>
      <c r="H679" s="6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21.0" customHeight="1">
      <c r="A680" s="77"/>
      <c r="B680" s="77"/>
      <c r="C680" s="67"/>
      <c r="D680" s="67"/>
      <c r="E680" s="67"/>
      <c r="F680" s="67"/>
      <c r="G680" s="67"/>
      <c r="H680" s="6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21.0" customHeight="1">
      <c r="A681" s="77"/>
      <c r="B681" s="77"/>
      <c r="C681" s="67"/>
      <c r="D681" s="67"/>
      <c r="E681" s="67"/>
      <c r="F681" s="67"/>
      <c r="G681" s="67"/>
      <c r="H681" s="6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21.0" customHeight="1">
      <c r="A682" s="77"/>
      <c r="B682" s="77"/>
      <c r="C682" s="67"/>
      <c r="D682" s="67"/>
      <c r="E682" s="67"/>
      <c r="F682" s="67"/>
      <c r="G682" s="67"/>
      <c r="H682" s="6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21.0" customHeight="1">
      <c r="A683" s="77"/>
      <c r="B683" s="77"/>
      <c r="C683" s="67"/>
      <c r="D683" s="67"/>
      <c r="E683" s="67"/>
      <c r="F683" s="67"/>
      <c r="G683" s="67"/>
      <c r="H683" s="6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21.0" customHeight="1">
      <c r="A684" s="77"/>
      <c r="B684" s="77"/>
      <c r="C684" s="67"/>
      <c r="D684" s="67"/>
      <c r="E684" s="67"/>
      <c r="F684" s="67"/>
      <c r="G684" s="67"/>
      <c r="H684" s="6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21.0" customHeight="1">
      <c r="A685" s="77"/>
      <c r="B685" s="77"/>
      <c r="C685" s="67"/>
      <c r="D685" s="67"/>
      <c r="E685" s="67"/>
      <c r="F685" s="67"/>
      <c r="G685" s="67"/>
      <c r="H685" s="6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21.0" customHeight="1">
      <c r="A686" s="77"/>
      <c r="B686" s="77"/>
      <c r="C686" s="67"/>
      <c r="D686" s="67"/>
      <c r="E686" s="67"/>
      <c r="F686" s="67"/>
      <c r="G686" s="67"/>
      <c r="H686" s="6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21.0" customHeight="1">
      <c r="A687" s="77"/>
      <c r="B687" s="77"/>
      <c r="C687" s="67"/>
      <c r="D687" s="67"/>
      <c r="E687" s="67"/>
      <c r="F687" s="67"/>
      <c r="G687" s="67"/>
      <c r="H687" s="6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21.0" customHeight="1">
      <c r="A688" s="77"/>
      <c r="B688" s="77"/>
      <c r="C688" s="67"/>
      <c r="D688" s="67"/>
      <c r="E688" s="67"/>
      <c r="F688" s="67"/>
      <c r="G688" s="67"/>
      <c r="H688" s="6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21.0" customHeight="1">
      <c r="A689" s="77"/>
      <c r="B689" s="77"/>
      <c r="C689" s="67"/>
      <c r="D689" s="67"/>
      <c r="E689" s="67"/>
      <c r="F689" s="67"/>
      <c r="G689" s="67"/>
      <c r="H689" s="6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21.0" customHeight="1">
      <c r="A690" s="77"/>
      <c r="B690" s="77"/>
      <c r="C690" s="67"/>
      <c r="D690" s="67"/>
      <c r="E690" s="67"/>
      <c r="F690" s="67"/>
      <c r="G690" s="67"/>
      <c r="H690" s="6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21.0" customHeight="1">
      <c r="A691" s="77"/>
      <c r="B691" s="77"/>
      <c r="C691" s="67"/>
      <c r="D691" s="67"/>
      <c r="E691" s="67"/>
      <c r="F691" s="67"/>
      <c r="G691" s="67"/>
      <c r="H691" s="6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21.0" customHeight="1">
      <c r="A692" s="77"/>
      <c r="B692" s="77"/>
      <c r="C692" s="67"/>
      <c r="D692" s="67"/>
      <c r="E692" s="67"/>
      <c r="F692" s="67"/>
      <c r="G692" s="67"/>
      <c r="H692" s="6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21.0" customHeight="1">
      <c r="A693" s="77"/>
      <c r="B693" s="77"/>
      <c r="C693" s="67"/>
      <c r="D693" s="67"/>
      <c r="E693" s="67"/>
      <c r="F693" s="67"/>
      <c r="G693" s="67"/>
      <c r="H693" s="6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21.0" customHeight="1">
      <c r="A694" s="77"/>
      <c r="B694" s="77"/>
      <c r="C694" s="67"/>
      <c r="D694" s="67"/>
      <c r="E694" s="67"/>
      <c r="F694" s="67"/>
      <c r="G694" s="67"/>
      <c r="H694" s="6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21.0" customHeight="1">
      <c r="A695" s="77"/>
      <c r="B695" s="77"/>
      <c r="C695" s="67"/>
      <c r="D695" s="67"/>
      <c r="E695" s="67"/>
      <c r="F695" s="67"/>
      <c r="G695" s="67"/>
      <c r="H695" s="6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21.0" customHeight="1">
      <c r="A696" s="77"/>
      <c r="B696" s="77"/>
      <c r="C696" s="67"/>
      <c r="D696" s="67"/>
      <c r="E696" s="67"/>
      <c r="F696" s="67"/>
      <c r="G696" s="67"/>
      <c r="H696" s="6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21.0" customHeight="1">
      <c r="A697" s="77"/>
      <c r="B697" s="77"/>
      <c r="C697" s="67"/>
      <c r="D697" s="67"/>
      <c r="E697" s="67"/>
      <c r="F697" s="67"/>
      <c r="G697" s="67"/>
      <c r="H697" s="6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21.0" customHeight="1">
      <c r="A698" s="77"/>
      <c r="B698" s="77"/>
      <c r="C698" s="67"/>
      <c r="D698" s="67"/>
      <c r="E698" s="67"/>
      <c r="F698" s="67"/>
      <c r="G698" s="67"/>
      <c r="H698" s="6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21.0" customHeight="1">
      <c r="A699" s="77"/>
      <c r="B699" s="77"/>
      <c r="C699" s="67"/>
      <c r="D699" s="67"/>
      <c r="E699" s="67"/>
      <c r="F699" s="67"/>
      <c r="G699" s="67"/>
      <c r="H699" s="6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21.0" customHeight="1">
      <c r="A700" s="77"/>
      <c r="B700" s="77"/>
      <c r="C700" s="67"/>
      <c r="D700" s="67"/>
      <c r="E700" s="67"/>
      <c r="F700" s="67"/>
      <c r="G700" s="67"/>
      <c r="H700" s="6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21.0" customHeight="1">
      <c r="A701" s="77"/>
      <c r="B701" s="77"/>
      <c r="C701" s="67"/>
      <c r="D701" s="67"/>
      <c r="E701" s="67"/>
      <c r="F701" s="67"/>
      <c r="G701" s="67"/>
      <c r="H701" s="6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21.0" customHeight="1">
      <c r="A702" s="77"/>
      <c r="B702" s="77"/>
      <c r="C702" s="67"/>
      <c r="D702" s="67"/>
      <c r="E702" s="67"/>
      <c r="F702" s="67"/>
      <c r="G702" s="67"/>
      <c r="H702" s="6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21.0" customHeight="1">
      <c r="A703" s="77"/>
      <c r="B703" s="77"/>
      <c r="C703" s="67"/>
      <c r="D703" s="67"/>
      <c r="E703" s="67"/>
      <c r="F703" s="67"/>
      <c r="G703" s="67"/>
      <c r="H703" s="6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21.0" customHeight="1">
      <c r="A704" s="77"/>
      <c r="B704" s="77"/>
      <c r="C704" s="67"/>
      <c r="D704" s="67"/>
      <c r="E704" s="67"/>
      <c r="F704" s="67"/>
      <c r="G704" s="67"/>
      <c r="H704" s="6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21.0" customHeight="1">
      <c r="A705" s="77"/>
      <c r="B705" s="77"/>
      <c r="C705" s="67"/>
      <c r="D705" s="67"/>
      <c r="E705" s="67"/>
      <c r="F705" s="67"/>
      <c r="G705" s="67"/>
      <c r="H705" s="6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21.0" customHeight="1">
      <c r="A706" s="77"/>
      <c r="B706" s="77"/>
      <c r="C706" s="67"/>
      <c r="D706" s="67"/>
      <c r="E706" s="67"/>
      <c r="F706" s="67"/>
      <c r="G706" s="67"/>
      <c r="H706" s="6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21.0" customHeight="1">
      <c r="A707" s="77"/>
      <c r="B707" s="77"/>
      <c r="C707" s="67"/>
      <c r="D707" s="67"/>
      <c r="E707" s="67"/>
      <c r="F707" s="67"/>
      <c r="G707" s="67"/>
      <c r="H707" s="6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21.0" customHeight="1">
      <c r="A708" s="77"/>
      <c r="B708" s="77"/>
      <c r="C708" s="67"/>
      <c r="D708" s="67"/>
      <c r="E708" s="67"/>
      <c r="F708" s="67"/>
      <c r="G708" s="67"/>
      <c r="H708" s="6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21.0" customHeight="1">
      <c r="A709" s="77"/>
      <c r="B709" s="77"/>
      <c r="C709" s="67"/>
      <c r="D709" s="67"/>
      <c r="E709" s="67"/>
      <c r="F709" s="67"/>
      <c r="G709" s="67"/>
      <c r="H709" s="6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21.0" customHeight="1">
      <c r="A710" s="77"/>
      <c r="B710" s="77"/>
      <c r="C710" s="67"/>
      <c r="D710" s="67"/>
      <c r="E710" s="67"/>
      <c r="F710" s="67"/>
      <c r="G710" s="67"/>
      <c r="H710" s="6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21.0" customHeight="1">
      <c r="A711" s="77"/>
      <c r="B711" s="77"/>
      <c r="C711" s="67"/>
      <c r="D711" s="67"/>
      <c r="E711" s="67"/>
      <c r="F711" s="67"/>
      <c r="G711" s="67"/>
      <c r="H711" s="6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21.0" customHeight="1">
      <c r="A712" s="77"/>
      <c r="B712" s="77"/>
      <c r="C712" s="67"/>
      <c r="D712" s="67"/>
      <c r="E712" s="67"/>
      <c r="F712" s="67"/>
      <c r="G712" s="67"/>
      <c r="H712" s="6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21.0" customHeight="1">
      <c r="A713" s="77"/>
      <c r="B713" s="77"/>
      <c r="C713" s="67"/>
      <c r="D713" s="67"/>
      <c r="E713" s="67"/>
      <c r="F713" s="67"/>
      <c r="G713" s="67"/>
      <c r="H713" s="6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21.0" customHeight="1">
      <c r="A714" s="77"/>
      <c r="B714" s="77"/>
      <c r="C714" s="67"/>
      <c r="D714" s="67"/>
      <c r="E714" s="67"/>
      <c r="F714" s="67"/>
      <c r="G714" s="67"/>
      <c r="H714" s="6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21.0" customHeight="1">
      <c r="A715" s="77"/>
      <c r="B715" s="77"/>
      <c r="C715" s="67"/>
      <c r="D715" s="67"/>
      <c r="E715" s="67"/>
      <c r="F715" s="67"/>
      <c r="G715" s="67"/>
      <c r="H715" s="6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21.0" customHeight="1">
      <c r="A716" s="77"/>
      <c r="B716" s="77"/>
      <c r="C716" s="67"/>
      <c r="D716" s="67"/>
      <c r="E716" s="67"/>
      <c r="F716" s="67"/>
      <c r="G716" s="67"/>
      <c r="H716" s="6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21.0" customHeight="1">
      <c r="A717" s="77"/>
      <c r="B717" s="77"/>
      <c r="C717" s="67"/>
      <c r="D717" s="67"/>
      <c r="E717" s="67"/>
      <c r="F717" s="67"/>
      <c r="G717" s="67"/>
      <c r="H717" s="6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21.0" customHeight="1">
      <c r="A718" s="77"/>
      <c r="B718" s="77"/>
      <c r="C718" s="67"/>
      <c r="D718" s="67"/>
      <c r="E718" s="67"/>
      <c r="F718" s="67"/>
      <c r="G718" s="67"/>
      <c r="H718" s="6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21.0" customHeight="1">
      <c r="A719" s="77"/>
      <c r="B719" s="77"/>
      <c r="C719" s="67"/>
      <c r="D719" s="67"/>
      <c r="E719" s="67"/>
      <c r="F719" s="67"/>
      <c r="G719" s="67"/>
      <c r="H719" s="6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21.0" customHeight="1">
      <c r="A720" s="77"/>
      <c r="B720" s="77"/>
      <c r="C720" s="67"/>
      <c r="D720" s="67"/>
      <c r="E720" s="67"/>
      <c r="F720" s="67"/>
      <c r="G720" s="67"/>
      <c r="H720" s="6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21.0" customHeight="1">
      <c r="A721" s="77"/>
      <c r="B721" s="77"/>
      <c r="C721" s="67"/>
      <c r="D721" s="67"/>
      <c r="E721" s="67"/>
      <c r="F721" s="67"/>
      <c r="G721" s="67"/>
      <c r="H721" s="6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21.0" customHeight="1">
      <c r="A722" s="77"/>
      <c r="B722" s="77"/>
      <c r="C722" s="67"/>
      <c r="D722" s="67"/>
      <c r="E722" s="67"/>
      <c r="F722" s="67"/>
      <c r="G722" s="67"/>
      <c r="H722" s="6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21.0" customHeight="1">
      <c r="A723" s="77"/>
      <c r="B723" s="77"/>
      <c r="C723" s="67"/>
      <c r="D723" s="67"/>
      <c r="E723" s="67"/>
      <c r="F723" s="67"/>
      <c r="G723" s="67"/>
      <c r="H723" s="6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21.0" customHeight="1">
      <c r="A724" s="77"/>
      <c r="B724" s="77"/>
      <c r="C724" s="67"/>
      <c r="D724" s="67"/>
      <c r="E724" s="67"/>
      <c r="F724" s="67"/>
      <c r="G724" s="67"/>
      <c r="H724" s="6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21.0" customHeight="1">
      <c r="A725" s="77"/>
      <c r="B725" s="77"/>
      <c r="C725" s="67"/>
      <c r="D725" s="67"/>
      <c r="E725" s="67"/>
      <c r="F725" s="67"/>
      <c r="G725" s="67"/>
      <c r="H725" s="6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21.0" customHeight="1">
      <c r="A726" s="77"/>
      <c r="B726" s="77"/>
      <c r="C726" s="67"/>
      <c r="D726" s="67"/>
      <c r="E726" s="67"/>
      <c r="F726" s="67"/>
      <c r="G726" s="67"/>
      <c r="H726" s="6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21.0" customHeight="1">
      <c r="A727" s="77"/>
      <c r="B727" s="77"/>
      <c r="C727" s="67"/>
      <c r="D727" s="67"/>
      <c r="E727" s="67"/>
      <c r="F727" s="67"/>
      <c r="G727" s="67"/>
      <c r="H727" s="6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21.0" customHeight="1">
      <c r="A728" s="77"/>
      <c r="B728" s="77"/>
      <c r="C728" s="67"/>
      <c r="D728" s="67"/>
      <c r="E728" s="67"/>
      <c r="F728" s="67"/>
      <c r="G728" s="67"/>
      <c r="H728" s="6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21.0" customHeight="1">
      <c r="A729" s="77"/>
      <c r="B729" s="77"/>
      <c r="C729" s="67"/>
      <c r="D729" s="67"/>
      <c r="E729" s="67"/>
      <c r="F729" s="67"/>
      <c r="G729" s="67"/>
      <c r="H729" s="6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21.0" customHeight="1">
      <c r="A730" s="77"/>
      <c r="B730" s="77"/>
      <c r="C730" s="67"/>
      <c r="D730" s="67"/>
      <c r="E730" s="67"/>
      <c r="F730" s="67"/>
      <c r="G730" s="67"/>
      <c r="H730" s="6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21.0" customHeight="1">
      <c r="A731" s="77"/>
      <c r="B731" s="77"/>
      <c r="C731" s="67"/>
      <c r="D731" s="67"/>
      <c r="E731" s="67"/>
      <c r="F731" s="67"/>
      <c r="G731" s="67"/>
      <c r="H731" s="6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21.0" customHeight="1">
      <c r="A732" s="77"/>
      <c r="B732" s="77"/>
      <c r="C732" s="67"/>
      <c r="D732" s="67"/>
      <c r="E732" s="67"/>
      <c r="F732" s="67"/>
      <c r="G732" s="67"/>
      <c r="H732" s="6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21.0" customHeight="1">
      <c r="A733" s="77"/>
      <c r="B733" s="77"/>
      <c r="C733" s="67"/>
      <c r="D733" s="67"/>
      <c r="E733" s="67"/>
      <c r="F733" s="67"/>
      <c r="G733" s="67"/>
      <c r="H733" s="6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21.0" customHeight="1">
      <c r="A734" s="77"/>
      <c r="B734" s="77"/>
      <c r="C734" s="67"/>
      <c r="D734" s="67"/>
      <c r="E734" s="67"/>
      <c r="F734" s="67"/>
      <c r="G734" s="67"/>
      <c r="H734" s="6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21.0" customHeight="1">
      <c r="A735" s="77"/>
      <c r="B735" s="77"/>
      <c r="C735" s="67"/>
      <c r="D735" s="67"/>
      <c r="E735" s="67"/>
      <c r="F735" s="67"/>
      <c r="G735" s="67"/>
      <c r="H735" s="6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21.0" customHeight="1">
      <c r="A736" s="77"/>
      <c r="B736" s="77"/>
      <c r="C736" s="67"/>
      <c r="D736" s="67"/>
      <c r="E736" s="67"/>
      <c r="F736" s="67"/>
      <c r="G736" s="67"/>
      <c r="H736" s="6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21.0" customHeight="1">
      <c r="A737" s="77"/>
      <c r="B737" s="77"/>
      <c r="C737" s="67"/>
      <c r="D737" s="67"/>
      <c r="E737" s="67"/>
      <c r="F737" s="67"/>
      <c r="G737" s="67"/>
      <c r="H737" s="6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21.0" customHeight="1">
      <c r="A738" s="77"/>
      <c r="B738" s="77"/>
      <c r="C738" s="67"/>
      <c r="D738" s="67"/>
      <c r="E738" s="67"/>
      <c r="F738" s="67"/>
      <c r="G738" s="67"/>
      <c r="H738" s="6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21.0" customHeight="1">
      <c r="A739" s="77"/>
      <c r="B739" s="77"/>
      <c r="C739" s="67"/>
      <c r="D739" s="67"/>
      <c r="E739" s="67"/>
      <c r="F739" s="67"/>
      <c r="G739" s="67"/>
      <c r="H739" s="6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21.0" customHeight="1">
      <c r="A740" s="77"/>
      <c r="B740" s="77"/>
      <c r="C740" s="67"/>
      <c r="D740" s="67"/>
      <c r="E740" s="67"/>
      <c r="F740" s="67"/>
      <c r="G740" s="67"/>
      <c r="H740" s="6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21.0" customHeight="1">
      <c r="A741" s="77"/>
      <c r="B741" s="77"/>
      <c r="C741" s="67"/>
      <c r="D741" s="67"/>
      <c r="E741" s="67"/>
      <c r="F741" s="67"/>
      <c r="G741" s="67"/>
      <c r="H741" s="6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21.0" customHeight="1">
      <c r="A742" s="77"/>
      <c r="B742" s="77"/>
      <c r="C742" s="67"/>
      <c r="D742" s="67"/>
      <c r="E742" s="67"/>
      <c r="F742" s="67"/>
      <c r="G742" s="67"/>
      <c r="H742" s="6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21.0" customHeight="1">
      <c r="A743" s="77"/>
      <c r="B743" s="77"/>
      <c r="C743" s="67"/>
      <c r="D743" s="67"/>
      <c r="E743" s="67"/>
      <c r="F743" s="67"/>
      <c r="G743" s="67"/>
      <c r="H743" s="6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21.0" customHeight="1">
      <c r="A744" s="77"/>
      <c r="B744" s="77"/>
      <c r="C744" s="67"/>
      <c r="D744" s="67"/>
      <c r="E744" s="67"/>
      <c r="F744" s="67"/>
      <c r="G744" s="67"/>
      <c r="H744" s="6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21.0" customHeight="1">
      <c r="A745" s="77"/>
      <c r="B745" s="77"/>
      <c r="C745" s="67"/>
      <c r="D745" s="67"/>
      <c r="E745" s="67"/>
      <c r="F745" s="67"/>
      <c r="G745" s="67"/>
      <c r="H745" s="6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21.0" customHeight="1">
      <c r="A746" s="77"/>
      <c r="B746" s="77"/>
      <c r="C746" s="67"/>
      <c r="D746" s="67"/>
      <c r="E746" s="67"/>
      <c r="F746" s="67"/>
      <c r="G746" s="67"/>
      <c r="H746" s="6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21.0" customHeight="1">
      <c r="A747" s="77"/>
      <c r="B747" s="77"/>
      <c r="C747" s="67"/>
      <c r="D747" s="67"/>
      <c r="E747" s="67"/>
      <c r="F747" s="67"/>
      <c r="G747" s="67"/>
      <c r="H747" s="6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21.0" customHeight="1">
      <c r="A748" s="77"/>
      <c r="B748" s="77"/>
      <c r="C748" s="67"/>
      <c r="D748" s="67"/>
      <c r="E748" s="67"/>
      <c r="F748" s="67"/>
      <c r="G748" s="67"/>
      <c r="H748" s="6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21.0" customHeight="1">
      <c r="A749" s="77"/>
      <c r="B749" s="77"/>
      <c r="C749" s="67"/>
      <c r="D749" s="67"/>
      <c r="E749" s="67"/>
      <c r="F749" s="67"/>
      <c r="G749" s="67"/>
      <c r="H749" s="6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21.0" customHeight="1">
      <c r="A750" s="77"/>
      <c r="B750" s="77"/>
      <c r="C750" s="67"/>
      <c r="D750" s="67"/>
      <c r="E750" s="67"/>
      <c r="F750" s="67"/>
      <c r="G750" s="67"/>
      <c r="H750" s="6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21.0" customHeight="1">
      <c r="A751" s="77"/>
      <c r="B751" s="77"/>
      <c r="C751" s="67"/>
      <c r="D751" s="67"/>
      <c r="E751" s="67"/>
      <c r="F751" s="67"/>
      <c r="G751" s="67"/>
      <c r="H751" s="6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21.0" customHeight="1">
      <c r="A752" s="77"/>
      <c r="B752" s="77"/>
      <c r="C752" s="67"/>
      <c r="D752" s="67"/>
      <c r="E752" s="67"/>
      <c r="F752" s="67"/>
      <c r="G752" s="67"/>
      <c r="H752" s="6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21.0" customHeight="1">
      <c r="A753" s="77"/>
      <c r="B753" s="77"/>
      <c r="C753" s="67"/>
      <c r="D753" s="67"/>
      <c r="E753" s="67"/>
      <c r="F753" s="67"/>
      <c r="G753" s="67"/>
      <c r="H753" s="6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21.0" customHeight="1">
      <c r="A754" s="77"/>
      <c r="B754" s="77"/>
      <c r="C754" s="67"/>
      <c r="D754" s="67"/>
      <c r="E754" s="67"/>
      <c r="F754" s="67"/>
      <c r="G754" s="67"/>
      <c r="H754" s="6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21.0" customHeight="1">
      <c r="A755" s="77"/>
      <c r="B755" s="77"/>
      <c r="C755" s="67"/>
      <c r="D755" s="67"/>
      <c r="E755" s="67"/>
      <c r="F755" s="67"/>
      <c r="G755" s="67"/>
      <c r="H755" s="6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21.0" customHeight="1">
      <c r="A756" s="77"/>
      <c r="B756" s="77"/>
      <c r="C756" s="67"/>
      <c r="D756" s="67"/>
      <c r="E756" s="67"/>
      <c r="F756" s="67"/>
      <c r="G756" s="67"/>
      <c r="H756" s="6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21.0" customHeight="1">
      <c r="A757" s="77"/>
      <c r="B757" s="77"/>
      <c r="C757" s="67"/>
      <c r="D757" s="67"/>
      <c r="E757" s="67"/>
      <c r="F757" s="67"/>
      <c r="G757" s="67"/>
      <c r="H757" s="6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21.0" customHeight="1">
      <c r="A758" s="77"/>
      <c r="B758" s="77"/>
      <c r="C758" s="67"/>
      <c r="D758" s="67"/>
      <c r="E758" s="67"/>
      <c r="F758" s="67"/>
      <c r="G758" s="67"/>
      <c r="H758" s="6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21.0" customHeight="1">
      <c r="A759" s="77"/>
      <c r="B759" s="77"/>
      <c r="C759" s="67"/>
      <c r="D759" s="67"/>
      <c r="E759" s="67"/>
      <c r="F759" s="67"/>
      <c r="G759" s="67"/>
      <c r="H759" s="6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21.0" customHeight="1">
      <c r="A760" s="77"/>
      <c r="B760" s="77"/>
      <c r="C760" s="67"/>
      <c r="D760" s="67"/>
      <c r="E760" s="67"/>
      <c r="F760" s="67"/>
      <c r="G760" s="67"/>
      <c r="H760" s="6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21.0" customHeight="1">
      <c r="A761" s="77"/>
      <c r="B761" s="77"/>
      <c r="C761" s="67"/>
      <c r="D761" s="67"/>
      <c r="E761" s="67"/>
      <c r="F761" s="67"/>
      <c r="G761" s="67"/>
      <c r="H761" s="6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21.0" customHeight="1">
      <c r="A762" s="77"/>
      <c r="B762" s="77"/>
      <c r="C762" s="67"/>
      <c r="D762" s="67"/>
      <c r="E762" s="67"/>
      <c r="F762" s="67"/>
      <c r="G762" s="67"/>
      <c r="H762" s="6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21.0" customHeight="1">
      <c r="A763" s="77"/>
      <c r="B763" s="77"/>
      <c r="C763" s="67"/>
      <c r="D763" s="67"/>
      <c r="E763" s="67"/>
      <c r="F763" s="67"/>
      <c r="G763" s="67"/>
      <c r="H763" s="6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21.0" customHeight="1">
      <c r="A764" s="77"/>
      <c r="B764" s="77"/>
      <c r="C764" s="67"/>
      <c r="D764" s="67"/>
      <c r="E764" s="67"/>
      <c r="F764" s="67"/>
      <c r="G764" s="67"/>
      <c r="H764" s="6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21.0" customHeight="1">
      <c r="A765" s="77"/>
      <c r="B765" s="77"/>
      <c r="C765" s="67"/>
      <c r="D765" s="67"/>
      <c r="E765" s="67"/>
      <c r="F765" s="67"/>
      <c r="G765" s="67"/>
      <c r="H765" s="6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21.0" customHeight="1">
      <c r="A766" s="77"/>
      <c r="B766" s="77"/>
      <c r="C766" s="67"/>
      <c r="D766" s="67"/>
      <c r="E766" s="67"/>
      <c r="F766" s="67"/>
      <c r="G766" s="67"/>
      <c r="H766" s="6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21.0" customHeight="1">
      <c r="A767" s="77"/>
      <c r="B767" s="77"/>
      <c r="C767" s="67"/>
      <c r="D767" s="67"/>
      <c r="E767" s="67"/>
      <c r="F767" s="67"/>
      <c r="G767" s="67"/>
      <c r="H767" s="6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21.0" customHeight="1">
      <c r="A768" s="77"/>
      <c r="B768" s="77"/>
      <c r="C768" s="67"/>
      <c r="D768" s="67"/>
      <c r="E768" s="67"/>
      <c r="F768" s="67"/>
      <c r="G768" s="67"/>
      <c r="H768" s="6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21.0" customHeight="1">
      <c r="A769" s="77"/>
      <c r="B769" s="77"/>
      <c r="C769" s="67"/>
      <c r="D769" s="67"/>
      <c r="E769" s="67"/>
      <c r="F769" s="67"/>
      <c r="G769" s="67"/>
      <c r="H769" s="6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21.0" customHeight="1">
      <c r="A770" s="77"/>
      <c r="B770" s="77"/>
      <c r="C770" s="67"/>
      <c r="D770" s="67"/>
      <c r="E770" s="67"/>
      <c r="F770" s="67"/>
      <c r="G770" s="67"/>
      <c r="H770" s="6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21.0" customHeight="1">
      <c r="A771" s="77"/>
      <c r="B771" s="77"/>
      <c r="C771" s="67"/>
      <c r="D771" s="67"/>
      <c r="E771" s="67"/>
      <c r="F771" s="67"/>
      <c r="G771" s="67"/>
      <c r="H771" s="6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21.0" customHeight="1">
      <c r="A772" s="77"/>
      <c r="B772" s="77"/>
      <c r="C772" s="67"/>
      <c r="D772" s="67"/>
      <c r="E772" s="67"/>
      <c r="F772" s="67"/>
      <c r="G772" s="67"/>
      <c r="H772" s="6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21.0" customHeight="1">
      <c r="A773" s="77"/>
      <c r="B773" s="77"/>
      <c r="C773" s="67"/>
      <c r="D773" s="67"/>
      <c r="E773" s="67"/>
      <c r="F773" s="67"/>
      <c r="G773" s="67"/>
      <c r="H773" s="6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21.0" customHeight="1">
      <c r="A774" s="77"/>
      <c r="B774" s="77"/>
      <c r="C774" s="67"/>
      <c r="D774" s="67"/>
      <c r="E774" s="67"/>
      <c r="F774" s="67"/>
      <c r="G774" s="67"/>
      <c r="H774" s="6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21.0" customHeight="1">
      <c r="A775" s="77"/>
      <c r="B775" s="77"/>
      <c r="C775" s="67"/>
      <c r="D775" s="67"/>
      <c r="E775" s="67"/>
      <c r="F775" s="67"/>
      <c r="G775" s="67"/>
      <c r="H775" s="6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21.0" customHeight="1">
      <c r="A776" s="77"/>
      <c r="B776" s="77"/>
      <c r="C776" s="67"/>
      <c r="D776" s="67"/>
      <c r="E776" s="67"/>
      <c r="F776" s="67"/>
      <c r="G776" s="67"/>
      <c r="H776" s="6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21.0" customHeight="1">
      <c r="A777" s="77"/>
      <c r="B777" s="77"/>
      <c r="C777" s="67"/>
      <c r="D777" s="67"/>
      <c r="E777" s="67"/>
      <c r="F777" s="67"/>
      <c r="G777" s="67"/>
      <c r="H777" s="6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21.0" customHeight="1">
      <c r="A778" s="77"/>
      <c r="B778" s="77"/>
      <c r="C778" s="67"/>
      <c r="D778" s="67"/>
      <c r="E778" s="67"/>
      <c r="F778" s="67"/>
      <c r="G778" s="67"/>
      <c r="H778" s="6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21.0" customHeight="1">
      <c r="A779" s="77"/>
      <c r="B779" s="77"/>
      <c r="C779" s="67"/>
      <c r="D779" s="67"/>
      <c r="E779" s="67"/>
      <c r="F779" s="67"/>
      <c r="G779" s="67"/>
      <c r="H779" s="6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21.0" customHeight="1">
      <c r="A780" s="77"/>
      <c r="B780" s="77"/>
      <c r="C780" s="67"/>
      <c r="D780" s="67"/>
      <c r="E780" s="67"/>
      <c r="F780" s="67"/>
      <c r="G780" s="67"/>
      <c r="H780" s="6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21.0" customHeight="1">
      <c r="A781" s="77"/>
      <c r="B781" s="77"/>
      <c r="C781" s="67"/>
      <c r="D781" s="67"/>
      <c r="E781" s="67"/>
      <c r="F781" s="67"/>
      <c r="G781" s="67"/>
      <c r="H781" s="6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21.0" customHeight="1">
      <c r="A782" s="77"/>
      <c r="B782" s="77"/>
      <c r="C782" s="67"/>
      <c r="D782" s="67"/>
      <c r="E782" s="67"/>
      <c r="F782" s="67"/>
      <c r="G782" s="67"/>
      <c r="H782" s="6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21.0" customHeight="1">
      <c r="A783" s="77"/>
      <c r="B783" s="77"/>
      <c r="C783" s="67"/>
      <c r="D783" s="67"/>
      <c r="E783" s="67"/>
      <c r="F783" s="67"/>
      <c r="G783" s="67"/>
      <c r="H783" s="6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21.0" customHeight="1">
      <c r="A784" s="77"/>
      <c r="B784" s="77"/>
      <c r="C784" s="67"/>
      <c r="D784" s="67"/>
      <c r="E784" s="67"/>
      <c r="F784" s="67"/>
      <c r="G784" s="67"/>
      <c r="H784" s="6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21.0" customHeight="1">
      <c r="A785" s="77"/>
      <c r="B785" s="77"/>
      <c r="C785" s="67"/>
      <c r="D785" s="67"/>
      <c r="E785" s="67"/>
      <c r="F785" s="67"/>
      <c r="G785" s="67"/>
      <c r="H785" s="6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21.0" customHeight="1">
      <c r="A786" s="77"/>
      <c r="B786" s="77"/>
      <c r="C786" s="67"/>
      <c r="D786" s="67"/>
      <c r="E786" s="67"/>
      <c r="F786" s="67"/>
      <c r="G786" s="67"/>
      <c r="H786" s="6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21.0" customHeight="1">
      <c r="A787" s="77"/>
      <c r="B787" s="77"/>
      <c r="C787" s="67"/>
      <c r="D787" s="67"/>
      <c r="E787" s="67"/>
      <c r="F787" s="67"/>
      <c r="G787" s="67"/>
      <c r="H787" s="6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21.0" customHeight="1">
      <c r="A788" s="77"/>
      <c r="B788" s="77"/>
      <c r="C788" s="67"/>
      <c r="D788" s="67"/>
      <c r="E788" s="67"/>
      <c r="F788" s="67"/>
      <c r="G788" s="67"/>
      <c r="H788" s="6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21.0" customHeight="1">
      <c r="A789" s="77"/>
      <c r="B789" s="77"/>
      <c r="C789" s="67"/>
      <c r="D789" s="67"/>
      <c r="E789" s="67"/>
      <c r="F789" s="67"/>
      <c r="G789" s="67"/>
      <c r="H789" s="6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21.0" customHeight="1">
      <c r="A790" s="77"/>
      <c r="B790" s="77"/>
      <c r="C790" s="67"/>
      <c r="D790" s="67"/>
      <c r="E790" s="67"/>
      <c r="F790" s="67"/>
      <c r="G790" s="67"/>
      <c r="H790" s="6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21.0" customHeight="1">
      <c r="A791" s="77"/>
      <c r="B791" s="77"/>
      <c r="C791" s="67"/>
      <c r="D791" s="67"/>
      <c r="E791" s="67"/>
      <c r="F791" s="67"/>
      <c r="G791" s="67"/>
      <c r="H791" s="6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21.0" customHeight="1">
      <c r="A792" s="77"/>
      <c r="B792" s="77"/>
      <c r="C792" s="67"/>
      <c r="D792" s="67"/>
      <c r="E792" s="67"/>
      <c r="F792" s="67"/>
      <c r="G792" s="67"/>
      <c r="H792" s="6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21.0" customHeight="1">
      <c r="A793" s="77"/>
      <c r="B793" s="77"/>
      <c r="C793" s="67"/>
      <c r="D793" s="67"/>
      <c r="E793" s="67"/>
      <c r="F793" s="67"/>
      <c r="G793" s="67"/>
      <c r="H793" s="6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21.0" customHeight="1">
      <c r="A794" s="77"/>
      <c r="B794" s="77"/>
      <c r="C794" s="67"/>
      <c r="D794" s="67"/>
      <c r="E794" s="67"/>
      <c r="F794" s="67"/>
      <c r="G794" s="67"/>
      <c r="H794" s="6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21.0" customHeight="1">
      <c r="A795" s="77"/>
      <c r="B795" s="77"/>
      <c r="C795" s="67"/>
      <c r="D795" s="67"/>
      <c r="E795" s="67"/>
      <c r="F795" s="67"/>
      <c r="G795" s="67"/>
      <c r="H795" s="6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21.0" customHeight="1">
      <c r="A796" s="77"/>
      <c r="B796" s="77"/>
      <c r="C796" s="67"/>
      <c r="D796" s="67"/>
      <c r="E796" s="67"/>
      <c r="F796" s="67"/>
      <c r="G796" s="67"/>
      <c r="H796" s="6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21.0" customHeight="1">
      <c r="A797" s="77"/>
      <c r="B797" s="77"/>
      <c r="C797" s="67"/>
      <c r="D797" s="67"/>
      <c r="E797" s="67"/>
      <c r="F797" s="67"/>
      <c r="G797" s="67"/>
      <c r="H797" s="6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21.0" customHeight="1">
      <c r="A798" s="77"/>
      <c r="B798" s="77"/>
      <c r="C798" s="67"/>
      <c r="D798" s="67"/>
      <c r="E798" s="67"/>
      <c r="F798" s="67"/>
      <c r="G798" s="67"/>
      <c r="H798" s="6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21.0" customHeight="1">
      <c r="A799" s="77"/>
      <c r="B799" s="77"/>
      <c r="C799" s="67"/>
      <c r="D799" s="67"/>
      <c r="E799" s="67"/>
      <c r="F799" s="67"/>
      <c r="G799" s="67"/>
      <c r="H799" s="6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21.0" customHeight="1">
      <c r="A800" s="77"/>
      <c r="B800" s="77"/>
      <c r="C800" s="67"/>
      <c r="D800" s="67"/>
      <c r="E800" s="67"/>
      <c r="F800" s="67"/>
      <c r="G800" s="67"/>
      <c r="H800" s="6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21.0" customHeight="1">
      <c r="A801" s="77"/>
      <c r="B801" s="77"/>
      <c r="C801" s="67"/>
      <c r="D801" s="67"/>
      <c r="E801" s="67"/>
      <c r="F801" s="67"/>
      <c r="G801" s="67"/>
      <c r="H801" s="6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21.0" customHeight="1">
      <c r="A802" s="77"/>
      <c r="B802" s="77"/>
      <c r="C802" s="67"/>
      <c r="D802" s="67"/>
      <c r="E802" s="67"/>
      <c r="F802" s="67"/>
      <c r="G802" s="67"/>
      <c r="H802" s="6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21.0" customHeight="1">
      <c r="A803" s="77"/>
      <c r="B803" s="77"/>
      <c r="C803" s="67"/>
      <c r="D803" s="67"/>
      <c r="E803" s="67"/>
      <c r="F803" s="67"/>
      <c r="G803" s="67"/>
      <c r="H803" s="6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21.0" customHeight="1">
      <c r="A804" s="77"/>
      <c r="B804" s="77"/>
      <c r="C804" s="67"/>
      <c r="D804" s="67"/>
      <c r="E804" s="67"/>
      <c r="F804" s="67"/>
      <c r="G804" s="67"/>
      <c r="H804" s="6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21.0" customHeight="1">
      <c r="A805" s="77"/>
      <c r="B805" s="77"/>
      <c r="C805" s="67"/>
      <c r="D805" s="67"/>
      <c r="E805" s="67"/>
      <c r="F805" s="67"/>
      <c r="G805" s="67"/>
      <c r="H805" s="6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21.0" customHeight="1">
      <c r="A806" s="77"/>
      <c r="B806" s="77"/>
      <c r="C806" s="67"/>
      <c r="D806" s="67"/>
      <c r="E806" s="67"/>
      <c r="F806" s="67"/>
      <c r="G806" s="67"/>
      <c r="H806" s="6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21.0" customHeight="1">
      <c r="A807" s="77"/>
      <c r="B807" s="77"/>
      <c r="C807" s="67"/>
      <c r="D807" s="67"/>
      <c r="E807" s="67"/>
      <c r="F807" s="67"/>
      <c r="G807" s="67"/>
      <c r="H807" s="6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21.0" customHeight="1">
      <c r="A808" s="77"/>
      <c r="B808" s="77"/>
      <c r="C808" s="67"/>
      <c r="D808" s="67"/>
      <c r="E808" s="67"/>
      <c r="F808" s="67"/>
      <c r="G808" s="67"/>
      <c r="H808" s="6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21.0" customHeight="1">
      <c r="A809" s="77"/>
      <c r="B809" s="77"/>
      <c r="C809" s="67"/>
      <c r="D809" s="67"/>
      <c r="E809" s="67"/>
      <c r="F809" s="67"/>
      <c r="G809" s="67"/>
      <c r="H809" s="6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21.0" customHeight="1">
      <c r="A810" s="77"/>
      <c r="B810" s="77"/>
      <c r="C810" s="67"/>
      <c r="D810" s="67"/>
      <c r="E810" s="67"/>
      <c r="F810" s="67"/>
      <c r="G810" s="67"/>
      <c r="H810" s="6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21.0" customHeight="1">
      <c r="A811" s="77"/>
      <c r="B811" s="77"/>
      <c r="C811" s="67"/>
      <c r="D811" s="67"/>
      <c r="E811" s="67"/>
      <c r="F811" s="67"/>
      <c r="G811" s="67"/>
      <c r="H811" s="6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21.0" customHeight="1">
      <c r="A812" s="77"/>
      <c r="B812" s="77"/>
      <c r="C812" s="67"/>
      <c r="D812" s="67"/>
      <c r="E812" s="67"/>
      <c r="F812" s="67"/>
      <c r="G812" s="67"/>
      <c r="H812" s="6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21.0" customHeight="1">
      <c r="A813" s="77"/>
      <c r="B813" s="77"/>
      <c r="C813" s="67"/>
      <c r="D813" s="67"/>
      <c r="E813" s="67"/>
      <c r="F813" s="67"/>
      <c r="G813" s="67"/>
      <c r="H813" s="6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21.0" customHeight="1">
      <c r="A814" s="77"/>
      <c r="B814" s="77"/>
      <c r="C814" s="67"/>
      <c r="D814" s="67"/>
      <c r="E814" s="67"/>
      <c r="F814" s="67"/>
      <c r="G814" s="67"/>
      <c r="H814" s="6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21.0" customHeight="1">
      <c r="A815" s="77"/>
      <c r="B815" s="77"/>
      <c r="C815" s="67"/>
      <c r="D815" s="67"/>
      <c r="E815" s="67"/>
      <c r="F815" s="67"/>
      <c r="G815" s="67"/>
      <c r="H815" s="6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21.0" customHeight="1">
      <c r="A816" s="77"/>
      <c r="B816" s="77"/>
      <c r="C816" s="67"/>
      <c r="D816" s="67"/>
      <c r="E816" s="67"/>
      <c r="F816" s="67"/>
      <c r="G816" s="67"/>
      <c r="H816" s="6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21.0" customHeight="1">
      <c r="A817" s="77"/>
      <c r="B817" s="77"/>
      <c r="C817" s="67"/>
      <c r="D817" s="67"/>
      <c r="E817" s="67"/>
      <c r="F817" s="67"/>
      <c r="G817" s="67"/>
      <c r="H817" s="6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21.0" customHeight="1">
      <c r="A818" s="77"/>
      <c r="B818" s="77"/>
      <c r="C818" s="67"/>
      <c r="D818" s="67"/>
      <c r="E818" s="67"/>
      <c r="F818" s="67"/>
      <c r="G818" s="67"/>
      <c r="H818" s="6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21.0" customHeight="1">
      <c r="A819" s="77"/>
      <c r="B819" s="77"/>
      <c r="C819" s="67"/>
      <c r="D819" s="67"/>
      <c r="E819" s="67"/>
      <c r="F819" s="67"/>
      <c r="G819" s="67"/>
      <c r="H819" s="6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21.0" customHeight="1">
      <c r="A820" s="77"/>
      <c r="B820" s="77"/>
      <c r="C820" s="67"/>
      <c r="D820" s="67"/>
      <c r="E820" s="67"/>
      <c r="F820" s="67"/>
      <c r="G820" s="67"/>
      <c r="H820" s="6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21.0" customHeight="1">
      <c r="A821" s="77"/>
      <c r="B821" s="77"/>
      <c r="C821" s="67"/>
      <c r="D821" s="67"/>
      <c r="E821" s="67"/>
      <c r="F821" s="67"/>
      <c r="G821" s="67"/>
      <c r="H821" s="6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21.0" customHeight="1">
      <c r="A822" s="77"/>
      <c r="B822" s="77"/>
      <c r="C822" s="67"/>
      <c r="D822" s="67"/>
      <c r="E822" s="67"/>
      <c r="F822" s="67"/>
      <c r="G822" s="67"/>
      <c r="H822" s="6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21.0" customHeight="1">
      <c r="A823" s="77"/>
      <c r="B823" s="77"/>
      <c r="C823" s="67"/>
      <c r="D823" s="67"/>
      <c r="E823" s="67"/>
      <c r="F823" s="67"/>
      <c r="G823" s="67"/>
      <c r="H823" s="6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21.0" customHeight="1">
      <c r="A824" s="77"/>
      <c r="B824" s="77"/>
      <c r="C824" s="67"/>
      <c r="D824" s="67"/>
      <c r="E824" s="67"/>
      <c r="F824" s="67"/>
      <c r="G824" s="67"/>
      <c r="H824" s="6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21.0" customHeight="1">
      <c r="A825" s="77"/>
      <c r="B825" s="77"/>
      <c r="C825" s="67"/>
      <c r="D825" s="67"/>
      <c r="E825" s="67"/>
      <c r="F825" s="67"/>
      <c r="G825" s="67"/>
      <c r="H825" s="6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21.0" customHeight="1">
      <c r="A826" s="77"/>
      <c r="B826" s="77"/>
      <c r="C826" s="67"/>
      <c r="D826" s="67"/>
      <c r="E826" s="67"/>
      <c r="F826" s="67"/>
      <c r="G826" s="67"/>
      <c r="H826" s="6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21.0" customHeight="1">
      <c r="A827" s="77"/>
      <c r="B827" s="77"/>
      <c r="C827" s="67"/>
      <c r="D827" s="67"/>
      <c r="E827" s="67"/>
      <c r="F827" s="67"/>
      <c r="G827" s="67"/>
      <c r="H827" s="6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21.0" customHeight="1">
      <c r="A828" s="77"/>
      <c r="B828" s="77"/>
      <c r="C828" s="67"/>
      <c r="D828" s="67"/>
      <c r="E828" s="67"/>
      <c r="F828" s="67"/>
      <c r="G828" s="67"/>
      <c r="H828" s="6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21.0" customHeight="1">
      <c r="A829" s="77"/>
      <c r="B829" s="77"/>
      <c r="C829" s="67"/>
      <c r="D829" s="67"/>
      <c r="E829" s="67"/>
      <c r="F829" s="67"/>
      <c r="G829" s="67"/>
      <c r="H829" s="6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21.0" customHeight="1">
      <c r="A830" s="77"/>
      <c r="B830" s="77"/>
      <c r="C830" s="67"/>
      <c r="D830" s="67"/>
      <c r="E830" s="67"/>
      <c r="F830" s="67"/>
      <c r="G830" s="67"/>
      <c r="H830" s="6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21.0" customHeight="1">
      <c r="A831" s="77"/>
      <c r="B831" s="77"/>
      <c r="C831" s="67"/>
      <c r="D831" s="67"/>
      <c r="E831" s="67"/>
      <c r="F831" s="67"/>
      <c r="G831" s="67"/>
      <c r="H831" s="6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21.0" customHeight="1">
      <c r="A832" s="77"/>
      <c r="B832" s="77"/>
      <c r="C832" s="67"/>
      <c r="D832" s="67"/>
      <c r="E832" s="67"/>
      <c r="F832" s="67"/>
      <c r="G832" s="67"/>
      <c r="H832" s="6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21.0" customHeight="1">
      <c r="A833" s="77"/>
      <c r="B833" s="77"/>
      <c r="C833" s="67"/>
      <c r="D833" s="67"/>
      <c r="E833" s="67"/>
      <c r="F833" s="67"/>
      <c r="G833" s="67"/>
      <c r="H833" s="6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21.0" customHeight="1">
      <c r="A834" s="77"/>
      <c r="B834" s="77"/>
      <c r="C834" s="67"/>
      <c r="D834" s="67"/>
      <c r="E834" s="67"/>
      <c r="F834" s="67"/>
      <c r="G834" s="67"/>
      <c r="H834" s="6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21.0" customHeight="1">
      <c r="A835" s="77"/>
      <c r="B835" s="77"/>
      <c r="C835" s="67"/>
      <c r="D835" s="67"/>
      <c r="E835" s="67"/>
      <c r="F835" s="67"/>
      <c r="G835" s="67"/>
      <c r="H835" s="6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21.0" customHeight="1">
      <c r="A836" s="77"/>
      <c r="B836" s="77"/>
      <c r="C836" s="67"/>
      <c r="D836" s="67"/>
      <c r="E836" s="67"/>
      <c r="F836" s="67"/>
      <c r="G836" s="67"/>
      <c r="H836" s="6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21.0" customHeight="1">
      <c r="A837" s="77"/>
      <c r="B837" s="77"/>
      <c r="C837" s="67"/>
      <c r="D837" s="67"/>
      <c r="E837" s="67"/>
      <c r="F837" s="67"/>
      <c r="G837" s="67"/>
      <c r="H837" s="6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21.0" customHeight="1">
      <c r="A838" s="77"/>
      <c r="B838" s="77"/>
      <c r="C838" s="67"/>
      <c r="D838" s="67"/>
      <c r="E838" s="67"/>
      <c r="F838" s="67"/>
      <c r="G838" s="67"/>
      <c r="H838" s="6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21.0" customHeight="1">
      <c r="A839" s="77"/>
      <c r="B839" s="77"/>
      <c r="C839" s="67"/>
      <c r="D839" s="67"/>
      <c r="E839" s="67"/>
      <c r="F839" s="67"/>
      <c r="G839" s="67"/>
      <c r="H839" s="6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21.0" customHeight="1">
      <c r="A840" s="77"/>
      <c r="B840" s="77"/>
      <c r="C840" s="67"/>
      <c r="D840" s="67"/>
      <c r="E840" s="67"/>
      <c r="F840" s="67"/>
      <c r="G840" s="67"/>
      <c r="H840" s="6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21.0" customHeight="1">
      <c r="A841" s="77"/>
      <c r="B841" s="77"/>
      <c r="C841" s="67"/>
      <c r="D841" s="67"/>
      <c r="E841" s="67"/>
      <c r="F841" s="67"/>
      <c r="G841" s="67"/>
      <c r="H841" s="6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21.0" customHeight="1">
      <c r="A842" s="77"/>
      <c r="B842" s="77"/>
      <c r="C842" s="67"/>
      <c r="D842" s="67"/>
      <c r="E842" s="67"/>
      <c r="F842" s="67"/>
      <c r="G842" s="67"/>
      <c r="H842" s="6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21.0" customHeight="1">
      <c r="A843" s="77"/>
      <c r="B843" s="77"/>
      <c r="C843" s="67"/>
      <c r="D843" s="67"/>
      <c r="E843" s="67"/>
      <c r="F843" s="67"/>
      <c r="G843" s="67"/>
      <c r="H843" s="6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21.0" customHeight="1">
      <c r="A844" s="77"/>
      <c r="B844" s="77"/>
      <c r="C844" s="67"/>
      <c r="D844" s="67"/>
      <c r="E844" s="67"/>
      <c r="F844" s="67"/>
      <c r="G844" s="67"/>
      <c r="H844" s="6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21.0" customHeight="1">
      <c r="A845" s="77"/>
      <c r="B845" s="77"/>
      <c r="C845" s="67"/>
      <c r="D845" s="67"/>
      <c r="E845" s="67"/>
      <c r="F845" s="67"/>
      <c r="G845" s="67"/>
      <c r="H845" s="6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21.0" customHeight="1">
      <c r="A846" s="77"/>
      <c r="B846" s="77"/>
      <c r="C846" s="67"/>
      <c r="D846" s="67"/>
      <c r="E846" s="67"/>
      <c r="F846" s="67"/>
      <c r="G846" s="67"/>
      <c r="H846" s="6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21.0" customHeight="1">
      <c r="A847" s="77"/>
      <c r="B847" s="77"/>
      <c r="C847" s="67"/>
      <c r="D847" s="67"/>
      <c r="E847" s="67"/>
      <c r="F847" s="67"/>
      <c r="G847" s="67"/>
      <c r="H847" s="6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21.0" customHeight="1">
      <c r="A848" s="77"/>
      <c r="B848" s="77"/>
      <c r="C848" s="67"/>
      <c r="D848" s="67"/>
      <c r="E848" s="67"/>
      <c r="F848" s="67"/>
      <c r="G848" s="67"/>
      <c r="H848" s="6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21.0" customHeight="1">
      <c r="A849" s="77"/>
      <c r="B849" s="77"/>
      <c r="C849" s="67"/>
      <c r="D849" s="67"/>
      <c r="E849" s="67"/>
      <c r="F849" s="67"/>
      <c r="G849" s="67"/>
      <c r="H849" s="6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21.0" customHeight="1">
      <c r="A850" s="77"/>
      <c r="B850" s="77"/>
      <c r="C850" s="67"/>
      <c r="D850" s="67"/>
      <c r="E850" s="67"/>
      <c r="F850" s="67"/>
      <c r="G850" s="67"/>
      <c r="H850" s="6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21.0" customHeight="1">
      <c r="A851" s="77"/>
      <c r="B851" s="77"/>
      <c r="C851" s="67"/>
      <c r="D851" s="67"/>
      <c r="E851" s="67"/>
      <c r="F851" s="67"/>
      <c r="G851" s="67"/>
      <c r="H851" s="6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21.0" customHeight="1">
      <c r="A852" s="77"/>
      <c r="B852" s="77"/>
      <c r="C852" s="67"/>
      <c r="D852" s="67"/>
      <c r="E852" s="67"/>
      <c r="F852" s="67"/>
      <c r="G852" s="67"/>
      <c r="H852" s="6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21.0" customHeight="1">
      <c r="A853" s="77"/>
      <c r="B853" s="77"/>
      <c r="C853" s="67"/>
      <c r="D853" s="67"/>
      <c r="E853" s="67"/>
      <c r="F853" s="67"/>
      <c r="G853" s="67"/>
      <c r="H853" s="6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21.0" customHeight="1">
      <c r="A854" s="77"/>
      <c r="B854" s="77"/>
      <c r="C854" s="67"/>
      <c r="D854" s="67"/>
      <c r="E854" s="67"/>
      <c r="F854" s="67"/>
      <c r="G854" s="67"/>
      <c r="H854" s="6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21.0" customHeight="1">
      <c r="A855" s="77"/>
      <c r="B855" s="77"/>
      <c r="C855" s="67"/>
      <c r="D855" s="67"/>
      <c r="E855" s="67"/>
      <c r="F855" s="67"/>
      <c r="G855" s="67"/>
      <c r="H855" s="6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21.0" customHeight="1">
      <c r="A856" s="77"/>
      <c r="B856" s="77"/>
      <c r="C856" s="67"/>
      <c r="D856" s="67"/>
      <c r="E856" s="67"/>
      <c r="F856" s="67"/>
      <c r="G856" s="67"/>
      <c r="H856" s="6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21.0" customHeight="1">
      <c r="A857" s="77"/>
      <c r="B857" s="77"/>
      <c r="C857" s="67"/>
      <c r="D857" s="67"/>
      <c r="E857" s="67"/>
      <c r="F857" s="67"/>
      <c r="G857" s="67"/>
      <c r="H857" s="6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21.0" customHeight="1">
      <c r="A858" s="77"/>
      <c r="B858" s="77"/>
      <c r="C858" s="67"/>
      <c r="D858" s="67"/>
      <c r="E858" s="67"/>
      <c r="F858" s="67"/>
      <c r="G858" s="67"/>
      <c r="H858" s="6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21.0" customHeight="1">
      <c r="A859" s="77"/>
      <c r="B859" s="77"/>
      <c r="C859" s="67"/>
      <c r="D859" s="67"/>
      <c r="E859" s="67"/>
      <c r="F859" s="67"/>
      <c r="G859" s="67"/>
      <c r="H859" s="6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21.0" customHeight="1">
      <c r="A860" s="77"/>
      <c r="B860" s="77"/>
      <c r="C860" s="67"/>
      <c r="D860" s="67"/>
      <c r="E860" s="67"/>
      <c r="F860" s="67"/>
      <c r="G860" s="67"/>
      <c r="H860" s="6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21.0" customHeight="1">
      <c r="A861" s="77"/>
      <c r="B861" s="77"/>
      <c r="C861" s="67"/>
      <c r="D861" s="67"/>
      <c r="E861" s="67"/>
      <c r="F861" s="67"/>
      <c r="G861" s="67"/>
      <c r="H861" s="6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21.0" customHeight="1">
      <c r="A862" s="77"/>
      <c r="B862" s="77"/>
      <c r="C862" s="67"/>
      <c r="D862" s="67"/>
      <c r="E862" s="67"/>
      <c r="F862" s="67"/>
      <c r="G862" s="67"/>
      <c r="H862" s="6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21.0" customHeight="1">
      <c r="A863" s="77"/>
      <c r="B863" s="77"/>
      <c r="C863" s="67"/>
      <c r="D863" s="67"/>
      <c r="E863" s="67"/>
      <c r="F863" s="67"/>
      <c r="G863" s="67"/>
      <c r="H863" s="6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21.0" customHeight="1">
      <c r="A864" s="77"/>
      <c r="B864" s="77"/>
      <c r="C864" s="67"/>
      <c r="D864" s="67"/>
      <c r="E864" s="67"/>
      <c r="F864" s="67"/>
      <c r="G864" s="67"/>
      <c r="H864" s="6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21.0" customHeight="1">
      <c r="A865" s="77"/>
      <c r="B865" s="77"/>
      <c r="C865" s="67"/>
      <c r="D865" s="67"/>
      <c r="E865" s="67"/>
      <c r="F865" s="67"/>
      <c r="G865" s="67"/>
      <c r="H865" s="6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21.0" customHeight="1">
      <c r="A866" s="77"/>
      <c r="B866" s="77"/>
      <c r="C866" s="67"/>
      <c r="D866" s="67"/>
      <c r="E866" s="67"/>
      <c r="F866" s="67"/>
      <c r="G866" s="67"/>
      <c r="H866" s="6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21.0" customHeight="1">
      <c r="A867" s="77"/>
      <c r="B867" s="77"/>
      <c r="C867" s="67"/>
      <c r="D867" s="67"/>
      <c r="E867" s="67"/>
      <c r="F867" s="67"/>
      <c r="G867" s="67"/>
      <c r="H867" s="6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21.0" customHeight="1">
      <c r="A868" s="77"/>
      <c r="B868" s="77"/>
      <c r="C868" s="67"/>
      <c r="D868" s="67"/>
      <c r="E868" s="67"/>
      <c r="F868" s="67"/>
      <c r="G868" s="67"/>
      <c r="H868" s="6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21.0" customHeight="1">
      <c r="A869" s="77"/>
      <c r="B869" s="77"/>
      <c r="C869" s="67"/>
      <c r="D869" s="67"/>
      <c r="E869" s="67"/>
      <c r="F869" s="67"/>
      <c r="G869" s="67"/>
      <c r="H869" s="6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21.0" customHeight="1">
      <c r="A870" s="77"/>
      <c r="B870" s="77"/>
      <c r="C870" s="67"/>
      <c r="D870" s="67"/>
      <c r="E870" s="67"/>
      <c r="F870" s="67"/>
      <c r="G870" s="67"/>
      <c r="H870" s="6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21.0" customHeight="1">
      <c r="A871" s="77"/>
      <c r="B871" s="77"/>
      <c r="C871" s="67"/>
      <c r="D871" s="67"/>
      <c r="E871" s="67"/>
      <c r="F871" s="67"/>
      <c r="G871" s="67"/>
      <c r="H871" s="6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21.0" customHeight="1">
      <c r="A872" s="77"/>
      <c r="B872" s="77"/>
      <c r="C872" s="67"/>
      <c r="D872" s="67"/>
      <c r="E872" s="67"/>
      <c r="F872" s="67"/>
      <c r="G872" s="67"/>
      <c r="H872" s="6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21.0" customHeight="1">
      <c r="A873" s="77"/>
      <c r="B873" s="77"/>
      <c r="C873" s="67"/>
      <c r="D873" s="67"/>
      <c r="E873" s="67"/>
      <c r="F873" s="67"/>
      <c r="G873" s="67"/>
      <c r="H873" s="6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21.0" customHeight="1">
      <c r="A874" s="77"/>
      <c r="B874" s="77"/>
      <c r="C874" s="67"/>
      <c r="D874" s="67"/>
      <c r="E874" s="67"/>
      <c r="F874" s="67"/>
      <c r="G874" s="67"/>
      <c r="H874" s="6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21.0" customHeight="1">
      <c r="A875" s="77"/>
      <c r="B875" s="77"/>
      <c r="C875" s="67"/>
      <c r="D875" s="67"/>
      <c r="E875" s="67"/>
      <c r="F875" s="67"/>
      <c r="G875" s="67"/>
      <c r="H875" s="6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21.0" customHeight="1">
      <c r="A876" s="77"/>
      <c r="B876" s="77"/>
      <c r="C876" s="67"/>
      <c r="D876" s="67"/>
      <c r="E876" s="67"/>
      <c r="F876" s="67"/>
      <c r="G876" s="67"/>
      <c r="H876" s="6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21.0" customHeight="1">
      <c r="A877" s="77"/>
      <c r="B877" s="77"/>
      <c r="C877" s="67"/>
      <c r="D877" s="67"/>
      <c r="E877" s="67"/>
      <c r="F877" s="67"/>
      <c r="G877" s="67"/>
      <c r="H877" s="6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21.0" customHeight="1">
      <c r="A878" s="77"/>
      <c r="B878" s="77"/>
      <c r="C878" s="67"/>
      <c r="D878" s="67"/>
      <c r="E878" s="67"/>
      <c r="F878" s="67"/>
      <c r="G878" s="67"/>
      <c r="H878" s="6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21.0" customHeight="1">
      <c r="A879" s="77"/>
      <c r="B879" s="77"/>
      <c r="C879" s="67"/>
      <c r="D879" s="67"/>
      <c r="E879" s="67"/>
      <c r="F879" s="67"/>
      <c r="G879" s="67"/>
      <c r="H879" s="6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21.0" customHeight="1">
      <c r="A880" s="77"/>
      <c r="B880" s="77"/>
      <c r="C880" s="67"/>
      <c r="D880" s="67"/>
      <c r="E880" s="67"/>
      <c r="F880" s="67"/>
      <c r="G880" s="67"/>
      <c r="H880" s="6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21.0" customHeight="1">
      <c r="A881" s="77"/>
      <c r="B881" s="77"/>
      <c r="C881" s="67"/>
      <c r="D881" s="67"/>
      <c r="E881" s="67"/>
      <c r="F881" s="67"/>
      <c r="G881" s="67"/>
      <c r="H881" s="6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21.0" customHeight="1">
      <c r="A882" s="77"/>
      <c r="B882" s="77"/>
      <c r="C882" s="67"/>
      <c r="D882" s="67"/>
      <c r="E882" s="67"/>
      <c r="F882" s="67"/>
      <c r="G882" s="67"/>
      <c r="H882" s="6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21.0" customHeight="1">
      <c r="A883" s="77"/>
      <c r="B883" s="77"/>
      <c r="C883" s="67"/>
      <c r="D883" s="67"/>
      <c r="E883" s="67"/>
      <c r="F883" s="67"/>
      <c r="G883" s="67"/>
      <c r="H883" s="6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21.0" customHeight="1">
      <c r="A884" s="77"/>
      <c r="B884" s="77"/>
      <c r="C884" s="67"/>
      <c r="D884" s="67"/>
      <c r="E884" s="67"/>
      <c r="F884" s="67"/>
      <c r="G884" s="67"/>
      <c r="H884" s="6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21.0" customHeight="1">
      <c r="A885" s="77"/>
      <c r="B885" s="77"/>
      <c r="C885" s="67"/>
      <c r="D885" s="67"/>
      <c r="E885" s="67"/>
      <c r="F885" s="67"/>
      <c r="G885" s="67"/>
      <c r="H885" s="6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21.0" customHeight="1">
      <c r="A886" s="77"/>
      <c r="B886" s="77"/>
      <c r="C886" s="67"/>
      <c r="D886" s="67"/>
      <c r="E886" s="67"/>
      <c r="F886" s="67"/>
      <c r="G886" s="67"/>
      <c r="H886" s="6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21.0" customHeight="1">
      <c r="A887" s="77"/>
      <c r="B887" s="77"/>
      <c r="C887" s="67"/>
      <c r="D887" s="67"/>
      <c r="E887" s="67"/>
      <c r="F887" s="67"/>
      <c r="G887" s="67"/>
      <c r="H887" s="6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21.0" customHeight="1">
      <c r="A888" s="77"/>
      <c r="B888" s="77"/>
      <c r="C888" s="67"/>
      <c r="D888" s="67"/>
      <c r="E888" s="67"/>
      <c r="F888" s="67"/>
      <c r="G888" s="67"/>
      <c r="H888" s="6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21.0" customHeight="1">
      <c r="A889" s="77"/>
      <c r="B889" s="77"/>
      <c r="C889" s="67"/>
      <c r="D889" s="67"/>
      <c r="E889" s="67"/>
      <c r="F889" s="67"/>
      <c r="G889" s="67"/>
      <c r="H889" s="6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21.0" customHeight="1">
      <c r="A890" s="77"/>
      <c r="B890" s="77"/>
      <c r="C890" s="67"/>
      <c r="D890" s="67"/>
      <c r="E890" s="67"/>
      <c r="F890" s="67"/>
      <c r="G890" s="67"/>
      <c r="H890" s="6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21.0" customHeight="1">
      <c r="A891" s="77"/>
      <c r="B891" s="77"/>
      <c r="C891" s="67"/>
      <c r="D891" s="67"/>
      <c r="E891" s="67"/>
      <c r="F891" s="67"/>
      <c r="G891" s="67"/>
      <c r="H891" s="6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21.0" customHeight="1">
      <c r="A892" s="77"/>
      <c r="B892" s="77"/>
      <c r="C892" s="67"/>
      <c r="D892" s="67"/>
      <c r="E892" s="67"/>
      <c r="F892" s="67"/>
      <c r="G892" s="67"/>
      <c r="H892" s="6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21.0" customHeight="1">
      <c r="A893" s="77"/>
      <c r="B893" s="77"/>
      <c r="C893" s="67"/>
      <c r="D893" s="67"/>
      <c r="E893" s="67"/>
      <c r="F893" s="67"/>
      <c r="G893" s="67"/>
      <c r="H893" s="6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21.0" customHeight="1">
      <c r="A894" s="77"/>
      <c r="B894" s="77"/>
      <c r="C894" s="67"/>
      <c r="D894" s="67"/>
      <c r="E894" s="67"/>
      <c r="F894" s="67"/>
      <c r="G894" s="67"/>
      <c r="H894" s="6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21.0" customHeight="1">
      <c r="A895" s="77"/>
      <c r="B895" s="77"/>
      <c r="C895" s="67"/>
      <c r="D895" s="67"/>
      <c r="E895" s="67"/>
      <c r="F895" s="67"/>
      <c r="G895" s="67"/>
      <c r="H895" s="6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21.0" customHeight="1">
      <c r="A896" s="77"/>
      <c r="B896" s="77"/>
      <c r="C896" s="67"/>
      <c r="D896" s="67"/>
      <c r="E896" s="67"/>
      <c r="F896" s="67"/>
      <c r="G896" s="67"/>
      <c r="H896" s="6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21.0" customHeight="1">
      <c r="A897" s="77"/>
      <c r="B897" s="77"/>
      <c r="C897" s="67"/>
      <c r="D897" s="67"/>
      <c r="E897" s="67"/>
      <c r="F897" s="67"/>
      <c r="G897" s="67"/>
      <c r="H897" s="6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21.0" customHeight="1">
      <c r="A898" s="77"/>
      <c r="B898" s="77"/>
      <c r="C898" s="67"/>
      <c r="D898" s="67"/>
      <c r="E898" s="67"/>
      <c r="F898" s="67"/>
      <c r="G898" s="67"/>
      <c r="H898" s="6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21.0" customHeight="1">
      <c r="A899" s="77"/>
      <c r="B899" s="77"/>
      <c r="C899" s="67"/>
      <c r="D899" s="67"/>
      <c r="E899" s="67"/>
      <c r="F899" s="67"/>
      <c r="G899" s="67"/>
      <c r="H899" s="6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21.0" customHeight="1">
      <c r="A900" s="77"/>
      <c r="B900" s="77"/>
      <c r="C900" s="67"/>
      <c r="D900" s="67"/>
      <c r="E900" s="67"/>
      <c r="F900" s="67"/>
      <c r="G900" s="67"/>
      <c r="H900" s="6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21.0" customHeight="1">
      <c r="A901" s="77"/>
      <c r="B901" s="77"/>
      <c r="C901" s="67"/>
      <c r="D901" s="67"/>
      <c r="E901" s="67"/>
      <c r="F901" s="67"/>
      <c r="G901" s="67"/>
      <c r="H901" s="6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21.0" customHeight="1">
      <c r="A902" s="77"/>
      <c r="B902" s="77"/>
      <c r="C902" s="67"/>
      <c r="D902" s="67"/>
      <c r="E902" s="67"/>
      <c r="F902" s="67"/>
      <c r="G902" s="67"/>
      <c r="H902" s="6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21.0" customHeight="1">
      <c r="A903" s="77"/>
      <c r="B903" s="77"/>
      <c r="C903" s="67"/>
      <c r="D903" s="67"/>
      <c r="E903" s="67"/>
      <c r="F903" s="67"/>
      <c r="G903" s="67"/>
      <c r="H903" s="6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21.0" customHeight="1">
      <c r="A904" s="77"/>
      <c r="B904" s="77"/>
      <c r="C904" s="67"/>
      <c r="D904" s="67"/>
      <c r="E904" s="67"/>
      <c r="F904" s="67"/>
      <c r="G904" s="67"/>
      <c r="H904" s="6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21.0" customHeight="1">
      <c r="A905" s="77"/>
      <c r="B905" s="77"/>
      <c r="C905" s="67"/>
      <c r="D905" s="67"/>
      <c r="E905" s="67"/>
      <c r="F905" s="67"/>
      <c r="G905" s="67"/>
      <c r="H905" s="6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21.0" customHeight="1">
      <c r="A906" s="77"/>
      <c r="B906" s="77"/>
      <c r="C906" s="67"/>
      <c r="D906" s="67"/>
      <c r="E906" s="67"/>
      <c r="F906" s="67"/>
      <c r="G906" s="67"/>
      <c r="H906" s="6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21.0" customHeight="1">
      <c r="A907" s="77"/>
      <c r="B907" s="77"/>
      <c r="C907" s="67"/>
      <c r="D907" s="67"/>
      <c r="E907" s="67"/>
      <c r="F907" s="67"/>
      <c r="G907" s="67"/>
      <c r="H907" s="6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21.0" customHeight="1">
      <c r="A908" s="77"/>
      <c r="B908" s="77"/>
      <c r="C908" s="67"/>
      <c r="D908" s="67"/>
      <c r="E908" s="67"/>
      <c r="F908" s="67"/>
      <c r="G908" s="67"/>
      <c r="H908" s="6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21.0" customHeight="1">
      <c r="A909" s="77"/>
      <c r="B909" s="77"/>
      <c r="C909" s="67"/>
      <c r="D909" s="67"/>
      <c r="E909" s="67"/>
      <c r="F909" s="67"/>
      <c r="G909" s="67"/>
      <c r="H909" s="6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21.0" customHeight="1">
      <c r="A910" s="77"/>
      <c r="B910" s="77"/>
      <c r="C910" s="67"/>
      <c r="D910" s="67"/>
      <c r="E910" s="67"/>
      <c r="F910" s="67"/>
      <c r="G910" s="67"/>
      <c r="H910" s="6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21.0" customHeight="1">
      <c r="A911" s="77"/>
      <c r="B911" s="77"/>
      <c r="C911" s="67"/>
      <c r="D911" s="67"/>
      <c r="E911" s="67"/>
      <c r="F911" s="67"/>
      <c r="G911" s="67"/>
      <c r="H911" s="6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21.0" customHeight="1">
      <c r="A912" s="77"/>
      <c r="B912" s="77"/>
      <c r="C912" s="67"/>
      <c r="D912" s="67"/>
      <c r="E912" s="67"/>
      <c r="F912" s="67"/>
      <c r="G912" s="67"/>
      <c r="H912" s="6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21.0" customHeight="1">
      <c r="A913" s="77"/>
      <c r="B913" s="77"/>
      <c r="C913" s="67"/>
      <c r="D913" s="67"/>
      <c r="E913" s="67"/>
      <c r="F913" s="67"/>
      <c r="G913" s="67"/>
      <c r="H913" s="6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21.0" customHeight="1">
      <c r="A914" s="77"/>
      <c r="B914" s="77"/>
      <c r="C914" s="67"/>
      <c r="D914" s="67"/>
      <c r="E914" s="67"/>
      <c r="F914" s="67"/>
      <c r="G914" s="67"/>
      <c r="H914" s="6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21.0" customHeight="1">
      <c r="A915" s="77"/>
      <c r="B915" s="77"/>
      <c r="C915" s="67"/>
      <c r="D915" s="67"/>
      <c r="E915" s="67"/>
      <c r="F915" s="67"/>
      <c r="G915" s="67"/>
      <c r="H915" s="6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21.0" customHeight="1">
      <c r="A916" s="77"/>
      <c r="B916" s="77"/>
      <c r="C916" s="67"/>
      <c r="D916" s="67"/>
      <c r="E916" s="67"/>
      <c r="F916" s="67"/>
      <c r="G916" s="67"/>
      <c r="H916" s="6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21.0" customHeight="1">
      <c r="A917" s="77"/>
      <c r="B917" s="77"/>
      <c r="C917" s="67"/>
      <c r="D917" s="67"/>
      <c r="E917" s="67"/>
      <c r="F917" s="67"/>
      <c r="G917" s="67"/>
      <c r="H917" s="6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21.0" customHeight="1">
      <c r="A918" s="77"/>
      <c r="B918" s="77"/>
      <c r="C918" s="67"/>
      <c r="D918" s="67"/>
      <c r="E918" s="67"/>
      <c r="F918" s="67"/>
      <c r="G918" s="67"/>
      <c r="H918" s="6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21.0" customHeight="1">
      <c r="A919" s="77"/>
      <c r="B919" s="77"/>
      <c r="C919" s="67"/>
      <c r="D919" s="67"/>
      <c r="E919" s="67"/>
      <c r="F919" s="67"/>
      <c r="G919" s="67"/>
      <c r="H919" s="6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21.0" customHeight="1">
      <c r="A920" s="77"/>
      <c r="B920" s="77"/>
      <c r="C920" s="67"/>
      <c r="D920" s="67"/>
      <c r="E920" s="67"/>
      <c r="F920" s="67"/>
      <c r="G920" s="67"/>
      <c r="H920" s="6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21.0" customHeight="1">
      <c r="A921" s="77"/>
      <c r="B921" s="77"/>
      <c r="C921" s="67"/>
      <c r="D921" s="67"/>
      <c r="E921" s="67"/>
      <c r="F921" s="67"/>
      <c r="G921" s="67"/>
      <c r="H921" s="6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21.0" customHeight="1">
      <c r="A922" s="77"/>
      <c r="B922" s="77"/>
      <c r="C922" s="67"/>
      <c r="D922" s="67"/>
      <c r="E922" s="67"/>
      <c r="F922" s="67"/>
      <c r="G922" s="67"/>
      <c r="H922" s="6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21.0" customHeight="1">
      <c r="A923" s="77"/>
      <c r="B923" s="77"/>
      <c r="C923" s="67"/>
      <c r="D923" s="67"/>
      <c r="E923" s="67"/>
      <c r="F923" s="67"/>
      <c r="G923" s="67"/>
      <c r="H923" s="6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21.0" customHeight="1">
      <c r="A924" s="77"/>
      <c r="B924" s="77"/>
      <c r="C924" s="67"/>
      <c r="D924" s="67"/>
      <c r="E924" s="67"/>
      <c r="F924" s="67"/>
      <c r="G924" s="67"/>
      <c r="H924" s="6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21.0" customHeight="1">
      <c r="A925" s="77"/>
      <c r="B925" s="77"/>
      <c r="C925" s="67"/>
      <c r="D925" s="67"/>
      <c r="E925" s="67"/>
      <c r="F925" s="67"/>
      <c r="G925" s="67"/>
      <c r="H925" s="6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21.0" customHeight="1">
      <c r="A926" s="77"/>
      <c r="B926" s="77"/>
      <c r="C926" s="67"/>
      <c r="D926" s="67"/>
      <c r="E926" s="67"/>
      <c r="F926" s="67"/>
      <c r="G926" s="67"/>
      <c r="H926" s="6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21.0" customHeight="1">
      <c r="A927" s="77"/>
      <c r="B927" s="77"/>
      <c r="C927" s="67"/>
      <c r="D927" s="67"/>
      <c r="E927" s="67"/>
      <c r="F927" s="67"/>
      <c r="G927" s="67"/>
      <c r="H927" s="6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21.0" customHeight="1">
      <c r="A928" s="77"/>
      <c r="B928" s="77"/>
      <c r="C928" s="67"/>
      <c r="D928" s="67"/>
      <c r="E928" s="67"/>
      <c r="F928" s="67"/>
      <c r="G928" s="67"/>
      <c r="H928" s="6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21.0" customHeight="1">
      <c r="A929" s="77"/>
      <c r="B929" s="77"/>
      <c r="C929" s="67"/>
      <c r="D929" s="67"/>
      <c r="E929" s="67"/>
      <c r="F929" s="67"/>
      <c r="G929" s="67"/>
      <c r="H929" s="6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21.0" customHeight="1">
      <c r="A930" s="77"/>
      <c r="B930" s="77"/>
      <c r="C930" s="67"/>
      <c r="D930" s="67"/>
      <c r="E930" s="67"/>
      <c r="F930" s="67"/>
      <c r="G930" s="67"/>
      <c r="H930" s="6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21.0" customHeight="1">
      <c r="A931" s="77"/>
      <c r="B931" s="77"/>
      <c r="C931" s="67"/>
      <c r="D931" s="67"/>
      <c r="E931" s="67"/>
      <c r="F931" s="67"/>
      <c r="G931" s="67"/>
      <c r="H931" s="6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21.0" customHeight="1">
      <c r="A932" s="77"/>
      <c r="B932" s="77"/>
      <c r="C932" s="67"/>
      <c r="D932" s="67"/>
      <c r="E932" s="67"/>
      <c r="F932" s="67"/>
      <c r="G932" s="67"/>
      <c r="H932" s="6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21.0" customHeight="1">
      <c r="A933" s="77"/>
      <c r="B933" s="77"/>
      <c r="C933" s="67"/>
      <c r="D933" s="67"/>
      <c r="E933" s="67"/>
      <c r="F933" s="67"/>
      <c r="G933" s="67"/>
      <c r="H933" s="6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21.0" customHeight="1">
      <c r="A934" s="77"/>
      <c r="B934" s="77"/>
      <c r="C934" s="67"/>
      <c r="D934" s="67"/>
      <c r="E934" s="67"/>
      <c r="F934" s="67"/>
      <c r="G934" s="67"/>
      <c r="H934" s="6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21.0" customHeight="1">
      <c r="A935" s="77"/>
      <c r="B935" s="77"/>
      <c r="C935" s="67"/>
      <c r="D935" s="67"/>
      <c r="E935" s="67"/>
      <c r="F935" s="67"/>
      <c r="G935" s="67"/>
      <c r="H935" s="6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21.0" customHeight="1">
      <c r="A936" s="77"/>
      <c r="B936" s="77"/>
      <c r="C936" s="67"/>
      <c r="D936" s="67"/>
      <c r="E936" s="67"/>
      <c r="F936" s="67"/>
      <c r="G936" s="67"/>
      <c r="H936" s="6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21.0" customHeight="1">
      <c r="A937" s="77"/>
      <c r="B937" s="77"/>
      <c r="C937" s="67"/>
      <c r="D937" s="67"/>
      <c r="E937" s="67"/>
      <c r="F937" s="67"/>
      <c r="G937" s="67"/>
      <c r="H937" s="6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21.0" customHeight="1">
      <c r="A938" s="77"/>
      <c r="B938" s="77"/>
      <c r="C938" s="67"/>
      <c r="D938" s="67"/>
      <c r="E938" s="67"/>
      <c r="F938" s="67"/>
      <c r="G938" s="67"/>
      <c r="H938" s="6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21.0" customHeight="1">
      <c r="A939" s="77"/>
      <c r="B939" s="77"/>
      <c r="C939" s="67"/>
      <c r="D939" s="67"/>
      <c r="E939" s="67"/>
      <c r="F939" s="67"/>
      <c r="G939" s="67"/>
      <c r="H939" s="6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21.0" customHeight="1">
      <c r="A940" s="77"/>
      <c r="B940" s="77"/>
      <c r="C940" s="67"/>
      <c r="D940" s="67"/>
      <c r="E940" s="67"/>
      <c r="F940" s="67"/>
      <c r="G940" s="67"/>
      <c r="H940" s="6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21.0" customHeight="1">
      <c r="A941" s="77"/>
      <c r="B941" s="77"/>
      <c r="C941" s="67"/>
      <c r="D941" s="67"/>
      <c r="E941" s="67"/>
      <c r="F941" s="67"/>
      <c r="G941" s="67"/>
      <c r="H941" s="6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21.0" customHeight="1">
      <c r="A942" s="77"/>
      <c r="B942" s="77"/>
      <c r="C942" s="67"/>
      <c r="D942" s="67"/>
      <c r="E942" s="67"/>
      <c r="F942" s="67"/>
      <c r="G942" s="67"/>
      <c r="H942" s="6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21.0" customHeight="1">
      <c r="A943" s="77"/>
      <c r="B943" s="77"/>
      <c r="C943" s="67"/>
      <c r="D943" s="67"/>
      <c r="E943" s="67"/>
      <c r="F943" s="67"/>
      <c r="G943" s="67"/>
      <c r="H943" s="6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21.0" customHeight="1">
      <c r="A944" s="77"/>
      <c r="B944" s="77"/>
      <c r="C944" s="67"/>
      <c r="D944" s="67"/>
      <c r="E944" s="67"/>
      <c r="F944" s="67"/>
      <c r="G944" s="67"/>
      <c r="H944" s="6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21.0" customHeight="1">
      <c r="A945" s="77"/>
      <c r="B945" s="77"/>
      <c r="C945" s="67"/>
      <c r="D945" s="67"/>
      <c r="E945" s="67"/>
      <c r="F945" s="67"/>
      <c r="G945" s="67"/>
      <c r="H945" s="6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21.0" customHeight="1">
      <c r="A946" s="77"/>
      <c r="B946" s="77"/>
      <c r="C946" s="67"/>
      <c r="D946" s="67"/>
      <c r="E946" s="67"/>
      <c r="F946" s="67"/>
      <c r="G946" s="67"/>
      <c r="H946" s="6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21.0" customHeight="1">
      <c r="A947" s="77"/>
      <c r="B947" s="77"/>
      <c r="C947" s="67"/>
      <c r="D947" s="67"/>
      <c r="E947" s="67"/>
      <c r="F947" s="67"/>
      <c r="G947" s="67"/>
      <c r="H947" s="6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21.0" customHeight="1">
      <c r="A948" s="77"/>
      <c r="B948" s="77"/>
      <c r="C948" s="67"/>
      <c r="D948" s="67"/>
      <c r="E948" s="67"/>
      <c r="F948" s="67"/>
      <c r="G948" s="67"/>
      <c r="H948" s="6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21.0" customHeight="1">
      <c r="A949" s="77"/>
      <c r="B949" s="77"/>
      <c r="C949" s="67"/>
      <c r="D949" s="67"/>
      <c r="E949" s="67"/>
      <c r="F949" s="67"/>
      <c r="G949" s="67"/>
      <c r="H949" s="6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21.0" customHeight="1">
      <c r="A950" s="77"/>
      <c r="B950" s="77"/>
      <c r="C950" s="67"/>
      <c r="D950" s="67"/>
      <c r="E950" s="67"/>
      <c r="F950" s="67"/>
      <c r="G950" s="67"/>
      <c r="H950" s="6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21.0" customHeight="1">
      <c r="A951" s="77"/>
      <c r="B951" s="77"/>
      <c r="C951" s="67"/>
      <c r="D951" s="67"/>
      <c r="E951" s="67"/>
      <c r="F951" s="67"/>
      <c r="G951" s="67"/>
      <c r="H951" s="6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21.0" customHeight="1">
      <c r="A952" s="77"/>
      <c r="B952" s="77"/>
      <c r="C952" s="67"/>
      <c r="D952" s="67"/>
      <c r="E952" s="67"/>
      <c r="F952" s="67"/>
      <c r="G952" s="67"/>
      <c r="H952" s="6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21.0" customHeight="1">
      <c r="A953" s="77"/>
      <c r="B953" s="77"/>
      <c r="C953" s="67"/>
      <c r="D953" s="67"/>
      <c r="E953" s="67"/>
      <c r="F953" s="67"/>
      <c r="G953" s="67"/>
      <c r="H953" s="6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21.0" customHeight="1">
      <c r="A954" s="77"/>
      <c r="B954" s="77"/>
      <c r="C954" s="67"/>
      <c r="D954" s="67"/>
      <c r="E954" s="67"/>
      <c r="F954" s="67"/>
      <c r="G954" s="67"/>
      <c r="H954" s="6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21.0" customHeight="1">
      <c r="A955" s="77"/>
      <c r="B955" s="77"/>
      <c r="C955" s="67"/>
      <c r="D955" s="67"/>
      <c r="E955" s="67"/>
      <c r="F955" s="67"/>
      <c r="G955" s="67"/>
      <c r="H955" s="6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21.0" customHeight="1">
      <c r="A956" s="77"/>
      <c r="B956" s="77"/>
      <c r="C956" s="67"/>
      <c r="D956" s="67"/>
      <c r="E956" s="67"/>
      <c r="F956" s="67"/>
      <c r="G956" s="67"/>
      <c r="H956" s="6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21.0" customHeight="1">
      <c r="A957" s="77"/>
      <c r="B957" s="77"/>
      <c r="C957" s="67"/>
      <c r="D957" s="67"/>
      <c r="E957" s="67"/>
      <c r="F957" s="67"/>
      <c r="G957" s="67"/>
      <c r="H957" s="6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21.0" customHeight="1">
      <c r="A958" s="77"/>
      <c r="B958" s="77"/>
      <c r="C958" s="67"/>
      <c r="D958" s="67"/>
      <c r="E958" s="67"/>
      <c r="F958" s="67"/>
      <c r="G958" s="67"/>
      <c r="H958" s="6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21.0" customHeight="1">
      <c r="A959" s="77"/>
      <c r="B959" s="77"/>
      <c r="C959" s="67"/>
      <c r="D959" s="67"/>
      <c r="E959" s="67"/>
      <c r="F959" s="67"/>
      <c r="G959" s="67"/>
      <c r="H959" s="6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21.0" customHeight="1">
      <c r="A960" s="77"/>
      <c r="B960" s="77"/>
      <c r="C960" s="67"/>
      <c r="D960" s="67"/>
      <c r="E960" s="67"/>
      <c r="F960" s="67"/>
      <c r="G960" s="67"/>
      <c r="H960" s="6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21.0" customHeight="1">
      <c r="A961" s="77"/>
      <c r="B961" s="77"/>
      <c r="C961" s="67"/>
      <c r="D961" s="67"/>
      <c r="E961" s="67"/>
      <c r="F961" s="67"/>
      <c r="G961" s="67"/>
      <c r="H961" s="6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21.0" customHeight="1">
      <c r="A962" s="77"/>
      <c r="B962" s="77"/>
      <c r="C962" s="67"/>
      <c r="D962" s="67"/>
      <c r="E962" s="67"/>
      <c r="F962" s="67"/>
      <c r="G962" s="67"/>
      <c r="H962" s="6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21.0" customHeight="1">
      <c r="A963" s="77"/>
      <c r="B963" s="77"/>
      <c r="C963" s="67"/>
      <c r="D963" s="67"/>
      <c r="E963" s="67"/>
      <c r="F963" s="67"/>
      <c r="G963" s="67"/>
      <c r="H963" s="6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21.0" customHeight="1">
      <c r="A964" s="77"/>
      <c r="B964" s="77"/>
      <c r="C964" s="67"/>
      <c r="D964" s="67"/>
      <c r="E964" s="67"/>
      <c r="F964" s="67"/>
      <c r="G964" s="67"/>
      <c r="H964" s="6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21.0" customHeight="1">
      <c r="A965" s="77"/>
      <c r="B965" s="77"/>
      <c r="C965" s="67"/>
      <c r="D965" s="67"/>
      <c r="E965" s="67"/>
      <c r="F965" s="67"/>
      <c r="G965" s="67"/>
      <c r="H965" s="6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21.0" customHeight="1">
      <c r="A966" s="77"/>
      <c r="B966" s="77"/>
      <c r="C966" s="67"/>
      <c r="D966" s="67"/>
      <c r="E966" s="67"/>
      <c r="F966" s="67"/>
      <c r="G966" s="67"/>
      <c r="H966" s="6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21.0" customHeight="1">
      <c r="A967" s="77"/>
      <c r="B967" s="77"/>
      <c r="C967" s="67"/>
      <c r="D967" s="67"/>
      <c r="E967" s="67"/>
      <c r="F967" s="67"/>
      <c r="G967" s="67"/>
      <c r="H967" s="6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21.0" customHeight="1">
      <c r="A968" s="77"/>
      <c r="B968" s="77"/>
      <c r="C968" s="67"/>
      <c r="D968" s="67"/>
      <c r="E968" s="67"/>
      <c r="F968" s="67"/>
      <c r="G968" s="67"/>
      <c r="H968" s="6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21.0" customHeight="1">
      <c r="A969" s="77"/>
      <c r="B969" s="77"/>
      <c r="C969" s="67"/>
      <c r="D969" s="67"/>
      <c r="E969" s="67"/>
      <c r="F969" s="67"/>
      <c r="G969" s="67"/>
      <c r="H969" s="6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21.0" customHeight="1">
      <c r="A970" s="77"/>
      <c r="B970" s="77"/>
      <c r="C970" s="67"/>
      <c r="D970" s="67"/>
      <c r="E970" s="67"/>
      <c r="F970" s="67"/>
      <c r="G970" s="67"/>
      <c r="H970" s="6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21.0" customHeight="1">
      <c r="A971" s="77"/>
      <c r="B971" s="77"/>
      <c r="C971" s="67"/>
      <c r="D971" s="67"/>
      <c r="E971" s="67"/>
      <c r="F971" s="67"/>
      <c r="G971" s="67"/>
      <c r="H971" s="6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21.0" customHeight="1">
      <c r="A972" s="77"/>
      <c r="B972" s="77"/>
      <c r="C972" s="67"/>
      <c r="D972" s="67"/>
      <c r="E972" s="67"/>
      <c r="F972" s="67"/>
      <c r="G972" s="67"/>
      <c r="H972" s="6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21.0" customHeight="1">
      <c r="A973" s="77"/>
      <c r="B973" s="77"/>
      <c r="C973" s="67"/>
      <c r="D973" s="67"/>
      <c r="E973" s="67"/>
      <c r="F973" s="67"/>
      <c r="G973" s="67"/>
      <c r="H973" s="6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21.0" customHeight="1">
      <c r="A974" s="77"/>
      <c r="B974" s="77"/>
      <c r="C974" s="67"/>
      <c r="D974" s="67"/>
      <c r="E974" s="67"/>
      <c r="F974" s="67"/>
      <c r="G974" s="67"/>
      <c r="H974" s="6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21.0" customHeight="1">
      <c r="A975" s="77"/>
      <c r="B975" s="77"/>
      <c r="C975" s="67"/>
      <c r="D975" s="67"/>
      <c r="E975" s="67"/>
      <c r="F975" s="67"/>
      <c r="G975" s="67"/>
      <c r="H975" s="6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21.0" customHeight="1">
      <c r="A976" s="77"/>
      <c r="B976" s="77"/>
      <c r="C976" s="67"/>
      <c r="D976" s="67"/>
      <c r="E976" s="67"/>
      <c r="F976" s="67"/>
      <c r="G976" s="67"/>
      <c r="H976" s="6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21.0" customHeight="1">
      <c r="A977" s="77"/>
      <c r="B977" s="77"/>
      <c r="C977" s="67"/>
      <c r="D977" s="67"/>
      <c r="E977" s="67"/>
      <c r="F977" s="67"/>
      <c r="G977" s="67"/>
      <c r="H977" s="6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21.0" customHeight="1">
      <c r="A978" s="77"/>
      <c r="B978" s="77"/>
      <c r="C978" s="67"/>
      <c r="D978" s="67"/>
      <c r="E978" s="67"/>
      <c r="F978" s="67"/>
      <c r="G978" s="67"/>
      <c r="H978" s="6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21.0" customHeight="1">
      <c r="A979" s="77"/>
      <c r="B979" s="77"/>
      <c r="C979" s="67"/>
      <c r="D979" s="67"/>
      <c r="E979" s="67"/>
      <c r="F979" s="67"/>
      <c r="G979" s="67"/>
      <c r="H979" s="6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21.0" customHeight="1">
      <c r="A980" s="77"/>
      <c r="B980" s="77"/>
      <c r="C980" s="67"/>
      <c r="D980" s="67"/>
      <c r="E980" s="67"/>
      <c r="F980" s="67"/>
      <c r="G980" s="67"/>
      <c r="H980" s="6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21.0" customHeight="1">
      <c r="A981" s="77"/>
      <c r="B981" s="77"/>
      <c r="C981" s="67"/>
      <c r="D981" s="67"/>
      <c r="E981" s="67"/>
      <c r="F981" s="67"/>
      <c r="G981" s="67"/>
      <c r="H981" s="6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21.0" customHeight="1">
      <c r="A982" s="77"/>
      <c r="B982" s="77"/>
      <c r="C982" s="67"/>
      <c r="D982" s="67"/>
      <c r="E982" s="67"/>
      <c r="F982" s="67"/>
      <c r="G982" s="67"/>
      <c r="H982" s="6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21.0" customHeight="1">
      <c r="A983" s="77"/>
      <c r="B983" s="77"/>
      <c r="C983" s="67"/>
      <c r="D983" s="67"/>
      <c r="E983" s="67"/>
      <c r="F983" s="67"/>
      <c r="G983" s="67"/>
      <c r="H983" s="6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21.0" customHeight="1">
      <c r="A984" s="77"/>
      <c r="B984" s="77"/>
      <c r="C984" s="67"/>
      <c r="D984" s="67"/>
      <c r="E984" s="67"/>
      <c r="F984" s="67"/>
      <c r="G984" s="67"/>
      <c r="H984" s="6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21.0" customHeight="1">
      <c r="A985" s="77"/>
      <c r="B985" s="77"/>
      <c r="C985" s="67"/>
      <c r="D985" s="67"/>
      <c r="E985" s="67"/>
      <c r="F985" s="67"/>
      <c r="G985" s="67"/>
      <c r="H985" s="6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21.0" customHeight="1">
      <c r="A986" s="77"/>
      <c r="B986" s="77"/>
      <c r="C986" s="67"/>
      <c r="D986" s="67"/>
      <c r="E986" s="67"/>
      <c r="F986" s="67"/>
      <c r="G986" s="67"/>
      <c r="H986" s="6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21.0" customHeight="1">
      <c r="A987" s="77"/>
      <c r="B987" s="77"/>
      <c r="C987" s="67"/>
      <c r="D987" s="67"/>
      <c r="E987" s="67"/>
      <c r="F987" s="67"/>
      <c r="G987" s="67"/>
      <c r="H987" s="6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21.0" customHeight="1">
      <c r="A988" s="77"/>
      <c r="B988" s="77"/>
      <c r="C988" s="67"/>
      <c r="D988" s="67"/>
      <c r="E988" s="67"/>
      <c r="F988" s="67"/>
      <c r="G988" s="67"/>
      <c r="H988" s="6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21.0" customHeight="1">
      <c r="A989" s="77"/>
      <c r="B989" s="77"/>
      <c r="C989" s="67"/>
      <c r="D989" s="67"/>
      <c r="E989" s="67"/>
      <c r="F989" s="67"/>
      <c r="G989" s="67"/>
      <c r="H989" s="6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21.0" customHeight="1">
      <c r="A990" s="77"/>
      <c r="B990" s="77"/>
      <c r="C990" s="67"/>
      <c r="D990" s="67"/>
      <c r="E990" s="67"/>
      <c r="F990" s="67"/>
      <c r="G990" s="67"/>
      <c r="H990" s="6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21.0" customHeight="1">
      <c r="A991" s="77"/>
      <c r="B991" s="77"/>
      <c r="C991" s="67"/>
      <c r="D991" s="67"/>
      <c r="E991" s="67"/>
      <c r="F991" s="67"/>
      <c r="G991" s="67"/>
      <c r="H991" s="6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21.0" customHeight="1">
      <c r="A992" s="77"/>
      <c r="B992" s="77"/>
      <c r="C992" s="67"/>
      <c r="D992" s="67"/>
      <c r="E992" s="67"/>
      <c r="F992" s="67"/>
      <c r="G992" s="67"/>
      <c r="H992" s="6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21.0" customHeight="1">
      <c r="A993" s="77"/>
      <c r="B993" s="77"/>
      <c r="C993" s="67"/>
      <c r="D993" s="67"/>
      <c r="E993" s="67"/>
      <c r="F993" s="67"/>
      <c r="G993" s="67"/>
      <c r="H993" s="6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21.0" customHeight="1">
      <c r="A994" s="77"/>
      <c r="B994" s="77"/>
      <c r="C994" s="67"/>
      <c r="D994" s="67"/>
      <c r="E994" s="67"/>
      <c r="F994" s="67"/>
      <c r="G994" s="67"/>
      <c r="H994" s="6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21.0" customHeight="1">
      <c r="A995" s="77"/>
      <c r="B995" s="77"/>
      <c r="C995" s="67"/>
      <c r="D995" s="67"/>
      <c r="E995" s="67"/>
      <c r="F995" s="67"/>
      <c r="G995" s="67"/>
      <c r="H995" s="6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21.0" customHeight="1">
      <c r="A996" s="77"/>
      <c r="B996" s="77"/>
      <c r="C996" s="67"/>
      <c r="D996" s="67"/>
      <c r="E996" s="67"/>
      <c r="F996" s="67"/>
      <c r="G996" s="67"/>
      <c r="H996" s="6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21.0" customHeight="1">
      <c r="A997" s="77"/>
      <c r="B997" s="77"/>
      <c r="C997" s="67"/>
      <c r="D997" s="67"/>
      <c r="E997" s="67"/>
      <c r="F997" s="67"/>
      <c r="G997" s="67"/>
      <c r="H997" s="6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21.0" customHeight="1">
      <c r="A998" s="77"/>
      <c r="B998" s="77"/>
      <c r="C998" s="67"/>
      <c r="D998" s="67"/>
      <c r="E998" s="67"/>
      <c r="F998" s="67"/>
      <c r="G998" s="67"/>
      <c r="H998" s="6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21.0" customHeight="1">
      <c r="A999" s="77"/>
      <c r="B999" s="77"/>
      <c r="C999" s="67"/>
      <c r="D999" s="67"/>
      <c r="E999" s="67"/>
      <c r="F999" s="67"/>
      <c r="G999" s="67"/>
      <c r="H999" s="6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21.0" customHeight="1">
      <c r="A1000" s="77"/>
      <c r="B1000" s="77"/>
      <c r="C1000" s="67"/>
      <c r="D1000" s="67"/>
      <c r="E1000" s="67"/>
      <c r="F1000" s="67"/>
      <c r="G1000" s="67"/>
      <c r="H1000" s="6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3" max="22" width="15.75"/>
  </cols>
  <sheetData>
    <row r="1" ht="15.75" customHeight="1">
      <c r="A1" s="178" t="s">
        <v>81</v>
      </c>
      <c r="B1" s="179" t="s">
        <v>587</v>
      </c>
      <c r="C1" s="179" t="s">
        <v>5</v>
      </c>
      <c r="D1" s="179" t="s">
        <v>6</v>
      </c>
      <c r="E1" s="179" t="s">
        <v>588</v>
      </c>
      <c r="F1" s="179" t="s">
        <v>589</v>
      </c>
      <c r="G1" s="179" t="s">
        <v>590</v>
      </c>
      <c r="H1" s="179" t="s">
        <v>158</v>
      </c>
      <c r="I1" s="179" t="s">
        <v>159</v>
      </c>
      <c r="J1" s="179" t="s">
        <v>160</v>
      </c>
      <c r="K1" s="179" t="s">
        <v>591</v>
      </c>
      <c r="L1" s="179" t="s">
        <v>592</v>
      </c>
      <c r="M1" s="180"/>
      <c r="N1" s="180"/>
      <c r="O1" s="180"/>
      <c r="P1" s="180"/>
      <c r="Q1" s="181"/>
      <c r="R1" s="181"/>
      <c r="S1" s="182"/>
      <c r="T1" s="182"/>
      <c r="U1" s="182"/>
      <c r="V1" s="182"/>
      <c r="W1" s="183"/>
      <c r="X1" s="183"/>
      <c r="Y1" s="183"/>
      <c r="Z1" s="183"/>
    </row>
    <row r="2" ht="15.75" customHeight="1">
      <c r="A2" s="184">
        <v>2.7517647E7</v>
      </c>
      <c r="B2" s="185" t="s">
        <v>593</v>
      </c>
      <c r="C2" s="186">
        <v>1.0013186E8</v>
      </c>
      <c r="D2" s="186">
        <v>4.060421887E9</v>
      </c>
      <c r="E2" s="186">
        <v>2.4068053E7</v>
      </c>
      <c r="F2" s="186">
        <v>1.2761787E7</v>
      </c>
      <c r="G2" s="186">
        <v>6208974.0</v>
      </c>
      <c r="H2" s="186">
        <v>1.0522433E7</v>
      </c>
      <c r="I2" s="186">
        <v>1.45192507E8</v>
      </c>
      <c r="J2" s="186">
        <v>1.27571839E8</v>
      </c>
      <c r="K2" s="186">
        <v>3.0225754E8</v>
      </c>
      <c r="L2" s="186">
        <v>1.192441606E10</v>
      </c>
      <c r="M2" s="181"/>
      <c r="N2" s="181"/>
      <c r="O2" s="181"/>
      <c r="P2" s="181"/>
      <c r="Q2" s="181"/>
      <c r="R2" s="181"/>
      <c r="S2" s="182"/>
      <c r="T2" s="182"/>
      <c r="U2" s="182"/>
      <c r="V2" s="182"/>
      <c r="W2" s="183"/>
      <c r="X2" s="183"/>
      <c r="Y2" s="183"/>
      <c r="Z2" s="183"/>
    </row>
    <row r="3" ht="15.75" customHeight="1">
      <c r="A3" s="184">
        <v>4.4913203E7</v>
      </c>
      <c r="B3" s="185" t="s">
        <v>594</v>
      </c>
      <c r="C3" s="186">
        <v>9.9840023E7</v>
      </c>
      <c r="D3" s="186">
        <v>1.678885306E9</v>
      </c>
      <c r="E3" s="186">
        <v>2.0339926E7</v>
      </c>
      <c r="F3" s="186">
        <v>9.2889162E7</v>
      </c>
      <c r="G3" s="186">
        <v>2841045.0</v>
      </c>
      <c r="H3" s="186">
        <v>8671736.0</v>
      </c>
      <c r="I3" s="186">
        <v>6.6394536E7</v>
      </c>
      <c r="J3" s="186">
        <v>4.7799654E7</v>
      </c>
      <c r="K3" s="186">
        <v>2.18596133E8</v>
      </c>
      <c r="L3" s="186">
        <v>3.1657430161E10</v>
      </c>
      <c r="M3" s="181"/>
      <c r="N3" s="181"/>
      <c r="O3" s="181"/>
      <c r="P3" s="181"/>
      <c r="Q3" s="181"/>
      <c r="R3" s="181"/>
      <c r="S3" s="182"/>
      <c r="T3" s="182"/>
      <c r="U3" s="182"/>
      <c r="V3" s="182"/>
      <c r="W3" s="183"/>
      <c r="X3" s="183"/>
      <c r="Y3" s="183"/>
      <c r="Z3" s="183"/>
    </row>
    <row r="4" ht="15.75" customHeight="1">
      <c r="A4" s="184">
        <v>5.606799E7</v>
      </c>
      <c r="B4" s="185" t="s">
        <v>595</v>
      </c>
      <c r="C4" s="186">
        <v>8.9614905E7</v>
      </c>
      <c r="D4" s="186">
        <v>4.130990989E9</v>
      </c>
      <c r="E4" s="186">
        <v>1.9139039E7</v>
      </c>
      <c r="F4" s="186">
        <v>1.22099605E8</v>
      </c>
      <c r="G4" s="186">
        <v>1.0253124E7</v>
      </c>
      <c r="H4" s="186">
        <v>1.501211E7</v>
      </c>
      <c r="I4" s="186">
        <v>1.99749346E8</v>
      </c>
      <c r="J4" s="186">
        <v>1.01426146E8</v>
      </c>
      <c r="K4" s="186">
        <v>4.48540331E8</v>
      </c>
      <c r="L4" s="186">
        <v>1.4676911678E10</v>
      </c>
      <c r="M4" s="181"/>
      <c r="N4" s="181"/>
      <c r="O4" s="181"/>
      <c r="P4" s="181"/>
      <c r="Q4" s="181"/>
      <c r="R4" s="181"/>
      <c r="S4" s="182"/>
      <c r="T4" s="182"/>
      <c r="U4" s="182"/>
      <c r="V4" s="182"/>
      <c r="W4" s="183"/>
      <c r="X4" s="183"/>
      <c r="Y4" s="183"/>
      <c r="Z4" s="183"/>
    </row>
    <row r="5" ht="15.75" customHeight="1">
      <c r="A5" s="184">
        <v>7.3093644E7</v>
      </c>
      <c r="B5" s="185" t="s">
        <v>596</v>
      </c>
      <c r="C5" s="186">
        <v>8.9048524E7</v>
      </c>
      <c r="D5" s="186">
        <v>4.35666487E9</v>
      </c>
      <c r="E5" s="186">
        <v>1.9790544E7</v>
      </c>
      <c r="F5" s="186">
        <v>4.0928351E7</v>
      </c>
      <c r="G5" s="186">
        <v>7561286.0</v>
      </c>
      <c r="H5" s="186">
        <v>1.1009162E7</v>
      </c>
      <c r="I5" s="186">
        <v>1.71229038E8</v>
      </c>
      <c r="J5" s="186">
        <v>1.2885148E8</v>
      </c>
      <c r="K5" s="186">
        <v>3.59579317E8</v>
      </c>
      <c r="L5" s="186">
        <v>7.521283193E9</v>
      </c>
      <c r="M5" s="181"/>
      <c r="N5" s="181"/>
      <c r="O5" s="181"/>
      <c r="P5" s="181"/>
      <c r="Q5" s="181"/>
      <c r="R5" s="181"/>
      <c r="S5" s="182"/>
      <c r="T5" s="182"/>
      <c r="U5" s="182"/>
      <c r="V5" s="182"/>
      <c r="W5" s="183"/>
      <c r="X5" s="183"/>
      <c r="Y5" s="183"/>
      <c r="Z5" s="183"/>
    </row>
    <row r="6" ht="15.75" customHeight="1">
      <c r="A6" s="184">
        <v>1.0892724E8</v>
      </c>
      <c r="B6" s="185" t="s">
        <v>597</v>
      </c>
      <c r="C6" s="186">
        <v>8.6278072E7</v>
      </c>
      <c r="D6" s="186">
        <v>1.648062226E9</v>
      </c>
      <c r="E6" s="186">
        <v>1.1791955E7</v>
      </c>
      <c r="F6" s="186">
        <v>4821792.0</v>
      </c>
      <c r="G6" s="186">
        <v>2603101.0</v>
      </c>
      <c r="H6" s="186">
        <v>1593919.0</v>
      </c>
      <c r="I6" s="186">
        <v>7.2544583E7</v>
      </c>
      <c r="J6" s="186">
        <v>4.5503508E7</v>
      </c>
      <c r="K6" s="186">
        <v>1.27066903E8</v>
      </c>
      <c r="L6" s="186">
        <v>4.874107677E9</v>
      </c>
      <c r="M6" s="181"/>
      <c r="N6" s="181"/>
      <c r="O6" s="181"/>
      <c r="P6" s="181"/>
      <c r="Q6" s="181"/>
      <c r="R6" s="181"/>
      <c r="S6" s="182"/>
      <c r="T6" s="182"/>
      <c r="U6" s="182"/>
      <c r="V6" s="182"/>
      <c r="W6" s="183"/>
      <c r="X6" s="183"/>
      <c r="Y6" s="183"/>
      <c r="Z6" s="183"/>
    </row>
    <row r="7" ht="15.75" customHeight="1">
      <c r="A7" s="184">
        <v>4.9954716E7</v>
      </c>
      <c r="B7" s="185" t="s">
        <v>598</v>
      </c>
      <c r="C7" s="186">
        <v>8.4664999E7</v>
      </c>
      <c r="D7" s="186">
        <v>4.485504282E9</v>
      </c>
      <c r="E7" s="186">
        <v>3.3010889E7</v>
      </c>
      <c r="F7" s="186">
        <v>2.49905003E8</v>
      </c>
      <c r="G7" s="186">
        <v>1.0548526E7</v>
      </c>
      <c r="H7" s="186">
        <v>6424645.0</v>
      </c>
      <c r="I7" s="186">
        <v>2.07254655E8</v>
      </c>
      <c r="J7" s="186">
        <v>1.15809055E8</v>
      </c>
      <c r="K7" s="186">
        <v>5.89941884E8</v>
      </c>
      <c r="L7" s="186">
        <v>5.645290654E10</v>
      </c>
      <c r="M7" s="181"/>
      <c r="N7" s="181"/>
      <c r="O7" s="181"/>
      <c r="P7" s="181"/>
      <c r="Q7" s="181"/>
      <c r="R7" s="181"/>
      <c r="S7" s="182"/>
      <c r="T7" s="182"/>
      <c r="U7" s="182"/>
      <c r="V7" s="182"/>
      <c r="W7" s="183"/>
      <c r="X7" s="183"/>
      <c r="Y7" s="183"/>
      <c r="Z7" s="183"/>
    </row>
    <row r="8" ht="15.75" customHeight="1">
      <c r="A8" s="184">
        <v>8.5000069E7</v>
      </c>
      <c r="B8" s="185" t="s">
        <v>599</v>
      </c>
      <c r="C8" s="186">
        <v>8.3238548E7</v>
      </c>
      <c r="D8" s="186">
        <v>2.576575233E9</v>
      </c>
      <c r="E8" s="186">
        <v>1.6746297E7</v>
      </c>
      <c r="F8" s="186">
        <v>7.3996465E7</v>
      </c>
      <c r="G8" s="186">
        <v>3542352.0</v>
      </c>
      <c r="H8" s="186">
        <v>4370939.0</v>
      </c>
      <c r="I8" s="186">
        <v>8.6517098E7</v>
      </c>
      <c r="J8" s="186">
        <v>8.3601825E7</v>
      </c>
      <c r="K8" s="186">
        <v>2.52028679E8</v>
      </c>
      <c r="L8" s="186">
        <v>1.9987533945E10</v>
      </c>
      <c r="M8" s="181"/>
      <c r="N8" s="181"/>
      <c r="O8" s="181"/>
      <c r="P8" s="181"/>
      <c r="Q8" s="181"/>
      <c r="R8" s="181"/>
      <c r="S8" s="182"/>
      <c r="T8" s="182"/>
      <c r="U8" s="182"/>
      <c r="V8" s="182"/>
      <c r="W8" s="183"/>
      <c r="X8" s="183"/>
      <c r="Y8" s="183"/>
      <c r="Z8" s="183"/>
    </row>
    <row r="9" ht="15.75" customHeight="1">
      <c r="A9" s="184">
        <v>1.68995471E8</v>
      </c>
      <c r="B9" s="185" t="s">
        <v>600</v>
      </c>
      <c r="C9" s="186">
        <v>8.2361772E7</v>
      </c>
      <c r="D9" s="186">
        <v>3.80241014E8</v>
      </c>
      <c r="E9" s="186">
        <v>1112719.0</v>
      </c>
      <c r="F9" s="186">
        <v>534652.0</v>
      </c>
      <c r="G9" s="186">
        <v>6146738.0</v>
      </c>
      <c r="H9" s="186">
        <v>1221307.0</v>
      </c>
      <c r="I9" s="186">
        <v>2.0903266E7</v>
      </c>
      <c r="J9" s="186">
        <v>7696136.0</v>
      </c>
      <c r="K9" s="186">
        <v>3.6502099E7</v>
      </c>
      <c r="L9" s="186">
        <v>4.8645E8</v>
      </c>
      <c r="M9" s="181"/>
      <c r="N9" s="181"/>
      <c r="O9" s="181"/>
      <c r="P9" s="181"/>
      <c r="Q9" s="181"/>
      <c r="R9" s="181"/>
      <c r="S9" s="182"/>
      <c r="T9" s="182"/>
      <c r="U9" s="182"/>
      <c r="V9" s="182"/>
      <c r="W9" s="183"/>
      <c r="X9" s="183"/>
      <c r="Y9" s="183"/>
      <c r="Z9" s="183"/>
    </row>
    <row r="10" ht="15.75" customHeight="1">
      <c r="A10" s="184">
        <v>1.69552146E8</v>
      </c>
      <c r="B10" s="185" t="s">
        <v>601</v>
      </c>
      <c r="C10" s="186">
        <v>7.7656015E7</v>
      </c>
      <c r="D10" s="186">
        <v>1.046058609E9</v>
      </c>
      <c r="E10" s="186">
        <v>9591328.0</v>
      </c>
      <c r="F10" s="186">
        <v>1.1084439E7</v>
      </c>
      <c r="G10" s="186">
        <v>1.1810936E7</v>
      </c>
      <c r="H10" s="186">
        <v>2.2248295E7</v>
      </c>
      <c r="I10" s="186">
        <v>7.6158087E7</v>
      </c>
      <c r="J10" s="186">
        <v>8482290.0</v>
      </c>
      <c r="K10" s="186">
        <v>1.29784047E8</v>
      </c>
      <c r="L10" s="186">
        <v>3.526158357E9</v>
      </c>
      <c r="M10" s="181"/>
      <c r="N10" s="181"/>
      <c r="O10" s="181"/>
      <c r="P10" s="181"/>
      <c r="Q10" s="181"/>
      <c r="R10" s="181"/>
      <c r="S10" s="182"/>
      <c r="T10" s="182"/>
      <c r="U10" s="182"/>
      <c r="V10" s="182"/>
      <c r="W10" s="183"/>
      <c r="X10" s="183"/>
      <c r="Y10" s="183"/>
      <c r="Z10" s="183"/>
    </row>
    <row r="11" ht="15.75" customHeight="1">
      <c r="A11" s="184">
        <v>8.3641415E7</v>
      </c>
      <c r="B11" s="185" t="s">
        <v>602</v>
      </c>
      <c r="C11" s="186">
        <v>7.5198345E7</v>
      </c>
      <c r="D11" s="186">
        <v>1.506421435E9</v>
      </c>
      <c r="E11" s="186">
        <v>1.1103284E7</v>
      </c>
      <c r="F11" s="186">
        <v>2879218.0</v>
      </c>
      <c r="G11" s="186">
        <v>868149.0</v>
      </c>
      <c r="H11" s="186">
        <v>2816896.0</v>
      </c>
      <c r="I11" s="186">
        <v>5.7356783E7</v>
      </c>
      <c r="J11" s="186">
        <v>4.5963694E7</v>
      </c>
      <c r="K11" s="186">
        <v>1.0988474E8</v>
      </c>
      <c r="L11" s="186">
        <v>1.6679151081E10</v>
      </c>
      <c r="M11" s="181"/>
      <c r="N11" s="181"/>
      <c r="O11" s="181"/>
      <c r="P11" s="181"/>
      <c r="Q11" s="181"/>
      <c r="R11" s="181"/>
      <c r="S11" s="182"/>
      <c r="T11" s="182"/>
      <c r="U11" s="182"/>
      <c r="V11" s="182"/>
      <c r="W11" s="183"/>
      <c r="X11" s="183"/>
      <c r="Y11" s="183"/>
      <c r="Z11" s="183"/>
    </row>
    <row r="12" ht="15.75" customHeight="1">
      <c r="A12" s="184">
        <v>1.47571074E8</v>
      </c>
      <c r="B12" s="185" t="s">
        <v>603</v>
      </c>
      <c r="C12" s="186">
        <v>7.3048685E7</v>
      </c>
      <c r="D12" s="186">
        <v>3.96275812E8</v>
      </c>
      <c r="E12" s="186">
        <v>5190889.0</v>
      </c>
      <c r="F12" s="186">
        <v>2646903.0</v>
      </c>
      <c r="G12" s="186">
        <v>4292265.0</v>
      </c>
      <c r="H12" s="186">
        <v>2850123.0</v>
      </c>
      <c r="I12" s="186">
        <v>1.9232997E7</v>
      </c>
      <c r="J12" s="186">
        <v>9171572.0</v>
      </c>
      <c r="K12" s="186">
        <v>3.819386E7</v>
      </c>
      <c r="L12" s="186">
        <v>9.11326701E8</v>
      </c>
      <c r="M12" s="181"/>
      <c r="N12" s="181"/>
      <c r="O12" s="181"/>
      <c r="P12" s="181"/>
      <c r="Q12" s="181"/>
      <c r="R12" s="181"/>
      <c r="S12" s="182"/>
      <c r="T12" s="182"/>
      <c r="U12" s="182"/>
      <c r="V12" s="182"/>
      <c r="W12" s="183"/>
      <c r="X12" s="183"/>
      <c r="Y12" s="183"/>
      <c r="Z12" s="183"/>
    </row>
    <row r="13" ht="15.75" customHeight="1">
      <c r="A13" s="184">
        <v>1.68995554E8</v>
      </c>
      <c r="B13" s="185" t="s">
        <v>604</v>
      </c>
      <c r="C13" s="186">
        <v>7.2395554E7</v>
      </c>
      <c r="D13" s="186">
        <v>2.79052038E8</v>
      </c>
      <c r="E13" s="186">
        <v>3101498.0</v>
      </c>
      <c r="F13" s="186">
        <v>2913661.0</v>
      </c>
      <c r="G13" s="186">
        <v>3108108.0</v>
      </c>
      <c r="H13" s="186">
        <v>990520.0</v>
      </c>
      <c r="I13" s="186">
        <v>1.6963833E7</v>
      </c>
      <c r="J13" s="186">
        <v>4932634.0</v>
      </c>
      <c r="K13" s="186">
        <v>2.8908756E7</v>
      </c>
      <c r="L13" s="186">
        <v>2.25719732E8</v>
      </c>
      <c r="M13" s="181"/>
      <c r="N13" s="181"/>
      <c r="O13" s="181"/>
      <c r="P13" s="181"/>
      <c r="Q13" s="181"/>
      <c r="R13" s="181"/>
      <c r="S13" s="182"/>
      <c r="T13" s="182"/>
      <c r="U13" s="182"/>
      <c r="V13" s="182"/>
      <c r="W13" s="183"/>
      <c r="X13" s="183"/>
      <c r="Y13" s="183"/>
      <c r="Z13" s="183"/>
    </row>
    <row r="14" ht="15.75" customHeight="1">
      <c r="A14" s="184">
        <v>1.63221666E8</v>
      </c>
      <c r="B14" s="185" t="s">
        <v>605</v>
      </c>
      <c r="C14" s="186">
        <v>7.1971454E7</v>
      </c>
      <c r="D14" s="186">
        <v>3.82098715E8</v>
      </c>
      <c r="E14" s="186">
        <v>3988493.0</v>
      </c>
      <c r="F14" s="186">
        <v>1321299.0</v>
      </c>
      <c r="G14" s="186">
        <v>1428305.0</v>
      </c>
      <c r="H14" s="186">
        <v>1195419.0</v>
      </c>
      <c r="I14" s="186">
        <v>2.7827505E7</v>
      </c>
      <c r="J14" s="186">
        <v>4796056.0</v>
      </c>
      <c r="K14" s="186">
        <v>3.6568584E7</v>
      </c>
      <c r="L14" s="186">
        <v>1.002147877E9</v>
      </c>
      <c r="M14" s="181"/>
      <c r="N14" s="181"/>
      <c r="O14" s="181"/>
      <c r="P14" s="181"/>
      <c r="Q14" s="181"/>
      <c r="R14" s="181"/>
      <c r="S14" s="182"/>
      <c r="T14" s="182"/>
      <c r="U14" s="182"/>
      <c r="V14" s="182"/>
      <c r="W14" s="183"/>
      <c r="X14" s="183"/>
      <c r="Y14" s="183"/>
      <c r="Z14" s="183"/>
    </row>
    <row r="15" ht="15.75" customHeight="1">
      <c r="A15" s="184">
        <v>8.8061404E7</v>
      </c>
      <c r="B15" s="185" t="s">
        <v>606</v>
      </c>
      <c r="C15" s="186">
        <v>7.1598077E7</v>
      </c>
      <c r="D15" s="186">
        <v>4.80281635E8</v>
      </c>
      <c r="E15" s="186">
        <v>8958970.0</v>
      </c>
      <c r="F15" s="186">
        <v>3824469.0</v>
      </c>
      <c r="G15" s="186">
        <v>1534252.0</v>
      </c>
      <c r="H15" s="186">
        <v>2127232.0</v>
      </c>
      <c r="I15" s="186">
        <v>3.0816933E7</v>
      </c>
      <c r="J15" s="186">
        <v>7988499.0</v>
      </c>
      <c r="K15" s="186">
        <v>4.6291385E7</v>
      </c>
      <c r="L15" s="186">
        <v>1.023480629E9</v>
      </c>
      <c r="M15" s="181"/>
      <c r="N15" s="181"/>
      <c r="O15" s="181"/>
      <c r="P15" s="181"/>
      <c r="Q15" s="181"/>
      <c r="R15" s="181"/>
      <c r="S15" s="182"/>
      <c r="T15" s="182"/>
      <c r="U15" s="182"/>
      <c r="V15" s="182"/>
      <c r="W15" s="183"/>
      <c r="X15" s="183"/>
      <c r="Y15" s="183"/>
      <c r="Z15" s="183"/>
    </row>
    <row r="16" ht="15.75" customHeight="1">
      <c r="A16" s="184">
        <v>1.01485078E8</v>
      </c>
      <c r="B16" s="185" t="s">
        <v>607</v>
      </c>
      <c r="C16" s="186">
        <v>7.108908E7</v>
      </c>
      <c r="D16" s="186">
        <v>2.15188139E8</v>
      </c>
      <c r="E16" s="186">
        <v>6451336.0</v>
      </c>
      <c r="F16" s="186">
        <v>779647.0</v>
      </c>
      <c r="G16" s="186">
        <v>287282.0</v>
      </c>
      <c r="H16" s="186">
        <v>768959.0</v>
      </c>
      <c r="I16" s="186">
        <v>7467323.0</v>
      </c>
      <c r="J16" s="186">
        <v>6835429.0</v>
      </c>
      <c r="K16" s="186">
        <v>1.613864E7</v>
      </c>
      <c r="L16" s="186">
        <v>1.75E8</v>
      </c>
      <c r="M16" s="181"/>
      <c r="N16" s="181"/>
      <c r="O16" s="181"/>
      <c r="P16" s="181"/>
      <c r="Q16" s="181"/>
      <c r="R16" s="181"/>
      <c r="S16" s="182"/>
      <c r="T16" s="182"/>
      <c r="U16" s="182"/>
      <c r="V16" s="182"/>
      <c r="W16" s="183"/>
      <c r="X16" s="183"/>
      <c r="Y16" s="183"/>
      <c r="Z16" s="183"/>
    </row>
    <row r="17" ht="15.75" customHeight="1">
      <c r="A17" s="184">
        <v>1.68962034E8</v>
      </c>
      <c r="B17" s="185" t="s">
        <v>608</v>
      </c>
      <c r="C17" s="186">
        <v>7.0525631E7</v>
      </c>
      <c r="D17" s="186">
        <v>4.70990303E8</v>
      </c>
      <c r="E17" s="186">
        <v>1949001.0</v>
      </c>
      <c r="F17" s="186">
        <v>5851558.0</v>
      </c>
      <c r="G17" s="186">
        <v>3346412.0</v>
      </c>
      <c r="H17" s="186">
        <v>1322907.0</v>
      </c>
      <c r="I17" s="186">
        <v>3.249396E7</v>
      </c>
      <c r="J17" s="186">
        <v>6644797.0</v>
      </c>
      <c r="K17" s="186">
        <v>4.9659634E7</v>
      </c>
      <c r="L17" s="186">
        <v>7.52542703E8</v>
      </c>
      <c r="M17" s="181"/>
      <c r="N17" s="181"/>
      <c r="O17" s="181"/>
      <c r="P17" s="181"/>
      <c r="Q17" s="181"/>
      <c r="R17" s="181"/>
      <c r="S17" s="182"/>
      <c r="T17" s="182"/>
      <c r="U17" s="182"/>
      <c r="V17" s="182"/>
      <c r="W17" s="183"/>
      <c r="X17" s="183"/>
      <c r="Y17" s="183"/>
      <c r="Z17" s="183"/>
    </row>
    <row r="18" ht="15.75" customHeight="1">
      <c r="A18" s="184">
        <v>4.3547378E7</v>
      </c>
      <c r="B18" s="185" t="s">
        <v>609</v>
      </c>
      <c r="C18" s="186">
        <v>7.041698E7</v>
      </c>
      <c r="D18" s="186">
        <v>1.03158918E9</v>
      </c>
      <c r="E18" s="186">
        <v>1.8655836E7</v>
      </c>
      <c r="F18" s="186">
        <v>3482133.0</v>
      </c>
      <c r="G18" s="186">
        <v>1971336.0</v>
      </c>
      <c r="H18" s="186">
        <v>1852173.0</v>
      </c>
      <c r="I18" s="186">
        <v>3.7280461E7</v>
      </c>
      <c r="J18" s="186">
        <v>3.2336839E7</v>
      </c>
      <c r="K18" s="186">
        <v>7.6922942E7</v>
      </c>
      <c r="L18" s="186">
        <v>1.2700882608E10</v>
      </c>
      <c r="M18" s="181"/>
      <c r="N18" s="181"/>
      <c r="O18" s="181"/>
      <c r="P18" s="181"/>
      <c r="Q18" s="181"/>
      <c r="R18" s="181"/>
      <c r="S18" s="182"/>
      <c r="T18" s="182"/>
      <c r="U18" s="182"/>
      <c r="V18" s="182"/>
      <c r="W18" s="183"/>
      <c r="X18" s="183"/>
      <c r="Y18" s="183"/>
      <c r="Z18" s="183"/>
    </row>
    <row r="19" ht="15.75" customHeight="1">
      <c r="A19" s="184">
        <v>1.15815963E8</v>
      </c>
      <c r="B19" s="185" t="s">
        <v>610</v>
      </c>
      <c r="C19" s="186">
        <v>6.7897479E7</v>
      </c>
      <c r="D19" s="186">
        <v>5.04238742E8</v>
      </c>
      <c r="E19" s="186">
        <v>1.0739616E7</v>
      </c>
      <c r="F19" s="186">
        <v>1.2212764E7</v>
      </c>
      <c r="G19" s="186">
        <v>5204431.0</v>
      </c>
      <c r="H19" s="186">
        <v>4401457.0</v>
      </c>
      <c r="I19" s="186">
        <v>2.89468E7</v>
      </c>
      <c r="J19" s="186">
        <v>9215675.0</v>
      </c>
      <c r="K19" s="186">
        <v>5.9981127E7</v>
      </c>
      <c r="L19" s="186">
        <v>1.426994533E9</v>
      </c>
      <c r="M19" s="181"/>
      <c r="N19" s="181"/>
      <c r="O19" s="181"/>
      <c r="P19" s="181"/>
      <c r="Q19" s="181"/>
      <c r="R19" s="181"/>
      <c r="S19" s="182"/>
      <c r="T19" s="182"/>
      <c r="U19" s="182"/>
      <c r="V19" s="182"/>
      <c r="W19" s="183"/>
      <c r="X19" s="183"/>
      <c r="Y19" s="183"/>
      <c r="Z19" s="183"/>
    </row>
    <row r="20" ht="15.75" customHeight="1">
      <c r="A20" s="184">
        <v>7967538.0</v>
      </c>
      <c r="B20" s="185" t="s">
        <v>611</v>
      </c>
      <c r="C20" s="186">
        <v>6.6302072E7</v>
      </c>
      <c r="D20" s="186">
        <v>5.681223167E9</v>
      </c>
      <c r="E20" s="186">
        <v>2.9130612E7</v>
      </c>
      <c r="F20" s="186">
        <v>5.2080335E7</v>
      </c>
      <c r="G20" s="186">
        <v>3006070.0</v>
      </c>
      <c r="H20" s="186">
        <v>3391210.0</v>
      </c>
      <c r="I20" s="186">
        <v>1.91264362E8</v>
      </c>
      <c r="J20" s="186">
        <v>1.86929325E8</v>
      </c>
      <c r="K20" s="186">
        <v>4.36671302E8</v>
      </c>
      <c r="L20" s="186">
        <v>1.315792356E10</v>
      </c>
      <c r="M20" s="181"/>
      <c r="N20" s="181"/>
      <c r="O20" s="181"/>
      <c r="P20" s="181"/>
      <c r="Q20" s="181"/>
      <c r="R20" s="181"/>
      <c r="S20" s="182"/>
      <c r="T20" s="182"/>
      <c r="U20" s="182"/>
      <c r="V20" s="182"/>
      <c r="W20" s="183"/>
      <c r="X20" s="183"/>
      <c r="Y20" s="183"/>
      <c r="Z20" s="183"/>
    </row>
    <row r="21" ht="15.75" customHeight="1">
      <c r="A21" s="184">
        <v>7.8184724E7</v>
      </c>
      <c r="B21" s="185" t="s">
        <v>612</v>
      </c>
      <c r="C21" s="186">
        <v>6.5617123E7</v>
      </c>
      <c r="D21" s="186">
        <v>3.08042338E8</v>
      </c>
      <c r="E21" s="186">
        <v>1.2630815E7</v>
      </c>
      <c r="F21" s="186">
        <v>9431640.0</v>
      </c>
      <c r="G21" s="186">
        <v>558114.0</v>
      </c>
      <c r="H21" s="186">
        <v>925178.0</v>
      </c>
      <c r="I21" s="186">
        <v>1.8848653E7</v>
      </c>
      <c r="J21" s="186">
        <v>5642627.0</v>
      </c>
      <c r="K21" s="186">
        <v>3.5406212E7</v>
      </c>
      <c r="L21" s="186">
        <v>1.574148829E9</v>
      </c>
      <c r="M21" s="181"/>
      <c r="N21" s="181"/>
      <c r="O21" s="181"/>
      <c r="P21" s="181"/>
      <c r="Q21" s="181"/>
      <c r="R21" s="181"/>
      <c r="S21" s="182"/>
      <c r="T21" s="182"/>
      <c r="U21" s="182"/>
      <c r="V21" s="182"/>
      <c r="W21" s="183"/>
      <c r="X21" s="183"/>
      <c r="Y21" s="183"/>
      <c r="Z21" s="183"/>
    </row>
    <row r="22" ht="15.75" customHeight="1">
      <c r="A22" s="184">
        <v>1.19389001E8</v>
      </c>
      <c r="B22" s="185" t="s">
        <v>613</v>
      </c>
      <c r="C22" s="186">
        <v>6.442119E7</v>
      </c>
      <c r="D22" s="186">
        <v>1.800466959E9</v>
      </c>
      <c r="E22" s="186">
        <v>1.1260596E7</v>
      </c>
      <c r="F22" s="186">
        <v>4.2070568E7</v>
      </c>
      <c r="G22" s="186">
        <v>4112599.0</v>
      </c>
      <c r="H22" s="186">
        <v>8384217.0</v>
      </c>
      <c r="I22" s="186">
        <v>1.11858148E8</v>
      </c>
      <c r="J22" s="186">
        <v>3.1585465E7</v>
      </c>
      <c r="K22" s="186">
        <v>1.98010997E8</v>
      </c>
      <c r="L22" s="186">
        <v>5.355014867E9</v>
      </c>
      <c r="M22" s="181"/>
      <c r="N22" s="181"/>
      <c r="O22" s="181"/>
      <c r="P22" s="181"/>
      <c r="Q22" s="181"/>
      <c r="R22" s="181"/>
      <c r="S22" s="182"/>
      <c r="T22" s="182"/>
      <c r="U22" s="182"/>
      <c r="V22" s="182"/>
      <c r="W22" s="183"/>
      <c r="X22" s="183"/>
      <c r="Y22" s="183"/>
      <c r="Z22" s="183"/>
    </row>
    <row r="23" ht="15.75" customHeight="1">
      <c r="A23" s="184">
        <v>936484.0</v>
      </c>
      <c r="B23" s="185" t="s">
        <v>614</v>
      </c>
      <c r="C23" s="186">
        <v>6.4012911E7</v>
      </c>
      <c r="D23" s="186">
        <v>9.26989837E8</v>
      </c>
      <c r="E23" s="186">
        <v>1.4098836E7</v>
      </c>
      <c r="F23" s="186">
        <v>1.46472429E8</v>
      </c>
      <c r="G23" s="186">
        <v>4438799.0</v>
      </c>
      <c r="H23" s="186">
        <v>9871356.0</v>
      </c>
      <c r="I23" s="186">
        <v>5.2136411E7</v>
      </c>
      <c r="J23" s="186">
        <v>1.6398411E7</v>
      </c>
      <c r="K23" s="186">
        <v>2.29317406E8</v>
      </c>
      <c r="L23" s="186">
        <v>2.087521919E10</v>
      </c>
      <c r="M23" s="181"/>
      <c r="N23" s="181"/>
      <c r="O23" s="181"/>
      <c r="P23" s="181"/>
      <c r="Q23" s="181"/>
      <c r="R23" s="181"/>
      <c r="S23" s="182"/>
      <c r="T23" s="182"/>
      <c r="U23" s="182"/>
      <c r="V23" s="182"/>
      <c r="W23" s="183"/>
      <c r="X23" s="183"/>
      <c r="Y23" s="183"/>
      <c r="Z23" s="183"/>
    </row>
    <row r="24" ht="15.75" customHeight="1">
      <c r="A24" s="184">
        <v>1.62852132E8</v>
      </c>
      <c r="B24" s="185" t="s">
        <v>615</v>
      </c>
      <c r="C24" s="186">
        <v>5.7590066E7</v>
      </c>
      <c r="D24" s="186">
        <v>3.09442532E8</v>
      </c>
      <c r="E24" s="186">
        <v>5244065.0</v>
      </c>
      <c r="F24" s="186">
        <v>5345123.0</v>
      </c>
      <c r="G24" s="186">
        <v>6643865.0</v>
      </c>
      <c r="H24" s="186">
        <v>2923307.0</v>
      </c>
      <c r="I24" s="186">
        <v>2.1261085E7</v>
      </c>
      <c r="J24" s="186">
        <v>3539085.0</v>
      </c>
      <c r="K24" s="186">
        <v>3.9712465E7</v>
      </c>
      <c r="L24" s="186">
        <v>2.112240238E9</v>
      </c>
      <c r="M24" s="181"/>
      <c r="N24" s="181"/>
      <c r="O24" s="181"/>
      <c r="P24" s="181"/>
      <c r="Q24" s="181"/>
      <c r="R24" s="181"/>
      <c r="S24" s="182"/>
      <c r="T24" s="182"/>
      <c r="U24" s="182"/>
      <c r="V24" s="182"/>
      <c r="W24" s="183"/>
      <c r="X24" s="183"/>
      <c r="Y24" s="183"/>
      <c r="Z24" s="183"/>
    </row>
    <row r="25" ht="15.75" customHeight="1">
      <c r="A25" s="184">
        <v>2.1004613E7</v>
      </c>
      <c r="B25" s="185" t="s">
        <v>616</v>
      </c>
      <c r="C25" s="186">
        <v>5.6865466E7</v>
      </c>
      <c r="D25" s="186">
        <v>2.89043913E9</v>
      </c>
      <c r="E25" s="186">
        <v>2.0160007E7</v>
      </c>
      <c r="F25" s="186">
        <v>4.0317991E7</v>
      </c>
      <c r="G25" s="186">
        <v>6885914.0</v>
      </c>
      <c r="H25" s="186">
        <v>1.8371041E7</v>
      </c>
      <c r="I25" s="186">
        <v>1.08454516E8</v>
      </c>
      <c r="J25" s="186">
        <v>8.5528719E7</v>
      </c>
      <c r="K25" s="186">
        <v>2.59558181E8</v>
      </c>
      <c r="L25" s="186">
        <v>1.4304540331E10</v>
      </c>
      <c r="M25" s="181"/>
      <c r="N25" s="181"/>
      <c r="O25" s="181"/>
      <c r="P25" s="181"/>
      <c r="Q25" s="181"/>
      <c r="R25" s="181"/>
      <c r="S25" s="182"/>
      <c r="T25" s="182"/>
      <c r="U25" s="182"/>
      <c r="V25" s="182"/>
      <c r="W25" s="183"/>
      <c r="X25" s="183"/>
      <c r="Y25" s="183"/>
      <c r="Z25" s="183"/>
    </row>
    <row r="26" ht="15.75" customHeight="1">
      <c r="A26" s="184">
        <v>1.44403868E8</v>
      </c>
      <c r="B26" s="185" t="s">
        <v>617</v>
      </c>
      <c r="C26" s="186">
        <v>5.6705085E7</v>
      </c>
      <c r="D26" s="186">
        <v>3.00327579E8</v>
      </c>
      <c r="E26" s="186">
        <v>4090915.0</v>
      </c>
      <c r="F26" s="186">
        <v>3106238.0</v>
      </c>
      <c r="G26" s="186">
        <v>5163127.0</v>
      </c>
      <c r="H26" s="186">
        <v>3085727.0</v>
      </c>
      <c r="I26" s="186">
        <v>1.8972715E7</v>
      </c>
      <c r="J26" s="186">
        <v>4365501.0</v>
      </c>
      <c r="K26" s="186">
        <v>3.4693308E7</v>
      </c>
      <c r="L26" s="186">
        <v>5.311814558E9</v>
      </c>
      <c r="M26" s="181"/>
      <c r="N26" s="181"/>
      <c r="O26" s="181"/>
      <c r="P26" s="181"/>
      <c r="Q26" s="181"/>
      <c r="R26" s="181"/>
      <c r="S26" s="182"/>
      <c r="T26" s="182"/>
      <c r="U26" s="182"/>
      <c r="V26" s="182"/>
      <c r="W26" s="183"/>
      <c r="X26" s="183"/>
      <c r="Y26" s="183"/>
      <c r="Z26" s="183"/>
    </row>
    <row r="27" ht="15.75" customHeight="1">
      <c r="A27" s="184">
        <v>1.25669959E8</v>
      </c>
      <c r="B27" s="185" t="s">
        <v>618</v>
      </c>
      <c r="C27" s="186">
        <v>5.6547912E7</v>
      </c>
      <c r="D27" s="186">
        <v>4.24175999E8</v>
      </c>
      <c r="E27" s="186">
        <v>4799590.0</v>
      </c>
      <c r="F27" s="186">
        <v>1641746.0</v>
      </c>
      <c r="G27" s="186">
        <v>853826.0</v>
      </c>
      <c r="H27" s="186">
        <v>1442507.0</v>
      </c>
      <c r="I27" s="186">
        <v>2.8265809E7</v>
      </c>
      <c r="J27" s="186">
        <v>6685594.0</v>
      </c>
      <c r="K27" s="186">
        <v>3.8889482E7</v>
      </c>
      <c r="L27" s="186">
        <v>2.912154709E9</v>
      </c>
      <c r="M27" s="181"/>
      <c r="N27" s="181"/>
      <c r="O27" s="181"/>
      <c r="P27" s="181"/>
      <c r="Q27" s="181"/>
      <c r="R27" s="181"/>
      <c r="S27" s="182"/>
      <c r="T27" s="182"/>
      <c r="U27" s="182"/>
      <c r="V27" s="182"/>
      <c r="W27" s="183"/>
      <c r="X27" s="183"/>
      <c r="Y27" s="183"/>
      <c r="Z27" s="183"/>
    </row>
    <row r="28" ht="15.75" customHeight="1">
      <c r="A28" s="184">
        <v>1.17939942E8</v>
      </c>
      <c r="B28" s="185" t="s">
        <v>619</v>
      </c>
      <c r="C28" s="186">
        <v>5.6024689E7</v>
      </c>
      <c r="D28" s="186">
        <v>4.96181113E8</v>
      </c>
      <c r="E28" s="186">
        <v>8607548.0</v>
      </c>
      <c r="F28" s="186">
        <v>3.8268496E7</v>
      </c>
      <c r="G28" s="186">
        <v>5692630.0</v>
      </c>
      <c r="H28" s="186">
        <v>2579636.0</v>
      </c>
      <c r="I28" s="186">
        <v>1.9759939E7</v>
      </c>
      <c r="J28" s="186">
        <v>1.3461211E7</v>
      </c>
      <c r="K28" s="186">
        <v>7.9761912E7</v>
      </c>
      <c r="L28" s="186">
        <v>3.230495475E9</v>
      </c>
      <c r="M28" s="181"/>
      <c r="N28" s="181"/>
      <c r="O28" s="181"/>
      <c r="P28" s="181"/>
      <c r="Q28" s="181"/>
      <c r="R28" s="181"/>
      <c r="S28" s="182"/>
      <c r="T28" s="182"/>
      <c r="U28" s="182"/>
      <c r="V28" s="182"/>
      <c r="W28" s="183"/>
      <c r="X28" s="183"/>
      <c r="Y28" s="183"/>
      <c r="Z28" s="183"/>
    </row>
    <row r="29" ht="15.75" customHeight="1">
      <c r="A29" s="184">
        <v>1.40868913E8</v>
      </c>
      <c r="B29" s="185" t="s">
        <v>620</v>
      </c>
      <c r="C29" s="186">
        <v>5.4775281E7</v>
      </c>
      <c r="D29" s="186">
        <v>2.82983799E8</v>
      </c>
      <c r="E29" s="186">
        <v>5023777.0</v>
      </c>
      <c r="F29" s="186">
        <v>7214756.0</v>
      </c>
      <c r="G29" s="186">
        <v>6348402.0</v>
      </c>
      <c r="H29" s="186">
        <v>4904816.0</v>
      </c>
      <c r="I29" s="186">
        <v>1.1424974E7</v>
      </c>
      <c r="J29" s="186">
        <v>6748752.0</v>
      </c>
      <c r="K29" s="186">
        <v>3.66417E7</v>
      </c>
      <c r="L29" s="186">
        <v>1.400014529E9</v>
      </c>
      <c r="M29" s="181"/>
      <c r="N29" s="181"/>
      <c r="O29" s="181"/>
      <c r="P29" s="181"/>
      <c r="Q29" s="181"/>
      <c r="R29" s="181"/>
      <c r="S29" s="182"/>
      <c r="T29" s="182"/>
      <c r="U29" s="182"/>
      <c r="V29" s="182"/>
      <c r="W29" s="183"/>
      <c r="X29" s="183"/>
      <c r="Y29" s="183"/>
      <c r="Z29" s="183"/>
    </row>
    <row r="30" ht="15.75" customHeight="1">
      <c r="A30" s="184">
        <v>1.55334858E8</v>
      </c>
      <c r="B30" s="185" t="s">
        <v>621</v>
      </c>
      <c r="C30" s="186">
        <v>5.4620676E7</v>
      </c>
      <c r="D30" s="186">
        <v>5.89807824E8</v>
      </c>
      <c r="E30" s="186">
        <v>3688538.0</v>
      </c>
      <c r="F30" s="186">
        <v>1.0007812E7</v>
      </c>
      <c r="G30" s="186">
        <v>2240667.0</v>
      </c>
      <c r="H30" s="186">
        <v>4384492.0</v>
      </c>
      <c r="I30" s="186">
        <v>4.1394182E7</v>
      </c>
      <c r="J30" s="186">
        <v>7592257.0</v>
      </c>
      <c r="K30" s="186">
        <v>6.561941E7</v>
      </c>
      <c r="L30" s="186">
        <v>1.050738311E9</v>
      </c>
      <c r="M30" s="181"/>
      <c r="N30" s="181"/>
      <c r="O30" s="181"/>
      <c r="P30" s="181"/>
      <c r="Q30" s="181"/>
      <c r="R30" s="181"/>
      <c r="S30" s="182"/>
      <c r="T30" s="182"/>
      <c r="U30" s="182"/>
      <c r="V30" s="182"/>
      <c r="W30" s="183"/>
      <c r="X30" s="183"/>
      <c r="Y30" s="183"/>
      <c r="Z30" s="183"/>
    </row>
    <row r="31" ht="15.75" customHeight="1">
      <c r="A31" s="184">
        <v>1.47989786E8</v>
      </c>
      <c r="B31" s="185" t="s">
        <v>622</v>
      </c>
      <c r="C31" s="186">
        <v>5.4603934E7</v>
      </c>
      <c r="D31" s="186">
        <v>3.51377018E8</v>
      </c>
      <c r="E31" s="186">
        <v>3535033.0</v>
      </c>
      <c r="F31" s="186">
        <v>2535931.0</v>
      </c>
      <c r="G31" s="186">
        <v>1150559.0</v>
      </c>
      <c r="H31" s="186">
        <v>2714426.0</v>
      </c>
      <c r="I31" s="186">
        <v>2.5234987E7</v>
      </c>
      <c r="J31" s="186">
        <v>4268057.0</v>
      </c>
      <c r="K31" s="186">
        <v>3.590396E7</v>
      </c>
      <c r="L31" s="186">
        <v>2.832771595E9</v>
      </c>
      <c r="M31" s="181"/>
      <c r="N31" s="181"/>
      <c r="O31" s="181"/>
      <c r="P31" s="181"/>
      <c r="Q31" s="181"/>
      <c r="R31" s="181"/>
      <c r="S31" s="182"/>
      <c r="T31" s="182"/>
      <c r="U31" s="182"/>
      <c r="V31" s="182"/>
      <c r="W31" s="183"/>
      <c r="X31" s="183"/>
      <c r="Y31" s="183"/>
      <c r="Z31" s="183"/>
    </row>
    <row r="32" ht="15.75" customHeight="1">
      <c r="A32" s="184">
        <v>1.3927247E7</v>
      </c>
      <c r="B32" s="185" t="s">
        <v>623</v>
      </c>
      <c r="C32" s="186">
        <v>5.2714435E7</v>
      </c>
      <c r="D32" s="186">
        <v>2.1724217E7</v>
      </c>
      <c r="E32" s="186">
        <v>844619.0</v>
      </c>
      <c r="F32" s="186">
        <v>71388.0</v>
      </c>
      <c r="G32" s="186">
        <v>35397.0</v>
      </c>
      <c r="H32" s="186">
        <v>98169.0</v>
      </c>
      <c r="I32" s="186">
        <v>1210801.0</v>
      </c>
      <c r="J32" s="186">
        <v>456923.0</v>
      </c>
      <c r="K32" s="186">
        <v>1872678.0</v>
      </c>
      <c r="L32" s="186">
        <v>2.13617092E8</v>
      </c>
      <c r="M32" s="181"/>
      <c r="N32" s="181"/>
      <c r="O32" s="181"/>
      <c r="P32" s="181"/>
      <c r="Q32" s="181"/>
      <c r="R32" s="181"/>
      <c r="S32" s="182"/>
      <c r="T32" s="182"/>
      <c r="U32" s="182"/>
      <c r="V32" s="182"/>
      <c r="W32" s="183"/>
      <c r="X32" s="183"/>
      <c r="Y32" s="183"/>
      <c r="Z32" s="183"/>
    </row>
    <row r="33" ht="15.75" customHeight="1">
      <c r="A33" s="184">
        <v>1.59275434E8</v>
      </c>
      <c r="B33" s="185" t="s">
        <v>624</v>
      </c>
      <c r="C33" s="186">
        <v>5.1308363E7</v>
      </c>
      <c r="D33" s="186">
        <v>2.41790516E8</v>
      </c>
      <c r="E33" s="186">
        <v>3585199.0</v>
      </c>
      <c r="F33" s="186">
        <v>7253911.0</v>
      </c>
      <c r="G33" s="186">
        <v>3058256.0</v>
      </c>
      <c r="H33" s="186">
        <v>3447473.0</v>
      </c>
      <c r="I33" s="186">
        <v>1.6396921E7</v>
      </c>
      <c r="J33" s="186">
        <v>2823206.0</v>
      </c>
      <c r="K33" s="186">
        <v>3.2979767E7</v>
      </c>
      <c r="L33" s="186">
        <v>1.645349886E9</v>
      </c>
      <c r="M33" s="181"/>
      <c r="N33" s="181"/>
      <c r="O33" s="181"/>
      <c r="P33" s="181"/>
      <c r="Q33" s="181"/>
      <c r="R33" s="181"/>
      <c r="S33" s="182"/>
      <c r="T33" s="182"/>
      <c r="U33" s="182"/>
      <c r="V33" s="182"/>
      <c r="W33" s="183"/>
      <c r="X33" s="183"/>
      <c r="Y33" s="183"/>
      <c r="Z33" s="183"/>
    </row>
    <row r="34" ht="15.75" customHeight="1">
      <c r="A34" s="184">
        <v>1.6940711E8</v>
      </c>
      <c r="B34" s="185" t="s">
        <v>625</v>
      </c>
      <c r="C34" s="186">
        <v>5.0397843E7</v>
      </c>
      <c r="D34" s="186">
        <v>3.88647413E8</v>
      </c>
      <c r="E34" s="186">
        <v>1255504.0</v>
      </c>
      <c r="F34" s="186">
        <v>4899879.0</v>
      </c>
      <c r="G34" s="186">
        <v>3192237.0</v>
      </c>
      <c r="H34" s="186">
        <v>3434571.0</v>
      </c>
      <c r="I34" s="186">
        <v>3.3196554E7</v>
      </c>
      <c r="J34" s="186">
        <v>1778957.0</v>
      </c>
      <c r="K34" s="186">
        <v>4.6502198E7</v>
      </c>
      <c r="L34" s="186">
        <v>1.87649984E8</v>
      </c>
      <c r="M34" s="181"/>
      <c r="N34" s="181"/>
      <c r="O34" s="181"/>
      <c r="P34" s="181"/>
      <c r="Q34" s="181"/>
      <c r="R34" s="181"/>
      <c r="S34" s="182"/>
      <c r="T34" s="182"/>
      <c r="U34" s="182"/>
      <c r="V34" s="182"/>
      <c r="W34" s="183"/>
      <c r="X34" s="183"/>
      <c r="Y34" s="183"/>
      <c r="Z34" s="183"/>
    </row>
    <row r="35" ht="15.75" customHeight="1">
      <c r="A35" s="184">
        <v>1.25586385E8</v>
      </c>
      <c r="B35" s="185" t="s">
        <v>626</v>
      </c>
      <c r="C35" s="186">
        <v>5.0072666E7</v>
      </c>
      <c r="D35" s="186">
        <v>4.79545457E8</v>
      </c>
      <c r="E35" s="186">
        <v>5351298.0</v>
      </c>
      <c r="F35" s="186">
        <v>3.0967458E7</v>
      </c>
      <c r="G35" s="186">
        <v>1482446.0</v>
      </c>
      <c r="H35" s="186">
        <v>2574226.0</v>
      </c>
      <c r="I35" s="186">
        <v>3.2700039E7</v>
      </c>
      <c r="J35" s="186">
        <v>6654489.0</v>
      </c>
      <c r="K35" s="186">
        <v>7.4378658E7</v>
      </c>
      <c r="L35" s="186">
        <v>5.361326362E9</v>
      </c>
      <c r="M35" s="181"/>
      <c r="N35" s="181"/>
      <c r="O35" s="181"/>
      <c r="P35" s="181"/>
      <c r="Q35" s="181"/>
      <c r="R35" s="181"/>
      <c r="S35" s="182"/>
      <c r="T35" s="182"/>
      <c r="U35" s="182"/>
      <c r="V35" s="182"/>
      <c r="W35" s="183"/>
      <c r="X35" s="183"/>
      <c r="Y35" s="183"/>
      <c r="Z35" s="183"/>
    </row>
    <row r="36" ht="15.75" customHeight="1">
      <c r="A36" s="184">
        <v>1.13200873E8</v>
      </c>
      <c r="B36" s="185" t="s">
        <v>627</v>
      </c>
      <c r="C36" s="186">
        <v>4.9877405E7</v>
      </c>
      <c r="D36" s="186">
        <v>4.72332119E8</v>
      </c>
      <c r="E36" s="186">
        <v>1.1037246E7</v>
      </c>
      <c r="F36" s="186">
        <v>1.6896058E7</v>
      </c>
      <c r="G36" s="186">
        <v>1438863.0</v>
      </c>
      <c r="H36" s="186">
        <v>1014658.0</v>
      </c>
      <c r="I36" s="186">
        <v>2.9864767E7</v>
      </c>
      <c r="J36" s="186">
        <v>8168444.0</v>
      </c>
      <c r="K36" s="186">
        <v>5.738279E7</v>
      </c>
      <c r="L36" s="186">
        <v>9.74189801E8</v>
      </c>
      <c r="M36" s="181"/>
      <c r="N36" s="181"/>
      <c r="O36" s="181"/>
      <c r="P36" s="181"/>
      <c r="Q36" s="181"/>
      <c r="R36" s="181"/>
      <c r="S36" s="182"/>
      <c r="T36" s="182"/>
      <c r="U36" s="182"/>
      <c r="V36" s="182"/>
      <c r="W36" s="183"/>
      <c r="X36" s="183"/>
      <c r="Y36" s="183"/>
      <c r="Z36" s="183"/>
    </row>
    <row r="37" ht="15.75" customHeight="1">
      <c r="A37" s="184">
        <v>1.15570839E8</v>
      </c>
      <c r="B37" s="185" t="s">
        <v>628</v>
      </c>
      <c r="C37" s="186">
        <v>4.9789622E7</v>
      </c>
      <c r="D37" s="186">
        <v>7.55170281E8</v>
      </c>
      <c r="E37" s="186">
        <v>3966699.0</v>
      </c>
      <c r="F37" s="186">
        <v>3139495.0</v>
      </c>
      <c r="G37" s="186">
        <v>1558649.0</v>
      </c>
      <c r="H37" s="186">
        <v>3357761.0</v>
      </c>
      <c r="I37" s="186">
        <v>5.5593178E7</v>
      </c>
      <c r="J37" s="186">
        <v>9103113.0</v>
      </c>
      <c r="K37" s="186">
        <v>7.2752196E7</v>
      </c>
      <c r="L37" s="186">
        <v>1.607599095E9</v>
      </c>
      <c r="M37" s="181"/>
      <c r="N37" s="181"/>
      <c r="O37" s="181"/>
      <c r="P37" s="181"/>
      <c r="Q37" s="181"/>
      <c r="R37" s="181"/>
      <c r="S37" s="182"/>
      <c r="T37" s="182"/>
      <c r="U37" s="182"/>
      <c r="V37" s="182"/>
      <c r="W37" s="183"/>
      <c r="X37" s="183"/>
      <c r="Y37" s="183"/>
      <c r="Z37" s="183"/>
    </row>
    <row r="38" ht="15.75" customHeight="1">
      <c r="A38" s="184">
        <v>1.08204411E8</v>
      </c>
      <c r="B38" s="185" t="s">
        <v>629</v>
      </c>
      <c r="C38" s="186">
        <v>4.9615722E7</v>
      </c>
      <c r="D38" s="186">
        <v>2.08167356E8</v>
      </c>
      <c r="E38" s="186">
        <v>4244669.0</v>
      </c>
      <c r="F38" s="186">
        <v>271030.0</v>
      </c>
      <c r="G38" s="186">
        <v>482229.0</v>
      </c>
      <c r="H38" s="186">
        <v>474553.0</v>
      </c>
      <c r="I38" s="186">
        <v>7960184.0</v>
      </c>
      <c r="J38" s="186">
        <v>6282432.0</v>
      </c>
      <c r="K38" s="186">
        <v>1.5470428E7</v>
      </c>
      <c r="L38" s="186">
        <v>1.04160593E8</v>
      </c>
      <c r="M38" s="181"/>
      <c r="N38" s="181"/>
      <c r="O38" s="181"/>
      <c r="P38" s="181"/>
      <c r="Q38" s="181"/>
      <c r="R38" s="181"/>
      <c r="S38" s="182"/>
      <c r="T38" s="182"/>
      <c r="U38" s="182"/>
      <c r="V38" s="182"/>
      <c r="W38" s="183"/>
      <c r="X38" s="183"/>
      <c r="Y38" s="183"/>
      <c r="Z38" s="183"/>
    </row>
    <row r="39" ht="15.75" customHeight="1">
      <c r="A39" s="184">
        <v>1.20250102E8</v>
      </c>
      <c r="B39" s="185" t="s">
        <v>630</v>
      </c>
      <c r="C39" s="186">
        <v>4.761197E7</v>
      </c>
      <c r="D39" s="186">
        <v>2.28489652E8</v>
      </c>
      <c r="E39" s="186">
        <v>9294670.0</v>
      </c>
      <c r="F39" s="186">
        <v>4.1551864E7</v>
      </c>
      <c r="G39" s="186">
        <v>1127705.0</v>
      </c>
      <c r="H39" s="186">
        <v>324795.0</v>
      </c>
      <c r="I39" s="186">
        <v>1.2006065E7</v>
      </c>
      <c r="J39" s="186">
        <v>4828202.0</v>
      </c>
      <c r="K39" s="186">
        <v>5.9838631E7</v>
      </c>
      <c r="L39" s="186">
        <v>7.260299313E9</v>
      </c>
      <c r="M39" s="181"/>
      <c r="N39" s="181"/>
      <c r="O39" s="181"/>
      <c r="P39" s="181"/>
      <c r="Q39" s="181"/>
      <c r="R39" s="181"/>
      <c r="S39" s="182"/>
      <c r="T39" s="182"/>
      <c r="U39" s="182"/>
      <c r="V39" s="182"/>
      <c r="W39" s="183"/>
      <c r="X39" s="183"/>
      <c r="Y39" s="183"/>
      <c r="Z39" s="183"/>
    </row>
    <row r="40" ht="15.75" customHeight="1">
      <c r="A40" s="184">
        <v>1.46859541E8</v>
      </c>
      <c r="B40" s="185" t="s">
        <v>631</v>
      </c>
      <c r="C40" s="186">
        <v>4.6116105E7</v>
      </c>
      <c r="D40" s="186">
        <v>7.80606368E8</v>
      </c>
      <c r="E40" s="186">
        <v>8247382.0</v>
      </c>
      <c r="F40" s="186">
        <v>4.118078E7</v>
      </c>
      <c r="G40" s="186">
        <v>4972001.0</v>
      </c>
      <c r="H40" s="186">
        <v>7356645.0</v>
      </c>
      <c r="I40" s="186">
        <v>6.3822059E7</v>
      </c>
      <c r="J40" s="186">
        <v>4738952.0</v>
      </c>
      <c r="K40" s="186">
        <v>1.22070437E8</v>
      </c>
      <c r="L40" s="186">
        <v>2.144303164E9</v>
      </c>
      <c r="M40" s="181"/>
      <c r="N40" s="181"/>
      <c r="O40" s="181"/>
      <c r="P40" s="181"/>
      <c r="Q40" s="181"/>
      <c r="R40" s="181"/>
      <c r="S40" s="182"/>
      <c r="T40" s="182"/>
      <c r="U40" s="182"/>
      <c r="V40" s="182"/>
      <c r="W40" s="183"/>
      <c r="X40" s="183"/>
      <c r="Y40" s="183"/>
      <c r="Z40" s="183"/>
    </row>
    <row r="41" ht="15.75" customHeight="1">
      <c r="A41" s="184">
        <v>1.01873493E8</v>
      </c>
      <c r="B41" s="185" t="s">
        <v>632</v>
      </c>
      <c r="C41" s="186">
        <v>4.6104154E7</v>
      </c>
      <c r="D41" s="186">
        <v>4.3923052E8</v>
      </c>
      <c r="E41" s="186">
        <v>9166340.0</v>
      </c>
      <c r="F41" s="186">
        <v>3.7345304E7</v>
      </c>
      <c r="G41" s="186">
        <v>5960633.0</v>
      </c>
      <c r="H41" s="186">
        <v>7108031.0</v>
      </c>
      <c r="I41" s="186">
        <v>2.3700309E7</v>
      </c>
      <c r="J41" s="186">
        <v>7720249.0</v>
      </c>
      <c r="K41" s="186">
        <v>8.1834526E7</v>
      </c>
      <c r="L41" s="186">
        <v>7.796080106E9</v>
      </c>
      <c r="M41" s="181"/>
      <c r="N41" s="181"/>
      <c r="O41" s="181"/>
      <c r="P41" s="181"/>
      <c r="Q41" s="181"/>
      <c r="R41" s="181"/>
      <c r="S41" s="182"/>
      <c r="T41" s="182"/>
      <c r="U41" s="182"/>
      <c r="V41" s="182"/>
      <c r="W41" s="183"/>
      <c r="X41" s="183"/>
      <c r="Y41" s="183"/>
      <c r="Z41" s="183"/>
    </row>
    <row r="42" ht="15.75" customHeight="1">
      <c r="A42" s="184">
        <v>1.69053585E8</v>
      </c>
      <c r="B42" s="185" t="s">
        <v>633</v>
      </c>
      <c r="C42" s="186">
        <v>4.5019575E7</v>
      </c>
      <c r="D42" s="186">
        <v>6.5107825E7</v>
      </c>
      <c r="E42" s="186">
        <v>1018729.0</v>
      </c>
      <c r="F42" s="186">
        <v>1283546.0</v>
      </c>
      <c r="G42" s="186">
        <v>2899807.0</v>
      </c>
      <c r="H42" s="186">
        <v>1343698.0</v>
      </c>
      <c r="I42" s="186">
        <v>4300447.0</v>
      </c>
      <c r="J42" s="186">
        <v>533612.0</v>
      </c>
      <c r="K42" s="186">
        <v>1.036111E7</v>
      </c>
      <c r="L42" s="186">
        <v>2.09458197E8</v>
      </c>
      <c r="M42" s="181"/>
      <c r="N42" s="181"/>
      <c r="O42" s="181"/>
      <c r="P42" s="181"/>
      <c r="Q42" s="181"/>
      <c r="R42" s="181"/>
      <c r="S42" s="182"/>
      <c r="T42" s="182"/>
      <c r="U42" s="182"/>
      <c r="V42" s="182"/>
      <c r="W42" s="183"/>
      <c r="X42" s="183"/>
      <c r="Y42" s="183"/>
      <c r="Z42" s="183"/>
    </row>
    <row r="43" ht="15.75" customHeight="1">
      <c r="A43" s="184">
        <v>1.69328809E8</v>
      </c>
      <c r="B43" s="185" t="s">
        <v>634</v>
      </c>
      <c r="C43" s="186">
        <v>4.4864033E7</v>
      </c>
      <c r="D43" s="186">
        <v>7.539888E7</v>
      </c>
      <c r="E43" s="186">
        <v>1943085.0</v>
      </c>
      <c r="F43" s="186">
        <v>787274.0</v>
      </c>
      <c r="G43" s="186">
        <v>299257.0</v>
      </c>
      <c r="H43" s="186">
        <v>181833.0</v>
      </c>
      <c r="I43" s="186">
        <v>4035764.0</v>
      </c>
      <c r="J43" s="186">
        <v>1677897.0</v>
      </c>
      <c r="K43" s="186">
        <v>6982025.0</v>
      </c>
      <c r="L43" s="186">
        <v>1.22053238E8</v>
      </c>
      <c r="M43" s="181"/>
      <c r="N43" s="181"/>
      <c r="O43" s="181"/>
      <c r="P43" s="181"/>
      <c r="Q43" s="181"/>
      <c r="R43" s="181"/>
      <c r="S43" s="182"/>
      <c r="T43" s="182"/>
      <c r="U43" s="182"/>
      <c r="V43" s="182"/>
      <c r="W43" s="183"/>
      <c r="X43" s="183"/>
      <c r="Y43" s="183"/>
      <c r="Z43" s="183"/>
    </row>
    <row r="44" ht="15.75" customHeight="1">
      <c r="A44" s="184">
        <v>1.51561021E8</v>
      </c>
      <c r="B44" s="185" t="s">
        <v>635</v>
      </c>
      <c r="C44" s="186">
        <v>4.4099475E7</v>
      </c>
      <c r="D44" s="186">
        <v>1.98524235E8</v>
      </c>
      <c r="E44" s="186">
        <v>3266272.0</v>
      </c>
      <c r="F44" s="186">
        <v>613576.0</v>
      </c>
      <c r="G44" s="186">
        <v>959398.0</v>
      </c>
      <c r="H44" s="186">
        <v>639461.0</v>
      </c>
      <c r="I44" s="186">
        <v>1.4188072E7</v>
      </c>
      <c r="J44" s="186">
        <v>2602208.0</v>
      </c>
      <c r="K44" s="186">
        <v>1.9002715E7</v>
      </c>
      <c r="L44" s="186">
        <v>1.084049244E9</v>
      </c>
      <c r="M44" s="181"/>
      <c r="N44" s="181"/>
      <c r="O44" s="181"/>
      <c r="P44" s="181"/>
      <c r="Q44" s="181"/>
      <c r="R44" s="181"/>
      <c r="S44" s="182"/>
      <c r="T44" s="182"/>
      <c r="U44" s="182"/>
      <c r="V44" s="182"/>
      <c r="W44" s="183"/>
      <c r="X44" s="183"/>
      <c r="Y44" s="183"/>
      <c r="Z44" s="183"/>
    </row>
    <row r="45" ht="15.75" customHeight="1">
      <c r="A45" s="184">
        <v>1.56577873E8</v>
      </c>
      <c r="B45" s="185" t="s">
        <v>636</v>
      </c>
      <c r="C45" s="186">
        <v>4.3529667E7</v>
      </c>
      <c r="D45" s="186">
        <v>5.6196879E7</v>
      </c>
      <c r="E45" s="186">
        <v>2466180.0</v>
      </c>
      <c r="F45" s="186">
        <v>788036.0</v>
      </c>
      <c r="G45" s="186">
        <v>1020382.0</v>
      </c>
      <c r="H45" s="186">
        <v>1183582.0</v>
      </c>
      <c r="I45" s="186">
        <v>3738536.0</v>
      </c>
      <c r="J45" s="186">
        <v>593941.0</v>
      </c>
      <c r="K45" s="186">
        <v>7324477.0</v>
      </c>
      <c r="L45" s="186">
        <v>1.293856328E9</v>
      </c>
      <c r="M45" s="181"/>
      <c r="N45" s="181"/>
      <c r="O45" s="181"/>
      <c r="P45" s="181"/>
      <c r="Q45" s="181"/>
      <c r="R45" s="181"/>
      <c r="S45" s="182"/>
      <c r="T45" s="182"/>
      <c r="U45" s="182"/>
      <c r="V45" s="182"/>
      <c r="W45" s="183"/>
      <c r="X45" s="183"/>
      <c r="Y45" s="183"/>
      <c r="Z45" s="183"/>
    </row>
    <row r="46" ht="15.75" customHeight="1">
      <c r="A46" s="184">
        <v>1.6899513E8</v>
      </c>
      <c r="B46" s="185" t="s">
        <v>637</v>
      </c>
      <c r="C46" s="186">
        <v>4.3503613E7</v>
      </c>
      <c r="D46" s="186">
        <v>1.6613182E7</v>
      </c>
      <c r="E46" s="186">
        <v>1358289.0</v>
      </c>
      <c r="F46" s="186">
        <v>78413.0</v>
      </c>
      <c r="G46" s="186">
        <v>46586.0</v>
      </c>
      <c r="H46" s="186">
        <v>87622.0</v>
      </c>
      <c r="I46" s="186">
        <v>1153802.0</v>
      </c>
      <c r="J46" s="186">
        <v>230791.0</v>
      </c>
      <c r="K46" s="186">
        <v>1597214.0</v>
      </c>
      <c r="L46" s="186">
        <v>4.47472E7</v>
      </c>
      <c r="M46" s="181"/>
      <c r="N46" s="181"/>
      <c r="O46" s="181"/>
      <c r="P46" s="181"/>
      <c r="Q46" s="181"/>
      <c r="R46" s="181"/>
      <c r="S46" s="182"/>
      <c r="T46" s="182"/>
      <c r="U46" s="182"/>
      <c r="V46" s="182"/>
      <c r="W46" s="183"/>
      <c r="X46" s="183"/>
      <c r="Y46" s="183"/>
      <c r="Z46" s="183"/>
    </row>
    <row r="47" ht="15.75" customHeight="1">
      <c r="A47" s="184">
        <v>1.69150149E8</v>
      </c>
      <c r="B47" s="185" t="s">
        <v>638</v>
      </c>
      <c r="C47" s="186">
        <v>4.2757194E7</v>
      </c>
      <c r="D47" s="186">
        <v>1.00345692E8</v>
      </c>
      <c r="E47" s="186">
        <v>2242072.0</v>
      </c>
      <c r="F47" s="186">
        <v>1164202.0</v>
      </c>
      <c r="G47" s="186">
        <v>869989.0</v>
      </c>
      <c r="H47" s="186">
        <v>370976.0</v>
      </c>
      <c r="I47" s="186">
        <v>6477467.0</v>
      </c>
      <c r="J47" s="186">
        <v>1605715.0</v>
      </c>
      <c r="K47" s="186">
        <v>1.0488349E7</v>
      </c>
      <c r="L47" s="186">
        <v>3.23E8</v>
      </c>
      <c r="M47" s="181"/>
      <c r="N47" s="181"/>
      <c r="O47" s="181"/>
      <c r="P47" s="181"/>
      <c r="Q47" s="181"/>
      <c r="R47" s="181"/>
      <c r="S47" s="182"/>
      <c r="T47" s="182"/>
      <c r="U47" s="182"/>
      <c r="V47" s="182"/>
      <c r="W47" s="183"/>
      <c r="X47" s="183"/>
      <c r="Y47" s="183"/>
      <c r="Z47" s="183"/>
    </row>
    <row r="48" ht="15.75" customHeight="1">
      <c r="A48" s="184">
        <v>1.48621377E8</v>
      </c>
      <c r="B48" s="185" t="s">
        <v>639</v>
      </c>
      <c r="C48" s="186">
        <v>4.2347598E7</v>
      </c>
      <c r="D48" s="186">
        <v>5.47829685E8</v>
      </c>
      <c r="E48" s="186">
        <v>4766075.0</v>
      </c>
      <c r="F48" s="186">
        <v>2.8941418E7</v>
      </c>
      <c r="G48" s="186">
        <v>6531808.0</v>
      </c>
      <c r="H48" s="186">
        <v>1.0898594E7</v>
      </c>
      <c r="I48" s="186">
        <v>3.9433807E7</v>
      </c>
      <c r="J48" s="186">
        <v>4552267.0</v>
      </c>
      <c r="K48" s="186">
        <v>9.0357894E7</v>
      </c>
      <c r="L48" s="186">
        <v>1.219611121E9</v>
      </c>
      <c r="M48" s="181"/>
      <c r="N48" s="181"/>
      <c r="O48" s="181"/>
      <c r="P48" s="181"/>
      <c r="Q48" s="181"/>
      <c r="R48" s="181"/>
      <c r="S48" s="182"/>
      <c r="T48" s="182"/>
      <c r="U48" s="182"/>
      <c r="V48" s="182"/>
      <c r="W48" s="183"/>
      <c r="X48" s="183"/>
      <c r="Y48" s="183"/>
      <c r="Z48" s="183"/>
    </row>
    <row r="49" ht="15.75" customHeight="1">
      <c r="A49" s="184">
        <v>1.50692745E8</v>
      </c>
      <c r="B49" s="185" t="s">
        <v>640</v>
      </c>
      <c r="C49" s="186">
        <v>4.1969219E7</v>
      </c>
      <c r="D49" s="186">
        <v>3.61648996E8</v>
      </c>
      <c r="E49" s="186">
        <v>5235915.0</v>
      </c>
      <c r="F49" s="186">
        <v>9085152.0</v>
      </c>
      <c r="G49" s="186">
        <v>1277663.0</v>
      </c>
      <c r="H49" s="186">
        <v>2210780.0</v>
      </c>
      <c r="I49" s="186">
        <v>2.4542278E7</v>
      </c>
      <c r="J49" s="186">
        <v>5150537.0</v>
      </c>
      <c r="K49" s="186">
        <v>4.226641E7</v>
      </c>
      <c r="L49" s="186">
        <v>4.35918122E9</v>
      </c>
      <c r="M49" s="181"/>
      <c r="N49" s="181"/>
      <c r="O49" s="181"/>
      <c r="P49" s="181"/>
      <c r="Q49" s="181"/>
      <c r="R49" s="181"/>
      <c r="S49" s="182"/>
      <c r="T49" s="182"/>
      <c r="U49" s="182"/>
      <c r="V49" s="182"/>
      <c r="W49" s="183"/>
      <c r="X49" s="183"/>
      <c r="Y49" s="183"/>
      <c r="Z49" s="183"/>
    </row>
    <row r="50" ht="15.75" customHeight="1">
      <c r="A50" s="184">
        <v>1.6905321E8</v>
      </c>
      <c r="B50" s="185" t="s">
        <v>641</v>
      </c>
      <c r="C50" s="186">
        <v>4.1419479E7</v>
      </c>
      <c r="D50" s="186">
        <v>1.22321808E8</v>
      </c>
      <c r="E50" s="186">
        <v>1417826.0</v>
      </c>
      <c r="F50" s="186">
        <v>2563554.0</v>
      </c>
      <c r="G50" s="186">
        <v>3134706.0</v>
      </c>
      <c r="H50" s="186">
        <v>2545359.0</v>
      </c>
      <c r="I50" s="186">
        <v>9182637.0</v>
      </c>
      <c r="J50" s="186">
        <v>676594.0</v>
      </c>
      <c r="K50" s="186">
        <v>1.810285E7</v>
      </c>
      <c r="L50" s="186">
        <v>4.78851169E8</v>
      </c>
      <c r="M50" s="181"/>
      <c r="N50" s="181"/>
      <c r="O50" s="181"/>
      <c r="P50" s="181"/>
      <c r="Q50" s="181"/>
      <c r="R50" s="181"/>
      <c r="S50" s="182"/>
      <c r="T50" s="182"/>
      <c r="U50" s="182"/>
      <c r="V50" s="182"/>
      <c r="W50" s="183"/>
      <c r="X50" s="183"/>
      <c r="Y50" s="183"/>
      <c r="Z50" s="183"/>
    </row>
    <row r="51" ht="15.75" customHeight="1">
      <c r="A51" s="184">
        <v>1.6949913E8</v>
      </c>
      <c r="B51" s="185" t="s">
        <v>642</v>
      </c>
      <c r="C51" s="186">
        <v>4.0986202E7</v>
      </c>
      <c r="D51" s="186">
        <v>3.2881063E7</v>
      </c>
      <c r="E51" s="186">
        <v>306690.0</v>
      </c>
      <c r="F51" s="186">
        <v>2232437.0</v>
      </c>
      <c r="G51" s="186">
        <v>264544.0</v>
      </c>
      <c r="H51" s="186">
        <v>189157.0</v>
      </c>
      <c r="I51" s="186">
        <v>1602318.0</v>
      </c>
      <c r="J51" s="186">
        <v>756284.0</v>
      </c>
      <c r="K51" s="186">
        <v>5044740.0</v>
      </c>
      <c r="L51" s="186">
        <v>3.46440505E8</v>
      </c>
      <c r="M51" s="181"/>
      <c r="N51" s="181"/>
      <c r="O51" s="181"/>
      <c r="P51" s="181"/>
      <c r="Q51" s="181"/>
      <c r="R51" s="181"/>
      <c r="S51" s="182"/>
      <c r="T51" s="182"/>
      <c r="U51" s="182"/>
      <c r="V51" s="182"/>
      <c r="W51" s="183"/>
      <c r="X51" s="183"/>
      <c r="Y51" s="183"/>
      <c r="Z51" s="183"/>
    </row>
    <row r="52" ht="15.75" customHeight="1">
      <c r="A52" s="184">
        <v>1.69199119E8</v>
      </c>
      <c r="B52" s="185" t="s">
        <v>643</v>
      </c>
      <c r="C52" s="186">
        <v>3.9992007E7</v>
      </c>
      <c r="D52" s="186">
        <v>1.41833652E8</v>
      </c>
      <c r="E52" s="186">
        <v>1644227.0</v>
      </c>
      <c r="F52" s="186">
        <v>4083652.0</v>
      </c>
      <c r="G52" s="186">
        <v>1448906.0</v>
      </c>
      <c r="H52" s="186">
        <v>2171945.0</v>
      </c>
      <c r="I52" s="186">
        <v>9863079.0</v>
      </c>
      <c r="J52" s="186">
        <v>1540027.0</v>
      </c>
      <c r="K52" s="186">
        <v>1.9107609E7</v>
      </c>
      <c r="L52" s="186">
        <v>8.58872293E8</v>
      </c>
      <c r="M52" s="181"/>
      <c r="N52" s="181"/>
      <c r="O52" s="181"/>
      <c r="P52" s="181"/>
      <c r="Q52" s="181"/>
      <c r="R52" s="181"/>
      <c r="S52" s="182"/>
      <c r="T52" s="182"/>
      <c r="U52" s="182"/>
      <c r="V52" s="182"/>
      <c r="W52" s="183"/>
      <c r="X52" s="183"/>
      <c r="Y52" s="183"/>
      <c r="Z52" s="183"/>
    </row>
    <row r="53" ht="15.75" customHeight="1">
      <c r="A53" s="184">
        <v>1.51803599E8</v>
      </c>
      <c r="B53" s="185" t="s">
        <v>644</v>
      </c>
      <c r="C53" s="186">
        <v>3.908015E7</v>
      </c>
      <c r="D53" s="186">
        <v>2.5238088E8</v>
      </c>
      <c r="E53" s="186">
        <v>2860583.0</v>
      </c>
      <c r="F53" s="186">
        <v>2483061.0</v>
      </c>
      <c r="G53" s="186">
        <v>1183022.0</v>
      </c>
      <c r="H53" s="186">
        <v>1306436.0</v>
      </c>
      <c r="I53" s="186">
        <v>1.7733378E7</v>
      </c>
      <c r="J53" s="186">
        <v>3347935.0</v>
      </c>
      <c r="K53" s="186">
        <v>2.6053832E7</v>
      </c>
      <c r="L53" s="186">
        <v>1.67855954E8</v>
      </c>
      <c r="M53" s="181"/>
      <c r="N53" s="181"/>
      <c r="O53" s="181"/>
      <c r="P53" s="181"/>
      <c r="Q53" s="181"/>
      <c r="R53" s="181"/>
      <c r="S53" s="182"/>
      <c r="T53" s="182"/>
      <c r="U53" s="182"/>
      <c r="V53" s="182"/>
      <c r="W53" s="183"/>
      <c r="X53" s="183"/>
      <c r="Y53" s="183"/>
      <c r="Z53" s="183"/>
    </row>
    <row r="54" ht="15.75" customHeight="1">
      <c r="A54" s="184">
        <v>1.65109682E8</v>
      </c>
      <c r="B54" s="185" t="s">
        <v>645</v>
      </c>
      <c r="C54" s="186">
        <v>3.851664E7</v>
      </c>
      <c r="D54" s="186">
        <v>4.58864154E8</v>
      </c>
      <c r="E54" s="186">
        <v>2602333.0</v>
      </c>
      <c r="F54" s="186">
        <v>9943833.0</v>
      </c>
      <c r="G54" s="186">
        <v>1.8960851E7</v>
      </c>
      <c r="H54" s="186">
        <v>1.6602889E7</v>
      </c>
      <c r="I54" s="186">
        <v>3.3931051E7</v>
      </c>
      <c r="J54" s="186">
        <v>661581.0</v>
      </c>
      <c r="K54" s="186">
        <v>8.0100205E7</v>
      </c>
      <c r="L54" s="186">
        <v>4.601522838E9</v>
      </c>
      <c r="M54" s="181"/>
      <c r="N54" s="181"/>
      <c r="O54" s="181"/>
      <c r="P54" s="181"/>
      <c r="Q54" s="181"/>
      <c r="R54" s="181"/>
      <c r="S54" s="182"/>
      <c r="T54" s="182"/>
      <c r="U54" s="182"/>
      <c r="V54" s="182"/>
      <c r="W54" s="183"/>
      <c r="X54" s="183"/>
      <c r="Y54" s="183"/>
      <c r="Z54" s="183"/>
    </row>
    <row r="55" ht="15.75" customHeight="1">
      <c r="A55" s="184">
        <v>1.69481136E8</v>
      </c>
      <c r="B55" s="185" t="s">
        <v>646</v>
      </c>
      <c r="C55" s="186">
        <v>3.8262231E7</v>
      </c>
      <c r="D55" s="186">
        <v>2.7723329E7</v>
      </c>
      <c r="E55" s="186">
        <v>1087302.0</v>
      </c>
      <c r="F55" s="186">
        <v>341919.0</v>
      </c>
      <c r="G55" s="186">
        <v>112919.0</v>
      </c>
      <c r="H55" s="186">
        <v>102497.0</v>
      </c>
      <c r="I55" s="186">
        <v>1955810.0</v>
      </c>
      <c r="J55" s="186">
        <v>373051.0</v>
      </c>
      <c r="K55" s="186">
        <v>2886196.0</v>
      </c>
      <c r="L55" s="186">
        <v>1.68723737E8</v>
      </c>
      <c r="M55" s="181"/>
      <c r="N55" s="181"/>
      <c r="O55" s="181"/>
      <c r="P55" s="181"/>
      <c r="Q55" s="181"/>
      <c r="R55" s="181"/>
      <c r="S55" s="182"/>
      <c r="T55" s="182"/>
      <c r="U55" s="182"/>
      <c r="V55" s="182"/>
      <c r="W55" s="183"/>
      <c r="X55" s="183"/>
      <c r="Y55" s="183"/>
      <c r="Z55" s="183"/>
    </row>
    <row r="56" ht="15.75" customHeight="1">
      <c r="A56" s="184">
        <v>1.68925483E8</v>
      </c>
      <c r="B56" s="185" t="s">
        <v>647</v>
      </c>
      <c r="C56" s="186">
        <v>3.7523673E7</v>
      </c>
      <c r="D56" s="186">
        <v>7.3998241E7</v>
      </c>
      <c r="E56" s="186">
        <v>1170357.0</v>
      </c>
      <c r="F56" s="186">
        <v>2261675.0</v>
      </c>
      <c r="G56" s="186">
        <v>1608722.0</v>
      </c>
      <c r="H56" s="186">
        <v>1495858.0</v>
      </c>
      <c r="I56" s="186">
        <v>5249297.0</v>
      </c>
      <c r="J56" s="186">
        <v>592603.0</v>
      </c>
      <c r="K56" s="186">
        <v>1.1208155E7</v>
      </c>
      <c r="L56" s="186">
        <v>1.354227192E9</v>
      </c>
      <c r="M56" s="181"/>
      <c r="N56" s="181"/>
      <c r="O56" s="181"/>
      <c r="P56" s="181"/>
      <c r="Q56" s="181"/>
      <c r="R56" s="181"/>
      <c r="S56" s="182"/>
      <c r="T56" s="182"/>
      <c r="U56" s="182"/>
      <c r="V56" s="182"/>
      <c r="W56" s="183"/>
      <c r="X56" s="183"/>
      <c r="Y56" s="183"/>
      <c r="Z56" s="183"/>
    </row>
    <row r="57" ht="15.75" customHeight="1">
      <c r="A57" s="184">
        <v>6.9904967E7</v>
      </c>
      <c r="B57" s="185" t="s">
        <v>648</v>
      </c>
      <c r="C57" s="186">
        <v>3.708202E7</v>
      </c>
      <c r="D57" s="186">
        <v>2.7110337E7</v>
      </c>
      <c r="E57" s="186">
        <v>1917078.0</v>
      </c>
      <c r="F57" s="186">
        <v>272905.0</v>
      </c>
      <c r="G57" s="186">
        <v>916021.0</v>
      </c>
      <c r="H57" s="186">
        <v>262846.0</v>
      </c>
      <c r="I57" s="186">
        <v>1494161.0</v>
      </c>
      <c r="J57" s="186">
        <v>461536.0</v>
      </c>
      <c r="K57" s="186">
        <v>3407469.0</v>
      </c>
      <c r="L57" s="186">
        <v>3.60760533E8</v>
      </c>
      <c r="M57" s="181"/>
      <c r="N57" s="181"/>
      <c r="O57" s="181"/>
      <c r="P57" s="181"/>
      <c r="Q57" s="181"/>
      <c r="R57" s="181"/>
      <c r="S57" s="182"/>
      <c r="T57" s="182"/>
      <c r="U57" s="182"/>
      <c r="V57" s="182"/>
      <c r="W57" s="183"/>
      <c r="X57" s="183"/>
      <c r="Y57" s="183"/>
      <c r="Z57" s="183"/>
    </row>
    <row r="58" ht="15.75" customHeight="1">
      <c r="A58" s="184">
        <v>1.6948152E8</v>
      </c>
      <c r="B58" s="185" t="s">
        <v>649</v>
      </c>
      <c r="C58" s="186">
        <v>3.6836367E7</v>
      </c>
      <c r="D58" s="186">
        <v>3.8658938E7</v>
      </c>
      <c r="E58" s="186">
        <v>481043.0</v>
      </c>
      <c r="F58" s="186">
        <v>7874532.0</v>
      </c>
      <c r="G58" s="186">
        <v>308687.0</v>
      </c>
      <c r="H58" s="186">
        <v>377357.0</v>
      </c>
      <c r="I58" s="186">
        <v>2619247.0</v>
      </c>
      <c r="J58" s="186">
        <v>438238.0</v>
      </c>
      <c r="K58" s="186">
        <v>1.1618061E7</v>
      </c>
      <c r="L58" s="186">
        <v>2.78480258E8</v>
      </c>
      <c r="M58" s="181"/>
      <c r="N58" s="181"/>
      <c r="O58" s="181"/>
      <c r="P58" s="181"/>
      <c r="Q58" s="181"/>
      <c r="R58" s="181"/>
      <c r="S58" s="182"/>
      <c r="T58" s="182"/>
      <c r="U58" s="182"/>
      <c r="V58" s="182"/>
      <c r="W58" s="183"/>
      <c r="X58" s="183"/>
      <c r="Y58" s="183"/>
      <c r="Z58" s="183"/>
    </row>
    <row r="59" ht="15.75" customHeight="1">
      <c r="A59" s="184">
        <v>1.69170342E8</v>
      </c>
      <c r="B59" s="185" t="s">
        <v>650</v>
      </c>
      <c r="C59" s="186">
        <v>3.6699384E7</v>
      </c>
      <c r="D59" s="186">
        <v>2.6545988E7</v>
      </c>
      <c r="E59" s="186">
        <v>899508.0</v>
      </c>
      <c r="F59" s="186">
        <v>46914.0</v>
      </c>
      <c r="G59" s="186">
        <v>346840.0</v>
      </c>
      <c r="H59" s="186">
        <v>402104.0</v>
      </c>
      <c r="I59" s="186">
        <v>1418129.0</v>
      </c>
      <c r="J59" s="186">
        <v>502661.0</v>
      </c>
      <c r="K59" s="186">
        <v>2716648.0</v>
      </c>
      <c r="L59" s="186">
        <v>8.08441997E8</v>
      </c>
      <c r="M59" s="181"/>
      <c r="N59" s="181"/>
      <c r="O59" s="181"/>
      <c r="P59" s="181"/>
      <c r="Q59" s="181"/>
      <c r="R59" s="181"/>
      <c r="S59" s="182"/>
      <c r="T59" s="182"/>
      <c r="U59" s="182"/>
      <c r="V59" s="182"/>
      <c r="W59" s="183"/>
      <c r="X59" s="183"/>
      <c r="Y59" s="183"/>
      <c r="Z59" s="183"/>
    </row>
    <row r="60" ht="15.75" customHeight="1">
      <c r="A60" s="184">
        <v>1.70527272E8</v>
      </c>
      <c r="B60" s="185" t="s">
        <v>651</v>
      </c>
      <c r="C60" s="186">
        <v>3.6589373E7</v>
      </c>
      <c r="D60" s="186">
        <v>1.21332087E8</v>
      </c>
      <c r="E60" s="186">
        <v>1021261.0</v>
      </c>
      <c r="F60" s="186">
        <v>2846637.0</v>
      </c>
      <c r="G60" s="186">
        <v>933019.0</v>
      </c>
      <c r="H60" s="186">
        <v>4915818.0</v>
      </c>
      <c r="I60" s="186">
        <v>7440665.0</v>
      </c>
      <c r="J60" s="186">
        <v>1241340.0</v>
      </c>
      <c r="K60" s="186">
        <v>1.7377479E7</v>
      </c>
      <c r="L60" s="186">
        <v>2.539118904E9</v>
      </c>
      <c r="M60" s="181"/>
      <c r="N60" s="181"/>
      <c r="O60" s="181"/>
      <c r="P60" s="181"/>
      <c r="Q60" s="181"/>
      <c r="R60" s="181"/>
      <c r="S60" s="182"/>
      <c r="T60" s="182"/>
      <c r="U60" s="182"/>
      <c r="V60" s="182"/>
      <c r="W60" s="183"/>
      <c r="X60" s="183"/>
      <c r="Y60" s="183"/>
      <c r="Z60" s="183"/>
    </row>
    <row r="61" ht="15.75" customHeight="1">
      <c r="A61" s="184">
        <v>1.65785196E8</v>
      </c>
      <c r="B61" s="185" t="s">
        <v>652</v>
      </c>
      <c r="C61" s="186">
        <v>3.6431707E7</v>
      </c>
      <c r="D61" s="186">
        <v>5.4648779E7</v>
      </c>
      <c r="E61" s="186">
        <v>2486522.0</v>
      </c>
      <c r="F61" s="186">
        <v>2379948.0</v>
      </c>
      <c r="G61" s="186">
        <v>781062.0</v>
      </c>
      <c r="H61" s="186">
        <v>511309.0</v>
      </c>
      <c r="I61" s="186">
        <v>4405775.0</v>
      </c>
      <c r="J61" s="186">
        <v>325384.0</v>
      </c>
      <c r="K61" s="186">
        <v>8403478.0</v>
      </c>
      <c r="L61" s="186">
        <v>9.07598261E8</v>
      </c>
      <c r="M61" s="181"/>
      <c r="N61" s="181"/>
      <c r="O61" s="181"/>
      <c r="P61" s="181"/>
      <c r="Q61" s="181"/>
      <c r="R61" s="181"/>
      <c r="S61" s="182"/>
      <c r="T61" s="182"/>
      <c r="U61" s="182"/>
      <c r="V61" s="182"/>
      <c r="W61" s="183"/>
      <c r="X61" s="183"/>
      <c r="Y61" s="183"/>
      <c r="Z61" s="183"/>
    </row>
    <row r="62" ht="15.75" customHeight="1">
      <c r="A62" s="184">
        <v>1.5926934E8</v>
      </c>
      <c r="B62" s="185" t="s">
        <v>653</v>
      </c>
      <c r="C62" s="186">
        <v>3.6295558E7</v>
      </c>
      <c r="D62" s="186">
        <v>1.95985092E8</v>
      </c>
      <c r="E62" s="186">
        <v>3485211.0</v>
      </c>
      <c r="F62" s="186">
        <v>2.2771961E7</v>
      </c>
      <c r="G62" s="186">
        <v>4252475.0</v>
      </c>
      <c r="H62" s="186">
        <v>2809360.0</v>
      </c>
      <c r="I62" s="186">
        <v>1.4112931E7</v>
      </c>
      <c r="J62" s="186">
        <v>1527950.0</v>
      </c>
      <c r="K62" s="186">
        <v>4.5474677E7</v>
      </c>
      <c r="L62" s="186">
        <v>9.32015135E8</v>
      </c>
      <c r="M62" s="181"/>
      <c r="N62" s="181"/>
      <c r="O62" s="181"/>
      <c r="P62" s="181"/>
      <c r="Q62" s="181"/>
      <c r="R62" s="181"/>
      <c r="S62" s="182"/>
      <c r="T62" s="182"/>
      <c r="U62" s="182"/>
      <c r="V62" s="182"/>
      <c r="W62" s="183"/>
      <c r="X62" s="183"/>
      <c r="Y62" s="183"/>
      <c r="Z62" s="183"/>
    </row>
    <row r="63" ht="15.75" customHeight="1">
      <c r="A63" s="184">
        <v>1.65427122E8</v>
      </c>
      <c r="B63" s="185" t="s">
        <v>654</v>
      </c>
      <c r="C63" s="186">
        <v>3.6149306E7</v>
      </c>
      <c r="D63" s="186">
        <v>4.9188657E7</v>
      </c>
      <c r="E63" s="186">
        <v>2008623.0</v>
      </c>
      <c r="F63" s="186">
        <v>1477098.0</v>
      </c>
      <c r="G63" s="186">
        <v>1509089.0</v>
      </c>
      <c r="H63" s="186">
        <v>903690.0</v>
      </c>
      <c r="I63" s="186">
        <v>3350872.0</v>
      </c>
      <c r="J63" s="186">
        <v>437579.0</v>
      </c>
      <c r="K63" s="186">
        <v>7678328.0</v>
      </c>
      <c r="L63" s="186">
        <v>6.2111551E7</v>
      </c>
      <c r="M63" s="181"/>
      <c r="N63" s="181"/>
      <c r="O63" s="181"/>
      <c r="P63" s="181"/>
      <c r="Q63" s="181"/>
      <c r="R63" s="181"/>
      <c r="S63" s="182"/>
      <c r="T63" s="182"/>
      <c r="U63" s="182"/>
      <c r="V63" s="182"/>
      <c r="W63" s="183"/>
      <c r="X63" s="183"/>
      <c r="Y63" s="183"/>
      <c r="Z63" s="183"/>
    </row>
    <row r="64" ht="15.75" customHeight="1">
      <c r="A64" s="184">
        <v>1.68972961E8</v>
      </c>
      <c r="B64" s="185" t="s">
        <v>655</v>
      </c>
      <c r="C64" s="186">
        <v>3.5390398E7</v>
      </c>
      <c r="D64" s="186">
        <v>2.52291E7</v>
      </c>
      <c r="E64" s="186">
        <v>705483.0</v>
      </c>
      <c r="F64" s="186">
        <v>906612.0</v>
      </c>
      <c r="G64" s="186">
        <v>946065.0</v>
      </c>
      <c r="H64" s="186">
        <v>477437.0</v>
      </c>
      <c r="I64" s="186">
        <v>1649308.0</v>
      </c>
      <c r="J64" s="186">
        <v>237641.0</v>
      </c>
      <c r="K64" s="186">
        <v>4217063.0</v>
      </c>
      <c r="L64" s="186">
        <v>4.77123529E8</v>
      </c>
      <c r="M64" s="181"/>
      <c r="N64" s="181"/>
      <c r="O64" s="181"/>
      <c r="P64" s="181"/>
      <c r="Q64" s="181"/>
      <c r="R64" s="181"/>
      <c r="S64" s="182"/>
      <c r="T64" s="182"/>
      <c r="U64" s="182"/>
      <c r="V64" s="182"/>
      <c r="W64" s="183"/>
      <c r="X64" s="183"/>
      <c r="Y64" s="183"/>
      <c r="Z64" s="183"/>
    </row>
    <row r="65" ht="15.75" customHeight="1">
      <c r="A65" s="184">
        <v>1.69387492E8</v>
      </c>
      <c r="B65" s="185" t="s">
        <v>656</v>
      </c>
      <c r="C65" s="186">
        <v>3.5372202E7</v>
      </c>
      <c r="D65" s="186">
        <v>1.1129886E7</v>
      </c>
      <c r="E65" s="186">
        <v>108091.0</v>
      </c>
      <c r="F65" s="186">
        <v>248243.0</v>
      </c>
      <c r="G65" s="186">
        <v>46752.0</v>
      </c>
      <c r="H65" s="186">
        <v>51241.0</v>
      </c>
      <c r="I65" s="186">
        <v>754727.0</v>
      </c>
      <c r="J65" s="186">
        <v>161725.0</v>
      </c>
      <c r="K65" s="186">
        <v>1262688.0</v>
      </c>
      <c r="L65" s="186">
        <v>3.2E7</v>
      </c>
      <c r="M65" s="181"/>
      <c r="N65" s="181"/>
      <c r="O65" s="181"/>
      <c r="P65" s="181"/>
      <c r="Q65" s="181"/>
      <c r="R65" s="181"/>
      <c r="S65" s="182"/>
      <c r="T65" s="182"/>
      <c r="U65" s="182"/>
      <c r="V65" s="182"/>
      <c r="W65" s="183"/>
      <c r="X65" s="183"/>
      <c r="Y65" s="183"/>
      <c r="Z65" s="183"/>
    </row>
    <row r="66" ht="15.75" customHeight="1">
      <c r="A66" s="184">
        <v>1.53803382E8</v>
      </c>
      <c r="B66" s="185" t="s">
        <v>657</v>
      </c>
      <c r="C66" s="186">
        <v>3.4754186E7</v>
      </c>
      <c r="D66" s="186">
        <v>2.31215413E8</v>
      </c>
      <c r="E66" s="186">
        <v>4900566.0</v>
      </c>
      <c r="F66" s="186">
        <v>1.9882587E7</v>
      </c>
      <c r="G66" s="186">
        <v>1.2056047E7</v>
      </c>
      <c r="H66" s="186">
        <v>1.3005893E7</v>
      </c>
      <c r="I66" s="186">
        <v>1.3783211E7</v>
      </c>
      <c r="J66" s="186">
        <v>663556.0</v>
      </c>
      <c r="K66" s="186">
        <v>5.9391294E7</v>
      </c>
      <c r="L66" s="186">
        <v>3.008480721E9</v>
      </c>
      <c r="M66" s="181"/>
      <c r="N66" s="181"/>
      <c r="O66" s="181"/>
      <c r="P66" s="181"/>
      <c r="Q66" s="181"/>
      <c r="R66" s="181"/>
      <c r="S66" s="182"/>
      <c r="T66" s="182"/>
      <c r="U66" s="182"/>
      <c r="V66" s="182"/>
      <c r="W66" s="183"/>
      <c r="X66" s="183"/>
      <c r="Y66" s="183"/>
      <c r="Z66" s="183"/>
    </row>
    <row r="67" ht="15.75" customHeight="1">
      <c r="A67" s="184">
        <v>1.69267398E8</v>
      </c>
      <c r="B67" s="185" t="s">
        <v>658</v>
      </c>
      <c r="C67" s="186">
        <v>3.4752374E7</v>
      </c>
      <c r="D67" s="186">
        <v>1.74216877E8</v>
      </c>
      <c r="E67" s="186">
        <v>990361.0</v>
      </c>
      <c r="F67" s="186">
        <v>842039.0</v>
      </c>
      <c r="G67" s="186">
        <v>301678.0</v>
      </c>
      <c r="H67" s="186">
        <v>971851.0</v>
      </c>
      <c r="I67" s="186">
        <v>1.4578501E7</v>
      </c>
      <c r="J67" s="186">
        <v>1188635.0</v>
      </c>
      <c r="K67" s="186">
        <v>1.7882704E7</v>
      </c>
      <c r="L67" s="186">
        <v>5.163239592E9</v>
      </c>
      <c r="M67" s="181"/>
      <c r="N67" s="181"/>
      <c r="O67" s="181"/>
      <c r="P67" s="181"/>
      <c r="Q67" s="181"/>
      <c r="R67" s="181"/>
      <c r="S67" s="182"/>
      <c r="T67" s="182"/>
      <c r="U67" s="182"/>
      <c r="V67" s="182"/>
      <c r="W67" s="183"/>
      <c r="X67" s="183"/>
      <c r="Y67" s="183"/>
      <c r="Z67" s="183"/>
    </row>
    <row r="68" ht="15.75" customHeight="1">
      <c r="A68" s="184">
        <v>1.65290746E8</v>
      </c>
      <c r="B68" s="185" t="s">
        <v>659</v>
      </c>
      <c r="C68" s="186">
        <v>3.4596207E7</v>
      </c>
      <c r="D68" s="186">
        <v>1.113264E8</v>
      </c>
      <c r="E68" s="186">
        <v>1595165.0</v>
      </c>
      <c r="F68" s="186">
        <v>5305064.0</v>
      </c>
      <c r="G68" s="186">
        <v>1260215.0</v>
      </c>
      <c r="H68" s="186">
        <v>1477852.0</v>
      </c>
      <c r="I68" s="186">
        <v>7404013.0</v>
      </c>
      <c r="J68" s="186">
        <v>1389671.0</v>
      </c>
      <c r="K68" s="186">
        <v>1.6836815E7</v>
      </c>
      <c r="L68" s="186">
        <v>2.68952583E8</v>
      </c>
      <c r="M68" s="181"/>
      <c r="N68" s="181"/>
      <c r="O68" s="181"/>
      <c r="P68" s="181"/>
      <c r="Q68" s="181"/>
      <c r="R68" s="181"/>
      <c r="S68" s="182"/>
      <c r="T68" s="182"/>
      <c r="U68" s="182"/>
      <c r="V68" s="182"/>
      <c r="W68" s="183"/>
      <c r="X68" s="183"/>
      <c r="Y68" s="183"/>
      <c r="Z68" s="183"/>
    </row>
    <row r="69" ht="15.75" customHeight="1">
      <c r="A69" s="184">
        <v>1.69414051E8</v>
      </c>
      <c r="B69" s="185" t="s">
        <v>660</v>
      </c>
      <c r="C69" s="186">
        <v>3.4581624E7</v>
      </c>
      <c r="D69" s="186">
        <v>6.4866303E7</v>
      </c>
      <c r="E69" s="186">
        <v>951575.0</v>
      </c>
      <c r="F69" s="186">
        <v>1534689.0</v>
      </c>
      <c r="G69" s="186">
        <v>1580748.0</v>
      </c>
      <c r="H69" s="186">
        <v>2057990.0</v>
      </c>
      <c r="I69" s="186">
        <v>4428075.0</v>
      </c>
      <c r="J69" s="186">
        <v>444258.0</v>
      </c>
      <c r="K69" s="186">
        <v>1.004576E7</v>
      </c>
      <c r="L69" s="186">
        <v>3.303898393E9</v>
      </c>
      <c r="M69" s="181"/>
      <c r="N69" s="181"/>
      <c r="O69" s="181"/>
      <c r="P69" s="181"/>
      <c r="Q69" s="181"/>
      <c r="R69" s="181"/>
      <c r="S69" s="182"/>
      <c r="T69" s="182"/>
      <c r="U69" s="182"/>
      <c r="V69" s="182"/>
      <c r="W69" s="183"/>
      <c r="X69" s="183"/>
      <c r="Y69" s="183"/>
      <c r="Z69" s="183"/>
    </row>
    <row r="70" ht="15.75" customHeight="1">
      <c r="A70" s="184">
        <v>1.65581612E8</v>
      </c>
      <c r="B70" s="185" t="s">
        <v>661</v>
      </c>
      <c r="C70" s="186">
        <v>3.4241132E7</v>
      </c>
      <c r="D70" s="186">
        <v>6.669498E7</v>
      </c>
      <c r="E70" s="186">
        <v>785161.0</v>
      </c>
      <c r="F70" s="186">
        <v>3341303.0</v>
      </c>
      <c r="G70" s="186">
        <v>670827.0</v>
      </c>
      <c r="H70" s="186">
        <v>872094.0</v>
      </c>
      <c r="I70" s="186">
        <v>4683341.0</v>
      </c>
      <c r="J70" s="186">
        <v>718164.0</v>
      </c>
      <c r="K70" s="186">
        <v>1.0285729E7</v>
      </c>
      <c r="L70" s="186">
        <v>3.46241342E8</v>
      </c>
      <c r="M70" s="181"/>
      <c r="N70" s="181"/>
      <c r="O70" s="181"/>
      <c r="P70" s="181"/>
      <c r="Q70" s="181"/>
      <c r="R70" s="181"/>
      <c r="S70" s="182"/>
      <c r="T70" s="182"/>
      <c r="U70" s="182"/>
      <c r="V70" s="182"/>
      <c r="W70" s="183"/>
      <c r="X70" s="183"/>
      <c r="Y70" s="183"/>
      <c r="Z70" s="183"/>
    </row>
    <row r="71" ht="15.75" customHeight="1">
      <c r="A71" s="184">
        <v>1.69481144E8</v>
      </c>
      <c r="B71" s="185" t="s">
        <v>662</v>
      </c>
      <c r="C71" s="186">
        <v>3.4106054E7</v>
      </c>
      <c r="D71" s="186">
        <v>2.1736924E7</v>
      </c>
      <c r="E71" s="186">
        <v>1684376.0</v>
      </c>
      <c r="F71" s="186">
        <v>425023.0</v>
      </c>
      <c r="G71" s="186">
        <v>268557.0</v>
      </c>
      <c r="H71" s="186">
        <v>87579.0</v>
      </c>
      <c r="I71" s="186">
        <v>1455291.0</v>
      </c>
      <c r="J71" s="186">
        <v>310579.0</v>
      </c>
      <c r="K71" s="186">
        <v>2547029.0</v>
      </c>
      <c r="L71" s="186">
        <v>1.57232523E8</v>
      </c>
      <c r="M71" s="181"/>
      <c r="N71" s="181"/>
      <c r="O71" s="181"/>
      <c r="P71" s="181"/>
      <c r="Q71" s="181"/>
      <c r="R71" s="181"/>
      <c r="S71" s="182"/>
      <c r="T71" s="182"/>
      <c r="U71" s="182"/>
      <c r="V71" s="182"/>
      <c r="W71" s="183"/>
      <c r="X71" s="183"/>
      <c r="Y71" s="183"/>
      <c r="Z71" s="183"/>
    </row>
    <row r="72" ht="15.75" customHeight="1">
      <c r="A72" s="184">
        <v>1.69013183E8</v>
      </c>
      <c r="B72" s="185" t="s">
        <v>663</v>
      </c>
      <c r="C72" s="186">
        <v>3.4071271E7</v>
      </c>
      <c r="D72" s="186">
        <v>7.7604668E7</v>
      </c>
      <c r="E72" s="186">
        <v>969542.0</v>
      </c>
      <c r="F72" s="186">
        <v>418844.0</v>
      </c>
      <c r="G72" s="186">
        <v>236660.0</v>
      </c>
      <c r="H72" s="186">
        <v>240795.0</v>
      </c>
      <c r="I72" s="186">
        <v>6298308.0</v>
      </c>
      <c r="J72" s="186">
        <v>655066.0</v>
      </c>
      <c r="K72" s="186">
        <v>7849673.0</v>
      </c>
      <c r="L72" s="186">
        <v>1.34083655E8</v>
      </c>
      <c r="M72" s="181"/>
      <c r="N72" s="181"/>
      <c r="O72" s="181"/>
      <c r="P72" s="181"/>
      <c r="Q72" s="181"/>
      <c r="R72" s="181"/>
      <c r="S72" s="182"/>
      <c r="T72" s="182"/>
      <c r="U72" s="182"/>
      <c r="V72" s="182"/>
      <c r="W72" s="183"/>
      <c r="X72" s="183"/>
      <c r="Y72" s="183"/>
      <c r="Z72" s="183"/>
    </row>
    <row r="73" ht="15.75" customHeight="1">
      <c r="A73" s="184">
        <v>1.69519216E8</v>
      </c>
      <c r="B73" s="185" t="s">
        <v>664</v>
      </c>
      <c r="C73" s="186">
        <v>3.3608068E7</v>
      </c>
      <c r="D73" s="186">
        <v>1.9339526E7</v>
      </c>
      <c r="E73" s="186">
        <v>512153.0</v>
      </c>
      <c r="F73" s="186">
        <v>444553.0</v>
      </c>
      <c r="G73" s="186">
        <v>411034.0</v>
      </c>
      <c r="H73" s="186">
        <v>292897.0</v>
      </c>
      <c r="I73" s="186">
        <v>1386724.0</v>
      </c>
      <c r="J73" s="186">
        <v>169486.0</v>
      </c>
      <c r="K73" s="186">
        <v>2704694.0</v>
      </c>
      <c r="L73" s="186">
        <v>3.95959093E8</v>
      </c>
      <c r="M73" s="181"/>
      <c r="N73" s="181"/>
      <c r="O73" s="181"/>
      <c r="P73" s="181"/>
      <c r="Q73" s="181"/>
      <c r="R73" s="181"/>
      <c r="S73" s="182"/>
      <c r="T73" s="182"/>
      <c r="U73" s="182"/>
      <c r="V73" s="182"/>
      <c r="W73" s="183"/>
      <c r="X73" s="183"/>
      <c r="Y73" s="183"/>
      <c r="Z73" s="183"/>
    </row>
    <row r="74" ht="15.75" customHeight="1">
      <c r="A74" s="184">
        <v>1.68945307E8</v>
      </c>
      <c r="B74" s="185" t="s">
        <v>665</v>
      </c>
      <c r="C74" s="186">
        <v>3.3568874E7</v>
      </c>
      <c r="D74" s="186">
        <v>7.838905E7</v>
      </c>
      <c r="E74" s="186">
        <v>1123125.0</v>
      </c>
      <c r="F74" s="186">
        <v>1602443.0</v>
      </c>
      <c r="G74" s="186">
        <v>473680.0</v>
      </c>
      <c r="H74" s="186">
        <v>385528.0</v>
      </c>
      <c r="I74" s="186">
        <v>6178143.0</v>
      </c>
      <c r="J74" s="186">
        <v>689883.0</v>
      </c>
      <c r="K74" s="186">
        <v>9329677.0</v>
      </c>
      <c r="L74" s="186">
        <v>1.23015591E8</v>
      </c>
      <c r="M74" s="181"/>
      <c r="N74" s="181"/>
      <c r="O74" s="181"/>
      <c r="P74" s="181"/>
      <c r="Q74" s="181"/>
      <c r="R74" s="181"/>
      <c r="S74" s="182"/>
      <c r="T74" s="182"/>
      <c r="U74" s="182"/>
      <c r="V74" s="182"/>
      <c r="W74" s="183"/>
      <c r="X74" s="183"/>
      <c r="Y74" s="183"/>
      <c r="Z74" s="183"/>
    </row>
    <row r="75" ht="15.75" customHeight="1">
      <c r="A75" s="184">
        <v>1.68543729E8</v>
      </c>
      <c r="B75" s="185" t="s">
        <v>666</v>
      </c>
      <c r="C75" s="186">
        <v>3.323647E7</v>
      </c>
      <c r="D75" s="186">
        <v>1.29917832E8</v>
      </c>
      <c r="E75" s="186">
        <v>1043813.0</v>
      </c>
      <c r="F75" s="186">
        <v>3767503.0</v>
      </c>
      <c r="G75" s="186">
        <v>5559719.0</v>
      </c>
      <c r="H75" s="186">
        <v>2912946.0</v>
      </c>
      <c r="I75" s="186">
        <v>1.0194297E7</v>
      </c>
      <c r="J75" s="186">
        <v>222507.0</v>
      </c>
      <c r="K75" s="186">
        <v>2.2656972E7</v>
      </c>
      <c r="L75" s="186">
        <v>8.46176454E8</v>
      </c>
      <c r="M75" s="181"/>
      <c r="N75" s="181"/>
      <c r="O75" s="181"/>
      <c r="P75" s="181"/>
      <c r="Q75" s="181"/>
      <c r="R75" s="181"/>
      <c r="S75" s="182"/>
      <c r="T75" s="182"/>
      <c r="U75" s="182"/>
      <c r="V75" s="182"/>
      <c r="W75" s="183"/>
      <c r="X75" s="183"/>
      <c r="Y75" s="183"/>
      <c r="Z75" s="183"/>
    </row>
    <row r="76" ht="15.75" customHeight="1">
      <c r="A76" s="184">
        <v>1.6920816E8</v>
      </c>
      <c r="B76" s="185" t="s">
        <v>667</v>
      </c>
      <c r="C76" s="186">
        <v>3.2676386E7</v>
      </c>
      <c r="D76" s="186">
        <v>1.7226788E7</v>
      </c>
      <c r="E76" s="186">
        <v>273716.0</v>
      </c>
      <c r="F76" s="186">
        <v>57511.0</v>
      </c>
      <c r="G76" s="186">
        <v>108839.0</v>
      </c>
      <c r="H76" s="186">
        <v>129887.0</v>
      </c>
      <c r="I76" s="186">
        <v>1354438.0</v>
      </c>
      <c r="J76" s="186">
        <v>146684.0</v>
      </c>
      <c r="K76" s="186">
        <v>1797359.0</v>
      </c>
      <c r="L76" s="186">
        <v>9.4022374E7</v>
      </c>
      <c r="M76" s="181"/>
      <c r="N76" s="181"/>
      <c r="O76" s="181"/>
      <c r="P76" s="181"/>
      <c r="Q76" s="181"/>
      <c r="R76" s="181"/>
      <c r="S76" s="182"/>
      <c r="T76" s="182"/>
      <c r="U76" s="182"/>
      <c r="V76" s="182"/>
      <c r="W76" s="183"/>
      <c r="X76" s="183"/>
      <c r="Y76" s="183"/>
      <c r="Z76" s="183"/>
    </row>
    <row r="77" ht="15.75" customHeight="1">
      <c r="A77" s="184">
        <v>1.69572075E8</v>
      </c>
      <c r="B77" s="185" t="s">
        <v>668</v>
      </c>
      <c r="C77" s="186">
        <v>3.2402806E7</v>
      </c>
      <c r="D77" s="186">
        <v>4.6238421E7</v>
      </c>
      <c r="E77" s="186">
        <v>1235002.0</v>
      </c>
      <c r="F77" s="186">
        <v>780538.0</v>
      </c>
      <c r="G77" s="186">
        <v>822876.0</v>
      </c>
      <c r="H77" s="186">
        <v>928978.0</v>
      </c>
      <c r="I77" s="186">
        <v>2856355.0</v>
      </c>
      <c r="J77" s="186">
        <v>607855.0</v>
      </c>
      <c r="K77" s="186">
        <v>5996602.0</v>
      </c>
      <c r="L77" s="186">
        <v>3.34346522E8</v>
      </c>
      <c r="M77" s="181"/>
      <c r="N77" s="181"/>
      <c r="O77" s="181"/>
      <c r="P77" s="181"/>
      <c r="Q77" s="181"/>
      <c r="R77" s="181"/>
      <c r="S77" s="182"/>
      <c r="T77" s="182"/>
      <c r="U77" s="182"/>
      <c r="V77" s="182"/>
      <c r="W77" s="183"/>
      <c r="X77" s="183"/>
      <c r="Y77" s="183"/>
      <c r="Z77" s="183"/>
    </row>
    <row r="78" ht="15.75" customHeight="1">
      <c r="A78" s="184">
        <v>1.67326056E8</v>
      </c>
      <c r="B78" s="185" t="s">
        <v>669</v>
      </c>
      <c r="C78" s="186">
        <v>3.2266823E7</v>
      </c>
      <c r="D78" s="186">
        <v>9.2781775E7</v>
      </c>
      <c r="E78" s="186">
        <v>2147295.0</v>
      </c>
      <c r="F78" s="186">
        <v>680289.0</v>
      </c>
      <c r="G78" s="186">
        <v>319481.0</v>
      </c>
      <c r="H78" s="186">
        <v>443894.0</v>
      </c>
      <c r="I78" s="186">
        <v>6410042.0</v>
      </c>
      <c r="J78" s="186">
        <v>1306538.0</v>
      </c>
      <c r="K78" s="186">
        <v>9160244.0</v>
      </c>
      <c r="L78" s="186">
        <v>2.908254189E9</v>
      </c>
      <c r="M78" s="181"/>
      <c r="N78" s="181"/>
      <c r="O78" s="181"/>
      <c r="P78" s="181"/>
      <c r="Q78" s="181"/>
      <c r="R78" s="181"/>
      <c r="S78" s="182"/>
      <c r="T78" s="182"/>
      <c r="U78" s="182"/>
      <c r="V78" s="182"/>
      <c r="W78" s="183"/>
      <c r="X78" s="183"/>
      <c r="Y78" s="183"/>
      <c r="Z78" s="183"/>
    </row>
    <row r="79" ht="15.75" customHeight="1">
      <c r="A79" s="184">
        <v>1.69500423E8</v>
      </c>
      <c r="B79" s="185" t="s">
        <v>670</v>
      </c>
      <c r="C79" s="186">
        <v>3.160299E7</v>
      </c>
      <c r="D79" s="186">
        <v>4.4284206E7</v>
      </c>
      <c r="E79" s="186">
        <v>1033228.0</v>
      </c>
      <c r="F79" s="186">
        <v>885621.0</v>
      </c>
      <c r="G79" s="186">
        <v>665169.0</v>
      </c>
      <c r="H79" s="186">
        <v>440276.0</v>
      </c>
      <c r="I79" s="186">
        <v>2648582.0</v>
      </c>
      <c r="J79" s="186">
        <v>726491.0</v>
      </c>
      <c r="K79" s="186">
        <v>5366139.0</v>
      </c>
      <c r="L79" s="186">
        <v>8.19914963E8</v>
      </c>
      <c r="M79" s="181"/>
      <c r="N79" s="181"/>
      <c r="O79" s="181"/>
      <c r="P79" s="181"/>
      <c r="Q79" s="181"/>
      <c r="R79" s="181"/>
      <c r="S79" s="182"/>
      <c r="T79" s="182"/>
      <c r="U79" s="182"/>
      <c r="V79" s="182"/>
      <c r="W79" s="183"/>
      <c r="X79" s="183"/>
      <c r="Y79" s="183"/>
      <c r="Z79" s="183"/>
    </row>
    <row r="80" ht="15.75" customHeight="1">
      <c r="A80" s="184">
        <v>1.68945256E8</v>
      </c>
      <c r="B80" s="185" t="s">
        <v>671</v>
      </c>
      <c r="C80" s="186">
        <v>3.1493936E7</v>
      </c>
      <c r="D80" s="186">
        <v>1.04502162E8</v>
      </c>
      <c r="E80" s="186">
        <v>1022916.0</v>
      </c>
      <c r="F80" s="186">
        <v>2125880.0</v>
      </c>
      <c r="G80" s="186">
        <v>2409871.0</v>
      </c>
      <c r="H80" s="186">
        <v>2197361.0</v>
      </c>
      <c r="I80" s="186">
        <v>8054698.0</v>
      </c>
      <c r="J80" s="186">
        <v>496041.0</v>
      </c>
      <c r="K80" s="186">
        <v>1.5283851E7</v>
      </c>
      <c r="L80" s="186">
        <v>6.11759609E8</v>
      </c>
      <c r="M80" s="181"/>
      <c r="N80" s="181"/>
      <c r="O80" s="181"/>
      <c r="P80" s="181"/>
      <c r="Q80" s="181"/>
      <c r="R80" s="181"/>
      <c r="S80" s="182"/>
      <c r="T80" s="182"/>
      <c r="U80" s="182"/>
      <c r="V80" s="182"/>
      <c r="W80" s="183"/>
      <c r="X80" s="183"/>
      <c r="Y80" s="183"/>
      <c r="Z80" s="183"/>
    </row>
    <row r="81" ht="15.75" customHeight="1">
      <c r="A81" s="184">
        <v>1.64143433E8</v>
      </c>
      <c r="B81" s="185" t="s">
        <v>672</v>
      </c>
      <c r="C81" s="186">
        <v>3.1483502E7</v>
      </c>
      <c r="D81" s="186">
        <v>4531405.0</v>
      </c>
      <c r="E81" s="186">
        <v>69477.0</v>
      </c>
      <c r="F81" s="186">
        <v>41065.0</v>
      </c>
      <c r="G81" s="186">
        <v>121182.0</v>
      </c>
      <c r="H81" s="186">
        <v>20642.0</v>
      </c>
      <c r="I81" s="186">
        <v>68704.0</v>
      </c>
      <c r="J81" s="186">
        <v>175561.0</v>
      </c>
      <c r="K81" s="186">
        <v>427154.0</v>
      </c>
      <c r="L81" s="186">
        <v>2.10100017E9</v>
      </c>
      <c r="M81" s="181"/>
      <c r="N81" s="181"/>
      <c r="O81" s="181"/>
      <c r="P81" s="181"/>
      <c r="Q81" s="181"/>
      <c r="R81" s="181"/>
      <c r="S81" s="182"/>
      <c r="T81" s="182"/>
      <c r="U81" s="182"/>
      <c r="V81" s="182"/>
      <c r="W81" s="183"/>
      <c r="X81" s="183"/>
      <c r="Y81" s="183"/>
      <c r="Z81" s="183"/>
    </row>
    <row r="82" ht="15.75" customHeight="1">
      <c r="A82" s="184">
        <v>1.69138715E8</v>
      </c>
      <c r="B82" s="185" t="s">
        <v>673</v>
      </c>
      <c r="C82" s="186">
        <v>3.1482461E7</v>
      </c>
      <c r="D82" s="186">
        <v>2.8621631E7</v>
      </c>
      <c r="E82" s="186">
        <v>812767.0</v>
      </c>
      <c r="F82" s="186">
        <v>367017.0</v>
      </c>
      <c r="G82" s="186">
        <v>237070.0</v>
      </c>
      <c r="H82" s="186">
        <v>318577.0</v>
      </c>
      <c r="I82" s="186">
        <v>2051600.0</v>
      </c>
      <c r="J82" s="186">
        <v>314189.0</v>
      </c>
      <c r="K82" s="186">
        <v>3288453.0</v>
      </c>
      <c r="L82" s="186">
        <v>1.7402043E7</v>
      </c>
      <c r="M82" s="181"/>
      <c r="N82" s="181"/>
      <c r="O82" s="181"/>
      <c r="P82" s="181"/>
      <c r="Q82" s="181"/>
      <c r="R82" s="181"/>
      <c r="S82" s="182"/>
      <c r="T82" s="182"/>
      <c r="U82" s="182"/>
      <c r="V82" s="182"/>
      <c r="W82" s="183"/>
      <c r="X82" s="183"/>
      <c r="Y82" s="183"/>
      <c r="Z82" s="183"/>
    </row>
    <row r="83" ht="15.75" customHeight="1">
      <c r="A83" s="184">
        <v>1.69587309E8</v>
      </c>
      <c r="B83" s="185" t="s">
        <v>674</v>
      </c>
      <c r="C83" s="186">
        <v>3.1477807E7</v>
      </c>
      <c r="D83" s="186">
        <v>6.9721211E7</v>
      </c>
      <c r="E83" s="186">
        <v>433597.0</v>
      </c>
      <c r="F83" s="186">
        <v>3277286.0</v>
      </c>
      <c r="G83" s="186">
        <v>4100009.0</v>
      </c>
      <c r="H83" s="186">
        <v>1647104.0</v>
      </c>
      <c r="I83" s="186">
        <v>4691990.0</v>
      </c>
      <c r="J83" s="186">
        <v>367871.0</v>
      </c>
      <c r="K83" s="186">
        <v>1.408426E7</v>
      </c>
      <c r="L83" s="186">
        <v>6.65169408E8</v>
      </c>
      <c r="M83" s="181"/>
      <c r="N83" s="181"/>
      <c r="O83" s="181"/>
      <c r="P83" s="181"/>
      <c r="Q83" s="181"/>
      <c r="R83" s="181"/>
      <c r="S83" s="182"/>
      <c r="T83" s="182"/>
      <c r="U83" s="182"/>
      <c r="V83" s="182"/>
      <c r="W83" s="183"/>
      <c r="X83" s="183"/>
      <c r="Y83" s="183"/>
      <c r="Z83" s="183"/>
    </row>
    <row r="84" ht="15.75" customHeight="1">
      <c r="A84" s="184">
        <v>1.69529989E8</v>
      </c>
      <c r="B84" s="185" t="s">
        <v>675</v>
      </c>
      <c r="C84" s="186">
        <v>3.1396214E7</v>
      </c>
      <c r="D84" s="186">
        <v>3.7519902E7</v>
      </c>
      <c r="E84" s="186">
        <v>121322.0</v>
      </c>
      <c r="F84" s="186">
        <v>166043.0</v>
      </c>
      <c r="G84" s="186">
        <v>150843.0</v>
      </c>
      <c r="H84" s="186">
        <v>102722.0</v>
      </c>
      <c r="I84" s="186">
        <v>3175616.0</v>
      </c>
      <c r="J84" s="186">
        <v>250898.0</v>
      </c>
      <c r="K84" s="186">
        <v>3846122.0</v>
      </c>
      <c r="L84" s="186">
        <v>1.18278684E8</v>
      </c>
      <c r="M84" s="181"/>
      <c r="N84" s="181"/>
      <c r="O84" s="181"/>
      <c r="P84" s="181"/>
      <c r="Q84" s="181"/>
      <c r="R84" s="181"/>
      <c r="S84" s="182"/>
      <c r="T84" s="182"/>
      <c r="U84" s="182"/>
      <c r="V84" s="182"/>
      <c r="W84" s="183"/>
      <c r="X84" s="183"/>
      <c r="Y84" s="183"/>
      <c r="Z84" s="183"/>
    </row>
    <row r="85" ht="15.75" customHeight="1">
      <c r="A85" s="184">
        <v>1.69416147E8</v>
      </c>
      <c r="B85" s="185" t="s">
        <v>676</v>
      </c>
      <c r="C85" s="186">
        <v>3.1279573E7</v>
      </c>
      <c r="D85" s="186">
        <v>1.2340262E7</v>
      </c>
      <c r="E85" s="186">
        <v>421846.0</v>
      </c>
      <c r="F85" s="186">
        <v>272173.0</v>
      </c>
      <c r="G85" s="186">
        <v>287875.0</v>
      </c>
      <c r="H85" s="186">
        <v>92277.0</v>
      </c>
      <c r="I85" s="186">
        <v>656115.0</v>
      </c>
      <c r="J85" s="186">
        <v>238991.0</v>
      </c>
      <c r="K85" s="186">
        <v>1547431.0</v>
      </c>
      <c r="L85" s="186">
        <v>3.70287224E8</v>
      </c>
      <c r="M85" s="181"/>
      <c r="N85" s="181"/>
      <c r="O85" s="181"/>
      <c r="P85" s="181"/>
      <c r="Q85" s="181"/>
      <c r="R85" s="181"/>
      <c r="S85" s="182"/>
      <c r="T85" s="182"/>
      <c r="U85" s="182"/>
      <c r="V85" s="182"/>
      <c r="W85" s="183"/>
      <c r="X85" s="183"/>
      <c r="Y85" s="183"/>
      <c r="Z85" s="183"/>
    </row>
    <row r="86" ht="15.75" customHeight="1">
      <c r="A86" s="184">
        <v>1.69584149E8</v>
      </c>
      <c r="B86" s="185" t="s">
        <v>677</v>
      </c>
      <c r="C86" s="186">
        <v>3.118086E7</v>
      </c>
      <c r="D86" s="186">
        <v>9322027.0</v>
      </c>
      <c r="E86" s="186">
        <v>1655320.0</v>
      </c>
      <c r="F86" s="186">
        <v>195796.0</v>
      </c>
      <c r="G86" s="186">
        <v>250296.0</v>
      </c>
      <c r="H86" s="186">
        <v>124824.0</v>
      </c>
      <c r="I86" s="186">
        <v>537292.0</v>
      </c>
      <c r="J86" s="186">
        <v>145503.0</v>
      </c>
      <c r="K86" s="186">
        <v>1253711.0</v>
      </c>
      <c r="L86" s="186">
        <v>7.352E7</v>
      </c>
      <c r="M86" s="181"/>
      <c r="N86" s="181"/>
      <c r="O86" s="181"/>
      <c r="P86" s="181"/>
      <c r="Q86" s="181"/>
      <c r="R86" s="181"/>
      <c r="S86" s="182"/>
      <c r="T86" s="182"/>
      <c r="U86" s="182"/>
      <c r="V86" s="182"/>
      <c r="W86" s="183"/>
      <c r="X86" s="183"/>
      <c r="Y86" s="183"/>
      <c r="Z86" s="183"/>
    </row>
    <row r="87" ht="15.75" customHeight="1">
      <c r="A87" s="184">
        <v>1.69537786E8</v>
      </c>
      <c r="B87" s="185" t="s">
        <v>678</v>
      </c>
      <c r="C87" s="186">
        <v>3.08536E7</v>
      </c>
      <c r="D87" s="186">
        <v>1.7244467E7</v>
      </c>
      <c r="E87" s="186">
        <v>306765.0</v>
      </c>
      <c r="F87" s="186">
        <v>1056798.0</v>
      </c>
      <c r="G87" s="186">
        <v>189508.0</v>
      </c>
      <c r="H87" s="186">
        <v>901348.0</v>
      </c>
      <c r="I87" s="186">
        <v>934364.0</v>
      </c>
      <c r="J87" s="186">
        <v>185253.0</v>
      </c>
      <c r="K87" s="186">
        <v>3267271.0</v>
      </c>
      <c r="L87" s="186">
        <v>5.2061299E7</v>
      </c>
      <c r="M87" s="181"/>
      <c r="N87" s="181"/>
      <c r="O87" s="181"/>
      <c r="P87" s="181"/>
      <c r="Q87" s="181"/>
      <c r="R87" s="181"/>
      <c r="S87" s="182"/>
      <c r="T87" s="182"/>
      <c r="U87" s="182"/>
      <c r="V87" s="182"/>
      <c r="W87" s="183"/>
      <c r="X87" s="183"/>
      <c r="Y87" s="183"/>
      <c r="Z87" s="183"/>
    </row>
    <row r="88" ht="15.75" customHeight="1">
      <c r="A88" s="184">
        <v>1.69473376E8</v>
      </c>
      <c r="B88" s="185" t="s">
        <v>679</v>
      </c>
      <c r="C88" s="186">
        <v>3.0636487E7</v>
      </c>
      <c r="D88" s="186">
        <v>1.04953566E8</v>
      </c>
      <c r="E88" s="186">
        <v>1212240.0</v>
      </c>
      <c r="F88" s="186">
        <v>1526882.0</v>
      </c>
      <c r="G88" s="186">
        <v>463865.0</v>
      </c>
      <c r="H88" s="186">
        <v>220990.0</v>
      </c>
      <c r="I88" s="186">
        <v>7163396.0</v>
      </c>
      <c r="J88" s="186">
        <v>1560127.0</v>
      </c>
      <c r="K88" s="186">
        <v>1.093526E7</v>
      </c>
      <c r="L88" s="186">
        <v>3.10037929E8</v>
      </c>
      <c r="M88" s="181"/>
      <c r="N88" s="181"/>
      <c r="O88" s="181"/>
      <c r="P88" s="181"/>
      <c r="Q88" s="181"/>
      <c r="R88" s="181"/>
      <c r="S88" s="182"/>
      <c r="T88" s="182"/>
      <c r="U88" s="182"/>
      <c r="V88" s="182"/>
      <c r="W88" s="183"/>
      <c r="X88" s="183"/>
      <c r="Y88" s="183"/>
      <c r="Z88" s="183"/>
    </row>
    <row r="89" ht="15.75" customHeight="1">
      <c r="A89" s="184">
        <v>1.69540897E8</v>
      </c>
      <c r="B89" s="185" t="s">
        <v>680</v>
      </c>
      <c r="C89" s="186">
        <v>3.0496955E7</v>
      </c>
      <c r="D89" s="186">
        <v>1.0590461E7</v>
      </c>
      <c r="E89" s="186">
        <v>1232686.0</v>
      </c>
      <c r="F89" s="186">
        <v>351846.0</v>
      </c>
      <c r="G89" s="186">
        <v>480001.0</v>
      </c>
      <c r="H89" s="186">
        <v>325605.0</v>
      </c>
      <c r="I89" s="186">
        <v>606593.0</v>
      </c>
      <c r="J89" s="186">
        <v>109587.0</v>
      </c>
      <c r="K89" s="186">
        <v>1873632.0</v>
      </c>
      <c r="L89" s="186">
        <v>6.6814473E7</v>
      </c>
      <c r="M89" s="181"/>
      <c r="N89" s="181"/>
      <c r="O89" s="181"/>
      <c r="P89" s="181"/>
      <c r="Q89" s="181"/>
      <c r="R89" s="181"/>
      <c r="S89" s="182"/>
      <c r="T89" s="182"/>
      <c r="U89" s="182"/>
      <c r="V89" s="182"/>
      <c r="W89" s="183"/>
      <c r="X89" s="183"/>
      <c r="Y89" s="183"/>
      <c r="Z89" s="183"/>
    </row>
    <row r="90" ht="15.75" customHeight="1">
      <c r="A90" s="184">
        <v>1.68086562E8</v>
      </c>
      <c r="B90" s="185" t="s">
        <v>681</v>
      </c>
      <c r="C90" s="186">
        <v>3.0422013E7</v>
      </c>
      <c r="D90" s="186">
        <v>6.6657261E7</v>
      </c>
      <c r="E90" s="186">
        <v>1091262.0</v>
      </c>
      <c r="F90" s="186">
        <v>1704297.0</v>
      </c>
      <c r="G90" s="186">
        <v>4848683.0</v>
      </c>
      <c r="H90" s="186">
        <v>2881124.0</v>
      </c>
      <c r="I90" s="186">
        <v>4145404.0</v>
      </c>
      <c r="J90" s="186">
        <v>182025.0</v>
      </c>
      <c r="K90" s="186">
        <v>1.3761533E7</v>
      </c>
      <c r="L90" s="186">
        <v>1.27473796E8</v>
      </c>
      <c r="M90" s="181"/>
      <c r="N90" s="181"/>
      <c r="O90" s="181"/>
      <c r="P90" s="181"/>
      <c r="Q90" s="181"/>
      <c r="R90" s="181"/>
      <c r="S90" s="182"/>
      <c r="T90" s="182"/>
      <c r="U90" s="182"/>
      <c r="V90" s="182"/>
      <c r="W90" s="183"/>
      <c r="X90" s="183"/>
      <c r="Y90" s="183"/>
      <c r="Z90" s="183"/>
    </row>
    <row r="91" ht="15.75" customHeight="1">
      <c r="A91" s="184">
        <v>1.68971667E8</v>
      </c>
      <c r="B91" s="185" t="s">
        <v>682</v>
      </c>
      <c r="C91" s="186">
        <v>3.0418264E7</v>
      </c>
      <c r="D91" s="186">
        <v>1.72274208E8</v>
      </c>
      <c r="E91" s="186">
        <v>1528326.0</v>
      </c>
      <c r="F91" s="186">
        <v>4447464.0</v>
      </c>
      <c r="G91" s="186">
        <v>2100281.0</v>
      </c>
      <c r="H91" s="186">
        <v>2985111.0</v>
      </c>
      <c r="I91" s="186">
        <v>1.2965851E7</v>
      </c>
      <c r="J91" s="186">
        <v>1279260.0</v>
      </c>
      <c r="K91" s="186">
        <v>2.3777967E7</v>
      </c>
      <c r="L91" s="186">
        <v>6.39855542E8</v>
      </c>
      <c r="M91" s="181"/>
      <c r="N91" s="181"/>
      <c r="O91" s="181"/>
      <c r="P91" s="181"/>
      <c r="Q91" s="181"/>
      <c r="R91" s="181"/>
      <c r="S91" s="182"/>
      <c r="T91" s="182"/>
      <c r="U91" s="182"/>
      <c r="V91" s="182"/>
      <c r="W91" s="183"/>
      <c r="X91" s="183"/>
      <c r="Y91" s="183"/>
      <c r="Z91" s="183"/>
    </row>
    <row r="92" ht="15.75" customHeight="1">
      <c r="A92" s="184">
        <v>1.69509682E8</v>
      </c>
      <c r="B92" s="185" t="s">
        <v>683</v>
      </c>
      <c r="C92" s="186">
        <v>3.0305217E7</v>
      </c>
      <c r="D92" s="186">
        <v>5.8221848E7</v>
      </c>
      <c r="E92" s="186">
        <v>1216526.0</v>
      </c>
      <c r="F92" s="186">
        <v>792010.0</v>
      </c>
      <c r="G92" s="186">
        <v>329572.0</v>
      </c>
      <c r="H92" s="186">
        <v>316653.0</v>
      </c>
      <c r="I92" s="186">
        <v>3257961.0</v>
      </c>
      <c r="J92" s="186">
        <v>1177904.0</v>
      </c>
      <c r="K92" s="186">
        <v>5874100.0</v>
      </c>
      <c r="L92" s="186">
        <v>3.2620473E8</v>
      </c>
      <c r="M92" s="181"/>
      <c r="N92" s="181"/>
      <c r="O92" s="181"/>
      <c r="P92" s="181"/>
      <c r="Q92" s="181"/>
      <c r="R92" s="181"/>
      <c r="S92" s="182"/>
      <c r="T92" s="182"/>
      <c r="U92" s="182"/>
      <c r="V92" s="182"/>
      <c r="W92" s="183"/>
      <c r="X92" s="183"/>
      <c r="Y92" s="183"/>
      <c r="Z92" s="183"/>
    </row>
    <row r="93" ht="15.75" customHeight="1">
      <c r="A93" s="184">
        <v>1.59805998E8</v>
      </c>
      <c r="B93" s="185" t="s">
        <v>684</v>
      </c>
      <c r="C93" s="186">
        <v>2.9888022E7</v>
      </c>
      <c r="D93" s="186">
        <v>4721529.0</v>
      </c>
      <c r="E93" s="186">
        <v>283192.0</v>
      </c>
      <c r="F93" s="186">
        <v>431667.0</v>
      </c>
      <c r="G93" s="186">
        <v>602592.0</v>
      </c>
      <c r="H93" s="186">
        <v>257013.0</v>
      </c>
      <c r="I93" s="186">
        <v>128960.0</v>
      </c>
      <c r="J93" s="186">
        <v>55618.0</v>
      </c>
      <c r="K93" s="186">
        <v>1475850.0</v>
      </c>
      <c r="L93" s="186">
        <v>1.35310175E8</v>
      </c>
      <c r="M93" s="181"/>
      <c r="N93" s="181"/>
      <c r="O93" s="181"/>
      <c r="P93" s="181"/>
      <c r="Q93" s="181"/>
      <c r="R93" s="181"/>
      <c r="S93" s="182"/>
      <c r="T93" s="182"/>
      <c r="U93" s="182"/>
      <c r="V93" s="182"/>
      <c r="W93" s="183"/>
      <c r="X93" s="183"/>
      <c r="Y93" s="183"/>
      <c r="Z93" s="183"/>
    </row>
    <row r="94" ht="15.75" customHeight="1">
      <c r="A94" s="184">
        <v>1.65811984E8</v>
      </c>
      <c r="B94" s="185" t="s">
        <v>685</v>
      </c>
      <c r="C94" s="186">
        <v>2.9828221E7</v>
      </c>
      <c r="D94" s="186">
        <v>2.3954004E7</v>
      </c>
      <c r="E94" s="186">
        <v>1812252.0</v>
      </c>
      <c r="F94" s="186">
        <v>985844.0</v>
      </c>
      <c r="G94" s="186">
        <v>701917.0</v>
      </c>
      <c r="H94" s="186">
        <v>120068.0</v>
      </c>
      <c r="I94" s="186">
        <v>2007645.0</v>
      </c>
      <c r="J94" s="186">
        <v>89814.0</v>
      </c>
      <c r="K94" s="186">
        <v>3905288.0</v>
      </c>
      <c r="L94" s="186">
        <v>1.060845403E9</v>
      </c>
      <c r="M94" s="181"/>
      <c r="N94" s="181"/>
      <c r="O94" s="181"/>
      <c r="P94" s="181"/>
      <c r="Q94" s="181"/>
      <c r="R94" s="181"/>
      <c r="S94" s="182"/>
      <c r="T94" s="182"/>
      <c r="U94" s="182"/>
      <c r="V94" s="182"/>
      <c r="W94" s="183"/>
      <c r="X94" s="183"/>
      <c r="Y94" s="183"/>
      <c r="Z94" s="183"/>
    </row>
    <row r="95" ht="15.75" customHeight="1">
      <c r="A95" s="184">
        <v>1.6926077E8</v>
      </c>
      <c r="B95" s="185" t="s">
        <v>686</v>
      </c>
      <c r="C95" s="186">
        <v>2.9518378E7</v>
      </c>
      <c r="D95" s="186">
        <v>4.9790093E7</v>
      </c>
      <c r="E95" s="186">
        <v>1054817.0</v>
      </c>
      <c r="F95" s="186">
        <v>1010218.0</v>
      </c>
      <c r="G95" s="186">
        <v>1517156.0</v>
      </c>
      <c r="H95" s="186">
        <v>1038177.0</v>
      </c>
      <c r="I95" s="186">
        <v>3438989.0</v>
      </c>
      <c r="J95" s="186">
        <v>400557.0</v>
      </c>
      <c r="K95" s="186">
        <v>7405097.0</v>
      </c>
      <c r="L95" s="186">
        <v>3.23842608E8</v>
      </c>
      <c r="M95" s="181"/>
      <c r="N95" s="181"/>
      <c r="O95" s="181"/>
      <c r="P95" s="181"/>
      <c r="Q95" s="181"/>
      <c r="R95" s="181"/>
      <c r="S95" s="182"/>
      <c r="T95" s="182"/>
      <c r="U95" s="182"/>
      <c r="V95" s="182"/>
      <c r="W95" s="183"/>
      <c r="X95" s="183"/>
      <c r="Y95" s="183"/>
      <c r="Z95" s="183"/>
    </row>
    <row r="96" ht="15.75" customHeight="1">
      <c r="A96" s="184">
        <v>1.65335518E8</v>
      </c>
      <c r="B96" s="185" t="s">
        <v>687</v>
      </c>
      <c r="C96" s="186">
        <v>2.9470307E7</v>
      </c>
      <c r="D96" s="186">
        <v>1.18823209E8</v>
      </c>
      <c r="E96" s="186">
        <v>1720417.0</v>
      </c>
      <c r="F96" s="186">
        <v>4127176.0</v>
      </c>
      <c r="G96" s="186">
        <v>5829079.0</v>
      </c>
      <c r="H96" s="186">
        <v>4467179.0</v>
      </c>
      <c r="I96" s="186">
        <v>7700354.0</v>
      </c>
      <c r="J96" s="186">
        <v>573368.0</v>
      </c>
      <c r="K96" s="186">
        <v>2.2697156E7</v>
      </c>
      <c r="L96" s="186">
        <v>9.565859735E9</v>
      </c>
      <c r="M96" s="181"/>
      <c r="N96" s="181"/>
      <c r="O96" s="181"/>
      <c r="P96" s="181"/>
      <c r="Q96" s="181"/>
      <c r="R96" s="181"/>
      <c r="S96" s="182"/>
      <c r="T96" s="182"/>
      <c r="U96" s="182"/>
      <c r="V96" s="182"/>
      <c r="W96" s="183"/>
      <c r="X96" s="183"/>
      <c r="Y96" s="183"/>
      <c r="Z96" s="183"/>
    </row>
    <row r="97" ht="15.75" customHeight="1">
      <c r="A97" s="184">
        <v>1.69335141E8</v>
      </c>
      <c r="B97" s="185" t="s">
        <v>688</v>
      </c>
      <c r="C97" s="186">
        <v>2.929563E7</v>
      </c>
      <c r="D97" s="186">
        <v>9006343.0</v>
      </c>
      <c r="E97" s="186">
        <v>731557.0</v>
      </c>
      <c r="F97" s="186">
        <v>216669.0</v>
      </c>
      <c r="G97" s="186">
        <v>190725.0</v>
      </c>
      <c r="H97" s="186">
        <v>242900.0</v>
      </c>
      <c r="I97" s="186">
        <v>623264.0</v>
      </c>
      <c r="J97" s="186">
        <v>68866.0</v>
      </c>
      <c r="K97" s="186">
        <v>1342424.0</v>
      </c>
      <c r="L97" s="186">
        <v>8960404.0</v>
      </c>
      <c r="M97" s="181"/>
      <c r="N97" s="181"/>
      <c r="O97" s="181"/>
      <c r="P97" s="181"/>
      <c r="Q97" s="181"/>
      <c r="R97" s="181"/>
      <c r="S97" s="182"/>
      <c r="T97" s="182"/>
      <c r="U97" s="182"/>
      <c r="V97" s="182"/>
      <c r="W97" s="183"/>
      <c r="X97" s="183"/>
      <c r="Y97" s="183"/>
      <c r="Z97" s="183"/>
    </row>
    <row r="98" ht="15.75" customHeight="1">
      <c r="A98" s="184">
        <v>1.69514864E8</v>
      </c>
      <c r="B98" s="185" t="s">
        <v>689</v>
      </c>
      <c r="C98" s="186">
        <v>2.9177911E7</v>
      </c>
      <c r="D98" s="186">
        <v>3203421.0</v>
      </c>
      <c r="E98" s="186">
        <v>257085.0</v>
      </c>
      <c r="F98" s="186">
        <v>127987.0</v>
      </c>
      <c r="G98" s="186">
        <v>216004.0</v>
      </c>
      <c r="H98" s="186">
        <v>71719.0</v>
      </c>
      <c r="I98" s="186">
        <v>245894.0</v>
      </c>
      <c r="J98" s="186">
        <v>0.0</v>
      </c>
      <c r="K98" s="186">
        <v>661604.0</v>
      </c>
      <c r="L98" s="186">
        <v>1.3091776E8</v>
      </c>
      <c r="M98" s="181"/>
      <c r="N98" s="181"/>
      <c r="O98" s="181"/>
      <c r="P98" s="181"/>
      <c r="Q98" s="181"/>
      <c r="R98" s="181"/>
      <c r="S98" s="182"/>
      <c r="T98" s="182"/>
      <c r="U98" s="182"/>
      <c r="V98" s="182"/>
      <c r="W98" s="183"/>
      <c r="X98" s="183"/>
      <c r="Y98" s="183"/>
      <c r="Z98" s="183"/>
    </row>
    <row r="99" ht="15.75" customHeight="1">
      <c r="A99" s="184">
        <v>1.69020934E8</v>
      </c>
      <c r="B99" s="185" t="s">
        <v>690</v>
      </c>
      <c r="C99" s="186">
        <v>2.9145148E7</v>
      </c>
      <c r="D99" s="186">
        <v>5.7352309E7</v>
      </c>
      <c r="E99" s="186">
        <v>1611832.0</v>
      </c>
      <c r="F99" s="186">
        <v>3908525.0</v>
      </c>
      <c r="G99" s="186">
        <v>1278978.0</v>
      </c>
      <c r="H99" s="186">
        <v>687207.0</v>
      </c>
      <c r="I99" s="186">
        <v>4477386.0</v>
      </c>
      <c r="J99" s="186">
        <v>324498.0</v>
      </c>
      <c r="K99" s="186">
        <v>1.0676594E7</v>
      </c>
      <c r="L99" s="186">
        <v>3.1148212E7</v>
      </c>
      <c r="M99" s="181"/>
      <c r="N99" s="181"/>
      <c r="O99" s="181"/>
      <c r="P99" s="181"/>
      <c r="Q99" s="181"/>
      <c r="R99" s="181"/>
      <c r="S99" s="182"/>
      <c r="T99" s="182"/>
      <c r="U99" s="182"/>
      <c r="V99" s="182"/>
      <c r="W99" s="183"/>
      <c r="X99" s="183"/>
      <c r="Y99" s="183"/>
      <c r="Z99" s="183"/>
    </row>
    <row r="100" ht="15.75" customHeight="1">
      <c r="A100" s="184">
        <v>1.63032879E8</v>
      </c>
      <c r="B100" s="185" t="s">
        <v>691</v>
      </c>
      <c r="C100" s="186">
        <v>2.9065746E7</v>
      </c>
      <c r="D100" s="186">
        <v>7.5836864E7</v>
      </c>
      <c r="E100" s="186">
        <v>1008698.0</v>
      </c>
      <c r="F100" s="186">
        <v>2285714.0</v>
      </c>
      <c r="G100" s="186">
        <v>4572750.0</v>
      </c>
      <c r="H100" s="186">
        <v>1032488.0</v>
      </c>
      <c r="I100" s="186">
        <v>5493189.0</v>
      </c>
      <c r="J100" s="186">
        <v>358619.0</v>
      </c>
      <c r="K100" s="186">
        <v>1.374276E7</v>
      </c>
      <c r="L100" s="186">
        <v>4.4502618E8</v>
      </c>
      <c r="M100" s="181"/>
      <c r="N100" s="181"/>
      <c r="O100" s="181"/>
      <c r="P100" s="181"/>
      <c r="Q100" s="181"/>
      <c r="R100" s="181"/>
      <c r="S100" s="182"/>
      <c r="T100" s="182"/>
      <c r="U100" s="182"/>
      <c r="V100" s="182"/>
      <c r="W100" s="183"/>
      <c r="X100" s="183"/>
      <c r="Y100" s="183"/>
      <c r="Z100" s="183"/>
    </row>
    <row r="101" ht="15.75" customHeight="1">
      <c r="A101" s="184">
        <v>1.6925443E8</v>
      </c>
      <c r="B101" s="185" t="s">
        <v>692</v>
      </c>
      <c r="C101" s="186">
        <v>2.9016256E7</v>
      </c>
      <c r="D101" s="186">
        <v>5.3400391E7</v>
      </c>
      <c r="E101" s="186">
        <v>722512.0</v>
      </c>
      <c r="F101" s="186">
        <v>156925.0</v>
      </c>
      <c r="G101" s="186">
        <v>753893.0</v>
      </c>
      <c r="H101" s="186">
        <v>701795.0</v>
      </c>
      <c r="I101" s="186">
        <v>4317816.0</v>
      </c>
      <c r="J101" s="186">
        <v>293794.0</v>
      </c>
      <c r="K101" s="186">
        <v>6224223.0</v>
      </c>
      <c r="L101" s="186">
        <v>4.86329468E8</v>
      </c>
      <c r="M101" s="181"/>
      <c r="N101" s="181"/>
      <c r="O101" s="181"/>
      <c r="P101" s="181"/>
      <c r="Q101" s="181"/>
      <c r="R101" s="181"/>
      <c r="S101" s="182"/>
      <c r="T101" s="182"/>
      <c r="U101" s="182"/>
      <c r="V101" s="182"/>
      <c r="W101" s="183"/>
      <c r="X101" s="183"/>
      <c r="Y101" s="183"/>
      <c r="Z101" s="183"/>
    </row>
    <row r="102" ht="15.75" customHeight="1">
      <c r="A102" s="184">
        <v>1.6955171E8</v>
      </c>
      <c r="B102" s="185" t="s">
        <v>693</v>
      </c>
      <c r="C102" s="186">
        <v>2.9008935E7</v>
      </c>
      <c r="D102" s="186">
        <v>9.1505719E7</v>
      </c>
      <c r="E102" s="186">
        <v>242187.0</v>
      </c>
      <c r="F102" s="186">
        <v>4067356.0</v>
      </c>
      <c r="G102" s="186">
        <v>5152562.0</v>
      </c>
      <c r="H102" s="186">
        <v>5075026.0</v>
      </c>
      <c r="I102" s="186">
        <v>5540458.0</v>
      </c>
      <c r="J102" s="186">
        <v>234122.0</v>
      </c>
      <c r="K102" s="186">
        <v>2.0069524E7</v>
      </c>
      <c r="L102" s="186">
        <v>2.23198106E8</v>
      </c>
      <c r="M102" s="181"/>
      <c r="N102" s="181"/>
      <c r="O102" s="181"/>
      <c r="P102" s="181"/>
      <c r="Q102" s="181"/>
      <c r="R102" s="181"/>
      <c r="S102" s="182"/>
      <c r="T102" s="182"/>
      <c r="U102" s="182"/>
      <c r="V102" s="182"/>
      <c r="W102" s="183"/>
      <c r="X102" s="183"/>
      <c r="Y102" s="183"/>
      <c r="Z102" s="183"/>
    </row>
    <row r="103" ht="15.75" customHeight="1">
      <c r="A103" s="184">
        <v>1.64958164E8</v>
      </c>
      <c r="B103" s="185" t="s">
        <v>694</v>
      </c>
      <c r="C103" s="186">
        <v>2.9006023E7</v>
      </c>
      <c r="D103" s="186">
        <v>3.0816665E7</v>
      </c>
      <c r="E103" s="186">
        <v>2176429.0</v>
      </c>
      <c r="F103" s="186">
        <v>112407.0</v>
      </c>
      <c r="G103" s="186">
        <v>241005.0</v>
      </c>
      <c r="H103" s="186">
        <v>126946.0</v>
      </c>
      <c r="I103" s="186">
        <v>2586481.0</v>
      </c>
      <c r="J103" s="186">
        <v>196979.0</v>
      </c>
      <c r="K103" s="186">
        <v>3263818.0</v>
      </c>
      <c r="L103" s="186">
        <v>3.11400788E8</v>
      </c>
      <c r="M103" s="181"/>
      <c r="N103" s="181"/>
      <c r="O103" s="181"/>
      <c r="P103" s="181"/>
      <c r="Q103" s="181"/>
      <c r="R103" s="181"/>
      <c r="S103" s="182"/>
      <c r="T103" s="182"/>
      <c r="U103" s="182"/>
      <c r="V103" s="182"/>
      <c r="W103" s="183"/>
      <c r="X103" s="183"/>
      <c r="Y103" s="183"/>
      <c r="Z103" s="183"/>
    </row>
    <row r="104" ht="15.75" customHeight="1">
      <c r="A104" s="184">
        <v>1.6948971E8</v>
      </c>
      <c r="B104" s="185" t="s">
        <v>695</v>
      </c>
      <c r="C104" s="186">
        <v>2.8970806E7</v>
      </c>
      <c r="D104" s="186">
        <v>2.1079287E7</v>
      </c>
      <c r="E104" s="186">
        <v>743878.0</v>
      </c>
      <c r="F104" s="186">
        <v>481629.0</v>
      </c>
      <c r="G104" s="186">
        <v>823668.0</v>
      </c>
      <c r="H104" s="186">
        <v>629899.0</v>
      </c>
      <c r="I104" s="186">
        <v>1427559.0</v>
      </c>
      <c r="J104" s="186">
        <v>127022.0</v>
      </c>
      <c r="K104" s="186">
        <v>3489777.0</v>
      </c>
      <c r="L104" s="186">
        <v>5.7335554E7</v>
      </c>
      <c r="M104" s="181"/>
      <c r="N104" s="181"/>
      <c r="O104" s="181"/>
      <c r="P104" s="181"/>
      <c r="Q104" s="181"/>
      <c r="R104" s="181"/>
      <c r="S104" s="182"/>
      <c r="T104" s="182"/>
      <c r="U104" s="182"/>
      <c r="V104" s="182"/>
      <c r="W104" s="183"/>
      <c r="X104" s="183"/>
      <c r="Y104" s="183"/>
      <c r="Z104" s="183"/>
    </row>
    <row r="105" ht="15.75" customHeight="1">
      <c r="A105" s="184">
        <v>1.69406938E8</v>
      </c>
      <c r="B105" s="185" t="s">
        <v>696</v>
      </c>
      <c r="C105" s="186">
        <v>2.8687251E7</v>
      </c>
      <c r="D105" s="186">
        <v>3.8144582E7</v>
      </c>
      <c r="E105" s="186">
        <v>1921730.0</v>
      </c>
      <c r="F105" s="186">
        <v>416070.0</v>
      </c>
      <c r="G105" s="186">
        <v>756805.0</v>
      </c>
      <c r="H105" s="186">
        <v>418137.0</v>
      </c>
      <c r="I105" s="186">
        <v>2027617.0</v>
      </c>
      <c r="J105" s="186">
        <v>729952.0</v>
      </c>
      <c r="K105" s="186">
        <v>4348581.0</v>
      </c>
      <c r="L105" s="186">
        <v>2.3997069E8</v>
      </c>
      <c r="M105" s="181"/>
      <c r="N105" s="181"/>
      <c r="O105" s="181"/>
      <c r="P105" s="181"/>
      <c r="Q105" s="181"/>
      <c r="R105" s="181"/>
      <c r="S105" s="182"/>
      <c r="T105" s="182"/>
      <c r="U105" s="182"/>
      <c r="V105" s="182"/>
      <c r="W105" s="183"/>
      <c r="X105" s="183"/>
      <c r="Y105" s="183"/>
      <c r="Z105" s="183"/>
    </row>
    <row r="106" ht="15.75" customHeight="1">
      <c r="A106" s="184">
        <v>1.69197195E8</v>
      </c>
      <c r="B106" s="185" t="s">
        <v>697</v>
      </c>
      <c r="C106" s="186">
        <v>2.8666605E7</v>
      </c>
      <c r="D106" s="186">
        <v>1.1703569E8</v>
      </c>
      <c r="E106" s="186">
        <v>1579746.0</v>
      </c>
      <c r="F106" s="186">
        <v>1773230.0</v>
      </c>
      <c r="G106" s="186">
        <v>325691.0</v>
      </c>
      <c r="H106" s="186">
        <v>380688.0</v>
      </c>
      <c r="I106" s="186">
        <v>9161423.0</v>
      </c>
      <c r="J106" s="186">
        <v>1144634.0</v>
      </c>
      <c r="K106" s="186">
        <v>1.2785666E7</v>
      </c>
      <c r="L106" s="186">
        <v>2.339609299E9</v>
      </c>
      <c r="M106" s="181"/>
      <c r="N106" s="181"/>
      <c r="O106" s="181"/>
      <c r="P106" s="181"/>
      <c r="Q106" s="181"/>
      <c r="R106" s="181"/>
      <c r="S106" s="182"/>
      <c r="T106" s="182"/>
      <c r="U106" s="182"/>
      <c r="V106" s="182"/>
      <c r="W106" s="183"/>
      <c r="X106" s="183"/>
      <c r="Y106" s="183"/>
      <c r="Z106" s="183"/>
    </row>
    <row r="107" ht="15.75" customHeight="1">
      <c r="A107" s="184">
        <v>1.69496681E8</v>
      </c>
      <c r="B107" s="185" t="s">
        <v>698</v>
      </c>
      <c r="C107" s="186">
        <v>2.851247E7</v>
      </c>
      <c r="D107" s="186">
        <v>1.37742243E8</v>
      </c>
      <c r="E107" s="186">
        <v>2711538.0</v>
      </c>
      <c r="F107" s="186">
        <v>7382026.0</v>
      </c>
      <c r="G107" s="186">
        <v>5902246.0</v>
      </c>
      <c r="H107" s="186">
        <v>4011734.0</v>
      </c>
      <c r="I107" s="186">
        <v>9319509.0</v>
      </c>
      <c r="J107" s="186">
        <v>760966.0</v>
      </c>
      <c r="K107" s="186">
        <v>2.7376481E7</v>
      </c>
      <c r="L107" s="186">
        <v>2.450168534E9</v>
      </c>
      <c r="M107" s="181"/>
      <c r="N107" s="181"/>
      <c r="O107" s="181"/>
      <c r="P107" s="181"/>
      <c r="Q107" s="181"/>
      <c r="R107" s="181"/>
      <c r="S107" s="182"/>
      <c r="T107" s="182"/>
      <c r="U107" s="182"/>
      <c r="V107" s="182"/>
      <c r="W107" s="183"/>
      <c r="X107" s="183"/>
      <c r="Y107" s="183"/>
      <c r="Z107" s="183"/>
    </row>
    <row r="108" ht="15.75" customHeight="1">
      <c r="A108" s="184">
        <v>1.69052518E8</v>
      </c>
      <c r="B108" s="185" t="s">
        <v>699</v>
      </c>
      <c r="C108" s="186">
        <v>2.8475923E7</v>
      </c>
      <c r="D108" s="186">
        <v>9.9367088E7</v>
      </c>
      <c r="E108" s="186">
        <v>1825335.0</v>
      </c>
      <c r="F108" s="186">
        <v>3556842.0</v>
      </c>
      <c r="G108" s="186">
        <v>1551209.0</v>
      </c>
      <c r="H108" s="186">
        <v>1384918.0</v>
      </c>
      <c r="I108" s="186">
        <v>6007463.0</v>
      </c>
      <c r="J108" s="186">
        <v>1496950.0</v>
      </c>
      <c r="K108" s="186">
        <v>1.3997382E7</v>
      </c>
      <c r="L108" s="186">
        <v>3.199245E8</v>
      </c>
      <c r="M108" s="181"/>
      <c r="N108" s="181"/>
      <c r="O108" s="181"/>
      <c r="P108" s="181"/>
      <c r="Q108" s="181"/>
      <c r="R108" s="181"/>
      <c r="S108" s="182"/>
      <c r="T108" s="182"/>
      <c r="U108" s="182"/>
      <c r="V108" s="182"/>
      <c r="W108" s="183"/>
      <c r="X108" s="183"/>
      <c r="Y108" s="183"/>
      <c r="Z108" s="183"/>
    </row>
    <row r="109" ht="15.75" customHeight="1">
      <c r="A109" s="184">
        <v>1.69077804E8</v>
      </c>
      <c r="B109" s="185" t="s">
        <v>700</v>
      </c>
      <c r="C109" s="186">
        <v>2.8416522E7</v>
      </c>
      <c r="D109" s="186">
        <v>4.2424079E7</v>
      </c>
      <c r="E109" s="186">
        <v>388181.0</v>
      </c>
      <c r="F109" s="186">
        <v>1972997.0</v>
      </c>
      <c r="G109" s="186">
        <v>962797.0</v>
      </c>
      <c r="H109" s="186">
        <v>510144.0</v>
      </c>
      <c r="I109" s="186">
        <v>3743311.0</v>
      </c>
      <c r="J109" s="186">
        <v>31510.0</v>
      </c>
      <c r="K109" s="186">
        <v>7220759.0</v>
      </c>
      <c r="L109" s="186">
        <v>7.3010226E7</v>
      </c>
      <c r="M109" s="181"/>
      <c r="N109" s="181"/>
      <c r="O109" s="181"/>
      <c r="P109" s="181"/>
      <c r="Q109" s="181"/>
      <c r="R109" s="181"/>
      <c r="S109" s="182"/>
      <c r="T109" s="182"/>
      <c r="U109" s="182"/>
      <c r="V109" s="182"/>
      <c r="W109" s="183"/>
      <c r="X109" s="183"/>
      <c r="Y109" s="183"/>
      <c r="Z109" s="183"/>
    </row>
    <row r="110" ht="15.75" customHeight="1">
      <c r="A110" s="184">
        <v>1.69153199E8</v>
      </c>
      <c r="B110" s="185" t="s">
        <v>701</v>
      </c>
      <c r="C110" s="186">
        <v>2.8213204E7</v>
      </c>
      <c r="D110" s="186">
        <v>9155441.0</v>
      </c>
      <c r="E110" s="186">
        <v>237871.0</v>
      </c>
      <c r="F110" s="186">
        <v>2478.0</v>
      </c>
      <c r="G110" s="186">
        <v>29280.0</v>
      </c>
      <c r="H110" s="186">
        <v>21434.0</v>
      </c>
      <c r="I110" s="186">
        <v>612887.0</v>
      </c>
      <c r="J110" s="186">
        <v>144089.0</v>
      </c>
      <c r="K110" s="186">
        <v>810168.0</v>
      </c>
      <c r="L110" s="186">
        <v>2.50328501E8</v>
      </c>
      <c r="M110" s="181"/>
      <c r="N110" s="181"/>
      <c r="O110" s="181"/>
      <c r="P110" s="181"/>
      <c r="Q110" s="181"/>
      <c r="R110" s="181"/>
      <c r="S110" s="182"/>
      <c r="T110" s="182"/>
      <c r="U110" s="182"/>
      <c r="V110" s="182"/>
      <c r="W110" s="183"/>
      <c r="X110" s="183"/>
      <c r="Y110" s="183"/>
      <c r="Z110" s="183"/>
    </row>
    <row r="111" ht="15.75" customHeight="1">
      <c r="A111" s="184">
        <v>1.69293386E8</v>
      </c>
      <c r="B111" s="185" t="s">
        <v>702</v>
      </c>
      <c r="C111" s="186">
        <v>2.8168713E7</v>
      </c>
      <c r="D111" s="186">
        <v>1.44394246E8</v>
      </c>
      <c r="E111" s="186">
        <v>1176295.0</v>
      </c>
      <c r="F111" s="186">
        <v>824173.0</v>
      </c>
      <c r="G111" s="186">
        <v>1023036.0</v>
      </c>
      <c r="H111" s="186">
        <v>381115.0</v>
      </c>
      <c r="I111" s="186">
        <v>8375746.0</v>
      </c>
      <c r="J111" s="186">
        <v>2845071.0</v>
      </c>
      <c r="K111" s="186">
        <v>1.3449141E7</v>
      </c>
      <c r="L111" s="186">
        <v>1.981563271E9</v>
      </c>
      <c r="M111" s="181"/>
      <c r="N111" s="181"/>
      <c r="O111" s="181"/>
      <c r="P111" s="181"/>
      <c r="Q111" s="181"/>
      <c r="R111" s="181"/>
      <c r="S111" s="182"/>
      <c r="T111" s="182"/>
      <c r="U111" s="182"/>
      <c r="V111" s="182"/>
      <c r="W111" s="183"/>
      <c r="X111" s="183"/>
      <c r="Y111" s="183"/>
      <c r="Z111" s="183"/>
    </row>
    <row r="112" ht="15.75" customHeight="1">
      <c r="A112" s="184">
        <v>1.69002314E8</v>
      </c>
      <c r="B112" s="185" t="s">
        <v>703</v>
      </c>
      <c r="C112" s="186">
        <v>2.8074304E7</v>
      </c>
      <c r="D112" s="186">
        <v>2.0091136E7</v>
      </c>
      <c r="E112" s="186">
        <v>955115.0</v>
      </c>
      <c r="F112" s="186">
        <v>152843.0</v>
      </c>
      <c r="G112" s="186">
        <v>145172.0</v>
      </c>
      <c r="H112" s="186">
        <v>189106.0</v>
      </c>
      <c r="I112" s="186">
        <v>1458618.0</v>
      </c>
      <c r="J112" s="186">
        <v>221381.0</v>
      </c>
      <c r="K112" s="186">
        <v>2167120.0</v>
      </c>
      <c r="L112" s="186">
        <v>5.1095743E7</v>
      </c>
      <c r="M112" s="181"/>
      <c r="N112" s="181"/>
      <c r="O112" s="181"/>
      <c r="P112" s="181"/>
      <c r="Q112" s="181"/>
      <c r="R112" s="181"/>
      <c r="S112" s="182"/>
      <c r="T112" s="182"/>
      <c r="U112" s="182"/>
      <c r="V112" s="182"/>
      <c r="W112" s="183"/>
      <c r="X112" s="183"/>
      <c r="Y112" s="183"/>
      <c r="Z112" s="183"/>
    </row>
    <row r="113" ht="15.75" customHeight="1">
      <c r="A113" s="184">
        <v>1.69493799E8</v>
      </c>
      <c r="B113" s="185" t="s">
        <v>704</v>
      </c>
      <c r="C113" s="186">
        <v>2.7835628E7</v>
      </c>
      <c r="D113" s="186">
        <v>8938872.0</v>
      </c>
      <c r="E113" s="186">
        <v>1387297.0</v>
      </c>
      <c r="F113" s="186">
        <v>67622.0</v>
      </c>
      <c r="G113" s="186">
        <v>27044.0</v>
      </c>
      <c r="H113" s="186">
        <v>27610.0</v>
      </c>
      <c r="I113" s="186">
        <v>473438.0</v>
      </c>
      <c r="J113" s="186">
        <v>201322.0</v>
      </c>
      <c r="K113" s="186">
        <v>797036.0</v>
      </c>
      <c r="L113" s="186">
        <v>8000000.0</v>
      </c>
      <c r="M113" s="181"/>
      <c r="N113" s="181"/>
      <c r="O113" s="181"/>
      <c r="P113" s="181"/>
      <c r="Q113" s="181"/>
      <c r="R113" s="181"/>
      <c r="S113" s="182"/>
      <c r="T113" s="182"/>
      <c r="U113" s="182"/>
      <c r="V113" s="182"/>
      <c r="W113" s="183"/>
      <c r="X113" s="183"/>
      <c r="Y113" s="183"/>
      <c r="Z113" s="183"/>
    </row>
    <row r="114" ht="15.75" customHeight="1">
      <c r="A114" s="184">
        <v>1.69478485E8</v>
      </c>
      <c r="B114" s="185" t="s">
        <v>705</v>
      </c>
      <c r="C114" s="186">
        <v>2.7693582E7</v>
      </c>
      <c r="D114" s="186">
        <v>6.2729975E7</v>
      </c>
      <c r="E114" s="186">
        <v>1332567.0</v>
      </c>
      <c r="F114" s="186">
        <v>1641729.0</v>
      </c>
      <c r="G114" s="186">
        <v>715416.0</v>
      </c>
      <c r="H114" s="186">
        <v>198092.0</v>
      </c>
      <c r="I114" s="186">
        <v>4531085.0</v>
      </c>
      <c r="J114" s="186">
        <v>743379.0</v>
      </c>
      <c r="K114" s="186">
        <v>7829701.0</v>
      </c>
      <c r="L114" s="186">
        <v>6.95561037E8</v>
      </c>
      <c r="M114" s="181"/>
      <c r="N114" s="181"/>
      <c r="O114" s="181"/>
      <c r="P114" s="181"/>
      <c r="Q114" s="181"/>
      <c r="R114" s="181"/>
      <c r="S114" s="182"/>
      <c r="T114" s="182"/>
      <c r="U114" s="182"/>
      <c r="V114" s="182"/>
      <c r="W114" s="183"/>
      <c r="X114" s="183"/>
      <c r="Y114" s="183"/>
      <c r="Z114" s="183"/>
    </row>
    <row r="115" ht="15.75" customHeight="1">
      <c r="A115" s="184">
        <v>1.68945065E8</v>
      </c>
      <c r="B115" s="185" t="s">
        <v>706</v>
      </c>
      <c r="C115" s="186">
        <v>2.7607627E7</v>
      </c>
      <c r="D115" s="186">
        <v>3.9379287E7</v>
      </c>
      <c r="E115" s="186">
        <v>551646.0</v>
      </c>
      <c r="F115" s="186">
        <v>1123555.0</v>
      </c>
      <c r="G115" s="186">
        <v>872762.0</v>
      </c>
      <c r="H115" s="186">
        <v>1090078.0</v>
      </c>
      <c r="I115" s="186">
        <v>2928346.0</v>
      </c>
      <c r="J115" s="186">
        <v>188264.0</v>
      </c>
      <c r="K115" s="186">
        <v>6203005.0</v>
      </c>
      <c r="L115" s="186">
        <v>1.7787244E8</v>
      </c>
      <c r="M115" s="181"/>
      <c r="N115" s="181"/>
      <c r="O115" s="181"/>
      <c r="P115" s="181"/>
      <c r="Q115" s="181"/>
      <c r="R115" s="181"/>
      <c r="S115" s="182"/>
      <c r="T115" s="182"/>
      <c r="U115" s="182"/>
      <c r="V115" s="182"/>
      <c r="W115" s="183"/>
      <c r="X115" s="183"/>
      <c r="Y115" s="183"/>
      <c r="Z115" s="183"/>
    </row>
    <row r="116" ht="15.75" customHeight="1">
      <c r="A116" s="184">
        <v>1.68970456E8</v>
      </c>
      <c r="B116" s="185" t="s">
        <v>707</v>
      </c>
      <c r="C116" s="186">
        <v>2.757683E7</v>
      </c>
      <c r="D116" s="186">
        <v>6.0242856E7</v>
      </c>
      <c r="E116" s="186">
        <v>1758941.0</v>
      </c>
      <c r="F116" s="186">
        <v>241302.0</v>
      </c>
      <c r="G116" s="186">
        <v>207154.0</v>
      </c>
      <c r="H116" s="186">
        <v>125102.0</v>
      </c>
      <c r="I116" s="186">
        <v>4125694.0</v>
      </c>
      <c r="J116" s="186">
        <v>901147.0</v>
      </c>
      <c r="K116" s="186">
        <v>5600399.0</v>
      </c>
      <c r="L116" s="186">
        <v>3.90747299E8</v>
      </c>
      <c r="M116" s="181"/>
      <c r="N116" s="181"/>
      <c r="O116" s="181"/>
      <c r="P116" s="181"/>
      <c r="Q116" s="181"/>
      <c r="R116" s="181"/>
      <c r="S116" s="182"/>
      <c r="T116" s="182"/>
      <c r="U116" s="182"/>
      <c r="V116" s="182"/>
      <c r="W116" s="183"/>
      <c r="X116" s="183"/>
      <c r="Y116" s="183"/>
      <c r="Z116" s="183"/>
    </row>
    <row r="117" ht="15.75" customHeight="1">
      <c r="A117" s="184">
        <v>1.58523318E8</v>
      </c>
      <c r="B117" s="185" t="s">
        <v>708</v>
      </c>
      <c r="C117" s="186">
        <v>2.7566438E7</v>
      </c>
      <c r="D117" s="186">
        <v>3.9077552E7</v>
      </c>
      <c r="E117" s="186">
        <v>2705416.0</v>
      </c>
      <c r="F117" s="186">
        <v>4532932.0</v>
      </c>
      <c r="G117" s="186">
        <v>461279.0</v>
      </c>
      <c r="H117" s="186">
        <v>139027.0</v>
      </c>
      <c r="I117" s="186">
        <v>2063966.0</v>
      </c>
      <c r="J117" s="186">
        <v>802632.0</v>
      </c>
      <c r="K117" s="186">
        <v>7999836.0</v>
      </c>
      <c r="L117" s="186">
        <v>5.1726661E8</v>
      </c>
      <c r="M117" s="181"/>
      <c r="N117" s="181"/>
      <c r="O117" s="181"/>
      <c r="P117" s="181"/>
      <c r="Q117" s="181"/>
      <c r="R117" s="181"/>
      <c r="S117" s="182"/>
      <c r="T117" s="182"/>
      <c r="U117" s="182"/>
      <c r="V117" s="182"/>
      <c r="W117" s="183"/>
      <c r="X117" s="183"/>
      <c r="Y117" s="183"/>
      <c r="Z117" s="183"/>
    </row>
    <row r="118" ht="15.75" customHeight="1">
      <c r="A118" s="184">
        <v>1.69254168E8</v>
      </c>
      <c r="B118" s="185" t="s">
        <v>709</v>
      </c>
      <c r="C118" s="186">
        <v>2.7522911E7</v>
      </c>
      <c r="D118" s="186">
        <v>7494287.0</v>
      </c>
      <c r="E118" s="186">
        <v>1724860.0</v>
      </c>
      <c r="F118" s="186">
        <v>114706.0</v>
      </c>
      <c r="G118" s="186">
        <v>268802.0</v>
      </c>
      <c r="H118" s="186">
        <v>15088.0</v>
      </c>
      <c r="I118" s="186">
        <v>545005.0</v>
      </c>
      <c r="J118" s="186">
        <v>71167.0</v>
      </c>
      <c r="K118" s="186">
        <v>1014768.0</v>
      </c>
      <c r="L118" s="186">
        <v>0.0</v>
      </c>
      <c r="M118" s="181"/>
      <c r="N118" s="181"/>
      <c r="O118" s="181"/>
      <c r="P118" s="181"/>
      <c r="Q118" s="181"/>
      <c r="R118" s="181"/>
      <c r="S118" s="182"/>
      <c r="T118" s="182"/>
      <c r="U118" s="182"/>
      <c r="V118" s="182"/>
      <c r="W118" s="183"/>
      <c r="X118" s="183"/>
      <c r="Y118" s="183"/>
      <c r="Z118" s="183"/>
    </row>
    <row r="119" ht="15.75" customHeight="1">
      <c r="A119" s="184">
        <v>1.69483536E8</v>
      </c>
      <c r="B119" s="185" t="s">
        <v>710</v>
      </c>
      <c r="C119" s="186">
        <v>2.7385341E7</v>
      </c>
      <c r="D119" s="186">
        <v>3.6951385E7</v>
      </c>
      <c r="E119" s="186">
        <v>715800.0</v>
      </c>
      <c r="F119" s="186">
        <v>334686.0</v>
      </c>
      <c r="G119" s="186">
        <v>1042941.0</v>
      </c>
      <c r="H119" s="186">
        <v>833214.0</v>
      </c>
      <c r="I119" s="186">
        <v>2064017.0</v>
      </c>
      <c r="J119" s="186">
        <v>541277.0</v>
      </c>
      <c r="K119" s="186">
        <v>4816135.0</v>
      </c>
      <c r="L119" s="186">
        <v>3.14368575E8</v>
      </c>
      <c r="M119" s="181"/>
      <c r="N119" s="181"/>
      <c r="O119" s="181"/>
      <c r="P119" s="181"/>
      <c r="Q119" s="181"/>
      <c r="R119" s="181"/>
      <c r="S119" s="182"/>
      <c r="T119" s="182"/>
      <c r="U119" s="182"/>
      <c r="V119" s="182"/>
      <c r="W119" s="183"/>
      <c r="X119" s="183"/>
      <c r="Y119" s="183"/>
      <c r="Z119" s="183"/>
    </row>
    <row r="120" ht="15.75" customHeight="1">
      <c r="A120" s="184">
        <v>1.695262E8</v>
      </c>
      <c r="B120" s="185" t="s">
        <v>711</v>
      </c>
      <c r="C120" s="186">
        <v>2.7290963E7</v>
      </c>
      <c r="D120" s="186">
        <v>3.1463074E7</v>
      </c>
      <c r="E120" s="186">
        <v>1395298.0</v>
      </c>
      <c r="F120" s="186">
        <v>477471.0</v>
      </c>
      <c r="G120" s="186">
        <v>713924.0</v>
      </c>
      <c r="H120" s="186">
        <v>598353.0</v>
      </c>
      <c r="I120" s="186">
        <v>2477626.0</v>
      </c>
      <c r="J120" s="186">
        <v>138503.0</v>
      </c>
      <c r="K120" s="186">
        <v>4405877.0</v>
      </c>
      <c r="L120" s="186">
        <v>1.75361493E8</v>
      </c>
      <c r="M120" s="181"/>
      <c r="N120" s="181"/>
      <c r="O120" s="181"/>
      <c r="P120" s="181"/>
      <c r="Q120" s="181"/>
      <c r="R120" s="181"/>
      <c r="S120" s="182"/>
      <c r="T120" s="182"/>
      <c r="U120" s="182"/>
      <c r="V120" s="182"/>
      <c r="W120" s="183"/>
      <c r="X120" s="183"/>
      <c r="Y120" s="183"/>
      <c r="Z120" s="183"/>
    </row>
    <row r="121" ht="15.75" customHeight="1">
      <c r="A121" s="184">
        <v>1.69177112E8</v>
      </c>
      <c r="B121" s="185" t="s">
        <v>712</v>
      </c>
      <c r="C121" s="186">
        <v>2.7216719E7</v>
      </c>
      <c r="D121" s="186">
        <v>1.5465787E7</v>
      </c>
      <c r="E121" s="186">
        <v>837347.0</v>
      </c>
      <c r="F121" s="186">
        <v>284428.0</v>
      </c>
      <c r="G121" s="186">
        <v>198558.0</v>
      </c>
      <c r="H121" s="186">
        <v>130849.0</v>
      </c>
      <c r="I121" s="186">
        <v>1137287.0</v>
      </c>
      <c r="J121" s="186">
        <v>155776.0</v>
      </c>
      <c r="K121" s="186">
        <v>1906898.0</v>
      </c>
      <c r="L121" s="186">
        <v>6.1164089E7</v>
      </c>
      <c r="M121" s="181"/>
      <c r="N121" s="181"/>
      <c r="O121" s="181"/>
      <c r="P121" s="181"/>
      <c r="Q121" s="181"/>
      <c r="R121" s="181"/>
      <c r="S121" s="182"/>
      <c r="T121" s="182"/>
      <c r="U121" s="182"/>
      <c r="V121" s="182"/>
      <c r="W121" s="183"/>
      <c r="X121" s="183"/>
      <c r="Y121" s="183"/>
      <c r="Z121" s="183"/>
    </row>
    <row r="122" ht="15.75" customHeight="1">
      <c r="A122" s="184">
        <v>1.69491809E8</v>
      </c>
      <c r="B122" s="185" t="s">
        <v>713</v>
      </c>
      <c r="C122" s="186">
        <v>2.7203382E7</v>
      </c>
      <c r="D122" s="186">
        <v>4192432.0</v>
      </c>
      <c r="E122" s="186">
        <v>197224.0</v>
      </c>
      <c r="F122" s="186">
        <v>105531.0</v>
      </c>
      <c r="G122" s="186">
        <v>329848.0</v>
      </c>
      <c r="H122" s="186">
        <v>104405.0</v>
      </c>
      <c r="I122" s="186">
        <v>227025.0</v>
      </c>
      <c r="J122" s="186">
        <v>41188.0</v>
      </c>
      <c r="K122" s="186">
        <v>807997.0</v>
      </c>
      <c r="L122" s="186">
        <v>6.8821639E7</v>
      </c>
      <c r="M122" s="181"/>
      <c r="N122" s="181"/>
      <c r="O122" s="181"/>
      <c r="P122" s="181"/>
      <c r="Q122" s="181"/>
      <c r="R122" s="181"/>
      <c r="S122" s="182"/>
      <c r="T122" s="182"/>
      <c r="U122" s="182"/>
      <c r="V122" s="182"/>
      <c r="W122" s="183"/>
      <c r="X122" s="183"/>
      <c r="Y122" s="183"/>
      <c r="Z122" s="183"/>
    </row>
    <row r="123" ht="15.75" customHeight="1">
      <c r="A123" s="184">
        <v>1.69099766E8</v>
      </c>
      <c r="B123" s="185" t="s">
        <v>714</v>
      </c>
      <c r="C123" s="186">
        <v>2.6836017E7</v>
      </c>
      <c r="D123" s="186">
        <v>1.8391346E7</v>
      </c>
      <c r="E123" s="186">
        <v>524464.0</v>
      </c>
      <c r="F123" s="186">
        <v>24864.0</v>
      </c>
      <c r="G123" s="186">
        <v>41502.0</v>
      </c>
      <c r="H123" s="186">
        <v>91615.0</v>
      </c>
      <c r="I123" s="186">
        <v>1482869.0</v>
      </c>
      <c r="J123" s="186">
        <v>155411.0</v>
      </c>
      <c r="K123" s="186">
        <v>1796261.0</v>
      </c>
      <c r="L123" s="186">
        <v>1.2000001E7</v>
      </c>
      <c r="M123" s="181"/>
      <c r="N123" s="181"/>
      <c r="O123" s="181"/>
      <c r="P123" s="181"/>
      <c r="Q123" s="181"/>
      <c r="R123" s="181"/>
      <c r="S123" s="182"/>
      <c r="T123" s="182"/>
      <c r="U123" s="182"/>
      <c r="V123" s="182"/>
      <c r="W123" s="183"/>
      <c r="X123" s="183"/>
      <c r="Y123" s="183"/>
      <c r="Z123" s="183"/>
    </row>
    <row r="124" ht="15.75" customHeight="1">
      <c r="A124" s="184">
        <v>1.69194245E8</v>
      </c>
      <c r="B124" s="185" t="s">
        <v>715</v>
      </c>
      <c r="C124" s="186">
        <v>2.6787426E7</v>
      </c>
      <c r="D124" s="186">
        <v>3.395417E7</v>
      </c>
      <c r="E124" s="186">
        <v>1790074.0</v>
      </c>
      <c r="F124" s="186">
        <v>7341784.0</v>
      </c>
      <c r="G124" s="186">
        <v>471272.0</v>
      </c>
      <c r="H124" s="186">
        <v>559670.0</v>
      </c>
      <c r="I124" s="186">
        <v>1878147.0</v>
      </c>
      <c r="J124" s="186">
        <v>526156.0</v>
      </c>
      <c r="K124" s="186">
        <v>1.0777029E7</v>
      </c>
      <c r="L124" s="186">
        <v>1.67680003E8</v>
      </c>
      <c r="M124" s="181"/>
      <c r="N124" s="181"/>
      <c r="O124" s="181"/>
      <c r="P124" s="181"/>
      <c r="Q124" s="181"/>
      <c r="R124" s="181"/>
      <c r="S124" s="182"/>
      <c r="T124" s="182"/>
      <c r="U124" s="182"/>
      <c r="V124" s="182"/>
      <c r="W124" s="183"/>
      <c r="X124" s="183"/>
      <c r="Y124" s="183"/>
      <c r="Z124" s="183"/>
    </row>
    <row r="125" ht="15.75" customHeight="1">
      <c r="A125" s="184">
        <v>1.69528837E8</v>
      </c>
      <c r="B125" s="185" t="s">
        <v>716</v>
      </c>
      <c r="C125" s="186">
        <v>2.6755432E7</v>
      </c>
      <c r="D125" s="186">
        <v>1586651.0</v>
      </c>
      <c r="E125" s="186">
        <v>372957.0</v>
      </c>
      <c r="F125" s="186">
        <v>16568.0</v>
      </c>
      <c r="G125" s="186">
        <v>96294.0</v>
      </c>
      <c r="H125" s="186">
        <v>19360.0</v>
      </c>
      <c r="I125" s="186">
        <v>56553.0</v>
      </c>
      <c r="J125" s="186">
        <v>37389.0</v>
      </c>
      <c r="K125" s="186">
        <v>226164.0</v>
      </c>
      <c r="L125" s="186">
        <v>5.9048E7</v>
      </c>
      <c r="M125" s="181"/>
      <c r="N125" s="181"/>
      <c r="O125" s="181"/>
      <c r="P125" s="181"/>
      <c r="Q125" s="181"/>
      <c r="R125" s="181"/>
      <c r="S125" s="182"/>
      <c r="T125" s="182"/>
      <c r="U125" s="182"/>
      <c r="V125" s="182"/>
      <c r="W125" s="183"/>
      <c r="X125" s="183"/>
      <c r="Y125" s="183"/>
      <c r="Z125" s="183"/>
    </row>
    <row r="126" ht="15.75" customHeight="1">
      <c r="A126" s="184">
        <v>1.70194619E8</v>
      </c>
      <c r="B126" s="185" t="s">
        <v>717</v>
      </c>
      <c r="C126" s="186">
        <v>2.672008E7</v>
      </c>
      <c r="D126" s="186">
        <v>4.5532799E7</v>
      </c>
      <c r="E126" s="186">
        <v>951007.0</v>
      </c>
      <c r="F126" s="186">
        <v>578345.0</v>
      </c>
      <c r="G126" s="186">
        <v>226321.0</v>
      </c>
      <c r="H126" s="186">
        <v>44502.0</v>
      </c>
      <c r="I126" s="186">
        <v>2341784.0</v>
      </c>
      <c r="J126" s="186">
        <v>1068432.0</v>
      </c>
      <c r="K126" s="186">
        <v>4259384.0</v>
      </c>
      <c r="L126" s="186">
        <v>2.58622454E8</v>
      </c>
      <c r="M126" s="181"/>
      <c r="N126" s="181"/>
      <c r="O126" s="181"/>
      <c r="P126" s="181"/>
      <c r="Q126" s="181"/>
      <c r="R126" s="181"/>
      <c r="S126" s="182"/>
      <c r="T126" s="182"/>
      <c r="U126" s="182"/>
      <c r="V126" s="182"/>
      <c r="W126" s="183"/>
      <c r="X126" s="183"/>
      <c r="Y126" s="183"/>
      <c r="Z126" s="183"/>
    </row>
    <row r="127" ht="15.75" customHeight="1">
      <c r="A127" s="184">
        <v>1.65638487E8</v>
      </c>
      <c r="B127" s="185" t="s">
        <v>718</v>
      </c>
      <c r="C127" s="186">
        <v>2.6599085E7</v>
      </c>
      <c r="D127" s="186">
        <v>1.5539234E7</v>
      </c>
      <c r="E127" s="186">
        <v>1813044.0</v>
      </c>
      <c r="F127" s="186">
        <v>1015704.0</v>
      </c>
      <c r="G127" s="186">
        <v>954564.0</v>
      </c>
      <c r="H127" s="186">
        <v>802699.0</v>
      </c>
      <c r="I127" s="186">
        <v>698731.0</v>
      </c>
      <c r="J127" s="186">
        <v>161443.0</v>
      </c>
      <c r="K127" s="186">
        <v>3633141.0</v>
      </c>
      <c r="L127" s="186">
        <v>9766688.0</v>
      </c>
      <c r="M127" s="181"/>
      <c r="N127" s="181"/>
      <c r="O127" s="181"/>
      <c r="P127" s="181"/>
      <c r="Q127" s="181"/>
      <c r="R127" s="181"/>
      <c r="S127" s="182"/>
      <c r="T127" s="182"/>
      <c r="U127" s="182"/>
      <c r="V127" s="182"/>
      <c r="W127" s="183"/>
      <c r="X127" s="183"/>
      <c r="Y127" s="183"/>
      <c r="Z127" s="183"/>
    </row>
    <row r="128" ht="15.75" customHeight="1">
      <c r="A128" s="184">
        <v>1.69177798E8</v>
      </c>
      <c r="B128" s="185" t="s">
        <v>719</v>
      </c>
      <c r="C128" s="186">
        <v>2.6594705E7</v>
      </c>
      <c r="D128" s="186">
        <v>3.3352433E7</v>
      </c>
      <c r="E128" s="186">
        <v>351799.0</v>
      </c>
      <c r="F128" s="186">
        <v>1605195.0</v>
      </c>
      <c r="G128" s="186">
        <v>644906.0</v>
      </c>
      <c r="H128" s="186">
        <v>341198.0</v>
      </c>
      <c r="I128" s="186">
        <v>2276999.0</v>
      </c>
      <c r="J128" s="186">
        <v>380340.0</v>
      </c>
      <c r="K128" s="186">
        <v>5248638.0</v>
      </c>
      <c r="L128" s="186">
        <v>1.3414E9</v>
      </c>
      <c r="M128" s="181"/>
      <c r="N128" s="181"/>
      <c r="O128" s="181"/>
      <c r="P128" s="181"/>
      <c r="Q128" s="181"/>
      <c r="R128" s="181"/>
      <c r="S128" s="182"/>
      <c r="T128" s="182"/>
      <c r="U128" s="182"/>
      <c r="V128" s="182"/>
      <c r="W128" s="183"/>
      <c r="X128" s="183"/>
      <c r="Y128" s="183"/>
      <c r="Z128" s="183"/>
    </row>
    <row r="129" ht="15.75" customHeight="1">
      <c r="A129" s="184">
        <v>1.65678226E8</v>
      </c>
      <c r="B129" s="185" t="s">
        <v>720</v>
      </c>
      <c r="C129" s="186">
        <v>2.6572763E7</v>
      </c>
      <c r="D129" s="186">
        <v>1.7008723E7</v>
      </c>
      <c r="E129" s="186">
        <v>556495.0</v>
      </c>
      <c r="F129" s="186">
        <v>686739.0</v>
      </c>
      <c r="G129" s="186">
        <v>375456.0</v>
      </c>
      <c r="H129" s="186">
        <v>625791.0</v>
      </c>
      <c r="I129" s="186">
        <v>1267700.0</v>
      </c>
      <c r="J129" s="186">
        <v>47015.0</v>
      </c>
      <c r="K129" s="186">
        <v>3002701.0</v>
      </c>
      <c r="L129" s="186">
        <v>2.03395396E8</v>
      </c>
      <c r="M129" s="181"/>
      <c r="N129" s="181"/>
      <c r="O129" s="181"/>
      <c r="P129" s="181"/>
      <c r="Q129" s="181"/>
      <c r="R129" s="181"/>
      <c r="S129" s="182"/>
      <c r="T129" s="182"/>
      <c r="U129" s="182"/>
      <c r="V129" s="182"/>
      <c r="W129" s="183"/>
      <c r="X129" s="183"/>
      <c r="Y129" s="183"/>
      <c r="Z129" s="183"/>
    </row>
    <row r="130" ht="15.75" customHeight="1">
      <c r="A130" s="184">
        <v>1.69516762E8</v>
      </c>
      <c r="B130" s="185" t="s">
        <v>721</v>
      </c>
      <c r="C130" s="186">
        <v>2.6554235E7</v>
      </c>
      <c r="D130" s="186">
        <v>1.4062994E7</v>
      </c>
      <c r="E130" s="186">
        <v>487865.0</v>
      </c>
      <c r="F130" s="186">
        <v>1393592.0</v>
      </c>
      <c r="G130" s="186">
        <v>1205390.0</v>
      </c>
      <c r="H130" s="186">
        <v>443109.0</v>
      </c>
      <c r="I130" s="186">
        <v>811244.0</v>
      </c>
      <c r="J130" s="186">
        <v>74431.0</v>
      </c>
      <c r="K130" s="186">
        <v>3927766.0</v>
      </c>
      <c r="L130" s="186">
        <v>1.05239482E8</v>
      </c>
      <c r="M130" s="181"/>
      <c r="N130" s="181"/>
      <c r="O130" s="181"/>
      <c r="P130" s="181"/>
      <c r="Q130" s="181"/>
      <c r="R130" s="181"/>
      <c r="S130" s="182"/>
      <c r="T130" s="182"/>
      <c r="U130" s="182"/>
      <c r="V130" s="182"/>
      <c r="W130" s="183"/>
      <c r="X130" s="183"/>
      <c r="Y130" s="183"/>
      <c r="Z130" s="183"/>
    </row>
    <row r="131" ht="15.75" customHeight="1">
      <c r="A131" s="184">
        <v>1.69399312E8</v>
      </c>
      <c r="B131" s="185" t="s">
        <v>722</v>
      </c>
      <c r="C131" s="186">
        <v>2.6421154E7</v>
      </c>
      <c r="D131" s="186">
        <v>1.0165512E7</v>
      </c>
      <c r="E131" s="186">
        <v>374150.0</v>
      </c>
      <c r="F131" s="186">
        <v>160963.0</v>
      </c>
      <c r="G131" s="186">
        <v>181227.0</v>
      </c>
      <c r="H131" s="186">
        <v>171914.0</v>
      </c>
      <c r="I131" s="186">
        <v>611445.0</v>
      </c>
      <c r="J131" s="186">
        <v>148438.0</v>
      </c>
      <c r="K131" s="186">
        <v>1273987.0</v>
      </c>
      <c r="L131" s="186">
        <v>9.605E7</v>
      </c>
      <c r="M131" s="181"/>
      <c r="N131" s="181"/>
      <c r="O131" s="181"/>
      <c r="P131" s="181"/>
      <c r="Q131" s="181"/>
      <c r="R131" s="181"/>
      <c r="S131" s="182"/>
      <c r="T131" s="182"/>
      <c r="U131" s="182"/>
      <c r="V131" s="182"/>
      <c r="W131" s="183"/>
      <c r="X131" s="183"/>
      <c r="Y131" s="183"/>
      <c r="Z131" s="183"/>
    </row>
    <row r="132" ht="15.75" customHeight="1">
      <c r="A132" s="184">
        <v>1.68987732E8</v>
      </c>
      <c r="B132" s="185" t="s">
        <v>723</v>
      </c>
      <c r="C132" s="186">
        <v>2.6402513E7</v>
      </c>
      <c r="D132" s="186">
        <v>1.051722E7</v>
      </c>
      <c r="E132" s="186">
        <v>400401.0</v>
      </c>
      <c r="F132" s="186">
        <v>1238410.0</v>
      </c>
      <c r="G132" s="186">
        <v>319697.0</v>
      </c>
      <c r="H132" s="186">
        <v>102306.0</v>
      </c>
      <c r="I132" s="186">
        <v>809966.0</v>
      </c>
      <c r="J132" s="186">
        <v>56063.0</v>
      </c>
      <c r="K132" s="186">
        <v>2526442.0</v>
      </c>
      <c r="L132" s="186">
        <v>1.329777099E9</v>
      </c>
      <c r="M132" s="181"/>
      <c r="N132" s="181"/>
      <c r="O132" s="181"/>
      <c r="P132" s="181"/>
      <c r="Q132" s="181"/>
      <c r="R132" s="181"/>
      <c r="S132" s="182"/>
      <c r="T132" s="182"/>
      <c r="U132" s="182"/>
      <c r="V132" s="182"/>
      <c r="W132" s="183"/>
      <c r="X132" s="183"/>
      <c r="Y132" s="183"/>
      <c r="Z132" s="183"/>
    </row>
    <row r="133" ht="15.75" customHeight="1">
      <c r="A133" s="184">
        <v>1.66984261E8</v>
      </c>
      <c r="B133" s="185" t="s">
        <v>724</v>
      </c>
      <c r="C133" s="186">
        <v>2.6368802E7</v>
      </c>
      <c r="D133" s="186">
        <v>4.4636178E7</v>
      </c>
      <c r="E133" s="186">
        <v>2459389.0</v>
      </c>
      <c r="F133" s="186">
        <v>1804874.0</v>
      </c>
      <c r="G133" s="186">
        <v>625198.0</v>
      </c>
      <c r="H133" s="186">
        <v>873902.0</v>
      </c>
      <c r="I133" s="186">
        <v>3366170.0</v>
      </c>
      <c r="J133" s="186">
        <v>293375.0</v>
      </c>
      <c r="K133" s="186">
        <v>6963519.0</v>
      </c>
      <c r="L133" s="186">
        <v>1.9121839E7</v>
      </c>
      <c r="M133" s="181"/>
      <c r="N133" s="181"/>
      <c r="O133" s="181"/>
      <c r="P133" s="181"/>
      <c r="Q133" s="181"/>
      <c r="R133" s="181"/>
      <c r="S133" s="182"/>
      <c r="T133" s="182"/>
      <c r="U133" s="182"/>
      <c r="V133" s="182"/>
      <c r="W133" s="183"/>
      <c r="X133" s="183"/>
      <c r="Y133" s="183"/>
      <c r="Z133" s="183"/>
    </row>
    <row r="134" ht="15.75" customHeight="1">
      <c r="A134" s="184">
        <v>7.2089922E7</v>
      </c>
      <c r="B134" s="185" t="s">
        <v>725</v>
      </c>
      <c r="C134" s="186">
        <v>2.6285974E7</v>
      </c>
      <c r="D134" s="186">
        <v>1.3690035E7</v>
      </c>
      <c r="E134" s="186">
        <v>821974.0</v>
      </c>
      <c r="F134" s="186">
        <v>570276.0</v>
      </c>
      <c r="G134" s="186">
        <v>1082850.0</v>
      </c>
      <c r="H134" s="186">
        <v>541280.0</v>
      </c>
      <c r="I134" s="186">
        <v>715654.0</v>
      </c>
      <c r="J134" s="186">
        <v>104431.0</v>
      </c>
      <c r="K134" s="186">
        <v>3014491.0</v>
      </c>
      <c r="L134" s="186">
        <v>2.0977667E8</v>
      </c>
      <c r="M134" s="181"/>
      <c r="N134" s="181"/>
      <c r="O134" s="181"/>
      <c r="P134" s="181"/>
      <c r="Q134" s="181"/>
      <c r="R134" s="181"/>
      <c r="S134" s="182"/>
      <c r="T134" s="182"/>
      <c r="U134" s="182"/>
      <c r="V134" s="182"/>
      <c r="W134" s="183"/>
      <c r="X134" s="183"/>
      <c r="Y134" s="183"/>
      <c r="Z134" s="183"/>
    </row>
    <row r="135" ht="15.75" customHeight="1">
      <c r="A135" s="184">
        <v>1.69579073E8</v>
      </c>
      <c r="B135" s="185" t="s">
        <v>726</v>
      </c>
      <c r="C135" s="186">
        <v>2.6206988E7</v>
      </c>
      <c r="D135" s="186">
        <v>5681961.0</v>
      </c>
      <c r="E135" s="186">
        <v>610100.0</v>
      </c>
      <c r="F135" s="186">
        <v>96976.0</v>
      </c>
      <c r="G135" s="186">
        <v>310595.0</v>
      </c>
      <c r="H135" s="186">
        <v>137609.0</v>
      </c>
      <c r="I135" s="186">
        <v>350750.0</v>
      </c>
      <c r="J135" s="186">
        <v>49172.0</v>
      </c>
      <c r="K135" s="186">
        <v>945102.0</v>
      </c>
      <c r="L135" s="186">
        <v>1.27089861E8</v>
      </c>
      <c r="M135" s="181"/>
      <c r="N135" s="181"/>
      <c r="O135" s="181"/>
      <c r="P135" s="181"/>
      <c r="Q135" s="181"/>
      <c r="R135" s="181"/>
      <c r="S135" s="182"/>
      <c r="T135" s="182"/>
      <c r="U135" s="182"/>
      <c r="V135" s="182"/>
      <c r="W135" s="183"/>
      <c r="X135" s="183"/>
      <c r="Y135" s="183"/>
      <c r="Z135" s="183"/>
    </row>
    <row r="136" ht="15.75" customHeight="1">
      <c r="A136" s="184">
        <v>1.69486584E8</v>
      </c>
      <c r="B136" s="185" t="s">
        <v>727</v>
      </c>
      <c r="C136" s="186">
        <v>2.617467E7</v>
      </c>
      <c r="D136" s="186">
        <v>1.679755E7</v>
      </c>
      <c r="E136" s="186">
        <v>1121359.0</v>
      </c>
      <c r="F136" s="186">
        <v>227144.0</v>
      </c>
      <c r="G136" s="186">
        <v>357746.0</v>
      </c>
      <c r="H136" s="186">
        <v>316315.0</v>
      </c>
      <c r="I136" s="186">
        <v>916303.0</v>
      </c>
      <c r="J136" s="186">
        <v>280417.0</v>
      </c>
      <c r="K136" s="186">
        <v>2097925.0</v>
      </c>
      <c r="L136" s="186">
        <v>3.43245061E8</v>
      </c>
      <c r="M136" s="181"/>
      <c r="N136" s="181"/>
      <c r="O136" s="181"/>
      <c r="P136" s="181"/>
      <c r="Q136" s="181"/>
      <c r="R136" s="181"/>
      <c r="S136" s="182"/>
      <c r="T136" s="182"/>
      <c r="U136" s="182"/>
      <c r="V136" s="182"/>
      <c r="W136" s="183"/>
      <c r="X136" s="183"/>
      <c r="Y136" s="183"/>
      <c r="Z136" s="183"/>
    </row>
    <row r="137" ht="15.75" customHeight="1">
      <c r="A137" s="184">
        <v>1.69590714E8</v>
      </c>
      <c r="B137" s="185" t="s">
        <v>728</v>
      </c>
      <c r="C137" s="186">
        <v>2.5850436E7</v>
      </c>
      <c r="D137" s="186">
        <v>4.5986282E7</v>
      </c>
      <c r="E137" s="186">
        <v>1638076.0</v>
      </c>
      <c r="F137" s="186">
        <v>382741.0</v>
      </c>
      <c r="G137" s="186">
        <v>402585.0</v>
      </c>
      <c r="H137" s="186">
        <v>899131.0</v>
      </c>
      <c r="I137" s="186">
        <v>3970530.0</v>
      </c>
      <c r="J137" s="186">
        <v>90137.0</v>
      </c>
      <c r="K137" s="186">
        <v>5745124.0</v>
      </c>
      <c r="L137" s="186">
        <v>1.71991603E8</v>
      </c>
      <c r="M137" s="181"/>
      <c r="N137" s="181"/>
      <c r="O137" s="181"/>
      <c r="P137" s="181"/>
      <c r="Q137" s="181"/>
      <c r="R137" s="181"/>
      <c r="S137" s="182"/>
      <c r="T137" s="182"/>
      <c r="U137" s="182"/>
      <c r="V137" s="182"/>
      <c r="W137" s="183"/>
      <c r="X137" s="183"/>
      <c r="Y137" s="183"/>
      <c r="Z137" s="183"/>
    </row>
    <row r="138" ht="15.75" customHeight="1">
      <c r="A138" s="184">
        <v>1.65503276E8</v>
      </c>
      <c r="B138" s="185" t="s">
        <v>729</v>
      </c>
      <c r="C138" s="186">
        <v>2.5729629E7</v>
      </c>
      <c r="D138" s="186">
        <v>1.12899583E8</v>
      </c>
      <c r="E138" s="186">
        <v>2041599.0</v>
      </c>
      <c r="F138" s="186">
        <v>511228.0</v>
      </c>
      <c r="G138" s="186">
        <v>575548.0</v>
      </c>
      <c r="H138" s="186">
        <v>692223.0</v>
      </c>
      <c r="I138" s="186">
        <v>7996437.0</v>
      </c>
      <c r="J138" s="186">
        <v>1445649.0</v>
      </c>
      <c r="K138" s="186">
        <v>1.1221085E7</v>
      </c>
      <c r="L138" s="186">
        <v>2.0409378E8</v>
      </c>
      <c r="M138" s="181"/>
      <c r="N138" s="181"/>
      <c r="O138" s="181"/>
      <c r="P138" s="181"/>
      <c r="Q138" s="181"/>
      <c r="R138" s="181"/>
      <c r="S138" s="182"/>
      <c r="T138" s="182"/>
      <c r="U138" s="182"/>
      <c r="V138" s="182"/>
      <c r="W138" s="183"/>
      <c r="X138" s="183"/>
      <c r="Y138" s="183"/>
      <c r="Z138" s="183"/>
    </row>
    <row r="139" ht="15.75" customHeight="1">
      <c r="A139" s="184">
        <v>1.69515649E8</v>
      </c>
      <c r="B139" s="185" t="s">
        <v>730</v>
      </c>
      <c r="C139" s="186">
        <v>2.5610544E7</v>
      </c>
      <c r="D139" s="186">
        <v>2563776.0</v>
      </c>
      <c r="E139" s="186">
        <v>68793.0</v>
      </c>
      <c r="F139" s="186">
        <v>33331.0</v>
      </c>
      <c r="G139" s="186">
        <v>87778.0</v>
      </c>
      <c r="H139" s="186">
        <v>29606.0</v>
      </c>
      <c r="I139" s="186">
        <v>161257.0</v>
      </c>
      <c r="J139" s="186">
        <v>32528.0</v>
      </c>
      <c r="K139" s="186">
        <v>344500.0</v>
      </c>
      <c r="L139" s="186">
        <v>1.23833403E8</v>
      </c>
      <c r="M139" s="181"/>
      <c r="N139" s="181"/>
      <c r="O139" s="181"/>
      <c r="P139" s="181"/>
      <c r="Q139" s="181"/>
      <c r="R139" s="181"/>
      <c r="S139" s="182"/>
      <c r="T139" s="182"/>
      <c r="U139" s="182"/>
      <c r="V139" s="182"/>
      <c r="W139" s="183"/>
      <c r="X139" s="183"/>
      <c r="Y139" s="183"/>
      <c r="Z139" s="183"/>
    </row>
    <row r="140" ht="15.75" customHeight="1">
      <c r="A140" s="184">
        <v>1.69490134E8</v>
      </c>
      <c r="B140" s="185" t="s">
        <v>731</v>
      </c>
      <c r="C140" s="186">
        <v>2.5375655E7</v>
      </c>
      <c r="D140" s="186">
        <v>1.7892953E7</v>
      </c>
      <c r="E140" s="186">
        <v>1225427.0</v>
      </c>
      <c r="F140" s="186">
        <v>805947.0</v>
      </c>
      <c r="G140" s="186">
        <v>1187041.0</v>
      </c>
      <c r="H140" s="186">
        <v>362878.0</v>
      </c>
      <c r="I140" s="186">
        <v>1339667.0</v>
      </c>
      <c r="J140" s="186">
        <v>25475.0</v>
      </c>
      <c r="K140" s="186">
        <v>3721008.0</v>
      </c>
      <c r="L140" s="186">
        <v>6.37503325E8</v>
      </c>
      <c r="M140" s="181"/>
      <c r="N140" s="181"/>
      <c r="O140" s="181"/>
      <c r="P140" s="181"/>
      <c r="Q140" s="181"/>
      <c r="R140" s="181"/>
      <c r="S140" s="182"/>
      <c r="T140" s="182"/>
      <c r="U140" s="182"/>
      <c r="V140" s="182"/>
      <c r="W140" s="183"/>
      <c r="X140" s="183"/>
      <c r="Y140" s="183"/>
      <c r="Z140" s="183"/>
    </row>
    <row r="141" ht="15.75" customHeight="1">
      <c r="A141" s="184">
        <v>1.69527964E8</v>
      </c>
      <c r="B141" s="185" t="s">
        <v>732</v>
      </c>
      <c r="C141" s="186">
        <v>2.5357902E7</v>
      </c>
      <c r="D141" s="186">
        <v>2.1405146E7</v>
      </c>
      <c r="E141" s="186">
        <v>1139324.0</v>
      </c>
      <c r="F141" s="186">
        <v>2313261.0</v>
      </c>
      <c r="G141" s="186">
        <v>1064545.0</v>
      </c>
      <c r="H141" s="186">
        <v>199091.0</v>
      </c>
      <c r="I141" s="186">
        <v>1470372.0</v>
      </c>
      <c r="J141" s="186">
        <v>165666.0</v>
      </c>
      <c r="K141" s="186">
        <v>5212935.0</v>
      </c>
      <c r="L141" s="186">
        <v>1.03533471E8</v>
      </c>
      <c r="M141" s="181"/>
      <c r="N141" s="181"/>
      <c r="O141" s="181"/>
      <c r="P141" s="181"/>
      <c r="Q141" s="181"/>
      <c r="R141" s="181"/>
      <c r="S141" s="182"/>
      <c r="T141" s="182"/>
      <c r="U141" s="182"/>
      <c r="V141" s="182"/>
      <c r="W141" s="183"/>
      <c r="X141" s="183"/>
      <c r="Y141" s="183"/>
      <c r="Z141" s="183"/>
    </row>
    <row r="142" ht="15.75" customHeight="1">
      <c r="A142" s="184">
        <v>1.69885375E8</v>
      </c>
      <c r="B142" s="185" t="s">
        <v>733</v>
      </c>
      <c r="C142" s="186">
        <v>2.5271663E7</v>
      </c>
      <c r="D142" s="186">
        <v>2015030.0</v>
      </c>
      <c r="E142" s="186">
        <v>843929.0</v>
      </c>
      <c r="F142" s="186">
        <v>28052.0</v>
      </c>
      <c r="G142" s="186">
        <v>153476.0</v>
      </c>
      <c r="H142" s="186">
        <v>70367.0</v>
      </c>
      <c r="I142" s="186">
        <v>48202.0</v>
      </c>
      <c r="J142" s="186">
        <v>46949.0</v>
      </c>
      <c r="K142" s="186">
        <v>347046.0</v>
      </c>
      <c r="L142" s="186">
        <v>1.5655122E7</v>
      </c>
      <c r="M142" s="181"/>
      <c r="N142" s="181"/>
      <c r="O142" s="181"/>
      <c r="P142" s="181"/>
      <c r="Q142" s="181"/>
      <c r="R142" s="181"/>
      <c r="S142" s="182"/>
      <c r="T142" s="182"/>
      <c r="U142" s="182"/>
      <c r="V142" s="182"/>
      <c r="W142" s="183"/>
      <c r="X142" s="183"/>
      <c r="Y142" s="183"/>
      <c r="Z142" s="183"/>
    </row>
    <row r="143" ht="15.75" customHeight="1">
      <c r="A143" s="184">
        <v>1.69499028E8</v>
      </c>
      <c r="B143" s="185" t="s">
        <v>734</v>
      </c>
      <c r="C143" s="186">
        <v>2.5260983E7</v>
      </c>
      <c r="D143" s="186">
        <v>4315263.0</v>
      </c>
      <c r="E143" s="186">
        <v>336757.0</v>
      </c>
      <c r="F143" s="186">
        <v>483755.0</v>
      </c>
      <c r="G143" s="186">
        <v>545770.0</v>
      </c>
      <c r="H143" s="186">
        <v>37728.0</v>
      </c>
      <c r="I143" s="186">
        <v>247240.0</v>
      </c>
      <c r="J143" s="186">
        <v>25183.0</v>
      </c>
      <c r="K143" s="186">
        <v>1339676.0</v>
      </c>
      <c r="L143" s="186">
        <v>3.2223205E7</v>
      </c>
      <c r="M143" s="181"/>
      <c r="N143" s="181"/>
      <c r="O143" s="181"/>
      <c r="P143" s="181"/>
      <c r="Q143" s="181"/>
      <c r="R143" s="181"/>
      <c r="S143" s="182"/>
      <c r="T143" s="182"/>
      <c r="U143" s="182"/>
      <c r="V143" s="182"/>
      <c r="W143" s="183"/>
      <c r="X143" s="183"/>
      <c r="Y143" s="183"/>
      <c r="Z143" s="183"/>
    </row>
    <row r="144" ht="15.75" customHeight="1">
      <c r="A144" s="184">
        <v>1.69587744E8</v>
      </c>
      <c r="B144" s="185" t="s">
        <v>735</v>
      </c>
      <c r="C144" s="186">
        <v>2.5239844E7</v>
      </c>
      <c r="D144" s="186">
        <v>2.9444784E7</v>
      </c>
      <c r="E144" s="186">
        <v>942821.0</v>
      </c>
      <c r="F144" s="186">
        <v>1107592.0</v>
      </c>
      <c r="G144" s="186">
        <v>915961.0</v>
      </c>
      <c r="H144" s="186">
        <v>335291.0</v>
      </c>
      <c r="I144" s="186">
        <v>1950726.0</v>
      </c>
      <c r="J144" s="186">
        <v>327146.0</v>
      </c>
      <c r="K144" s="186">
        <v>4636716.0</v>
      </c>
      <c r="L144" s="186">
        <v>1.23745507E8</v>
      </c>
      <c r="M144" s="181"/>
      <c r="N144" s="181"/>
      <c r="O144" s="181"/>
      <c r="P144" s="181"/>
      <c r="Q144" s="181"/>
      <c r="R144" s="181"/>
      <c r="S144" s="182"/>
      <c r="T144" s="182"/>
      <c r="U144" s="182"/>
      <c r="V144" s="182"/>
      <c r="W144" s="183"/>
      <c r="X144" s="183"/>
      <c r="Y144" s="183"/>
      <c r="Z144" s="183"/>
    </row>
    <row r="145" ht="15.75" customHeight="1">
      <c r="A145" s="184">
        <v>1.16902891E8</v>
      </c>
      <c r="B145" s="185" t="s">
        <v>736</v>
      </c>
      <c r="C145" s="186">
        <v>2.5226363E7</v>
      </c>
      <c r="D145" s="186">
        <v>5.012316E7</v>
      </c>
      <c r="E145" s="186">
        <v>2953349.0</v>
      </c>
      <c r="F145" s="186">
        <v>352113.0</v>
      </c>
      <c r="G145" s="186">
        <v>1427453.0</v>
      </c>
      <c r="H145" s="186">
        <v>739113.0</v>
      </c>
      <c r="I145" s="186">
        <v>3461582.0</v>
      </c>
      <c r="J145" s="186">
        <v>481278.0</v>
      </c>
      <c r="K145" s="186">
        <v>6461539.0</v>
      </c>
      <c r="L145" s="186">
        <v>4.8073756E7</v>
      </c>
      <c r="M145" s="181"/>
      <c r="N145" s="181"/>
      <c r="O145" s="181"/>
      <c r="P145" s="181"/>
      <c r="Q145" s="181"/>
      <c r="R145" s="181"/>
      <c r="S145" s="182"/>
      <c r="T145" s="182"/>
      <c r="U145" s="182"/>
      <c r="V145" s="182"/>
      <c r="W145" s="183"/>
      <c r="X145" s="183"/>
      <c r="Y145" s="183"/>
      <c r="Z145" s="183"/>
    </row>
    <row r="146" ht="15.75" customHeight="1">
      <c r="A146" s="184">
        <v>1.71871995E8</v>
      </c>
      <c r="B146" s="185" t="s">
        <v>737</v>
      </c>
      <c r="C146" s="186">
        <v>2.5050256E7</v>
      </c>
      <c r="D146" s="186">
        <v>4111049.0</v>
      </c>
      <c r="E146" s="186">
        <v>418266.0</v>
      </c>
      <c r="F146" s="186">
        <v>1916.0</v>
      </c>
      <c r="G146" s="186">
        <v>658.0</v>
      </c>
      <c r="H146" s="186">
        <v>76090.0</v>
      </c>
      <c r="I146" s="186">
        <v>141939.0</v>
      </c>
      <c r="J146" s="186">
        <v>119280.0</v>
      </c>
      <c r="K146" s="186">
        <v>339883.0</v>
      </c>
      <c r="L146" s="186">
        <v>6.845340792E9</v>
      </c>
      <c r="M146" s="181"/>
      <c r="N146" s="181"/>
      <c r="O146" s="181"/>
      <c r="P146" s="181"/>
      <c r="Q146" s="181"/>
      <c r="R146" s="181"/>
      <c r="S146" s="182"/>
      <c r="T146" s="182"/>
      <c r="U146" s="182"/>
      <c r="V146" s="182"/>
      <c r="W146" s="183"/>
      <c r="X146" s="183"/>
      <c r="Y146" s="183"/>
      <c r="Z146" s="183"/>
    </row>
    <row r="147" ht="15.75" customHeight="1">
      <c r="A147" s="184">
        <v>1.68994793E8</v>
      </c>
      <c r="B147" s="185" t="s">
        <v>738</v>
      </c>
      <c r="C147" s="186">
        <v>2.4946653E7</v>
      </c>
      <c r="D147" s="186">
        <v>3.2637556E7</v>
      </c>
      <c r="E147" s="186">
        <v>1330866.0</v>
      </c>
      <c r="F147" s="186">
        <v>1111651.0</v>
      </c>
      <c r="G147" s="186">
        <v>1522708.0</v>
      </c>
      <c r="H147" s="186">
        <v>956805.0</v>
      </c>
      <c r="I147" s="186">
        <v>2433425.0</v>
      </c>
      <c r="J147" s="186">
        <v>60417.0</v>
      </c>
      <c r="K147" s="186">
        <v>6085006.0</v>
      </c>
      <c r="L147" s="186">
        <v>6.47349444E8</v>
      </c>
      <c r="M147" s="181"/>
      <c r="N147" s="181"/>
      <c r="O147" s="181"/>
      <c r="P147" s="181"/>
      <c r="Q147" s="181"/>
      <c r="R147" s="181"/>
      <c r="S147" s="182"/>
      <c r="T147" s="182"/>
      <c r="U147" s="182"/>
      <c r="V147" s="182"/>
      <c r="W147" s="183"/>
      <c r="X147" s="183"/>
      <c r="Y147" s="183"/>
      <c r="Z147" s="183"/>
    </row>
    <row r="148" ht="15.75" customHeight="1">
      <c r="A148" s="184">
        <v>1.69101318E8</v>
      </c>
      <c r="B148" s="185" t="s">
        <v>739</v>
      </c>
      <c r="C148" s="186">
        <v>2.4925659E7</v>
      </c>
      <c r="D148" s="186">
        <v>6.0255258E7</v>
      </c>
      <c r="E148" s="186">
        <v>1320380.0</v>
      </c>
      <c r="F148" s="186">
        <v>590622.0</v>
      </c>
      <c r="G148" s="186">
        <v>498319.0</v>
      </c>
      <c r="H148" s="186">
        <v>391639.0</v>
      </c>
      <c r="I148" s="186">
        <v>4007806.0</v>
      </c>
      <c r="J148" s="186">
        <v>874794.0</v>
      </c>
      <c r="K148" s="186">
        <v>6363180.0</v>
      </c>
      <c r="L148" s="186">
        <v>5.63815171E8</v>
      </c>
      <c r="M148" s="181"/>
      <c r="N148" s="181"/>
      <c r="O148" s="181"/>
      <c r="P148" s="181"/>
      <c r="Q148" s="181"/>
      <c r="R148" s="181"/>
      <c r="S148" s="182"/>
      <c r="T148" s="182"/>
      <c r="U148" s="182"/>
      <c r="V148" s="182"/>
      <c r="W148" s="183"/>
      <c r="X148" s="183"/>
      <c r="Y148" s="183"/>
      <c r="Z148" s="183"/>
    </row>
    <row r="149" ht="15.75" customHeight="1">
      <c r="A149" s="184">
        <v>1.65071471E8</v>
      </c>
      <c r="B149" s="185" t="s">
        <v>740</v>
      </c>
      <c r="C149" s="186">
        <v>2.4673008E7</v>
      </c>
      <c r="D149" s="186">
        <v>3.7934479E7</v>
      </c>
      <c r="E149" s="186">
        <v>2186726.0</v>
      </c>
      <c r="F149" s="186">
        <v>7393006.0</v>
      </c>
      <c r="G149" s="186">
        <v>2391478.0</v>
      </c>
      <c r="H149" s="186">
        <v>931658.0</v>
      </c>
      <c r="I149" s="186">
        <v>2359953.0</v>
      </c>
      <c r="J149" s="186">
        <v>217338.0</v>
      </c>
      <c r="K149" s="186">
        <v>1.3293433E7</v>
      </c>
      <c r="L149" s="186">
        <v>3.21423093E8</v>
      </c>
      <c r="M149" s="181"/>
      <c r="N149" s="181"/>
      <c r="O149" s="181"/>
      <c r="P149" s="181"/>
      <c r="Q149" s="181"/>
      <c r="R149" s="181"/>
      <c r="S149" s="182"/>
      <c r="T149" s="182"/>
      <c r="U149" s="182"/>
      <c r="V149" s="182"/>
      <c r="W149" s="183"/>
      <c r="X149" s="183"/>
      <c r="Y149" s="183"/>
      <c r="Z149" s="183"/>
    </row>
    <row r="150" ht="15.75" customHeight="1">
      <c r="A150" s="184">
        <v>1.69639827E8</v>
      </c>
      <c r="B150" s="185" t="s">
        <v>741</v>
      </c>
      <c r="C150" s="186">
        <v>2.4652683E7</v>
      </c>
      <c r="D150" s="186">
        <v>2.6808195E7</v>
      </c>
      <c r="E150" s="186">
        <v>437535.0</v>
      </c>
      <c r="F150" s="186">
        <v>251045.0</v>
      </c>
      <c r="G150" s="186">
        <v>264721.0</v>
      </c>
      <c r="H150" s="186">
        <v>1583541.0</v>
      </c>
      <c r="I150" s="186">
        <v>1824384.0</v>
      </c>
      <c r="J150" s="186">
        <v>82527.0</v>
      </c>
      <c r="K150" s="186">
        <v>4006218.0</v>
      </c>
      <c r="L150" s="186">
        <v>1.60221544E8</v>
      </c>
      <c r="M150" s="181"/>
      <c r="N150" s="181"/>
      <c r="O150" s="181"/>
      <c r="P150" s="181"/>
      <c r="Q150" s="181"/>
      <c r="R150" s="181"/>
      <c r="S150" s="182"/>
      <c r="T150" s="182"/>
      <c r="U150" s="182"/>
      <c r="V150" s="182"/>
      <c r="W150" s="183"/>
      <c r="X150" s="183"/>
      <c r="Y150" s="183"/>
      <c r="Z150" s="183"/>
    </row>
    <row r="151" ht="15.75" customHeight="1">
      <c r="A151" s="184">
        <v>1.69525088E8</v>
      </c>
      <c r="B151" s="185" t="s">
        <v>742</v>
      </c>
      <c r="C151" s="186">
        <v>2.4467183E7</v>
      </c>
      <c r="D151" s="186">
        <v>1153588.0</v>
      </c>
      <c r="E151" s="186">
        <v>5961.0</v>
      </c>
      <c r="F151" s="186">
        <v>36704.0</v>
      </c>
      <c r="G151" s="186">
        <v>55257.0</v>
      </c>
      <c r="H151" s="186">
        <v>24581.0</v>
      </c>
      <c r="I151" s="186">
        <v>67839.0</v>
      </c>
      <c r="J151" s="186">
        <v>12951.0</v>
      </c>
      <c r="K151" s="186">
        <v>197332.0</v>
      </c>
      <c r="L151" s="186">
        <v>1.56165406E8</v>
      </c>
      <c r="M151" s="181"/>
      <c r="N151" s="181"/>
      <c r="O151" s="181"/>
      <c r="P151" s="181"/>
      <c r="Q151" s="181"/>
      <c r="R151" s="181"/>
      <c r="S151" s="182"/>
      <c r="T151" s="182"/>
      <c r="U151" s="182"/>
      <c r="V151" s="182"/>
      <c r="W151" s="183"/>
      <c r="X151" s="183"/>
      <c r="Y151" s="183"/>
      <c r="Z151" s="183"/>
    </row>
    <row r="152" ht="15.75" customHeight="1">
      <c r="A152" s="184">
        <v>1.69522142E8</v>
      </c>
      <c r="B152" s="185" t="s">
        <v>743</v>
      </c>
      <c r="C152" s="186">
        <v>2.4402454E7</v>
      </c>
      <c r="D152" s="186">
        <v>4689815.0</v>
      </c>
      <c r="E152" s="186">
        <v>419546.0</v>
      </c>
      <c r="F152" s="186">
        <v>15999.0</v>
      </c>
      <c r="G152" s="186">
        <v>58373.0</v>
      </c>
      <c r="H152" s="186">
        <v>60810.0</v>
      </c>
      <c r="I152" s="186">
        <v>294611.0</v>
      </c>
      <c r="J152" s="186">
        <v>69026.0</v>
      </c>
      <c r="K152" s="186">
        <v>498819.0</v>
      </c>
      <c r="L152" s="186">
        <v>6.18941409E8</v>
      </c>
      <c r="M152" s="181"/>
      <c r="N152" s="181"/>
      <c r="O152" s="181"/>
      <c r="P152" s="181"/>
      <c r="Q152" s="181"/>
      <c r="R152" s="181"/>
      <c r="S152" s="182"/>
      <c r="T152" s="182"/>
      <c r="U152" s="182"/>
      <c r="V152" s="182"/>
      <c r="W152" s="183"/>
      <c r="X152" s="183"/>
      <c r="Y152" s="183"/>
      <c r="Z152" s="183"/>
    </row>
    <row r="153" ht="15.75" customHeight="1">
      <c r="A153" s="184">
        <v>1.69478691E8</v>
      </c>
      <c r="B153" s="185" t="s">
        <v>744</v>
      </c>
      <c r="C153" s="186">
        <v>2.431402E7</v>
      </c>
      <c r="D153" s="186">
        <v>5951709.0</v>
      </c>
      <c r="E153" s="186">
        <v>185745.0</v>
      </c>
      <c r="F153" s="186">
        <v>158588.0</v>
      </c>
      <c r="G153" s="186">
        <v>55870.0</v>
      </c>
      <c r="H153" s="186">
        <v>62118.0</v>
      </c>
      <c r="I153" s="186">
        <v>534124.0</v>
      </c>
      <c r="J153" s="186">
        <v>10927.0</v>
      </c>
      <c r="K153" s="186">
        <v>821627.0</v>
      </c>
      <c r="L153" s="186">
        <v>8.3747733E7</v>
      </c>
      <c r="M153" s="181"/>
      <c r="N153" s="181"/>
      <c r="O153" s="181"/>
      <c r="P153" s="181"/>
      <c r="Q153" s="181"/>
      <c r="R153" s="181"/>
      <c r="S153" s="182"/>
      <c r="T153" s="182"/>
      <c r="U153" s="182"/>
      <c r="V153" s="182"/>
      <c r="W153" s="183"/>
      <c r="X153" s="183"/>
      <c r="Y153" s="183"/>
      <c r="Z153" s="183"/>
    </row>
    <row r="154" ht="15.75" customHeight="1">
      <c r="A154" s="184">
        <v>1.69539904E8</v>
      </c>
      <c r="B154" s="185" t="s">
        <v>745</v>
      </c>
      <c r="C154" s="186">
        <v>2.4220348E7</v>
      </c>
      <c r="D154" s="186">
        <v>3401084.0</v>
      </c>
      <c r="E154" s="186">
        <v>632331.0</v>
      </c>
      <c r="F154" s="186">
        <v>31031.0</v>
      </c>
      <c r="G154" s="186">
        <v>181565.0</v>
      </c>
      <c r="H154" s="186">
        <v>40507.0</v>
      </c>
      <c r="I154" s="186">
        <v>143178.0</v>
      </c>
      <c r="J154" s="186">
        <v>71897.0</v>
      </c>
      <c r="K154" s="186">
        <v>468178.0</v>
      </c>
      <c r="L154" s="186">
        <v>3.20737793E8</v>
      </c>
      <c r="M154" s="181"/>
      <c r="N154" s="181"/>
      <c r="O154" s="181"/>
      <c r="P154" s="181"/>
      <c r="Q154" s="181"/>
      <c r="R154" s="181"/>
      <c r="S154" s="182"/>
      <c r="T154" s="182"/>
      <c r="U154" s="182"/>
      <c r="V154" s="182"/>
      <c r="W154" s="183"/>
      <c r="X154" s="183"/>
      <c r="Y154" s="183"/>
      <c r="Z154" s="183"/>
    </row>
    <row r="155" ht="15.75" customHeight="1">
      <c r="A155" s="184">
        <v>1.69525548E8</v>
      </c>
      <c r="B155" s="185" t="s">
        <v>746</v>
      </c>
      <c r="C155" s="186">
        <v>2.4120161E7</v>
      </c>
      <c r="D155" s="186">
        <v>1.0293878E7</v>
      </c>
      <c r="E155" s="186">
        <v>662741.0</v>
      </c>
      <c r="F155" s="186">
        <v>208532.0</v>
      </c>
      <c r="G155" s="186">
        <v>418553.0</v>
      </c>
      <c r="H155" s="186">
        <v>1020564.0</v>
      </c>
      <c r="I155" s="186">
        <v>439837.0</v>
      </c>
      <c r="J155" s="186">
        <v>46722.0</v>
      </c>
      <c r="K155" s="186">
        <v>2134208.0</v>
      </c>
      <c r="L155" s="186">
        <v>4.09100001E8</v>
      </c>
      <c r="M155" s="181"/>
      <c r="N155" s="181"/>
      <c r="O155" s="181"/>
      <c r="P155" s="181"/>
      <c r="Q155" s="181"/>
      <c r="R155" s="181"/>
      <c r="S155" s="182"/>
      <c r="T155" s="182"/>
      <c r="U155" s="182"/>
      <c r="V155" s="182"/>
      <c r="W155" s="183"/>
      <c r="X155" s="183"/>
      <c r="Y155" s="183"/>
      <c r="Z155" s="183"/>
    </row>
    <row r="156" ht="15.75" customHeight="1">
      <c r="A156" s="184">
        <v>1.69484572E8</v>
      </c>
      <c r="B156" s="185" t="s">
        <v>747</v>
      </c>
      <c r="C156" s="186">
        <v>2.4039503E7</v>
      </c>
      <c r="D156" s="186">
        <v>1.04712888E8</v>
      </c>
      <c r="E156" s="186">
        <v>1148439.0</v>
      </c>
      <c r="F156" s="186">
        <v>632611.0</v>
      </c>
      <c r="G156" s="186">
        <v>542442.0</v>
      </c>
      <c r="H156" s="186">
        <v>263343.0</v>
      </c>
      <c r="I156" s="186">
        <v>7936473.0</v>
      </c>
      <c r="J156" s="186">
        <v>1154169.0</v>
      </c>
      <c r="K156" s="186">
        <v>1.0529038E7</v>
      </c>
      <c r="L156" s="186">
        <v>2.2309944E8</v>
      </c>
      <c r="M156" s="181"/>
      <c r="N156" s="181"/>
      <c r="O156" s="181"/>
      <c r="P156" s="181"/>
      <c r="Q156" s="181"/>
      <c r="R156" s="181"/>
      <c r="S156" s="182"/>
      <c r="T156" s="182"/>
      <c r="U156" s="182"/>
      <c r="V156" s="182"/>
      <c r="W156" s="183"/>
      <c r="X156" s="183"/>
      <c r="Y156" s="183"/>
      <c r="Z156" s="183"/>
    </row>
    <row r="157" ht="15.75" customHeight="1">
      <c r="A157" s="184">
        <v>1.66865807E8</v>
      </c>
      <c r="B157" s="185" t="s">
        <v>748</v>
      </c>
      <c r="C157" s="186">
        <v>2.3903069E7</v>
      </c>
      <c r="D157" s="186">
        <v>6887232.0</v>
      </c>
      <c r="E157" s="186">
        <v>525995.0</v>
      </c>
      <c r="F157" s="186">
        <v>244621.0</v>
      </c>
      <c r="G157" s="186">
        <v>81798.0</v>
      </c>
      <c r="H157" s="186">
        <v>12943.0</v>
      </c>
      <c r="I157" s="186">
        <v>603290.0</v>
      </c>
      <c r="J157" s="186">
        <v>29502.0</v>
      </c>
      <c r="K157" s="186">
        <v>972154.0</v>
      </c>
      <c r="L157" s="186">
        <v>4.51181884E8</v>
      </c>
      <c r="M157" s="181"/>
      <c r="N157" s="181"/>
      <c r="O157" s="181"/>
      <c r="P157" s="181"/>
      <c r="Q157" s="181"/>
      <c r="R157" s="181"/>
      <c r="S157" s="182"/>
      <c r="T157" s="182"/>
      <c r="U157" s="182"/>
      <c r="V157" s="182"/>
      <c r="W157" s="183"/>
      <c r="X157" s="183"/>
      <c r="Y157" s="183"/>
      <c r="Z157" s="183"/>
    </row>
    <row r="158" ht="15.75" customHeight="1">
      <c r="A158" s="184">
        <v>1.69565689E8</v>
      </c>
      <c r="B158" s="185" t="s">
        <v>749</v>
      </c>
      <c r="C158" s="186">
        <v>2.3803279E7</v>
      </c>
      <c r="D158" s="186">
        <v>2050527.0</v>
      </c>
      <c r="E158" s="186">
        <v>0.0</v>
      </c>
      <c r="F158" s="186">
        <v>69876.0</v>
      </c>
      <c r="G158" s="186">
        <v>40916.0</v>
      </c>
      <c r="H158" s="186">
        <v>6840.0</v>
      </c>
      <c r="I158" s="186">
        <v>189252.0</v>
      </c>
      <c r="J158" s="186">
        <v>1742.0</v>
      </c>
      <c r="K158" s="186">
        <v>308626.0</v>
      </c>
      <c r="L158" s="186">
        <v>1.1511876E8</v>
      </c>
      <c r="M158" s="181"/>
      <c r="N158" s="181"/>
      <c r="O158" s="181"/>
      <c r="P158" s="181"/>
      <c r="Q158" s="181"/>
      <c r="R158" s="181"/>
      <c r="S158" s="182"/>
      <c r="T158" s="182"/>
      <c r="U158" s="182"/>
      <c r="V158" s="182"/>
      <c r="W158" s="183"/>
      <c r="X158" s="183"/>
      <c r="Y158" s="183"/>
      <c r="Z158" s="183"/>
    </row>
    <row r="159" ht="15.75" customHeight="1">
      <c r="A159" s="184">
        <v>1.69460503E8</v>
      </c>
      <c r="B159" s="185" t="s">
        <v>750</v>
      </c>
      <c r="C159" s="186">
        <v>2.3776215E7</v>
      </c>
      <c r="D159" s="186">
        <v>5.7228746E7</v>
      </c>
      <c r="E159" s="186">
        <v>1530116.0</v>
      </c>
      <c r="F159" s="186">
        <v>1294891.0</v>
      </c>
      <c r="G159" s="186">
        <v>747043.0</v>
      </c>
      <c r="H159" s="186">
        <v>834243.0</v>
      </c>
      <c r="I159" s="186">
        <v>3529597.0</v>
      </c>
      <c r="J159" s="186">
        <v>842137.0</v>
      </c>
      <c r="K159" s="186">
        <v>7247911.0</v>
      </c>
      <c r="L159" s="186">
        <v>9.0884162E7</v>
      </c>
      <c r="M159" s="181"/>
      <c r="N159" s="181"/>
      <c r="O159" s="181"/>
      <c r="P159" s="181"/>
      <c r="Q159" s="181"/>
      <c r="R159" s="181"/>
      <c r="S159" s="182"/>
      <c r="T159" s="182"/>
      <c r="U159" s="182"/>
      <c r="V159" s="182"/>
      <c r="W159" s="183"/>
      <c r="X159" s="183"/>
      <c r="Y159" s="183"/>
      <c r="Z159" s="183"/>
    </row>
    <row r="160" ht="15.75" customHeight="1">
      <c r="A160" s="184">
        <v>1.69577524E8</v>
      </c>
      <c r="B160" s="185" t="s">
        <v>751</v>
      </c>
      <c r="C160" s="186">
        <v>2.3632739E7</v>
      </c>
      <c r="D160" s="186">
        <v>2736359.0</v>
      </c>
      <c r="E160" s="186">
        <v>119271.0</v>
      </c>
      <c r="F160" s="186">
        <v>10375.0</v>
      </c>
      <c r="G160" s="186">
        <v>16646.0</v>
      </c>
      <c r="H160" s="186">
        <v>3943.0</v>
      </c>
      <c r="I160" s="186">
        <v>209140.0</v>
      </c>
      <c r="J160" s="186">
        <v>29691.0</v>
      </c>
      <c r="K160" s="186">
        <v>269795.0</v>
      </c>
      <c r="L160" s="186">
        <v>5.0512317E7</v>
      </c>
      <c r="M160" s="181"/>
      <c r="N160" s="181"/>
      <c r="O160" s="181"/>
      <c r="P160" s="181"/>
      <c r="Q160" s="181"/>
      <c r="R160" s="181"/>
      <c r="S160" s="182"/>
      <c r="T160" s="182"/>
      <c r="U160" s="182"/>
      <c r="V160" s="182"/>
      <c r="W160" s="183"/>
      <c r="X160" s="183"/>
      <c r="Y160" s="183"/>
      <c r="Z160" s="183"/>
    </row>
    <row r="161" ht="15.75" customHeight="1">
      <c r="A161" s="184">
        <v>1.695574E8</v>
      </c>
      <c r="B161" s="185" t="s">
        <v>752</v>
      </c>
      <c r="C161" s="186">
        <v>2.3529499E7</v>
      </c>
      <c r="D161" s="186">
        <v>1.4546975E7</v>
      </c>
      <c r="E161" s="186">
        <v>399756.0</v>
      </c>
      <c r="F161" s="186">
        <v>383407.0</v>
      </c>
      <c r="G161" s="186">
        <v>98716.0</v>
      </c>
      <c r="H161" s="186">
        <v>134313.0</v>
      </c>
      <c r="I161" s="186">
        <v>896125.0</v>
      </c>
      <c r="J161" s="186">
        <v>238718.0</v>
      </c>
      <c r="K161" s="186">
        <v>1751279.0</v>
      </c>
      <c r="L161" s="186">
        <v>3.2559191E8</v>
      </c>
      <c r="M161" s="181"/>
      <c r="N161" s="181"/>
      <c r="O161" s="181"/>
      <c r="P161" s="181"/>
      <c r="Q161" s="181"/>
      <c r="R161" s="181"/>
      <c r="S161" s="182"/>
      <c r="T161" s="182"/>
      <c r="U161" s="182"/>
      <c r="V161" s="182"/>
      <c r="W161" s="183"/>
      <c r="X161" s="183"/>
      <c r="Y161" s="183"/>
      <c r="Z161" s="183"/>
    </row>
    <row r="162" ht="15.75" customHeight="1">
      <c r="A162" s="184">
        <v>1.69556572E8</v>
      </c>
      <c r="B162" s="185" t="s">
        <v>753</v>
      </c>
      <c r="C162" s="186">
        <v>2.3481175E7</v>
      </c>
      <c r="D162" s="186">
        <v>1.3234994E7</v>
      </c>
      <c r="E162" s="186">
        <v>891827.0</v>
      </c>
      <c r="F162" s="186">
        <v>229073.0</v>
      </c>
      <c r="G162" s="186">
        <v>196260.0</v>
      </c>
      <c r="H162" s="186">
        <v>64630.0</v>
      </c>
      <c r="I162" s="186">
        <v>929388.0</v>
      </c>
      <c r="J162" s="186">
        <v>162213.0</v>
      </c>
      <c r="K162" s="186">
        <v>1581564.0</v>
      </c>
      <c r="L162" s="186">
        <v>1.31300345E8</v>
      </c>
      <c r="M162" s="181"/>
      <c r="N162" s="181"/>
      <c r="O162" s="181"/>
      <c r="P162" s="181"/>
      <c r="Q162" s="181"/>
      <c r="R162" s="181"/>
      <c r="S162" s="182"/>
      <c r="T162" s="182"/>
      <c r="U162" s="182"/>
      <c r="V162" s="182"/>
      <c r="W162" s="183"/>
      <c r="X162" s="183"/>
      <c r="Y162" s="183"/>
      <c r="Z162" s="183"/>
    </row>
    <row r="163" ht="15.75" customHeight="1">
      <c r="A163" s="184">
        <v>1.69158842E8</v>
      </c>
      <c r="B163" s="185" t="s">
        <v>754</v>
      </c>
      <c r="C163" s="186">
        <v>2.3471494E7</v>
      </c>
      <c r="D163" s="186">
        <v>3.3936571E7</v>
      </c>
      <c r="E163" s="186">
        <v>1197418.0</v>
      </c>
      <c r="F163" s="186">
        <v>1666946.0</v>
      </c>
      <c r="G163" s="186">
        <v>393592.0</v>
      </c>
      <c r="H163" s="186">
        <v>1413952.0</v>
      </c>
      <c r="I163" s="186">
        <v>1678201.0</v>
      </c>
      <c r="J163" s="186">
        <v>518909.0</v>
      </c>
      <c r="K163" s="186">
        <v>5671600.0</v>
      </c>
      <c r="L163" s="186">
        <v>8.7015007E7</v>
      </c>
      <c r="M163" s="181"/>
      <c r="N163" s="181"/>
      <c r="O163" s="181"/>
      <c r="P163" s="181"/>
      <c r="Q163" s="181"/>
      <c r="R163" s="181"/>
      <c r="S163" s="182"/>
      <c r="T163" s="182"/>
      <c r="U163" s="182"/>
      <c r="V163" s="182"/>
      <c r="W163" s="183"/>
      <c r="X163" s="183"/>
      <c r="Y163" s="183"/>
      <c r="Z163" s="183"/>
    </row>
    <row r="164" ht="15.75" customHeight="1">
      <c r="A164" s="184">
        <v>1.69522343E8</v>
      </c>
      <c r="B164" s="185" t="s">
        <v>755</v>
      </c>
      <c r="C164" s="186">
        <v>2.3467191E7</v>
      </c>
      <c r="D164" s="186">
        <v>3310097.0</v>
      </c>
      <c r="E164" s="186">
        <v>781374.0</v>
      </c>
      <c r="F164" s="186">
        <v>226636.0</v>
      </c>
      <c r="G164" s="186">
        <v>188135.0</v>
      </c>
      <c r="H164" s="186">
        <v>211450.0</v>
      </c>
      <c r="I164" s="186">
        <v>179982.0</v>
      </c>
      <c r="J164" s="186">
        <v>12144.0</v>
      </c>
      <c r="K164" s="186">
        <v>818347.0</v>
      </c>
      <c r="L164" s="186">
        <v>1.3890847E7</v>
      </c>
      <c r="M164" s="181"/>
      <c r="N164" s="181"/>
      <c r="O164" s="181"/>
      <c r="P164" s="181"/>
      <c r="Q164" s="181"/>
      <c r="R164" s="181"/>
      <c r="S164" s="182"/>
      <c r="T164" s="182"/>
      <c r="U164" s="182"/>
      <c r="V164" s="182"/>
      <c r="W164" s="183"/>
      <c r="X164" s="183"/>
      <c r="Y164" s="183"/>
      <c r="Z164" s="183"/>
    </row>
    <row r="165" ht="15.75" customHeight="1">
      <c r="A165" s="184">
        <v>1.69490899E8</v>
      </c>
      <c r="B165" s="185" t="s">
        <v>756</v>
      </c>
      <c r="C165" s="186">
        <v>2.3398785E7</v>
      </c>
      <c r="D165" s="186">
        <v>1.4258701E7</v>
      </c>
      <c r="E165" s="186">
        <v>955956.0</v>
      </c>
      <c r="F165" s="186">
        <v>426035.0</v>
      </c>
      <c r="G165" s="186">
        <v>190675.0</v>
      </c>
      <c r="H165" s="186">
        <v>1043616.0</v>
      </c>
      <c r="I165" s="186">
        <v>833256.0</v>
      </c>
      <c r="J165" s="186">
        <v>64256.0</v>
      </c>
      <c r="K165" s="186">
        <v>2557838.0</v>
      </c>
      <c r="L165" s="186">
        <v>1.169E8</v>
      </c>
      <c r="M165" s="181"/>
      <c r="N165" s="181"/>
      <c r="O165" s="181"/>
      <c r="P165" s="181"/>
      <c r="Q165" s="181"/>
      <c r="R165" s="181"/>
      <c r="S165" s="182"/>
      <c r="T165" s="182"/>
      <c r="U165" s="182"/>
      <c r="V165" s="182"/>
      <c r="W165" s="183"/>
      <c r="X165" s="183"/>
      <c r="Y165" s="183"/>
      <c r="Z165" s="183"/>
    </row>
    <row r="166" ht="15.75" customHeight="1">
      <c r="A166" s="184">
        <v>1.69519667E8</v>
      </c>
      <c r="B166" s="185" t="s">
        <v>757</v>
      </c>
      <c r="C166" s="186">
        <v>2.3377988E7</v>
      </c>
      <c r="D166" s="186">
        <v>4998382.0</v>
      </c>
      <c r="E166" s="186">
        <v>75845.0</v>
      </c>
      <c r="F166" s="186">
        <v>378914.0</v>
      </c>
      <c r="G166" s="186">
        <v>162254.0</v>
      </c>
      <c r="H166" s="186">
        <v>83898.0</v>
      </c>
      <c r="I166" s="186">
        <v>360222.0</v>
      </c>
      <c r="J166" s="186">
        <v>33014.0</v>
      </c>
      <c r="K166" s="186">
        <v>1018302.0</v>
      </c>
      <c r="L166" s="186">
        <v>6.0170424E7</v>
      </c>
      <c r="M166" s="181"/>
      <c r="N166" s="181"/>
      <c r="O166" s="181"/>
      <c r="P166" s="181"/>
      <c r="Q166" s="181"/>
      <c r="R166" s="181"/>
      <c r="S166" s="182"/>
      <c r="T166" s="182"/>
      <c r="U166" s="182"/>
      <c r="V166" s="182"/>
      <c r="W166" s="183"/>
      <c r="X166" s="183"/>
      <c r="Y166" s="183"/>
      <c r="Z166" s="183"/>
    </row>
    <row r="167" ht="15.75" customHeight="1">
      <c r="A167" s="184">
        <v>1.42326835E8</v>
      </c>
      <c r="B167" s="185" t="s">
        <v>758</v>
      </c>
      <c r="C167" s="186">
        <v>2.3372483E7</v>
      </c>
      <c r="D167" s="186">
        <v>1.9632872E7</v>
      </c>
      <c r="E167" s="186">
        <v>2013838.0</v>
      </c>
      <c r="F167" s="186">
        <v>252193.0</v>
      </c>
      <c r="G167" s="186">
        <v>348312.0</v>
      </c>
      <c r="H167" s="186">
        <v>252170.0</v>
      </c>
      <c r="I167" s="186">
        <v>1463567.0</v>
      </c>
      <c r="J167" s="186">
        <v>162073.0</v>
      </c>
      <c r="K167" s="186">
        <v>2478315.0</v>
      </c>
      <c r="L167" s="186">
        <v>1.76840293E8</v>
      </c>
      <c r="M167" s="181"/>
      <c r="N167" s="181"/>
      <c r="O167" s="181"/>
      <c r="P167" s="181"/>
      <c r="Q167" s="181"/>
      <c r="R167" s="181"/>
      <c r="S167" s="182"/>
      <c r="T167" s="182"/>
      <c r="U167" s="182"/>
      <c r="V167" s="182"/>
      <c r="W167" s="183"/>
      <c r="X167" s="183"/>
      <c r="Y167" s="183"/>
      <c r="Z167" s="183"/>
    </row>
    <row r="168" ht="15.75" customHeight="1">
      <c r="A168" s="184">
        <v>1.67777665E8</v>
      </c>
      <c r="B168" s="185" t="s">
        <v>759</v>
      </c>
      <c r="C168" s="186">
        <v>2.3330849E7</v>
      </c>
      <c r="D168" s="186">
        <v>6.5879526E7</v>
      </c>
      <c r="E168" s="186">
        <v>827280.0</v>
      </c>
      <c r="F168" s="186">
        <v>1369742.0</v>
      </c>
      <c r="G168" s="186">
        <v>726959.0</v>
      </c>
      <c r="H168" s="186">
        <v>526590.0</v>
      </c>
      <c r="I168" s="186">
        <v>5590934.0</v>
      </c>
      <c r="J168" s="186">
        <v>306798.0</v>
      </c>
      <c r="K168" s="186">
        <v>8521023.0</v>
      </c>
      <c r="L168" s="186">
        <v>1.51003639E8</v>
      </c>
      <c r="M168" s="181"/>
      <c r="N168" s="181"/>
      <c r="O168" s="181"/>
      <c r="P168" s="181"/>
      <c r="Q168" s="181"/>
      <c r="R168" s="181"/>
      <c r="S168" s="182"/>
      <c r="T168" s="182"/>
      <c r="U168" s="182"/>
      <c r="V168" s="182"/>
      <c r="W168" s="183"/>
      <c r="X168" s="183"/>
      <c r="Y168" s="183"/>
      <c r="Z168" s="183"/>
    </row>
    <row r="169" ht="15.75" customHeight="1">
      <c r="A169" s="184">
        <v>1.69590662E8</v>
      </c>
      <c r="B169" s="185" t="s">
        <v>760</v>
      </c>
      <c r="C169" s="186">
        <v>2.3245495E7</v>
      </c>
      <c r="D169" s="186">
        <v>2473268.0</v>
      </c>
      <c r="E169" s="186">
        <v>1039093.0</v>
      </c>
      <c r="F169" s="186">
        <v>89660.0</v>
      </c>
      <c r="G169" s="186">
        <v>153027.0</v>
      </c>
      <c r="H169" s="186">
        <v>101138.0</v>
      </c>
      <c r="I169" s="186">
        <v>174473.0</v>
      </c>
      <c r="J169" s="186">
        <v>0.0</v>
      </c>
      <c r="K169" s="186">
        <v>518298.0</v>
      </c>
      <c r="L169" s="186">
        <v>0.0</v>
      </c>
      <c r="M169" s="181"/>
      <c r="N169" s="181"/>
      <c r="O169" s="181"/>
      <c r="P169" s="181"/>
      <c r="Q169" s="181"/>
      <c r="R169" s="181"/>
      <c r="S169" s="182"/>
      <c r="T169" s="182"/>
      <c r="U169" s="182"/>
      <c r="V169" s="182"/>
      <c r="W169" s="183"/>
      <c r="X169" s="183"/>
      <c r="Y169" s="183"/>
      <c r="Z169" s="183"/>
    </row>
    <row r="170" ht="15.75" customHeight="1">
      <c r="A170" s="184">
        <v>1.69548651E8</v>
      </c>
      <c r="B170" s="185" t="s">
        <v>761</v>
      </c>
      <c r="C170" s="186">
        <v>2.2935021E7</v>
      </c>
      <c r="D170" s="186">
        <v>2089127.0</v>
      </c>
      <c r="E170" s="186">
        <v>484781.0</v>
      </c>
      <c r="F170" s="186">
        <v>194558.0</v>
      </c>
      <c r="G170" s="186">
        <v>220693.0</v>
      </c>
      <c r="H170" s="186">
        <v>19300.0</v>
      </c>
      <c r="I170" s="186">
        <v>126569.0</v>
      </c>
      <c r="J170" s="186">
        <v>13297.0</v>
      </c>
      <c r="K170" s="186">
        <v>574417.0</v>
      </c>
      <c r="L170" s="186">
        <v>2.05974874E8</v>
      </c>
      <c r="M170" s="181"/>
      <c r="N170" s="181"/>
      <c r="O170" s="181"/>
      <c r="P170" s="181"/>
      <c r="Q170" s="181"/>
      <c r="R170" s="181"/>
      <c r="S170" s="182"/>
      <c r="T170" s="182"/>
      <c r="U170" s="182"/>
      <c r="V170" s="182"/>
      <c r="W170" s="183"/>
      <c r="X170" s="183"/>
      <c r="Y170" s="183"/>
      <c r="Z170" s="183"/>
    </row>
    <row r="171" ht="15.75" customHeight="1">
      <c r="A171" s="184">
        <v>1.69503518E8</v>
      </c>
      <c r="B171" s="185" t="s">
        <v>762</v>
      </c>
      <c r="C171" s="186">
        <v>2.2865246E7</v>
      </c>
      <c r="D171" s="186">
        <v>7489889.0</v>
      </c>
      <c r="E171" s="186">
        <v>663969.0</v>
      </c>
      <c r="F171" s="186">
        <v>437709.0</v>
      </c>
      <c r="G171" s="186">
        <v>225964.0</v>
      </c>
      <c r="H171" s="186">
        <v>319335.0</v>
      </c>
      <c r="I171" s="186">
        <v>482382.0</v>
      </c>
      <c r="J171" s="186">
        <v>42463.0</v>
      </c>
      <c r="K171" s="186">
        <v>1507853.0</v>
      </c>
      <c r="L171" s="186">
        <v>8.55479E8</v>
      </c>
      <c r="M171" s="181"/>
      <c r="N171" s="181"/>
      <c r="O171" s="181"/>
      <c r="P171" s="181"/>
      <c r="Q171" s="181"/>
      <c r="R171" s="181"/>
      <c r="S171" s="182"/>
      <c r="T171" s="182"/>
      <c r="U171" s="182"/>
      <c r="V171" s="182"/>
      <c r="W171" s="183"/>
      <c r="X171" s="183"/>
      <c r="Y171" s="183"/>
      <c r="Z171" s="183"/>
    </row>
    <row r="172" ht="15.75" customHeight="1">
      <c r="A172" s="184">
        <v>1.69532163E8</v>
      </c>
      <c r="B172" s="185" t="s">
        <v>763</v>
      </c>
      <c r="C172" s="186">
        <v>2.2696501E7</v>
      </c>
      <c r="D172" s="186">
        <v>1911942.0</v>
      </c>
      <c r="E172" s="186">
        <v>243113.0</v>
      </c>
      <c r="F172" s="186">
        <v>61744.0</v>
      </c>
      <c r="G172" s="186">
        <v>89863.0</v>
      </c>
      <c r="H172" s="186">
        <v>38667.0</v>
      </c>
      <c r="I172" s="186">
        <v>134772.0</v>
      </c>
      <c r="J172" s="186">
        <v>10874.0</v>
      </c>
      <c r="K172" s="186">
        <v>335920.0</v>
      </c>
      <c r="L172" s="186">
        <v>8000000.0</v>
      </c>
      <c r="M172" s="181"/>
      <c r="N172" s="181"/>
      <c r="O172" s="181"/>
      <c r="P172" s="181"/>
      <c r="Q172" s="181"/>
      <c r="R172" s="181"/>
      <c r="S172" s="182"/>
      <c r="T172" s="182"/>
      <c r="U172" s="182"/>
      <c r="V172" s="182"/>
      <c r="W172" s="183"/>
      <c r="X172" s="183"/>
      <c r="Y172" s="183"/>
      <c r="Z172" s="183"/>
    </row>
    <row r="173" ht="15.75" customHeight="1">
      <c r="A173" s="184">
        <v>1.69422819E8</v>
      </c>
      <c r="B173" s="185" t="s">
        <v>764</v>
      </c>
      <c r="C173" s="186">
        <v>2.2696225E7</v>
      </c>
      <c r="D173" s="186">
        <v>2.6037478E7</v>
      </c>
      <c r="E173" s="186">
        <v>445041.0</v>
      </c>
      <c r="F173" s="186">
        <v>1061814.0</v>
      </c>
      <c r="G173" s="186">
        <v>45457.0</v>
      </c>
      <c r="H173" s="186">
        <v>16468.0</v>
      </c>
      <c r="I173" s="186">
        <v>1611551.0</v>
      </c>
      <c r="J173" s="186">
        <v>477641.0</v>
      </c>
      <c r="K173" s="186">
        <v>3212931.0</v>
      </c>
      <c r="L173" s="186">
        <v>1.68548435E8</v>
      </c>
      <c r="M173" s="181"/>
      <c r="N173" s="181"/>
      <c r="O173" s="181"/>
      <c r="P173" s="181"/>
      <c r="Q173" s="181"/>
      <c r="R173" s="181"/>
      <c r="S173" s="182"/>
      <c r="T173" s="182"/>
      <c r="U173" s="182"/>
      <c r="V173" s="182"/>
      <c r="W173" s="183"/>
      <c r="X173" s="183"/>
      <c r="Y173" s="183"/>
      <c r="Z173" s="183"/>
    </row>
    <row r="174" ht="15.75" customHeight="1">
      <c r="A174" s="184">
        <v>1.69365642E8</v>
      </c>
      <c r="B174" s="185" t="s">
        <v>765</v>
      </c>
      <c r="C174" s="186">
        <v>2.2631853E7</v>
      </c>
      <c r="D174" s="186">
        <v>1.266983E7</v>
      </c>
      <c r="E174" s="186">
        <v>412912.0</v>
      </c>
      <c r="F174" s="186">
        <v>191901.0</v>
      </c>
      <c r="G174" s="186">
        <v>110811.0</v>
      </c>
      <c r="H174" s="186">
        <v>178027.0</v>
      </c>
      <c r="I174" s="186">
        <v>758326.0</v>
      </c>
      <c r="J174" s="186">
        <v>205723.0</v>
      </c>
      <c r="K174" s="186">
        <v>1444788.0</v>
      </c>
      <c r="L174" s="186">
        <v>1.440319261E9</v>
      </c>
      <c r="M174" s="181"/>
      <c r="N174" s="181"/>
      <c r="O174" s="181"/>
      <c r="P174" s="181"/>
      <c r="Q174" s="181"/>
      <c r="R174" s="181"/>
      <c r="S174" s="182"/>
      <c r="T174" s="182"/>
      <c r="U174" s="182"/>
      <c r="V174" s="182"/>
      <c r="W174" s="183"/>
      <c r="X174" s="183"/>
      <c r="Y174" s="183"/>
      <c r="Z174" s="183"/>
    </row>
    <row r="175" ht="15.75" customHeight="1">
      <c r="A175" s="184">
        <v>1.69254872E8</v>
      </c>
      <c r="B175" s="185" t="s">
        <v>766</v>
      </c>
      <c r="C175" s="186">
        <v>2.2601556E7</v>
      </c>
      <c r="D175" s="186">
        <v>2.4121046E7</v>
      </c>
      <c r="E175" s="186">
        <v>448133.0</v>
      </c>
      <c r="F175" s="186">
        <v>200870.0</v>
      </c>
      <c r="G175" s="186">
        <v>85097.0</v>
      </c>
      <c r="H175" s="186">
        <v>413592.0</v>
      </c>
      <c r="I175" s="186">
        <v>1863997.0</v>
      </c>
      <c r="J175" s="186">
        <v>180817.0</v>
      </c>
      <c r="K175" s="186">
        <v>2744373.0</v>
      </c>
      <c r="L175" s="186">
        <v>2.34358622E8</v>
      </c>
      <c r="M175" s="181"/>
      <c r="N175" s="181"/>
      <c r="O175" s="181"/>
      <c r="P175" s="181"/>
      <c r="Q175" s="181"/>
      <c r="R175" s="181"/>
      <c r="S175" s="182"/>
      <c r="T175" s="182"/>
      <c r="U175" s="182"/>
      <c r="V175" s="182"/>
      <c r="W175" s="183"/>
      <c r="X175" s="183"/>
      <c r="Y175" s="183"/>
      <c r="Z175" s="183"/>
    </row>
    <row r="176" ht="15.75" customHeight="1">
      <c r="A176" s="184">
        <v>1.69555184E8</v>
      </c>
      <c r="B176" s="185" t="s">
        <v>767</v>
      </c>
      <c r="C176" s="186">
        <v>2.2512352E7</v>
      </c>
      <c r="D176" s="186">
        <v>5.7891033E7</v>
      </c>
      <c r="E176" s="186">
        <v>868795.0</v>
      </c>
      <c r="F176" s="186">
        <v>329956.0</v>
      </c>
      <c r="G176" s="186">
        <v>1368441.0</v>
      </c>
      <c r="H176" s="186">
        <v>540965.0</v>
      </c>
      <c r="I176" s="186">
        <v>2969316.0</v>
      </c>
      <c r="J176" s="186">
        <v>1161557.0</v>
      </c>
      <c r="K176" s="186">
        <v>6370235.0</v>
      </c>
      <c r="L176" s="186">
        <v>1.82980785E8</v>
      </c>
      <c r="M176" s="181"/>
      <c r="N176" s="181"/>
      <c r="O176" s="181"/>
      <c r="P176" s="181"/>
      <c r="Q176" s="181"/>
      <c r="R176" s="181"/>
      <c r="S176" s="182"/>
      <c r="T176" s="182"/>
      <c r="U176" s="182"/>
      <c r="V176" s="182"/>
      <c r="W176" s="183"/>
      <c r="X176" s="183"/>
      <c r="Y176" s="183"/>
      <c r="Z176" s="183"/>
    </row>
    <row r="177" ht="15.75" customHeight="1">
      <c r="A177" s="184">
        <v>1.69590987E8</v>
      </c>
      <c r="B177" s="185" t="s">
        <v>768</v>
      </c>
      <c r="C177" s="186">
        <v>2.2495094E7</v>
      </c>
      <c r="D177" s="186">
        <v>1.0032472E7</v>
      </c>
      <c r="E177" s="186">
        <v>434720.0</v>
      </c>
      <c r="F177" s="186">
        <v>262312.0</v>
      </c>
      <c r="G177" s="186">
        <v>627158.0</v>
      </c>
      <c r="H177" s="186">
        <v>387086.0</v>
      </c>
      <c r="I177" s="186">
        <v>717735.0</v>
      </c>
      <c r="J177" s="186">
        <v>0.0</v>
      </c>
      <c r="K177" s="186">
        <v>1994291.0</v>
      </c>
      <c r="L177" s="186">
        <v>6.5788075E7</v>
      </c>
      <c r="M177" s="181"/>
      <c r="N177" s="181"/>
      <c r="O177" s="181"/>
      <c r="P177" s="181"/>
      <c r="Q177" s="181"/>
      <c r="R177" s="181"/>
      <c r="S177" s="182"/>
      <c r="T177" s="182"/>
      <c r="U177" s="182"/>
      <c r="V177" s="182"/>
      <c r="W177" s="183"/>
      <c r="X177" s="183"/>
      <c r="Y177" s="183"/>
      <c r="Z177" s="183"/>
    </row>
    <row r="178" ht="15.75" customHeight="1">
      <c r="A178" s="184">
        <v>1.69269315E8</v>
      </c>
      <c r="B178" s="185" t="s">
        <v>769</v>
      </c>
      <c r="C178" s="186">
        <v>2.242669E7</v>
      </c>
      <c r="D178" s="186">
        <v>3.4477279E7</v>
      </c>
      <c r="E178" s="186">
        <v>359894.0</v>
      </c>
      <c r="F178" s="186">
        <v>1389156.0</v>
      </c>
      <c r="G178" s="186">
        <v>1179687.0</v>
      </c>
      <c r="H178" s="186">
        <v>1650246.0</v>
      </c>
      <c r="I178" s="186">
        <v>2512839.0</v>
      </c>
      <c r="J178" s="186">
        <v>5535.0</v>
      </c>
      <c r="K178" s="186">
        <v>6737463.0</v>
      </c>
      <c r="L178" s="186">
        <v>9.76513E7</v>
      </c>
      <c r="M178" s="181"/>
      <c r="N178" s="181"/>
      <c r="O178" s="181"/>
      <c r="P178" s="181"/>
      <c r="Q178" s="181"/>
      <c r="R178" s="181"/>
      <c r="S178" s="182"/>
      <c r="T178" s="182"/>
      <c r="U178" s="182"/>
      <c r="V178" s="182"/>
      <c r="W178" s="183"/>
      <c r="X178" s="183"/>
      <c r="Y178" s="183"/>
      <c r="Z178" s="183"/>
    </row>
    <row r="179" ht="15.75" customHeight="1">
      <c r="A179" s="184">
        <v>1.65510235E8</v>
      </c>
      <c r="B179" s="185" t="s">
        <v>770</v>
      </c>
      <c r="C179" s="186">
        <v>2.24083E7</v>
      </c>
      <c r="D179" s="186">
        <v>1768552.0</v>
      </c>
      <c r="E179" s="186">
        <v>29163.0</v>
      </c>
      <c r="F179" s="186">
        <v>97500.0</v>
      </c>
      <c r="G179" s="186">
        <v>98426.0</v>
      </c>
      <c r="H179" s="186">
        <v>46865.0</v>
      </c>
      <c r="I179" s="186">
        <v>74548.0</v>
      </c>
      <c r="J179" s="186">
        <v>30963.0</v>
      </c>
      <c r="K179" s="186">
        <v>348302.0</v>
      </c>
      <c r="L179" s="186">
        <v>3.44856227E8</v>
      </c>
      <c r="M179" s="181"/>
      <c r="N179" s="181"/>
      <c r="O179" s="181"/>
      <c r="P179" s="181"/>
      <c r="Q179" s="181"/>
      <c r="R179" s="181"/>
      <c r="S179" s="182"/>
      <c r="T179" s="182"/>
      <c r="U179" s="182"/>
      <c r="V179" s="182"/>
      <c r="W179" s="183"/>
      <c r="X179" s="183"/>
      <c r="Y179" s="183"/>
      <c r="Z179" s="183"/>
    </row>
    <row r="180" ht="15.75" customHeight="1">
      <c r="A180" s="184">
        <v>1.20110732E8</v>
      </c>
      <c r="B180" s="185" t="s">
        <v>771</v>
      </c>
      <c r="C180" s="186">
        <v>2.2285205E7</v>
      </c>
      <c r="D180" s="186">
        <v>4185370.0</v>
      </c>
      <c r="E180" s="186">
        <v>2069647.0</v>
      </c>
      <c r="F180" s="186">
        <v>54163.0</v>
      </c>
      <c r="G180" s="186">
        <v>0.0</v>
      </c>
      <c r="H180" s="186">
        <v>227.0</v>
      </c>
      <c r="I180" s="186">
        <v>111929.0</v>
      </c>
      <c r="J180" s="186">
        <v>152717.0</v>
      </c>
      <c r="K180" s="186">
        <v>319036.0</v>
      </c>
      <c r="L180" s="186">
        <v>8.045854735E9</v>
      </c>
      <c r="M180" s="181"/>
      <c r="N180" s="181"/>
      <c r="O180" s="181"/>
      <c r="P180" s="181"/>
      <c r="Q180" s="181"/>
      <c r="R180" s="181"/>
      <c r="S180" s="182"/>
      <c r="T180" s="182"/>
      <c r="U180" s="182"/>
      <c r="V180" s="182"/>
      <c r="W180" s="183"/>
      <c r="X180" s="183"/>
      <c r="Y180" s="183"/>
      <c r="Z180" s="183"/>
    </row>
    <row r="181" ht="15.75" customHeight="1">
      <c r="A181" s="184">
        <v>1.69156942E8</v>
      </c>
      <c r="B181" s="185" t="s">
        <v>772</v>
      </c>
      <c r="C181" s="186">
        <v>2.2231815E7</v>
      </c>
      <c r="D181" s="186">
        <v>3.0794746E7</v>
      </c>
      <c r="E181" s="186">
        <v>1648297.0</v>
      </c>
      <c r="F181" s="186">
        <v>2072324.0</v>
      </c>
      <c r="G181" s="186">
        <v>1221093.0</v>
      </c>
      <c r="H181" s="186">
        <v>1525154.0</v>
      </c>
      <c r="I181" s="186">
        <v>1907028.0</v>
      </c>
      <c r="J181" s="186">
        <v>138360.0</v>
      </c>
      <c r="K181" s="186">
        <v>6863959.0</v>
      </c>
      <c r="L181" s="186">
        <v>2.64734336E8</v>
      </c>
      <c r="M181" s="181"/>
      <c r="N181" s="181"/>
      <c r="O181" s="181"/>
      <c r="P181" s="181"/>
      <c r="Q181" s="181"/>
      <c r="R181" s="181"/>
      <c r="S181" s="182"/>
      <c r="T181" s="182"/>
      <c r="U181" s="182"/>
      <c r="V181" s="182"/>
      <c r="W181" s="183"/>
      <c r="X181" s="183"/>
      <c r="Y181" s="183"/>
      <c r="Z181" s="183"/>
    </row>
    <row r="182" ht="15.75" customHeight="1">
      <c r="A182" s="184">
        <v>1.69531967E8</v>
      </c>
      <c r="B182" s="185" t="s">
        <v>773</v>
      </c>
      <c r="C182" s="186">
        <v>2.2213615E7</v>
      </c>
      <c r="D182" s="186">
        <v>2.2089879E7</v>
      </c>
      <c r="E182" s="186">
        <v>929981.0</v>
      </c>
      <c r="F182" s="186">
        <v>756315.0</v>
      </c>
      <c r="G182" s="186">
        <v>1091561.0</v>
      </c>
      <c r="H182" s="186">
        <v>2214861.0</v>
      </c>
      <c r="I182" s="186">
        <v>1089605.0</v>
      </c>
      <c r="J182" s="186">
        <v>0.0</v>
      </c>
      <c r="K182" s="186">
        <v>5152342.0</v>
      </c>
      <c r="L182" s="186">
        <v>0.0</v>
      </c>
      <c r="M182" s="181"/>
      <c r="N182" s="181"/>
      <c r="O182" s="181"/>
      <c r="P182" s="181"/>
      <c r="Q182" s="181"/>
      <c r="R182" s="181"/>
      <c r="S182" s="182"/>
      <c r="T182" s="182"/>
      <c r="U182" s="182"/>
      <c r="V182" s="182"/>
      <c r="W182" s="183"/>
      <c r="X182" s="183"/>
      <c r="Y182" s="183"/>
      <c r="Z182" s="183"/>
    </row>
    <row r="183" ht="15.75" customHeight="1">
      <c r="A183" s="184">
        <v>1.69531517E8</v>
      </c>
      <c r="B183" s="185" t="s">
        <v>774</v>
      </c>
      <c r="C183" s="186">
        <v>2.2066571E7</v>
      </c>
      <c r="D183" s="186">
        <v>8125942.0</v>
      </c>
      <c r="E183" s="186">
        <v>987797.0</v>
      </c>
      <c r="F183" s="186">
        <v>92192.0</v>
      </c>
      <c r="G183" s="186">
        <v>157651.0</v>
      </c>
      <c r="H183" s="186">
        <v>69013.0</v>
      </c>
      <c r="I183" s="186">
        <v>280719.0</v>
      </c>
      <c r="J183" s="186">
        <v>235448.0</v>
      </c>
      <c r="K183" s="186">
        <v>835023.0</v>
      </c>
      <c r="L183" s="186">
        <v>9.5628655E7</v>
      </c>
      <c r="M183" s="181"/>
      <c r="N183" s="181"/>
      <c r="O183" s="181"/>
      <c r="P183" s="181"/>
      <c r="Q183" s="181"/>
      <c r="R183" s="181"/>
      <c r="S183" s="182"/>
      <c r="T183" s="182"/>
      <c r="U183" s="182"/>
      <c r="V183" s="182"/>
      <c r="W183" s="183"/>
      <c r="X183" s="183"/>
      <c r="Y183" s="183"/>
      <c r="Z183" s="183"/>
    </row>
    <row r="184" ht="15.75" customHeight="1">
      <c r="A184" s="184">
        <v>1.69477229E8</v>
      </c>
      <c r="B184" s="185" t="s">
        <v>775</v>
      </c>
      <c r="C184" s="186">
        <v>2.2061321E7</v>
      </c>
      <c r="D184" s="186">
        <v>1.9994916E7</v>
      </c>
      <c r="E184" s="186">
        <v>287608.0</v>
      </c>
      <c r="F184" s="186">
        <v>458944.0</v>
      </c>
      <c r="G184" s="186">
        <v>1610806.0</v>
      </c>
      <c r="H184" s="186">
        <v>1021154.0</v>
      </c>
      <c r="I184" s="186">
        <v>1191660.0</v>
      </c>
      <c r="J184" s="186">
        <v>34015.0</v>
      </c>
      <c r="K184" s="186">
        <v>4316579.0</v>
      </c>
      <c r="L184" s="186">
        <v>8.7686121E7</v>
      </c>
      <c r="M184" s="181"/>
      <c r="N184" s="181"/>
      <c r="O184" s="181"/>
      <c r="P184" s="181"/>
      <c r="Q184" s="181"/>
      <c r="R184" s="181"/>
      <c r="S184" s="182"/>
      <c r="T184" s="182"/>
      <c r="U184" s="182"/>
      <c r="V184" s="182"/>
      <c r="W184" s="183"/>
      <c r="X184" s="183"/>
      <c r="Y184" s="183"/>
      <c r="Z184" s="183"/>
    </row>
    <row r="185" ht="15.75" customHeight="1">
      <c r="A185" s="184">
        <v>1.65662905E8</v>
      </c>
      <c r="B185" s="185" t="s">
        <v>776</v>
      </c>
      <c r="C185" s="186">
        <v>2.1925696E7</v>
      </c>
      <c r="D185" s="186">
        <v>7.2545481E7</v>
      </c>
      <c r="E185" s="186">
        <v>1735553.0</v>
      </c>
      <c r="F185" s="186">
        <v>1528655.0</v>
      </c>
      <c r="G185" s="186">
        <v>265174.0</v>
      </c>
      <c r="H185" s="186">
        <v>409113.0</v>
      </c>
      <c r="I185" s="186">
        <v>5112379.0</v>
      </c>
      <c r="J185" s="186">
        <v>947458.0</v>
      </c>
      <c r="K185" s="186">
        <v>8262779.0</v>
      </c>
      <c r="L185" s="186">
        <v>2.54600001E8</v>
      </c>
      <c r="M185" s="181"/>
      <c r="N185" s="181"/>
      <c r="O185" s="181"/>
      <c r="P185" s="181"/>
      <c r="Q185" s="181"/>
      <c r="R185" s="181"/>
      <c r="S185" s="182"/>
      <c r="T185" s="182"/>
      <c r="U185" s="182"/>
      <c r="V185" s="182"/>
      <c r="W185" s="183"/>
      <c r="X185" s="183"/>
      <c r="Y185" s="183"/>
      <c r="Z185" s="183"/>
    </row>
    <row r="186" ht="15.75" customHeight="1">
      <c r="A186" s="184">
        <v>1.6955698E8</v>
      </c>
      <c r="B186" s="185" t="s">
        <v>777</v>
      </c>
      <c r="C186" s="186">
        <v>2.1926947E7</v>
      </c>
      <c r="D186" s="186">
        <v>2.2793845E7</v>
      </c>
      <c r="E186" s="186">
        <v>181069.0</v>
      </c>
      <c r="F186" s="186">
        <v>471918.0</v>
      </c>
      <c r="G186" s="186">
        <v>798627.0</v>
      </c>
      <c r="H186" s="186">
        <v>901892.0</v>
      </c>
      <c r="I186" s="186">
        <v>1337766.0</v>
      </c>
      <c r="J186" s="186">
        <v>205849.0</v>
      </c>
      <c r="K186" s="186">
        <v>3716052.0</v>
      </c>
      <c r="L186" s="186">
        <v>1.29896843E8</v>
      </c>
      <c r="M186" s="181"/>
      <c r="N186" s="181"/>
      <c r="O186" s="181"/>
      <c r="P186" s="181"/>
      <c r="Q186" s="181"/>
      <c r="R186" s="181"/>
      <c r="S186" s="182"/>
      <c r="T186" s="182"/>
      <c r="U186" s="182"/>
      <c r="V186" s="182"/>
      <c r="W186" s="183"/>
      <c r="X186" s="183"/>
      <c r="Y186" s="183"/>
      <c r="Z186" s="183"/>
    </row>
    <row r="187" ht="15.75" customHeight="1">
      <c r="A187" s="184">
        <v>1.69546625E8</v>
      </c>
      <c r="B187" s="185" t="s">
        <v>778</v>
      </c>
      <c r="C187" s="186">
        <v>2.189787E7</v>
      </c>
      <c r="D187" s="186">
        <v>2571444.0</v>
      </c>
      <c r="E187" s="186">
        <v>849019.0</v>
      </c>
      <c r="F187" s="186">
        <v>281840.0</v>
      </c>
      <c r="G187" s="186">
        <v>208884.0</v>
      </c>
      <c r="H187" s="186">
        <v>79277.0</v>
      </c>
      <c r="I187" s="186">
        <v>51572.0</v>
      </c>
      <c r="J187" s="186">
        <v>63224.0</v>
      </c>
      <c r="K187" s="186">
        <v>684797.0</v>
      </c>
      <c r="L187" s="186">
        <v>0.0</v>
      </c>
      <c r="M187" s="181"/>
      <c r="N187" s="181"/>
      <c r="O187" s="181"/>
      <c r="P187" s="181"/>
      <c r="Q187" s="181"/>
      <c r="R187" s="181"/>
      <c r="S187" s="182"/>
      <c r="T187" s="182"/>
      <c r="U187" s="182"/>
      <c r="V187" s="182"/>
      <c r="W187" s="183"/>
      <c r="X187" s="183"/>
      <c r="Y187" s="183"/>
      <c r="Z187" s="183"/>
    </row>
    <row r="188" ht="15.75" customHeight="1">
      <c r="A188" s="184">
        <v>1.69474371E8</v>
      </c>
      <c r="B188" s="185" t="s">
        <v>779</v>
      </c>
      <c r="C188" s="186">
        <v>2.1879906E7</v>
      </c>
      <c r="D188" s="186">
        <v>8832868.0</v>
      </c>
      <c r="E188" s="186">
        <v>537240.0</v>
      </c>
      <c r="F188" s="186">
        <v>205383.0</v>
      </c>
      <c r="G188" s="186">
        <v>451916.0</v>
      </c>
      <c r="H188" s="186">
        <v>157400.0</v>
      </c>
      <c r="I188" s="186">
        <v>455442.0</v>
      </c>
      <c r="J188" s="186">
        <v>135197.0</v>
      </c>
      <c r="K188" s="186">
        <v>1405338.0</v>
      </c>
      <c r="L188" s="186">
        <v>4.6676365E7</v>
      </c>
      <c r="M188" s="181"/>
      <c r="N188" s="181"/>
      <c r="O188" s="181"/>
      <c r="P188" s="181"/>
      <c r="Q188" s="181"/>
      <c r="R188" s="181"/>
      <c r="S188" s="182"/>
      <c r="T188" s="182"/>
      <c r="U188" s="182"/>
      <c r="V188" s="182"/>
      <c r="W188" s="183"/>
      <c r="X188" s="183"/>
      <c r="Y188" s="183"/>
      <c r="Z188" s="183"/>
    </row>
    <row r="189" ht="15.75" customHeight="1">
      <c r="A189" s="184">
        <v>1.69520905E8</v>
      </c>
      <c r="B189" s="185" t="s">
        <v>780</v>
      </c>
      <c r="C189" s="186">
        <v>2.1860115E7</v>
      </c>
      <c r="D189" s="186">
        <v>2308386.0</v>
      </c>
      <c r="E189" s="186">
        <v>55574.0</v>
      </c>
      <c r="F189" s="186">
        <v>61270.0</v>
      </c>
      <c r="G189" s="186">
        <v>154891.0</v>
      </c>
      <c r="H189" s="186">
        <v>63365.0</v>
      </c>
      <c r="I189" s="186">
        <v>173289.0</v>
      </c>
      <c r="J189" s="186">
        <v>0.0</v>
      </c>
      <c r="K189" s="186">
        <v>452815.0</v>
      </c>
      <c r="L189" s="186">
        <v>2255156.0</v>
      </c>
      <c r="M189" s="181"/>
      <c r="N189" s="181"/>
      <c r="O189" s="181"/>
      <c r="P189" s="181"/>
      <c r="Q189" s="181"/>
      <c r="R189" s="181"/>
      <c r="S189" s="182"/>
      <c r="T189" s="182"/>
      <c r="U189" s="182"/>
      <c r="V189" s="182"/>
      <c r="W189" s="183"/>
      <c r="X189" s="183"/>
      <c r="Y189" s="183"/>
      <c r="Z189" s="183"/>
    </row>
    <row r="190" ht="15.75" customHeight="1">
      <c r="A190" s="184">
        <v>1.69534974E8</v>
      </c>
      <c r="B190" s="185" t="s">
        <v>781</v>
      </c>
      <c r="C190" s="186">
        <v>2.1798204E7</v>
      </c>
      <c r="D190" s="186">
        <v>1.7344403E7</v>
      </c>
      <c r="E190" s="186">
        <v>643851.0</v>
      </c>
      <c r="F190" s="186">
        <v>574168.0</v>
      </c>
      <c r="G190" s="186">
        <v>659415.0</v>
      </c>
      <c r="H190" s="186">
        <v>267465.0</v>
      </c>
      <c r="I190" s="186">
        <v>1100460.0</v>
      </c>
      <c r="J190" s="186">
        <v>191814.0</v>
      </c>
      <c r="K190" s="186">
        <v>2793322.0</v>
      </c>
      <c r="L190" s="186">
        <v>7.6725918E7</v>
      </c>
      <c r="M190" s="181"/>
      <c r="N190" s="181"/>
      <c r="O190" s="181"/>
      <c r="P190" s="181"/>
      <c r="Q190" s="181"/>
      <c r="R190" s="181"/>
      <c r="S190" s="182"/>
      <c r="T190" s="182"/>
      <c r="U190" s="182"/>
      <c r="V190" s="182"/>
      <c r="W190" s="183"/>
      <c r="X190" s="183"/>
      <c r="Y190" s="183"/>
      <c r="Z190" s="183"/>
    </row>
    <row r="191" ht="15.75" customHeight="1">
      <c r="A191" s="184">
        <v>1.69040893E8</v>
      </c>
      <c r="B191" s="185" t="s">
        <v>782</v>
      </c>
      <c r="C191" s="186">
        <v>2.1761121E7</v>
      </c>
      <c r="D191" s="186">
        <v>2618689.0</v>
      </c>
      <c r="E191" s="186">
        <v>32785.0</v>
      </c>
      <c r="F191" s="186">
        <v>44207.0</v>
      </c>
      <c r="G191" s="186">
        <v>51277.0</v>
      </c>
      <c r="H191" s="186">
        <v>39436.0</v>
      </c>
      <c r="I191" s="186">
        <v>178349.0</v>
      </c>
      <c r="J191" s="186">
        <v>28303.0</v>
      </c>
      <c r="K191" s="186">
        <v>341572.0</v>
      </c>
      <c r="L191" s="186">
        <v>1.2087E8</v>
      </c>
      <c r="M191" s="181"/>
      <c r="N191" s="181"/>
      <c r="O191" s="181"/>
      <c r="P191" s="181"/>
      <c r="Q191" s="181"/>
      <c r="R191" s="181"/>
      <c r="S191" s="182"/>
      <c r="T191" s="182"/>
      <c r="U191" s="182"/>
      <c r="V191" s="182"/>
      <c r="W191" s="183"/>
      <c r="X191" s="183"/>
      <c r="Y191" s="183"/>
      <c r="Z191" s="183"/>
    </row>
    <row r="192" ht="15.75" customHeight="1">
      <c r="A192" s="184">
        <v>1.1686139E8</v>
      </c>
      <c r="B192" s="185" t="s">
        <v>783</v>
      </c>
      <c r="C192" s="186">
        <v>2.1672592E7</v>
      </c>
      <c r="D192" s="186">
        <v>1.3866423E7</v>
      </c>
      <c r="E192" s="186">
        <v>130174.0</v>
      </c>
      <c r="F192" s="186">
        <v>173268.0</v>
      </c>
      <c r="G192" s="186">
        <v>157048.0</v>
      </c>
      <c r="H192" s="186">
        <v>126056.0</v>
      </c>
      <c r="I192" s="186">
        <v>1026595.0</v>
      </c>
      <c r="J192" s="186">
        <v>137375.0</v>
      </c>
      <c r="K192" s="186">
        <v>1620342.0</v>
      </c>
      <c r="L192" s="186">
        <v>9.3969301E7</v>
      </c>
      <c r="M192" s="181"/>
      <c r="N192" s="181"/>
      <c r="O192" s="181"/>
      <c r="P192" s="181"/>
      <c r="Q192" s="181"/>
      <c r="R192" s="181"/>
      <c r="S192" s="182"/>
      <c r="T192" s="182"/>
      <c r="U192" s="182"/>
      <c r="V192" s="182"/>
      <c r="W192" s="183"/>
      <c r="X192" s="183"/>
      <c r="Y192" s="183"/>
      <c r="Z192" s="183"/>
    </row>
    <row r="193" ht="15.75" customHeight="1">
      <c r="A193" s="184">
        <v>1.69472536E8</v>
      </c>
      <c r="B193" s="185" t="s">
        <v>784</v>
      </c>
      <c r="C193" s="186">
        <v>2.1657471E7</v>
      </c>
      <c r="D193" s="186">
        <v>4469723.0</v>
      </c>
      <c r="E193" s="186">
        <v>200485.0</v>
      </c>
      <c r="F193" s="186">
        <v>486247.0</v>
      </c>
      <c r="G193" s="186">
        <v>17045.0</v>
      </c>
      <c r="H193" s="186">
        <v>1846.0</v>
      </c>
      <c r="I193" s="186">
        <v>251180.0</v>
      </c>
      <c r="J193" s="186">
        <v>90960.0</v>
      </c>
      <c r="K193" s="186">
        <v>847278.0</v>
      </c>
      <c r="L193" s="186">
        <v>1.683E9</v>
      </c>
      <c r="M193" s="181"/>
      <c r="N193" s="181"/>
      <c r="O193" s="181"/>
      <c r="P193" s="181"/>
      <c r="Q193" s="181"/>
      <c r="R193" s="181"/>
      <c r="S193" s="182"/>
      <c r="T193" s="182"/>
      <c r="U193" s="182"/>
      <c r="V193" s="182"/>
      <c r="W193" s="183"/>
      <c r="X193" s="183"/>
      <c r="Y193" s="183"/>
      <c r="Z193" s="183"/>
    </row>
    <row r="194" ht="15.75" customHeight="1">
      <c r="A194" s="184">
        <v>1.69208168E8</v>
      </c>
      <c r="B194" s="185" t="s">
        <v>785</v>
      </c>
      <c r="C194" s="186">
        <v>2.1600848E7</v>
      </c>
      <c r="D194" s="186">
        <v>8701686.0</v>
      </c>
      <c r="E194" s="186">
        <v>541686.0</v>
      </c>
      <c r="F194" s="186">
        <v>580323.0</v>
      </c>
      <c r="G194" s="186">
        <v>640226.0</v>
      </c>
      <c r="H194" s="186">
        <v>223495.0</v>
      </c>
      <c r="I194" s="186">
        <v>458773.0</v>
      </c>
      <c r="J194" s="186">
        <v>91173.0</v>
      </c>
      <c r="K194" s="186">
        <v>1993990.0</v>
      </c>
      <c r="L194" s="186">
        <v>5.70934102E8</v>
      </c>
      <c r="M194" s="181"/>
      <c r="N194" s="181"/>
      <c r="O194" s="181"/>
      <c r="P194" s="181"/>
      <c r="Q194" s="181"/>
      <c r="R194" s="181"/>
      <c r="S194" s="182"/>
      <c r="T194" s="182"/>
      <c r="U194" s="182"/>
      <c r="V194" s="182"/>
      <c r="W194" s="183"/>
      <c r="X194" s="183"/>
      <c r="Y194" s="183"/>
      <c r="Z194" s="183"/>
    </row>
    <row r="195" ht="15.75" customHeight="1">
      <c r="A195" s="184">
        <v>1.69537018E8</v>
      </c>
      <c r="B195" s="185" t="s">
        <v>786</v>
      </c>
      <c r="C195" s="186">
        <v>2.1508437E7</v>
      </c>
      <c r="D195" s="186">
        <v>2.1398016E7</v>
      </c>
      <c r="E195" s="186">
        <v>1881629.0</v>
      </c>
      <c r="F195" s="186">
        <v>1885672.0</v>
      </c>
      <c r="G195" s="186">
        <v>2735603.0</v>
      </c>
      <c r="H195" s="186">
        <v>1378749.0</v>
      </c>
      <c r="I195" s="186">
        <v>1003468.0</v>
      </c>
      <c r="J195" s="186">
        <v>0.0</v>
      </c>
      <c r="K195" s="186">
        <v>7003492.0</v>
      </c>
      <c r="L195" s="186">
        <v>1.1021512E7</v>
      </c>
      <c r="M195" s="181"/>
      <c r="N195" s="181"/>
      <c r="O195" s="181"/>
      <c r="P195" s="181"/>
      <c r="Q195" s="181"/>
      <c r="R195" s="181"/>
      <c r="S195" s="182"/>
      <c r="T195" s="182"/>
      <c r="U195" s="182"/>
      <c r="V195" s="182"/>
      <c r="W195" s="183"/>
      <c r="X195" s="183"/>
      <c r="Y195" s="183"/>
      <c r="Z195" s="183"/>
    </row>
    <row r="196" ht="15.75" customHeight="1">
      <c r="A196" s="184">
        <v>1.69479671E8</v>
      </c>
      <c r="B196" s="185" t="s">
        <v>787</v>
      </c>
      <c r="C196" s="186">
        <v>2.1502344E7</v>
      </c>
      <c r="D196" s="186">
        <v>5485179.0</v>
      </c>
      <c r="E196" s="186">
        <v>757971.0</v>
      </c>
      <c r="F196" s="186">
        <v>345268.0</v>
      </c>
      <c r="G196" s="186">
        <v>273643.0</v>
      </c>
      <c r="H196" s="186">
        <v>240655.0</v>
      </c>
      <c r="I196" s="186">
        <v>321818.0</v>
      </c>
      <c r="J196" s="186">
        <v>34402.0</v>
      </c>
      <c r="K196" s="186">
        <v>1215786.0</v>
      </c>
      <c r="L196" s="186">
        <v>1.88266062E8</v>
      </c>
      <c r="M196" s="181"/>
      <c r="N196" s="181"/>
      <c r="O196" s="181"/>
      <c r="P196" s="181"/>
      <c r="Q196" s="181"/>
      <c r="R196" s="181"/>
      <c r="S196" s="182"/>
      <c r="T196" s="182"/>
      <c r="U196" s="182"/>
      <c r="V196" s="182"/>
      <c r="W196" s="183"/>
      <c r="X196" s="183"/>
      <c r="Y196" s="183"/>
      <c r="Z196" s="183"/>
    </row>
    <row r="197" ht="15.75" customHeight="1">
      <c r="A197" s="184">
        <v>1.6955074E8</v>
      </c>
      <c r="B197" s="185" t="s">
        <v>788</v>
      </c>
      <c r="C197" s="186">
        <v>2.1501489E7</v>
      </c>
      <c r="D197" s="186">
        <v>5657352.0</v>
      </c>
      <c r="E197" s="186">
        <v>706529.0</v>
      </c>
      <c r="F197" s="186">
        <v>239292.0</v>
      </c>
      <c r="G197" s="186">
        <v>256154.0</v>
      </c>
      <c r="H197" s="186">
        <v>325264.0</v>
      </c>
      <c r="I197" s="186">
        <v>356527.0</v>
      </c>
      <c r="J197" s="186">
        <v>11543.0</v>
      </c>
      <c r="K197" s="186">
        <v>1188780.0</v>
      </c>
      <c r="L197" s="186">
        <v>1.28001306E8</v>
      </c>
      <c r="M197" s="181"/>
      <c r="N197" s="181"/>
      <c r="O197" s="181"/>
      <c r="P197" s="181"/>
      <c r="Q197" s="181"/>
      <c r="R197" s="181"/>
      <c r="S197" s="182"/>
      <c r="T197" s="182"/>
      <c r="U197" s="182"/>
      <c r="V197" s="182"/>
      <c r="W197" s="183"/>
      <c r="X197" s="183"/>
      <c r="Y197" s="183"/>
      <c r="Z197" s="183"/>
    </row>
    <row r="198" ht="15.75" customHeight="1">
      <c r="A198" s="184">
        <v>1.69014929E8</v>
      </c>
      <c r="B198" s="185" t="s">
        <v>789</v>
      </c>
      <c r="C198" s="186">
        <v>2.1482746E7</v>
      </c>
      <c r="D198" s="186">
        <v>3806745.0</v>
      </c>
      <c r="E198" s="186">
        <v>947229.0</v>
      </c>
      <c r="F198" s="186">
        <v>83217.0</v>
      </c>
      <c r="G198" s="186">
        <v>158227.0</v>
      </c>
      <c r="H198" s="186">
        <v>70527.0</v>
      </c>
      <c r="I198" s="186">
        <v>228818.0</v>
      </c>
      <c r="J198" s="186">
        <v>45168.0</v>
      </c>
      <c r="K198" s="186">
        <v>585957.0</v>
      </c>
      <c r="L198" s="186">
        <v>3398000.0</v>
      </c>
      <c r="M198" s="181"/>
      <c r="N198" s="181"/>
      <c r="O198" s="181"/>
      <c r="P198" s="181"/>
      <c r="Q198" s="181"/>
      <c r="R198" s="181"/>
      <c r="S198" s="182"/>
      <c r="T198" s="182"/>
      <c r="U198" s="182"/>
      <c r="V198" s="182"/>
      <c r="W198" s="183"/>
      <c r="X198" s="183"/>
      <c r="Y198" s="183"/>
      <c r="Z198" s="183"/>
    </row>
    <row r="199" ht="15.75" customHeight="1">
      <c r="A199" s="184">
        <v>1.69495887E8</v>
      </c>
      <c r="B199" s="185" t="s">
        <v>790</v>
      </c>
      <c r="C199" s="186">
        <v>2.1481348E7</v>
      </c>
      <c r="D199" s="186">
        <v>2.5695417E7</v>
      </c>
      <c r="E199" s="186">
        <v>1262142.0</v>
      </c>
      <c r="F199" s="186">
        <v>1098815.0</v>
      </c>
      <c r="G199" s="186">
        <v>751767.0</v>
      </c>
      <c r="H199" s="186">
        <v>489510.0</v>
      </c>
      <c r="I199" s="186">
        <v>1760844.0</v>
      </c>
      <c r="J199" s="186">
        <v>220282.0</v>
      </c>
      <c r="K199" s="186">
        <v>4321218.0</v>
      </c>
      <c r="L199" s="186">
        <v>4.0</v>
      </c>
      <c r="M199" s="181"/>
      <c r="N199" s="181"/>
      <c r="O199" s="181"/>
      <c r="P199" s="181"/>
      <c r="Q199" s="181"/>
      <c r="R199" s="181"/>
      <c r="S199" s="182"/>
      <c r="T199" s="182"/>
      <c r="U199" s="182"/>
      <c r="V199" s="182"/>
      <c r="W199" s="183"/>
      <c r="X199" s="183"/>
      <c r="Y199" s="183"/>
      <c r="Z199" s="183"/>
    </row>
    <row r="200" ht="15.75" customHeight="1">
      <c r="A200" s="184">
        <v>1.69303077E8</v>
      </c>
      <c r="B200" s="185" t="s">
        <v>791</v>
      </c>
      <c r="C200" s="186">
        <v>2.1411898E7</v>
      </c>
      <c r="D200" s="186">
        <v>1362095.0</v>
      </c>
      <c r="E200" s="186">
        <v>685770.0</v>
      </c>
      <c r="F200" s="186">
        <v>21976.0</v>
      </c>
      <c r="G200" s="186">
        <v>88165.0</v>
      </c>
      <c r="H200" s="186">
        <v>117155.0</v>
      </c>
      <c r="I200" s="186">
        <v>71275.0</v>
      </c>
      <c r="J200" s="186">
        <v>0.0</v>
      </c>
      <c r="K200" s="186">
        <v>298571.0</v>
      </c>
      <c r="L200" s="186">
        <v>1963984.0</v>
      </c>
      <c r="M200" s="181"/>
      <c r="N200" s="181"/>
      <c r="O200" s="181"/>
      <c r="P200" s="181"/>
      <c r="Q200" s="181"/>
      <c r="R200" s="181"/>
      <c r="S200" s="182"/>
      <c r="T200" s="182"/>
      <c r="U200" s="182"/>
      <c r="V200" s="182"/>
      <c r="W200" s="183"/>
      <c r="X200" s="183"/>
      <c r="Y200" s="183"/>
      <c r="Z200" s="183"/>
    </row>
    <row r="201" ht="15.75" customHeight="1">
      <c r="A201" s="184">
        <v>1.69573883E8</v>
      </c>
      <c r="B201" s="185" t="s">
        <v>792</v>
      </c>
      <c r="C201" s="186">
        <v>2.1382636E7</v>
      </c>
      <c r="D201" s="186">
        <v>4813647.0</v>
      </c>
      <c r="E201" s="186">
        <v>33843.0</v>
      </c>
      <c r="F201" s="186">
        <v>72398.0</v>
      </c>
      <c r="G201" s="186">
        <v>129238.0</v>
      </c>
      <c r="H201" s="186">
        <v>13958.0</v>
      </c>
      <c r="I201" s="186">
        <v>369950.0</v>
      </c>
      <c r="J201" s="186">
        <v>39268.0</v>
      </c>
      <c r="K201" s="186">
        <v>624812.0</v>
      </c>
      <c r="L201" s="186">
        <v>7.2105369E7</v>
      </c>
      <c r="M201" s="181"/>
      <c r="N201" s="181"/>
      <c r="O201" s="181"/>
      <c r="P201" s="181"/>
      <c r="Q201" s="181"/>
      <c r="R201" s="181"/>
      <c r="S201" s="182"/>
      <c r="T201" s="182"/>
      <c r="U201" s="182"/>
      <c r="V201" s="182"/>
      <c r="W201" s="183"/>
      <c r="X201" s="183"/>
      <c r="Y201" s="183"/>
      <c r="Z201" s="183"/>
    </row>
    <row r="202" ht="15.75" customHeight="1">
      <c r="A202" s="184">
        <v>1.69264266E8</v>
      </c>
      <c r="B202" s="185" t="s">
        <v>793</v>
      </c>
      <c r="C202" s="186">
        <v>2.1342753E7</v>
      </c>
      <c r="D202" s="186">
        <v>8566596.0</v>
      </c>
      <c r="E202" s="186">
        <v>750583.0</v>
      </c>
      <c r="F202" s="186">
        <v>73143.0</v>
      </c>
      <c r="G202" s="186">
        <v>165443.0</v>
      </c>
      <c r="H202" s="186">
        <v>107048.0</v>
      </c>
      <c r="I202" s="186">
        <v>412129.0</v>
      </c>
      <c r="J202" s="186">
        <v>183580.0</v>
      </c>
      <c r="K202" s="186">
        <v>941343.0</v>
      </c>
      <c r="L202" s="186">
        <v>4.51476839E8</v>
      </c>
      <c r="M202" s="181"/>
      <c r="N202" s="181"/>
      <c r="O202" s="181"/>
      <c r="P202" s="181"/>
      <c r="Q202" s="181"/>
      <c r="R202" s="181"/>
      <c r="S202" s="182"/>
      <c r="T202" s="182"/>
      <c r="U202" s="182"/>
      <c r="V202" s="182"/>
      <c r="W202" s="183"/>
      <c r="X202" s="183"/>
      <c r="Y202" s="183"/>
      <c r="Z202" s="183"/>
    </row>
    <row r="203" ht="15.75" customHeight="1">
      <c r="A203" s="184">
        <v>1.69492866E8</v>
      </c>
      <c r="B203" s="185" t="s">
        <v>794</v>
      </c>
      <c r="C203" s="186">
        <v>2.1301106E7</v>
      </c>
      <c r="D203" s="186">
        <v>8667687.0</v>
      </c>
      <c r="E203" s="186">
        <v>491334.0</v>
      </c>
      <c r="F203" s="186">
        <v>186899.0</v>
      </c>
      <c r="G203" s="186">
        <v>577066.0</v>
      </c>
      <c r="H203" s="186">
        <v>982144.0</v>
      </c>
      <c r="I203" s="186">
        <v>345786.0</v>
      </c>
      <c r="J203" s="186">
        <v>4487.0</v>
      </c>
      <c r="K203" s="186">
        <v>2096382.0</v>
      </c>
      <c r="L203" s="186">
        <v>1.29933466E8</v>
      </c>
      <c r="M203" s="181"/>
      <c r="N203" s="181"/>
      <c r="O203" s="181"/>
      <c r="P203" s="181"/>
      <c r="Q203" s="181"/>
      <c r="R203" s="181"/>
      <c r="S203" s="182"/>
      <c r="T203" s="182"/>
      <c r="U203" s="182"/>
      <c r="V203" s="182"/>
      <c r="W203" s="183"/>
      <c r="X203" s="183"/>
      <c r="Y203" s="183"/>
      <c r="Z203" s="183"/>
    </row>
    <row r="204" ht="15.75" customHeight="1">
      <c r="A204" s="184">
        <v>1.69494962E8</v>
      </c>
      <c r="B204" s="185" t="s">
        <v>795</v>
      </c>
      <c r="C204" s="186">
        <v>2.128343E7</v>
      </c>
      <c r="D204" s="186">
        <v>754285.0</v>
      </c>
      <c r="E204" s="186">
        <v>1403969.0</v>
      </c>
      <c r="F204" s="186">
        <v>70306.0</v>
      </c>
      <c r="G204" s="186">
        <v>50183.0</v>
      </c>
      <c r="H204" s="186">
        <v>5737.0</v>
      </c>
      <c r="I204" s="186">
        <v>37269.0</v>
      </c>
      <c r="J204" s="186">
        <v>12211.0</v>
      </c>
      <c r="K204" s="186">
        <v>175706.0</v>
      </c>
      <c r="L204" s="186">
        <v>0.0</v>
      </c>
      <c r="M204" s="181"/>
      <c r="N204" s="181"/>
      <c r="O204" s="181"/>
      <c r="P204" s="181"/>
      <c r="Q204" s="181"/>
      <c r="R204" s="181"/>
      <c r="S204" s="182"/>
      <c r="T204" s="182"/>
      <c r="U204" s="182"/>
      <c r="V204" s="182"/>
      <c r="W204" s="183"/>
      <c r="X204" s="183"/>
      <c r="Y204" s="183"/>
      <c r="Z204" s="183"/>
    </row>
    <row r="205" ht="15.75" customHeight="1">
      <c r="A205" s="184">
        <v>1.69488315E8</v>
      </c>
      <c r="B205" s="185" t="s">
        <v>796</v>
      </c>
      <c r="C205" s="186">
        <v>2.1238457E7</v>
      </c>
      <c r="D205" s="186">
        <v>5434797.0</v>
      </c>
      <c r="E205" s="186">
        <v>57186.0</v>
      </c>
      <c r="F205" s="186">
        <v>220908.0</v>
      </c>
      <c r="G205" s="186">
        <v>145945.0</v>
      </c>
      <c r="H205" s="186">
        <v>42969.0</v>
      </c>
      <c r="I205" s="186">
        <v>450045.0</v>
      </c>
      <c r="J205" s="186">
        <v>21320.0</v>
      </c>
      <c r="K205" s="186">
        <v>881187.0</v>
      </c>
      <c r="L205" s="186">
        <v>7.0447194E7</v>
      </c>
      <c r="M205" s="181"/>
      <c r="N205" s="181"/>
      <c r="O205" s="181"/>
      <c r="P205" s="181"/>
      <c r="Q205" s="181"/>
      <c r="R205" s="181"/>
      <c r="S205" s="182"/>
      <c r="T205" s="182"/>
      <c r="U205" s="182"/>
      <c r="V205" s="182"/>
      <c r="W205" s="183"/>
      <c r="X205" s="183"/>
      <c r="Y205" s="183"/>
      <c r="Z205" s="183"/>
    </row>
    <row r="206" ht="15.75" customHeight="1">
      <c r="A206" s="184">
        <v>1.6950297E8</v>
      </c>
      <c r="B206" s="185" t="s">
        <v>797</v>
      </c>
      <c r="C206" s="186">
        <v>2.114512E7</v>
      </c>
      <c r="D206" s="186">
        <v>5244702.0</v>
      </c>
      <c r="E206" s="186">
        <v>1695918.0</v>
      </c>
      <c r="F206" s="186">
        <v>139483.0</v>
      </c>
      <c r="G206" s="186">
        <v>132521.0</v>
      </c>
      <c r="H206" s="186">
        <v>57361.0</v>
      </c>
      <c r="I206" s="186">
        <v>316898.0</v>
      </c>
      <c r="J206" s="186">
        <v>77667.0</v>
      </c>
      <c r="K206" s="186">
        <v>723930.0</v>
      </c>
      <c r="L206" s="186">
        <v>3549815.0</v>
      </c>
      <c r="M206" s="181"/>
      <c r="N206" s="181"/>
      <c r="O206" s="181"/>
      <c r="P206" s="181"/>
      <c r="Q206" s="181"/>
      <c r="R206" s="181"/>
      <c r="S206" s="182"/>
      <c r="T206" s="182"/>
      <c r="U206" s="182"/>
      <c r="V206" s="182"/>
      <c r="W206" s="183"/>
      <c r="X206" s="183"/>
      <c r="Y206" s="183"/>
      <c r="Z206" s="183"/>
    </row>
    <row r="207" ht="15.75" customHeight="1">
      <c r="A207" s="184">
        <v>1.69520597E8</v>
      </c>
      <c r="B207" s="185" t="s">
        <v>798</v>
      </c>
      <c r="C207" s="186">
        <v>2.1081077E7</v>
      </c>
      <c r="D207" s="186">
        <v>2497346.0</v>
      </c>
      <c r="E207" s="186">
        <v>354228.0</v>
      </c>
      <c r="F207" s="186">
        <v>15903.0</v>
      </c>
      <c r="G207" s="186">
        <v>55003.0</v>
      </c>
      <c r="H207" s="186">
        <v>72105.0</v>
      </c>
      <c r="I207" s="186">
        <v>149770.0</v>
      </c>
      <c r="J207" s="186">
        <v>29902.0</v>
      </c>
      <c r="K207" s="186">
        <v>322683.0</v>
      </c>
      <c r="L207" s="186">
        <v>3.9722656E7</v>
      </c>
      <c r="M207" s="181"/>
      <c r="N207" s="181"/>
      <c r="O207" s="181"/>
      <c r="P207" s="181"/>
      <c r="Q207" s="181"/>
      <c r="R207" s="181"/>
      <c r="S207" s="182"/>
      <c r="T207" s="182"/>
      <c r="U207" s="182"/>
      <c r="V207" s="182"/>
      <c r="W207" s="183"/>
      <c r="X207" s="183"/>
      <c r="Y207" s="183"/>
      <c r="Z207" s="183"/>
    </row>
    <row r="208" ht="15.75" customHeight="1">
      <c r="A208" s="184">
        <v>1.69371317E8</v>
      </c>
      <c r="B208" s="185" t="s">
        <v>799</v>
      </c>
      <c r="C208" s="186">
        <v>2.1072787E7</v>
      </c>
      <c r="D208" s="186">
        <v>4531451.0</v>
      </c>
      <c r="E208" s="186">
        <v>513299.0</v>
      </c>
      <c r="F208" s="186">
        <v>249545.0</v>
      </c>
      <c r="G208" s="186">
        <v>257481.0</v>
      </c>
      <c r="H208" s="186">
        <v>164070.0</v>
      </c>
      <c r="I208" s="186">
        <v>277016.0</v>
      </c>
      <c r="J208" s="186">
        <v>27007.0</v>
      </c>
      <c r="K208" s="186">
        <v>975119.0</v>
      </c>
      <c r="L208" s="186">
        <v>2.02300165E8</v>
      </c>
      <c r="M208" s="181"/>
      <c r="N208" s="181"/>
      <c r="O208" s="181"/>
      <c r="P208" s="181"/>
      <c r="Q208" s="181"/>
      <c r="R208" s="181"/>
      <c r="S208" s="182"/>
      <c r="T208" s="182"/>
      <c r="U208" s="182"/>
      <c r="V208" s="182"/>
      <c r="W208" s="183"/>
      <c r="X208" s="183"/>
      <c r="Y208" s="183"/>
      <c r="Z208" s="183"/>
    </row>
    <row r="209" ht="15.75" customHeight="1">
      <c r="A209" s="184">
        <v>1.69555231E8</v>
      </c>
      <c r="B209" s="185" t="s">
        <v>800</v>
      </c>
      <c r="C209" s="186">
        <v>2.1021434E7</v>
      </c>
      <c r="D209" s="186">
        <v>4354641.0</v>
      </c>
      <c r="E209" s="186">
        <v>262639.0</v>
      </c>
      <c r="F209" s="186">
        <v>79947.0</v>
      </c>
      <c r="G209" s="186">
        <v>423732.0</v>
      </c>
      <c r="H209" s="186">
        <v>249792.0</v>
      </c>
      <c r="I209" s="186">
        <v>151428.0</v>
      </c>
      <c r="J209" s="186">
        <v>48887.0</v>
      </c>
      <c r="K209" s="186">
        <v>953786.0</v>
      </c>
      <c r="L209" s="186">
        <v>8.4454709E7</v>
      </c>
      <c r="M209" s="181"/>
      <c r="N209" s="181"/>
      <c r="O209" s="181"/>
      <c r="P209" s="181"/>
      <c r="Q209" s="181"/>
      <c r="R209" s="181"/>
      <c r="S209" s="182"/>
      <c r="T209" s="182"/>
      <c r="U209" s="182"/>
      <c r="V209" s="182"/>
      <c r="W209" s="183"/>
      <c r="X209" s="183"/>
      <c r="Y209" s="183"/>
      <c r="Z209" s="183"/>
    </row>
    <row r="210" ht="15.75" customHeight="1">
      <c r="A210" s="184">
        <v>1.6956375E8</v>
      </c>
      <c r="B210" s="185" t="s">
        <v>801</v>
      </c>
      <c r="C210" s="186">
        <v>2.1009659E7</v>
      </c>
      <c r="D210" s="186">
        <v>3.1275506E7</v>
      </c>
      <c r="E210" s="186">
        <v>626780.0</v>
      </c>
      <c r="F210" s="186">
        <v>337724.0</v>
      </c>
      <c r="G210" s="186">
        <v>939466.0</v>
      </c>
      <c r="H210" s="186">
        <v>660270.0</v>
      </c>
      <c r="I210" s="186">
        <v>2120695.0</v>
      </c>
      <c r="J210" s="186">
        <v>274050.0</v>
      </c>
      <c r="K210" s="186">
        <v>4332205.0</v>
      </c>
      <c r="L210" s="186">
        <v>1.10263915E8</v>
      </c>
      <c r="M210" s="181"/>
      <c r="N210" s="181"/>
      <c r="O210" s="181"/>
      <c r="P210" s="181"/>
      <c r="Q210" s="181"/>
      <c r="R210" s="181"/>
      <c r="S210" s="182"/>
      <c r="T210" s="182"/>
      <c r="U210" s="182"/>
      <c r="V210" s="182"/>
      <c r="W210" s="183"/>
      <c r="X210" s="183"/>
      <c r="Y210" s="183"/>
      <c r="Z210" s="183"/>
    </row>
    <row r="211" ht="15.75" customHeight="1">
      <c r="A211" s="184">
        <v>1.6952382E8</v>
      </c>
      <c r="B211" s="185" t="s">
        <v>802</v>
      </c>
      <c r="C211" s="186">
        <v>2.0983264E7</v>
      </c>
      <c r="D211" s="186">
        <v>8156849.0</v>
      </c>
      <c r="E211" s="186">
        <v>659171.0</v>
      </c>
      <c r="F211" s="186">
        <v>296896.0</v>
      </c>
      <c r="G211" s="186">
        <v>1019159.0</v>
      </c>
      <c r="H211" s="186">
        <v>668483.0</v>
      </c>
      <c r="I211" s="186">
        <v>338522.0</v>
      </c>
      <c r="J211" s="186">
        <v>0.0</v>
      </c>
      <c r="K211" s="186">
        <v>2323060.0</v>
      </c>
      <c r="L211" s="186">
        <v>2.3917228E7</v>
      </c>
      <c r="M211" s="181"/>
      <c r="N211" s="181"/>
      <c r="O211" s="181"/>
      <c r="P211" s="181"/>
      <c r="Q211" s="181"/>
      <c r="R211" s="181"/>
      <c r="S211" s="182"/>
      <c r="T211" s="182"/>
      <c r="U211" s="182"/>
      <c r="V211" s="182"/>
      <c r="W211" s="183"/>
      <c r="X211" s="183"/>
      <c r="Y211" s="183"/>
      <c r="Z211" s="183"/>
    </row>
    <row r="212" ht="15.75" customHeight="1">
      <c r="A212" s="184">
        <v>1.69413919E8</v>
      </c>
      <c r="B212" s="185" t="s">
        <v>803</v>
      </c>
      <c r="C212" s="186">
        <v>2.0970235E7</v>
      </c>
      <c r="D212" s="186">
        <v>8037171.0</v>
      </c>
      <c r="E212" s="186">
        <v>376839.0</v>
      </c>
      <c r="F212" s="186">
        <v>255637.0</v>
      </c>
      <c r="G212" s="186">
        <v>355515.0</v>
      </c>
      <c r="H212" s="186">
        <v>524301.0</v>
      </c>
      <c r="I212" s="186">
        <v>492469.0</v>
      </c>
      <c r="J212" s="186">
        <v>12656.0</v>
      </c>
      <c r="K212" s="186">
        <v>1640578.0</v>
      </c>
      <c r="L212" s="186">
        <v>9.7129E7</v>
      </c>
      <c r="M212" s="181"/>
      <c r="N212" s="181"/>
      <c r="O212" s="181"/>
      <c r="P212" s="181"/>
      <c r="Q212" s="181"/>
      <c r="R212" s="181"/>
      <c r="S212" s="182"/>
      <c r="T212" s="182"/>
      <c r="U212" s="182"/>
      <c r="V212" s="182"/>
      <c r="W212" s="183"/>
      <c r="X212" s="183"/>
      <c r="Y212" s="183"/>
      <c r="Z212" s="183"/>
    </row>
    <row r="213" ht="15.75" customHeight="1">
      <c r="A213" s="184">
        <v>1.69049907E8</v>
      </c>
      <c r="B213" s="185" t="s">
        <v>804</v>
      </c>
      <c r="C213" s="186">
        <v>2.0863112E7</v>
      </c>
      <c r="D213" s="186">
        <v>3.5767937E7</v>
      </c>
      <c r="E213" s="186">
        <v>697147.0</v>
      </c>
      <c r="F213" s="186">
        <v>697568.0</v>
      </c>
      <c r="G213" s="186">
        <v>1406385.0</v>
      </c>
      <c r="H213" s="186">
        <v>565931.0</v>
      </c>
      <c r="I213" s="186">
        <v>2900905.0</v>
      </c>
      <c r="J213" s="186">
        <v>77144.0</v>
      </c>
      <c r="K213" s="186">
        <v>5647933.0</v>
      </c>
      <c r="L213" s="186">
        <v>0.0</v>
      </c>
      <c r="M213" s="181"/>
      <c r="N213" s="181"/>
      <c r="O213" s="181"/>
      <c r="P213" s="181"/>
      <c r="Q213" s="181"/>
      <c r="R213" s="181"/>
      <c r="S213" s="182"/>
      <c r="T213" s="182"/>
      <c r="U213" s="182"/>
      <c r="V213" s="182"/>
      <c r="W213" s="183"/>
      <c r="X213" s="183"/>
      <c r="Y213" s="183"/>
      <c r="Z213" s="183"/>
    </row>
    <row r="214" ht="15.75" customHeight="1">
      <c r="A214" s="184">
        <v>1.6908229E8</v>
      </c>
      <c r="B214" s="185" t="s">
        <v>805</v>
      </c>
      <c r="C214" s="186">
        <v>2.0856979E7</v>
      </c>
      <c r="D214" s="186">
        <v>1.3611063E7</v>
      </c>
      <c r="E214" s="186">
        <v>373616.0</v>
      </c>
      <c r="F214" s="186">
        <v>488275.0</v>
      </c>
      <c r="G214" s="186">
        <v>63486.0</v>
      </c>
      <c r="H214" s="186">
        <v>101024.0</v>
      </c>
      <c r="I214" s="186">
        <v>630004.0</v>
      </c>
      <c r="J214" s="186">
        <v>334115.0</v>
      </c>
      <c r="K214" s="186">
        <v>1616904.0</v>
      </c>
      <c r="L214" s="186">
        <v>6.3920006E7</v>
      </c>
      <c r="M214" s="181"/>
      <c r="N214" s="181"/>
      <c r="O214" s="181"/>
      <c r="P214" s="181"/>
      <c r="Q214" s="181"/>
      <c r="R214" s="181"/>
      <c r="S214" s="182"/>
      <c r="T214" s="182"/>
      <c r="U214" s="182"/>
      <c r="V214" s="182"/>
      <c r="W214" s="183"/>
      <c r="X214" s="183"/>
      <c r="Y214" s="183"/>
      <c r="Z214" s="183"/>
    </row>
    <row r="215" ht="15.75" customHeight="1">
      <c r="A215" s="184">
        <v>1.6953266E8</v>
      </c>
      <c r="B215" s="185" t="s">
        <v>806</v>
      </c>
      <c r="C215" s="186">
        <v>2.0848443E7</v>
      </c>
      <c r="D215" s="186">
        <v>4362409.0</v>
      </c>
      <c r="E215" s="186">
        <v>1976191.0</v>
      </c>
      <c r="F215" s="186">
        <v>276648.0</v>
      </c>
      <c r="G215" s="186">
        <v>548314.0</v>
      </c>
      <c r="H215" s="186">
        <v>107728.0</v>
      </c>
      <c r="I215" s="186">
        <v>277954.0</v>
      </c>
      <c r="J215" s="186">
        <v>0.0</v>
      </c>
      <c r="K215" s="186">
        <v>1210644.0</v>
      </c>
      <c r="L215" s="186">
        <v>1799999.0</v>
      </c>
      <c r="M215" s="181"/>
      <c r="N215" s="181"/>
      <c r="O215" s="181"/>
      <c r="P215" s="181"/>
      <c r="Q215" s="181"/>
      <c r="R215" s="181"/>
      <c r="S215" s="182"/>
      <c r="T215" s="182"/>
      <c r="U215" s="182"/>
      <c r="V215" s="182"/>
      <c r="W215" s="183"/>
      <c r="X215" s="183"/>
      <c r="Y215" s="183"/>
      <c r="Z215" s="183"/>
    </row>
    <row r="216" ht="15.75" customHeight="1">
      <c r="A216" s="184">
        <v>1.53755963E8</v>
      </c>
      <c r="B216" s="185" t="s">
        <v>807</v>
      </c>
      <c r="C216" s="186">
        <v>2.0829792E7</v>
      </c>
      <c r="D216" s="186">
        <v>1.9147972E7</v>
      </c>
      <c r="E216" s="186">
        <v>939948.0</v>
      </c>
      <c r="F216" s="186">
        <v>887332.0</v>
      </c>
      <c r="G216" s="186">
        <v>1564605.0</v>
      </c>
      <c r="H216" s="186">
        <v>615964.0</v>
      </c>
      <c r="I216" s="186">
        <v>1162696.0</v>
      </c>
      <c r="J216" s="186">
        <v>87524.0</v>
      </c>
      <c r="K216" s="186">
        <v>4318121.0</v>
      </c>
      <c r="L216" s="186">
        <v>1.10757311E8</v>
      </c>
      <c r="M216" s="181"/>
      <c r="N216" s="181"/>
      <c r="O216" s="181"/>
      <c r="P216" s="181"/>
      <c r="Q216" s="181"/>
      <c r="R216" s="181"/>
      <c r="S216" s="182"/>
      <c r="T216" s="182"/>
      <c r="U216" s="182"/>
      <c r="V216" s="182"/>
      <c r="W216" s="183"/>
      <c r="X216" s="183"/>
      <c r="Y216" s="183"/>
      <c r="Z216" s="183"/>
    </row>
    <row r="217" ht="15.75" customHeight="1">
      <c r="A217" s="184">
        <v>1.69063824E8</v>
      </c>
      <c r="B217" s="185" t="s">
        <v>808</v>
      </c>
      <c r="C217" s="186">
        <v>2.0749884E7</v>
      </c>
      <c r="D217" s="186">
        <v>3.9999229E7</v>
      </c>
      <c r="E217" s="186">
        <v>692374.0</v>
      </c>
      <c r="F217" s="186">
        <v>3999478.0</v>
      </c>
      <c r="G217" s="186">
        <v>726658.0</v>
      </c>
      <c r="H217" s="186">
        <v>853407.0</v>
      </c>
      <c r="I217" s="186">
        <v>2357115.0</v>
      </c>
      <c r="J217" s="186">
        <v>538062.0</v>
      </c>
      <c r="K217" s="186">
        <v>8474720.0</v>
      </c>
      <c r="L217" s="186">
        <v>1.68373351E8</v>
      </c>
      <c r="M217" s="181"/>
      <c r="N217" s="181"/>
      <c r="O217" s="181"/>
      <c r="P217" s="181"/>
      <c r="Q217" s="181"/>
      <c r="R217" s="181"/>
      <c r="S217" s="182"/>
      <c r="T217" s="182"/>
      <c r="U217" s="182"/>
      <c r="V217" s="182"/>
      <c r="W217" s="183"/>
      <c r="X217" s="183"/>
      <c r="Y217" s="183"/>
      <c r="Z217" s="183"/>
    </row>
    <row r="218" ht="15.75" customHeight="1">
      <c r="A218" s="184">
        <v>1.6954957E8</v>
      </c>
      <c r="B218" s="185" t="s">
        <v>809</v>
      </c>
      <c r="C218" s="186">
        <v>2.074094E7</v>
      </c>
      <c r="D218" s="186">
        <v>7401729.0</v>
      </c>
      <c r="E218" s="186">
        <v>1262131.0</v>
      </c>
      <c r="F218" s="186">
        <v>113135.0</v>
      </c>
      <c r="G218" s="186">
        <v>546394.0</v>
      </c>
      <c r="H218" s="186">
        <v>572351.0</v>
      </c>
      <c r="I218" s="186">
        <v>291177.0</v>
      </c>
      <c r="J218" s="186">
        <v>54257.0</v>
      </c>
      <c r="K218" s="186">
        <v>1577314.0</v>
      </c>
      <c r="L218" s="186">
        <v>1866496.0</v>
      </c>
      <c r="M218" s="181"/>
      <c r="N218" s="181"/>
      <c r="O218" s="181"/>
      <c r="P218" s="181"/>
      <c r="Q218" s="181"/>
      <c r="R218" s="181"/>
      <c r="S218" s="182"/>
      <c r="T218" s="182"/>
      <c r="U218" s="182"/>
      <c r="V218" s="182"/>
      <c r="W218" s="183"/>
      <c r="X218" s="183"/>
      <c r="Y218" s="183"/>
      <c r="Z218" s="183"/>
    </row>
    <row r="219" ht="15.75" customHeight="1">
      <c r="A219" s="184">
        <v>1.69512706E8</v>
      </c>
      <c r="B219" s="185" t="s">
        <v>810</v>
      </c>
      <c r="C219" s="186">
        <v>2.0702951E7</v>
      </c>
      <c r="D219" s="186">
        <v>5664213.0</v>
      </c>
      <c r="E219" s="186">
        <v>332003.0</v>
      </c>
      <c r="F219" s="186">
        <v>261267.0</v>
      </c>
      <c r="G219" s="186">
        <v>333747.0</v>
      </c>
      <c r="H219" s="186">
        <v>309969.0</v>
      </c>
      <c r="I219" s="186">
        <v>236735.0</v>
      </c>
      <c r="J219" s="186">
        <v>66862.0</v>
      </c>
      <c r="K219" s="186">
        <v>1208580.0</v>
      </c>
      <c r="L219" s="186">
        <v>1.35045095E8</v>
      </c>
      <c r="M219" s="181"/>
      <c r="N219" s="181"/>
      <c r="O219" s="181"/>
      <c r="P219" s="181"/>
      <c r="Q219" s="181"/>
      <c r="R219" s="181"/>
      <c r="S219" s="182"/>
      <c r="T219" s="182"/>
      <c r="U219" s="182"/>
      <c r="V219" s="182"/>
      <c r="W219" s="183"/>
      <c r="X219" s="183"/>
      <c r="Y219" s="183"/>
      <c r="Z219" s="183"/>
    </row>
    <row r="220" ht="15.75" customHeight="1">
      <c r="A220" s="184">
        <v>1.72061307E8</v>
      </c>
      <c r="B220" s="185" t="s">
        <v>811</v>
      </c>
      <c r="C220" s="186">
        <v>2.0691206E7</v>
      </c>
      <c r="D220" s="186">
        <v>4037501.0</v>
      </c>
      <c r="E220" s="186">
        <v>1161225.0</v>
      </c>
      <c r="F220" s="186">
        <v>52005.0</v>
      </c>
      <c r="G220" s="186">
        <v>91119.0</v>
      </c>
      <c r="H220" s="186">
        <v>16398.0</v>
      </c>
      <c r="I220" s="186">
        <v>202611.0</v>
      </c>
      <c r="J220" s="186">
        <v>87658.0</v>
      </c>
      <c r="K220" s="186">
        <v>449791.0</v>
      </c>
      <c r="L220" s="186">
        <v>5537678.0</v>
      </c>
      <c r="M220" s="181"/>
      <c r="N220" s="181"/>
      <c r="O220" s="181"/>
      <c r="P220" s="181"/>
      <c r="Q220" s="181"/>
      <c r="R220" s="181"/>
      <c r="S220" s="182"/>
      <c r="T220" s="182"/>
      <c r="U220" s="182"/>
      <c r="V220" s="182"/>
      <c r="W220" s="183"/>
      <c r="X220" s="183"/>
      <c r="Y220" s="183"/>
      <c r="Z220" s="183"/>
    </row>
    <row r="221" ht="15.75" customHeight="1">
      <c r="A221" s="184">
        <v>1.69587149E8</v>
      </c>
      <c r="B221" s="185" t="s">
        <v>812</v>
      </c>
      <c r="C221" s="186">
        <v>2.0615675E7</v>
      </c>
      <c r="D221" s="186">
        <v>9382774.0</v>
      </c>
      <c r="E221" s="186">
        <v>833268.0</v>
      </c>
      <c r="F221" s="186">
        <v>223000.0</v>
      </c>
      <c r="G221" s="186">
        <v>10722.0</v>
      </c>
      <c r="H221" s="186">
        <v>17075.0</v>
      </c>
      <c r="I221" s="186">
        <v>733647.0</v>
      </c>
      <c r="J221" s="186">
        <v>95598.0</v>
      </c>
      <c r="K221" s="186">
        <v>1080042.0</v>
      </c>
      <c r="L221" s="186">
        <v>1.09197085E8</v>
      </c>
      <c r="M221" s="181"/>
      <c r="N221" s="181"/>
      <c r="O221" s="181"/>
      <c r="P221" s="181"/>
      <c r="Q221" s="181"/>
      <c r="R221" s="181"/>
      <c r="S221" s="182"/>
      <c r="T221" s="182"/>
      <c r="U221" s="182"/>
      <c r="V221" s="182"/>
      <c r="W221" s="183"/>
      <c r="X221" s="183"/>
      <c r="Y221" s="183"/>
      <c r="Z221" s="183"/>
    </row>
    <row r="222" ht="15.75" customHeight="1">
      <c r="A222" s="184">
        <v>1.69579181E8</v>
      </c>
      <c r="B222" s="185" t="s">
        <v>813</v>
      </c>
      <c r="C222" s="186">
        <v>2.0519886E7</v>
      </c>
      <c r="D222" s="186">
        <v>7234705.0</v>
      </c>
      <c r="E222" s="186">
        <v>1929228.0</v>
      </c>
      <c r="F222" s="186">
        <v>103886.0</v>
      </c>
      <c r="G222" s="186">
        <v>260357.0</v>
      </c>
      <c r="H222" s="186">
        <v>222316.0</v>
      </c>
      <c r="I222" s="186">
        <v>461215.0</v>
      </c>
      <c r="J222" s="186">
        <v>59590.0</v>
      </c>
      <c r="K222" s="186">
        <v>1107364.0</v>
      </c>
      <c r="L222" s="186">
        <v>2.037065E7</v>
      </c>
      <c r="M222" s="181"/>
      <c r="N222" s="181"/>
      <c r="O222" s="181"/>
      <c r="P222" s="181"/>
      <c r="Q222" s="181"/>
      <c r="R222" s="181"/>
      <c r="S222" s="182"/>
      <c r="T222" s="182"/>
      <c r="U222" s="182"/>
      <c r="V222" s="182"/>
      <c r="W222" s="183"/>
      <c r="X222" s="183"/>
      <c r="Y222" s="183"/>
      <c r="Z222" s="183"/>
    </row>
    <row r="223" ht="15.75" customHeight="1">
      <c r="A223" s="184">
        <v>1.69469418E8</v>
      </c>
      <c r="B223" s="185" t="s">
        <v>814</v>
      </c>
      <c r="C223" s="186">
        <v>2.048578E7</v>
      </c>
      <c r="D223" s="186">
        <v>2417443.0</v>
      </c>
      <c r="E223" s="186">
        <v>2060800.0</v>
      </c>
      <c r="F223" s="186">
        <v>81597.0</v>
      </c>
      <c r="G223" s="186">
        <v>99131.0</v>
      </c>
      <c r="H223" s="186">
        <v>11063.0</v>
      </c>
      <c r="I223" s="186">
        <v>137223.0</v>
      </c>
      <c r="J223" s="186">
        <v>39319.0</v>
      </c>
      <c r="K223" s="186">
        <v>368333.0</v>
      </c>
      <c r="L223" s="186">
        <v>0.0</v>
      </c>
      <c r="M223" s="181"/>
      <c r="N223" s="181"/>
      <c r="O223" s="181"/>
      <c r="P223" s="181"/>
      <c r="Q223" s="181"/>
      <c r="R223" s="181"/>
      <c r="S223" s="182"/>
      <c r="T223" s="182"/>
      <c r="U223" s="182"/>
      <c r="V223" s="182"/>
      <c r="W223" s="183"/>
      <c r="X223" s="183"/>
      <c r="Y223" s="183"/>
      <c r="Z223" s="183"/>
    </row>
    <row r="224" ht="15.75" customHeight="1">
      <c r="A224" s="184">
        <v>2193053.0</v>
      </c>
      <c r="B224" s="185" t="s">
        <v>815</v>
      </c>
      <c r="C224" s="186">
        <v>2.0453447E7</v>
      </c>
      <c r="D224" s="186">
        <v>2796825.0</v>
      </c>
      <c r="E224" s="186">
        <v>823582.0</v>
      </c>
      <c r="F224" s="186">
        <v>24337.0</v>
      </c>
      <c r="G224" s="186">
        <v>1061.0</v>
      </c>
      <c r="H224" s="186">
        <v>30299.0</v>
      </c>
      <c r="I224" s="186">
        <v>169116.0</v>
      </c>
      <c r="J224" s="186">
        <v>48874.0</v>
      </c>
      <c r="K224" s="186">
        <v>273687.0</v>
      </c>
      <c r="L224" s="186">
        <v>7.2253245E7</v>
      </c>
      <c r="M224" s="181"/>
      <c r="N224" s="181"/>
      <c r="O224" s="181"/>
      <c r="P224" s="181"/>
      <c r="Q224" s="181"/>
      <c r="R224" s="181"/>
      <c r="S224" s="182"/>
      <c r="T224" s="182"/>
      <c r="U224" s="182"/>
      <c r="V224" s="182"/>
      <c r="W224" s="183"/>
      <c r="X224" s="183"/>
      <c r="Y224" s="183"/>
      <c r="Z224" s="183"/>
    </row>
    <row r="225" ht="15.75" customHeight="1">
      <c r="A225" s="184">
        <v>1.69564957E8</v>
      </c>
      <c r="B225" s="185" t="s">
        <v>816</v>
      </c>
      <c r="C225" s="186">
        <v>2.039945E7</v>
      </c>
      <c r="D225" s="186">
        <v>2304466.0</v>
      </c>
      <c r="E225" s="186">
        <v>1377246.0</v>
      </c>
      <c r="F225" s="186">
        <v>43712.0</v>
      </c>
      <c r="G225" s="186">
        <v>126009.0</v>
      </c>
      <c r="H225" s="186">
        <v>31824.0</v>
      </c>
      <c r="I225" s="186">
        <v>66451.0</v>
      </c>
      <c r="J225" s="186">
        <v>62595.0</v>
      </c>
      <c r="K225" s="186">
        <v>330591.0</v>
      </c>
      <c r="L225" s="186">
        <v>4.7724145E7</v>
      </c>
      <c r="M225" s="181"/>
      <c r="N225" s="181"/>
      <c r="O225" s="181"/>
      <c r="P225" s="181"/>
      <c r="Q225" s="181"/>
      <c r="R225" s="181"/>
      <c r="S225" s="182"/>
      <c r="T225" s="182"/>
      <c r="U225" s="182"/>
      <c r="V225" s="182"/>
      <c r="W225" s="183"/>
      <c r="X225" s="183"/>
      <c r="Y225" s="183"/>
      <c r="Z225" s="183"/>
    </row>
    <row r="226" ht="15.75" customHeight="1">
      <c r="A226" s="184">
        <v>1.71286333E8</v>
      </c>
      <c r="B226" s="185" t="s">
        <v>817</v>
      </c>
      <c r="C226" s="186">
        <v>2.0276682E7</v>
      </c>
      <c r="D226" s="186">
        <v>2.2776812E7</v>
      </c>
      <c r="E226" s="186">
        <v>571860.0</v>
      </c>
      <c r="F226" s="186">
        <v>69090.0</v>
      </c>
      <c r="G226" s="186">
        <v>96275.0</v>
      </c>
      <c r="H226" s="186">
        <v>144356.0</v>
      </c>
      <c r="I226" s="186">
        <v>1602334.0</v>
      </c>
      <c r="J226" s="186">
        <v>298484.0</v>
      </c>
      <c r="K226" s="186">
        <v>2210539.0</v>
      </c>
      <c r="L226" s="186">
        <v>2.43763095E8</v>
      </c>
      <c r="M226" s="181"/>
      <c r="N226" s="181"/>
      <c r="O226" s="181"/>
      <c r="P226" s="181"/>
      <c r="Q226" s="181"/>
      <c r="R226" s="181"/>
      <c r="S226" s="182"/>
      <c r="T226" s="182"/>
      <c r="U226" s="182"/>
      <c r="V226" s="182"/>
      <c r="W226" s="183"/>
      <c r="X226" s="183"/>
      <c r="Y226" s="183"/>
      <c r="Z226" s="183"/>
    </row>
    <row r="227" ht="15.75" customHeight="1">
      <c r="A227" s="184">
        <v>1.71876516E8</v>
      </c>
      <c r="B227" s="185" t="s">
        <v>818</v>
      </c>
      <c r="C227" s="186">
        <v>2.0270155E7</v>
      </c>
      <c r="D227" s="186">
        <v>8270347.0</v>
      </c>
      <c r="E227" s="186">
        <v>1535169.0</v>
      </c>
      <c r="F227" s="186">
        <v>30816.0</v>
      </c>
      <c r="G227" s="186">
        <v>24208.0</v>
      </c>
      <c r="H227" s="186">
        <v>39117.0</v>
      </c>
      <c r="I227" s="186">
        <v>527764.0</v>
      </c>
      <c r="J227" s="186">
        <v>139083.0</v>
      </c>
      <c r="K227" s="186">
        <v>760988.0</v>
      </c>
      <c r="L227" s="186">
        <v>1.54500958E8</v>
      </c>
      <c r="M227" s="181"/>
      <c r="N227" s="181"/>
      <c r="O227" s="181"/>
      <c r="P227" s="181"/>
      <c r="Q227" s="181"/>
      <c r="R227" s="181"/>
      <c r="S227" s="182"/>
      <c r="T227" s="182"/>
      <c r="U227" s="182"/>
      <c r="V227" s="182"/>
      <c r="W227" s="183"/>
      <c r="X227" s="183"/>
      <c r="Y227" s="183"/>
      <c r="Z227" s="183"/>
    </row>
    <row r="228" ht="15.75" customHeight="1">
      <c r="A228" s="184">
        <v>1.69158581E8</v>
      </c>
      <c r="B228" s="185" t="s">
        <v>819</v>
      </c>
      <c r="C228" s="186">
        <v>2.0233796E7</v>
      </c>
      <c r="D228" s="186">
        <v>3621916.0</v>
      </c>
      <c r="E228" s="186">
        <v>305456.0</v>
      </c>
      <c r="F228" s="186">
        <v>531802.0</v>
      </c>
      <c r="G228" s="186">
        <v>690428.0</v>
      </c>
      <c r="H228" s="186">
        <v>272350.0</v>
      </c>
      <c r="I228" s="186">
        <v>104530.0</v>
      </c>
      <c r="J228" s="186">
        <v>0.0</v>
      </c>
      <c r="K228" s="186">
        <v>1599110.0</v>
      </c>
      <c r="L228" s="186">
        <v>654500.0</v>
      </c>
      <c r="M228" s="181"/>
      <c r="N228" s="181"/>
      <c r="O228" s="181"/>
      <c r="P228" s="181"/>
      <c r="Q228" s="181"/>
      <c r="R228" s="181"/>
      <c r="S228" s="182"/>
      <c r="T228" s="182"/>
      <c r="U228" s="182"/>
      <c r="V228" s="182"/>
      <c r="W228" s="183"/>
      <c r="X228" s="183"/>
      <c r="Y228" s="183"/>
      <c r="Z228" s="183"/>
    </row>
    <row r="229" ht="15.75" customHeight="1">
      <c r="A229" s="184">
        <v>1.7001641E8</v>
      </c>
      <c r="B229" s="185" t="s">
        <v>820</v>
      </c>
      <c r="C229" s="186">
        <v>2.0159454E7</v>
      </c>
      <c r="D229" s="186">
        <v>5437726.0</v>
      </c>
      <c r="E229" s="186">
        <v>481089.0</v>
      </c>
      <c r="F229" s="186">
        <v>838602.0</v>
      </c>
      <c r="G229" s="186">
        <v>1342841.0</v>
      </c>
      <c r="H229" s="186">
        <v>299346.0</v>
      </c>
      <c r="I229" s="186">
        <v>80328.0</v>
      </c>
      <c r="J229" s="186">
        <v>29183.0</v>
      </c>
      <c r="K229" s="186">
        <v>2590300.0</v>
      </c>
      <c r="L229" s="186">
        <v>0.0</v>
      </c>
      <c r="M229" s="181"/>
      <c r="N229" s="181"/>
      <c r="O229" s="181"/>
      <c r="P229" s="181"/>
      <c r="Q229" s="181"/>
      <c r="R229" s="181"/>
      <c r="S229" s="182"/>
      <c r="T229" s="182"/>
      <c r="U229" s="182"/>
      <c r="V229" s="182"/>
      <c r="W229" s="183"/>
      <c r="X229" s="183"/>
      <c r="Y229" s="183"/>
      <c r="Z229" s="183"/>
    </row>
    <row r="230" ht="15.75" customHeight="1">
      <c r="A230" s="184">
        <v>1.64195208E8</v>
      </c>
      <c r="B230" s="185" t="s">
        <v>821</v>
      </c>
      <c r="C230" s="186">
        <v>2.0142925E7</v>
      </c>
      <c r="D230" s="186">
        <v>9.7185116E7</v>
      </c>
      <c r="E230" s="186">
        <v>2576836.0</v>
      </c>
      <c r="F230" s="186">
        <v>8131240.0</v>
      </c>
      <c r="G230" s="186">
        <v>2436877.0</v>
      </c>
      <c r="H230" s="186">
        <v>2061401.0</v>
      </c>
      <c r="I230" s="186">
        <v>6400847.0</v>
      </c>
      <c r="J230" s="186">
        <v>921552.0</v>
      </c>
      <c r="K230" s="186">
        <v>1.9951917E7</v>
      </c>
      <c r="L230" s="186">
        <v>9.2949922E8</v>
      </c>
      <c r="M230" s="181"/>
      <c r="N230" s="181"/>
      <c r="O230" s="181"/>
      <c r="P230" s="181"/>
      <c r="Q230" s="181"/>
      <c r="R230" s="181"/>
      <c r="S230" s="182"/>
      <c r="T230" s="182"/>
      <c r="U230" s="182"/>
      <c r="V230" s="182"/>
      <c r="W230" s="183"/>
      <c r="X230" s="183"/>
      <c r="Y230" s="183"/>
      <c r="Z230" s="183"/>
    </row>
    <row r="231" ht="15.75" customHeight="1">
      <c r="A231" s="184">
        <v>1.72792114E8</v>
      </c>
      <c r="B231" s="185" t="s">
        <v>822</v>
      </c>
      <c r="C231" s="186">
        <v>2.0137777E7</v>
      </c>
      <c r="D231" s="186">
        <v>8131378.0</v>
      </c>
      <c r="E231" s="186">
        <v>142681.0</v>
      </c>
      <c r="F231" s="186">
        <v>710731.0</v>
      </c>
      <c r="G231" s="186">
        <v>455211.0</v>
      </c>
      <c r="H231" s="186">
        <v>1041780.0</v>
      </c>
      <c r="I231" s="186">
        <v>291169.0</v>
      </c>
      <c r="J231" s="186">
        <v>0.0</v>
      </c>
      <c r="K231" s="186">
        <v>2498891.0</v>
      </c>
      <c r="L231" s="186">
        <v>3.1901991E7</v>
      </c>
      <c r="M231" s="181"/>
      <c r="N231" s="181"/>
      <c r="O231" s="181"/>
      <c r="P231" s="181"/>
      <c r="Q231" s="181"/>
      <c r="R231" s="181"/>
      <c r="S231" s="182"/>
      <c r="T231" s="182"/>
      <c r="U231" s="182"/>
      <c r="V231" s="182"/>
      <c r="W231" s="183"/>
      <c r="X231" s="183"/>
      <c r="Y231" s="183"/>
      <c r="Z231" s="183"/>
    </row>
    <row r="232" ht="15.75" customHeight="1">
      <c r="A232" s="184">
        <v>1.6918574E8</v>
      </c>
      <c r="B232" s="185" t="s">
        <v>823</v>
      </c>
      <c r="C232" s="186">
        <v>2.0093189E7</v>
      </c>
      <c r="D232" s="186">
        <v>1.918506E7</v>
      </c>
      <c r="E232" s="186">
        <v>498888.0</v>
      </c>
      <c r="F232" s="186">
        <v>358461.0</v>
      </c>
      <c r="G232" s="186">
        <v>285247.0</v>
      </c>
      <c r="H232" s="186">
        <v>1138376.0</v>
      </c>
      <c r="I232" s="186">
        <v>1141841.0</v>
      </c>
      <c r="J232" s="186">
        <v>128548.0</v>
      </c>
      <c r="K232" s="186">
        <v>3052473.0</v>
      </c>
      <c r="L232" s="186">
        <v>1.76678346E8</v>
      </c>
      <c r="M232" s="181"/>
      <c r="N232" s="181"/>
      <c r="O232" s="181"/>
      <c r="P232" s="181"/>
      <c r="Q232" s="181"/>
      <c r="R232" s="181"/>
      <c r="S232" s="182"/>
      <c r="T232" s="182"/>
      <c r="U232" s="182"/>
      <c r="V232" s="182"/>
      <c r="W232" s="183"/>
      <c r="X232" s="183"/>
      <c r="Y232" s="183"/>
      <c r="Z232" s="183"/>
    </row>
    <row r="233" ht="15.75" customHeight="1">
      <c r="A233" s="184">
        <v>1.6951013E8</v>
      </c>
      <c r="B233" s="185" t="s">
        <v>824</v>
      </c>
      <c r="C233" s="186">
        <v>2.0090676E7</v>
      </c>
      <c r="D233" s="186">
        <v>514262.0</v>
      </c>
      <c r="E233" s="186">
        <v>39106.0</v>
      </c>
      <c r="F233" s="186">
        <v>63532.0</v>
      </c>
      <c r="G233" s="186">
        <v>40614.0</v>
      </c>
      <c r="H233" s="186">
        <v>91907.0</v>
      </c>
      <c r="I233" s="186">
        <v>5270.0</v>
      </c>
      <c r="J233" s="186">
        <v>0.0</v>
      </c>
      <c r="K233" s="186">
        <v>201323.0</v>
      </c>
      <c r="L233" s="186">
        <v>0.0</v>
      </c>
      <c r="M233" s="181"/>
      <c r="N233" s="181"/>
      <c r="O233" s="181"/>
      <c r="P233" s="181"/>
      <c r="Q233" s="181"/>
      <c r="R233" s="181"/>
      <c r="S233" s="182"/>
      <c r="T233" s="182"/>
      <c r="U233" s="182"/>
      <c r="V233" s="182"/>
      <c r="W233" s="183"/>
      <c r="X233" s="183"/>
      <c r="Y233" s="183"/>
      <c r="Z233" s="183"/>
    </row>
    <row r="234" ht="15.75" customHeight="1">
      <c r="A234" s="184">
        <v>1.45350861E8</v>
      </c>
      <c r="B234" s="185" t="s">
        <v>825</v>
      </c>
      <c r="C234" s="186">
        <v>2.0075353E7</v>
      </c>
      <c r="D234" s="186">
        <v>2.3129842E7</v>
      </c>
      <c r="E234" s="186">
        <v>1905739.0</v>
      </c>
      <c r="F234" s="186">
        <v>563202.0</v>
      </c>
      <c r="G234" s="186">
        <v>1311426.0</v>
      </c>
      <c r="H234" s="186">
        <v>1167835.0</v>
      </c>
      <c r="I234" s="186">
        <v>1547251.0</v>
      </c>
      <c r="J234" s="186">
        <v>12525.0</v>
      </c>
      <c r="K234" s="186">
        <v>4602239.0</v>
      </c>
      <c r="L234" s="186">
        <v>7.7463636E7</v>
      </c>
      <c r="M234" s="181"/>
      <c r="N234" s="181"/>
      <c r="O234" s="181"/>
      <c r="P234" s="181"/>
      <c r="Q234" s="181"/>
      <c r="R234" s="181"/>
      <c r="S234" s="182"/>
      <c r="T234" s="182"/>
      <c r="U234" s="182"/>
      <c r="V234" s="182"/>
      <c r="W234" s="183"/>
      <c r="X234" s="183"/>
      <c r="Y234" s="183"/>
      <c r="Z234" s="183"/>
    </row>
    <row r="235" ht="15.75" customHeight="1">
      <c r="A235" s="184">
        <v>1.69531635E8</v>
      </c>
      <c r="B235" s="185" t="s">
        <v>826</v>
      </c>
      <c r="C235" s="186">
        <v>2.0068222E7</v>
      </c>
      <c r="D235" s="186">
        <v>8274960.0</v>
      </c>
      <c r="E235" s="186">
        <v>453615.0</v>
      </c>
      <c r="F235" s="186">
        <v>143233.0</v>
      </c>
      <c r="G235" s="186">
        <v>352169.0</v>
      </c>
      <c r="H235" s="186">
        <v>320909.0</v>
      </c>
      <c r="I235" s="186">
        <v>541720.0</v>
      </c>
      <c r="J235" s="186">
        <v>42057.0</v>
      </c>
      <c r="K235" s="186">
        <v>1400088.0</v>
      </c>
      <c r="L235" s="186">
        <v>7.1031015E7</v>
      </c>
      <c r="M235" s="181"/>
      <c r="N235" s="181"/>
      <c r="O235" s="181"/>
      <c r="P235" s="181"/>
      <c r="Q235" s="181"/>
      <c r="R235" s="181"/>
      <c r="S235" s="182"/>
      <c r="T235" s="182"/>
      <c r="U235" s="182"/>
      <c r="V235" s="182"/>
      <c r="W235" s="183"/>
      <c r="X235" s="183"/>
      <c r="Y235" s="183"/>
      <c r="Z235" s="183"/>
    </row>
    <row r="236" ht="15.75" customHeight="1">
      <c r="A236" s="184">
        <v>1.71999071E8</v>
      </c>
      <c r="B236" s="185" t="s">
        <v>827</v>
      </c>
      <c r="C236" s="186">
        <v>1.9936046E7</v>
      </c>
      <c r="D236" s="186">
        <v>5645819.0</v>
      </c>
      <c r="E236" s="186">
        <v>226807.0</v>
      </c>
      <c r="F236" s="186">
        <v>56575.0</v>
      </c>
      <c r="G236" s="186">
        <v>15717.0</v>
      </c>
      <c r="H236" s="186">
        <v>73835.0</v>
      </c>
      <c r="I236" s="186">
        <v>417697.0</v>
      </c>
      <c r="J236" s="186">
        <v>56538.0</v>
      </c>
      <c r="K236" s="186">
        <v>620362.0</v>
      </c>
      <c r="L236" s="186">
        <v>404932.0</v>
      </c>
      <c r="M236" s="181"/>
      <c r="N236" s="181"/>
      <c r="O236" s="181"/>
      <c r="P236" s="181"/>
      <c r="Q236" s="181"/>
      <c r="R236" s="181"/>
      <c r="S236" s="182"/>
      <c r="T236" s="182"/>
      <c r="U236" s="182"/>
      <c r="V236" s="182"/>
      <c r="W236" s="183"/>
      <c r="X236" s="183"/>
      <c r="Y236" s="183"/>
      <c r="Z236" s="183"/>
    </row>
    <row r="237" ht="15.75" customHeight="1">
      <c r="A237" s="184">
        <v>1.69563108E8</v>
      </c>
      <c r="B237" s="185" t="s">
        <v>828</v>
      </c>
      <c r="C237" s="186">
        <v>1.9843395E7</v>
      </c>
      <c r="D237" s="186">
        <v>2441194.0</v>
      </c>
      <c r="E237" s="186">
        <v>1634755.0</v>
      </c>
      <c r="F237" s="186">
        <v>271282.0</v>
      </c>
      <c r="G237" s="186">
        <v>276403.0</v>
      </c>
      <c r="H237" s="186">
        <v>91393.0</v>
      </c>
      <c r="I237" s="186">
        <v>45224.0</v>
      </c>
      <c r="J237" s="186">
        <v>50816.0</v>
      </c>
      <c r="K237" s="186">
        <v>735118.0</v>
      </c>
      <c r="L237" s="186">
        <v>524960.0</v>
      </c>
      <c r="M237" s="181"/>
      <c r="N237" s="181"/>
      <c r="O237" s="181"/>
      <c r="P237" s="181"/>
      <c r="Q237" s="181"/>
      <c r="R237" s="181"/>
      <c r="S237" s="182"/>
      <c r="T237" s="182"/>
      <c r="U237" s="182"/>
      <c r="V237" s="182"/>
      <c r="W237" s="183"/>
      <c r="X237" s="183"/>
      <c r="Y237" s="183"/>
      <c r="Z237" s="183"/>
    </row>
    <row r="238" ht="15.75" customHeight="1">
      <c r="A238" s="184">
        <v>1.6952637E8</v>
      </c>
      <c r="B238" s="185" t="s">
        <v>829</v>
      </c>
      <c r="C238" s="186">
        <v>1.9757034E7</v>
      </c>
      <c r="D238" s="186">
        <v>2.338752E7</v>
      </c>
      <c r="E238" s="186">
        <v>675349.0</v>
      </c>
      <c r="F238" s="186">
        <v>747883.0</v>
      </c>
      <c r="G238" s="186">
        <v>741371.0</v>
      </c>
      <c r="H238" s="186">
        <v>1023233.0</v>
      </c>
      <c r="I238" s="186">
        <v>1572609.0</v>
      </c>
      <c r="J238" s="186">
        <v>96809.0</v>
      </c>
      <c r="K238" s="186">
        <v>4181905.0</v>
      </c>
      <c r="L238" s="186">
        <v>2.83816742E8</v>
      </c>
      <c r="M238" s="181"/>
      <c r="N238" s="181"/>
      <c r="O238" s="181"/>
      <c r="P238" s="181"/>
      <c r="Q238" s="181"/>
      <c r="R238" s="181"/>
      <c r="S238" s="182"/>
      <c r="T238" s="182"/>
      <c r="U238" s="182"/>
      <c r="V238" s="182"/>
      <c r="W238" s="183"/>
      <c r="X238" s="183"/>
      <c r="Y238" s="183"/>
      <c r="Z238" s="183"/>
    </row>
    <row r="239" ht="15.75" customHeight="1">
      <c r="A239" s="184">
        <v>1.71495273E8</v>
      </c>
      <c r="B239" s="185" t="s">
        <v>830</v>
      </c>
      <c r="C239" s="186">
        <v>1.9716444E7</v>
      </c>
      <c r="D239" s="186">
        <v>4.5976636E7</v>
      </c>
      <c r="E239" s="186">
        <v>1060249.0</v>
      </c>
      <c r="F239" s="186">
        <v>2112704.0</v>
      </c>
      <c r="G239" s="186">
        <v>890215.0</v>
      </c>
      <c r="H239" s="186">
        <v>1308389.0</v>
      </c>
      <c r="I239" s="186">
        <v>3516437.0</v>
      </c>
      <c r="J239" s="186">
        <v>168787.0</v>
      </c>
      <c r="K239" s="186">
        <v>7996532.0</v>
      </c>
      <c r="L239" s="186">
        <v>3.34064174E8</v>
      </c>
      <c r="M239" s="181"/>
      <c r="N239" s="181"/>
      <c r="O239" s="181"/>
      <c r="P239" s="181"/>
      <c r="Q239" s="181"/>
      <c r="R239" s="181"/>
      <c r="S239" s="182"/>
      <c r="T239" s="182"/>
      <c r="U239" s="182"/>
      <c r="V239" s="182"/>
      <c r="W239" s="183"/>
      <c r="X239" s="183"/>
      <c r="Y239" s="183"/>
      <c r="Z239" s="183"/>
    </row>
    <row r="240" ht="15.75" customHeight="1">
      <c r="A240" s="184">
        <v>1.69669728E8</v>
      </c>
      <c r="B240" s="185" t="s">
        <v>831</v>
      </c>
      <c r="C240" s="186">
        <v>1.9701627E7</v>
      </c>
      <c r="D240" s="186">
        <v>8169147.0</v>
      </c>
      <c r="E240" s="186">
        <v>860877.0</v>
      </c>
      <c r="F240" s="186">
        <v>424015.0</v>
      </c>
      <c r="G240" s="186">
        <v>289642.0</v>
      </c>
      <c r="H240" s="186">
        <v>613015.0</v>
      </c>
      <c r="I240" s="186">
        <v>472782.0</v>
      </c>
      <c r="J240" s="186">
        <v>16259.0</v>
      </c>
      <c r="K240" s="186">
        <v>1815713.0</v>
      </c>
      <c r="L240" s="186">
        <v>9.3507785E7</v>
      </c>
      <c r="M240" s="181"/>
      <c r="N240" s="181"/>
      <c r="O240" s="181"/>
      <c r="P240" s="181"/>
      <c r="Q240" s="181"/>
      <c r="R240" s="181"/>
      <c r="S240" s="182"/>
      <c r="T240" s="182"/>
      <c r="U240" s="182"/>
      <c r="V240" s="182"/>
      <c r="W240" s="183"/>
      <c r="X240" s="183"/>
      <c r="Y240" s="183"/>
      <c r="Z240" s="183"/>
    </row>
    <row r="241" ht="15.75" customHeight="1">
      <c r="A241" s="184">
        <v>1.69490403E8</v>
      </c>
      <c r="B241" s="185" t="s">
        <v>832</v>
      </c>
      <c r="C241" s="186">
        <v>1.9682662E7</v>
      </c>
      <c r="D241" s="186">
        <v>1673166.0</v>
      </c>
      <c r="E241" s="186">
        <v>84668.0</v>
      </c>
      <c r="F241" s="186">
        <v>100651.0</v>
      </c>
      <c r="G241" s="186">
        <v>189613.0</v>
      </c>
      <c r="H241" s="186">
        <v>51610.0</v>
      </c>
      <c r="I241" s="186">
        <v>106737.0</v>
      </c>
      <c r="J241" s="186">
        <v>0.0</v>
      </c>
      <c r="K241" s="186">
        <v>448611.0</v>
      </c>
      <c r="L241" s="186">
        <v>3500000.0</v>
      </c>
      <c r="M241" s="181"/>
      <c r="N241" s="181"/>
      <c r="O241" s="181"/>
      <c r="P241" s="181"/>
      <c r="Q241" s="181"/>
      <c r="R241" s="181"/>
      <c r="S241" s="182"/>
      <c r="T241" s="182"/>
      <c r="U241" s="182"/>
      <c r="V241" s="182"/>
      <c r="W241" s="183"/>
      <c r="X241" s="183"/>
      <c r="Y241" s="183"/>
      <c r="Z241" s="183"/>
    </row>
    <row r="242" ht="15.75" customHeight="1">
      <c r="A242" s="184">
        <v>1.69234364E8</v>
      </c>
      <c r="B242" s="185" t="s">
        <v>833</v>
      </c>
      <c r="C242" s="186">
        <v>1.9657848E7</v>
      </c>
      <c r="D242" s="186">
        <v>8432454.0</v>
      </c>
      <c r="E242" s="186">
        <v>938680.0</v>
      </c>
      <c r="F242" s="186">
        <v>111882.0</v>
      </c>
      <c r="G242" s="186">
        <v>12074.0</v>
      </c>
      <c r="H242" s="186">
        <v>20135.0</v>
      </c>
      <c r="I242" s="186">
        <v>449611.0</v>
      </c>
      <c r="J242" s="186">
        <v>190464.0</v>
      </c>
      <c r="K242" s="186">
        <v>784166.0</v>
      </c>
      <c r="L242" s="186">
        <v>7.6E7</v>
      </c>
      <c r="M242" s="181"/>
      <c r="N242" s="181"/>
      <c r="O242" s="181"/>
      <c r="P242" s="181"/>
      <c r="Q242" s="181"/>
      <c r="R242" s="181"/>
      <c r="S242" s="182"/>
      <c r="T242" s="182"/>
      <c r="U242" s="182"/>
      <c r="V242" s="182"/>
      <c r="W242" s="183"/>
      <c r="X242" s="183"/>
      <c r="Y242" s="183"/>
      <c r="Z242" s="183"/>
    </row>
    <row r="243" ht="15.75" customHeight="1">
      <c r="A243" s="184">
        <v>1.69537735E8</v>
      </c>
      <c r="B243" s="185" t="s">
        <v>834</v>
      </c>
      <c r="C243" s="186">
        <v>1.9585052E7</v>
      </c>
      <c r="D243" s="186">
        <v>2157333.0</v>
      </c>
      <c r="E243" s="186">
        <v>1105101.0</v>
      </c>
      <c r="F243" s="186">
        <v>33709.0</v>
      </c>
      <c r="G243" s="186">
        <v>67686.0</v>
      </c>
      <c r="H243" s="186">
        <v>85480.0</v>
      </c>
      <c r="I243" s="186">
        <v>109868.0</v>
      </c>
      <c r="J243" s="186">
        <v>28731.0</v>
      </c>
      <c r="K243" s="186">
        <v>325474.0</v>
      </c>
      <c r="L243" s="186">
        <v>0.0</v>
      </c>
      <c r="M243" s="181"/>
      <c r="N243" s="181"/>
      <c r="O243" s="181"/>
      <c r="P243" s="181"/>
      <c r="Q243" s="181"/>
      <c r="R243" s="181"/>
      <c r="S243" s="182"/>
      <c r="T243" s="182"/>
      <c r="U243" s="182"/>
      <c r="V243" s="182"/>
      <c r="W243" s="183"/>
      <c r="X243" s="183"/>
      <c r="Y243" s="183"/>
      <c r="Z243" s="183"/>
    </row>
    <row r="244" ht="15.75" customHeight="1">
      <c r="A244" s="184">
        <v>1.69582311E8</v>
      </c>
      <c r="B244" s="185" t="s">
        <v>835</v>
      </c>
      <c r="C244" s="186">
        <v>1.9511641E7</v>
      </c>
      <c r="D244" s="186">
        <v>8535628.0</v>
      </c>
      <c r="E244" s="186">
        <v>1657406.0</v>
      </c>
      <c r="F244" s="186">
        <v>54542.0</v>
      </c>
      <c r="G244" s="186">
        <v>79700.0</v>
      </c>
      <c r="H244" s="186">
        <v>51955.0</v>
      </c>
      <c r="I244" s="186">
        <v>581588.0</v>
      </c>
      <c r="J244" s="186">
        <v>117081.0</v>
      </c>
      <c r="K244" s="186">
        <v>884866.0</v>
      </c>
      <c r="L244" s="186">
        <v>1.15977904E8</v>
      </c>
      <c r="M244" s="181"/>
      <c r="N244" s="181"/>
      <c r="O244" s="181"/>
      <c r="P244" s="181"/>
      <c r="Q244" s="181"/>
      <c r="R244" s="181"/>
      <c r="S244" s="182"/>
      <c r="T244" s="182"/>
      <c r="U244" s="182"/>
      <c r="V244" s="182"/>
      <c r="W244" s="183"/>
      <c r="X244" s="183"/>
      <c r="Y244" s="183"/>
      <c r="Z244" s="183"/>
    </row>
    <row r="245" ht="15.75" customHeight="1">
      <c r="A245" s="184">
        <v>1.6952439E8</v>
      </c>
      <c r="B245" s="185" t="s">
        <v>836</v>
      </c>
      <c r="C245" s="186">
        <v>1.9497616E7</v>
      </c>
      <c r="D245" s="186">
        <v>2027068.0</v>
      </c>
      <c r="E245" s="186">
        <v>664775.0</v>
      </c>
      <c r="F245" s="186">
        <v>29713.0</v>
      </c>
      <c r="G245" s="186">
        <v>175506.0</v>
      </c>
      <c r="H245" s="186">
        <v>63361.0</v>
      </c>
      <c r="I245" s="186">
        <v>63457.0</v>
      </c>
      <c r="J245" s="186">
        <v>39105.0</v>
      </c>
      <c r="K245" s="186">
        <v>371142.0</v>
      </c>
      <c r="L245" s="186">
        <v>8636254.0</v>
      </c>
      <c r="M245" s="181"/>
      <c r="N245" s="181"/>
      <c r="O245" s="181"/>
      <c r="P245" s="181"/>
      <c r="Q245" s="181"/>
      <c r="R245" s="181"/>
      <c r="S245" s="182"/>
      <c r="T245" s="182"/>
      <c r="U245" s="182"/>
      <c r="V245" s="182"/>
      <c r="W245" s="183"/>
      <c r="X245" s="183"/>
      <c r="Y245" s="183"/>
      <c r="Z245" s="183"/>
    </row>
    <row r="246" ht="15.75" customHeight="1">
      <c r="A246" s="184">
        <v>1.69514342E8</v>
      </c>
      <c r="B246" s="185" t="s">
        <v>837</v>
      </c>
      <c r="C246" s="186">
        <v>1.9347576E7</v>
      </c>
      <c r="D246" s="186">
        <v>1910322.0</v>
      </c>
      <c r="E246" s="186">
        <v>974653.0</v>
      </c>
      <c r="F246" s="186">
        <v>178063.0</v>
      </c>
      <c r="G246" s="186">
        <v>281055.0</v>
      </c>
      <c r="H246" s="186">
        <v>88965.0</v>
      </c>
      <c r="I246" s="186">
        <v>29942.0</v>
      </c>
      <c r="J246" s="186">
        <v>32866.0</v>
      </c>
      <c r="K246" s="186">
        <v>610891.0</v>
      </c>
      <c r="L246" s="186">
        <v>0.0</v>
      </c>
      <c r="M246" s="181"/>
      <c r="N246" s="181"/>
      <c r="O246" s="181"/>
      <c r="P246" s="181"/>
      <c r="Q246" s="181"/>
      <c r="R246" s="181"/>
      <c r="S246" s="182"/>
      <c r="T246" s="182"/>
      <c r="U246" s="182"/>
      <c r="V246" s="182"/>
      <c r="W246" s="183"/>
      <c r="X246" s="183"/>
      <c r="Y246" s="183"/>
      <c r="Z246" s="183"/>
    </row>
    <row r="247" ht="15.75" customHeight="1">
      <c r="A247" s="184">
        <v>1.69504308E8</v>
      </c>
      <c r="B247" s="185" t="s">
        <v>838</v>
      </c>
      <c r="C247" s="186">
        <v>1.9323959E7</v>
      </c>
      <c r="D247" s="186">
        <v>2440309.0</v>
      </c>
      <c r="E247" s="186">
        <v>492488.0</v>
      </c>
      <c r="F247" s="186">
        <v>208476.0</v>
      </c>
      <c r="G247" s="186">
        <v>311963.0</v>
      </c>
      <c r="H247" s="186">
        <v>113347.0</v>
      </c>
      <c r="I247" s="186">
        <v>52878.0</v>
      </c>
      <c r="J247" s="186">
        <v>39626.0</v>
      </c>
      <c r="K247" s="186">
        <v>726290.0</v>
      </c>
      <c r="L247" s="186">
        <v>1.64337334E8</v>
      </c>
      <c r="M247" s="181"/>
      <c r="N247" s="181"/>
      <c r="O247" s="181"/>
      <c r="P247" s="181"/>
      <c r="Q247" s="181"/>
      <c r="R247" s="181"/>
      <c r="S247" s="182"/>
      <c r="T247" s="182"/>
      <c r="U247" s="182"/>
      <c r="V247" s="182"/>
      <c r="W247" s="183"/>
      <c r="X247" s="183"/>
      <c r="Y247" s="183"/>
      <c r="Z247" s="183"/>
    </row>
    <row r="248" ht="15.75" customHeight="1">
      <c r="A248" s="184">
        <v>1.69578834E8</v>
      </c>
      <c r="B248" s="185" t="s">
        <v>839</v>
      </c>
      <c r="C248" s="186">
        <v>1.9321626E7</v>
      </c>
      <c r="D248" s="186">
        <v>6196305.0</v>
      </c>
      <c r="E248" s="186">
        <v>681351.0</v>
      </c>
      <c r="F248" s="186">
        <v>104209.0</v>
      </c>
      <c r="G248" s="186">
        <v>159496.0</v>
      </c>
      <c r="H248" s="186">
        <v>184363.0</v>
      </c>
      <c r="I248" s="186">
        <v>282314.0</v>
      </c>
      <c r="J248" s="186">
        <v>114794.0</v>
      </c>
      <c r="K248" s="186">
        <v>845176.0</v>
      </c>
      <c r="L248" s="186">
        <v>9.0060222E7</v>
      </c>
      <c r="M248" s="181"/>
      <c r="N248" s="181"/>
      <c r="O248" s="181"/>
      <c r="P248" s="181"/>
      <c r="Q248" s="181"/>
      <c r="R248" s="181"/>
      <c r="S248" s="182"/>
      <c r="T248" s="182"/>
      <c r="U248" s="182"/>
      <c r="V248" s="182"/>
      <c r="W248" s="183"/>
      <c r="X248" s="183"/>
      <c r="Y248" s="183"/>
      <c r="Z248" s="183"/>
    </row>
    <row r="249" ht="15.75" customHeight="1">
      <c r="A249" s="184">
        <v>1.69066406E8</v>
      </c>
      <c r="B249" s="185" t="s">
        <v>840</v>
      </c>
      <c r="C249" s="186">
        <v>1.9261394E7</v>
      </c>
      <c r="D249" s="186">
        <v>2637575.0</v>
      </c>
      <c r="E249" s="186">
        <v>512287.0</v>
      </c>
      <c r="F249" s="186">
        <v>184706.0</v>
      </c>
      <c r="G249" s="186">
        <v>82907.0</v>
      </c>
      <c r="H249" s="186">
        <v>10710.0</v>
      </c>
      <c r="I249" s="186">
        <v>203072.0</v>
      </c>
      <c r="J249" s="186">
        <v>18063.0</v>
      </c>
      <c r="K249" s="186">
        <v>499458.0</v>
      </c>
      <c r="L249" s="186">
        <v>3.10031125E8</v>
      </c>
      <c r="M249" s="181"/>
      <c r="N249" s="181"/>
      <c r="O249" s="181"/>
      <c r="P249" s="181"/>
      <c r="Q249" s="181"/>
      <c r="R249" s="181"/>
      <c r="S249" s="182"/>
      <c r="T249" s="182"/>
      <c r="U249" s="182"/>
      <c r="V249" s="182"/>
      <c r="W249" s="183"/>
      <c r="X249" s="183"/>
      <c r="Y249" s="183"/>
      <c r="Z249" s="183"/>
    </row>
    <row r="250" ht="15.75" customHeight="1">
      <c r="A250" s="184">
        <v>1.69528338E8</v>
      </c>
      <c r="B250" s="185" t="s">
        <v>841</v>
      </c>
      <c r="C250" s="186">
        <v>1.925453E7</v>
      </c>
      <c r="D250" s="186">
        <v>1446489.0</v>
      </c>
      <c r="E250" s="186">
        <v>491802.0</v>
      </c>
      <c r="F250" s="186">
        <v>156298.0</v>
      </c>
      <c r="G250" s="186">
        <v>393861.0</v>
      </c>
      <c r="H250" s="186">
        <v>55562.0</v>
      </c>
      <c r="I250" s="186">
        <v>40526.0</v>
      </c>
      <c r="J250" s="186">
        <v>0.0</v>
      </c>
      <c r="K250" s="186">
        <v>646247.0</v>
      </c>
      <c r="L250" s="186">
        <v>1.6112286E7</v>
      </c>
      <c r="M250" s="181"/>
      <c r="N250" s="181"/>
      <c r="O250" s="181"/>
      <c r="P250" s="181"/>
      <c r="Q250" s="181"/>
      <c r="R250" s="181"/>
      <c r="S250" s="182"/>
      <c r="T250" s="182"/>
      <c r="U250" s="182"/>
      <c r="V250" s="182"/>
      <c r="W250" s="183"/>
      <c r="X250" s="183"/>
      <c r="Y250" s="183"/>
      <c r="Z250" s="183"/>
    </row>
    <row r="251" ht="15.75" customHeight="1">
      <c r="A251" s="184">
        <v>1.6949989E8</v>
      </c>
      <c r="B251" s="185" t="s">
        <v>842</v>
      </c>
      <c r="C251" s="186">
        <v>1.9247163E7</v>
      </c>
      <c r="D251" s="186">
        <v>548284.0</v>
      </c>
      <c r="E251" s="186">
        <v>82518.0</v>
      </c>
      <c r="F251" s="186">
        <v>10564.0</v>
      </c>
      <c r="G251" s="186">
        <v>28280.0</v>
      </c>
      <c r="H251" s="186">
        <v>1823.0</v>
      </c>
      <c r="I251" s="186">
        <v>37592.0</v>
      </c>
      <c r="J251" s="186">
        <v>5320.0</v>
      </c>
      <c r="K251" s="186">
        <v>83579.0</v>
      </c>
      <c r="L251" s="186">
        <v>1600000.0</v>
      </c>
      <c r="M251" s="181"/>
      <c r="N251" s="181"/>
      <c r="O251" s="181"/>
      <c r="P251" s="181"/>
      <c r="Q251" s="181"/>
      <c r="R251" s="181"/>
      <c r="S251" s="182"/>
      <c r="T251" s="182"/>
      <c r="U251" s="182"/>
      <c r="V251" s="182"/>
      <c r="W251" s="183"/>
      <c r="X251" s="183"/>
      <c r="Y251" s="183"/>
      <c r="Z251" s="183"/>
    </row>
    <row r="252" ht="15.75" customHeight="1">
      <c r="A252" s="184">
        <v>9.9674795E7</v>
      </c>
      <c r="B252" s="185" t="s">
        <v>843</v>
      </c>
      <c r="C252" s="186">
        <v>1.9208921E7</v>
      </c>
      <c r="D252" s="186">
        <v>1.3049935E7</v>
      </c>
      <c r="E252" s="186">
        <v>869797.0</v>
      </c>
      <c r="F252" s="186">
        <v>9487.0</v>
      </c>
      <c r="G252" s="186">
        <v>4288.0</v>
      </c>
      <c r="H252" s="186">
        <v>58.0</v>
      </c>
      <c r="I252" s="186">
        <v>589105.0</v>
      </c>
      <c r="J252" s="186">
        <v>357409.0</v>
      </c>
      <c r="K252" s="186">
        <v>960347.0</v>
      </c>
      <c r="L252" s="186">
        <v>3.953744201E9</v>
      </c>
      <c r="M252" s="181"/>
      <c r="N252" s="181"/>
      <c r="O252" s="181"/>
      <c r="P252" s="181"/>
      <c r="Q252" s="181"/>
      <c r="R252" s="181"/>
      <c r="S252" s="182"/>
      <c r="T252" s="182"/>
      <c r="U252" s="182"/>
      <c r="V252" s="182"/>
      <c r="W252" s="183"/>
      <c r="X252" s="183"/>
      <c r="Y252" s="183"/>
      <c r="Z252" s="183"/>
    </row>
    <row r="253" ht="15.75" customHeight="1">
      <c r="A253" s="184">
        <v>1.6950434E8</v>
      </c>
      <c r="B253" s="185" t="s">
        <v>844</v>
      </c>
      <c r="C253" s="186">
        <v>1.9151266E7</v>
      </c>
      <c r="D253" s="186">
        <v>3.6745082E7</v>
      </c>
      <c r="E253" s="186">
        <v>1232611.0</v>
      </c>
      <c r="F253" s="186">
        <v>322340.0</v>
      </c>
      <c r="G253" s="186">
        <v>233794.0</v>
      </c>
      <c r="H253" s="186">
        <v>302784.0</v>
      </c>
      <c r="I253" s="186">
        <v>2118021.0</v>
      </c>
      <c r="J253" s="186">
        <v>691084.0</v>
      </c>
      <c r="K253" s="186">
        <v>3668023.0</v>
      </c>
      <c r="L253" s="186">
        <v>1.031324173E9</v>
      </c>
      <c r="M253" s="181"/>
      <c r="N253" s="181"/>
      <c r="O253" s="181"/>
      <c r="P253" s="181"/>
      <c r="Q253" s="181"/>
      <c r="R253" s="181"/>
      <c r="S253" s="182"/>
      <c r="T253" s="182"/>
      <c r="U253" s="182"/>
      <c r="V253" s="182"/>
      <c r="W253" s="183"/>
      <c r="X253" s="183"/>
      <c r="Y253" s="183"/>
      <c r="Z253" s="183"/>
    </row>
    <row r="254" ht="15.75" customHeight="1">
      <c r="A254" s="184">
        <v>1.72288037E8</v>
      </c>
      <c r="B254" s="185" t="s">
        <v>845</v>
      </c>
      <c r="C254" s="186">
        <v>1.9094597E7</v>
      </c>
      <c r="D254" s="186">
        <v>7180805.0</v>
      </c>
      <c r="E254" s="186">
        <v>344157.0</v>
      </c>
      <c r="F254" s="186">
        <v>217489.0</v>
      </c>
      <c r="G254" s="186">
        <v>341827.0</v>
      </c>
      <c r="H254" s="186">
        <v>282961.0</v>
      </c>
      <c r="I254" s="186">
        <v>532181.0</v>
      </c>
      <c r="J254" s="186">
        <v>0.0</v>
      </c>
      <c r="K254" s="186">
        <v>1374458.0</v>
      </c>
      <c r="L254" s="186">
        <v>4.40152473E8</v>
      </c>
      <c r="M254" s="181"/>
      <c r="N254" s="181"/>
      <c r="O254" s="181"/>
      <c r="P254" s="181"/>
      <c r="Q254" s="181"/>
      <c r="R254" s="181"/>
      <c r="S254" s="182"/>
      <c r="T254" s="182"/>
      <c r="U254" s="182"/>
      <c r="V254" s="182"/>
      <c r="W254" s="183"/>
      <c r="X254" s="183"/>
      <c r="Y254" s="183"/>
      <c r="Z254" s="183"/>
    </row>
    <row r="255" ht="15.75" customHeight="1">
      <c r="A255" s="184">
        <v>1.73417223E8</v>
      </c>
      <c r="B255" s="185" t="s">
        <v>846</v>
      </c>
      <c r="C255" s="186">
        <v>1.9072088E7</v>
      </c>
      <c r="D255" s="186">
        <v>3.0369992E7</v>
      </c>
      <c r="E255" s="186">
        <v>203001.0</v>
      </c>
      <c r="F255" s="186">
        <v>519590.0</v>
      </c>
      <c r="G255" s="186">
        <v>780714.0</v>
      </c>
      <c r="H255" s="186">
        <v>973564.0</v>
      </c>
      <c r="I255" s="186">
        <v>1440595.0</v>
      </c>
      <c r="J255" s="186">
        <v>520222.0</v>
      </c>
      <c r="K255" s="186">
        <v>4234685.0</v>
      </c>
      <c r="L255" s="186">
        <v>4.3910492E7</v>
      </c>
      <c r="M255" s="181"/>
      <c r="N255" s="181"/>
      <c r="O255" s="181"/>
      <c r="P255" s="181"/>
      <c r="Q255" s="181"/>
      <c r="R255" s="181"/>
      <c r="S255" s="182"/>
      <c r="T255" s="182"/>
      <c r="U255" s="182"/>
      <c r="V255" s="182"/>
      <c r="W255" s="183"/>
      <c r="X255" s="183"/>
      <c r="Y255" s="183"/>
      <c r="Z255" s="183"/>
    </row>
    <row r="256" ht="15.75" customHeight="1">
      <c r="A256" s="184">
        <v>1.69535506E8</v>
      </c>
      <c r="B256" s="185" t="s">
        <v>847</v>
      </c>
      <c r="C256" s="186">
        <v>1.9054463E7</v>
      </c>
      <c r="D256" s="186">
        <v>2.2918454E7</v>
      </c>
      <c r="E256" s="186">
        <v>1347887.0</v>
      </c>
      <c r="F256" s="186">
        <v>561803.0</v>
      </c>
      <c r="G256" s="186">
        <v>935793.0</v>
      </c>
      <c r="H256" s="186">
        <v>554682.0</v>
      </c>
      <c r="I256" s="186">
        <v>1596632.0</v>
      </c>
      <c r="J256" s="186">
        <v>137473.0</v>
      </c>
      <c r="K256" s="186">
        <v>3786383.0</v>
      </c>
      <c r="L256" s="186">
        <v>1.863433777E9</v>
      </c>
      <c r="M256" s="181"/>
      <c r="N256" s="181"/>
      <c r="O256" s="181"/>
      <c r="P256" s="181"/>
      <c r="Q256" s="181"/>
      <c r="R256" s="181"/>
      <c r="S256" s="182"/>
      <c r="T256" s="182"/>
      <c r="U256" s="182"/>
      <c r="V256" s="182"/>
      <c r="W256" s="183"/>
      <c r="X256" s="183"/>
      <c r="Y256" s="183"/>
      <c r="Z256" s="183"/>
    </row>
    <row r="257" ht="15.75" customHeight="1">
      <c r="A257" s="184">
        <v>1.69100979E8</v>
      </c>
      <c r="B257" s="185" t="s">
        <v>848</v>
      </c>
      <c r="C257" s="186">
        <v>1.8911387E7</v>
      </c>
      <c r="D257" s="186">
        <v>1.3947351E7</v>
      </c>
      <c r="E257" s="186">
        <v>1430996.0</v>
      </c>
      <c r="F257" s="186">
        <v>365975.0</v>
      </c>
      <c r="G257" s="186">
        <v>442774.0</v>
      </c>
      <c r="H257" s="186">
        <v>185987.0</v>
      </c>
      <c r="I257" s="186">
        <v>952188.0</v>
      </c>
      <c r="J257" s="186">
        <v>136139.0</v>
      </c>
      <c r="K257" s="186">
        <v>2083063.0</v>
      </c>
      <c r="L257" s="186">
        <v>1.26378469E8</v>
      </c>
      <c r="M257" s="181"/>
      <c r="N257" s="181"/>
      <c r="O257" s="181"/>
      <c r="P257" s="181"/>
      <c r="Q257" s="181"/>
      <c r="R257" s="181"/>
      <c r="S257" s="182"/>
      <c r="T257" s="182"/>
      <c r="U257" s="182"/>
      <c r="V257" s="182"/>
      <c r="W257" s="183"/>
      <c r="X257" s="183"/>
      <c r="Y257" s="183"/>
      <c r="Z257" s="183"/>
    </row>
    <row r="258" ht="15.75" customHeight="1">
      <c r="A258" s="184">
        <v>1.69549614E8</v>
      </c>
      <c r="B258" s="185" t="s">
        <v>849</v>
      </c>
      <c r="C258" s="186">
        <v>1.8909353E7</v>
      </c>
      <c r="D258" s="186">
        <v>1.6112397E7</v>
      </c>
      <c r="E258" s="186">
        <v>835712.0</v>
      </c>
      <c r="F258" s="186">
        <v>763926.0</v>
      </c>
      <c r="G258" s="186">
        <v>1331957.0</v>
      </c>
      <c r="H258" s="186">
        <v>1166062.0</v>
      </c>
      <c r="I258" s="186">
        <v>839887.0</v>
      </c>
      <c r="J258" s="186">
        <v>11629.0</v>
      </c>
      <c r="K258" s="186">
        <v>4113461.0</v>
      </c>
      <c r="L258" s="186">
        <v>2.43643633E8</v>
      </c>
      <c r="M258" s="181"/>
      <c r="N258" s="181"/>
      <c r="O258" s="181"/>
      <c r="P258" s="181"/>
      <c r="Q258" s="181"/>
      <c r="R258" s="181"/>
      <c r="S258" s="182"/>
      <c r="T258" s="182"/>
      <c r="U258" s="182"/>
      <c r="V258" s="182"/>
      <c r="W258" s="183"/>
      <c r="X258" s="183"/>
      <c r="Y258" s="183"/>
      <c r="Z258" s="183"/>
    </row>
    <row r="259" ht="15.75" customHeight="1">
      <c r="A259" s="184">
        <v>1.69546626E8</v>
      </c>
      <c r="B259" s="185" t="s">
        <v>850</v>
      </c>
      <c r="C259" s="186">
        <v>1.8875885E7</v>
      </c>
      <c r="D259" s="186">
        <v>883728.0</v>
      </c>
      <c r="E259" s="186">
        <v>771054.0</v>
      </c>
      <c r="F259" s="186">
        <v>55991.0</v>
      </c>
      <c r="G259" s="186">
        <v>25662.0</v>
      </c>
      <c r="H259" s="186">
        <v>10154.0</v>
      </c>
      <c r="I259" s="186">
        <v>30295.0</v>
      </c>
      <c r="J259" s="186">
        <v>23882.0</v>
      </c>
      <c r="K259" s="186">
        <v>145984.0</v>
      </c>
      <c r="L259" s="186">
        <v>400000.0</v>
      </c>
      <c r="M259" s="181"/>
      <c r="N259" s="181"/>
      <c r="O259" s="181"/>
      <c r="P259" s="181"/>
      <c r="Q259" s="181"/>
      <c r="R259" s="181"/>
      <c r="S259" s="182"/>
      <c r="T259" s="182"/>
      <c r="U259" s="182"/>
      <c r="V259" s="182"/>
      <c r="W259" s="183"/>
      <c r="X259" s="183"/>
      <c r="Y259" s="183"/>
      <c r="Z259" s="183"/>
    </row>
    <row r="260" ht="15.75" customHeight="1">
      <c r="A260" s="184">
        <v>1.69524172E8</v>
      </c>
      <c r="B260" s="185" t="s">
        <v>851</v>
      </c>
      <c r="C260" s="186">
        <v>1.882313E7</v>
      </c>
      <c r="D260" s="186">
        <v>2.0346686E7</v>
      </c>
      <c r="E260" s="186">
        <v>217681.0</v>
      </c>
      <c r="F260" s="186">
        <v>1669312.0</v>
      </c>
      <c r="G260" s="186">
        <v>2811790.0</v>
      </c>
      <c r="H260" s="186">
        <v>1970826.0</v>
      </c>
      <c r="I260" s="186">
        <v>625718.0</v>
      </c>
      <c r="J260" s="186">
        <v>12438.0</v>
      </c>
      <c r="K260" s="186">
        <v>7090084.0</v>
      </c>
      <c r="L260" s="186">
        <v>1.8812382E7</v>
      </c>
      <c r="M260" s="181"/>
      <c r="N260" s="181"/>
      <c r="O260" s="181"/>
      <c r="P260" s="181"/>
      <c r="Q260" s="181"/>
      <c r="R260" s="181"/>
      <c r="S260" s="182"/>
      <c r="T260" s="182"/>
      <c r="U260" s="182"/>
      <c r="V260" s="182"/>
      <c r="W260" s="183"/>
      <c r="X260" s="183"/>
      <c r="Y260" s="183"/>
      <c r="Z260" s="183"/>
    </row>
    <row r="261" ht="15.75" customHeight="1">
      <c r="A261" s="184">
        <v>1.69531073E8</v>
      </c>
      <c r="B261" s="185" t="s">
        <v>852</v>
      </c>
      <c r="C261" s="186">
        <v>1.8803932E7</v>
      </c>
      <c r="D261" s="186">
        <v>2763565.0</v>
      </c>
      <c r="E261" s="186">
        <v>689507.0</v>
      </c>
      <c r="F261" s="186">
        <v>254369.0</v>
      </c>
      <c r="G261" s="186">
        <v>111557.0</v>
      </c>
      <c r="H261" s="186">
        <v>32262.0</v>
      </c>
      <c r="I261" s="186">
        <v>236053.0</v>
      </c>
      <c r="J261" s="186">
        <v>0.0</v>
      </c>
      <c r="K261" s="186">
        <v>634241.0</v>
      </c>
      <c r="L261" s="186">
        <v>6.6335264E7</v>
      </c>
      <c r="M261" s="181"/>
      <c r="N261" s="181"/>
      <c r="O261" s="181"/>
      <c r="P261" s="181"/>
      <c r="Q261" s="181"/>
      <c r="R261" s="181"/>
      <c r="S261" s="182"/>
      <c r="T261" s="182"/>
      <c r="U261" s="182"/>
      <c r="V261" s="182"/>
      <c r="W261" s="183"/>
      <c r="X261" s="183"/>
      <c r="Y261" s="183"/>
      <c r="Z261" s="183"/>
    </row>
    <row r="262" ht="15.75" customHeight="1">
      <c r="A262" s="184">
        <v>1.69542052E8</v>
      </c>
      <c r="B262" s="185" t="s">
        <v>853</v>
      </c>
      <c r="C262" s="186">
        <v>1.8775228E7</v>
      </c>
      <c r="D262" s="186">
        <v>1579565.0</v>
      </c>
      <c r="E262" s="186">
        <v>810277.0</v>
      </c>
      <c r="F262" s="186">
        <v>13016.0</v>
      </c>
      <c r="G262" s="186">
        <v>24036.0</v>
      </c>
      <c r="H262" s="186">
        <v>3795.0</v>
      </c>
      <c r="I262" s="186">
        <v>9509.0</v>
      </c>
      <c r="J262" s="186">
        <v>70931.0</v>
      </c>
      <c r="K262" s="186">
        <v>121287.0</v>
      </c>
      <c r="L262" s="186">
        <v>0.0</v>
      </c>
      <c r="M262" s="181"/>
      <c r="N262" s="181"/>
      <c r="O262" s="181"/>
      <c r="P262" s="181"/>
      <c r="Q262" s="181"/>
      <c r="R262" s="181"/>
      <c r="S262" s="182"/>
      <c r="T262" s="182"/>
      <c r="U262" s="182"/>
      <c r="V262" s="182"/>
      <c r="W262" s="183"/>
      <c r="X262" s="183"/>
      <c r="Y262" s="183"/>
      <c r="Z262" s="183"/>
    </row>
    <row r="263" ht="15.75" customHeight="1">
      <c r="A263" s="184">
        <v>1.6896268E8</v>
      </c>
      <c r="B263" s="185" t="s">
        <v>854</v>
      </c>
      <c r="C263" s="186">
        <v>1.8733318E7</v>
      </c>
      <c r="D263" s="186">
        <v>809039.0</v>
      </c>
      <c r="E263" s="186">
        <v>29195.0</v>
      </c>
      <c r="F263" s="186">
        <v>110746.0</v>
      </c>
      <c r="G263" s="186">
        <v>232889.0</v>
      </c>
      <c r="H263" s="186">
        <v>50378.0</v>
      </c>
      <c r="I263" s="186">
        <v>11960.0</v>
      </c>
      <c r="J263" s="186">
        <v>0.0</v>
      </c>
      <c r="K263" s="186">
        <v>405973.0</v>
      </c>
      <c r="L263" s="186">
        <v>0.0</v>
      </c>
      <c r="M263" s="181"/>
      <c r="N263" s="181"/>
      <c r="O263" s="181"/>
      <c r="P263" s="181"/>
      <c r="Q263" s="181"/>
      <c r="R263" s="181"/>
      <c r="S263" s="182"/>
      <c r="T263" s="182"/>
      <c r="U263" s="182"/>
      <c r="V263" s="182"/>
      <c r="W263" s="183"/>
      <c r="X263" s="183"/>
      <c r="Y263" s="183"/>
      <c r="Z263" s="183"/>
    </row>
    <row r="264" ht="15.75" customHeight="1">
      <c r="A264" s="184">
        <v>1.69020137E8</v>
      </c>
      <c r="B264" s="185" t="s">
        <v>855</v>
      </c>
      <c r="C264" s="186">
        <v>1.8697305E7</v>
      </c>
      <c r="D264" s="186">
        <v>7.3250008E7</v>
      </c>
      <c r="E264" s="186">
        <v>1331818.0</v>
      </c>
      <c r="F264" s="186">
        <v>1953152.0</v>
      </c>
      <c r="G264" s="186">
        <v>2965921.0</v>
      </c>
      <c r="H264" s="186">
        <v>1704754.0</v>
      </c>
      <c r="I264" s="186">
        <v>5378420.0</v>
      </c>
      <c r="J264" s="186">
        <v>316216.0</v>
      </c>
      <c r="K264" s="186">
        <v>1.2318463E7</v>
      </c>
      <c r="L264" s="186">
        <v>2.17619861E8</v>
      </c>
      <c r="M264" s="181"/>
      <c r="N264" s="181"/>
      <c r="O264" s="181"/>
      <c r="P264" s="181"/>
      <c r="Q264" s="181"/>
      <c r="R264" s="181"/>
      <c r="S264" s="182"/>
      <c r="T264" s="182"/>
      <c r="U264" s="182"/>
      <c r="V264" s="182"/>
      <c r="W264" s="183"/>
      <c r="X264" s="183"/>
      <c r="Y264" s="183"/>
      <c r="Z264" s="183"/>
    </row>
    <row r="265" ht="15.75" customHeight="1">
      <c r="A265" s="184">
        <v>1.69523394E8</v>
      </c>
      <c r="B265" s="185" t="s">
        <v>856</v>
      </c>
      <c r="C265" s="186">
        <v>1.8664608E7</v>
      </c>
      <c r="D265" s="186">
        <v>3.3480924E7</v>
      </c>
      <c r="E265" s="186">
        <v>454073.0</v>
      </c>
      <c r="F265" s="186">
        <v>1947684.0</v>
      </c>
      <c r="G265" s="186">
        <v>2614334.0</v>
      </c>
      <c r="H265" s="186">
        <v>939145.0</v>
      </c>
      <c r="I265" s="186">
        <v>2119962.0</v>
      </c>
      <c r="J265" s="186">
        <v>145326.0</v>
      </c>
      <c r="K265" s="186">
        <v>7766451.0</v>
      </c>
      <c r="L265" s="186">
        <v>1.113643417E9</v>
      </c>
      <c r="M265" s="181"/>
      <c r="N265" s="181"/>
      <c r="O265" s="181"/>
      <c r="P265" s="181"/>
      <c r="Q265" s="181"/>
      <c r="R265" s="181"/>
      <c r="S265" s="182"/>
      <c r="T265" s="182"/>
      <c r="U265" s="182"/>
      <c r="V265" s="182"/>
      <c r="W265" s="183"/>
      <c r="X265" s="183"/>
      <c r="Y265" s="183"/>
      <c r="Z265" s="183"/>
    </row>
    <row r="266" ht="15.75" customHeight="1">
      <c r="A266" s="184">
        <v>1.69590032E8</v>
      </c>
      <c r="B266" s="185" t="s">
        <v>857</v>
      </c>
      <c r="C266" s="186">
        <v>1.8563462E7</v>
      </c>
      <c r="D266" s="186">
        <v>2140786.0</v>
      </c>
      <c r="E266" s="186">
        <v>1504915.0</v>
      </c>
      <c r="F266" s="186">
        <v>72220.0</v>
      </c>
      <c r="G266" s="186">
        <v>365159.0</v>
      </c>
      <c r="H266" s="186">
        <v>59576.0</v>
      </c>
      <c r="I266" s="186">
        <v>7418.0</v>
      </c>
      <c r="J266" s="186">
        <v>54177.0</v>
      </c>
      <c r="K266" s="186">
        <v>558550.0</v>
      </c>
      <c r="L266" s="186">
        <v>2235362.0</v>
      </c>
      <c r="M266" s="181"/>
      <c r="N266" s="181"/>
      <c r="O266" s="181"/>
      <c r="P266" s="181"/>
      <c r="Q266" s="181"/>
      <c r="R266" s="181"/>
      <c r="S266" s="182"/>
      <c r="T266" s="182"/>
      <c r="U266" s="182"/>
      <c r="V266" s="182"/>
      <c r="W266" s="183"/>
      <c r="X266" s="183"/>
      <c r="Y266" s="183"/>
      <c r="Z266" s="183"/>
    </row>
    <row r="267" ht="15.75" customHeight="1">
      <c r="A267" s="184">
        <v>1.7114708E8</v>
      </c>
      <c r="B267" s="185" t="s">
        <v>858</v>
      </c>
      <c r="C267" s="186">
        <v>1.8523851E7</v>
      </c>
      <c r="D267" s="186">
        <v>1.184018E7</v>
      </c>
      <c r="E267" s="186">
        <v>443286.0</v>
      </c>
      <c r="F267" s="186">
        <v>1079263.0</v>
      </c>
      <c r="G267" s="186">
        <v>122258.0</v>
      </c>
      <c r="H267" s="186">
        <v>435863.0</v>
      </c>
      <c r="I267" s="186">
        <v>960372.0</v>
      </c>
      <c r="J267" s="186">
        <v>1632.0</v>
      </c>
      <c r="K267" s="186">
        <v>2599388.0</v>
      </c>
      <c r="L267" s="186">
        <v>9.32618432E8</v>
      </c>
      <c r="M267" s="181"/>
      <c r="N267" s="181"/>
      <c r="O267" s="181"/>
      <c r="P267" s="181"/>
      <c r="Q267" s="181"/>
      <c r="R267" s="181"/>
      <c r="S267" s="182"/>
      <c r="T267" s="182"/>
      <c r="U267" s="182"/>
      <c r="V267" s="182"/>
      <c r="W267" s="183"/>
      <c r="X267" s="183"/>
      <c r="Y267" s="183"/>
      <c r="Z267" s="183"/>
    </row>
    <row r="268" ht="15.75" customHeight="1">
      <c r="A268" s="184">
        <v>1.6667934E8</v>
      </c>
      <c r="B268" s="185" t="s">
        <v>859</v>
      </c>
      <c r="C268" s="186">
        <v>1.847396E7</v>
      </c>
      <c r="D268" s="186">
        <v>2539165.0</v>
      </c>
      <c r="E268" s="186">
        <v>1517746.0</v>
      </c>
      <c r="F268" s="186">
        <v>100188.0</v>
      </c>
      <c r="G268" s="186">
        <v>119551.0</v>
      </c>
      <c r="H268" s="186">
        <v>8104.0</v>
      </c>
      <c r="I268" s="186">
        <v>140695.0</v>
      </c>
      <c r="J268" s="186">
        <v>42033.0</v>
      </c>
      <c r="K268" s="186">
        <v>410571.0</v>
      </c>
      <c r="L268" s="186">
        <v>9735531.0</v>
      </c>
      <c r="M268" s="181"/>
      <c r="N268" s="181"/>
      <c r="O268" s="181"/>
      <c r="P268" s="181"/>
      <c r="Q268" s="181"/>
      <c r="R268" s="181"/>
      <c r="S268" s="182"/>
      <c r="T268" s="182"/>
      <c r="U268" s="182"/>
      <c r="V268" s="182"/>
      <c r="W268" s="183"/>
      <c r="X268" s="183"/>
      <c r="Y268" s="183"/>
      <c r="Z268" s="183"/>
    </row>
    <row r="269" ht="15.75" customHeight="1">
      <c r="A269" s="184">
        <v>1.69548868E8</v>
      </c>
      <c r="B269" s="185" t="s">
        <v>860</v>
      </c>
      <c r="C269" s="186">
        <v>1.8452579E7</v>
      </c>
      <c r="D269" s="186">
        <v>2349001.0</v>
      </c>
      <c r="E269" s="186">
        <v>523295.0</v>
      </c>
      <c r="F269" s="186">
        <v>3456.0</v>
      </c>
      <c r="G269" s="186">
        <v>26322.0</v>
      </c>
      <c r="H269" s="186">
        <v>45254.0</v>
      </c>
      <c r="I269" s="186">
        <v>120569.0</v>
      </c>
      <c r="J269" s="186">
        <v>45448.0</v>
      </c>
      <c r="K269" s="186">
        <v>241049.0</v>
      </c>
      <c r="L269" s="186">
        <v>501874.0</v>
      </c>
      <c r="M269" s="181"/>
      <c r="N269" s="181"/>
      <c r="O269" s="181"/>
      <c r="P269" s="181"/>
      <c r="Q269" s="181"/>
      <c r="R269" s="181"/>
      <c r="S269" s="182"/>
      <c r="T269" s="182"/>
      <c r="U269" s="182"/>
      <c r="V269" s="182"/>
      <c r="W269" s="183"/>
      <c r="X269" s="183"/>
      <c r="Y269" s="183"/>
      <c r="Z269" s="183"/>
    </row>
    <row r="270" ht="15.75" customHeight="1">
      <c r="A270" s="184">
        <v>1.09739476E8</v>
      </c>
      <c r="B270" s="185" t="s">
        <v>861</v>
      </c>
      <c r="C270" s="186">
        <v>1.845042E7</v>
      </c>
      <c r="D270" s="186">
        <v>5776841.0</v>
      </c>
      <c r="E270" s="186">
        <v>1827595.0</v>
      </c>
      <c r="F270" s="186">
        <v>408446.0</v>
      </c>
      <c r="G270" s="186">
        <v>137642.0</v>
      </c>
      <c r="H270" s="186">
        <v>64872.0</v>
      </c>
      <c r="I270" s="186">
        <v>269896.0</v>
      </c>
      <c r="J270" s="186">
        <v>123071.0</v>
      </c>
      <c r="K270" s="186">
        <v>1003927.0</v>
      </c>
      <c r="L270" s="186">
        <v>3235520.0</v>
      </c>
      <c r="M270" s="181"/>
      <c r="N270" s="181"/>
      <c r="O270" s="181"/>
      <c r="P270" s="181"/>
      <c r="Q270" s="181"/>
      <c r="R270" s="181"/>
      <c r="S270" s="182"/>
      <c r="T270" s="182"/>
      <c r="U270" s="182"/>
      <c r="V270" s="182"/>
      <c r="W270" s="183"/>
      <c r="X270" s="183"/>
      <c r="Y270" s="183"/>
      <c r="Z270" s="183"/>
    </row>
    <row r="271" ht="15.75" customHeight="1">
      <c r="A271" s="184">
        <v>1.69560281E8</v>
      </c>
      <c r="B271" s="185" t="s">
        <v>862</v>
      </c>
      <c r="C271" s="186">
        <v>1.8425775E7</v>
      </c>
      <c r="D271" s="186">
        <v>1369183.0</v>
      </c>
      <c r="E271" s="186">
        <v>51114.0</v>
      </c>
      <c r="F271" s="186">
        <v>36547.0</v>
      </c>
      <c r="G271" s="186">
        <v>131533.0</v>
      </c>
      <c r="H271" s="186">
        <v>51782.0</v>
      </c>
      <c r="I271" s="186">
        <v>89168.0</v>
      </c>
      <c r="J271" s="186">
        <v>0.0</v>
      </c>
      <c r="K271" s="186">
        <v>309030.0</v>
      </c>
      <c r="L271" s="186">
        <v>1155806.0</v>
      </c>
      <c r="M271" s="181"/>
      <c r="N271" s="181"/>
      <c r="O271" s="181"/>
      <c r="P271" s="181"/>
      <c r="Q271" s="181"/>
      <c r="R271" s="181"/>
      <c r="S271" s="182"/>
      <c r="T271" s="182"/>
      <c r="U271" s="182"/>
      <c r="V271" s="182"/>
      <c r="W271" s="183"/>
      <c r="X271" s="183"/>
      <c r="Y271" s="183"/>
      <c r="Z271" s="183"/>
    </row>
    <row r="272" ht="15.75" customHeight="1">
      <c r="A272" s="184">
        <v>1.69527171E8</v>
      </c>
      <c r="B272" s="185" t="s">
        <v>863</v>
      </c>
      <c r="C272" s="186">
        <v>1.8363029E7</v>
      </c>
      <c r="D272" s="186">
        <v>657864.0</v>
      </c>
      <c r="E272" s="186">
        <v>138991.0</v>
      </c>
      <c r="F272" s="186">
        <v>70494.0</v>
      </c>
      <c r="G272" s="186">
        <v>23383.0</v>
      </c>
      <c r="H272" s="186">
        <v>17020.0</v>
      </c>
      <c r="I272" s="186">
        <v>34328.0</v>
      </c>
      <c r="J272" s="186">
        <v>9282.0</v>
      </c>
      <c r="K272" s="186">
        <v>154507.0</v>
      </c>
      <c r="L272" s="186">
        <v>9.45E7</v>
      </c>
      <c r="M272" s="181"/>
      <c r="N272" s="181"/>
      <c r="O272" s="181"/>
      <c r="P272" s="181"/>
      <c r="Q272" s="181"/>
      <c r="R272" s="181"/>
      <c r="S272" s="182"/>
      <c r="T272" s="182"/>
      <c r="U272" s="182"/>
      <c r="V272" s="182"/>
      <c r="W272" s="183"/>
      <c r="X272" s="183"/>
      <c r="Y272" s="183"/>
      <c r="Z272" s="183"/>
    </row>
    <row r="273" ht="15.75" customHeight="1">
      <c r="A273" s="184">
        <v>1.65255197E8</v>
      </c>
      <c r="B273" s="185" t="s">
        <v>864</v>
      </c>
      <c r="C273" s="186">
        <v>1.8317096E7</v>
      </c>
      <c r="D273" s="186">
        <v>1.4342849E7</v>
      </c>
      <c r="E273" s="186">
        <v>2900449.0</v>
      </c>
      <c r="F273" s="186">
        <v>349329.0</v>
      </c>
      <c r="G273" s="186">
        <v>286527.0</v>
      </c>
      <c r="H273" s="186">
        <v>51650.0</v>
      </c>
      <c r="I273" s="186">
        <v>1037255.0</v>
      </c>
      <c r="J273" s="186">
        <v>156039.0</v>
      </c>
      <c r="K273" s="186">
        <v>1880800.0</v>
      </c>
      <c r="L273" s="186">
        <v>1.82940643E8</v>
      </c>
      <c r="M273" s="181"/>
      <c r="N273" s="181"/>
      <c r="O273" s="181"/>
      <c r="P273" s="181"/>
      <c r="Q273" s="181"/>
      <c r="R273" s="181"/>
      <c r="S273" s="182"/>
      <c r="T273" s="182"/>
      <c r="U273" s="182"/>
      <c r="V273" s="182"/>
      <c r="W273" s="183"/>
      <c r="X273" s="183"/>
      <c r="Y273" s="183"/>
      <c r="Z273" s="183"/>
    </row>
    <row r="274" ht="15.75" customHeight="1">
      <c r="A274" s="184">
        <v>1.7105369E8</v>
      </c>
      <c r="B274" s="185" t="s">
        <v>865</v>
      </c>
      <c r="C274" s="186">
        <v>1.8271613E7</v>
      </c>
      <c r="D274" s="186">
        <v>1788483.0</v>
      </c>
      <c r="E274" s="186">
        <v>1152993.0</v>
      </c>
      <c r="F274" s="186">
        <v>131357.0</v>
      </c>
      <c r="G274" s="186">
        <v>139539.0</v>
      </c>
      <c r="H274" s="186">
        <v>111936.0</v>
      </c>
      <c r="I274" s="186">
        <v>41427.0</v>
      </c>
      <c r="J274" s="186">
        <v>31056.0</v>
      </c>
      <c r="K274" s="186">
        <v>455315.0</v>
      </c>
      <c r="L274" s="186">
        <v>2.2681836E7</v>
      </c>
      <c r="M274" s="181"/>
      <c r="N274" s="181"/>
      <c r="O274" s="181"/>
      <c r="P274" s="181"/>
      <c r="Q274" s="181"/>
      <c r="R274" s="181"/>
      <c r="S274" s="182"/>
      <c r="T274" s="182"/>
      <c r="U274" s="182"/>
      <c r="V274" s="182"/>
      <c r="W274" s="183"/>
      <c r="X274" s="183"/>
      <c r="Y274" s="183"/>
      <c r="Z274" s="183"/>
    </row>
    <row r="275" ht="15.75" customHeight="1">
      <c r="A275" s="184">
        <v>1.69490498E8</v>
      </c>
      <c r="B275" s="185" t="s">
        <v>866</v>
      </c>
      <c r="C275" s="186">
        <v>1.8270647E7</v>
      </c>
      <c r="D275" s="186">
        <v>1.5012508E7</v>
      </c>
      <c r="E275" s="186">
        <v>715824.0</v>
      </c>
      <c r="F275" s="186">
        <v>742813.0</v>
      </c>
      <c r="G275" s="186">
        <v>1075213.0</v>
      </c>
      <c r="H275" s="186">
        <v>531080.0</v>
      </c>
      <c r="I275" s="186">
        <v>865166.0</v>
      </c>
      <c r="J275" s="186">
        <v>96877.0</v>
      </c>
      <c r="K275" s="186">
        <v>3311149.0</v>
      </c>
      <c r="L275" s="186">
        <v>3.1652115E7</v>
      </c>
      <c r="M275" s="181"/>
      <c r="N275" s="181"/>
      <c r="O275" s="181"/>
      <c r="P275" s="181"/>
      <c r="Q275" s="181"/>
      <c r="R275" s="181"/>
      <c r="S275" s="182"/>
      <c r="T275" s="182"/>
      <c r="U275" s="182"/>
      <c r="V275" s="182"/>
      <c r="W275" s="183"/>
      <c r="X275" s="183"/>
      <c r="Y275" s="183"/>
      <c r="Z275" s="183"/>
    </row>
    <row r="276" ht="15.75" customHeight="1">
      <c r="A276" s="184">
        <v>1.69481978E8</v>
      </c>
      <c r="B276" s="185" t="s">
        <v>867</v>
      </c>
      <c r="C276" s="186">
        <v>1.8257176E7</v>
      </c>
      <c r="D276" s="186">
        <v>5580672.0</v>
      </c>
      <c r="E276" s="186">
        <v>640259.0</v>
      </c>
      <c r="F276" s="186">
        <v>220584.0</v>
      </c>
      <c r="G276" s="186">
        <v>842288.0</v>
      </c>
      <c r="H276" s="186">
        <v>298770.0</v>
      </c>
      <c r="I276" s="186">
        <v>219590.0</v>
      </c>
      <c r="J276" s="186">
        <v>23050.0</v>
      </c>
      <c r="K276" s="186">
        <v>1604282.0</v>
      </c>
      <c r="L276" s="186">
        <v>6585537.0</v>
      </c>
      <c r="M276" s="181"/>
      <c r="N276" s="181"/>
      <c r="O276" s="181"/>
      <c r="P276" s="181"/>
      <c r="Q276" s="181"/>
      <c r="R276" s="181"/>
      <c r="S276" s="182"/>
      <c r="T276" s="182"/>
      <c r="U276" s="182"/>
      <c r="V276" s="182"/>
      <c r="W276" s="183"/>
      <c r="X276" s="183"/>
      <c r="Y276" s="183"/>
      <c r="Z276" s="183"/>
    </row>
    <row r="277" ht="15.75" customHeight="1">
      <c r="A277" s="184">
        <v>1.51387352E8</v>
      </c>
      <c r="B277" s="185" t="s">
        <v>868</v>
      </c>
      <c r="C277" s="186">
        <v>1.8164314E7</v>
      </c>
      <c r="D277" s="186">
        <v>3657283.0</v>
      </c>
      <c r="E277" s="186">
        <v>1357142.0</v>
      </c>
      <c r="F277" s="186">
        <v>37677.0</v>
      </c>
      <c r="G277" s="186">
        <v>22196.0</v>
      </c>
      <c r="H277" s="186">
        <v>8164.0</v>
      </c>
      <c r="I277" s="186">
        <v>328584.0</v>
      </c>
      <c r="J277" s="186">
        <v>14343.0</v>
      </c>
      <c r="K277" s="186">
        <v>410964.0</v>
      </c>
      <c r="L277" s="186">
        <v>0.0</v>
      </c>
      <c r="M277" s="181"/>
      <c r="N277" s="181"/>
      <c r="O277" s="181"/>
      <c r="P277" s="181"/>
      <c r="Q277" s="181"/>
      <c r="R277" s="181"/>
      <c r="S277" s="182"/>
      <c r="T277" s="182"/>
      <c r="U277" s="182"/>
      <c r="V277" s="182"/>
      <c r="W277" s="183"/>
      <c r="X277" s="183"/>
      <c r="Y277" s="183"/>
      <c r="Z277" s="183"/>
    </row>
    <row r="278" ht="15.75" customHeight="1">
      <c r="A278" s="184">
        <v>1.69568037E8</v>
      </c>
      <c r="B278" s="185" t="s">
        <v>869</v>
      </c>
      <c r="C278" s="186">
        <v>1.8141417E7</v>
      </c>
      <c r="D278" s="186">
        <v>2585453.0</v>
      </c>
      <c r="E278" s="186">
        <v>1069038.0</v>
      </c>
      <c r="F278" s="186">
        <v>184575.0</v>
      </c>
      <c r="G278" s="186">
        <v>217065.0</v>
      </c>
      <c r="H278" s="186">
        <v>33207.0</v>
      </c>
      <c r="I278" s="186">
        <v>198158.0</v>
      </c>
      <c r="J278" s="186">
        <v>0.0</v>
      </c>
      <c r="K278" s="186">
        <v>633005.0</v>
      </c>
      <c r="L278" s="186">
        <v>0.0</v>
      </c>
      <c r="M278" s="181"/>
      <c r="N278" s="181"/>
      <c r="O278" s="181"/>
      <c r="P278" s="181"/>
      <c r="Q278" s="181"/>
      <c r="R278" s="181"/>
      <c r="S278" s="182"/>
      <c r="T278" s="182"/>
      <c r="U278" s="182"/>
      <c r="V278" s="182"/>
      <c r="W278" s="183"/>
      <c r="X278" s="183"/>
      <c r="Y278" s="183"/>
      <c r="Z278" s="183"/>
    </row>
    <row r="279" ht="15.75" customHeight="1">
      <c r="A279" s="184">
        <v>1.71087239E8</v>
      </c>
      <c r="B279" s="185" t="s">
        <v>870</v>
      </c>
      <c r="C279" s="186">
        <v>1.8032569E7</v>
      </c>
      <c r="D279" s="186">
        <v>3023470.0</v>
      </c>
      <c r="E279" s="186">
        <v>169372.0</v>
      </c>
      <c r="F279" s="186">
        <v>104793.0</v>
      </c>
      <c r="G279" s="186">
        <v>118702.0</v>
      </c>
      <c r="H279" s="186">
        <v>95067.0</v>
      </c>
      <c r="I279" s="186">
        <v>217180.0</v>
      </c>
      <c r="J279" s="186">
        <v>10652.0</v>
      </c>
      <c r="K279" s="186">
        <v>546394.0</v>
      </c>
      <c r="L279" s="186">
        <v>6.34387253E8</v>
      </c>
      <c r="M279" s="181"/>
      <c r="N279" s="181"/>
      <c r="O279" s="181"/>
      <c r="P279" s="181"/>
      <c r="Q279" s="181"/>
      <c r="R279" s="181"/>
      <c r="S279" s="182"/>
      <c r="T279" s="182"/>
      <c r="U279" s="182"/>
      <c r="V279" s="182"/>
      <c r="W279" s="183"/>
      <c r="X279" s="183"/>
      <c r="Y279" s="183"/>
      <c r="Z279" s="183"/>
    </row>
    <row r="280" ht="15.75" customHeight="1">
      <c r="A280" s="184">
        <v>1.69511358E8</v>
      </c>
      <c r="B280" s="185" t="s">
        <v>871</v>
      </c>
      <c r="C280" s="186">
        <v>1.7953695E7</v>
      </c>
      <c r="D280" s="186">
        <v>4694204.0</v>
      </c>
      <c r="E280" s="186">
        <v>299738.0</v>
      </c>
      <c r="F280" s="186">
        <v>107450.0</v>
      </c>
      <c r="G280" s="186">
        <v>175565.0</v>
      </c>
      <c r="H280" s="186">
        <v>638671.0</v>
      </c>
      <c r="I280" s="186">
        <v>176662.0</v>
      </c>
      <c r="J280" s="186">
        <v>14.0</v>
      </c>
      <c r="K280" s="186">
        <v>1098362.0</v>
      </c>
      <c r="L280" s="186">
        <v>0.0</v>
      </c>
      <c r="M280" s="181"/>
      <c r="N280" s="181"/>
      <c r="O280" s="181"/>
      <c r="P280" s="181"/>
      <c r="Q280" s="181"/>
      <c r="R280" s="181"/>
      <c r="S280" s="182"/>
      <c r="T280" s="182"/>
      <c r="U280" s="182"/>
      <c r="V280" s="182"/>
      <c r="W280" s="183"/>
      <c r="X280" s="183"/>
      <c r="Y280" s="183"/>
      <c r="Z280" s="183"/>
    </row>
    <row r="281" ht="15.75" customHeight="1">
      <c r="A281" s="184">
        <v>1.69096213E8</v>
      </c>
      <c r="B281" s="185" t="s">
        <v>872</v>
      </c>
      <c r="C281" s="186">
        <v>1.7782465E7</v>
      </c>
      <c r="D281" s="186">
        <v>1812368.0</v>
      </c>
      <c r="E281" s="186">
        <v>0.0</v>
      </c>
      <c r="F281" s="186">
        <v>55791.0</v>
      </c>
      <c r="G281" s="186">
        <v>355545.0</v>
      </c>
      <c r="H281" s="186">
        <v>0.0</v>
      </c>
      <c r="I281" s="186">
        <v>98564.0</v>
      </c>
      <c r="J281" s="186">
        <v>5224.0</v>
      </c>
      <c r="K281" s="186">
        <v>515124.0</v>
      </c>
      <c r="L281" s="186">
        <v>2.5283593E7</v>
      </c>
      <c r="M281" s="181"/>
      <c r="N281" s="181"/>
      <c r="O281" s="181"/>
      <c r="P281" s="181"/>
      <c r="Q281" s="181"/>
      <c r="R281" s="181"/>
      <c r="S281" s="182"/>
      <c r="T281" s="182"/>
      <c r="U281" s="182"/>
      <c r="V281" s="182"/>
      <c r="W281" s="183"/>
      <c r="X281" s="183"/>
      <c r="Y281" s="183"/>
      <c r="Z281" s="183"/>
    </row>
    <row r="282" ht="15.75" customHeight="1">
      <c r="A282" s="184">
        <v>1.73578964E8</v>
      </c>
      <c r="B282" s="185" t="s">
        <v>873</v>
      </c>
      <c r="C282" s="186">
        <v>1.7707705E7</v>
      </c>
      <c r="D282" s="186">
        <v>9812197.0</v>
      </c>
      <c r="E282" s="186">
        <v>659676.0</v>
      </c>
      <c r="F282" s="186">
        <v>47095.0</v>
      </c>
      <c r="G282" s="186">
        <v>163845.0</v>
      </c>
      <c r="H282" s="186">
        <v>491402.0</v>
      </c>
      <c r="I282" s="186">
        <v>750948.0</v>
      </c>
      <c r="J282" s="186">
        <v>0.0</v>
      </c>
      <c r="K282" s="186">
        <v>1453290.0</v>
      </c>
      <c r="L282" s="186">
        <v>2.0E7</v>
      </c>
      <c r="M282" s="181"/>
      <c r="N282" s="181"/>
      <c r="O282" s="181"/>
      <c r="P282" s="181"/>
      <c r="Q282" s="181"/>
      <c r="R282" s="181"/>
      <c r="S282" s="182"/>
      <c r="T282" s="182"/>
      <c r="U282" s="182"/>
      <c r="V282" s="182"/>
      <c r="W282" s="183"/>
      <c r="X282" s="183"/>
      <c r="Y282" s="183"/>
      <c r="Z282" s="183"/>
    </row>
    <row r="283" ht="15.75" customHeight="1">
      <c r="A283" s="184">
        <v>1.69480183E8</v>
      </c>
      <c r="B283" s="185" t="s">
        <v>874</v>
      </c>
      <c r="C283" s="186">
        <v>1.7630655E7</v>
      </c>
      <c r="D283" s="186">
        <v>1282350.0</v>
      </c>
      <c r="E283" s="186">
        <v>544482.0</v>
      </c>
      <c r="F283" s="186">
        <v>327563.0</v>
      </c>
      <c r="G283" s="186">
        <v>213425.0</v>
      </c>
      <c r="H283" s="186">
        <v>33552.0</v>
      </c>
      <c r="I283" s="186">
        <v>52212.0</v>
      </c>
      <c r="J283" s="186">
        <v>6683.0</v>
      </c>
      <c r="K283" s="186">
        <v>633435.0</v>
      </c>
      <c r="L283" s="186">
        <v>6.1027017E7</v>
      </c>
      <c r="M283" s="181"/>
      <c r="N283" s="181"/>
      <c r="O283" s="181"/>
      <c r="P283" s="181"/>
      <c r="Q283" s="181"/>
      <c r="R283" s="181"/>
      <c r="S283" s="182"/>
      <c r="T283" s="182"/>
      <c r="U283" s="182"/>
      <c r="V283" s="182"/>
      <c r="W283" s="183"/>
      <c r="X283" s="183"/>
      <c r="Y283" s="183"/>
      <c r="Z283" s="183"/>
    </row>
    <row r="284" ht="15.75" customHeight="1">
      <c r="A284" s="184">
        <v>1.69557067E8</v>
      </c>
      <c r="B284" s="185" t="s">
        <v>875</v>
      </c>
      <c r="C284" s="186">
        <v>1.7584458E7</v>
      </c>
      <c r="D284" s="186">
        <v>3182530.0</v>
      </c>
      <c r="E284" s="186">
        <v>1271626.0</v>
      </c>
      <c r="F284" s="186">
        <v>93831.0</v>
      </c>
      <c r="G284" s="186">
        <v>154203.0</v>
      </c>
      <c r="H284" s="186">
        <v>77662.0</v>
      </c>
      <c r="I284" s="186">
        <v>112485.0</v>
      </c>
      <c r="J284" s="186">
        <v>70993.0</v>
      </c>
      <c r="K284" s="186">
        <v>509174.0</v>
      </c>
      <c r="L284" s="186">
        <v>20000.0</v>
      </c>
      <c r="M284" s="181"/>
      <c r="N284" s="181"/>
      <c r="O284" s="181"/>
      <c r="P284" s="181"/>
      <c r="Q284" s="181"/>
      <c r="R284" s="181"/>
      <c r="S284" s="182"/>
      <c r="T284" s="182"/>
      <c r="U284" s="182"/>
      <c r="V284" s="182"/>
      <c r="W284" s="183"/>
      <c r="X284" s="183"/>
      <c r="Y284" s="183"/>
      <c r="Z284" s="183"/>
    </row>
    <row r="285" ht="15.75" customHeight="1">
      <c r="A285" s="184">
        <v>1.69520065E8</v>
      </c>
      <c r="B285" s="185" t="s">
        <v>876</v>
      </c>
      <c r="C285" s="186">
        <v>1.7568229E7</v>
      </c>
      <c r="D285" s="186">
        <v>3200959.0</v>
      </c>
      <c r="E285" s="186">
        <v>506736.0</v>
      </c>
      <c r="F285" s="186">
        <v>90538.0</v>
      </c>
      <c r="G285" s="186">
        <v>151099.0</v>
      </c>
      <c r="H285" s="186">
        <v>95186.0</v>
      </c>
      <c r="I285" s="186">
        <v>220097.0</v>
      </c>
      <c r="J285" s="186">
        <v>14947.0</v>
      </c>
      <c r="K285" s="186">
        <v>571867.0</v>
      </c>
      <c r="L285" s="186">
        <v>1.99005229E8</v>
      </c>
      <c r="M285" s="181"/>
      <c r="N285" s="181"/>
      <c r="O285" s="181"/>
      <c r="P285" s="181"/>
      <c r="Q285" s="181"/>
      <c r="R285" s="181"/>
      <c r="S285" s="182"/>
      <c r="T285" s="182"/>
      <c r="U285" s="182"/>
      <c r="V285" s="182"/>
      <c r="W285" s="183"/>
      <c r="X285" s="183"/>
      <c r="Y285" s="183"/>
      <c r="Z285" s="183"/>
    </row>
    <row r="286" ht="15.75" customHeight="1">
      <c r="A286" s="184">
        <v>1.65497073E8</v>
      </c>
      <c r="B286" s="185" t="s">
        <v>877</v>
      </c>
      <c r="C286" s="186">
        <v>1.7548378E7</v>
      </c>
      <c r="D286" s="186">
        <v>2109797.0</v>
      </c>
      <c r="E286" s="186">
        <v>259888.0</v>
      </c>
      <c r="F286" s="186">
        <v>53466.0</v>
      </c>
      <c r="G286" s="186">
        <v>180767.0</v>
      </c>
      <c r="H286" s="186">
        <v>118460.0</v>
      </c>
      <c r="I286" s="186">
        <v>104315.0</v>
      </c>
      <c r="J286" s="186">
        <v>11029.0</v>
      </c>
      <c r="K286" s="186">
        <v>468037.0</v>
      </c>
      <c r="L286" s="186">
        <v>8.7326335E7</v>
      </c>
      <c r="M286" s="181"/>
      <c r="N286" s="181"/>
      <c r="O286" s="181"/>
      <c r="P286" s="181"/>
      <c r="Q286" s="181"/>
      <c r="R286" s="181"/>
      <c r="S286" s="182"/>
      <c r="T286" s="182"/>
      <c r="U286" s="182"/>
      <c r="V286" s="182"/>
      <c r="W286" s="183"/>
      <c r="X286" s="183"/>
      <c r="Y286" s="183"/>
      <c r="Z286" s="183"/>
    </row>
    <row r="287" ht="15.75" customHeight="1">
      <c r="A287" s="184">
        <v>1.695135E8</v>
      </c>
      <c r="B287" s="185" t="s">
        <v>878</v>
      </c>
      <c r="C287" s="186">
        <v>1.7406228E7</v>
      </c>
      <c r="D287" s="186">
        <v>2.1678429E7</v>
      </c>
      <c r="E287" s="186">
        <v>739358.0</v>
      </c>
      <c r="F287" s="186">
        <v>1280017.0</v>
      </c>
      <c r="G287" s="186">
        <v>907198.0</v>
      </c>
      <c r="H287" s="186">
        <v>872475.0</v>
      </c>
      <c r="I287" s="186">
        <v>1441441.0</v>
      </c>
      <c r="J287" s="186">
        <v>85186.0</v>
      </c>
      <c r="K287" s="186">
        <v>4586317.0</v>
      </c>
      <c r="L287" s="186">
        <v>1.30122086E8</v>
      </c>
      <c r="M287" s="181"/>
      <c r="N287" s="181"/>
      <c r="O287" s="181"/>
      <c r="P287" s="181"/>
      <c r="Q287" s="181"/>
      <c r="R287" s="181"/>
      <c r="S287" s="182"/>
      <c r="T287" s="182"/>
      <c r="U287" s="182"/>
      <c r="V287" s="182"/>
      <c r="W287" s="183"/>
      <c r="X287" s="183"/>
      <c r="Y287" s="183"/>
      <c r="Z287" s="183"/>
    </row>
    <row r="288" ht="15.75" customHeight="1">
      <c r="A288" s="184">
        <v>1.69550594E8</v>
      </c>
      <c r="B288" s="185" t="s">
        <v>879</v>
      </c>
      <c r="C288" s="186">
        <v>1.7329945E7</v>
      </c>
      <c r="D288" s="186">
        <v>4609530.0</v>
      </c>
      <c r="E288" s="186">
        <v>857218.0</v>
      </c>
      <c r="F288" s="186">
        <v>218871.0</v>
      </c>
      <c r="G288" s="186">
        <v>982110.0</v>
      </c>
      <c r="H288" s="186">
        <v>302759.0</v>
      </c>
      <c r="I288" s="186">
        <v>139050.0</v>
      </c>
      <c r="J288" s="186">
        <v>0.0</v>
      </c>
      <c r="K288" s="186">
        <v>1642790.0</v>
      </c>
      <c r="L288" s="186">
        <v>984125.0</v>
      </c>
      <c r="M288" s="181"/>
      <c r="N288" s="181"/>
      <c r="O288" s="181"/>
      <c r="P288" s="181"/>
      <c r="Q288" s="181"/>
      <c r="R288" s="181"/>
      <c r="S288" s="182"/>
      <c r="T288" s="182"/>
      <c r="U288" s="182"/>
      <c r="V288" s="182"/>
      <c r="W288" s="183"/>
      <c r="X288" s="183"/>
      <c r="Y288" s="183"/>
      <c r="Z288" s="183"/>
    </row>
    <row r="289" ht="15.75" customHeight="1">
      <c r="A289" s="184">
        <v>1.69525755E8</v>
      </c>
      <c r="B289" s="185" t="s">
        <v>880</v>
      </c>
      <c r="C289" s="186">
        <v>1.731206E7</v>
      </c>
      <c r="D289" s="186">
        <v>9423906.0</v>
      </c>
      <c r="E289" s="186">
        <v>962568.0</v>
      </c>
      <c r="F289" s="186">
        <v>2508780.0</v>
      </c>
      <c r="G289" s="186">
        <v>289067.0</v>
      </c>
      <c r="H289" s="186">
        <v>343034.0</v>
      </c>
      <c r="I289" s="186">
        <v>616866.0</v>
      </c>
      <c r="J289" s="186">
        <v>40161.0</v>
      </c>
      <c r="K289" s="186">
        <v>3797908.0</v>
      </c>
      <c r="L289" s="186">
        <v>0.0</v>
      </c>
      <c r="M289" s="181"/>
      <c r="N289" s="181"/>
      <c r="O289" s="181"/>
      <c r="P289" s="181"/>
      <c r="Q289" s="181"/>
      <c r="R289" s="181"/>
      <c r="S289" s="182"/>
      <c r="T289" s="182"/>
      <c r="U289" s="182"/>
      <c r="V289" s="182"/>
      <c r="W289" s="183"/>
      <c r="X289" s="183"/>
      <c r="Y289" s="183"/>
      <c r="Z289" s="183"/>
    </row>
    <row r="290" ht="15.75" customHeight="1">
      <c r="A290" s="184">
        <v>1.69589835E8</v>
      </c>
      <c r="B290" s="185" t="s">
        <v>881</v>
      </c>
      <c r="C290" s="186">
        <v>1.7280571E7</v>
      </c>
      <c r="D290" s="186">
        <v>2134859.0</v>
      </c>
      <c r="E290" s="186">
        <v>161515.0</v>
      </c>
      <c r="F290" s="186">
        <v>91238.0</v>
      </c>
      <c r="G290" s="186">
        <v>155435.0</v>
      </c>
      <c r="H290" s="186">
        <v>83843.0</v>
      </c>
      <c r="I290" s="186">
        <v>147037.0</v>
      </c>
      <c r="J290" s="186">
        <v>0.0</v>
      </c>
      <c r="K290" s="186">
        <v>477553.0</v>
      </c>
      <c r="L290" s="186">
        <v>0.0</v>
      </c>
      <c r="M290" s="181"/>
      <c r="N290" s="181"/>
      <c r="O290" s="181"/>
      <c r="P290" s="181"/>
      <c r="Q290" s="181"/>
      <c r="R290" s="181"/>
      <c r="S290" s="182"/>
      <c r="T290" s="182"/>
      <c r="U290" s="182"/>
      <c r="V290" s="182"/>
      <c r="W290" s="183"/>
      <c r="X290" s="183"/>
      <c r="Y290" s="183"/>
      <c r="Z290" s="183"/>
    </row>
    <row r="291" ht="15.75" customHeight="1">
      <c r="A291" s="184">
        <v>1.57376927E8</v>
      </c>
      <c r="B291" s="185" t="s">
        <v>882</v>
      </c>
      <c r="C291" s="186">
        <v>1.7229868E7</v>
      </c>
      <c r="D291" s="186">
        <v>1.4242665E7</v>
      </c>
      <c r="E291" s="186">
        <v>130932.0</v>
      </c>
      <c r="F291" s="186">
        <v>500835.0</v>
      </c>
      <c r="G291" s="186">
        <v>1309550.0</v>
      </c>
      <c r="H291" s="186">
        <v>308572.0</v>
      </c>
      <c r="I291" s="186">
        <v>786755.0</v>
      </c>
      <c r="J291" s="186">
        <v>121078.0</v>
      </c>
      <c r="K291" s="186">
        <v>3026790.0</v>
      </c>
      <c r="L291" s="186">
        <v>6.79098525E8</v>
      </c>
      <c r="M291" s="181"/>
      <c r="N291" s="181"/>
      <c r="O291" s="181"/>
      <c r="P291" s="181"/>
      <c r="Q291" s="181"/>
      <c r="R291" s="181"/>
      <c r="S291" s="182"/>
      <c r="T291" s="182"/>
      <c r="U291" s="182"/>
      <c r="V291" s="182"/>
      <c r="W291" s="183"/>
      <c r="X291" s="183"/>
      <c r="Y291" s="183"/>
      <c r="Z291" s="183"/>
    </row>
    <row r="292" ht="15.75" customHeight="1">
      <c r="A292" s="184">
        <v>1.69480912E8</v>
      </c>
      <c r="B292" s="185" t="s">
        <v>883</v>
      </c>
      <c r="C292" s="186">
        <v>1.7061883E7</v>
      </c>
      <c r="D292" s="186">
        <v>2.6999667E7</v>
      </c>
      <c r="E292" s="186">
        <v>450929.0</v>
      </c>
      <c r="F292" s="186">
        <v>2413858.0</v>
      </c>
      <c r="G292" s="186">
        <v>4234738.0</v>
      </c>
      <c r="H292" s="186">
        <v>826420.0</v>
      </c>
      <c r="I292" s="186">
        <v>891438.0</v>
      </c>
      <c r="J292" s="186">
        <v>291368.0</v>
      </c>
      <c r="K292" s="186">
        <v>8657822.0</v>
      </c>
      <c r="L292" s="186">
        <v>2.1266612E7</v>
      </c>
      <c r="M292" s="181"/>
      <c r="N292" s="181"/>
      <c r="O292" s="181"/>
      <c r="P292" s="181"/>
      <c r="Q292" s="181"/>
      <c r="R292" s="181"/>
      <c r="S292" s="182"/>
      <c r="T292" s="182"/>
      <c r="U292" s="182"/>
      <c r="V292" s="182"/>
      <c r="W292" s="183"/>
      <c r="X292" s="183"/>
      <c r="Y292" s="183"/>
      <c r="Z292" s="183"/>
    </row>
    <row r="293" ht="15.75" customHeight="1">
      <c r="A293" s="184">
        <v>1.69585567E8</v>
      </c>
      <c r="B293" s="185" t="s">
        <v>884</v>
      </c>
      <c r="C293" s="186">
        <v>1.6957227E7</v>
      </c>
      <c r="D293" s="186">
        <v>2072280.0</v>
      </c>
      <c r="E293" s="186">
        <v>306568.0</v>
      </c>
      <c r="F293" s="186">
        <v>61071.0</v>
      </c>
      <c r="G293" s="186">
        <v>151855.0</v>
      </c>
      <c r="H293" s="186">
        <v>131669.0</v>
      </c>
      <c r="I293" s="186">
        <v>105718.0</v>
      </c>
      <c r="J293" s="186">
        <v>8625.0</v>
      </c>
      <c r="K293" s="186">
        <v>458938.0</v>
      </c>
      <c r="L293" s="186">
        <v>7.4500935E7</v>
      </c>
      <c r="M293" s="181"/>
      <c r="N293" s="181"/>
      <c r="O293" s="181"/>
      <c r="P293" s="181"/>
      <c r="Q293" s="181"/>
      <c r="R293" s="181"/>
      <c r="S293" s="182"/>
      <c r="T293" s="182"/>
      <c r="U293" s="182"/>
      <c r="V293" s="182"/>
      <c r="W293" s="183"/>
      <c r="X293" s="183"/>
      <c r="Y293" s="183"/>
      <c r="Z293" s="183"/>
    </row>
    <row r="294" ht="15.75" customHeight="1">
      <c r="A294" s="184">
        <v>1.6949668E8</v>
      </c>
      <c r="B294" s="185" t="s">
        <v>885</v>
      </c>
      <c r="C294" s="186">
        <v>1.6930404E7</v>
      </c>
      <c r="D294" s="186">
        <v>1.2995975E7</v>
      </c>
      <c r="E294" s="186">
        <v>369129.0</v>
      </c>
      <c r="F294" s="186">
        <v>1125578.0</v>
      </c>
      <c r="G294" s="186">
        <v>197785.0</v>
      </c>
      <c r="H294" s="186">
        <v>126380.0</v>
      </c>
      <c r="I294" s="186">
        <v>979269.0</v>
      </c>
      <c r="J294" s="186">
        <v>103854.0</v>
      </c>
      <c r="K294" s="186">
        <v>2532866.0</v>
      </c>
      <c r="L294" s="186">
        <v>4.6513577E7</v>
      </c>
      <c r="M294" s="181"/>
      <c r="N294" s="181"/>
      <c r="O294" s="181"/>
      <c r="P294" s="181"/>
      <c r="Q294" s="181"/>
      <c r="R294" s="181"/>
      <c r="S294" s="182"/>
      <c r="T294" s="182"/>
      <c r="U294" s="182"/>
      <c r="V294" s="182"/>
      <c r="W294" s="183"/>
      <c r="X294" s="183"/>
      <c r="Y294" s="183"/>
      <c r="Z294" s="183"/>
    </row>
    <row r="295" ht="15.75" customHeight="1">
      <c r="A295" s="184">
        <v>1.69579419E8</v>
      </c>
      <c r="B295" s="185" t="s">
        <v>886</v>
      </c>
      <c r="C295" s="186">
        <v>1.6860326E7</v>
      </c>
      <c r="D295" s="186">
        <v>1077885.0</v>
      </c>
      <c r="E295" s="186">
        <v>83948.0</v>
      </c>
      <c r="F295" s="186">
        <v>81916.0</v>
      </c>
      <c r="G295" s="186">
        <v>288012.0</v>
      </c>
      <c r="H295" s="186">
        <v>95752.0</v>
      </c>
      <c r="I295" s="186">
        <v>10247.0</v>
      </c>
      <c r="J295" s="186">
        <v>0.0</v>
      </c>
      <c r="K295" s="186">
        <v>475927.0</v>
      </c>
      <c r="L295" s="186">
        <v>0.0</v>
      </c>
      <c r="M295" s="181"/>
      <c r="N295" s="181"/>
      <c r="O295" s="181"/>
      <c r="P295" s="181"/>
      <c r="Q295" s="181"/>
      <c r="R295" s="181"/>
      <c r="S295" s="182"/>
      <c r="T295" s="182"/>
      <c r="U295" s="182"/>
      <c r="V295" s="182"/>
      <c r="W295" s="183"/>
      <c r="X295" s="183"/>
      <c r="Y295" s="183"/>
      <c r="Z295" s="183"/>
    </row>
    <row r="296" ht="15.75" customHeight="1">
      <c r="A296" s="184">
        <v>1.69494363E8</v>
      </c>
      <c r="B296" s="185" t="s">
        <v>887</v>
      </c>
      <c r="C296" s="186">
        <v>1.6727918E7</v>
      </c>
      <c r="D296" s="186">
        <v>2927804.0</v>
      </c>
      <c r="E296" s="186">
        <v>1113445.0</v>
      </c>
      <c r="F296" s="186">
        <v>448264.0</v>
      </c>
      <c r="G296" s="186">
        <v>292567.0</v>
      </c>
      <c r="H296" s="186">
        <v>149997.0</v>
      </c>
      <c r="I296" s="186">
        <v>142069.0</v>
      </c>
      <c r="J296" s="186">
        <v>11617.0</v>
      </c>
      <c r="K296" s="186">
        <v>1044514.0</v>
      </c>
      <c r="L296" s="186">
        <v>0.0</v>
      </c>
      <c r="M296" s="181"/>
      <c r="N296" s="181"/>
      <c r="O296" s="181"/>
      <c r="P296" s="181"/>
      <c r="Q296" s="181"/>
      <c r="R296" s="181"/>
      <c r="S296" s="182"/>
      <c r="T296" s="182"/>
      <c r="U296" s="182"/>
      <c r="V296" s="182"/>
      <c r="W296" s="183"/>
      <c r="X296" s="183"/>
      <c r="Y296" s="183"/>
      <c r="Z296" s="183"/>
    </row>
    <row r="297" ht="15.75" customHeight="1">
      <c r="A297" s="184">
        <v>1.69554135E8</v>
      </c>
      <c r="B297" s="185" t="s">
        <v>888</v>
      </c>
      <c r="C297" s="186">
        <v>1.6651134E7</v>
      </c>
      <c r="D297" s="186">
        <v>1978658.0</v>
      </c>
      <c r="E297" s="186">
        <v>1206312.0</v>
      </c>
      <c r="F297" s="186">
        <v>19423.0</v>
      </c>
      <c r="G297" s="186">
        <v>120337.0</v>
      </c>
      <c r="H297" s="186">
        <v>60165.0</v>
      </c>
      <c r="I297" s="186">
        <v>7130.0</v>
      </c>
      <c r="J297" s="186">
        <v>71107.0</v>
      </c>
      <c r="K297" s="186">
        <v>278162.0</v>
      </c>
      <c r="L297" s="186">
        <v>127117.0</v>
      </c>
      <c r="M297" s="181"/>
      <c r="N297" s="181"/>
      <c r="O297" s="181"/>
      <c r="P297" s="181"/>
      <c r="Q297" s="181"/>
      <c r="R297" s="181"/>
      <c r="S297" s="182"/>
      <c r="T297" s="182"/>
      <c r="U297" s="182"/>
      <c r="V297" s="182"/>
      <c r="W297" s="183"/>
      <c r="X297" s="183"/>
      <c r="Y297" s="183"/>
      <c r="Z297" s="183"/>
    </row>
    <row r="298" ht="15.75" customHeight="1">
      <c r="A298" s="184">
        <v>1.6947918E8</v>
      </c>
      <c r="B298" s="185" t="s">
        <v>889</v>
      </c>
      <c r="C298" s="186">
        <v>1.6522197E7</v>
      </c>
      <c r="D298" s="186">
        <v>3.0829618E7</v>
      </c>
      <c r="E298" s="186">
        <v>1060549.0</v>
      </c>
      <c r="F298" s="186">
        <v>984992.0</v>
      </c>
      <c r="G298" s="186">
        <v>763605.0</v>
      </c>
      <c r="H298" s="186">
        <v>630275.0</v>
      </c>
      <c r="I298" s="186">
        <v>2339737.0</v>
      </c>
      <c r="J298" s="186">
        <v>159347.0</v>
      </c>
      <c r="K298" s="186">
        <v>4877956.0</v>
      </c>
      <c r="L298" s="186">
        <v>2.00810005E8</v>
      </c>
      <c r="M298" s="181"/>
      <c r="N298" s="181"/>
      <c r="O298" s="181"/>
      <c r="P298" s="181"/>
      <c r="Q298" s="181"/>
      <c r="R298" s="181"/>
      <c r="S298" s="182"/>
      <c r="T298" s="182"/>
      <c r="U298" s="182"/>
      <c r="V298" s="182"/>
      <c r="W298" s="183"/>
      <c r="X298" s="183"/>
      <c r="Y298" s="183"/>
      <c r="Z298" s="183"/>
    </row>
    <row r="299" ht="15.75" customHeight="1">
      <c r="A299" s="184">
        <v>1.6951883E8</v>
      </c>
      <c r="B299" s="185" t="s">
        <v>890</v>
      </c>
      <c r="C299" s="186">
        <v>1.6513129E7</v>
      </c>
      <c r="D299" s="186">
        <v>6284358.0</v>
      </c>
      <c r="E299" s="186">
        <v>2047881.0</v>
      </c>
      <c r="F299" s="186">
        <v>49470.0</v>
      </c>
      <c r="G299" s="186">
        <v>234142.0</v>
      </c>
      <c r="H299" s="186">
        <v>110580.0</v>
      </c>
      <c r="I299" s="186">
        <v>359054.0</v>
      </c>
      <c r="J299" s="186">
        <v>88666.0</v>
      </c>
      <c r="K299" s="186">
        <v>841912.0</v>
      </c>
      <c r="L299" s="186">
        <v>1.58320433E8</v>
      </c>
      <c r="M299" s="181"/>
      <c r="N299" s="181"/>
      <c r="O299" s="181"/>
      <c r="P299" s="181"/>
      <c r="Q299" s="181"/>
      <c r="R299" s="181"/>
      <c r="S299" s="182"/>
      <c r="T299" s="182"/>
      <c r="U299" s="182"/>
      <c r="V299" s="182"/>
      <c r="W299" s="183"/>
      <c r="X299" s="183"/>
      <c r="Y299" s="183"/>
      <c r="Z299" s="183"/>
    </row>
    <row r="300" ht="15.75" customHeight="1">
      <c r="A300" s="184">
        <v>1.68402426E8</v>
      </c>
      <c r="B300" s="185" t="s">
        <v>891</v>
      </c>
      <c r="C300" s="186">
        <v>1.6487363E7</v>
      </c>
      <c r="D300" s="186">
        <v>2206113.0</v>
      </c>
      <c r="E300" s="186">
        <v>125940.0</v>
      </c>
      <c r="F300" s="186">
        <v>7988.0</v>
      </c>
      <c r="G300" s="186">
        <v>113854.0</v>
      </c>
      <c r="H300" s="186">
        <v>23552.0</v>
      </c>
      <c r="I300" s="186">
        <v>170674.0</v>
      </c>
      <c r="J300" s="186">
        <v>8793.0</v>
      </c>
      <c r="K300" s="186">
        <v>324861.0</v>
      </c>
      <c r="L300" s="186">
        <v>1.27461038E8</v>
      </c>
      <c r="M300" s="181"/>
      <c r="N300" s="181"/>
      <c r="O300" s="181"/>
      <c r="P300" s="181"/>
      <c r="Q300" s="181"/>
      <c r="R300" s="181"/>
      <c r="S300" s="182"/>
      <c r="T300" s="182"/>
      <c r="U300" s="182"/>
      <c r="V300" s="182"/>
      <c r="W300" s="183"/>
      <c r="X300" s="183"/>
      <c r="Y300" s="183"/>
      <c r="Z300" s="183"/>
    </row>
    <row r="301" ht="15.75" customHeight="1">
      <c r="A301" s="184">
        <v>1.69140205E8</v>
      </c>
      <c r="B301" s="185" t="s">
        <v>892</v>
      </c>
      <c r="C301" s="186">
        <v>1.6471979E7</v>
      </c>
      <c r="D301" s="186">
        <v>4456425.0</v>
      </c>
      <c r="E301" s="186">
        <v>1765722.0</v>
      </c>
      <c r="F301" s="186">
        <v>84638.0</v>
      </c>
      <c r="G301" s="186">
        <v>207895.0</v>
      </c>
      <c r="H301" s="186">
        <v>44272.0</v>
      </c>
      <c r="I301" s="186">
        <v>269186.0</v>
      </c>
      <c r="J301" s="186">
        <v>57738.0</v>
      </c>
      <c r="K301" s="186">
        <v>663729.0</v>
      </c>
      <c r="L301" s="186">
        <v>2.6633318E7</v>
      </c>
      <c r="M301" s="181"/>
      <c r="N301" s="181"/>
      <c r="O301" s="181"/>
      <c r="P301" s="181"/>
      <c r="Q301" s="181"/>
      <c r="R301" s="181"/>
      <c r="S301" s="182"/>
      <c r="T301" s="182"/>
      <c r="U301" s="182"/>
      <c r="V301" s="182"/>
      <c r="W301" s="183"/>
      <c r="X301" s="183"/>
      <c r="Y301" s="183"/>
      <c r="Z301" s="183"/>
    </row>
    <row r="302" ht="15.75" customHeight="1">
      <c r="A302" s="184">
        <v>1.69498998E8</v>
      </c>
      <c r="B302" s="185" t="s">
        <v>893</v>
      </c>
      <c r="C302" s="186">
        <v>1.6429394E7</v>
      </c>
      <c r="D302" s="186">
        <v>1302823.0</v>
      </c>
      <c r="E302" s="186">
        <v>1060410.0</v>
      </c>
      <c r="F302" s="186">
        <v>116685.0</v>
      </c>
      <c r="G302" s="186">
        <v>284822.0</v>
      </c>
      <c r="H302" s="186">
        <v>17798.0</v>
      </c>
      <c r="I302" s="186">
        <v>24791.0</v>
      </c>
      <c r="J302" s="186">
        <v>19537.0</v>
      </c>
      <c r="K302" s="186">
        <v>463633.0</v>
      </c>
      <c r="L302" s="186">
        <v>5171031.0</v>
      </c>
      <c r="M302" s="181"/>
      <c r="N302" s="181"/>
      <c r="O302" s="181"/>
      <c r="P302" s="181"/>
      <c r="Q302" s="181"/>
      <c r="R302" s="181"/>
      <c r="S302" s="182"/>
      <c r="T302" s="182"/>
      <c r="U302" s="182"/>
      <c r="V302" s="182"/>
      <c r="W302" s="183"/>
      <c r="X302" s="183"/>
      <c r="Y302" s="183"/>
      <c r="Z302" s="183"/>
    </row>
    <row r="303" ht="15.75" customHeight="1">
      <c r="A303" s="184">
        <v>1.69112006E8</v>
      </c>
      <c r="B303" s="185" t="s">
        <v>894</v>
      </c>
      <c r="C303" s="186">
        <v>1.6308222E7</v>
      </c>
      <c r="D303" s="186">
        <v>5828787.0</v>
      </c>
      <c r="E303" s="186">
        <v>1433641.0</v>
      </c>
      <c r="F303" s="186">
        <v>300616.0</v>
      </c>
      <c r="G303" s="186">
        <v>549113.0</v>
      </c>
      <c r="H303" s="186">
        <v>266047.0</v>
      </c>
      <c r="I303" s="186">
        <v>122183.0</v>
      </c>
      <c r="J303" s="186">
        <v>119221.0</v>
      </c>
      <c r="K303" s="186">
        <v>1357180.0</v>
      </c>
      <c r="L303" s="186">
        <v>3936277.0</v>
      </c>
      <c r="M303" s="181"/>
      <c r="N303" s="181"/>
      <c r="O303" s="181"/>
      <c r="P303" s="181"/>
      <c r="Q303" s="181"/>
      <c r="R303" s="181"/>
      <c r="S303" s="182"/>
      <c r="T303" s="182"/>
      <c r="U303" s="182"/>
      <c r="V303" s="182"/>
      <c r="W303" s="183"/>
      <c r="X303" s="183"/>
      <c r="Y303" s="183"/>
      <c r="Z303" s="183"/>
    </row>
    <row r="304" ht="15.75" customHeight="1">
      <c r="A304" s="184">
        <v>1.69079852E8</v>
      </c>
      <c r="B304" s="185" t="s">
        <v>895</v>
      </c>
      <c r="C304" s="186">
        <v>1.6262533E7</v>
      </c>
      <c r="D304" s="186">
        <v>8182369.0</v>
      </c>
      <c r="E304" s="186">
        <v>310382.0</v>
      </c>
      <c r="F304" s="186">
        <v>488447.0</v>
      </c>
      <c r="G304" s="186">
        <v>59005.0</v>
      </c>
      <c r="H304" s="186">
        <v>81200.0</v>
      </c>
      <c r="I304" s="186">
        <v>764027.0</v>
      </c>
      <c r="J304" s="186">
        <v>80.0</v>
      </c>
      <c r="K304" s="186">
        <v>1392759.0</v>
      </c>
      <c r="L304" s="186">
        <v>4.55886897E8</v>
      </c>
      <c r="M304" s="181"/>
      <c r="N304" s="181"/>
      <c r="O304" s="181"/>
      <c r="P304" s="181"/>
      <c r="Q304" s="181"/>
      <c r="R304" s="181"/>
      <c r="S304" s="182"/>
      <c r="T304" s="182"/>
      <c r="U304" s="182"/>
      <c r="V304" s="182"/>
      <c r="W304" s="183"/>
      <c r="X304" s="183"/>
      <c r="Y304" s="183"/>
      <c r="Z304" s="183"/>
    </row>
    <row r="305" ht="15.75" customHeight="1">
      <c r="A305" s="184">
        <v>1.68841376E8</v>
      </c>
      <c r="B305" s="185" t="s">
        <v>896</v>
      </c>
      <c r="C305" s="186">
        <v>1.625627E7</v>
      </c>
      <c r="D305" s="186">
        <v>4570767.0</v>
      </c>
      <c r="E305" s="186">
        <v>274618.0</v>
      </c>
      <c r="F305" s="186">
        <v>431207.0</v>
      </c>
      <c r="G305" s="186">
        <v>372202.0</v>
      </c>
      <c r="H305" s="186">
        <v>533253.0</v>
      </c>
      <c r="I305" s="186">
        <v>160711.0</v>
      </c>
      <c r="J305" s="186">
        <v>0.0</v>
      </c>
      <c r="K305" s="186">
        <v>1497373.0</v>
      </c>
      <c r="L305" s="186">
        <v>1.072215142E9</v>
      </c>
      <c r="M305" s="181"/>
      <c r="N305" s="181"/>
      <c r="O305" s="181"/>
      <c r="P305" s="181"/>
      <c r="Q305" s="181"/>
      <c r="R305" s="181"/>
      <c r="S305" s="182"/>
      <c r="T305" s="182"/>
      <c r="U305" s="182"/>
      <c r="V305" s="182"/>
      <c r="W305" s="183"/>
      <c r="X305" s="183"/>
      <c r="Y305" s="183"/>
      <c r="Z305" s="183"/>
    </row>
    <row r="306" ht="15.75" customHeight="1">
      <c r="A306" s="184">
        <v>1.691812E8</v>
      </c>
      <c r="B306" s="185" t="s">
        <v>897</v>
      </c>
      <c r="C306" s="186">
        <v>1.6255832E7</v>
      </c>
      <c r="D306" s="186">
        <v>5467544.0</v>
      </c>
      <c r="E306" s="186">
        <v>1816649.0</v>
      </c>
      <c r="F306" s="186">
        <v>21451.0</v>
      </c>
      <c r="G306" s="186">
        <v>80192.0</v>
      </c>
      <c r="H306" s="186">
        <v>62590.0</v>
      </c>
      <c r="I306" s="186">
        <v>154309.0</v>
      </c>
      <c r="J306" s="186">
        <v>175471.0</v>
      </c>
      <c r="K306" s="186">
        <v>494013.0</v>
      </c>
      <c r="L306" s="186">
        <v>6.1354012E7</v>
      </c>
      <c r="M306" s="181"/>
      <c r="N306" s="181"/>
      <c r="O306" s="181"/>
      <c r="P306" s="181"/>
      <c r="Q306" s="181"/>
      <c r="R306" s="181"/>
      <c r="S306" s="182"/>
      <c r="T306" s="182"/>
      <c r="U306" s="182"/>
      <c r="V306" s="182"/>
      <c r="W306" s="183"/>
      <c r="X306" s="183"/>
      <c r="Y306" s="183"/>
      <c r="Z306" s="183"/>
    </row>
    <row r="307" ht="15.75" customHeight="1">
      <c r="A307" s="184">
        <v>1.6954196E8</v>
      </c>
      <c r="B307" s="185" t="s">
        <v>898</v>
      </c>
      <c r="C307" s="186">
        <v>1.6234477E7</v>
      </c>
      <c r="D307" s="186">
        <v>931187.0</v>
      </c>
      <c r="E307" s="186">
        <v>132599.0</v>
      </c>
      <c r="F307" s="186">
        <v>25437.0</v>
      </c>
      <c r="G307" s="186">
        <v>77302.0</v>
      </c>
      <c r="H307" s="186">
        <v>101539.0</v>
      </c>
      <c r="I307" s="186">
        <v>32932.0</v>
      </c>
      <c r="J307" s="186">
        <v>1801.0</v>
      </c>
      <c r="K307" s="186">
        <v>239011.0</v>
      </c>
      <c r="L307" s="186">
        <v>6.8572135E7</v>
      </c>
      <c r="M307" s="181"/>
      <c r="N307" s="181"/>
      <c r="O307" s="181"/>
      <c r="P307" s="181"/>
      <c r="Q307" s="181"/>
      <c r="R307" s="181"/>
      <c r="S307" s="182"/>
      <c r="T307" s="182"/>
      <c r="U307" s="182"/>
      <c r="V307" s="182"/>
      <c r="W307" s="183"/>
      <c r="X307" s="183"/>
      <c r="Y307" s="183"/>
      <c r="Z307" s="183"/>
    </row>
    <row r="308" ht="15.75" customHeight="1">
      <c r="A308" s="184">
        <v>1.69555989E8</v>
      </c>
      <c r="B308" s="185" t="s">
        <v>899</v>
      </c>
      <c r="C308" s="186">
        <v>1.6227444E7</v>
      </c>
      <c r="D308" s="186">
        <v>540211.0</v>
      </c>
      <c r="E308" s="186">
        <v>95225.0</v>
      </c>
      <c r="F308" s="186">
        <v>8679.0</v>
      </c>
      <c r="G308" s="186">
        <v>24710.0</v>
      </c>
      <c r="H308" s="186">
        <v>37059.0</v>
      </c>
      <c r="I308" s="186">
        <v>34082.0</v>
      </c>
      <c r="J308" s="186">
        <v>0.0</v>
      </c>
      <c r="K308" s="186">
        <v>104530.0</v>
      </c>
      <c r="L308" s="186">
        <v>0.0</v>
      </c>
      <c r="M308" s="181"/>
      <c r="N308" s="181"/>
      <c r="O308" s="181"/>
      <c r="P308" s="181"/>
      <c r="Q308" s="181"/>
      <c r="R308" s="181"/>
      <c r="S308" s="182"/>
      <c r="T308" s="182"/>
      <c r="U308" s="182"/>
      <c r="V308" s="182"/>
      <c r="W308" s="183"/>
      <c r="X308" s="183"/>
      <c r="Y308" s="183"/>
      <c r="Z308" s="183"/>
    </row>
    <row r="309" ht="15.75" customHeight="1">
      <c r="A309" s="184">
        <v>1.69481622E8</v>
      </c>
      <c r="B309" s="185" t="s">
        <v>900</v>
      </c>
      <c r="C309" s="186">
        <v>1.618764E7</v>
      </c>
      <c r="D309" s="186">
        <v>3871321.0</v>
      </c>
      <c r="E309" s="186">
        <v>1726940.0</v>
      </c>
      <c r="F309" s="186">
        <v>117607.0</v>
      </c>
      <c r="G309" s="186">
        <v>583072.0</v>
      </c>
      <c r="H309" s="186">
        <v>110964.0</v>
      </c>
      <c r="I309" s="186">
        <v>95976.0</v>
      </c>
      <c r="J309" s="186">
        <v>63902.0</v>
      </c>
      <c r="K309" s="186">
        <v>971521.0</v>
      </c>
      <c r="L309" s="186">
        <v>0.0</v>
      </c>
      <c r="M309" s="181"/>
      <c r="N309" s="181"/>
      <c r="O309" s="181"/>
      <c r="P309" s="181"/>
      <c r="Q309" s="181"/>
      <c r="R309" s="181"/>
      <c r="S309" s="182"/>
      <c r="T309" s="182"/>
      <c r="U309" s="182"/>
      <c r="V309" s="182"/>
      <c r="W309" s="183"/>
      <c r="X309" s="183"/>
      <c r="Y309" s="183"/>
      <c r="Z309" s="183"/>
    </row>
    <row r="310" ht="15.75" customHeight="1">
      <c r="A310" s="184">
        <v>1.6949176E8</v>
      </c>
      <c r="B310" s="185" t="s">
        <v>901</v>
      </c>
      <c r="C310" s="186">
        <v>1.6139393E7</v>
      </c>
      <c r="D310" s="186">
        <v>1164441.0</v>
      </c>
      <c r="E310" s="186">
        <v>18572.0</v>
      </c>
      <c r="F310" s="186">
        <v>45779.0</v>
      </c>
      <c r="G310" s="186">
        <v>92362.0</v>
      </c>
      <c r="H310" s="186">
        <v>45218.0</v>
      </c>
      <c r="I310" s="186">
        <v>78969.0</v>
      </c>
      <c r="J310" s="186">
        <v>0.0</v>
      </c>
      <c r="K310" s="186">
        <v>262328.0</v>
      </c>
      <c r="L310" s="186">
        <v>2.6111739E7</v>
      </c>
      <c r="M310" s="181"/>
      <c r="N310" s="181"/>
      <c r="O310" s="181"/>
      <c r="P310" s="181"/>
      <c r="Q310" s="181"/>
      <c r="R310" s="181"/>
      <c r="S310" s="182"/>
      <c r="T310" s="182"/>
      <c r="U310" s="182"/>
      <c r="V310" s="182"/>
      <c r="W310" s="183"/>
      <c r="X310" s="183"/>
      <c r="Y310" s="183"/>
      <c r="Z310" s="183"/>
    </row>
    <row r="311" ht="15.75" customHeight="1">
      <c r="A311" s="184">
        <v>1.69490297E8</v>
      </c>
      <c r="B311" s="185" t="s">
        <v>902</v>
      </c>
      <c r="C311" s="186">
        <v>1.611798E7</v>
      </c>
      <c r="D311" s="186">
        <v>4864508.0</v>
      </c>
      <c r="E311" s="186">
        <v>939581.0</v>
      </c>
      <c r="F311" s="186">
        <v>133350.0</v>
      </c>
      <c r="G311" s="186">
        <v>101270.0</v>
      </c>
      <c r="H311" s="186">
        <v>195747.0</v>
      </c>
      <c r="I311" s="186">
        <v>255121.0</v>
      </c>
      <c r="J311" s="186">
        <v>65055.0</v>
      </c>
      <c r="K311" s="186">
        <v>750543.0</v>
      </c>
      <c r="L311" s="186">
        <v>1.22220634E8</v>
      </c>
      <c r="M311" s="181"/>
      <c r="N311" s="181"/>
      <c r="O311" s="181"/>
      <c r="P311" s="181"/>
      <c r="Q311" s="181"/>
      <c r="R311" s="181"/>
      <c r="S311" s="182"/>
      <c r="T311" s="182"/>
      <c r="U311" s="182"/>
      <c r="V311" s="182"/>
      <c r="W311" s="183"/>
      <c r="X311" s="183"/>
      <c r="Y311" s="183"/>
      <c r="Z311" s="183"/>
    </row>
    <row r="312" ht="15.75" customHeight="1">
      <c r="A312" s="184">
        <v>1.69524465E8</v>
      </c>
      <c r="B312" s="185" t="s">
        <v>903</v>
      </c>
      <c r="C312" s="186">
        <v>1.6079635E7</v>
      </c>
      <c r="D312" s="186">
        <v>1.4524319E7</v>
      </c>
      <c r="E312" s="186">
        <v>493787.0</v>
      </c>
      <c r="F312" s="186">
        <v>401567.0</v>
      </c>
      <c r="G312" s="186">
        <v>1607645.0</v>
      </c>
      <c r="H312" s="186">
        <v>2104079.0</v>
      </c>
      <c r="I312" s="186">
        <v>267982.0</v>
      </c>
      <c r="J312" s="186">
        <v>6629.0</v>
      </c>
      <c r="K312" s="186">
        <v>4387902.0</v>
      </c>
      <c r="L312" s="186">
        <v>7.4389903E7</v>
      </c>
      <c r="M312" s="181"/>
      <c r="N312" s="181"/>
      <c r="O312" s="181"/>
      <c r="P312" s="181"/>
      <c r="Q312" s="181"/>
      <c r="R312" s="181"/>
      <c r="S312" s="182"/>
      <c r="T312" s="182"/>
      <c r="U312" s="182"/>
      <c r="V312" s="182"/>
      <c r="W312" s="183"/>
      <c r="X312" s="183"/>
      <c r="Y312" s="183"/>
      <c r="Z312" s="183"/>
    </row>
    <row r="313" ht="15.75" customHeight="1">
      <c r="A313" s="184">
        <v>1.6948782E8</v>
      </c>
      <c r="B313" s="185" t="s">
        <v>904</v>
      </c>
      <c r="C313" s="186">
        <v>1.6037487E7</v>
      </c>
      <c r="D313" s="186">
        <v>4059293.0</v>
      </c>
      <c r="E313" s="186">
        <v>31224.0</v>
      </c>
      <c r="F313" s="186">
        <v>103245.0</v>
      </c>
      <c r="G313" s="186">
        <v>321821.0</v>
      </c>
      <c r="H313" s="186">
        <v>209183.0</v>
      </c>
      <c r="I313" s="186">
        <v>254419.0</v>
      </c>
      <c r="J313" s="186">
        <v>704.0</v>
      </c>
      <c r="K313" s="186">
        <v>889372.0</v>
      </c>
      <c r="L313" s="186">
        <v>5.6709089E7</v>
      </c>
      <c r="M313" s="181"/>
      <c r="N313" s="181"/>
      <c r="O313" s="181"/>
      <c r="P313" s="181"/>
      <c r="Q313" s="181"/>
      <c r="R313" s="181"/>
      <c r="S313" s="182"/>
      <c r="T313" s="182"/>
      <c r="U313" s="182"/>
      <c r="V313" s="182"/>
      <c r="W313" s="183"/>
      <c r="X313" s="183"/>
      <c r="Y313" s="183"/>
      <c r="Z313" s="183"/>
    </row>
    <row r="314" ht="15.75" customHeight="1">
      <c r="A314" s="184">
        <v>1.70083819E8</v>
      </c>
      <c r="B314" s="185" t="s">
        <v>905</v>
      </c>
      <c r="C314" s="186">
        <v>1.6026899E7</v>
      </c>
      <c r="D314" s="186">
        <v>1704898.0</v>
      </c>
      <c r="E314" s="186">
        <v>1140666.0</v>
      </c>
      <c r="F314" s="186">
        <v>24661.0</v>
      </c>
      <c r="G314" s="186">
        <v>2419.0</v>
      </c>
      <c r="H314" s="186">
        <v>21852.0</v>
      </c>
      <c r="I314" s="186">
        <v>77496.0</v>
      </c>
      <c r="J314" s="186">
        <v>41638.0</v>
      </c>
      <c r="K314" s="186">
        <v>168066.0</v>
      </c>
      <c r="L314" s="186">
        <v>1768809.0</v>
      </c>
      <c r="M314" s="181"/>
      <c r="N314" s="181"/>
      <c r="O314" s="181"/>
      <c r="P314" s="181"/>
      <c r="Q314" s="181"/>
      <c r="R314" s="181"/>
      <c r="S314" s="182"/>
      <c r="T314" s="182"/>
      <c r="U314" s="182"/>
      <c r="V314" s="182"/>
      <c r="W314" s="183"/>
      <c r="X314" s="183"/>
      <c r="Y314" s="183"/>
      <c r="Z314" s="183"/>
    </row>
    <row r="315" ht="15.75" customHeight="1">
      <c r="A315" s="184">
        <v>1.69588823E8</v>
      </c>
      <c r="B315" s="185" t="s">
        <v>906</v>
      </c>
      <c r="C315" s="186">
        <v>1.6016631E7</v>
      </c>
      <c r="D315" s="186">
        <v>3042726.0</v>
      </c>
      <c r="E315" s="186">
        <v>342677.0</v>
      </c>
      <c r="F315" s="186">
        <v>140423.0</v>
      </c>
      <c r="G315" s="186">
        <v>182857.0</v>
      </c>
      <c r="H315" s="186">
        <v>60417.0</v>
      </c>
      <c r="I315" s="186">
        <v>238178.0</v>
      </c>
      <c r="J315" s="186">
        <v>1274.0</v>
      </c>
      <c r="K315" s="186">
        <v>623149.0</v>
      </c>
      <c r="L315" s="186">
        <v>9878379.0</v>
      </c>
      <c r="M315" s="181"/>
      <c r="N315" s="181"/>
      <c r="O315" s="181"/>
      <c r="P315" s="181"/>
      <c r="Q315" s="181"/>
      <c r="R315" s="181"/>
      <c r="S315" s="182"/>
      <c r="T315" s="182"/>
      <c r="U315" s="182"/>
      <c r="V315" s="182"/>
      <c r="W315" s="183"/>
      <c r="X315" s="183"/>
      <c r="Y315" s="183"/>
      <c r="Z315" s="183"/>
    </row>
    <row r="316" ht="15.75" customHeight="1">
      <c r="A316" s="184">
        <v>1.69533658E8</v>
      </c>
      <c r="B316" s="185" t="s">
        <v>907</v>
      </c>
      <c r="C316" s="186">
        <v>1.6014459E7</v>
      </c>
      <c r="D316" s="186">
        <v>6558518.0</v>
      </c>
      <c r="E316" s="186">
        <v>1197210.0</v>
      </c>
      <c r="F316" s="186">
        <v>290691.0</v>
      </c>
      <c r="G316" s="186">
        <v>565279.0</v>
      </c>
      <c r="H316" s="186">
        <v>221788.0</v>
      </c>
      <c r="I316" s="186">
        <v>338825.0</v>
      </c>
      <c r="J316" s="186">
        <v>54721.0</v>
      </c>
      <c r="K316" s="186">
        <v>1471304.0</v>
      </c>
      <c r="L316" s="186">
        <v>1.0152646E7</v>
      </c>
      <c r="M316" s="181"/>
      <c r="N316" s="181"/>
      <c r="O316" s="181"/>
      <c r="P316" s="181"/>
      <c r="Q316" s="181"/>
      <c r="R316" s="181"/>
      <c r="S316" s="182"/>
      <c r="T316" s="182"/>
      <c r="U316" s="182"/>
      <c r="V316" s="182"/>
      <c r="W316" s="183"/>
      <c r="X316" s="183"/>
      <c r="Y316" s="183"/>
      <c r="Z316" s="183"/>
    </row>
    <row r="317" ht="15.75" customHeight="1">
      <c r="A317" s="184">
        <v>1.69548757E8</v>
      </c>
      <c r="B317" s="185" t="s">
        <v>908</v>
      </c>
      <c r="C317" s="186">
        <v>1.6012065E7</v>
      </c>
      <c r="D317" s="186">
        <v>7731885.0</v>
      </c>
      <c r="E317" s="186">
        <v>1660419.0</v>
      </c>
      <c r="F317" s="186">
        <v>733755.0</v>
      </c>
      <c r="G317" s="186">
        <v>1637769.0</v>
      </c>
      <c r="H317" s="186">
        <v>143694.0</v>
      </c>
      <c r="I317" s="186">
        <v>357200.0</v>
      </c>
      <c r="J317" s="186">
        <v>8141.0</v>
      </c>
      <c r="K317" s="186">
        <v>2880559.0</v>
      </c>
      <c r="L317" s="186">
        <v>0.0</v>
      </c>
      <c r="M317" s="181"/>
      <c r="N317" s="181"/>
      <c r="O317" s="181"/>
      <c r="P317" s="181"/>
      <c r="Q317" s="181"/>
      <c r="R317" s="181"/>
      <c r="S317" s="182"/>
      <c r="T317" s="182"/>
      <c r="U317" s="182"/>
      <c r="V317" s="182"/>
      <c r="W317" s="183"/>
      <c r="X317" s="183"/>
      <c r="Y317" s="183"/>
      <c r="Z317" s="183"/>
    </row>
    <row r="318" ht="15.75" customHeight="1">
      <c r="A318" s="184">
        <v>1.69106173E8</v>
      </c>
      <c r="B318" s="185" t="s">
        <v>909</v>
      </c>
      <c r="C318" s="186">
        <v>1.5952311E7</v>
      </c>
      <c r="D318" s="186">
        <v>1864511.0</v>
      </c>
      <c r="E318" s="186">
        <v>124139.0</v>
      </c>
      <c r="F318" s="186">
        <v>540437.0</v>
      </c>
      <c r="G318" s="186">
        <v>622695.0</v>
      </c>
      <c r="H318" s="186">
        <v>105681.0</v>
      </c>
      <c r="I318" s="186">
        <v>8831.0</v>
      </c>
      <c r="J318" s="186">
        <v>0.0</v>
      </c>
      <c r="K318" s="186">
        <v>1277644.0</v>
      </c>
      <c r="L318" s="186">
        <v>0.0</v>
      </c>
      <c r="M318" s="181"/>
      <c r="N318" s="181"/>
      <c r="O318" s="181"/>
      <c r="P318" s="181"/>
      <c r="Q318" s="181"/>
      <c r="R318" s="181"/>
      <c r="S318" s="182"/>
      <c r="T318" s="182"/>
      <c r="U318" s="182"/>
      <c r="V318" s="182"/>
      <c r="W318" s="183"/>
      <c r="X318" s="183"/>
      <c r="Y318" s="183"/>
      <c r="Z318" s="183"/>
    </row>
    <row r="319" ht="15.75" customHeight="1">
      <c r="A319" s="184">
        <v>1.69568346E8</v>
      </c>
      <c r="B319" s="185" t="s">
        <v>910</v>
      </c>
      <c r="C319" s="186">
        <v>1.5874926E7</v>
      </c>
      <c r="D319" s="186">
        <v>1413586.0</v>
      </c>
      <c r="E319" s="186">
        <v>950431.0</v>
      </c>
      <c r="F319" s="186">
        <v>1614.0</v>
      </c>
      <c r="G319" s="186">
        <v>15763.0</v>
      </c>
      <c r="H319" s="186">
        <v>2772.0</v>
      </c>
      <c r="I319" s="186">
        <v>13547.0</v>
      </c>
      <c r="J319" s="186">
        <v>61759.0</v>
      </c>
      <c r="K319" s="186">
        <v>95455.0</v>
      </c>
      <c r="L319" s="186">
        <v>0.0</v>
      </c>
      <c r="M319" s="181"/>
      <c r="N319" s="181"/>
      <c r="O319" s="181"/>
      <c r="P319" s="181"/>
      <c r="Q319" s="181"/>
      <c r="R319" s="181"/>
      <c r="S319" s="182"/>
      <c r="T319" s="182"/>
      <c r="U319" s="182"/>
      <c r="V319" s="182"/>
      <c r="W319" s="183"/>
      <c r="X319" s="183"/>
      <c r="Y319" s="183"/>
      <c r="Z319" s="183"/>
    </row>
    <row r="320" ht="15.75" customHeight="1">
      <c r="A320" s="184">
        <v>1.59409934E8</v>
      </c>
      <c r="B320" s="185" t="s">
        <v>911</v>
      </c>
      <c r="C320" s="186">
        <v>1.5861545E7</v>
      </c>
      <c r="D320" s="186">
        <v>5211349.0</v>
      </c>
      <c r="E320" s="186">
        <v>284629.0</v>
      </c>
      <c r="F320" s="186">
        <v>488599.0</v>
      </c>
      <c r="G320" s="186">
        <v>532529.0</v>
      </c>
      <c r="H320" s="186">
        <v>482048.0</v>
      </c>
      <c r="I320" s="186">
        <v>212038.0</v>
      </c>
      <c r="J320" s="186">
        <v>0.0</v>
      </c>
      <c r="K320" s="186">
        <v>1715214.0</v>
      </c>
      <c r="L320" s="186">
        <v>9.26693819E8</v>
      </c>
      <c r="M320" s="181"/>
      <c r="N320" s="181"/>
      <c r="O320" s="181"/>
      <c r="P320" s="181"/>
      <c r="Q320" s="181"/>
      <c r="R320" s="181"/>
      <c r="S320" s="182"/>
      <c r="T320" s="182"/>
      <c r="U320" s="182"/>
      <c r="V320" s="182"/>
      <c r="W320" s="183"/>
      <c r="X320" s="183"/>
      <c r="Y320" s="183"/>
      <c r="Z320" s="183"/>
    </row>
    <row r="321" ht="15.75" customHeight="1">
      <c r="A321" s="184">
        <v>1.69525459E8</v>
      </c>
      <c r="B321" s="185" t="s">
        <v>912</v>
      </c>
      <c r="C321" s="186">
        <v>1.5783389E7</v>
      </c>
      <c r="D321" s="186">
        <v>278532.0</v>
      </c>
      <c r="E321" s="186">
        <v>106880.0</v>
      </c>
      <c r="F321" s="186">
        <v>0.0</v>
      </c>
      <c r="G321" s="186">
        <v>4519.0</v>
      </c>
      <c r="H321" s="186">
        <v>12496.0</v>
      </c>
      <c r="I321" s="186">
        <v>21951.0</v>
      </c>
      <c r="J321" s="186">
        <v>0.0</v>
      </c>
      <c r="K321" s="186">
        <v>38966.0</v>
      </c>
      <c r="L321" s="186">
        <v>6576167.0</v>
      </c>
      <c r="M321" s="181"/>
      <c r="N321" s="181"/>
      <c r="O321" s="181"/>
      <c r="P321" s="181"/>
      <c r="Q321" s="181"/>
      <c r="R321" s="181"/>
      <c r="S321" s="182"/>
      <c r="T321" s="182"/>
      <c r="U321" s="182"/>
      <c r="V321" s="182"/>
      <c r="W321" s="183"/>
      <c r="X321" s="183"/>
      <c r="Y321" s="183"/>
      <c r="Z321" s="183"/>
    </row>
    <row r="322" ht="15.75" customHeight="1">
      <c r="A322" s="184">
        <v>1.66062173E8</v>
      </c>
      <c r="B322" s="185" t="s">
        <v>913</v>
      </c>
      <c r="C322" s="186">
        <v>1.5707082E7</v>
      </c>
      <c r="D322" s="186">
        <v>5331346.0</v>
      </c>
      <c r="E322" s="186">
        <v>2044659.0</v>
      </c>
      <c r="F322" s="186">
        <v>89791.0</v>
      </c>
      <c r="G322" s="186">
        <v>113744.0</v>
      </c>
      <c r="H322" s="186">
        <v>296220.0</v>
      </c>
      <c r="I322" s="186">
        <v>173576.0</v>
      </c>
      <c r="J322" s="186">
        <v>108263.0</v>
      </c>
      <c r="K322" s="186">
        <v>781594.0</v>
      </c>
      <c r="L322" s="186">
        <v>0.0</v>
      </c>
      <c r="M322" s="181"/>
      <c r="N322" s="181"/>
      <c r="O322" s="181"/>
      <c r="P322" s="181"/>
      <c r="Q322" s="181"/>
      <c r="R322" s="181"/>
      <c r="S322" s="182"/>
      <c r="T322" s="182"/>
      <c r="U322" s="182"/>
      <c r="V322" s="182"/>
      <c r="W322" s="183"/>
      <c r="X322" s="183"/>
      <c r="Y322" s="183"/>
      <c r="Z322" s="183"/>
    </row>
    <row r="323" ht="15.75" customHeight="1">
      <c r="A323" s="184">
        <v>7.0842865E7</v>
      </c>
      <c r="B323" s="185" t="s">
        <v>914</v>
      </c>
      <c r="C323" s="186">
        <v>1.5704741E7</v>
      </c>
      <c r="D323" s="186">
        <v>4874738.0</v>
      </c>
      <c r="E323" s="186">
        <v>260282.0</v>
      </c>
      <c r="F323" s="186">
        <v>56531.0</v>
      </c>
      <c r="G323" s="186">
        <v>157243.0</v>
      </c>
      <c r="H323" s="186">
        <v>159674.0</v>
      </c>
      <c r="I323" s="186">
        <v>181155.0</v>
      </c>
      <c r="J323" s="186">
        <v>104935.0</v>
      </c>
      <c r="K323" s="186">
        <v>659538.0</v>
      </c>
      <c r="L323" s="186">
        <v>1.57439115E8</v>
      </c>
      <c r="M323" s="181"/>
      <c r="N323" s="181"/>
      <c r="O323" s="181"/>
      <c r="P323" s="181"/>
      <c r="Q323" s="181"/>
      <c r="R323" s="181"/>
      <c r="S323" s="182"/>
      <c r="T323" s="182"/>
      <c r="U323" s="182"/>
      <c r="V323" s="182"/>
      <c r="W323" s="183"/>
      <c r="X323" s="183"/>
      <c r="Y323" s="183"/>
      <c r="Z323" s="183"/>
    </row>
    <row r="324" ht="15.75" customHeight="1">
      <c r="A324" s="184">
        <v>1.69515437E8</v>
      </c>
      <c r="B324" s="185" t="s">
        <v>915</v>
      </c>
      <c r="C324" s="186">
        <v>1.5654978E7</v>
      </c>
      <c r="D324" s="186">
        <v>428334.0</v>
      </c>
      <c r="E324" s="186">
        <v>61794.0</v>
      </c>
      <c r="F324" s="186">
        <v>66243.0</v>
      </c>
      <c r="G324" s="186">
        <v>26527.0</v>
      </c>
      <c r="H324" s="186">
        <v>2788.0</v>
      </c>
      <c r="I324" s="186">
        <v>32632.0</v>
      </c>
      <c r="J324" s="186">
        <v>1228.0</v>
      </c>
      <c r="K324" s="186">
        <v>129418.0</v>
      </c>
      <c r="L324" s="186">
        <v>1.3E7</v>
      </c>
      <c r="M324" s="181"/>
      <c r="N324" s="181"/>
      <c r="O324" s="181"/>
      <c r="P324" s="181"/>
      <c r="Q324" s="181"/>
      <c r="R324" s="181"/>
      <c r="S324" s="182"/>
      <c r="T324" s="182"/>
      <c r="U324" s="182"/>
      <c r="V324" s="182"/>
      <c r="W324" s="183"/>
      <c r="X324" s="183"/>
      <c r="Y324" s="183"/>
      <c r="Z324" s="183"/>
    </row>
    <row r="325" ht="15.75" customHeight="1">
      <c r="A325" s="184">
        <v>1.31228013E8</v>
      </c>
      <c r="B325" s="185" t="s">
        <v>916</v>
      </c>
      <c r="C325" s="186">
        <v>1.5517878E7</v>
      </c>
      <c r="D325" s="186">
        <v>2.29234133E8</v>
      </c>
      <c r="E325" s="186">
        <v>1721329.0</v>
      </c>
      <c r="F325" s="186">
        <v>1.8549297E7</v>
      </c>
      <c r="G325" s="186">
        <v>2.3506269E7</v>
      </c>
      <c r="H325" s="186">
        <v>2.5481404E7</v>
      </c>
      <c r="I325" s="186">
        <v>7596698.0</v>
      </c>
      <c r="J325" s="186">
        <v>30957.0</v>
      </c>
      <c r="K325" s="186">
        <v>7.5164625E7</v>
      </c>
      <c r="L325" s="186">
        <v>7.49577473E8</v>
      </c>
      <c r="M325" s="181"/>
      <c r="N325" s="181"/>
      <c r="O325" s="181"/>
      <c r="P325" s="181"/>
      <c r="Q325" s="181"/>
      <c r="R325" s="181"/>
      <c r="S325" s="182"/>
      <c r="T325" s="182"/>
      <c r="U325" s="182"/>
      <c r="V325" s="182"/>
      <c r="W325" s="183"/>
      <c r="X325" s="183"/>
      <c r="Y325" s="183"/>
      <c r="Z325" s="183"/>
    </row>
    <row r="326" ht="15.75" customHeight="1">
      <c r="A326" s="184">
        <v>1.69499439E8</v>
      </c>
      <c r="B326" s="185" t="s">
        <v>917</v>
      </c>
      <c r="C326" s="186">
        <v>1.550473E7</v>
      </c>
      <c r="D326" s="186">
        <v>3104388.0</v>
      </c>
      <c r="E326" s="186">
        <v>1358606.0</v>
      </c>
      <c r="F326" s="186">
        <v>44843.0</v>
      </c>
      <c r="G326" s="186">
        <v>235797.0</v>
      </c>
      <c r="H326" s="186">
        <v>73139.0</v>
      </c>
      <c r="I326" s="186">
        <v>134217.0</v>
      </c>
      <c r="J326" s="186">
        <v>49455.0</v>
      </c>
      <c r="K326" s="186">
        <v>537451.0</v>
      </c>
      <c r="L326" s="186">
        <v>5.1E7</v>
      </c>
      <c r="M326" s="181"/>
      <c r="N326" s="181"/>
      <c r="O326" s="181"/>
      <c r="P326" s="181"/>
      <c r="Q326" s="181"/>
      <c r="R326" s="181"/>
      <c r="S326" s="182"/>
      <c r="T326" s="182"/>
      <c r="U326" s="182"/>
      <c r="V326" s="182"/>
      <c r="W326" s="183"/>
      <c r="X326" s="183"/>
      <c r="Y326" s="183"/>
      <c r="Z326" s="183"/>
    </row>
    <row r="327" ht="15.75" customHeight="1">
      <c r="A327" s="184">
        <v>1.69554585E8</v>
      </c>
      <c r="B327" s="185" t="s">
        <v>918</v>
      </c>
      <c r="C327" s="186">
        <v>1.5489367E7</v>
      </c>
      <c r="D327" s="186">
        <v>2074068.0</v>
      </c>
      <c r="E327" s="186">
        <v>2251685.0</v>
      </c>
      <c r="F327" s="186">
        <v>116213.0</v>
      </c>
      <c r="G327" s="186">
        <v>47952.0</v>
      </c>
      <c r="H327" s="186">
        <v>79563.0</v>
      </c>
      <c r="I327" s="186">
        <v>6439.0</v>
      </c>
      <c r="J327" s="186">
        <v>78614.0</v>
      </c>
      <c r="K327" s="186">
        <v>328781.0</v>
      </c>
      <c r="L327" s="186">
        <v>1068186.0</v>
      </c>
      <c r="M327" s="181"/>
      <c r="N327" s="181"/>
      <c r="O327" s="181"/>
      <c r="P327" s="181"/>
      <c r="Q327" s="181"/>
      <c r="R327" s="181"/>
      <c r="S327" s="182"/>
      <c r="T327" s="182"/>
      <c r="U327" s="182"/>
      <c r="V327" s="182"/>
      <c r="W327" s="183"/>
      <c r="X327" s="183"/>
      <c r="Y327" s="183"/>
      <c r="Z327" s="183"/>
    </row>
    <row r="328" ht="15.75" customHeight="1">
      <c r="A328" s="184">
        <v>1.69546731E8</v>
      </c>
      <c r="B328" s="185" t="s">
        <v>919</v>
      </c>
      <c r="C328" s="186">
        <v>1.5478984E7</v>
      </c>
      <c r="D328" s="186">
        <v>1729453.0</v>
      </c>
      <c r="E328" s="186">
        <v>432823.0</v>
      </c>
      <c r="F328" s="186">
        <v>28315.0</v>
      </c>
      <c r="G328" s="186">
        <v>22229.0</v>
      </c>
      <c r="H328" s="186">
        <v>151478.0</v>
      </c>
      <c r="I328" s="186">
        <v>103682.0</v>
      </c>
      <c r="J328" s="186">
        <v>1830.0</v>
      </c>
      <c r="K328" s="186">
        <v>307534.0</v>
      </c>
      <c r="L328" s="186">
        <v>6.17559824E8</v>
      </c>
      <c r="M328" s="181"/>
      <c r="N328" s="181"/>
      <c r="O328" s="181"/>
      <c r="P328" s="181"/>
      <c r="Q328" s="181"/>
      <c r="R328" s="181"/>
      <c r="S328" s="182"/>
      <c r="T328" s="182"/>
      <c r="U328" s="182"/>
      <c r="V328" s="182"/>
      <c r="W328" s="183"/>
      <c r="X328" s="183"/>
      <c r="Y328" s="183"/>
      <c r="Z328" s="183"/>
    </row>
    <row r="329" ht="15.75" customHeight="1">
      <c r="A329" s="184">
        <v>1.69490775E8</v>
      </c>
      <c r="B329" s="185" t="s">
        <v>920</v>
      </c>
      <c r="C329" s="186">
        <v>1.5432027E7</v>
      </c>
      <c r="D329" s="186">
        <v>584689.0</v>
      </c>
      <c r="E329" s="186">
        <v>143872.0</v>
      </c>
      <c r="F329" s="186">
        <v>140479.0</v>
      </c>
      <c r="G329" s="186">
        <v>94561.0</v>
      </c>
      <c r="H329" s="186">
        <v>3573.0</v>
      </c>
      <c r="I329" s="186">
        <v>25584.0</v>
      </c>
      <c r="J329" s="186">
        <v>4867.0</v>
      </c>
      <c r="K329" s="186">
        <v>269064.0</v>
      </c>
      <c r="L329" s="186">
        <v>0.0</v>
      </c>
      <c r="M329" s="181"/>
      <c r="N329" s="181"/>
      <c r="O329" s="181"/>
      <c r="P329" s="181"/>
      <c r="Q329" s="181"/>
      <c r="R329" s="181"/>
      <c r="S329" s="182"/>
      <c r="T329" s="182"/>
      <c r="U329" s="182"/>
      <c r="V329" s="182"/>
      <c r="W329" s="183"/>
      <c r="X329" s="183"/>
      <c r="Y329" s="183"/>
      <c r="Z329" s="183"/>
    </row>
    <row r="330" ht="15.75" customHeight="1">
      <c r="A330" s="184">
        <v>1.69544729E8</v>
      </c>
      <c r="B330" s="185" t="s">
        <v>921</v>
      </c>
      <c r="C330" s="186">
        <v>1.5405518E7</v>
      </c>
      <c r="D330" s="186">
        <v>500287.0</v>
      </c>
      <c r="E330" s="186">
        <v>1231664.0</v>
      </c>
      <c r="F330" s="186">
        <v>10106.0</v>
      </c>
      <c r="G330" s="186">
        <v>25478.0</v>
      </c>
      <c r="H330" s="186">
        <v>5340.0</v>
      </c>
      <c r="I330" s="186">
        <v>5961.0</v>
      </c>
      <c r="J330" s="186">
        <v>18317.0</v>
      </c>
      <c r="K330" s="186">
        <v>65202.0</v>
      </c>
      <c r="L330" s="186">
        <v>0.0</v>
      </c>
      <c r="M330" s="181"/>
      <c r="N330" s="181"/>
      <c r="O330" s="181"/>
      <c r="P330" s="181"/>
      <c r="Q330" s="181"/>
      <c r="R330" s="181"/>
      <c r="S330" s="182"/>
      <c r="T330" s="182"/>
      <c r="U330" s="182"/>
      <c r="V330" s="182"/>
      <c r="W330" s="183"/>
      <c r="X330" s="183"/>
      <c r="Y330" s="183"/>
      <c r="Z330" s="183"/>
    </row>
    <row r="331" ht="15.75" customHeight="1">
      <c r="A331" s="184">
        <v>1.69712422E8</v>
      </c>
      <c r="B331" s="185" t="s">
        <v>922</v>
      </c>
      <c r="C331" s="186">
        <v>1.5391886E7</v>
      </c>
      <c r="D331" s="186">
        <v>1518474.0</v>
      </c>
      <c r="E331" s="186">
        <v>93294.0</v>
      </c>
      <c r="F331" s="186">
        <v>71450.0</v>
      </c>
      <c r="G331" s="186">
        <v>93481.0</v>
      </c>
      <c r="H331" s="186">
        <v>78258.0</v>
      </c>
      <c r="I331" s="186">
        <v>100419.0</v>
      </c>
      <c r="J331" s="186">
        <v>0.0</v>
      </c>
      <c r="K331" s="186">
        <v>343608.0</v>
      </c>
      <c r="L331" s="186">
        <v>3.91205203E8</v>
      </c>
      <c r="M331" s="181"/>
      <c r="N331" s="181"/>
      <c r="O331" s="181"/>
      <c r="P331" s="181"/>
      <c r="Q331" s="181"/>
      <c r="R331" s="181"/>
      <c r="S331" s="182"/>
      <c r="T331" s="182"/>
      <c r="U331" s="182"/>
      <c r="V331" s="182"/>
      <c r="W331" s="183"/>
      <c r="X331" s="183"/>
      <c r="Y331" s="183"/>
      <c r="Z331" s="183"/>
    </row>
    <row r="332" ht="15.75" customHeight="1">
      <c r="A332" s="184">
        <v>1.69567358E8</v>
      </c>
      <c r="B332" s="185" t="s">
        <v>923</v>
      </c>
      <c r="C332" s="186">
        <v>1.5277538E7</v>
      </c>
      <c r="D332" s="186">
        <v>1813052.0</v>
      </c>
      <c r="E332" s="186">
        <v>1325695.0</v>
      </c>
      <c r="F332" s="186">
        <v>57072.0</v>
      </c>
      <c r="G332" s="186">
        <v>265651.0</v>
      </c>
      <c r="H332" s="186">
        <v>80389.0</v>
      </c>
      <c r="I332" s="186">
        <v>51022.0</v>
      </c>
      <c r="J332" s="186">
        <v>21928.0</v>
      </c>
      <c r="K332" s="186">
        <v>476062.0</v>
      </c>
      <c r="L332" s="186">
        <v>0.0</v>
      </c>
      <c r="M332" s="181"/>
      <c r="N332" s="181"/>
      <c r="O332" s="181"/>
      <c r="P332" s="181"/>
      <c r="Q332" s="181"/>
      <c r="R332" s="181"/>
      <c r="S332" s="182"/>
      <c r="T332" s="182"/>
      <c r="U332" s="182"/>
      <c r="V332" s="182"/>
      <c r="W332" s="183"/>
      <c r="X332" s="183"/>
      <c r="Y332" s="183"/>
      <c r="Z332" s="183"/>
    </row>
    <row r="333" ht="15.75" customHeight="1">
      <c r="A333" s="184">
        <v>1.69058414E8</v>
      </c>
      <c r="B333" s="185" t="s">
        <v>924</v>
      </c>
      <c r="C333" s="186">
        <v>1.5264446E7</v>
      </c>
      <c r="D333" s="186">
        <v>5434838.0</v>
      </c>
      <c r="E333" s="186">
        <v>162485.0</v>
      </c>
      <c r="F333" s="186">
        <v>143610.0</v>
      </c>
      <c r="G333" s="186">
        <v>174334.0</v>
      </c>
      <c r="H333" s="186">
        <v>142152.0</v>
      </c>
      <c r="I333" s="186">
        <v>414882.0</v>
      </c>
      <c r="J333" s="186">
        <v>17001.0</v>
      </c>
      <c r="K333" s="186">
        <v>891979.0</v>
      </c>
      <c r="L333" s="186">
        <v>4.7309235E7</v>
      </c>
      <c r="M333" s="181"/>
      <c r="N333" s="181"/>
      <c r="O333" s="181"/>
      <c r="P333" s="181"/>
      <c r="Q333" s="181"/>
      <c r="R333" s="181"/>
      <c r="S333" s="182"/>
      <c r="T333" s="182"/>
      <c r="U333" s="182"/>
      <c r="V333" s="182"/>
      <c r="W333" s="183"/>
      <c r="X333" s="183"/>
      <c r="Y333" s="183"/>
      <c r="Z333" s="183"/>
    </row>
    <row r="334" ht="15.75" customHeight="1">
      <c r="A334" s="184">
        <v>1.69520111E8</v>
      </c>
      <c r="B334" s="185" t="s">
        <v>925</v>
      </c>
      <c r="C334" s="186">
        <v>1.5241297E7</v>
      </c>
      <c r="D334" s="186">
        <v>4186749.0</v>
      </c>
      <c r="E334" s="186">
        <v>726852.0</v>
      </c>
      <c r="F334" s="186">
        <v>432128.0</v>
      </c>
      <c r="G334" s="186">
        <v>532195.0</v>
      </c>
      <c r="H334" s="186">
        <v>339916.0</v>
      </c>
      <c r="I334" s="186">
        <v>117859.0</v>
      </c>
      <c r="J334" s="186">
        <v>24884.0</v>
      </c>
      <c r="K334" s="186">
        <v>1446982.0</v>
      </c>
      <c r="L334" s="186">
        <v>2.34801496E8</v>
      </c>
      <c r="M334" s="181"/>
      <c r="N334" s="181"/>
      <c r="O334" s="181"/>
      <c r="P334" s="181"/>
      <c r="Q334" s="181"/>
      <c r="R334" s="181"/>
      <c r="S334" s="182"/>
      <c r="T334" s="182"/>
      <c r="U334" s="182"/>
      <c r="V334" s="182"/>
      <c r="W334" s="183"/>
      <c r="X334" s="183"/>
      <c r="Y334" s="183"/>
      <c r="Z334" s="183"/>
    </row>
    <row r="335" ht="15.75" customHeight="1">
      <c r="A335" s="184">
        <v>1.69584121E8</v>
      </c>
      <c r="B335" s="185" t="s">
        <v>926</v>
      </c>
      <c r="C335" s="186">
        <v>1.5206412E7</v>
      </c>
      <c r="D335" s="186">
        <v>2321341.0</v>
      </c>
      <c r="E335" s="186">
        <v>93826.0</v>
      </c>
      <c r="F335" s="186">
        <v>295656.0</v>
      </c>
      <c r="G335" s="186">
        <v>146898.0</v>
      </c>
      <c r="H335" s="186">
        <v>15811.0</v>
      </c>
      <c r="I335" s="186">
        <v>187547.0</v>
      </c>
      <c r="J335" s="186">
        <v>1485.0</v>
      </c>
      <c r="K335" s="186">
        <v>647397.0</v>
      </c>
      <c r="L335" s="186">
        <v>2.2005E8</v>
      </c>
      <c r="M335" s="181"/>
      <c r="N335" s="181"/>
      <c r="O335" s="181"/>
      <c r="P335" s="181"/>
      <c r="Q335" s="181"/>
      <c r="R335" s="181"/>
      <c r="S335" s="182"/>
      <c r="T335" s="182"/>
      <c r="U335" s="182"/>
      <c r="V335" s="182"/>
      <c r="W335" s="183"/>
      <c r="X335" s="183"/>
      <c r="Y335" s="183"/>
      <c r="Z335" s="183"/>
    </row>
    <row r="336" ht="15.75" customHeight="1">
      <c r="A336" s="184">
        <v>1.69511422E8</v>
      </c>
      <c r="B336" s="185" t="s">
        <v>927</v>
      </c>
      <c r="C336" s="186">
        <v>1.516695E7</v>
      </c>
      <c r="D336" s="186">
        <v>3385291.0</v>
      </c>
      <c r="E336" s="186">
        <v>337173.0</v>
      </c>
      <c r="F336" s="186">
        <v>145205.0</v>
      </c>
      <c r="G336" s="186">
        <v>257854.0</v>
      </c>
      <c r="H336" s="186">
        <v>138883.0</v>
      </c>
      <c r="I336" s="186">
        <v>228501.0</v>
      </c>
      <c r="J336" s="186">
        <v>0.0</v>
      </c>
      <c r="K336" s="186">
        <v>770443.0</v>
      </c>
      <c r="L336" s="186">
        <v>3.8869125E7</v>
      </c>
      <c r="M336" s="181"/>
      <c r="N336" s="181"/>
      <c r="O336" s="181"/>
      <c r="P336" s="181"/>
      <c r="Q336" s="181"/>
      <c r="R336" s="181"/>
      <c r="S336" s="182"/>
      <c r="T336" s="182"/>
      <c r="U336" s="182"/>
      <c r="V336" s="182"/>
      <c r="W336" s="183"/>
      <c r="X336" s="183"/>
      <c r="Y336" s="183"/>
      <c r="Z336" s="183"/>
    </row>
    <row r="337" ht="15.75" customHeight="1">
      <c r="A337" s="184">
        <v>1.70299888E8</v>
      </c>
      <c r="B337" s="185" t="s">
        <v>928</v>
      </c>
      <c r="C337" s="186">
        <v>1.5155419E7</v>
      </c>
      <c r="D337" s="186">
        <v>145552.0</v>
      </c>
      <c r="E337" s="186">
        <v>0.0</v>
      </c>
      <c r="F337" s="186">
        <v>2351.0</v>
      </c>
      <c r="G337" s="186">
        <v>10435.0</v>
      </c>
      <c r="H337" s="186">
        <v>5553.0</v>
      </c>
      <c r="I337" s="186">
        <v>10200.0</v>
      </c>
      <c r="J337" s="186">
        <v>0.0</v>
      </c>
      <c r="K337" s="186">
        <v>28539.0</v>
      </c>
      <c r="L337" s="186">
        <v>2.235626656E9</v>
      </c>
      <c r="M337" s="181"/>
      <c r="N337" s="181"/>
      <c r="O337" s="181"/>
      <c r="P337" s="181"/>
      <c r="Q337" s="181"/>
      <c r="R337" s="181"/>
      <c r="S337" s="182"/>
      <c r="T337" s="182"/>
      <c r="U337" s="182"/>
      <c r="V337" s="182"/>
      <c r="W337" s="183"/>
      <c r="X337" s="183"/>
      <c r="Y337" s="183"/>
      <c r="Z337" s="183"/>
    </row>
    <row r="338" ht="15.75" customHeight="1">
      <c r="A338" s="184">
        <v>1.69516568E8</v>
      </c>
      <c r="B338" s="185" t="s">
        <v>929</v>
      </c>
      <c r="C338" s="186">
        <v>1.514756E7</v>
      </c>
      <c r="D338" s="186">
        <v>1662985.0</v>
      </c>
      <c r="E338" s="186">
        <v>2542918.0</v>
      </c>
      <c r="F338" s="186">
        <v>39046.0</v>
      </c>
      <c r="G338" s="186">
        <v>46478.0</v>
      </c>
      <c r="H338" s="186">
        <v>87495.0</v>
      </c>
      <c r="I338" s="186">
        <v>53544.0</v>
      </c>
      <c r="J338" s="186">
        <v>33840.0</v>
      </c>
      <c r="K338" s="186">
        <v>260403.0</v>
      </c>
      <c r="L338" s="186">
        <v>1.31113995E8</v>
      </c>
      <c r="M338" s="181"/>
      <c r="N338" s="181"/>
      <c r="O338" s="181"/>
      <c r="P338" s="181"/>
      <c r="Q338" s="181"/>
      <c r="R338" s="181"/>
      <c r="S338" s="182"/>
      <c r="T338" s="182"/>
      <c r="U338" s="182"/>
      <c r="V338" s="182"/>
      <c r="W338" s="183"/>
      <c r="X338" s="183"/>
      <c r="Y338" s="183"/>
      <c r="Z338" s="183"/>
    </row>
    <row r="339" ht="15.75" customHeight="1">
      <c r="A339" s="184">
        <v>1.6952307E8</v>
      </c>
      <c r="B339" s="185" t="s">
        <v>930</v>
      </c>
      <c r="C339" s="186">
        <v>1.5139014E7</v>
      </c>
      <c r="D339" s="186">
        <v>1476976.0</v>
      </c>
      <c r="E339" s="186">
        <v>580218.0</v>
      </c>
      <c r="F339" s="186">
        <v>9512.0</v>
      </c>
      <c r="G339" s="186">
        <v>140152.0</v>
      </c>
      <c r="H339" s="186">
        <v>117150.0</v>
      </c>
      <c r="I339" s="186">
        <v>72617.0</v>
      </c>
      <c r="J339" s="186">
        <v>0.0</v>
      </c>
      <c r="K339" s="186">
        <v>339431.0</v>
      </c>
      <c r="L339" s="186">
        <v>0.0</v>
      </c>
      <c r="M339" s="181"/>
      <c r="N339" s="181"/>
      <c r="O339" s="181"/>
      <c r="P339" s="181"/>
      <c r="Q339" s="181"/>
      <c r="R339" s="181"/>
      <c r="S339" s="182"/>
      <c r="T339" s="182"/>
      <c r="U339" s="182"/>
      <c r="V339" s="182"/>
      <c r="W339" s="183"/>
      <c r="X339" s="183"/>
      <c r="Y339" s="183"/>
      <c r="Z339" s="183"/>
    </row>
    <row r="340" ht="15.75" customHeight="1">
      <c r="A340" s="184">
        <v>1.69206396E8</v>
      </c>
      <c r="B340" s="185" t="s">
        <v>931</v>
      </c>
      <c r="C340" s="186">
        <v>1.5123787E7</v>
      </c>
      <c r="D340" s="186">
        <v>1255304.0</v>
      </c>
      <c r="E340" s="186">
        <v>322226.0</v>
      </c>
      <c r="F340" s="186">
        <v>6851.0</v>
      </c>
      <c r="G340" s="186">
        <v>5088.0</v>
      </c>
      <c r="H340" s="186">
        <v>72.0</v>
      </c>
      <c r="I340" s="186">
        <v>124347.0</v>
      </c>
      <c r="J340" s="186">
        <v>0.0</v>
      </c>
      <c r="K340" s="186">
        <v>136358.0</v>
      </c>
      <c r="L340" s="186">
        <v>1.42E7</v>
      </c>
      <c r="M340" s="181"/>
      <c r="N340" s="181"/>
      <c r="O340" s="181"/>
      <c r="P340" s="181"/>
      <c r="Q340" s="181"/>
      <c r="R340" s="181"/>
      <c r="S340" s="182"/>
      <c r="T340" s="182"/>
      <c r="U340" s="182"/>
      <c r="V340" s="182"/>
      <c r="W340" s="183"/>
      <c r="X340" s="183"/>
      <c r="Y340" s="183"/>
      <c r="Z340" s="183"/>
    </row>
    <row r="341" ht="15.75" customHeight="1">
      <c r="A341" s="184">
        <v>1.69528436E8</v>
      </c>
      <c r="B341" s="185" t="s">
        <v>932</v>
      </c>
      <c r="C341" s="186">
        <v>1.5078559E7</v>
      </c>
      <c r="D341" s="186">
        <v>1260097.0</v>
      </c>
      <c r="E341" s="186">
        <v>489975.0</v>
      </c>
      <c r="F341" s="186">
        <v>72908.0</v>
      </c>
      <c r="G341" s="186">
        <v>244621.0</v>
      </c>
      <c r="H341" s="186">
        <v>79226.0</v>
      </c>
      <c r="I341" s="186">
        <v>43937.0</v>
      </c>
      <c r="J341" s="186">
        <v>0.0</v>
      </c>
      <c r="K341" s="186">
        <v>440692.0</v>
      </c>
      <c r="L341" s="186">
        <v>0.0</v>
      </c>
      <c r="M341" s="181"/>
      <c r="N341" s="181"/>
      <c r="O341" s="181"/>
      <c r="P341" s="181"/>
      <c r="Q341" s="181"/>
      <c r="R341" s="181"/>
      <c r="S341" s="182"/>
      <c r="T341" s="182"/>
      <c r="U341" s="182"/>
      <c r="V341" s="182"/>
      <c r="W341" s="183"/>
      <c r="X341" s="183"/>
      <c r="Y341" s="183"/>
      <c r="Z341" s="183"/>
    </row>
    <row r="342" ht="15.75" customHeight="1">
      <c r="A342" s="184">
        <v>1.67489694E8</v>
      </c>
      <c r="B342" s="185" t="s">
        <v>933</v>
      </c>
      <c r="C342" s="186">
        <v>1.504783E7</v>
      </c>
      <c r="D342" s="186">
        <v>1.6604307E7</v>
      </c>
      <c r="E342" s="186">
        <v>1232936.0</v>
      </c>
      <c r="F342" s="186">
        <v>2264589.0</v>
      </c>
      <c r="G342" s="186">
        <v>709065.0</v>
      </c>
      <c r="H342" s="186">
        <v>422940.0</v>
      </c>
      <c r="I342" s="186">
        <v>1171866.0</v>
      </c>
      <c r="J342" s="186">
        <v>66142.0</v>
      </c>
      <c r="K342" s="186">
        <v>4634602.0</v>
      </c>
      <c r="L342" s="186">
        <v>1.54798769E8</v>
      </c>
      <c r="M342" s="181"/>
      <c r="N342" s="181"/>
      <c r="O342" s="181"/>
      <c r="P342" s="181"/>
      <c r="Q342" s="181"/>
      <c r="R342" s="181"/>
      <c r="S342" s="182"/>
      <c r="T342" s="182"/>
      <c r="U342" s="182"/>
      <c r="V342" s="182"/>
      <c r="W342" s="183"/>
      <c r="X342" s="183"/>
      <c r="Y342" s="183"/>
      <c r="Z342" s="183"/>
    </row>
    <row r="343" ht="15.75" customHeight="1">
      <c r="A343" s="184">
        <v>1.68124156E8</v>
      </c>
      <c r="B343" s="185" t="s">
        <v>934</v>
      </c>
      <c r="C343" s="186">
        <v>1.5030111E7</v>
      </c>
      <c r="D343" s="186">
        <v>3.1198071E7</v>
      </c>
      <c r="E343" s="186">
        <v>1045362.0</v>
      </c>
      <c r="F343" s="186">
        <v>844755.0</v>
      </c>
      <c r="G343" s="186">
        <v>605576.0</v>
      </c>
      <c r="H343" s="186">
        <v>864057.0</v>
      </c>
      <c r="I343" s="186">
        <v>1714516.0</v>
      </c>
      <c r="J343" s="186">
        <v>460829.0</v>
      </c>
      <c r="K343" s="186">
        <v>4489733.0</v>
      </c>
      <c r="L343" s="186">
        <v>1.00353203E8</v>
      </c>
      <c r="M343" s="181"/>
      <c r="N343" s="181"/>
      <c r="O343" s="181"/>
      <c r="P343" s="181"/>
      <c r="Q343" s="181"/>
      <c r="R343" s="181"/>
      <c r="S343" s="182"/>
      <c r="T343" s="182"/>
      <c r="U343" s="182"/>
      <c r="V343" s="182"/>
      <c r="W343" s="183"/>
      <c r="X343" s="183"/>
      <c r="Y343" s="183"/>
      <c r="Z343" s="183"/>
    </row>
    <row r="344" ht="15.75" customHeight="1">
      <c r="A344" s="184">
        <v>1.06404612E8</v>
      </c>
      <c r="B344" s="185" t="s">
        <v>935</v>
      </c>
      <c r="C344" s="186">
        <v>1.4996864E7</v>
      </c>
      <c r="D344" s="186">
        <v>1077153.0</v>
      </c>
      <c r="E344" s="186">
        <v>902053.0</v>
      </c>
      <c r="F344" s="186">
        <v>87208.0</v>
      </c>
      <c r="G344" s="186">
        <v>87892.0</v>
      </c>
      <c r="H344" s="186">
        <v>48067.0</v>
      </c>
      <c r="I344" s="186">
        <v>6074.0</v>
      </c>
      <c r="J344" s="186">
        <v>31546.0</v>
      </c>
      <c r="K344" s="186">
        <v>260787.0</v>
      </c>
      <c r="L344" s="186">
        <v>1.787795115E9</v>
      </c>
      <c r="M344" s="181"/>
      <c r="N344" s="181"/>
      <c r="O344" s="181"/>
      <c r="P344" s="181"/>
      <c r="Q344" s="181"/>
      <c r="R344" s="181"/>
      <c r="S344" s="182"/>
      <c r="T344" s="182"/>
      <c r="U344" s="182"/>
      <c r="V344" s="182"/>
      <c r="W344" s="183"/>
      <c r="X344" s="183"/>
      <c r="Y344" s="183"/>
      <c r="Z344" s="183"/>
    </row>
    <row r="345" ht="15.75" customHeight="1">
      <c r="A345" s="184">
        <v>1.69413699E8</v>
      </c>
      <c r="B345" s="185" t="s">
        <v>936</v>
      </c>
      <c r="C345" s="186">
        <v>1.4985238E7</v>
      </c>
      <c r="D345" s="186">
        <v>2019841.0</v>
      </c>
      <c r="E345" s="186">
        <v>314668.0</v>
      </c>
      <c r="F345" s="186">
        <v>205615.0</v>
      </c>
      <c r="G345" s="186">
        <v>94890.0</v>
      </c>
      <c r="H345" s="186">
        <v>28857.0</v>
      </c>
      <c r="I345" s="186">
        <v>68949.0</v>
      </c>
      <c r="J345" s="186">
        <v>49201.0</v>
      </c>
      <c r="K345" s="186">
        <v>447512.0</v>
      </c>
      <c r="L345" s="186">
        <v>0.0</v>
      </c>
      <c r="M345" s="181"/>
      <c r="N345" s="181"/>
      <c r="O345" s="181"/>
      <c r="P345" s="181"/>
      <c r="Q345" s="181"/>
      <c r="R345" s="181"/>
      <c r="S345" s="182"/>
      <c r="T345" s="182"/>
      <c r="U345" s="182"/>
      <c r="V345" s="182"/>
      <c r="W345" s="183"/>
      <c r="X345" s="183"/>
      <c r="Y345" s="183"/>
      <c r="Z345" s="183"/>
    </row>
    <row r="346" ht="15.75" customHeight="1">
      <c r="A346" s="184">
        <v>1.6933546E8</v>
      </c>
      <c r="B346" s="185" t="s">
        <v>937</v>
      </c>
      <c r="C346" s="186">
        <v>1.4962183E7</v>
      </c>
      <c r="D346" s="186">
        <v>1524372.0</v>
      </c>
      <c r="E346" s="186">
        <v>74288.0</v>
      </c>
      <c r="F346" s="186">
        <v>34590.0</v>
      </c>
      <c r="G346" s="186">
        <v>37973.0</v>
      </c>
      <c r="H346" s="186">
        <v>215617.0</v>
      </c>
      <c r="I346" s="186">
        <v>57904.0</v>
      </c>
      <c r="J346" s="186">
        <v>0.0</v>
      </c>
      <c r="K346" s="186">
        <v>346084.0</v>
      </c>
      <c r="L346" s="186">
        <v>1.06738062E8</v>
      </c>
      <c r="M346" s="181"/>
      <c r="N346" s="181"/>
      <c r="O346" s="181"/>
      <c r="P346" s="181"/>
      <c r="Q346" s="181"/>
      <c r="R346" s="181"/>
      <c r="S346" s="182"/>
      <c r="T346" s="182"/>
      <c r="U346" s="182"/>
      <c r="V346" s="182"/>
      <c r="W346" s="183"/>
      <c r="X346" s="183"/>
      <c r="Y346" s="183"/>
      <c r="Z346" s="183"/>
    </row>
    <row r="347" ht="15.75" customHeight="1">
      <c r="A347" s="184">
        <v>1.71247028E8</v>
      </c>
      <c r="B347" s="185" t="s">
        <v>938</v>
      </c>
      <c r="C347" s="186">
        <v>1.4938019E7</v>
      </c>
      <c r="D347" s="186">
        <v>4012560.0</v>
      </c>
      <c r="E347" s="186">
        <v>0.0</v>
      </c>
      <c r="F347" s="186">
        <v>0.0</v>
      </c>
      <c r="G347" s="186">
        <v>7300.0</v>
      </c>
      <c r="H347" s="186">
        <v>171910.0</v>
      </c>
      <c r="I347" s="186">
        <v>331032.0</v>
      </c>
      <c r="J347" s="186">
        <v>0.0</v>
      </c>
      <c r="K347" s="186">
        <v>510242.0</v>
      </c>
      <c r="L347" s="186">
        <v>3.40881083E8</v>
      </c>
      <c r="M347" s="181"/>
      <c r="N347" s="181"/>
      <c r="O347" s="181"/>
      <c r="P347" s="181"/>
      <c r="Q347" s="181"/>
      <c r="R347" s="181"/>
      <c r="S347" s="182"/>
      <c r="T347" s="182"/>
      <c r="U347" s="182"/>
      <c r="V347" s="182"/>
      <c r="W347" s="183"/>
      <c r="X347" s="183"/>
      <c r="Y347" s="183"/>
      <c r="Z347" s="183"/>
    </row>
    <row r="348" ht="15.75" customHeight="1">
      <c r="A348" s="184">
        <v>1.693159E8</v>
      </c>
      <c r="B348" s="185" t="s">
        <v>939</v>
      </c>
      <c r="C348" s="186">
        <v>1.4935714E7</v>
      </c>
      <c r="D348" s="186">
        <v>2712005.0</v>
      </c>
      <c r="E348" s="186">
        <v>444690.0</v>
      </c>
      <c r="F348" s="186">
        <v>139826.0</v>
      </c>
      <c r="G348" s="186">
        <v>530675.0</v>
      </c>
      <c r="H348" s="186">
        <v>157800.0</v>
      </c>
      <c r="I348" s="186">
        <v>99149.0</v>
      </c>
      <c r="J348" s="186">
        <v>0.0</v>
      </c>
      <c r="K348" s="186">
        <v>927450.0</v>
      </c>
      <c r="L348" s="186">
        <v>414000.0</v>
      </c>
      <c r="M348" s="181"/>
      <c r="N348" s="181"/>
      <c r="O348" s="181"/>
      <c r="P348" s="181"/>
      <c r="Q348" s="181"/>
      <c r="R348" s="181"/>
      <c r="S348" s="182"/>
      <c r="T348" s="182"/>
      <c r="U348" s="182"/>
      <c r="V348" s="182"/>
      <c r="W348" s="183"/>
      <c r="X348" s="183"/>
      <c r="Y348" s="183"/>
      <c r="Z348" s="183"/>
    </row>
    <row r="349" ht="15.75" customHeight="1">
      <c r="A349" s="184">
        <v>1.69573116E8</v>
      </c>
      <c r="B349" s="185" t="s">
        <v>940</v>
      </c>
      <c r="C349" s="186">
        <v>1.4930789E7</v>
      </c>
      <c r="D349" s="186">
        <v>6734551.0</v>
      </c>
      <c r="E349" s="186">
        <v>792573.0</v>
      </c>
      <c r="F349" s="186">
        <v>149558.0</v>
      </c>
      <c r="G349" s="186">
        <v>265212.0</v>
      </c>
      <c r="H349" s="186">
        <v>253074.0</v>
      </c>
      <c r="I349" s="186">
        <v>466018.0</v>
      </c>
      <c r="J349" s="186">
        <v>25087.0</v>
      </c>
      <c r="K349" s="186">
        <v>1158949.0</v>
      </c>
      <c r="L349" s="186">
        <v>0.0</v>
      </c>
      <c r="M349" s="181"/>
      <c r="N349" s="181"/>
      <c r="O349" s="181"/>
      <c r="P349" s="181"/>
      <c r="Q349" s="181"/>
      <c r="R349" s="181"/>
      <c r="S349" s="182"/>
      <c r="T349" s="182"/>
      <c r="U349" s="182"/>
      <c r="V349" s="182"/>
      <c r="W349" s="183"/>
      <c r="X349" s="183"/>
      <c r="Y349" s="183"/>
      <c r="Z349" s="183"/>
    </row>
    <row r="350" ht="15.75" customHeight="1">
      <c r="A350" s="184">
        <v>1.69533019E8</v>
      </c>
      <c r="B350" s="185" t="s">
        <v>941</v>
      </c>
      <c r="C350" s="186">
        <v>1.4902876E7</v>
      </c>
      <c r="D350" s="186">
        <v>938987.0</v>
      </c>
      <c r="E350" s="186">
        <v>614651.0</v>
      </c>
      <c r="F350" s="186">
        <v>51595.0</v>
      </c>
      <c r="G350" s="186">
        <v>126175.0</v>
      </c>
      <c r="H350" s="186">
        <v>62632.0</v>
      </c>
      <c r="I350" s="186">
        <v>1249.0</v>
      </c>
      <c r="J350" s="186">
        <v>20665.0</v>
      </c>
      <c r="K350" s="186">
        <v>262316.0</v>
      </c>
      <c r="L350" s="186">
        <v>6.3538192E7</v>
      </c>
      <c r="M350" s="181"/>
      <c r="N350" s="181"/>
      <c r="O350" s="181"/>
      <c r="P350" s="181"/>
      <c r="Q350" s="181"/>
      <c r="R350" s="181"/>
      <c r="S350" s="182"/>
      <c r="T350" s="182"/>
      <c r="U350" s="182"/>
      <c r="V350" s="182"/>
      <c r="W350" s="183"/>
      <c r="X350" s="183"/>
      <c r="Y350" s="183"/>
      <c r="Z350" s="183"/>
    </row>
    <row r="351" ht="15.75" customHeight="1">
      <c r="A351" s="184">
        <v>1.69533925E8</v>
      </c>
      <c r="B351" s="185" t="s">
        <v>942</v>
      </c>
      <c r="C351" s="186">
        <v>1.4899305E7</v>
      </c>
      <c r="D351" s="186">
        <v>596243.0</v>
      </c>
      <c r="E351" s="186">
        <v>22539.0</v>
      </c>
      <c r="F351" s="186">
        <v>28125.0</v>
      </c>
      <c r="G351" s="186">
        <v>13936.0</v>
      </c>
      <c r="H351" s="186">
        <v>7974.0</v>
      </c>
      <c r="I351" s="186">
        <v>53085.0</v>
      </c>
      <c r="J351" s="186">
        <v>0.0</v>
      </c>
      <c r="K351" s="186">
        <v>103120.0</v>
      </c>
      <c r="L351" s="186">
        <v>0.0</v>
      </c>
      <c r="M351" s="181"/>
      <c r="N351" s="181"/>
      <c r="O351" s="181"/>
      <c r="P351" s="181"/>
      <c r="Q351" s="181"/>
      <c r="R351" s="181"/>
      <c r="S351" s="182"/>
      <c r="T351" s="182"/>
      <c r="U351" s="182"/>
      <c r="V351" s="182"/>
      <c r="W351" s="183"/>
      <c r="X351" s="183"/>
      <c r="Y351" s="183"/>
      <c r="Z351" s="183"/>
    </row>
    <row r="352" ht="15.75" customHeight="1">
      <c r="A352" s="184">
        <v>1.69030526E8</v>
      </c>
      <c r="B352" s="185" t="s">
        <v>943</v>
      </c>
      <c r="C352" s="186">
        <v>1.4849777E7</v>
      </c>
      <c r="D352" s="186">
        <v>7246417.0</v>
      </c>
      <c r="E352" s="186">
        <v>388642.0</v>
      </c>
      <c r="F352" s="186">
        <v>337537.0</v>
      </c>
      <c r="G352" s="186">
        <v>476906.0</v>
      </c>
      <c r="H352" s="186">
        <v>86827.0</v>
      </c>
      <c r="I352" s="186">
        <v>521513.0</v>
      </c>
      <c r="J352" s="186">
        <v>33133.0</v>
      </c>
      <c r="K352" s="186">
        <v>1455916.0</v>
      </c>
      <c r="L352" s="186">
        <v>3.36E8</v>
      </c>
      <c r="M352" s="181"/>
      <c r="N352" s="181"/>
      <c r="O352" s="181"/>
      <c r="P352" s="181"/>
      <c r="Q352" s="181"/>
      <c r="R352" s="181"/>
      <c r="S352" s="182"/>
      <c r="T352" s="182"/>
      <c r="U352" s="182"/>
      <c r="V352" s="182"/>
      <c r="W352" s="183"/>
      <c r="X352" s="183"/>
      <c r="Y352" s="183"/>
      <c r="Z352" s="183"/>
    </row>
    <row r="353" ht="15.75" customHeight="1">
      <c r="A353" s="184">
        <v>1.69551584E8</v>
      </c>
      <c r="B353" s="185" t="s">
        <v>944</v>
      </c>
      <c r="C353" s="186">
        <v>1.4848835E7</v>
      </c>
      <c r="D353" s="186">
        <v>1757148.0</v>
      </c>
      <c r="E353" s="186">
        <v>1229226.0</v>
      </c>
      <c r="F353" s="186">
        <v>2542.0</v>
      </c>
      <c r="G353" s="186">
        <v>6036.0</v>
      </c>
      <c r="H353" s="186">
        <v>692.0</v>
      </c>
      <c r="I353" s="186">
        <v>56268.0</v>
      </c>
      <c r="J353" s="186">
        <v>58956.0</v>
      </c>
      <c r="K353" s="186">
        <v>124494.0</v>
      </c>
      <c r="L353" s="186">
        <v>2.042236E7</v>
      </c>
      <c r="M353" s="181"/>
      <c r="N353" s="181"/>
      <c r="O353" s="181"/>
      <c r="P353" s="181"/>
      <c r="Q353" s="181"/>
      <c r="R353" s="181"/>
      <c r="S353" s="182"/>
      <c r="T353" s="182"/>
      <c r="U353" s="182"/>
      <c r="V353" s="182"/>
      <c r="W353" s="183"/>
      <c r="X353" s="183"/>
      <c r="Y353" s="183"/>
      <c r="Z353" s="183"/>
    </row>
    <row r="354" ht="15.75" customHeight="1">
      <c r="A354" s="184">
        <v>1.69559173E8</v>
      </c>
      <c r="B354" s="185" t="s">
        <v>945</v>
      </c>
      <c r="C354" s="186">
        <v>1.4779411E7</v>
      </c>
      <c r="D354" s="186">
        <v>1487937.0</v>
      </c>
      <c r="E354" s="186">
        <v>260491.0</v>
      </c>
      <c r="F354" s="186">
        <v>42929.0</v>
      </c>
      <c r="G354" s="186">
        <v>104717.0</v>
      </c>
      <c r="H354" s="186">
        <v>144347.0</v>
      </c>
      <c r="I354" s="186">
        <v>60559.0</v>
      </c>
      <c r="J354" s="186">
        <v>4347.0</v>
      </c>
      <c r="K354" s="186">
        <v>356899.0</v>
      </c>
      <c r="L354" s="186">
        <v>1.37287145E9</v>
      </c>
      <c r="M354" s="181"/>
      <c r="N354" s="181"/>
      <c r="O354" s="181"/>
      <c r="P354" s="181"/>
      <c r="Q354" s="181"/>
      <c r="R354" s="181"/>
      <c r="S354" s="182"/>
      <c r="T354" s="182"/>
      <c r="U354" s="182"/>
      <c r="V354" s="182"/>
      <c r="W354" s="183"/>
      <c r="X354" s="183"/>
      <c r="Y354" s="183"/>
      <c r="Z354" s="183"/>
    </row>
    <row r="355" ht="15.75" customHeight="1">
      <c r="A355" s="184">
        <v>1.69543184E8</v>
      </c>
      <c r="B355" s="185" t="s">
        <v>946</v>
      </c>
      <c r="C355" s="186">
        <v>1.4720224E7</v>
      </c>
      <c r="D355" s="186">
        <v>1.2997097E7</v>
      </c>
      <c r="E355" s="186">
        <v>674508.0</v>
      </c>
      <c r="F355" s="186">
        <v>1544047.0</v>
      </c>
      <c r="G355" s="186">
        <v>4563562.0</v>
      </c>
      <c r="H355" s="186">
        <v>602681.0</v>
      </c>
      <c r="I355" s="186">
        <v>115044.0</v>
      </c>
      <c r="J355" s="186">
        <v>0.0</v>
      </c>
      <c r="K355" s="186">
        <v>6825334.0</v>
      </c>
      <c r="L355" s="186">
        <v>0.0</v>
      </c>
      <c r="M355" s="181"/>
      <c r="N355" s="181"/>
      <c r="O355" s="181"/>
      <c r="P355" s="181"/>
      <c r="Q355" s="181"/>
      <c r="R355" s="181"/>
      <c r="S355" s="182"/>
      <c r="T355" s="182"/>
      <c r="U355" s="182"/>
      <c r="V355" s="182"/>
      <c r="W355" s="183"/>
      <c r="X355" s="183"/>
      <c r="Y355" s="183"/>
      <c r="Z355" s="183"/>
    </row>
    <row r="356" ht="15.75" customHeight="1">
      <c r="A356" s="184">
        <v>1.70226869E8</v>
      </c>
      <c r="B356" s="185" t="s">
        <v>947</v>
      </c>
      <c r="C356" s="186">
        <v>1.4715803E7</v>
      </c>
      <c r="D356" s="186">
        <v>1656175.0</v>
      </c>
      <c r="E356" s="186">
        <v>130366.0</v>
      </c>
      <c r="F356" s="186">
        <v>97535.0</v>
      </c>
      <c r="G356" s="186">
        <v>166586.0</v>
      </c>
      <c r="H356" s="186">
        <v>124979.0</v>
      </c>
      <c r="I356" s="186">
        <v>80358.0</v>
      </c>
      <c r="J356" s="186">
        <v>0.0</v>
      </c>
      <c r="K356" s="186">
        <v>469458.0</v>
      </c>
      <c r="L356" s="186">
        <v>4282279.0</v>
      </c>
      <c r="M356" s="181"/>
      <c r="N356" s="181"/>
      <c r="O356" s="181"/>
      <c r="P356" s="181"/>
      <c r="Q356" s="181"/>
      <c r="R356" s="181"/>
      <c r="S356" s="182"/>
      <c r="T356" s="182"/>
      <c r="U356" s="182"/>
      <c r="V356" s="182"/>
      <c r="W356" s="183"/>
      <c r="X356" s="183"/>
      <c r="Y356" s="183"/>
      <c r="Z356" s="183"/>
    </row>
    <row r="357" ht="15.75" customHeight="1">
      <c r="A357" s="184">
        <v>1.35359054E8</v>
      </c>
      <c r="B357" s="185" t="s">
        <v>948</v>
      </c>
      <c r="C357" s="186">
        <v>1.469131E7</v>
      </c>
      <c r="D357" s="186">
        <v>1.6106264E7</v>
      </c>
      <c r="E357" s="186">
        <v>1410600.0</v>
      </c>
      <c r="F357" s="186">
        <v>598231.0</v>
      </c>
      <c r="G357" s="186">
        <v>644224.0</v>
      </c>
      <c r="H357" s="186">
        <v>184290.0</v>
      </c>
      <c r="I357" s="186">
        <v>1224473.0</v>
      </c>
      <c r="J357" s="186">
        <v>85814.0</v>
      </c>
      <c r="K357" s="186">
        <v>2737032.0</v>
      </c>
      <c r="L357" s="186">
        <v>5.5923633E7</v>
      </c>
      <c r="M357" s="181"/>
      <c r="N357" s="181"/>
      <c r="O357" s="181"/>
      <c r="P357" s="181"/>
      <c r="Q357" s="181"/>
      <c r="R357" s="181"/>
      <c r="S357" s="182"/>
      <c r="T357" s="182"/>
      <c r="U357" s="182"/>
      <c r="V357" s="182"/>
      <c r="W357" s="183"/>
      <c r="X357" s="183"/>
      <c r="Y357" s="183"/>
      <c r="Z357" s="183"/>
    </row>
    <row r="358" ht="15.75" customHeight="1">
      <c r="A358" s="184">
        <v>1.4466762E8</v>
      </c>
      <c r="B358" s="185" t="s">
        <v>949</v>
      </c>
      <c r="C358" s="186">
        <v>1.4670003E7</v>
      </c>
      <c r="D358" s="186">
        <v>2924334.0</v>
      </c>
      <c r="E358" s="186">
        <v>817410.0</v>
      </c>
      <c r="F358" s="186">
        <v>207130.0</v>
      </c>
      <c r="G358" s="186">
        <v>261490.0</v>
      </c>
      <c r="H358" s="186">
        <v>91392.0</v>
      </c>
      <c r="I358" s="186">
        <v>173394.0</v>
      </c>
      <c r="J358" s="186">
        <v>13021.0</v>
      </c>
      <c r="K358" s="186">
        <v>746427.0</v>
      </c>
      <c r="L358" s="186">
        <v>1900847.0</v>
      </c>
      <c r="M358" s="181"/>
      <c r="N358" s="181"/>
      <c r="O358" s="181"/>
      <c r="P358" s="181"/>
      <c r="Q358" s="181"/>
      <c r="R358" s="181"/>
      <c r="S358" s="182"/>
      <c r="T358" s="182"/>
      <c r="U358" s="182"/>
      <c r="V358" s="182"/>
      <c r="W358" s="183"/>
      <c r="X358" s="183"/>
      <c r="Y358" s="183"/>
      <c r="Z358" s="183"/>
    </row>
    <row r="359" ht="15.75" customHeight="1">
      <c r="A359" s="184">
        <v>1.69545294E8</v>
      </c>
      <c r="B359" s="185" t="s">
        <v>950</v>
      </c>
      <c r="C359" s="186">
        <v>1.466782E7</v>
      </c>
      <c r="D359" s="186">
        <v>5682689.0</v>
      </c>
      <c r="E359" s="186">
        <v>752827.0</v>
      </c>
      <c r="F359" s="186">
        <v>550938.0</v>
      </c>
      <c r="G359" s="186">
        <v>1070667.0</v>
      </c>
      <c r="H359" s="186">
        <v>422712.0</v>
      </c>
      <c r="I359" s="186">
        <v>62242.0</v>
      </c>
      <c r="J359" s="186">
        <v>55895.0</v>
      </c>
      <c r="K359" s="186">
        <v>2162454.0</v>
      </c>
      <c r="L359" s="186">
        <v>1405602.0</v>
      </c>
      <c r="M359" s="181"/>
      <c r="N359" s="181"/>
      <c r="O359" s="181"/>
      <c r="P359" s="181"/>
      <c r="Q359" s="181"/>
      <c r="R359" s="181"/>
      <c r="S359" s="182"/>
      <c r="T359" s="182"/>
      <c r="U359" s="182"/>
      <c r="V359" s="182"/>
      <c r="W359" s="183"/>
      <c r="X359" s="183"/>
      <c r="Y359" s="183"/>
      <c r="Z359" s="183"/>
    </row>
    <row r="360" ht="15.75" customHeight="1">
      <c r="A360" s="184">
        <v>1.69105368E8</v>
      </c>
      <c r="B360" s="185" t="s">
        <v>951</v>
      </c>
      <c r="C360" s="186">
        <v>1.4633437E7</v>
      </c>
      <c r="D360" s="186">
        <v>1431830.0</v>
      </c>
      <c r="E360" s="186">
        <v>112882.0</v>
      </c>
      <c r="F360" s="186">
        <v>165761.0</v>
      </c>
      <c r="G360" s="186">
        <v>106524.0</v>
      </c>
      <c r="H360" s="186">
        <v>16935.0</v>
      </c>
      <c r="I360" s="186">
        <v>106299.0</v>
      </c>
      <c r="J360" s="186">
        <v>2745.0</v>
      </c>
      <c r="K360" s="186">
        <v>398264.0</v>
      </c>
      <c r="L360" s="186">
        <v>3.879297487E9</v>
      </c>
      <c r="M360" s="181"/>
      <c r="N360" s="181"/>
      <c r="O360" s="181"/>
      <c r="P360" s="181"/>
      <c r="Q360" s="181"/>
      <c r="R360" s="181"/>
      <c r="S360" s="182"/>
      <c r="T360" s="182"/>
      <c r="U360" s="182"/>
      <c r="V360" s="182"/>
      <c r="W360" s="183"/>
      <c r="X360" s="183"/>
      <c r="Y360" s="183"/>
      <c r="Z360" s="183"/>
    </row>
    <row r="361" ht="15.75" customHeight="1">
      <c r="A361" s="184">
        <v>1.74104725E8</v>
      </c>
      <c r="B361" s="185" t="s">
        <v>952</v>
      </c>
      <c r="C361" s="186">
        <v>1.4597416E7</v>
      </c>
      <c r="D361" s="186">
        <v>16000.0</v>
      </c>
      <c r="E361" s="186">
        <v>0.0</v>
      </c>
      <c r="F361" s="186">
        <v>0.0</v>
      </c>
      <c r="G361" s="186">
        <v>0.0</v>
      </c>
      <c r="H361" s="186">
        <v>0.0</v>
      </c>
      <c r="I361" s="186">
        <v>1600.0</v>
      </c>
      <c r="J361" s="186">
        <v>0.0</v>
      </c>
      <c r="K361" s="186">
        <v>1600.0</v>
      </c>
      <c r="L361" s="186">
        <v>6.17833035E8</v>
      </c>
      <c r="M361" s="181"/>
      <c r="N361" s="181"/>
      <c r="O361" s="181"/>
      <c r="P361" s="181"/>
      <c r="Q361" s="181"/>
      <c r="R361" s="181"/>
      <c r="S361" s="182"/>
      <c r="T361" s="182"/>
      <c r="U361" s="182"/>
      <c r="V361" s="182"/>
      <c r="W361" s="183"/>
      <c r="X361" s="183"/>
      <c r="Y361" s="183"/>
      <c r="Z361" s="183"/>
    </row>
    <row r="362" ht="15.75" customHeight="1">
      <c r="A362" s="184">
        <v>1.69485512E8</v>
      </c>
      <c r="B362" s="185" t="s">
        <v>953</v>
      </c>
      <c r="C362" s="186">
        <v>1.4579857E7</v>
      </c>
      <c r="D362" s="186">
        <v>1761705.0</v>
      </c>
      <c r="E362" s="186">
        <v>841160.0</v>
      </c>
      <c r="F362" s="186">
        <v>21637.0</v>
      </c>
      <c r="G362" s="186">
        <v>42064.0</v>
      </c>
      <c r="H362" s="186">
        <v>53330.0</v>
      </c>
      <c r="I362" s="186">
        <v>76951.0</v>
      </c>
      <c r="J362" s="186">
        <v>34521.0</v>
      </c>
      <c r="K362" s="186">
        <v>228503.0</v>
      </c>
      <c r="L362" s="186">
        <v>2812126.0</v>
      </c>
      <c r="M362" s="181"/>
      <c r="N362" s="181"/>
      <c r="O362" s="181"/>
      <c r="P362" s="181"/>
      <c r="Q362" s="181"/>
      <c r="R362" s="181"/>
      <c r="S362" s="182"/>
      <c r="T362" s="182"/>
      <c r="U362" s="182"/>
      <c r="V362" s="182"/>
      <c r="W362" s="183"/>
      <c r="X362" s="183"/>
      <c r="Y362" s="183"/>
      <c r="Z362" s="183"/>
    </row>
    <row r="363" ht="15.75" customHeight="1">
      <c r="A363" s="184">
        <v>1.69475661E8</v>
      </c>
      <c r="B363" s="185" t="s">
        <v>954</v>
      </c>
      <c r="C363" s="186">
        <v>1.4560223E7</v>
      </c>
      <c r="D363" s="186">
        <v>3244843.0</v>
      </c>
      <c r="E363" s="186">
        <v>884299.0</v>
      </c>
      <c r="F363" s="186">
        <v>206507.0</v>
      </c>
      <c r="G363" s="186">
        <v>148320.0</v>
      </c>
      <c r="H363" s="186">
        <v>57923.0</v>
      </c>
      <c r="I363" s="186">
        <v>173817.0</v>
      </c>
      <c r="J363" s="186">
        <v>46852.0</v>
      </c>
      <c r="K363" s="186">
        <v>633419.0</v>
      </c>
      <c r="L363" s="186">
        <v>1.7329201E7</v>
      </c>
      <c r="M363" s="181"/>
      <c r="N363" s="181"/>
      <c r="O363" s="181"/>
      <c r="P363" s="181"/>
      <c r="Q363" s="181"/>
      <c r="R363" s="181"/>
      <c r="S363" s="182"/>
      <c r="T363" s="182"/>
      <c r="U363" s="182"/>
      <c r="V363" s="182"/>
      <c r="W363" s="183"/>
      <c r="X363" s="183"/>
      <c r="Y363" s="183"/>
      <c r="Z363" s="183"/>
    </row>
    <row r="364" ht="15.75" customHeight="1">
      <c r="A364" s="184">
        <v>1.69573905E8</v>
      </c>
      <c r="B364" s="185" t="s">
        <v>955</v>
      </c>
      <c r="C364" s="186">
        <v>1.4479829E7</v>
      </c>
      <c r="D364" s="186">
        <v>1139835.0</v>
      </c>
      <c r="E364" s="186">
        <v>706135.0</v>
      </c>
      <c r="F364" s="186">
        <v>10337.0</v>
      </c>
      <c r="G364" s="186">
        <v>19735.0</v>
      </c>
      <c r="H364" s="186">
        <v>9612.0</v>
      </c>
      <c r="I364" s="186">
        <v>3303.0</v>
      </c>
      <c r="J364" s="186">
        <v>51341.0</v>
      </c>
      <c r="K364" s="186">
        <v>94328.0</v>
      </c>
      <c r="L364" s="186">
        <v>0.0</v>
      </c>
      <c r="M364" s="181"/>
      <c r="N364" s="181"/>
      <c r="O364" s="181"/>
      <c r="P364" s="181"/>
      <c r="Q364" s="181"/>
      <c r="R364" s="181"/>
      <c r="S364" s="182"/>
      <c r="T364" s="182"/>
      <c r="U364" s="182"/>
      <c r="V364" s="182"/>
      <c r="W364" s="183"/>
      <c r="X364" s="183"/>
      <c r="Y364" s="183"/>
      <c r="Z364" s="183"/>
    </row>
    <row r="365" ht="15.75" customHeight="1">
      <c r="A365" s="184">
        <v>1.70496793E8</v>
      </c>
      <c r="B365" s="185" t="s">
        <v>956</v>
      </c>
      <c r="C365" s="186">
        <v>1.4376656E7</v>
      </c>
      <c r="D365" s="186">
        <v>3370072.0</v>
      </c>
      <c r="E365" s="186">
        <v>892753.0</v>
      </c>
      <c r="F365" s="186">
        <v>45014.0</v>
      </c>
      <c r="G365" s="186">
        <v>31851.0</v>
      </c>
      <c r="H365" s="186">
        <v>39407.0</v>
      </c>
      <c r="I365" s="186">
        <v>266798.0</v>
      </c>
      <c r="J365" s="186">
        <v>23588.0</v>
      </c>
      <c r="K365" s="186">
        <v>406658.0</v>
      </c>
      <c r="L365" s="186">
        <v>2.0259295E7</v>
      </c>
      <c r="M365" s="181"/>
      <c r="N365" s="181"/>
      <c r="O365" s="181"/>
      <c r="P365" s="181"/>
      <c r="Q365" s="181"/>
      <c r="R365" s="181"/>
      <c r="S365" s="182"/>
      <c r="T365" s="182"/>
      <c r="U365" s="182"/>
      <c r="V365" s="182"/>
      <c r="W365" s="183"/>
      <c r="X365" s="183"/>
      <c r="Y365" s="183"/>
      <c r="Z365" s="183"/>
    </row>
    <row r="366" ht="15.75" customHeight="1">
      <c r="A366" s="184">
        <v>1.69535292E8</v>
      </c>
      <c r="B366" s="185" t="s">
        <v>957</v>
      </c>
      <c r="C366" s="186">
        <v>1.4372367E7</v>
      </c>
      <c r="D366" s="186">
        <v>3368981.0</v>
      </c>
      <c r="E366" s="186">
        <v>1334450.0</v>
      </c>
      <c r="F366" s="186">
        <v>270325.0</v>
      </c>
      <c r="G366" s="186">
        <v>573514.0</v>
      </c>
      <c r="H366" s="186">
        <v>170252.0</v>
      </c>
      <c r="I366" s="186">
        <v>21044.0</v>
      </c>
      <c r="J366" s="186">
        <v>63822.0</v>
      </c>
      <c r="K366" s="186">
        <v>1098957.0</v>
      </c>
      <c r="L366" s="186">
        <v>0.0</v>
      </c>
      <c r="M366" s="181"/>
      <c r="N366" s="181"/>
      <c r="O366" s="181"/>
      <c r="P366" s="181"/>
      <c r="Q366" s="181"/>
      <c r="R366" s="181"/>
      <c r="S366" s="182"/>
      <c r="T366" s="182"/>
      <c r="U366" s="182"/>
      <c r="V366" s="182"/>
      <c r="W366" s="183"/>
      <c r="X366" s="183"/>
      <c r="Y366" s="183"/>
      <c r="Z366" s="183"/>
    </row>
    <row r="367" ht="15.75" customHeight="1">
      <c r="A367" s="184">
        <v>1.69110123E8</v>
      </c>
      <c r="B367" s="185" t="s">
        <v>958</v>
      </c>
      <c r="C367" s="186">
        <v>1.4334014E7</v>
      </c>
      <c r="D367" s="186">
        <v>1.5406448E7</v>
      </c>
      <c r="E367" s="186">
        <v>1066217.0</v>
      </c>
      <c r="F367" s="186">
        <v>634434.0</v>
      </c>
      <c r="G367" s="186">
        <v>609975.0</v>
      </c>
      <c r="H367" s="186">
        <v>1526233.0</v>
      </c>
      <c r="I367" s="186">
        <v>769124.0</v>
      </c>
      <c r="J367" s="186">
        <v>13172.0</v>
      </c>
      <c r="K367" s="186">
        <v>3552938.0</v>
      </c>
      <c r="L367" s="186">
        <v>7137249.0</v>
      </c>
      <c r="M367" s="181"/>
      <c r="N367" s="181"/>
      <c r="O367" s="181"/>
      <c r="P367" s="181"/>
      <c r="Q367" s="181"/>
      <c r="R367" s="181"/>
      <c r="S367" s="182"/>
      <c r="T367" s="182"/>
      <c r="U367" s="182"/>
      <c r="V367" s="182"/>
      <c r="W367" s="183"/>
      <c r="X367" s="183"/>
      <c r="Y367" s="183"/>
      <c r="Z367" s="183"/>
    </row>
    <row r="368" ht="15.75" customHeight="1">
      <c r="A368" s="184">
        <v>1.42406321E8</v>
      </c>
      <c r="B368" s="185" t="s">
        <v>959</v>
      </c>
      <c r="C368" s="186">
        <v>1.4309126E7</v>
      </c>
      <c r="D368" s="186">
        <v>4271913.0</v>
      </c>
      <c r="E368" s="186">
        <v>129948.0</v>
      </c>
      <c r="F368" s="186">
        <v>364738.0</v>
      </c>
      <c r="G368" s="186">
        <v>643816.0</v>
      </c>
      <c r="H368" s="186">
        <v>470966.0</v>
      </c>
      <c r="I368" s="186">
        <v>96337.0</v>
      </c>
      <c r="J368" s="186">
        <v>3205.0</v>
      </c>
      <c r="K368" s="186">
        <v>1579062.0</v>
      </c>
      <c r="L368" s="186">
        <v>5274686.0</v>
      </c>
      <c r="M368" s="181"/>
      <c r="N368" s="181"/>
      <c r="O368" s="181"/>
      <c r="P368" s="181"/>
      <c r="Q368" s="181"/>
      <c r="R368" s="181"/>
      <c r="S368" s="182"/>
      <c r="T368" s="182"/>
      <c r="U368" s="182"/>
      <c r="V368" s="182"/>
      <c r="W368" s="183"/>
      <c r="X368" s="183"/>
      <c r="Y368" s="183"/>
      <c r="Z368" s="183"/>
    </row>
    <row r="369" ht="15.75" customHeight="1">
      <c r="A369" s="184">
        <v>1.69433545E8</v>
      </c>
      <c r="B369" s="185" t="s">
        <v>960</v>
      </c>
      <c r="C369" s="186">
        <v>1.419076E7</v>
      </c>
      <c r="D369" s="186">
        <v>5327451.0</v>
      </c>
      <c r="E369" s="186">
        <v>773774.0</v>
      </c>
      <c r="F369" s="186">
        <v>229068.0</v>
      </c>
      <c r="G369" s="186">
        <v>142759.0</v>
      </c>
      <c r="H369" s="186">
        <v>65885.0</v>
      </c>
      <c r="I369" s="186">
        <v>227286.0</v>
      </c>
      <c r="J369" s="186">
        <v>122986.0</v>
      </c>
      <c r="K369" s="186">
        <v>787984.0</v>
      </c>
      <c r="L369" s="186">
        <v>2.4302902E7</v>
      </c>
      <c r="M369" s="181"/>
      <c r="N369" s="181"/>
      <c r="O369" s="181"/>
      <c r="P369" s="181"/>
      <c r="Q369" s="181"/>
      <c r="R369" s="181"/>
      <c r="S369" s="182"/>
      <c r="T369" s="182"/>
      <c r="U369" s="182"/>
      <c r="V369" s="182"/>
      <c r="W369" s="183"/>
      <c r="X369" s="183"/>
      <c r="Y369" s="183"/>
      <c r="Z369" s="183"/>
    </row>
    <row r="370" ht="15.75" customHeight="1">
      <c r="A370" s="184">
        <v>1.6951889E8</v>
      </c>
      <c r="B370" s="185" t="s">
        <v>961</v>
      </c>
      <c r="C370" s="186">
        <v>1.4116915E7</v>
      </c>
      <c r="D370" s="186">
        <v>1.2251009E7</v>
      </c>
      <c r="E370" s="186">
        <v>1008670.0</v>
      </c>
      <c r="F370" s="186">
        <v>109058.0</v>
      </c>
      <c r="G370" s="186">
        <v>334191.0</v>
      </c>
      <c r="H370" s="186">
        <v>192824.0</v>
      </c>
      <c r="I370" s="186">
        <v>931974.0</v>
      </c>
      <c r="J370" s="186">
        <v>73489.0</v>
      </c>
      <c r="K370" s="186">
        <v>1641536.0</v>
      </c>
      <c r="L370" s="186">
        <v>307465.0</v>
      </c>
      <c r="M370" s="181"/>
      <c r="N370" s="181"/>
      <c r="O370" s="181"/>
      <c r="P370" s="181"/>
      <c r="Q370" s="181"/>
      <c r="R370" s="181"/>
      <c r="S370" s="182"/>
      <c r="T370" s="182"/>
      <c r="U370" s="182"/>
      <c r="V370" s="182"/>
      <c r="W370" s="183"/>
      <c r="X370" s="183"/>
      <c r="Y370" s="183"/>
      <c r="Z370" s="183"/>
    </row>
    <row r="371" ht="15.75" customHeight="1">
      <c r="A371" s="184">
        <v>1.69877758E8</v>
      </c>
      <c r="B371" s="185" t="s">
        <v>962</v>
      </c>
      <c r="C371" s="186">
        <v>1.4045244E7</v>
      </c>
      <c r="D371" s="186">
        <v>1499655.0</v>
      </c>
      <c r="E371" s="186">
        <v>335904.0</v>
      </c>
      <c r="F371" s="186">
        <v>5305.0</v>
      </c>
      <c r="G371" s="186">
        <v>49597.0</v>
      </c>
      <c r="H371" s="186">
        <v>114040.0</v>
      </c>
      <c r="I371" s="186">
        <v>94324.0</v>
      </c>
      <c r="J371" s="186">
        <v>0.0</v>
      </c>
      <c r="K371" s="186">
        <v>263266.0</v>
      </c>
      <c r="L371" s="186">
        <v>8.0984684E7</v>
      </c>
      <c r="M371" s="181"/>
      <c r="N371" s="181"/>
      <c r="O371" s="181"/>
      <c r="P371" s="181"/>
      <c r="Q371" s="181"/>
      <c r="R371" s="181"/>
      <c r="S371" s="182"/>
      <c r="T371" s="182"/>
      <c r="U371" s="182"/>
      <c r="V371" s="182"/>
      <c r="W371" s="183"/>
      <c r="X371" s="183"/>
      <c r="Y371" s="183"/>
      <c r="Z371" s="183"/>
    </row>
    <row r="372" ht="15.75" customHeight="1">
      <c r="A372" s="184">
        <v>1.69271244E8</v>
      </c>
      <c r="B372" s="185" t="s">
        <v>963</v>
      </c>
      <c r="C372" s="186">
        <v>1.3966351E7</v>
      </c>
      <c r="D372" s="186">
        <v>1787972.0</v>
      </c>
      <c r="E372" s="186">
        <v>161610.0</v>
      </c>
      <c r="F372" s="186">
        <v>128854.0</v>
      </c>
      <c r="G372" s="186">
        <v>41044.0</v>
      </c>
      <c r="H372" s="186">
        <v>138921.0</v>
      </c>
      <c r="I372" s="186">
        <v>94729.0</v>
      </c>
      <c r="J372" s="186">
        <v>8857.0</v>
      </c>
      <c r="K372" s="186">
        <v>412405.0</v>
      </c>
      <c r="L372" s="186">
        <v>2000000.0</v>
      </c>
      <c r="M372" s="181"/>
      <c r="N372" s="181"/>
      <c r="O372" s="181"/>
      <c r="P372" s="181"/>
      <c r="Q372" s="181"/>
      <c r="R372" s="181"/>
      <c r="S372" s="182"/>
      <c r="T372" s="182"/>
      <c r="U372" s="182"/>
      <c r="V372" s="182"/>
      <c r="W372" s="183"/>
      <c r="X372" s="183"/>
      <c r="Y372" s="183"/>
      <c r="Z372" s="183"/>
    </row>
    <row r="373" ht="15.75" customHeight="1">
      <c r="A373" s="184">
        <v>1.69567472E8</v>
      </c>
      <c r="B373" s="185" t="s">
        <v>964</v>
      </c>
      <c r="C373" s="186">
        <v>1.3889143E7</v>
      </c>
      <c r="D373" s="186">
        <v>459012.0</v>
      </c>
      <c r="E373" s="186">
        <v>1292016.0</v>
      </c>
      <c r="F373" s="186">
        <v>5983.0</v>
      </c>
      <c r="G373" s="186">
        <v>4680.0</v>
      </c>
      <c r="H373" s="186">
        <v>2284.0</v>
      </c>
      <c r="I373" s="186">
        <v>0.0</v>
      </c>
      <c r="J373" s="186">
        <v>21966.0</v>
      </c>
      <c r="K373" s="186">
        <v>34913.0</v>
      </c>
      <c r="L373" s="186">
        <v>0.0</v>
      </c>
      <c r="M373" s="181"/>
      <c r="N373" s="181"/>
      <c r="O373" s="181"/>
      <c r="P373" s="181"/>
      <c r="Q373" s="181"/>
      <c r="R373" s="181"/>
      <c r="S373" s="182"/>
      <c r="T373" s="182"/>
      <c r="U373" s="182"/>
      <c r="V373" s="182"/>
      <c r="W373" s="183"/>
      <c r="X373" s="183"/>
      <c r="Y373" s="183"/>
      <c r="Z373" s="183"/>
    </row>
    <row r="374" ht="15.75" customHeight="1">
      <c r="A374" s="184">
        <v>1.69566709E8</v>
      </c>
      <c r="B374" s="185" t="s">
        <v>965</v>
      </c>
      <c r="C374" s="186">
        <v>1.3834282E7</v>
      </c>
      <c r="D374" s="186">
        <v>2362189.0</v>
      </c>
      <c r="E374" s="186">
        <v>159084.0</v>
      </c>
      <c r="F374" s="186">
        <v>227085.0</v>
      </c>
      <c r="G374" s="186">
        <v>432422.0</v>
      </c>
      <c r="H374" s="186">
        <v>40647.0</v>
      </c>
      <c r="I374" s="186">
        <v>96448.0</v>
      </c>
      <c r="J374" s="186">
        <v>16243.0</v>
      </c>
      <c r="K374" s="186">
        <v>812845.0</v>
      </c>
      <c r="L374" s="186">
        <v>294972.0</v>
      </c>
      <c r="M374" s="181"/>
      <c r="N374" s="181"/>
      <c r="O374" s="181"/>
      <c r="P374" s="181"/>
      <c r="Q374" s="181"/>
      <c r="R374" s="181"/>
      <c r="S374" s="182"/>
      <c r="T374" s="182"/>
      <c r="U374" s="182"/>
      <c r="V374" s="182"/>
      <c r="W374" s="183"/>
      <c r="X374" s="183"/>
      <c r="Y374" s="183"/>
      <c r="Z374" s="183"/>
    </row>
    <row r="375" ht="15.75" customHeight="1">
      <c r="A375" s="184">
        <v>1.69569368E8</v>
      </c>
      <c r="B375" s="185" t="s">
        <v>966</v>
      </c>
      <c r="C375" s="186">
        <v>1.3764837E7</v>
      </c>
      <c r="D375" s="186">
        <v>1407052.0</v>
      </c>
      <c r="E375" s="186">
        <v>582384.0</v>
      </c>
      <c r="F375" s="186">
        <v>26870.0</v>
      </c>
      <c r="G375" s="186">
        <v>200570.0</v>
      </c>
      <c r="H375" s="186">
        <v>187492.0</v>
      </c>
      <c r="I375" s="186">
        <v>10241.0</v>
      </c>
      <c r="J375" s="186">
        <v>7408.0</v>
      </c>
      <c r="K375" s="186">
        <v>432581.0</v>
      </c>
      <c r="L375" s="186">
        <v>0.0</v>
      </c>
      <c r="M375" s="181"/>
      <c r="N375" s="181"/>
      <c r="O375" s="181"/>
      <c r="P375" s="181"/>
      <c r="Q375" s="181"/>
      <c r="R375" s="181"/>
      <c r="S375" s="182"/>
      <c r="T375" s="182"/>
      <c r="U375" s="182"/>
      <c r="V375" s="182"/>
      <c r="W375" s="183"/>
      <c r="X375" s="183"/>
      <c r="Y375" s="183"/>
      <c r="Z375" s="183"/>
    </row>
    <row r="376" ht="15.75" customHeight="1">
      <c r="A376" s="184">
        <v>7.4513731E7</v>
      </c>
      <c r="B376" s="185" t="s">
        <v>967</v>
      </c>
      <c r="C376" s="186">
        <v>1.3736306E7</v>
      </c>
      <c r="D376" s="186">
        <v>0.0</v>
      </c>
      <c r="E376" s="186">
        <v>0.0</v>
      </c>
      <c r="F376" s="186">
        <v>0.0</v>
      </c>
      <c r="G376" s="186">
        <v>0.0</v>
      </c>
      <c r="H376" s="186">
        <v>0.0</v>
      </c>
      <c r="I376" s="186">
        <v>0.0</v>
      </c>
      <c r="J376" s="186">
        <v>0.0</v>
      </c>
      <c r="K376" s="186">
        <v>0.0</v>
      </c>
      <c r="L376" s="186">
        <v>1.245758181E9</v>
      </c>
      <c r="M376" s="181"/>
      <c r="N376" s="181"/>
      <c r="O376" s="181"/>
      <c r="P376" s="181"/>
      <c r="Q376" s="181"/>
      <c r="R376" s="181"/>
      <c r="S376" s="182"/>
      <c r="T376" s="182"/>
      <c r="U376" s="182"/>
      <c r="V376" s="182"/>
      <c r="W376" s="183"/>
      <c r="X376" s="183"/>
      <c r="Y376" s="183"/>
      <c r="Z376" s="183"/>
    </row>
    <row r="377" ht="15.75" customHeight="1">
      <c r="A377" s="184">
        <v>1.69296361E8</v>
      </c>
      <c r="B377" s="185" t="s">
        <v>968</v>
      </c>
      <c r="C377" s="186">
        <v>1.3704403E7</v>
      </c>
      <c r="D377" s="186">
        <v>1641357.0</v>
      </c>
      <c r="E377" s="186">
        <v>76155.0</v>
      </c>
      <c r="F377" s="186">
        <v>4368.0</v>
      </c>
      <c r="G377" s="186">
        <v>816.0</v>
      </c>
      <c r="H377" s="186">
        <v>8278.0</v>
      </c>
      <c r="I377" s="186">
        <v>160574.0</v>
      </c>
      <c r="J377" s="186">
        <v>0.0</v>
      </c>
      <c r="K377" s="186">
        <v>174036.0</v>
      </c>
      <c r="L377" s="186">
        <v>2.114715284E9</v>
      </c>
      <c r="M377" s="181"/>
      <c r="N377" s="181"/>
      <c r="O377" s="181"/>
      <c r="P377" s="181"/>
      <c r="Q377" s="181"/>
      <c r="R377" s="181"/>
      <c r="S377" s="182"/>
      <c r="T377" s="182"/>
      <c r="U377" s="182"/>
      <c r="V377" s="182"/>
      <c r="W377" s="183"/>
      <c r="X377" s="183"/>
      <c r="Y377" s="183"/>
      <c r="Z377" s="183"/>
    </row>
    <row r="378" ht="15.75" customHeight="1">
      <c r="A378" s="184">
        <v>1.6946705E8</v>
      </c>
      <c r="B378" s="185" t="s">
        <v>969</v>
      </c>
      <c r="C378" s="186">
        <v>1.3683984E7</v>
      </c>
      <c r="D378" s="186">
        <v>3930993.0</v>
      </c>
      <c r="E378" s="186">
        <v>169666.0</v>
      </c>
      <c r="F378" s="186">
        <v>71418.0</v>
      </c>
      <c r="G378" s="186">
        <v>123602.0</v>
      </c>
      <c r="H378" s="186">
        <v>57074.0</v>
      </c>
      <c r="I378" s="186">
        <v>331547.0</v>
      </c>
      <c r="J378" s="186">
        <v>6287.0</v>
      </c>
      <c r="K378" s="186">
        <v>589928.0</v>
      </c>
      <c r="L378" s="186">
        <v>7.13950415E8</v>
      </c>
      <c r="M378" s="181"/>
      <c r="N378" s="181"/>
      <c r="O378" s="181"/>
      <c r="P378" s="181"/>
      <c r="Q378" s="181"/>
      <c r="R378" s="181"/>
      <c r="S378" s="182"/>
      <c r="T378" s="182"/>
      <c r="U378" s="182"/>
      <c r="V378" s="182"/>
      <c r="W378" s="183"/>
      <c r="X378" s="183"/>
      <c r="Y378" s="183"/>
      <c r="Z378" s="183"/>
    </row>
    <row r="379" ht="15.75" customHeight="1">
      <c r="A379" s="184">
        <v>2.3837887E7</v>
      </c>
      <c r="B379" s="185" t="s">
        <v>970</v>
      </c>
      <c r="C379" s="186">
        <v>1.366478E7</v>
      </c>
      <c r="D379" s="186">
        <v>1.0807365E7</v>
      </c>
      <c r="E379" s="186">
        <v>503021.0</v>
      </c>
      <c r="F379" s="186">
        <v>279867.0</v>
      </c>
      <c r="G379" s="186">
        <v>1177308.0</v>
      </c>
      <c r="H379" s="186">
        <v>999719.0</v>
      </c>
      <c r="I379" s="186">
        <v>436524.0</v>
      </c>
      <c r="J379" s="186">
        <v>1633.0</v>
      </c>
      <c r="K379" s="186">
        <v>2895051.0</v>
      </c>
      <c r="L379" s="186">
        <v>4.1440441E7</v>
      </c>
      <c r="M379" s="181"/>
      <c r="N379" s="181"/>
      <c r="O379" s="181"/>
      <c r="P379" s="181"/>
      <c r="Q379" s="181"/>
      <c r="R379" s="181"/>
      <c r="S379" s="182"/>
      <c r="T379" s="182"/>
      <c r="U379" s="182"/>
      <c r="V379" s="182"/>
      <c r="W379" s="183"/>
      <c r="X379" s="183"/>
      <c r="Y379" s="183"/>
      <c r="Z379" s="183"/>
    </row>
    <row r="380" ht="15.75" customHeight="1">
      <c r="A380" s="184">
        <v>1.7319635E8</v>
      </c>
      <c r="B380" s="185" t="s">
        <v>971</v>
      </c>
      <c r="C380" s="186">
        <v>1.36565E7</v>
      </c>
      <c r="D380" s="186">
        <v>1217620.0</v>
      </c>
      <c r="E380" s="186">
        <v>967994.0</v>
      </c>
      <c r="F380" s="186">
        <v>1.0</v>
      </c>
      <c r="G380" s="186">
        <v>30605.0</v>
      </c>
      <c r="H380" s="186">
        <v>0.0</v>
      </c>
      <c r="I380" s="186">
        <v>3843.0</v>
      </c>
      <c r="J380" s="186">
        <v>55899.0</v>
      </c>
      <c r="K380" s="186">
        <v>90348.0</v>
      </c>
      <c r="L380" s="186">
        <v>8.76758974E8</v>
      </c>
      <c r="M380" s="181"/>
      <c r="N380" s="181"/>
      <c r="O380" s="181"/>
      <c r="P380" s="181"/>
      <c r="Q380" s="181"/>
      <c r="R380" s="181"/>
      <c r="S380" s="182"/>
      <c r="T380" s="182"/>
      <c r="U380" s="182"/>
      <c r="V380" s="182"/>
      <c r="W380" s="183"/>
      <c r="X380" s="183"/>
      <c r="Y380" s="183"/>
      <c r="Z380" s="183"/>
    </row>
    <row r="381" ht="15.75" customHeight="1">
      <c r="A381" s="184">
        <v>1.69549431E8</v>
      </c>
      <c r="B381" s="185" t="s">
        <v>972</v>
      </c>
      <c r="C381" s="186">
        <v>1.3652985E7</v>
      </c>
      <c r="D381" s="186">
        <v>2731945.0</v>
      </c>
      <c r="E381" s="186">
        <v>1301971.0</v>
      </c>
      <c r="F381" s="186">
        <v>68687.0</v>
      </c>
      <c r="G381" s="186">
        <v>85684.0</v>
      </c>
      <c r="H381" s="186">
        <v>38725.0</v>
      </c>
      <c r="I381" s="186">
        <v>73586.0</v>
      </c>
      <c r="J381" s="186">
        <v>82804.0</v>
      </c>
      <c r="K381" s="186">
        <v>349486.0</v>
      </c>
      <c r="L381" s="186">
        <v>3200000.0</v>
      </c>
      <c r="M381" s="181"/>
      <c r="N381" s="181"/>
      <c r="O381" s="181"/>
      <c r="P381" s="181"/>
      <c r="Q381" s="181"/>
      <c r="R381" s="181"/>
      <c r="S381" s="182"/>
      <c r="T381" s="182"/>
      <c r="U381" s="182"/>
      <c r="V381" s="182"/>
      <c r="W381" s="183"/>
      <c r="X381" s="183"/>
      <c r="Y381" s="183"/>
      <c r="Z381" s="183"/>
    </row>
    <row r="382" ht="15.75" customHeight="1">
      <c r="A382" s="184">
        <v>1.69559133E8</v>
      </c>
      <c r="B382" s="185" t="s">
        <v>973</v>
      </c>
      <c r="C382" s="186">
        <v>1.3649971E7</v>
      </c>
      <c r="D382" s="186">
        <v>55311.0</v>
      </c>
      <c r="E382" s="186">
        <v>1814.0</v>
      </c>
      <c r="F382" s="186">
        <v>7719.0</v>
      </c>
      <c r="G382" s="186">
        <v>3609.0</v>
      </c>
      <c r="H382" s="186">
        <v>750.0</v>
      </c>
      <c r="I382" s="186">
        <v>1807.0</v>
      </c>
      <c r="J382" s="186">
        <v>1274.0</v>
      </c>
      <c r="K382" s="186">
        <v>15159.0</v>
      </c>
      <c r="L382" s="186">
        <v>39675.0</v>
      </c>
      <c r="M382" s="181"/>
      <c r="N382" s="181"/>
      <c r="O382" s="181"/>
      <c r="P382" s="181"/>
      <c r="Q382" s="181"/>
      <c r="R382" s="181"/>
      <c r="S382" s="182"/>
      <c r="T382" s="182"/>
      <c r="U382" s="182"/>
      <c r="V382" s="182"/>
      <c r="W382" s="183"/>
      <c r="X382" s="183"/>
      <c r="Y382" s="183"/>
      <c r="Z382" s="183"/>
    </row>
    <row r="383" ht="15.75" customHeight="1">
      <c r="A383" s="184">
        <v>1.72973051E8</v>
      </c>
      <c r="B383" s="185" t="s">
        <v>974</v>
      </c>
      <c r="C383" s="186">
        <v>1.3631899E7</v>
      </c>
      <c r="D383" s="186">
        <v>147852.0</v>
      </c>
      <c r="E383" s="186">
        <v>12069.0</v>
      </c>
      <c r="F383" s="186">
        <v>0.0</v>
      </c>
      <c r="G383" s="186">
        <v>0.0</v>
      </c>
      <c r="H383" s="186">
        <v>873.0</v>
      </c>
      <c r="I383" s="186">
        <v>14436.0</v>
      </c>
      <c r="J383" s="186">
        <v>0.0</v>
      </c>
      <c r="K383" s="186">
        <v>15309.0</v>
      </c>
      <c r="L383" s="186">
        <v>2.95E8</v>
      </c>
      <c r="M383" s="181"/>
      <c r="N383" s="181"/>
      <c r="O383" s="181"/>
      <c r="P383" s="181"/>
      <c r="Q383" s="181"/>
      <c r="R383" s="181"/>
      <c r="S383" s="182"/>
      <c r="T383" s="182"/>
      <c r="U383" s="182"/>
      <c r="V383" s="182"/>
      <c r="W383" s="183"/>
      <c r="X383" s="183"/>
      <c r="Y383" s="183"/>
      <c r="Z383" s="183"/>
    </row>
    <row r="384" ht="15.75" customHeight="1">
      <c r="A384" s="184">
        <v>8.5017119E7</v>
      </c>
      <c r="B384" s="185" t="s">
        <v>975</v>
      </c>
      <c r="C384" s="186">
        <v>1.3624299E7</v>
      </c>
      <c r="D384" s="186">
        <v>3825069.0</v>
      </c>
      <c r="E384" s="186">
        <v>1277315.0</v>
      </c>
      <c r="F384" s="186">
        <v>28557.0</v>
      </c>
      <c r="G384" s="186">
        <v>90085.0</v>
      </c>
      <c r="H384" s="186">
        <v>42642.0</v>
      </c>
      <c r="I384" s="186">
        <v>231856.0</v>
      </c>
      <c r="J384" s="186">
        <v>57503.0</v>
      </c>
      <c r="K384" s="186">
        <v>450643.0</v>
      </c>
      <c r="L384" s="186">
        <v>0.0</v>
      </c>
      <c r="M384" s="181"/>
      <c r="N384" s="181"/>
      <c r="O384" s="181"/>
      <c r="P384" s="181"/>
      <c r="Q384" s="181"/>
      <c r="R384" s="181"/>
      <c r="S384" s="182"/>
      <c r="T384" s="182"/>
      <c r="U384" s="182"/>
      <c r="V384" s="182"/>
      <c r="W384" s="183"/>
      <c r="X384" s="183"/>
      <c r="Y384" s="183"/>
      <c r="Z384" s="183"/>
    </row>
    <row r="385" ht="15.75" customHeight="1">
      <c r="A385" s="184">
        <v>1.69488806E8</v>
      </c>
      <c r="B385" s="185" t="s">
        <v>976</v>
      </c>
      <c r="C385" s="186">
        <v>1.3595035E7</v>
      </c>
      <c r="D385" s="186">
        <v>1263538.0</v>
      </c>
      <c r="E385" s="186">
        <v>744215.0</v>
      </c>
      <c r="F385" s="186">
        <v>17132.0</v>
      </c>
      <c r="G385" s="186">
        <v>68967.0</v>
      </c>
      <c r="H385" s="186">
        <v>30367.0</v>
      </c>
      <c r="I385" s="186">
        <v>62513.0</v>
      </c>
      <c r="J385" s="186">
        <v>18779.0</v>
      </c>
      <c r="K385" s="186">
        <v>197758.0</v>
      </c>
      <c r="L385" s="186">
        <v>0.0</v>
      </c>
      <c r="M385" s="181"/>
      <c r="N385" s="181"/>
      <c r="O385" s="181"/>
      <c r="P385" s="181"/>
      <c r="Q385" s="181"/>
      <c r="R385" s="181"/>
      <c r="S385" s="182"/>
      <c r="T385" s="182"/>
      <c r="U385" s="182"/>
      <c r="V385" s="182"/>
      <c r="W385" s="183"/>
      <c r="X385" s="183"/>
      <c r="Y385" s="183"/>
      <c r="Z385" s="183"/>
    </row>
    <row r="386" ht="15.75" customHeight="1">
      <c r="A386" s="184">
        <v>8.9313952E7</v>
      </c>
      <c r="B386" s="185" t="s">
        <v>977</v>
      </c>
      <c r="C386" s="186">
        <v>1.3592777E7</v>
      </c>
      <c r="D386" s="186">
        <v>1651322.0</v>
      </c>
      <c r="E386" s="186">
        <v>74056.0</v>
      </c>
      <c r="F386" s="186">
        <v>0.0</v>
      </c>
      <c r="G386" s="186">
        <v>1810.0</v>
      </c>
      <c r="H386" s="186">
        <v>3728.0</v>
      </c>
      <c r="I386" s="186">
        <v>27983.0</v>
      </c>
      <c r="J386" s="186">
        <v>67648.0</v>
      </c>
      <c r="K386" s="186">
        <v>101169.0</v>
      </c>
      <c r="L386" s="186">
        <v>1.455442768E9</v>
      </c>
      <c r="M386" s="181"/>
      <c r="N386" s="181"/>
      <c r="O386" s="181"/>
      <c r="P386" s="181"/>
      <c r="Q386" s="181"/>
      <c r="R386" s="181"/>
      <c r="S386" s="182"/>
      <c r="T386" s="182"/>
      <c r="U386" s="182"/>
      <c r="V386" s="182"/>
      <c r="W386" s="183"/>
      <c r="X386" s="183"/>
      <c r="Y386" s="183"/>
      <c r="Z386" s="183"/>
    </row>
    <row r="387" ht="15.75" customHeight="1">
      <c r="A387" s="184">
        <v>1.69020271E8</v>
      </c>
      <c r="B387" s="185" t="s">
        <v>978</v>
      </c>
      <c r="C387" s="186">
        <v>1.3579053E7</v>
      </c>
      <c r="D387" s="186">
        <v>1432906.0</v>
      </c>
      <c r="E387" s="186">
        <v>1675899.0</v>
      </c>
      <c r="F387" s="186">
        <v>11023.0</v>
      </c>
      <c r="G387" s="186">
        <v>4391.0</v>
      </c>
      <c r="H387" s="186">
        <v>0.0</v>
      </c>
      <c r="I387" s="186">
        <v>20536.0</v>
      </c>
      <c r="J387" s="186">
        <v>60828.0</v>
      </c>
      <c r="K387" s="186">
        <v>96778.0</v>
      </c>
      <c r="L387" s="186">
        <v>0.0</v>
      </c>
      <c r="M387" s="181"/>
      <c r="N387" s="181"/>
      <c r="O387" s="181"/>
      <c r="P387" s="181"/>
      <c r="Q387" s="181"/>
      <c r="R387" s="181"/>
      <c r="S387" s="182"/>
      <c r="T387" s="182"/>
      <c r="U387" s="182"/>
      <c r="V387" s="182"/>
      <c r="W387" s="183"/>
      <c r="X387" s="183"/>
      <c r="Y387" s="183"/>
      <c r="Z387" s="183"/>
    </row>
    <row r="388" ht="15.75" customHeight="1">
      <c r="A388" s="184">
        <v>1.69538382E8</v>
      </c>
      <c r="B388" s="185" t="s">
        <v>979</v>
      </c>
      <c r="C388" s="186">
        <v>1.3565024E7</v>
      </c>
      <c r="D388" s="186">
        <v>1598995.0</v>
      </c>
      <c r="E388" s="186">
        <v>721350.0</v>
      </c>
      <c r="F388" s="186">
        <v>45745.0</v>
      </c>
      <c r="G388" s="186">
        <v>90645.0</v>
      </c>
      <c r="H388" s="186">
        <v>80209.0</v>
      </c>
      <c r="I388" s="186">
        <v>104406.0</v>
      </c>
      <c r="J388" s="186">
        <v>2183.0</v>
      </c>
      <c r="K388" s="186">
        <v>323188.0</v>
      </c>
      <c r="L388" s="186">
        <v>0.0</v>
      </c>
      <c r="M388" s="181"/>
      <c r="N388" s="181"/>
      <c r="O388" s="181"/>
      <c r="P388" s="181"/>
      <c r="Q388" s="181"/>
      <c r="R388" s="181"/>
      <c r="S388" s="182"/>
      <c r="T388" s="182"/>
      <c r="U388" s="182"/>
      <c r="V388" s="182"/>
      <c r="W388" s="183"/>
      <c r="X388" s="183"/>
      <c r="Y388" s="183"/>
      <c r="Z388" s="183"/>
    </row>
    <row r="389" ht="15.75" customHeight="1">
      <c r="A389" s="184">
        <v>1.69588952E8</v>
      </c>
      <c r="B389" s="185" t="s">
        <v>980</v>
      </c>
      <c r="C389" s="186">
        <v>1.3474398E7</v>
      </c>
      <c r="D389" s="186">
        <v>5099123.0</v>
      </c>
      <c r="E389" s="186">
        <v>1097295.0</v>
      </c>
      <c r="F389" s="186">
        <v>396546.0</v>
      </c>
      <c r="G389" s="186">
        <v>525502.0</v>
      </c>
      <c r="H389" s="186">
        <v>503680.0</v>
      </c>
      <c r="I389" s="186">
        <v>133613.0</v>
      </c>
      <c r="J389" s="186">
        <v>30898.0</v>
      </c>
      <c r="K389" s="186">
        <v>1590239.0</v>
      </c>
      <c r="L389" s="186">
        <v>7.8251959E7</v>
      </c>
      <c r="M389" s="181"/>
      <c r="N389" s="181"/>
      <c r="O389" s="181"/>
      <c r="P389" s="181"/>
      <c r="Q389" s="181"/>
      <c r="R389" s="181"/>
      <c r="S389" s="182"/>
      <c r="T389" s="182"/>
      <c r="U389" s="182"/>
      <c r="V389" s="182"/>
      <c r="W389" s="183"/>
      <c r="X389" s="183"/>
      <c r="Y389" s="183"/>
      <c r="Z389" s="183"/>
    </row>
    <row r="390" ht="15.75" customHeight="1">
      <c r="A390" s="184">
        <v>1.6956705E8</v>
      </c>
      <c r="B390" s="185" t="s">
        <v>981</v>
      </c>
      <c r="C390" s="186">
        <v>1.3437041E7</v>
      </c>
      <c r="D390" s="186">
        <v>482771.0</v>
      </c>
      <c r="E390" s="186">
        <v>239362.0</v>
      </c>
      <c r="F390" s="186">
        <v>100759.0</v>
      </c>
      <c r="G390" s="186">
        <v>15785.0</v>
      </c>
      <c r="H390" s="186">
        <v>50455.0</v>
      </c>
      <c r="I390" s="186">
        <v>22923.0</v>
      </c>
      <c r="J390" s="186">
        <v>0.0</v>
      </c>
      <c r="K390" s="186">
        <v>189922.0</v>
      </c>
      <c r="L390" s="186">
        <v>0.0</v>
      </c>
      <c r="M390" s="181"/>
      <c r="N390" s="181"/>
      <c r="O390" s="181"/>
      <c r="P390" s="181"/>
      <c r="Q390" s="181"/>
      <c r="R390" s="181"/>
      <c r="S390" s="182"/>
      <c r="T390" s="182"/>
      <c r="U390" s="182"/>
      <c r="V390" s="182"/>
      <c r="W390" s="183"/>
      <c r="X390" s="183"/>
      <c r="Y390" s="183"/>
      <c r="Z390" s="183"/>
    </row>
    <row r="391" ht="15.75" customHeight="1">
      <c r="A391" s="184">
        <v>1.69519858E8</v>
      </c>
      <c r="B391" s="185" t="s">
        <v>982</v>
      </c>
      <c r="C391" s="186">
        <v>1.3395284E7</v>
      </c>
      <c r="D391" s="186">
        <v>2289717.0</v>
      </c>
      <c r="E391" s="186">
        <v>1179801.0</v>
      </c>
      <c r="F391" s="186">
        <v>117095.0</v>
      </c>
      <c r="G391" s="186">
        <v>201089.0</v>
      </c>
      <c r="H391" s="186">
        <v>60875.0</v>
      </c>
      <c r="I391" s="186">
        <v>64508.0</v>
      </c>
      <c r="J391" s="186">
        <v>48777.0</v>
      </c>
      <c r="K391" s="186">
        <v>492344.0</v>
      </c>
      <c r="L391" s="186">
        <v>984296.0</v>
      </c>
      <c r="M391" s="181"/>
      <c r="N391" s="181"/>
      <c r="O391" s="181"/>
      <c r="P391" s="181"/>
      <c r="Q391" s="181"/>
      <c r="R391" s="181"/>
      <c r="S391" s="182"/>
      <c r="T391" s="182"/>
      <c r="U391" s="182"/>
      <c r="V391" s="182"/>
      <c r="W391" s="183"/>
      <c r="X391" s="183"/>
      <c r="Y391" s="183"/>
      <c r="Z391" s="183"/>
    </row>
    <row r="392" ht="15.75" customHeight="1">
      <c r="A392" s="184">
        <v>1.66566986E8</v>
      </c>
      <c r="B392" s="185" t="s">
        <v>983</v>
      </c>
      <c r="C392" s="186">
        <v>1.3394806E7</v>
      </c>
      <c r="D392" s="186">
        <v>3064285.0</v>
      </c>
      <c r="E392" s="186">
        <v>285010.0</v>
      </c>
      <c r="F392" s="186">
        <v>7578.0</v>
      </c>
      <c r="G392" s="186">
        <v>8124.0</v>
      </c>
      <c r="H392" s="186">
        <v>28798.0</v>
      </c>
      <c r="I392" s="186">
        <v>291199.0</v>
      </c>
      <c r="J392" s="186">
        <v>967.0</v>
      </c>
      <c r="K392" s="186">
        <v>336666.0</v>
      </c>
      <c r="L392" s="186">
        <v>2.580904266E9</v>
      </c>
      <c r="M392" s="181"/>
      <c r="N392" s="181"/>
      <c r="O392" s="181"/>
      <c r="P392" s="181"/>
      <c r="Q392" s="181"/>
      <c r="R392" s="181"/>
      <c r="S392" s="182"/>
      <c r="T392" s="182"/>
      <c r="U392" s="182"/>
      <c r="V392" s="182"/>
      <c r="W392" s="183"/>
      <c r="X392" s="183"/>
      <c r="Y392" s="183"/>
      <c r="Z392" s="183"/>
    </row>
    <row r="393" ht="15.75" customHeight="1">
      <c r="A393" s="184">
        <v>1.70150931E8</v>
      </c>
      <c r="B393" s="185" t="s">
        <v>984</v>
      </c>
      <c r="C393" s="186">
        <v>1.3386701E7</v>
      </c>
      <c r="D393" s="186">
        <v>6935035.0</v>
      </c>
      <c r="E393" s="186">
        <v>643731.0</v>
      </c>
      <c r="F393" s="186">
        <v>192986.0</v>
      </c>
      <c r="G393" s="186">
        <v>652051.0</v>
      </c>
      <c r="H393" s="186">
        <v>340669.0</v>
      </c>
      <c r="I393" s="186">
        <v>300230.0</v>
      </c>
      <c r="J393" s="186">
        <v>61368.0</v>
      </c>
      <c r="K393" s="186">
        <v>1547304.0</v>
      </c>
      <c r="L393" s="186">
        <v>7.374531E7</v>
      </c>
      <c r="M393" s="181"/>
      <c r="N393" s="181"/>
      <c r="O393" s="181"/>
      <c r="P393" s="181"/>
      <c r="Q393" s="181"/>
      <c r="R393" s="181"/>
      <c r="S393" s="182"/>
      <c r="T393" s="182"/>
      <c r="U393" s="182"/>
      <c r="V393" s="182"/>
      <c r="W393" s="183"/>
      <c r="X393" s="183"/>
      <c r="Y393" s="183"/>
      <c r="Z393" s="183"/>
    </row>
    <row r="394" ht="15.75" customHeight="1">
      <c r="A394" s="184">
        <v>1.6936428E8</v>
      </c>
      <c r="B394" s="185" t="s">
        <v>985</v>
      </c>
      <c r="C394" s="186">
        <v>1.336883E7</v>
      </c>
      <c r="D394" s="186">
        <v>1105414.0</v>
      </c>
      <c r="E394" s="186">
        <v>972052.0</v>
      </c>
      <c r="F394" s="186">
        <v>12341.0</v>
      </c>
      <c r="G394" s="186">
        <v>44199.0</v>
      </c>
      <c r="H394" s="186">
        <v>18937.0</v>
      </c>
      <c r="I394" s="186">
        <v>44538.0</v>
      </c>
      <c r="J394" s="186">
        <v>24671.0</v>
      </c>
      <c r="K394" s="186">
        <v>144686.0</v>
      </c>
      <c r="L394" s="186">
        <v>4600000.0</v>
      </c>
      <c r="M394" s="181"/>
      <c r="N394" s="181"/>
      <c r="O394" s="181"/>
      <c r="P394" s="181"/>
      <c r="Q394" s="181"/>
      <c r="R394" s="181"/>
      <c r="S394" s="182"/>
      <c r="T394" s="182"/>
      <c r="U394" s="182"/>
      <c r="V394" s="182"/>
      <c r="W394" s="183"/>
      <c r="X394" s="183"/>
      <c r="Y394" s="183"/>
      <c r="Z394" s="183"/>
    </row>
    <row r="395" ht="15.75" customHeight="1">
      <c r="A395" s="184">
        <v>1.69549441E8</v>
      </c>
      <c r="B395" s="185" t="s">
        <v>986</v>
      </c>
      <c r="C395" s="186">
        <v>1.3344365E7</v>
      </c>
      <c r="D395" s="186">
        <v>7962236.0</v>
      </c>
      <c r="E395" s="186">
        <v>690424.0</v>
      </c>
      <c r="F395" s="186">
        <v>245030.0</v>
      </c>
      <c r="G395" s="186">
        <v>1486918.0</v>
      </c>
      <c r="H395" s="186">
        <v>698431.0</v>
      </c>
      <c r="I395" s="186">
        <v>178591.0</v>
      </c>
      <c r="J395" s="186">
        <v>17988.0</v>
      </c>
      <c r="K395" s="186">
        <v>2626958.0</v>
      </c>
      <c r="L395" s="186">
        <v>3.8493831E7</v>
      </c>
      <c r="M395" s="181"/>
      <c r="N395" s="181"/>
      <c r="O395" s="181"/>
      <c r="P395" s="181"/>
      <c r="Q395" s="181"/>
      <c r="R395" s="181"/>
      <c r="S395" s="182"/>
      <c r="T395" s="182"/>
      <c r="U395" s="182"/>
      <c r="V395" s="182"/>
      <c r="W395" s="183"/>
      <c r="X395" s="183"/>
      <c r="Y395" s="183"/>
      <c r="Z395" s="183"/>
    </row>
    <row r="396" ht="15.75" customHeight="1">
      <c r="A396" s="184">
        <v>8.3089592E7</v>
      </c>
      <c r="B396" s="185" t="s">
        <v>987</v>
      </c>
      <c r="C396" s="186">
        <v>1.3270494E7</v>
      </c>
      <c r="D396" s="186">
        <v>1558188.0</v>
      </c>
      <c r="E396" s="186">
        <v>308737.0</v>
      </c>
      <c r="F396" s="186">
        <v>277230.0</v>
      </c>
      <c r="G396" s="186">
        <v>452195.0</v>
      </c>
      <c r="H396" s="186">
        <v>83063.0</v>
      </c>
      <c r="I396" s="186">
        <v>26610.0</v>
      </c>
      <c r="J396" s="186">
        <v>0.0</v>
      </c>
      <c r="K396" s="186">
        <v>839098.0</v>
      </c>
      <c r="L396" s="186">
        <v>2.9811988E7</v>
      </c>
      <c r="M396" s="181"/>
      <c r="N396" s="181"/>
      <c r="O396" s="181"/>
      <c r="P396" s="181"/>
      <c r="Q396" s="181"/>
      <c r="R396" s="181"/>
      <c r="S396" s="182"/>
      <c r="T396" s="182"/>
      <c r="U396" s="182"/>
      <c r="V396" s="182"/>
      <c r="W396" s="183"/>
      <c r="X396" s="183"/>
      <c r="Y396" s="183"/>
      <c r="Z396" s="183"/>
    </row>
    <row r="397" ht="15.75" customHeight="1">
      <c r="A397" s="184">
        <v>1.70676852E8</v>
      </c>
      <c r="B397" s="185" t="s">
        <v>988</v>
      </c>
      <c r="C397" s="186">
        <v>1.3251111E7</v>
      </c>
      <c r="D397" s="186">
        <v>142691.0</v>
      </c>
      <c r="E397" s="186">
        <v>17010.0</v>
      </c>
      <c r="F397" s="186">
        <v>27128.0</v>
      </c>
      <c r="G397" s="186">
        <v>47606.0</v>
      </c>
      <c r="H397" s="186">
        <v>2391.0</v>
      </c>
      <c r="I397" s="186">
        <v>3249.0</v>
      </c>
      <c r="J397" s="186">
        <v>0.0</v>
      </c>
      <c r="K397" s="186">
        <v>80374.0</v>
      </c>
      <c r="L397" s="186">
        <v>391002.0</v>
      </c>
      <c r="M397" s="181"/>
      <c r="N397" s="181"/>
      <c r="O397" s="181"/>
      <c r="P397" s="181"/>
      <c r="Q397" s="181"/>
      <c r="R397" s="181"/>
      <c r="S397" s="182"/>
      <c r="T397" s="182"/>
      <c r="U397" s="182"/>
      <c r="V397" s="182"/>
      <c r="W397" s="183"/>
      <c r="X397" s="183"/>
      <c r="Y397" s="183"/>
      <c r="Z397" s="183"/>
    </row>
    <row r="398" ht="15.75" customHeight="1">
      <c r="A398" s="184">
        <v>1.71508795E8</v>
      </c>
      <c r="B398" s="185" t="s">
        <v>989</v>
      </c>
      <c r="C398" s="186">
        <v>1.3238582E7</v>
      </c>
      <c r="D398" s="186">
        <v>4907182.0</v>
      </c>
      <c r="E398" s="186">
        <v>470099.0</v>
      </c>
      <c r="F398" s="186">
        <v>252911.0</v>
      </c>
      <c r="G398" s="186">
        <v>24749.0</v>
      </c>
      <c r="H398" s="186">
        <v>28478.0</v>
      </c>
      <c r="I398" s="186">
        <v>443731.0</v>
      </c>
      <c r="J398" s="186">
        <v>12794.0</v>
      </c>
      <c r="K398" s="186">
        <v>762663.0</v>
      </c>
      <c r="L398" s="186">
        <v>1.631069151E9</v>
      </c>
      <c r="M398" s="181"/>
      <c r="N398" s="181"/>
      <c r="O398" s="181"/>
      <c r="P398" s="181"/>
      <c r="Q398" s="181"/>
      <c r="R398" s="181"/>
      <c r="S398" s="182"/>
      <c r="T398" s="182"/>
      <c r="U398" s="182"/>
      <c r="V398" s="182"/>
      <c r="W398" s="183"/>
      <c r="X398" s="183"/>
      <c r="Y398" s="183"/>
      <c r="Z398" s="183"/>
    </row>
    <row r="399" ht="15.75" customHeight="1">
      <c r="A399" s="184">
        <v>1.71198093E8</v>
      </c>
      <c r="B399" s="185" t="s">
        <v>990</v>
      </c>
      <c r="C399" s="186">
        <v>1.3226986E7</v>
      </c>
      <c r="D399" s="186">
        <v>120182.0</v>
      </c>
      <c r="E399" s="186">
        <v>0.0</v>
      </c>
      <c r="F399" s="186">
        <v>362.0</v>
      </c>
      <c r="G399" s="186">
        <v>126.0</v>
      </c>
      <c r="H399" s="186">
        <v>13062.0</v>
      </c>
      <c r="I399" s="186">
        <v>6761.0</v>
      </c>
      <c r="J399" s="186">
        <v>0.0</v>
      </c>
      <c r="K399" s="186">
        <v>20311.0</v>
      </c>
      <c r="L399" s="186">
        <v>1.588719E7</v>
      </c>
      <c r="M399" s="181"/>
      <c r="N399" s="181"/>
      <c r="O399" s="181"/>
      <c r="P399" s="181"/>
      <c r="Q399" s="181"/>
      <c r="R399" s="181"/>
      <c r="S399" s="182"/>
      <c r="T399" s="182"/>
      <c r="U399" s="182"/>
      <c r="V399" s="182"/>
      <c r="W399" s="183"/>
      <c r="X399" s="183"/>
      <c r="Y399" s="183"/>
      <c r="Z399" s="183"/>
    </row>
    <row r="400" ht="15.75" customHeight="1">
      <c r="A400" s="184">
        <v>1.6954153E8</v>
      </c>
      <c r="B400" s="185" t="s">
        <v>991</v>
      </c>
      <c r="C400" s="186">
        <v>1.3128037E7</v>
      </c>
      <c r="D400" s="186">
        <v>2921260.0</v>
      </c>
      <c r="E400" s="186">
        <v>1001934.0</v>
      </c>
      <c r="F400" s="186">
        <v>46444.0</v>
      </c>
      <c r="G400" s="186">
        <v>111337.0</v>
      </c>
      <c r="H400" s="186">
        <v>612672.0</v>
      </c>
      <c r="I400" s="186">
        <v>23861.0</v>
      </c>
      <c r="J400" s="186">
        <v>0.0</v>
      </c>
      <c r="K400" s="186">
        <v>794314.0</v>
      </c>
      <c r="L400" s="186">
        <v>0.0</v>
      </c>
      <c r="M400" s="181"/>
      <c r="N400" s="181"/>
      <c r="O400" s="181"/>
      <c r="P400" s="181"/>
      <c r="Q400" s="181"/>
      <c r="R400" s="181"/>
      <c r="S400" s="182"/>
      <c r="T400" s="182"/>
      <c r="U400" s="182"/>
      <c r="V400" s="182"/>
      <c r="W400" s="183"/>
      <c r="X400" s="183"/>
      <c r="Y400" s="183"/>
      <c r="Z400" s="183"/>
    </row>
    <row r="401" ht="15.75" customHeight="1">
      <c r="A401" s="184">
        <v>1.69520124E8</v>
      </c>
      <c r="B401" s="185" t="s">
        <v>992</v>
      </c>
      <c r="C401" s="186">
        <v>1.3000861E7</v>
      </c>
      <c r="D401" s="186">
        <v>519949.0</v>
      </c>
      <c r="E401" s="186">
        <v>4876.0</v>
      </c>
      <c r="F401" s="186">
        <v>28727.0</v>
      </c>
      <c r="G401" s="186">
        <v>15175.0</v>
      </c>
      <c r="H401" s="186">
        <v>21886.0</v>
      </c>
      <c r="I401" s="186">
        <v>39631.0</v>
      </c>
      <c r="J401" s="186">
        <v>0.0</v>
      </c>
      <c r="K401" s="186">
        <v>105419.0</v>
      </c>
      <c r="L401" s="186">
        <v>0.0</v>
      </c>
      <c r="M401" s="180" t="s">
        <v>5</v>
      </c>
      <c r="N401" s="180" t="s">
        <v>6</v>
      </c>
      <c r="O401" s="180" t="s">
        <v>588</v>
      </c>
      <c r="P401" s="180" t="s">
        <v>589</v>
      </c>
      <c r="Q401" s="180" t="s">
        <v>590</v>
      </c>
      <c r="R401" s="180" t="s">
        <v>158</v>
      </c>
      <c r="S401" s="180" t="s">
        <v>159</v>
      </c>
      <c r="T401" s="180" t="s">
        <v>160</v>
      </c>
      <c r="U401" s="180" t="s">
        <v>591</v>
      </c>
      <c r="V401" s="180" t="s">
        <v>592</v>
      </c>
      <c r="W401" s="183"/>
      <c r="X401" s="183"/>
      <c r="Y401" s="183"/>
      <c r="Z401" s="183"/>
    </row>
    <row r="402" ht="15.75" customHeight="1">
      <c r="A402" s="184">
        <v>1.70814397E8</v>
      </c>
      <c r="B402" s="185" t="s">
        <v>993</v>
      </c>
      <c r="C402" s="186">
        <v>1.2920465E7</v>
      </c>
      <c r="D402" s="186">
        <v>181105.0</v>
      </c>
      <c r="E402" s="186">
        <v>0.0</v>
      </c>
      <c r="F402" s="186">
        <v>109388.0</v>
      </c>
      <c r="G402" s="186">
        <v>36398.0</v>
      </c>
      <c r="H402" s="186">
        <v>8058.0</v>
      </c>
      <c r="I402" s="186">
        <v>5420.0</v>
      </c>
      <c r="J402" s="186">
        <v>0.0</v>
      </c>
      <c r="K402" s="186">
        <v>159264.0</v>
      </c>
      <c r="L402" s="186">
        <v>2.14241388E9</v>
      </c>
      <c r="M402" s="187">
        <f t="shared" ref="M402:V402" si="1">SUM(C2:C401)</f>
        <v>10586915500</v>
      </c>
      <c r="N402" s="187">
        <f t="shared" si="1"/>
        <v>57680101731</v>
      </c>
      <c r="O402" s="187">
        <f t="shared" si="1"/>
        <v>730013317</v>
      </c>
      <c r="P402" s="187">
        <f t="shared" si="1"/>
        <v>1532391087</v>
      </c>
      <c r="Q402" s="187">
        <f t="shared" si="1"/>
        <v>422592774</v>
      </c>
      <c r="R402" s="187">
        <f t="shared" si="1"/>
        <v>412702875</v>
      </c>
      <c r="S402" s="187">
        <f t="shared" si="1"/>
        <v>2872006656</v>
      </c>
      <c r="T402" s="187">
        <f t="shared" si="1"/>
        <v>1307878003</v>
      </c>
      <c r="U402" s="187">
        <f t="shared" si="1"/>
        <v>6547571395</v>
      </c>
      <c r="V402" s="187">
        <f t="shared" si="1"/>
        <v>436113942135</v>
      </c>
      <c r="W402" s="183"/>
      <c r="X402" s="183"/>
      <c r="Y402" s="183"/>
      <c r="Z402" s="183"/>
    </row>
    <row r="403" ht="15.75" customHeight="1">
      <c r="A403" s="184">
        <v>1.69530953E8</v>
      </c>
      <c r="B403" s="185" t="s">
        <v>994</v>
      </c>
      <c r="C403" s="186">
        <v>1.2876848E7</v>
      </c>
      <c r="D403" s="186">
        <v>2381027.0</v>
      </c>
      <c r="E403" s="186">
        <v>1568705.0</v>
      </c>
      <c r="F403" s="186">
        <v>170145.0</v>
      </c>
      <c r="G403" s="186">
        <v>29272.0</v>
      </c>
      <c r="H403" s="186">
        <v>29121.0</v>
      </c>
      <c r="I403" s="186">
        <v>101453.0</v>
      </c>
      <c r="J403" s="186">
        <v>57872.0</v>
      </c>
      <c r="K403" s="186">
        <v>387863.0</v>
      </c>
      <c r="L403" s="186">
        <v>2000000.0</v>
      </c>
      <c r="M403" s="181"/>
      <c r="N403" s="181"/>
      <c r="O403" s="181"/>
      <c r="P403" s="181"/>
      <c r="Q403" s="181"/>
      <c r="R403" s="181"/>
      <c r="S403" s="182"/>
      <c r="T403" s="182"/>
      <c r="U403" s="182"/>
      <c r="V403" s="182"/>
      <c r="W403" s="183"/>
      <c r="X403" s="183"/>
      <c r="Y403" s="183"/>
      <c r="Z403" s="183"/>
    </row>
    <row r="404" ht="15.75" customHeight="1">
      <c r="A404" s="184">
        <v>1.69473835E8</v>
      </c>
      <c r="B404" s="185" t="s">
        <v>995</v>
      </c>
      <c r="C404" s="186">
        <v>1.2843103E7</v>
      </c>
      <c r="D404" s="186">
        <v>1932237.0</v>
      </c>
      <c r="E404" s="186">
        <v>135108.0</v>
      </c>
      <c r="F404" s="186">
        <v>468149.0</v>
      </c>
      <c r="G404" s="186">
        <v>408591.0</v>
      </c>
      <c r="H404" s="186">
        <v>171319.0</v>
      </c>
      <c r="I404" s="186">
        <v>33615.0</v>
      </c>
      <c r="J404" s="186">
        <v>0.0</v>
      </c>
      <c r="K404" s="186">
        <v>1081674.0</v>
      </c>
      <c r="L404" s="186">
        <v>4434746.0</v>
      </c>
      <c r="M404" s="181"/>
      <c r="N404" s="181"/>
      <c r="O404" s="181"/>
      <c r="P404" s="181"/>
      <c r="Q404" s="181"/>
      <c r="R404" s="181"/>
      <c r="S404" s="182"/>
      <c r="T404" s="182"/>
      <c r="U404" s="182"/>
      <c r="V404" s="182"/>
      <c r="W404" s="183"/>
      <c r="X404" s="183"/>
      <c r="Y404" s="183"/>
      <c r="Z404" s="183"/>
    </row>
    <row r="405" ht="15.75" customHeight="1">
      <c r="A405" s="184">
        <v>1.69534816E8</v>
      </c>
      <c r="B405" s="185" t="s">
        <v>996</v>
      </c>
      <c r="C405" s="186">
        <v>1.2836956E7</v>
      </c>
      <c r="D405" s="186">
        <v>263019.0</v>
      </c>
      <c r="E405" s="186">
        <v>285896.0</v>
      </c>
      <c r="F405" s="186">
        <v>7527.0</v>
      </c>
      <c r="G405" s="186">
        <v>5121.0</v>
      </c>
      <c r="H405" s="186">
        <v>3583.0</v>
      </c>
      <c r="I405" s="186">
        <v>23694.0</v>
      </c>
      <c r="J405" s="186">
        <v>0.0</v>
      </c>
      <c r="K405" s="186">
        <v>39925.0</v>
      </c>
      <c r="L405" s="186">
        <v>0.0</v>
      </c>
      <c r="M405" s="181"/>
      <c r="N405" s="181"/>
      <c r="O405" s="181"/>
      <c r="P405" s="181"/>
      <c r="Q405" s="181"/>
      <c r="R405" s="181"/>
      <c r="S405" s="182"/>
      <c r="T405" s="182"/>
      <c r="U405" s="182"/>
      <c r="V405" s="182"/>
      <c r="W405" s="183"/>
      <c r="X405" s="183"/>
      <c r="Y405" s="183"/>
      <c r="Z405" s="183"/>
    </row>
    <row r="406" ht="15.75" customHeight="1">
      <c r="A406" s="184">
        <v>1.69585547E8</v>
      </c>
      <c r="B406" s="185" t="s">
        <v>997</v>
      </c>
      <c r="C406" s="186">
        <v>1.2802313E7</v>
      </c>
      <c r="D406" s="186">
        <v>671160.0</v>
      </c>
      <c r="E406" s="186">
        <v>46184.0</v>
      </c>
      <c r="F406" s="186">
        <v>47462.0</v>
      </c>
      <c r="G406" s="186">
        <v>204199.0</v>
      </c>
      <c r="H406" s="186">
        <v>7165.0</v>
      </c>
      <c r="I406" s="186">
        <v>22461.0</v>
      </c>
      <c r="J406" s="186">
        <v>0.0</v>
      </c>
      <c r="K406" s="186">
        <v>281287.0</v>
      </c>
      <c r="L406" s="186">
        <v>0.0</v>
      </c>
      <c r="M406" s="181"/>
      <c r="N406" s="181"/>
      <c r="O406" s="181"/>
      <c r="P406" s="181"/>
      <c r="Q406" s="181"/>
      <c r="R406" s="181"/>
      <c r="S406" s="182"/>
      <c r="T406" s="182"/>
      <c r="U406" s="182"/>
      <c r="V406" s="182"/>
      <c r="W406" s="183"/>
      <c r="X406" s="183"/>
      <c r="Y406" s="183"/>
      <c r="Z406" s="183"/>
    </row>
    <row r="407" ht="15.75" customHeight="1">
      <c r="A407" s="184">
        <v>1.69196533E8</v>
      </c>
      <c r="B407" s="185" t="s">
        <v>998</v>
      </c>
      <c r="C407" s="186">
        <v>1.2790355E7</v>
      </c>
      <c r="D407" s="186">
        <v>515547.0</v>
      </c>
      <c r="E407" s="186">
        <v>36186.0</v>
      </c>
      <c r="F407" s="186">
        <v>135535.0</v>
      </c>
      <c r="G407" s="186">
        <v>72548.0</v>
      </c>
      <c r="H407" s="186">
        <v>4376.0</v>
      </c>
      <c r="I407" s="186">
        <v>29296.0</v>
      </c>
      <c r="J407" s="186">
        <v>1644.0</v>
      </c>
      <c r="K407" s="186">
        <v>243399.0</v>
      </c>
      <c r="L407" s="186">
        <v>4.111740694E9</v>
      </c>
      <c r="M407" s="181"/>
      <c r="N407" s="181"/>
      <c r="O407" s="181"/>
      <c r="P407" s="181"/>
      <c r="Q407" s="181"/>
      <c r="R407" s="181"/>
      <c r="S407" s="182"/>
      <c r="T407" s="182"/>
      <c r="U407" s="182"/>
      <c r="V407" s="182"/>
      <c r="W407" s="183"/>
      <c r="X407" s="183"/>
      <c r="Y407" s="183"/>
      <c r="Z407" s="183"/>
    </row>
    <row r="408" ht="15.75" customHeight="1">
      <c r="A408" s="184">
        <v>1.01331063E8</v>
      </c>
      <c r="B408" s="185" t="s">
        <v>999</v>
      </c>
      <c r="C408" s="186">
        <v>1.277744E7</v>
      </c>
      <c r="D408" s="186">
        <v>1325277.0</v>
      </c>
      <c r="E408" s="186">
        <v>1611188.0</v>
      </c>
      <c r="F408" s="186">
        <v>12678.0</v>
      </c>
      <c r="G408" s="186">
        <v>953.0</v>
      </c>
      <c r="H408" s="186">
        <v>5784.0</v>
      </c>
      <c r="I408" s="186">
        <v>95758.0</v>
      </c>
      <c r="J408" s="186">
        <v>17006.0</v>
      </c>
      <c r="K408" s="186">
        <v>132179.0</v>
      </c>
      <c r="L408" s="186">
        <v>1.919798629E9</v>
      </c>
      <c r="M408" s="181"/>
      <c r="N408" s="181"/>
      <c r="O408" s="181"/>
      <c r="P408" s="181"/>
      <c r="Q408" s="181"/>
      <c r="R408" s="181"/>
      <c r="S408" s="182"/>
      <c r="T408" s="182"/>
      <c r="U408" s="182"/>
      <c r="V408" s="182"/>
      <c r="W408" s="183"/>
      <c r="X408" s="183"/>
      <c r="Y408" s="183"/>
      <c r="Z408" s="183"/>
    </row>
    <row r="409" ht="15.75" customHeight="1">
      <c r="A409" s="184">
        <v>1.5923672E8</v>
      </c>
      <c r="B409" s="185" t="s">
        <v>1000</v>
      </c>
      <c r="C409" s="186">
        <v>1.2769119E7</v>
      </c>
      <c r="D409" s="186">
        <v>2.7021405E7</v>
      </c>
      <c r="E409" s="186">
        <v>1201889.0</v>
      </c>
      <c r="F409" s="186">
        <v>1146289.0</v>
      </c>
      <c r="G409" s="186">
        <v>1566867.0</v>
      </c>
      <c r="H409" s="186">
        <v>1234211.0</v>
      </c>
      <c r="I409" s="186">
        <v>1641637.0</v>
      </c>
      <c r="J409" s="186">
        <v>115260.0</v>
      </c>
      <c r="K409" s="186">
        <v>5704264.0</v>
      </c>
      <c r="L409" s="186">
        <v>3.48960433E8</v>
      </c>
      <c r="M409" s="181"/>
      <c r="N409" s="181"/>
      <c r="O409" s="181"/>
      <c r="P409" s="181"/>
      <c r="Q409" s="181"/>
      <c r="R409" s="181"/>
      <c r="S409" s="182"/>
      <c r="T409" s="182"/>
      <c r="U409" s="182"/>
      <c r="V409" s="182"/>
      <c r="W409" s="183"/>
      <c r="X409" s="183"/>
      <c r="Y409" s="183"/>
      <c r="Z409" s="183"/>
    </row>
    <row r="410" ht="15.75" customHeight="1">
      <c r="A410" s="184">
        <v>1.69529265E8</v>
      </c>
      <c r="B410" s="185" t="s">
        <v>1001</v>
      </c>
      <c r="C410" s="186">
        <v>1.2713949E7</v>
      </c>
      <c r="D410" s="186">
        <v>653511.0</v>
      </c>
      <c r="E410" s="186">
        <v>135582.0</v>
      </c>
      <c r="F410" s="186">
        <v>7067.0</v>
      </c>
      <c r="G410" s="186">
        <v>59841.0</v>
      </c>
      <c r="H410" s="186">
        <v>42934.0</v>
      </c>
      <c r="I410" s="186">
        <v>36068.0</v>
      </c>
      <c r="J410" s="186">
        <v>0.0</v>
      </c>
      <c r="K410" s="186">
        <v>145910.0</v>
      </c>
      <c r="L410" s="186">
        <v>0.0</v>
      </c>
      <c r="M410" s="181"/>
      <c r="N410" s="181"/>
      <c r="O410" s="181"/>
      <c r="P410" s="181"/>
      <c r="Q410" s="181"/>
      <c r="R410" s="181"/>
      <c r="S410" s="182"/>
      <c r="T410" s="182"/>
      <c r="U410" s="182"/>
      <c r="V410" s="182"/>
      <c r="W410" s="183"/>
      <c r="X410" s="183"/>
      <c r="Y410" s="183"/>
      <c r="Z410" s="183"/>
    </row>
    <row r="411" ht="15.75" customHeight="1">
      <c r="A411" s="184">
        <v>1.42188258E8</v>
      </c>
      <c r="B411" s="185" t="s">
        <v>1002</v>
      </c>
      <c r="C411" s="186">
        <v>1.2695446E7</v>
      </c>
      <c r="D411" s="186">
        <v>2769498.0</v>
      </c>
      <c r="E411" s="186">
        <v>888243.0</v>
      </c>
      <c r="F411" s="186">
        <v>267594.0</v>
      </c>
      <c r="G411" s="186">
        <v>669066.0</v>
      </c>
      <c r="H411" s="186">
        <v>130437.0</v>
      </c>
      <c r="I411" s="186">
        <v>81268.0</v>
      </c>
      <c r="J411" s="186">
        <v>2171.0</v>
      </c>
      <c r="K411" s="186">
        <v>1150536.0</v>
      </c>
      <c r="L411" s="186">
        <v>1238758.0</v>
      </c>
      <c r="M411" s="181"/>
      <c r="N411" s="181"/>
      <c r="O411" s="181"/>
      <c r="P411" s="181"/>
      <c r="Q411" s="181"/>
      <c r="R411" s="181"/>
      <c r="S411" s="182"/>
      <c r="T411" s="182"/>
      <c r="U411" s="182"/>
      <c r="V411" s="182"/>
      <c r="W411" s="183"/>
      <c r="X411" s="183"/>
      <c r="Y411" s="183"/>
      <c r="Z411" s="183"/>
    </row>
    <row r="412" ht="15.75" customHeight="1">
      <c r="A412" s="184">
        <v>1.69301432E8</v>
      </c>
      <c r="B412" s="185" t="s">
        <v>1003</v>
      </c>
      <c r="C412" s="186">
        <v>1.2680525E7</v>
      </c>
      <c r="D412" s="186">
        <v>704997.0</v>
      </c>
      <c r="E412" s="186">
        <v>127010.0</v>
      </c>
      <c r="F412" s="186">
        <v>146186.0</v>
      </c>
      <c r="G412" s="186">
        <v>56310.0</v>
      </c>
      <c r="H412" s="186">
        <v>51120.0</v>
      </c>
      <c r="I412" s="186">
        <v>35866.0</v>
      </c>
      <c r="J412" s="186">
        <v>0.0</v>
      </c>
      <c r="K412" s="186">
        <v>289482.0</v>
      </c>
      <c r="L412" s="186">
        <v>2.811977458E9</v>
      </c>
      <c r="M412" s="181"/>
      <c r="N412" s="181"/>
      <c r="O412" s="181"/>
      <c r="P412" s="181"/>
      <c r="Q412" s="181"/>
      <c r="R412" s="181"/>
      <c r="S412" s="182"/>
      <c r="T412" s="182"/>
      <c r="U412" s="182"/>
      <c r="V412" s="182"/>
      <c r="W412" s="183"/>
      <c r="X412" s="183"/>
      <c r="Y412" s="183"/>
      <c r="Z412" s="183"/>
    </row>
    <row r="413" ht="15.75" customHeight="1">
      <c r="A413" s="184">
        <v>1.23775869E8</v>
      </c>
      <c r="B413" s="185" t="s">
        <v>1004</v>
      </c>
      <c r="C413" s="186">
        <v>1.2623794E7</v>
      </c>
      <c r="D413" s="186">
        <v>0.0</v>
      </c>
      <c r="E413" s="186">
        <v>0.0</v>
      </c>
      <c r="F413" s="186">
        <v>0.0</v>
      </c>
      <c r="G413" s="186">
        <v>0.0</v>
      </c>
      <c r="H413" s="186">
        <v>0.0</v>
      </c>
      <c r="I413" s="186">
        <v>0.0</v>
      </c>
      <c r="J413" s="186">
        <v>0.0</v>
      </c>
      <c r="K413" s="186">
        <v>0.0</v>
      </c>
      <c r="L413" s="186">
        <v>2.666405229E9</v>
      </c>
      <c r="M413" s="181"/>
      <c r="N413" s="181"/>
      <c r="O413" s="181"/>
      <c r="P413" s="181"/>
      <c r="Q413" s="181"/>
      <c r="R413" s="181"/>
      <c r="S413" s="182"/>
      <c r="T413" s="182"/>
      <c r="U413" s="182"/>
      <c r="V413" s="182"/>
      <c r="W413" s="183"/>
      <c r="X413" s="183"/>
      <c r="Y413" s="183"/>
      <c r="Z413" s="183"/>
    </row>
    <row r="414" ht="15.75" customHeight="1">
      <c r="A414" s="184">
        <v>1.69399804E8</v>
      </c>
      <c r="B414" s="185" t="s">
        <v>1005</v>
      </c>
      <c r="C414" s="186">
        <v>1.2437743E7</v>
      </c>
      <c r="D414" s="186">
        <v>1.0576883E7</v>
      </c>
      <c r="E414" s="186">
        <v>472934.0</v>
      </c>
      <c r="F414" s="186">
        <v>249359.0</v>
      </c>
      <c r="G414" s="186">
        <v>872680.0</v>
      </c>
      <c r="H414" s="186">
        <v>486508.0</v>
      </c>
      <c r="I414" s="186">
        <v>668350.0</v>
      </c>
      <c r="J414" s="186">
        <v>7606.0</v>
      </c>
      <c r="K414" s="186">
        <v>2284503.0</v>
      </c>
      <c r="L414" s="186">
        <v>1.8216058E8</v>
      </c>
      <c r="M414" s="181"/>
      <c r="N414" s="181"/>
      <c r="O414" s="181"/>
      <c r="P414" s="181"/>
      <c r="Q414" s="181"/>
      <c r="R414" s="181"/>
      <c r="S414" s="182"/>
      <c r="T414" s="182"/>
      <c r="U414" s="182"/>
      <c r="V414" s="182"/>
      <c r="W414" s="183"/>
      <c r="X414" s="183"/>
      <c r="Y414" s="183"/>
      <c r="Z414" s="183"/>
    </row>
    <row r="415" ht="15.75" customHeight="1">
      <c r="A415" s="184">
        <v>1.69526602E8</v>
      </c>
      <c r="B415" s="185" t="s">
        <v>1006</v>
      </c>
      <c r="C415" s="186">
        <v>1.2397213E7</v>
      </c>
      <c r="D415" s="186">
        <v>2283939.0</v>
      </c>
      <c r="E415" s="186">
        <v>728486.0</v>
      </c>
      <c r="F415" s="186">
        <v>233789.0</v>
      </c>
      <c r="G415" s="186">
        <v>442141.0</v>
      </c>
      <c r="H415" s="186">
        <v>39285.0</v>
      </c>
      <c r="I415" s="186">
        <v>72260.0</v>
      </c>
      <c r="J415" s="186">
        <v>23658.0</v>
      </c>
      <c r="K415" s="186">
        <v>811133.0</v>
      </c>
      <c r="L415" s="186">
        <v>638534.0</v>
      </c>
      <c r="M415" s="181"/>
      <c r="N415" s="181"/>
      <c r="O415" s="181"/>
      <c r="P415" s="181"/>
      <c r="Q415" s="181"/>
      <c r="R415" s="181"/>
      <c r="S415" s="182"/>
      <c r="T415" s="182"/>
      <c r="U415" s="182"/>
      <c r="V415" s="182"/>
      <c r="W415" s="183"/>
      <c r="X415" s="183"/>
      <c r="Y415" s="183"/>
      <c r="Z415" s="183"/>
    </row>
    <row r="416" ht="15.75" customHeight="1">
      <c r="A416" s="184">
        <v>1.69480617E8</v>
      </c>
      <c r="B416" s="185" t="s">
        <v>1007</v>
      </c>
      <c r="C416" s="186">
        <v>1.2356058E7</v>
      </c>
      <c r="D416" s="186">
        <v>2467425.0</v>
      </c>
      <c r="E416" s="186">
        <v>1160986.0</v>
      </c>
      <c r="F416" s="186">
        <v>148205.0</v>
      </c>
      <c r="G416" s="186">
        <v>291331.0</v>
      </c>
      <c r="H416" s="186">
        <v>109583.0</v>
      </c>
      <c r="I416" s="186">
        <v>87313.0</v>
      </c>
      <c r="J416" s="186">
        <v>27183.0</v>
      </c>
      <c r="K416" s="186">
        <v>663615.0</v>
      </c>
      <c r="L416" s="186">
        <v>802964.0</v>
      </c>
      <c r="M416" s="181"/>
      <c r="N416" s="181"/>
      <c r="O416" s="181"/>
      <c r="P416" s="181"/>
      <c r="Q416" s="181"/>
      <c r="R416" s="181"/>
      <c r="S416" s="182"/>
      <c r="T416" s="182"/>
      <c r="U416" s="182"/>
      <c r="V416" s="182"/>
      <c r="W416" s="183"/>
      <c r="X416" s="183"/>
      <c r="Y416" s="183"/>
      <c r="Z416" s="183"/>
    </row>
    <row r="417" ht="15.75" customHeight="1">
      <c r="A417" s="184">
        <v>1.69471926E8</v>
      </c>
      <c r="B417" s="185" t="s">
        <v>1008</v>
      </c>
      <c r="C417" s="186">
        <v>1.2319362E7</v>
      </c>
      <c r="D417" s="186">
        <v>130824.0</v>
      </c>
      <c r="E417" s="186">
        <v>5174.0</v>
      </c>
      <c r="F417" s="186">
        <v>26214.0</v>
      </c>
      <c r="G417" s="186">
        <v>35279.0</v>
      </c>
      <c r="H417" s="186">
        <v>8586.0</v>
      </c>
      <c r="I417" s="186">
        <v>2068.0</v>
      </c>
      <c r="J417" s="186">
        <v>0.0</v>
      </c>
      <c r="K417" s="186">
        <v>72147.0</v>
      </c>
      <c r="L417" s="186">
        <v>0.0</v>
      </c>
      <c r="M417" s="181"/>
      <c r="N417" s="181"/>
      <c r="O417" s="181"/>
      <c r="P417" s="181"/>
      <c r="Q417" s="181"/>
      <c r="R417" s="181"/>
      <c r="S417" s="182"/>
      <c r="T417" s="182"/>
      <c r="U417" s="182"/>
      <c r="V417" s="182"/>
      <c r="W417" s="183"/>
      <c r="X417" s="183"/>
      <c r="Y417" s="183"/>
      <c r="Z417" s="183"/>
    </row>
    <row r="418" ht="15.75" customHeight="1">
      <c r="A418" s="184">
        <v>8.706827E7</v>
      </c>
      <c r="B418" s="185" t="s">
        <v>1009</v>
      </c>
      <c r="C418" s="186">
        <v>1.2296586E7</v>
      </c>
      <c r="D418" s="186">
        <v>459850.0</v>
      </c>
      <c r="E418" s="186">
        <v>0.0</v>
      </c>
      <c r="F418" s="186">
        <v>0.0</v>
      </c>
      <c r="G418" s="186">
        <v>0.0</v>
      </c>
      <c r="H418" s="186">
        <v>0.0</v>
      </c>
      <c r="I418" s="186">
        <v>45985.0</v>
      </c>
      <c r="J418" s="186">
        <v>0.0</v>
      </c>
      <c r="K418" s="186">
        <v>45985.0</v>
      </c>
      <c r="L418" s="186">
        <v>1.15734288E8</v>
      </c>
      <c r="M418" s="181"/>
      <c r="N418" s="181"/>
      <c r="O418" s="181"/>
      <c r="P418" s="181"/>
      <c r="Q418" s="181"/>
      <c r="R418" s="181"/>
      <c r="S418" s="182"/>
      <c r="T418" s="182"/>
      <c r="U418" s="182"/>
      <c r="V418" s="182"/>
      <c r="W418" s="183"/>
      <c r="X418" s="183"/>
      <c r="Y418" s="183"/>
      <c r="Z418" s="183"/>
    </row>
    <row r="419" ht="15.75" customHeight="1">
      <c r="A419" s="184">
        <v>1.69556711E8</v>
      </c>
      <c r="B419" s="185" t="s">
        <v>1010</v>
      </c>
      <c r="C419" s="186">
        <v>1.2239046E7</v>
      </c>
      <c r="D419" s="186">
        <v>2287967.0</v>
      </c>
      <c r="E419" s="186">
        <v>363701.0</v>
      </c>
      <c r="F419" s="186">
        <v>40376.0</v>
      </c>
      <c r="G419" s="186">
        <v>57122.0</v>
      </c>
      <c r="H419" s="186">
        <v>31782.0</v>
      </c>
      <c r="I419" s="186">
        <v>175300.0</v>
      </c>
      <c r="J419" s="186">
        <v>14276.0</v>
      </c>
      <c r="K419" s="186">
        <v>318856.0</v>
      </c>
      <c r="L419" s="186">
        <v>0.0</v>
      </c>
      <c r="M419" s="181"/>
      <c r="N419" s="181"/>
      <c r="O419" s="181"/>
      <c r="P419" s="181"/>
      <c r="Q419" s="181"/>
      <c r="R419" s="181"/>
      <c r="S419" s="182"/>
      <c r="T419" s="182"/>
      <c r="U419" s="182"/>
      <c r="V419" s="182"/>
      <c r="W419" s="183"/>
      <c r="X419" s="183"/>
      <c r="Y419" s="183"/>
      <c r="Z419" s="183"/>
    </row>
    <row r="420" ht="15.75" customHeight="1">
      <c r="A420" s="184">
        <v>1.69532467E8</v>
      </c>
      <c r="B420" s="185" t="s">
        <v>1011</v>
      </c>
      <c r="C420" s="186">
        <v>1.2218157E7</v>
      </c>
      <c r="D420" s="186">
        <v>966758.0</v>
      </c>
      <c r="E420" s="186">
        <v>520818.0</v>
      </c>
      <c r="F420" s="186">
        <v>25543.0</v>
      </c>
      <c r="G420" s="186">
        <v>89117.0</v>
      </c>
      <c r="H420" s="186">
        <v>39969.0</v>
      </c>
      <c r="I420" s="186">
        <v>62354.0</v>
      </c>
      <c r="J420" s="186">
        <v>0.0</v>
      </c>
      <c r="K420" s="186">
        <v>216983.0</v>
      </c>
      <c r="L420" s="186">
        <v>0.0</v>
      </c>
      <c r="M420" s="181"/>
      <c r="N420" s="181"/>
      <c r="O420" s="181"/>
      <c r="P420" s="181"/>
      <c r="Q420" s="181"/>
      <c r="R420" s="181"/>
      <c r="S420" s="182"/>
      <c r="T420" s="182"/>
      <c r="U420" s="182"/>
      <c r="V420" s="182"/>
      <c r="W420" s="183"/>
      <c r="X420" s="183"/>
      <c r="Y420" s="183"/>
      <c r="Z420" s="183"/>
    </row>
    <row r="421" ht="15.75" customHeight="1">
      <c r="A421" s="184">
        <v>1.69523953E8</v>
      </c>
      <c r="B421" s="185" t="s">
        <v>1012</v>
      </c>
      <c r="C421" s="186">
        <v>1.2206337E7</v>
      </c>
      <c r="D421" s="186">
        <v>2565255.0</v>
      </c>
      <c r="E421" s="186">
        <v>155117.0</v>
      </c>
      <c r="F421" s="186">
        <v>139157.0</v>
      </c>
      <c r="G421" s="186">
        <v>305444.0</v>
      </c>
      <c r="H421" s="186">
        <v>70399.0</v>
      </c>
      <c r="I421" s="186">
        <v>164494.0</v>
      </c>
      <c r="J421" s="186">
        <v>0.0</v>
      </c>
      <c r="K421" s="186">
        <v>679494.0</v>
      </c>
      <c r="L421" s="186">
        <v>5855444.0</v>
      </c>
      <c r="M421" s="181"/>
      <c r="N421" s="181"/>
      <c r="O421" s="181"/>
      <c r="P421" s="181"/>
      <c r="Q421" s="181"/>
      <c r="R421" s="181"/>
      <c r="S421" s="182"/>
      <c r="T421" s="182"/>
      <c r="U421" s="182"/>
      <c r="V421" s="182"/>
      <c r="W421" s="183"/>
      <c r="X421" s="183"/>
      <c r="Y421" s="183"/>
      <c r="Z421" s="183"/>
    </row>
    <row r="422" ht="15.75" customHeight="1">
      <c r="A422" s="184">
        <v>2.7135122E7</v>
      </c>
      <c r="B422" s="185" t="s">
        <v>1013</v>
      </c>
      <c r="C422" s="186">
        <v>1.2035373E7</v>
      </c>
      <c r="D422" s="186">
        <v>3116905.0</v>
      </c>
      <c r="E422" s="186">
        <v>1137804.0</v>
      </c>
      <c r="F422" s="186">
        <v>152095.0</v>
      </c>
      <c r="G422" s="186">
        <v>172315.0</v>
      </c>
      <c r="H422" s="186">
        <v>147924.0</v>
      </c>
      <c r="I422" s="186">
        <v>102062.0</v>
      </c>
      <c r="J422" s="186">
        <v>56477.0</v>
      </c>
      <c r="K422" s="186">
        <v>630873.0</v>
      </c>
      <c r="L422" s="186">
        <v>1358422.0</v>
      </c>
      <c r="M422" s="181"/>
      <c r="N422" s="181"/>
      <c r="O422" s="181"/>
      <c r="P422" s="181"/>
      <c r="Q422" s="181"/>
      <c r="R422" s="181"/>
      <c r="S422" s="182"/>
      <c r="T422" s="182"/>
      <c r="U422" s="182"/>
      <c r="V422" s="182"/>
      <c r="W422" s="183"/>
      <c r="X422" s="183"/>
      <c r="Y422" s="183"/>
      <c r="Z422" s="183"/>
    </row>
    <row r="423" ht="15.75" customHeight="1">
      <c r="A423" s="184">
        <v>1.69533001E8</v>
      </c>
      <c r="B423" s="185" t="s">
        <v>1014</v>
      </c>
      <c r="C423" s="186">
        <v>1.2030306E7</v>
      </c>
      <c r="D423" s="186">
        <v>631796.0</v>
      </c>
      <c r="E423" s="186">
        <v>13572.0</v>
      </c>
      <c r="F423" s="186">
        <v>5604.0</v>
      </c>
      <c r="G423" s="186">
        <v>68431.0</v>
      </c>
      <c r="H423" s="186">
        <v>107916.0</v>
      </c>
      <c r="I423" s="186">
        <v>6215.0</v>
      </c>
      <c r="J423" s="186">
        <v>0.0</v>
      </c>
      <c r="K423" s="186">
        <v>188166.0</v>
      </c>
      <c r="L423" s="186">
        <v>0.0</v>
      </c>
      <c r="M423" s="181"/>
      <c r="N423" s="181"/>
      <c r="O423" s="181"/>
      <c r="P423" s="181"/>
      <c r="Q423" s="181"/>
      <c r="R423" s="181"/>
      <c r="S423" s="182"/>
      <c r="T423" s="182"/>
      <c r="U423" s="182"/>
      <c r="V423" s="182"/>
      <c r="W423" s="183"/>
      <c r="X423" s="183"/>
      <c r="Y423" s="183"/>
      <c r="Z423" s="183"/>
    </row>
    <row r="424" ht="15.75" customHeight="1">
      <c r="A424" s="184">
        <v>1.6950462E8</v>
      </c>
      <c r="B424" s="185" t="s">
        <v>1015</v>
      </c>
      <c r="C424" s="186">
        <v>1.1978079E7</v>
      </c>
      <c r="D424" s="186">
        <v>4569979.0</v>
      </c>
      <c r="E424" s="186">
        <v>1010990.0</v>
      </c>
      <c r="F424" s="186">
        <v>58055.0</v>
      </c>
      <c r="G424" s="186">
        <v>74985.0</v>
      </c>
      <c r="H424" s="186">
        <v>425247.0</v>
      </c>
      <c r="I424" s="186">
        <v>201045.0</v>
      </c>
      <c r="J424" s="186">
        <v>34848.0</v>
      </c>
      <c r="K424" s="186">
        <v>794180.0</v>
      </c>
      <c r="L424" s="186">
        <v>1.2368442E7</v>
      </c>
      <c r="M424" s="181"/>
      <c r="N424" s="181"/>
      <c r="O424" s="181"/>
      <c r="P424" s="181"/>
      <c r="Q424" s="181"/>
      <c r="R424" s="181"/>
      <c r="S424" s="182"/>
      <c r="T424" s="182"/>
      <c r="U424" s="182"/>
      <c r="V424" s="182"/>
      <c r="W424" s="183"/>
      <c r="X424" s="183"/>
      <c r="Y424" s="183"/>
      <c r="Z424" s="183"/>
    </row>
    <row r="425" ht="15.75" customHeight="1">
      <c r="A425" s="184">
        <v>1.69578254E8</v>
      </c>
      <c r="B425" s="185" t="s">
        <v>1016</v>
      </c>
      <c r="C425" s="186">
        <v>1.1974333E7</v>
      </c>
      <c r="D425" s="186">
        <v>2407855.0</v>
      </c>
      <c r="E425" s="186">
        <v>921887.0</v>
      </c>
      <c r="F425" s="186">
        <v>90078.0</v>
      </c>
      <c r="G425" s="186">
        <v>245760.0</v>
      </c>
      <c r="H425" s="186">
        <v>76000.0</v>
      </c>
      <c r="I425" s="186">
        <v>159432.0</v>
      </c>
      <c r="J425" s="186">
        <v>0.0</v>
      </c>
      <c r="K425" s="186">
        <v>571270.0</v>
      </c>
      <c r="L425" s="186">
        <v>7954267.0</v>
      </c>
      <c r="M425" s="181"/>
      <c r="N425" s="181"/>
      <c r="O425" s="181"/>
      <c r="P425" s="181"/>
      <c r="Q425" s="181"/>
      <c r="R425" s="181"/>
      <c r="S425" s="182"/>
      <c r="T425" s="182"/>
      <c r="U425" s="182"/>
      <c r="V425" s="182"/>
      <c r="W425" s="183"/>
      <c r="X425" s="183"/>
      <c r="Y425" s="183"/>
      <c r="Z425" s="183"/>
    </row>
    <row r="426" ht="15.75" customHeight="1">
      <c r="A426" s="184">
        <v>8584481.0</v>
      </c>
      <c r="B426" s="185" t="s">
        <v>1017</v>
      </c>
      <c r="C426" s="186">
        <v>1.1930409E7</v>
      </c>
      <c r="D426" s="186">
        <v>994992.0</v>
      </c>
      <c r="E426" s="186">
        <v>1121635.0</v>
      </c>
      <c r="F426" s="186">
        <v>50913.0</v>
      </c>
      <c r="G426" s="186">
        <v>64245.0</v>
      </c>
      <c r="H426" s="186">
        <v>0.0</v>
      </c>
      <c r="I426" s="186">
        <v>14106.0</v>
      </c>
      <c r="J426" s="186">
        <v>35763.0</v>
      </c>
      <c r="K426" s="186">
        <v>165027.0</v>
      </c>
      <c r="L426" s="186">
        <v>2800000.0</v>
      </c>
      <c r="M426" s="181"/>
      <c r="N426" s="181"/>
      <c r="O426" s="181"/>
      <c r="P426" s="181"/>
      <c r="Q426" s="181"/>
      <c r="R426" s="181"/>
      <c r="S426" s="182"/>
      <c r="T426" s="182"/>
      <c r="U426" s="182"/>
      <c r="V426" s="182"/>
      <c r="W426" s="183"/>
      <c r="X426" s="183"/>
      <c r="Y426" s="183"/>
      <c r="Z426" s="183"/>
    </row>
    <row r="427" ht="15.75" customHeight="1">
      <c r="A427" s="184">
        <v>1.69177651E8</v>
      </c>
      <c r="B427" s="185" t="s">
        <v>1018</v>
      </c>
      <c r="C427" s="186">
        <v>1.1909767E7</v>
      </c>
      <c r="D427" s="186">
        <v>2054261.0</v>
      </c>
      <c r="E427" s="186">
        <v>1231329.0</v>
      </c>
      <c r="F427" s="186">
        <v>53215.0</v>
      </c>
      <c r="G427" s="186">
        <v>62955.0</v>
      </c>
      <c r="H427" s="186">
        <v>11977.0</v>
      </c>
      <c r="I427" s="186">
        <v>47234.0</v>
      </c>
      <c r="J427" s="186">
        <v>69873.0</v>
      </c>
      <c r="K427" s="186">
        <v>245254.0</v>
      </c>
      <c r="L427" s="186">
        <v>3.5791375E7</v>
      </c>
      <c r="M427" s="181"/>
      <c r="N427" s="181"/>
      <c r="O427" s="181"/>
      <c r="P427" s="181"/>
      <c r="Q427" s="181"/>
      <c r="R427" s="181"/>
      <c r="S427" s="182"/>
      <c r="T427" s="182"/>
      <c r="U427" s="182"/>
      <c r="V427" s="182"/>
      <c r="W427" s="183"/>
      <c r="X427" s="183"/>
      <c r="Y427" s="183"/>
      <c r="Z427" s="183"/>
    </row>
    <row r="428" ht="15.75" customHeight="1">
      <c r="A428" s="184">
        <v>1.69574891E8</v>
      </c>
      <c r="B428" s="185" t="s">
        <v>1019</v>
      </c>
      <c r="C428" s="186">
        <v>1.1880747E7</v>
      </c>
      <c r="D428" s="186">
        <v>3639861.0</v>
      </c>
      <c r="E428" s="186">
        <v>1228111.0</v>
      </c>
      <c r="F428" s="186">
        <v>255248.0</v>
      </c>
      <c r="G428" s="186">
        <v>725633.0</v>
      </c>
      <c r="H428" s="186">
        <v>216814.0</v>
      </c>
      <c r="I428" s="186">
        <v>62743.0</v>
      </c>
      <c r="J428" s="186">
        <v>32143.0</v>
      </c>
      <c r="K428" s="186">
        <v>1292581.0</v>
      </c>
      <c r="L428" s="186">
        <v>2546633.0</v>
      </c>
      <c r="M428" s="181"/>
      <c r="N428" s="181"/>
      <c r="O428" s="181"/>
      <c r="P428" s="181"/>
      <c r="Q428" s="181"/>
      <c r="R428" s="181"/>
      <c r="S428" s="182"/>
      <c r="T428" s="182"/>
      <c r="U428" s="182"/>
      <c r="V428" s="182"/>
      <c r="W428" s="183"/>
      <c r="X428" s="183"/>
      <c r="Y428" s="183"/>
      <c r="Z428" s="183"/>
    </row>
    <row r="429" ht="15.75" customHeight="1">
      <c r="A429" s="184">
        <v>1.69496001E8</v>
      </c>
      <c r="B429" s="185" t="s">
        <v>1020</v>
      </c>
      <c r="C429" s="186">
        <v>1.1880473E7</v>
      </c>
      <c r="D429" s="186">
        <v>1683765.0</v>
      </c>
      <c r="E429" s="186">
        <v>712970.0</v>
      </c>
      <c r="F429" s="186">
        <v>63077.0</v>
      </c>
      <c r="G429" s="186">
        <v>166111.0</v>
      </c>
      <c r="H429" s="186">
        <v>159337.0</v>
      </c>
      <c r="I429" s="186">
        <v>51016.0</v>
      </c>
      <c r="J429" s="186">
        <v>9571.0</v>
      </c>
      <c r="K429" s="186">
        <v>449112.0</v>
      </c>
      <c r="L429" s="186">
        <v>0.0</v>
      </c>
      <c r="M429" s="181"/>
      <c r="N429" s="181"/>
      <c r="O429" s="181"/>
      <c r="P429" s="181"/>
      <c r="Q429" s="181"/>
      <c r="R429" s="181"/>
      <c r="S429" s="182"/>
      <c r="T429" s="182"/>
      <c r="U429" s="182"/>
      <c r="V429" s="182"/>
      <c r="W429" s="183"/>
      <c r="X429" s="183"/>
      <c r="Y429" s="183"/>
      <c r="Z429" s="183"/>
    </row>
    <row r="430" ht="15.75" customHeight="1">
      <c r="A430" s="184">
        <v>1.69548815E8</v>
      </c>
      <c r="B430" s="185" t="s">
        <v>1021</v>
      </c>
      <c r="C430" s="186">
        <v>1.185533E7</v>
      </c>
      <c r="D430" s="186">
        <v>590462.0</v>
      </c>
      <c r="E430" s="186">
        <v>9875.0</v>
      </c>
      <c r="F430" s="186">
        <v>13601.0</v>
      </c>
      <c r="G430" s="186">
        <v>84803.0</v>
      </c>
      <c r="H430" s="186">
        <v>39534.0</v>
      </c>
      <c r="I430" s="186">
        <v>26000.0</v>
      </c>
      <c r="J430" s="186">
        <v>0.0</v>
      </c>
      <c r="K430" s="186">
        <v>163938.0</v>
      </c>
      <c r="L430" s="186">
        <v>0.0</v>
      </c>
      <c r="M430" s="181"/>
      <c r="N430" s="181"/>
      <c r="O430" s="181"/>
      <c r="P430" s="181"/>
      <c r="Q430" s="181"/>
      <c r="R430" s="181"/>
      <c r="S430" s="182"/>
      <c r="T430" s="182"/>
      <c r="U430" s="182"/>
      <c r="V430" s="182"/>
      <c r="W430" s="183"/>
      <c r="X430" s="183"/>
      <c r="Y430" s="183"/>
      <c r="Z430" s="183"/>
    </row>
    <row r="431" ht="15.75" customHeight="1">
      <c r="A431" s="184">
        <v>1.69474815E8</v>
      </c>
      <c r="B431" s="185" t="s">
        <v>1022</v>
      </c>
      <c r="C431" s="186">
        <v>1.1810984E7</v>
      </c>
      <c r="D431" s="186">
        <v>1209537.0</v>
      </c>
      <c r="E431" s="186">
        <v>1060679.0</v>
      </c>
      <c r="F431" s="186">
        <v>27735.0</v>
      </c>
      <c r="G431" s="186">
        <v>78377.0</v>
      </c>
      <c r="H431" s="186">
        <v>19579.0</v>
      </c>
      <c r="I431" s="186">
        <v>66764.0</v>
      </c>
      <c r="J431" s="186">
        <v>15064.0</v>
      </c>
      <c r="K431" s="186">
        <v>207519.0</v>
      </c>
      <c r="L431" s="186">
        <v>236626.0</v>
      </c>
      <c r="M431" s="181"/>
      <c r="N431" s="181"/>
      <c r="O431" s="181"/>
      <c r="P431" s="181"/>
      <c r="Q431" s="181"/>
      <c r="R431" s="181"/>
      <c r="S431" s="182"/>
      <c r="T431" s="182"/>
      <c r="U431" s="182"/>
      <c r="V431" s="182"/>
      <c r="W431" s="183"/>
      <c r="X431" s="183"/>
      <c r="Y431" s="183"/>
      <c r="Z431" s="183"/>
    </row>
    <row r="432" ht="15.75" customHeight="1">
      <c r="A432" s="184">
        <v>1.69509766E8</v>
      </c>
      <c r="B432" s="185" t="s">
        <v>1023</v>
      </c>
      <c r="C432" s="186">
        <v>1.1800557E7</v>
      </c>
      <c r="D432" s="186">
        <v>1580824.0</v>
      </c>
      <c r="E432" s="186">
        <v>769793.0</v>
      </c>
      <c r="F432" s="186">
        <v>4630.0</v>
      </c>
      <c r="G432" s="186">
        <v>13146.0</v>
      </c>
      <c r="H432" s="186">
        <v>24909.0</v>
      </c>
      <c r="I432" s="186">
        <v>102215.0</v>
      </c>
      <c r="J432" s="186">
        <v>21591.0</v>
      </c>
      <c r="K432" s="186">
        <v>166491.0</v>
      </c>
      <c r="L432" s="186">
        <v>0.0</v>
      </c>
      <c r="M432" s="181"/>
      <c r="N432" s="181"/>
      <c r="O432" s="181"/>
      <c r="P432" s="181"/>
      <c r="Q432" s="181"/>
      <c r="R432" s="181"/>
      <c r="S432" s="182"/>
      <c r="T432" s="182"/>
      <c r="U432" s="182"/>
      <c r="V432" s="182"/>
      <c r="W432" s="183"/>
      <c r="X432" s="183"/>
      <c r="Y432" s="183"/>
      <c r="Z432" s="183"/>
    </row>
    <row r="433" ht="15.75" customHeight="1">
      <c r="A433" s="184">
        <v>1.69528208E8</v>
      </c>
      <c r="B433" s="185" t="s">
        <v>1024</v>
      </c>
      <c r="C433" s="186">
        <v>1.1760456E7</v>
      </c>
      <c r="D433" s="186">
        <v>1390960.0</v>
      </c>
      <c r="E433" s="186">
        <v>859190.0</v>
      </c>
      <c r="F433" s="186">
        <v>13242.0</v>
      </c>
      <c r="G433" s="186">
        <v>106161.0</v>
      </c>
      <c r="H433" s="186">
        <v>96625.0</v>
      </c>
      <c r="I433" s="186">
        <v>78949.0</v>
      </c>
      <c r="J433" s="186">
        <v>0.0</v>
      </c>
      <c r="K433" s="186">
        <v>294977.0</v>
      </c>
      <c r="L433" s="186">
        <v>0.0</v>
      </c>
      <c r="M433" s="181"/>
      <c r="N433" s="181"/>
      <c r="O433" s="181"/>
      <c r="P433" s="181"/>
      <c r="Q433" s="181"/>
      <c r="R433" s="181"/>
      <c r="S433" s="182"/>
      <c r="T433" s="182"/>
      <c r="U433" s="182"/>
      <c r="V433" s="182"/>
      <c r="W433" s="183"/>
      <c r="X433" s="183"/>
      <c r="Y433" s="183"/>
      <c r="Z433" s="183"/>
    </row>
    <row r="434" ht="15.75" customHeight="1">
      <c r="A434" s="184">
        <v>1.69544367E8</v>
      </c>
      <c r="B434" s="185" t="s">
        <v>1025</v>
      </c>
      <c r="C434" s="186">
        <v>1.1740997E7</v>
      </c>
      <c r="D434" s="186">
        <v>387429.0</v>
      </c>
      <c r="E434" s="186">
        <v>114485.0</v>
      </c>
      <c r="F434" s="186">
        <v>61127.0</v>
      </c>
      <c r="G434" s="186">
        <v>50778.0</v>
      </c>
      <c r="H434" s="186">
        <v>13837.0</v>
      </c>
      <c r="I434" s="186">
        <v>21498.0</v>
      </c>
      <c r="J434" s="186">
        <v>166.0</v>
      </c>
      <c r="K434" s="186">
        <v>147406.0</v>
      </c>
      <c r="L434" s="186">
        <v>0.0</v>
      </c>
      <c r="M434" s="181"/>
      <c r="N434" s="181"/>
      <c r="O434" s="181"/>
      <c r="P434" s="181"/>
      <c r="Q434" s="181"/>
      <c r="R434" s="181"/>
      <c r="S434" s="182"/>
      <c r="T434" s="182"/>
      <c r="U434" s="182"/>
      <c r="V434" s="182"/>
      <c r="W434" s="183"/>
      <c r="X434" s="183"/>
      <c r="Y434" s="183"/>
      <c r="Z434" s="183"/>
    </row>
    <row r="435" ht="15.75" customHeight="1">
      <c r="A435" s="184">
        <v>1.69515698E8</v>
      </c>
      <c r="B435" s="185" t="s">
        <v>1026</v>
      </c>
      <c r="C435" s="186">
        <v>1.1731963E7</v>
      </c>
      <c r="D435" s="186">
        <v>1351137.0</v>
      </c>
      <c r="E435" s="186">
        <v>1022320.0</v>
      </c>
      <c r="F435" s="186">
        <v>24249.0</v>
      </c>
      <c r="G435" s="186">
        <v>54235.0</v>
      </c>
      <c r="H435" s="186">
        <v>40227.0</v>
      </c>
      <c r="I435" s="186">
        <v>23185.0</v>
      </c>
      <c r="J435" s="186">
        <v>42253.0</v>
      </c>
      <c r="K435" s="186">
        <v>184149.0</v>
      </c>
      <c r="L435" s="186">
        <v>0.0</v>
      </c>
      <c r="M435" s="181"/>
      <c r="N435" s="181"/>
      <c r="O435" s="181"/>
      <c r="P435" s="181"/>
      <c r="Q435" s="181"/>
      <c r="R435" s="181"/>
      <c r="S435" s="182"/>
      <c r="T435" s="182"/>
      <c r="U435" s="182"/>
      <c r="V435" s="182"/>
      <c r="W435" s="183"/>
      <c r="X435" s="183"/>
      <c r="Y435" s="183"/>
      <c r="Z435" s="183"/>
    </row>
    <row r="436" ht="15.75" customHeight="1">
      <c r="A436" s="184">
        <v>1.69537534E8</v>
      </c>
      <c r="B436" s="185" t="s">
        <v>1027</v>
      </c>
      <c r="C436" s="186">
        <v>1.1714244E7</v>
      </c>
      <c r="D436" s="186">
        <v>1206872.0</v>
      </c>
      <c r="E436" s="186">
        <v>691007.0</v>
      </c>
      <c r="F436" s="186">
        <v>57014.0</v>
      </c>
      <c r="G436" s="186">
        <v>54740.0</v>
      </c>
      <c r="H436" s="186">
        <v>29415.0</v>
      </c>
      <c r="I436" s="186">
        <v>96833.0</v>
      </c>
      <c r="J436" s="186">
        <v>0.0</v>
      </c>
      <c r="K436" s="186">
        <v>238002.0</v>
      </c>
      <c r="L436" s="186">
        <v>0.0</v>
      </c>
      <c r="M436" s="181"/>
      <c r="N436" s="181"/>
      <c r="O436" s="181"/>
      <c r="P436" s="181"/>
      <c r="Q436" s="181"/>
      <c r="R436" s="181"/>
      <c r="S436" s="182"/>
      <c r="T436" s="182"/>
      <c r="U436" s="182"/>
      <c r="V436" s="182"/>
      <c r="W436" s="183"/>
      <c r="X436" s="183"/>
      <c r="Y436" s="183"/>
      <c r="Z436" s="183"/>
    </row>
    <row r="437" ht="15.75" customHeight="1">
      <c r="A437" s="184">
        <v>1.69528345E8</v>
      </c>
      <c r="B437" s="185" t="s">
        <v>1028</v>
      </c>
      <c r="C437" s="186">
        <v>1.1712248E7</v>
      </c>
      <c r="D437" s="186">
        <v>1333826.0</v>
      </c>
      <c r="E437" s="186">
        <v>432339.0</v>
      </c>
      <c r="F437" s="186">
        <v>35844.0</v>
      </c>
      <c r="G437" s="186">
        <v>130995.0</v>
      </c>
      <c r="H437" s="186">
        <v>67327.0</v>
      </c>
      <c r="I437" s="186">
        <v>79536.0</v>
      </c>
      <c r="J437" s="186">
        <v>0.0</v>
      </c>
      <c r="K437" s="186">
        <v>313702.0</v>
      </c>
      <c r="L437" s="186">
        <v>0.0</v>
      </c>
      <c r="M437" s="181"/>
      <c r="N437" s="181"/>
      <c r="O437" s="181"/>
      <c r="P437" s="181"/>
      <c r="Q437" s="181"/>
      <c r="R437" s="181"/>
      <c r="S437" s="182"/>
      <c r="T437" s="182"/>
      <c r="U437" s="182"/>
      <c r="V437" s="182"/>
      <c r="W437" s="183"/>
      <c r="X437" s="183"/>
      <c r="Y437" s="183"/>
      <c r="Z437" s="183"/>
    </row>
    <row r="438" ht="15.75" customHeight="1">
      <c r="A438" s="184">
        <v>1.70477899E8</v>
      </c>
      <c r="B438" s="185" t="s">
        <v>1029</v>
      </c>
      <c r="C438" s="186">
        <v>1.1701638E7</v>
      </c>
      <c r="D438" s="186">
        <v>1976049.0</v>
      </c>
      <c r="E438" s="186">
        <v>559638.0</v>
      </c>
      <c r="F438" s="186">
        <v>441746.0</v>
      </c>
      <c r="G438" s="186">
        <v>411501.0</v>
      </c>
      <c r="H438" s="186">
        <v>167807.0</v>
      </c>
      <c r="I438" s="186">
        <v>39347.0</v>
      </c>
      <c r="J438" s="186">
        <v>0.0</v>
      </c>
      <c r="K438" s="186">
        <v>1060401.0</v>
      </c>
      <c r="L438" s="186">
        <v>0.0</v>
      </c>
      <c r="M438" s="181"/>
      <c r="N438" s="181"/>
      <c r="O438" s="181"/>
      <c r="P438" s="181"/>
      <c r="Q438" s="181"/>
      <c r="R438" s="181"/>
      <c r="S438" s="182"/>
      <c r="T438" s="182"/>
      <c r="U438" s="182"/>
      <c r="V438" s="182"/>
      <c r="W438" s="183"/>
      <c r="X438" s="183"/>
      <c r="Y438" s="183"/>
      <c r="Z438" s="183"/>
    </row>
    <row r="439" ht="15.75" customHeight="1">
      <c r="A439" s="184">
        <v>1.69554545E8</v>
      </c>
      <c r="B439" s="185" t="s">
        <v>1030</v>
      </c>
      <c r="C439" s="186">
        <v>1.1678158E7</v>
      </c>
      <c r="D439" s="186">
        <v>430663.0</v>
      </c>
      <c r="E439" s="186">
        <v>0.0</v>
      </c>
      <c r="F439" s="186">
        <v>3219.0</v>
      </c>
      <c r="G439" s="186">
        <v>21153.0</v>
      </c>
      <c r="H439" s="186">
        <v>50661.0</v>
      </c>
      <c r="I439" s="186">
        <v>18507.0</v>
      </c>
      <c r="J439" s="186">
        <v>0.0</v>
      </c>
      <c r="K439" s="186">
        <v>93540.0</v>
      </c>
      <c r="L439" s="186">
        <v>0.0</v>
      </c>
      <c r="M439" s="181"/>
      <c r="N439" s="181"/>
      <c r="O439" s="181"/>
      <c r="P439" s="181"/>
      <c r="Q439" s="181"/>
      <c r="R439" s="181"/>
      <c r="S439" s="182"/>
      <c r="T439" s="182"/>
      <c r="U439" s="182"/>
      <c r="V439" s="182"/>
      <c r="W439" s="183"/>
      <c r="X439" s="183"/>
      <c r="Y439" s="183"/>
      <c r="Z439" s="183"/>
    </row>
    <row r="440" ht="15.75" customHeight="1">
      <c r="A440" s="184">
        <v>1.69475927E8</v>
      </c>
      <c r="B440" s="185" t="s">
        <v>1031</v>
      </c>
      <c r="C440" s="186">
        <v>1.1671163E7</v>
      </c>
      <c r="D440" s="186">
        <v>784591.0</v>
      </c>
      <c r="E440" s="186">
        <v>55987.0</v>
      </c>
      <c r="F440" s="186">
        <v>15618.0</v>
      </c>
      <c r="G440" s="186">
        <v>104709.0</v>
      </c>
      <c r="H440" s="186">
        <v>78730.0</v>
      </c>
      <c r="I440" s="186">
        <v>25713.0</v>
      </c>
      <c r="J440" s="186">
        <v>0.0</v>
      </c>
      <c r="K440" s="186">
        <v>224770.0</v>
      </c>
      <c r="L440" s="186">
        <v>0.0</v>
      </c>
      <c r="M440" s="181"/>
      <c r="N440" s="181"/>
      <c r="O440" s="181"/>
      <c r="P440" s="181"/>
      <c r="Q440" s="181"/>
      <c r="R440" s="181"/>
      <c r="S440" s="182"/>
      <c r="T440" s="182"/>
      <c r="U440" s="182"/>
      <c r="V440" s="182"/>
      <c r="W440" s="183"/>
      <c r="X440" s="183"/>
      <c r="Y440" s="183"/>
      <c r="Z440" s="183"/>
    </row>
    <row r="441" ht="15.75" customHeight="1">
      <c r="A441" s="184">
        <v>1.69529898E8</v>
      </c>
      <c r="B441" s="185" t="s">
        <v>1032</v>
      </c>
      <c r="C441" s="186">
        <v>1.1621664E7</v>
      </c>
      <c r="D441" s="186">
        <v>1646223.0</v>
      </c>
      <c r="E441" s="186">
        <v>134300.0</v>
      </c>
      <c r="F441" s="186">
        <v>71945.0</v>
      </c>
      <c r="G441" s="186">
        <v>222305.0</v>
      </c>
      <c r="H441" s="186">
        <v>158721.0</v>
      </c>
      <c r="I441" s="186">
        <v>55234.0</v>
      </c>
      <c r="J441" s="186">
        <v>0.0</v>
      </c>
      <c r="K441" s="186">
        <v>508205.0</v>
      </c>
      <c r="L441" s="186">
        <v>675000.0</v>
      </c>
      <c r="M441" s="181"/>
      <c r="N441" s="181"/>
      <c r="O441" s="181"/>
      <c r="P441" s="181"/>
      <c r="Q441" s="181"/>
      <c r="R441" s="181"/>
      <c r="S441" s="182"/>
      <c r="T441" s="182"/>
      <c r="U441" s="182"/>
      <c r="V441" s="182"/>
      <c r="W441" s="183"/>
      <c r="X441" s="183"/>
      <c r="Y441" s="183"/>
      <c r="Z441" s="183"/>
    </row>
    <row r="442" ht="15.75" customHeight="1">
      <c r="A442" s="184">
        <v>1.69562479E8</v>
      </c>
      <c r="B442" s="185" t="s">
        <v>1033</v>
      </c>
      <c r="C442" s="186">
        <v>1.1578885E7</v>
      </c>
      <c r="D442" s="186">
        <v>711759.0</v>
      </c>
      <c r="E442" s="186">
        <v>593952.0</v>
      </c>
      <c r="F442" s="186">
        <v>4378.0</v>
      </c>
      <c r="G442" s="186">
        <v>8231.0</v>
      </c>
      <c r="H442" s="186">
        <v>12473.0</v>
      </c>
      <c r="I442" s="186">
        <v>36423.0</v>
      </c>
      <c r="J442" s="186">
        <v>14015.0</v>
      </c>
      <c r="K442" s="186">
        <v>75520.0</v>
      </c>
      <c r="L442" s="186">
        <v>0.0</v>
      </c>
      <c r="M442" s="181"/>
      <c r="N442" s="181"/>
      <c r="O442" s="181"/>
      <c r="P442" s="181"/>
      <c r="Q442" s="181"/>
      <c r="R442" s="181"/>
      <c r="S442" s="182"/>
      <c r="T442" s="182"/>
      <c r="U442" s="182"/>
      <c r="V442" s="182"/>
      <c r="W442" s="183"/>
      <c r="X442" s="183"/>
      <c r="Y442" s="183"/>
      <c r="Z442" s="183"/>
    </row>
    <row r="443" ht="15.75" customHeight="1">
      <c r="A443" s="184">
        <v>1.69532513E8</v>
      </c>
      <c r="B443" s="185" t="s">
        <v>1034</v>
      </c>
      <c r="C443" s="186">
        <v>1.156995E7</v>
      </c>
      <c r="D443" s="186">
        <v>2103313.0</v>
      </c>
      <c r="E443" s="186">
        <v>568449.0</v>
      </c>
      <c r="F443" s="186">
        <v>126277.0</v>
      </c>
      <c r="G443" s="186">
        <v>581907.0</v>
      </c>
      <c r="H443" s="186">
        <v>24221.0</v>
      </c>
      <c r="I443" s="186">
        <v>81736.0</v>
      </c>
      <c r="J443" s="186">
        <v>0.0</v>
      </c>
      <c r="K443" s="186">
        <v>814141.0</v>
      </c>
      <c r="L443" s="186">
        <v>0.0</v>
      </c>
      <c r="M443" s="181"/>
      <c r="N443" s="181"/>
      <c r="O443" s="181"/>
      <c r="P443" s="181"/>
      <c r="Q443" s="181"/>
      <c r="R443" s="181"/>
      <c r="S443" s="182"/>
      <c r="T443" s="182"/>
      <c r="U443" s="182"/>
      <c r="V443" s="182"/>
      <c r="W443" s="183"/>
      <c r="X443" s="183"/>
      <c r="Y443" s="183"/>
      <c r="Z443" s="183"/>
    </row>
    <row r="444" ht="15.75" customHeight="1">
      <c r="A444" s="184">
        <v>1.69506413E8</v>
      </c>
      <c r="B444" s="185" t="s">
        <v>1035</v>
      </c>
      <c r="C444" s="186">
        <v>1.1502881E7</v>
      </c>
      <c r="D444" s="186">
        <v>2269001.0</v>
      </c>
      <c r="E444" s="186">
        <v>836555.0</v>
      </c>
      <c r="F444" s="186">
        <v>347838.0</v>
      </c>
      <c r="G444" s="186">
        <v>380773.0</v>
      </c>
      <c r="H444" s="186">
        <v>44827.0</v>
      </c>
      <c r="I444" s="186">
        <v>123252.0</v>
      </c>
      <c r="J444" s="186">
        <v>1303.0</v>
      </c>
      <c r="K444" s="186">
        <v>897993.0</v>
      </c>
      <c r="L444" s="186">
        <v>1698616.0</v>
      </c>
      <c r="M444" s="181"/>
      <c r="N444" s="181"/>
      <c r="O444" s="181"/>
      <c r="P444" s="181"/>
      <c r="Q444" s="181"/>
      <c r="R444" s="181"/>
      <c r="S444" s="182"/>
      <c r="T444" s="182"/>
      <c r="U444" s="182"/>
      <c r="V444" s="182"/>
      <c r="W444" s="183"/>
      <c r="X444" s="183"/>
      <c r="Y444" s="183"/>
      <c r="Z444" s="183"/>
    </row>
    <row r="445" ht="15.75" customHeight="1">
      <c r="A445" s="184">
        <v>1.72458539E8</v>
      </c>
      <c r="B445" s="185" t="s">
        <v>1036</v>
      </c>
      <c r="C445" s="186">
        <v>1.1497642E7</v>
      </c>
      <c r="D445" s="186">
        <v>1031199.0</v>
      </c>
      <c r="E445" s="186">
        <v>157858.0</v>
      </c>
      <c r="F445" s="186">
        <v>51129.0</v>
      </c>
      <c r="G445" s="186">
        <v>21193.0</v>
      </c>
      <c r="H445" s="186">
        <v>10887.0</v>
      </c>
      <c r="I445" s="186">
        <v>91890.0</v>
      </c>
      <c r="J445" s="186">
        <v>807.0</v>
      </c>
      <c r="K445" s="186">
        <v>175906.0</v>
      </c>
      <c r="L445" s="186">
        <v>0.0</v>
      </c>
      <c r="M445" s="181"/>
      <c r="N445" s="181"/>
      <c r="O445" s="181"/>
      <c r="P445" s="181"/>
      <c r="Q445" s="181"/>
      <c r="R445" s="181"/>
      <c r="S445" s="182"/>
      <c r="T445" s="182"/>
      <c r="U445" s="182"/>
      <c r="V445" s="182"/>
      <c r="W445" s="183"/>
      <c r="X445" s="183"/>
      <c r="Y445" s="183"/>
      <c r="Z445" s="183"/>
    </row>
    <row r="446" ht="15.75" customHeight="1">
      <c r="A446" s="184">
        <v>1.71191544E8</v>
      </c>
      <c r="B446" s="185" t="s">
        <v>1037</v>
      </c>
      <c r="C446" s="186">
        <v>1.1476774E7</v>
      </c>
      <c r="D446" s="186">
        <v>516278.0</v>
      </c>
      <c r="E446" s="186">
        <v>4226.0</v>
      </c>
      <c r="F446" s="186">
        <v>1.0</v>
      </c>
      <c r="G446" s="186">
        <v>3963.0</v>
      </c>
      <c r="H446" s="186">
        <v>9913.0</v>
      </c>
      <c r="I446" s="186">
        <v>46870.0</v>
      </c>
      <c r="J446" s="186">
        <v>0.0</v>
      </c>
      <c r="K446" s="186">
        <v>60747.0</v>
      </c>
      <c r="L446" s="186">
        <v>4.87291172E8</v>
      </c>
      <c r="M446" s="181"/>
      <c r="N446" s="181"/>
      <c r="O446" s="181"/>
      <c r="P446" s="181"/>
      <c r="Q446" s="181"/>
      <c r="R446" s="181"/>
      <c r="S446" s="182"/>
      <c r="T446" s="182"/>
      <c r="U446" s="182"/>
      <c r="V446" s="182"/>
      <c r="W446" s="183"/>
      <c r="X446" s="183"/>
      <c r="Y446" s="183"/>
      <c r="Z446" s="183"/>
    </row>
    <row r="447" ht="15.75" customHeight="1">
      <c r="A447" s="184">
        <v>1.69791732E8</v>
      </c>
      <c r="B447" s="185" t="s">
        <v>1038</v>
      </c>
      <c r="C447" s="186">
        <v>1.1432441E7</v>
      </c>
      <c r="D447" s="186">
        <v>6785.0</v>
      </c>
      <c r="E447" s="186">
        <v>0.0</v>
      </c>
      <c r="F447" s="186">
        <v>1579.0</v>
      </c>
      <c r="G447" s="186">
        <v>3235.0</v>
      </c>
      <c r="H447" s="186">
        <v>0.0</v>
      </c>
      <c r="I447" s="186">
        <v>0.0</v>
      </c>
      <c r="J447" s="186">
        <v>0.0</v>
      </c>
      <c r="K447" s="186">
        <v>4814.0</v>
      </c>
      <c r="L447" s="186">
        <v>2.102701953E9</v>
      </c>
      <c r="M447" s="181"/>
      <c r="N447" s="181"/>
      <c r="O447" s="181"/>
      <c r="P447" s="181"/>
      <c r="Q447" s="181"/>
      <c r="R447" s="181"/>
      <c r="S447" s="182"/>
      <c r="T447" s="182"/>
      <c r="U447" s="182"/>
      <c r="V447" s="182"/>
      <c r="W447" s="183"/>
      <c r="X447" s="183"/>
      <c r="Y447" s="183"/>
      <c r="Z447" s="183"/>
    </row>
    <row r="448" ht="15.75" customHeight="1">
      <c r="A448" s="184">
        <v>1.69571648E8</v>
      </c>
      <c r="B448" s="185" t="s">
        <v>1039</v>
      </c>
      <c r="C448" s="186">
        <v>1.1376017E7</v>
      </c>
      <c r="D448" s="186">
        <v>1019265.0</v>
      </c>
      <c r="E448" s="186">
        <v>658587.0</v>
      </c>
      <c r="F448" s="186">
        <v>112379.0</v>
      </c>
      <c r="G448" s="186">
        <v>196486.0</v>
      </c>
      <c r="H448" s="186">
        <v>15762.0</v>
      </c>
      <c r="I448" s="186">
        <v>7627.0</v>
      </c>
      <c r="J448" s="186">
        <v>23225.0</v>
      </c>
      <c r="K448" s="186">
        <v>355479.0</v>
      </c>
      <c r="L448" s="186">
        <v>916314.0</v>
      </c>
      <c r="M448" s="181"/>
      <c r="N448" s="181"/>
      <c r="O448" s="181"/>
      <c r="P448" s="181"/>
      <c r="Q448" s="181"/>
      <c r="R448" s="181"/>
      <c r="S448" s="182"/>
      <c r="T448" s="182"/>
      <c r="U448" s="182"/>
      <c r="V448" s="182"/>
      <c r="W448" s="183"/>
      <c r="X448" s="183"/>
      <c r="Y448" s="183"/>
      <c r="Z448" s="183"/>
    </row>
    <row r="449" ht="15.75" customHeight="1">
      <c r="A449" s="184">
        <v>1.69792648E8</v>
      </c>
      <c r="B449" s="185" t="s">
        <v>1040</v>
      </c>
      <c r="C449" s="186">
        <v>1.133739E7</v>
      </c>
      <c r="D449" s="186">
        <v>34653.0</v>
      </c>
      <c r="E449" s="186">
        <v>0.0</v>
      </c>
      <c r="F449" s="186">
        <v>5255.0</v>
      </c>
      <c r="G449" s="186">
        <v>3204.0</v>
      </c>
      <c r="H449" s="186">
        <v>726.0</v>
      </c>
      <c r="I449" s="186">
        <v>2429.0</v>
      </c>
      <c r="J449" s="186">
        <v>0.0</v>
      </c>
      <c r="K449" s="186">
        <v>11614.0</v>
      </c>
      <c r="L449" s="186">
        <v>2.147660325E9</v>
      </c>
      <c r="M449" s="181"/>
      <c r="N449" s="181"/>
      <c r="O449" s="181"/>
      <c r="P449" s="181"/>
      <c r="Q449" s="181"/>
      <c r="R449" s="181"/>
      <c r="S449" s="182"/>
      <c r="T449" s="182"/>
      <c r="U449" s="182"/>
      <c r="V449" s="182"/>
      <c r="W449" s="183"/>
      <c r="X449" s="183"/>
      <c r="Y449" s="183"/>
      <c r="Z449" s="183"/>
    </row>
    <row r="450" ht="15.75" customHeight="1">
      <c r="A450" s="184">
        <v>1.69573313E8</v>
      </c>
      <c r="B450" s="185" t="s">
        <v>1041</v>
      </c>
      <c r="C450" s="186">
        <v>1.1255253E7</v>
      </c>
      <c r="D450" s="186">
        <v>3366957.0</v>
      </c>
      <c r="E450" s="186">
        <v>827777.0</v>
      </c>
      <c r="F450" s="186">
        <v>81526.0</v>
      </c>
      <c r="G450" s="186">
        <v>161355.0</v>
      </c>
      <c r="H450" s="186">
        <v>138453.0</v>
      </c>
      <c r="I450" s="186">
        <v>177853.0</v>
      </c>
      <c r="J450" s="186">
        <v>34780.0</v>
      </c>
      <c r="K450" s="186">
        <v>593967.0</v>
      </c>
      <c r="L450" s="186">
        <v>0.0</v>
      </c>
      <c r="M450" s="181"/>
      <c r="N450" s="181"/>
      <c r="O450" s="181"/>
      <c r="P450" s="181"/>
      <c r="Q450" s="181"/>
      <c r="R450" s="181"/>
      <c r="S450" s="182"/>
      <c r="T450" s="182"/>
      <c r="U450" s="182"/>
      <c r="V450" s="182"/>
      <c r="W450" s="183"/>
      <c r="X450" s="183"/>
      <c r="Y450" s="183"/>
      <c r="Z450" s="183"/>
    </row>
    <row r="451" ht="15.75" customHeight="1">
      <c r="A451" s="184">
        <v>1.7242504E8</v>
      </c>
      <c r="B451" s="185" t="s">
        <v>1042</v>
      </c>
      <c r="C451" s="186">
        <v>1.1250307E7</v>
      </c>
      <c r="D451" s="186">
        <v>12080.0</v>
      </c>
      <c r="E451" s="186">
        <v>0.0</v>
      </c>
      <c r="F451" s="186">
        <v>0.0</v>
      </c>
      <c r="G451" s="186">
        <v>0.0</v>
      </c>
      <c r="H451" s="186">
        <v>0.0</v>
      </c>
      <c r="I451" s="186">
        <v>1208.0</v>
      </c>
      <c r="J451" s="186">
        <v>0.0</v>
      </c>
      <c r="K451" s="186">
        <v>1208.0</v>
      </c>
      <c r="L451" s="186">
        <v>0.0</v>
      </c>
      <c r="M451" s="181"/>
      <c r="N451" s="181"/>
      <c r="O451" s="181"/>
      <c r="P451" s="181"/>
      <c r="Q451" s="181"/>
      <c r="R451" s="181"/>
      <c r="S451" s="182"/>
      <c r="T451" s="182"/>
      <c r="U451" s="182"/>
      <c r="V451" s="182"/>
      <c r="W451" s="183"/>
      <c r="X451" s="183"/>
      <c r="Y451" s="183"/>
      <c r="Z451" s="183"/>
    </row>
    <row r="452" ht="15.75" customHeight="1">
      <c r="A452" s="184">
        <v>1.71114818E8</v>
      </c>
      <c r="B452" s="185" t="s">
        <v>1043</v>
      </c>
      <c r="C452" s="186">
        <v>1.123769E7</v>
      </c>
      <c r="D452" s="186">
        <v>381446.0</v>
      </c>
      <c r="E452" s="186">
        <v>260009.0</v>
      </c>
      <c r="F452" s="186">
        <v>0.0</v>
      </c>
      <c r="G452" s="186">
        <v>1638.0</v>
      </c>
      <c r="H452" s="186">
        <v>4195.0</v>
      </c>
      <c r="I452" s="186">
        <v>5027.0</v>
      </c>
      <c r="J452" s="186">
        <v>15556.0</v>
      </c>
      <c r="K452" s="186">
        <v>26416.0</v>
      </c>
      <c r="L452" s="186">
        <v>1400000.0</v>
      </c>
      <c r="M452" s="181"/>
      <c r="N452" s="181"/>
      <c r="O452" s="181"/>
      <c r="P452" s="181"/>
      <c r="Q452" s="181"/>
      <c r="R452" s="181"/>
      <c r="S452" s="182"/>
      <c r="T452" s="182"/>
      <c r="U452" s="182"/>
      <c r="V452" s="182"/>
      <c r="W452" s="183"/>
      <c r="X452" s="183"/>
      <c r="Y452" s="183"/>
      <c r="Z452" s="183"/>
    </row>
    <row r="453" ht="15.75" customHeight="1">
      <c r="A453" s="184">
        <v>1.69404377E8</v>
      </c>
      <c r="B453" s="185" t="s">
        <v>1044</v>
      </c>
      <c r="C453" s="186">
        <v>1.1236068E7</v>
      </c>
      <c r="D453" s="186">
        <v>940362.0</v>
      </c>
      <c r="E453" s="186">
        <v>342015.0</v>
      </c>
      <c r="F453" s="186">
        <v>7030.0</v>
      </c>
      <c r="G453" s="186">
        <v>49550.0</v>
      </c>
      <c r="H453" s="186">
        <v>38849.0</v>
      </c>
      <c r="I453" s="186">
        <v>62900.0</v>
      </c>
      <c r="J453" s="186">
        <v>2773.0</v>
      </c>
      <c r="K453" s="186">
        <v>161102.0</v>
      </c>
      <c r="L453" s="186">
        <v>1.235942481E9</v>
      </c>
      <c r="M453" s="181"/>
      <c r="N453" s="181"/>
      <c r="O453" s="181"/>
      <c r="P453" s="181"/>
      <c r="Q453" s="181"/>
      <c r="R453" s="181"/>
      <c r="S453" s="182"/>
      <c r="T453" s="182"/>
      <c r="U453" s="182"/>
      <c r="V453" s="182"/>
      <c r="W453" s="183"/>
      <c r="X453" s="183"/>
      <c r="Y453" s="183"/>
      <c r="Z453" s="183"/>
    </row>
    <row r="454" ht="15.75" customHeight="1">
      <c r="A454" s="184">
        <v>1.70684064E8</v>
      </c>
      <c r="B454" s="185" t="s">
        <v>1045</v>
      </c>
      <c r="C454" s="186">
        <v>1.1223652E7</v>
      </c>
      <c r="D454" s="186">
        <v>57861.0</v>
      </c>
      <c r="E454" s="186">
        <v>42580.0</v>
      </c>
      <c r="F454" s="186">
        <v>2186.0</v>
      </c>
      <c r="G454" s="186">
        <v>430.0</v>
      </c>
      <c r="H454" s="186">
        <v>216.0</v>
      </c>
      <c r="I454" s="186">
        <v>5570.0</v>
      </c>
      <c r="J454" s="186">
        <v>0.0</v>
      </c>
      <c r="K454" s="186">
        <v>8402.0</v>
      </c>
      <c r="L454" s="186">
        <v>1.944054111E9</v>
      </c>
      <c r="M454" s="181"/>
      <c r="N454" s="181"/>
      <c r="O454" s="181"/>
      <c r="P454" s="181"/>
      <c r="Q454" s="181"/>
      <c r="R454" s="181"/>
      <c r="S454" s="182"/>
      <c r="T454" s="182"/>
      <c r="U454" s="182"/>
      <c r="V454" s="182"/>
      <c r="W454" s="183"/>
      <c r="X454" s="183"/>
      <c r="Y454" s="183"/>
      <c r="Z454" s="183"/>
    </row>
    <row r="455" ht="15.75" customHeight="1">
      <c r="A455" s="184">
        <v>1.69551838E8</v>
      </c>
      <c r="B455" s="185" t="s">
        <v>1046</v>
      </c>
      <c r="C455" s="186">
        <v>1.1180006E7</v>
      </c>
      <c r="D455" s="186">
        <v>1012445.0</v>
      </c>
      <c r="E455" s="186">
        <v>475993.0</v>
      </c>
      <c r="F455" s="186">
        <v>54605.0</v>
      </c>
      <c r="G455" s="186">
        <v>93199.0</v>
      </c>
      <c r="H455" s="186">
        <v>67179.0</v>
      </c>
      <c r="I455" s="186">
        <v>54641.0</v>
      </c>
      <c r="J455" s="186">
        <v>0.0</v>
      </c>
      <c r="K455" s="186">
        <v>269624.0</v>
      </c>
      <c r="L455" s="186">
        <v>788305.0</v>
      </c>
      <c r="M455" s="181"/>
      <c r="N455" s="181"/>
      <c r="O455" s="181"/>
      <c r="P455" s="181"/>
      <c r="Q455" s="181"/>
      <c r="R455" s="181"/>
      <c r="S455" s="182"/>
      <c r="T455" s="182"/>
      <c r="U455" s="182"/>
      <c r="V455" s="182"/>
      <c r="W455" s="183"/>
      <c r="X455" s="183"/>
      <c r="Y455" s="183"/>
      <c r="Z455" s="183"/>
    </row>
    <row r="456" ht="15.75" customHeight="1">
      <c r="A456" s="184">
        <v>1.69485132E8</v>
      </c>
      <c r="B456" s="185" t="s">
        <v>1047</v>
      </c>
      <c r="C456" s="186">
        <v>1.1172822E7</v>
      </c>
      <c r="D456" s="186">
        <v>1197854.0</v>
      </c>
      <c r="E456" s="186">
        <v>1178915.0</v>
      </c>
      <c r="F456" s="186">
        <v>7321.0</v>
      </c>
      <c r="G456" s="186">
        <v>32923.0</v>
      </c>
      <c r="H456" s="186">
        <v>45746.0</v>
      </c>
      <c r="I456" s="186">
        <v>49338.0</v>
      </c>
      <c r="J456" s="186">
        <v>22709.0</v>
      </c>
      <c r="K456" s="186">
        <v>158037.0</v>
      </c>
      <c r="L456" s="186">
        <v>0.0</v>
      </c>
      <c r="M456" s="181"/>
      <c r="N456" s="181"/>
      <c r="O456" s="181"/>
      <c r="P456" s="181"/>
      <c r="Q456" s="181"/>
      <c r="R456" s="181"/>
      <c r="S456" s="182"/>
      <c r="T456" s="182"/>
      <c r="U456" s="182"/>
      <c r="V456" s="182"/>
      <c r="W456" s="183"/>
      <c r="X456" s="183"/>
      <c r="Y456" s="183"/>
      <c r="Z456" s="183"/>
    </row>
    <row r="457" ht="15.75" customHeight="1">
      <c r="A457" s="184">
        <v>1.595201E8</v>
      </c>
      <c r="B457" s="185" t="s">
        <v>1048</v>
      </c>
      <c r="C457" s="186">
        <v>1.1169311E7</v>
      </c>
      <c r="D457" s="186">
        <v>7229773.0</v>
      </c>
      <c r="E457" s="186">
        <v>834467.0</v>
      </c>
      <c r="F457" s="186">
        <v>413347.0</v>
      </c>
      <c r="G457" s="186">
        <v>670674.0</v>
      </c>
      <c r="H457" s="186">
        <v>288969.0</v>
      </c>
      <c r="I457" s="186">
        <v>462514.0</v>
      </c>
      <c r="J457" s="186">
        <v>1237.0</v>
      </c>
      <c r="K457" s="186">
        <v>1836741.0</v>
      </c>
      <c r="L457" s="186">
        <v>2.4507847E7</v>
      </c>
      <c r="M457" s="181"/>
      <c r="N457" s="181"/>
      <c r="O457" s="181"/>
      <c r="P457" s="181"/>
      <c r="Q457" s="181"/>
      <c r="R457" s="181"/>
      <c r="S457" s="182"/>
      <c r="T457" s="182"/>
      <c r="U457" s="182"/>
      <c r="V457" s="182"/>
      <c r="W457" s="183"/>
      <c r="X457" s="183"/>
      <c r="Y457" s="183"/>
      <c r="Z457" s="183"/>
    </row>
    <row r="458" ht="15.75" customHeight="1">
      <c r="A458" s="184">
        <v>1.6956206E8</v>
      </c>
      <c r="B458" s="185" t="s">
        <v>1049</v>
      </c>
      <c r="C458" s="186">
        <v>1.1162667E7</v>
      </c>
      <c r="D458" s="186">
        <v>4924666.0</v>
      </c>
      <c r="E458" s="186">
        <v>960827.0</v>
      </c>
      <c r="F458" s="186">
        <v>132421.0</v>
      </c>
      <c r="G458" s="186">
        <v>227460.0</v>
      </c>
      <c r="H458" s="186">
        <v>304433.0</v>
      </c>
      <c r="I458" s="186">
        <v>319895.0</v>
      </c>
      <c r="J458" s="186">
        <v>1329.0</v>
      </c>
      <c r="K458" s="186">
        <v>985538.0</v>
      </c>
      <c r="L458" s="186">
        <v>1.40768431E8</v>
      </c>
      <c r="M458" s="181"/>
      <c r="N458" s="181"/>
      <c r="O458" s="181"/>
      <c r="P458" s="181"/>
      <c r="Q458" s="181"/>
      <c r="R458" s="181"/>
      <c r="S458" s="182"/>
      <c r="T458" s="182"/>
      <c r="U458" s="182"/>
      <c r="V458" s="182"/>
      <c r="W458" s="183"/>
      <c r="X458" s="183"/>
      <c r="Y458" s="183"/>
      <c r="Z458" s="183"/>
    </row>
    <row r="459" ht="15.75" customHeight="1">
      <c r="A459" s="184">
        <v>1.70206546E8</v>
      </c>
      <c r="B459" s="185" t="s">
        <v>1050</v>
      </c>
      <c r="C459" s="186">
        <v>1.1135399E7</v>
      </c>
      <c r="D459" s="186">
        <v>0.0</v>
      </c>
      <c r="E459" s="186">
        <v>0.0</v>
      </c>
      <c r="F459" s="186">
        <v>1.0</v>
      </c>
      <c r="G459" s="186">
        <v>0.0</v>
      </c>
      <c r="H459" s="186">
        <v>0.0</v>
      </c>
      <c r="I459" s="186">
        <v>0.0</v>
      </c>
      <c r="J459" s="186">
        <v>0.0</v>
      </c>
      <c r="K459" s="186">
        <v>1.0</v>
      </c>
      <c r="L459" s="186">
        <v>1.944600367E9</v>
      </c>
      <c r="M459" s="181"/>
      <c r="N459" s="181"/>
      <c r="O459" s="181"/>
      <c r="P459" s="181"/>
      <c r="Q459" s="181"/>
      <c r="R459" s="181"/>
      <c r="S459" s="182"/>
      <c r="T459" s="182"/>
      <c r="U459" s="182"/>
      <c r="V459" s="182"/>
      <c r="W459" s="183"/>
      <c r="X459" s="183"/>
      <c r="Y459" s="183"/>
      <c r="Z459" s="183"/>
    </row>
    <row r="460" ht="15.75" customHeight="1">
      <c r="A460" s="184">
        <v>1.69526002E8</v>
      </c>
      <c r="B460" s="185" t="s">
        <v>1051</v>
      </c>
      <c r="C460" s="186">
        <v>1.1135207E7</v>
      </c>
      <c r="D460" s="186">
        <v>629299.0</v>
      </c>
      <c r="E460" s="186">
        <v>160024.0</v>
      </c>
      <c r="F460" s="186">
        <v>167447.0</v>
      </c>
      <c r="G460" s="186">
        <v>61960.0</v>
      </c>
      <c r="H460" s="186">
        <v>23105.0</v>
      </c>
      <c r="I460" s="186">
        <v>37947.0</v>
      </c>
      <c r="J460" s="186">
        <v>0.0</v>
      </c>
      <c r="K460" s="186">
        <v>290459.0</v>
      </c>
      <c r="L460" s="186">
        <v>0.0</v>
      </c>
      <c r="M460" s="181"/>
      <c r="N460" s="181"/>
      <c r="O460" s="181"/>
      <c r="P460" s="181"/>
      <c r="Q460" s="181"/>
      <c r="R460" s="181"/>
      <c r="S460" s="182"/>
      <c r="T460" s="182"/>
      <c r="U460" s="182"/>
      <c r="V460" s="182"/>
      <c r="W460" s="183"/>
      <c r="X460" s="183"/>
      <c r="Y460" s="183"/>
      <c r="Z460" s="183"/>
    </row>
    <row r="461" ht="15.75" customHeight="1">
      <c r="A461" s="184">
        <v>1.69525141E8</v>
      </c>
      <c r="B461" s="185" t="s">
        <v>1052</v>
      </c>
      <c r="C461" s="186">
        <v>1.1093845E7</v>
      </c>
      <c r="D461" s="186">
        <v>628060.0</v>
      </c>
      <c r="E461" s="186">
        <v>342754.0</v>
      </c>
      <c r="F461" s="186">
        <v>12050.0</v>
      </c>
      <c r="G461" s="186">
        <v>64919.0</v>
      </c>
      <c r="H461" s="186">
        <v>48993.0</v>
      </c>
      <c r="I461" s="186">
        <v>29984.0</v>
      </c>
      <c r="J461" s="186">
        <v>0.0</v>
      </c>
      <c r="K461" s="186">
        <v>155946.0</v>
      </c>
      <c r="L461" s="186">
        <v>0.0</v>
      </c>
      <c r="M461" s="181"/>
      <c r="N461" s="181"/>
      <c r="O461" s="181"/>
      <c r="P461" s="181"/>
      <c r="Q461" s="181"/>
      <c r="R461" s="181"/>
      <c r="S461" s="182"/>
      <c r="T461" s="182"/>
      <c r="U461" s="182"/>
      <c r="V461" s="182"/>
      <c r="W461" s="183"/>
      <c r="X461" s="183"/>
      <c r="Y461" s="183"/>
      <c r="Z461" s="183"/>
    </row>
    <row r="462" ht="15.75" customHeight="1">
      <c r="A462" s="184">
        <v>1.51714633E8</v>
      </c>
      <c r="B462" s="185" t="s">
        <v>1053</v>
      </c>
      <c r="C462" s="186">
        <v>1.1065528E7</v>
      </c>
      <c r="D462" s="186">
        <v>3091194.0</v>
      </c>
      <c r="E462" s="186">
        <v>760754.0</v>
      </c>
      <c r="F462" s="186">
        <v>135461.0</v>
      </c>
      <c r="G462" s="186">
        <v>355377.0</v>
      </c>
      <c r="H462" s="186">
        <v>326352.0</v>
      </c>
      <c r="I462" s="186">
        <v>48150.0</v>
      </c>
      <c r="J462" s="186">
        <v>28322.0</v>
      </c>
      <c r="K462" s="186">
        <v>893662.0</v>
      </c>
      <c r="L462" s="186">
        <v>1227824.0</v>
      </c>
      <c r="M462" s="181"/>
      <c r="N462" s="181"/>
      <c r="O462" s="181"/>
      <c r="P462" s="181"/>
      <c r="Q462" s="181"/>
      <c r="R462" s="181"/>
      <c r="S462" s="182"/>
      <c r="T462" s="182"/>
      <c r="U462" s="182"/>
      <c r="V462" s="182"/>
      <c r="W462" s="183"/>
      <c r="X462" s="183"/>
      <c r="Y462" s="183"/>
      <c r="Z462" s="183"/>
    </row>
    <row r="463" ht="15.75" customHeight="1">
      <c r="A463" s="184">
        <v>1.69493878E8</v>
      </c>
      <c r="B463" s="185" t="s">
        <v>1054</v>
      </c>
      <c r="C463" s="186">
        <v>1.0946766E7</v>
      </c>
      <c r="D463" s="186">
        <v>206645.0</v>
      </c>
      <c r="E463" s="186">
        <v>21385.0</v>
      </c>
      <c r="F463" s="186">
        <v>16738.0</v>
      </c>
      <c r="G463" s="186">
        <v>52178.0</v>
      </c>
      <c r="H463" s="186">
        <v>21788.0</v>
      </c>
      <c r="I463" s="186">
        <v>1179.0</v>
      </c>
      <c r="J463" s="186">
        <v>0.0</v>
      </c>
      <c r="K463" s="186">
        <v>91883.0</v>
      </c>
      <c r="L463" s="186">
        <v>481142.0</v>
      </c>
      <c r="M463" s="181"/>
      <c r="N463" s="181"/>
      <c r="O463" s="181"/>
      <c r="P463" s="181"/>
      <c r="Q463" s="181"/>
      <c r="R463" s="181"/>
      <c r="S463" s="182"/>
      <c r="T463" s="182"/>
      <c r="U463" s="182"/>
      <c r="V463" s="182"/>
      <c r="W463" s="183"/>
      <c r="X463" s="183"/>
      <c r="Y463" s="183"/>
      <c r="Z463" s="183"/>
    </row>
    <row r="464" ht="15.75" customHeight="1">
      <c r="A464" s="184">
        <v>1.69495327E8</v>
      </c>
      <c r="B464" s="185" t="s">
        <v>1055</v>
      </c>
      <c r="C464" s="186">
        <v>1.0927292E7</v>
      </c>
      <c r="D464" s="186">
        <v>728165.0</v>
      </c>
      <c r="E464" s="186">
        <v>261420.0</v>
      </c>
      <c r="F464" s="186">
        <v>27817.0</v>
      </c>
      <c r="G464" s="186">
        <v>60652.0</v>
      </c>
      <c r="H464" s="186">
        <v>61852.0</v>
      </c>
      <c r="I464" s="186">
        <v>35389.0</v>
      </c>
      <c r="J464" s="186">
        <v>0.0</v>
      </c>
      <c r="K464" s="186">
        <v>185710.0</v>
      </c>
      <c r="L464" s="186">
        <v>1200000.0</v>
      </c>
      <c r="M464" s="181"/>
      <c r="N464" s="181"/>
      <c r="O464" s="181"/>
      <c r="P464" s="181"/>
      <c r="Q464" s="181"/>
      <c r="R464" s="181"/>
      <c r="S464" s="182"/>
      <c r="T464" s="182"/>
      <c r="U464" s="182"/>
      <c r="V464" s="182"/>
      <c r="W464" s="183"/>
      <c r="X464" s="183"/>
      <c r="Y464" s="183"/>
      <c r="Z464" s="183"/>
    </row>
    <row r="465" ht="15.75" customHeight="1">
      <c r="A465" s="184">
        <v>1.69558243E8</v>
      </c>
      <c r="B465" s="185" t="s">
        <v>1056</v>
      </c>
      <c r="C465" s="186">
        <v>1.0899954E7</v>
      </c>
      <c r="D465" s="186">
        <v>984609.0</v>
      </c>
      <c r="E465" s="186">
        <v>2033140.0</v>
      </c>
      <c r="F465" s="186">
        <v>9908.0</v>
      </c>
      <c r="G465" s="186">
        <v>55418.0</v>
      </c>
      <c r="H465" s="186">
        <v>8163.0</v>
      </c>
      <c r="I465" s="186">
        <v>83914.0</v>
      </c>
      <c r="J465" s="186">
        <v>0.0</v>
      </c>
      <c r="K465" s="186">
        <v>157403.0</v>
      </c>
      <c r="L465" s="186">
        <v>2.100758495E9</v>
      </c>
      <c r="M465" s="181"/>
      <c r="N465" s="181"/>
      <c r="O465" s="181"/>
      <c r="P465" s="181"/>
      <c r="Q465" s="181"/>
      <c r="R465" s="181"/>
      <c r="S465" s="182"/>
      <c r="T465" s="182"/>
      <c r="U465" s="182"/>
      <c r="V465" s="182"/>
      <c r="W465" s="183"/>
      <c r="X465" s="183"/>
      <c r="Y465" s="183"/>
      <c r="Z465" s="183"/>
    </row>
    <row r="466" ht="15.75" customHeight="1">
      <c r="A466" s="184">
        <v>1.62055289E8</v>
      </c>
      <c r="B466" s="185" t="s">
        <v>1057</v>
      </c>
      <c r="C466" s="186">
        <v>1.0886261E7</v>
      </c>
      <c r="D466" s="186">
        <v>2283508.0</v>
      </c>
      <c r="E466" s="186">
        <v>554307.0</v>
      </c>
      <c r="F466" s="186">
        <v>505902.0</v>
      </c>
      <c r="G466" s="186">
        <v>291695.0</v>
      </c>
      <c r="H466" s="186">
        <v>65787.0</v>
      </c>
      <c r="I466" s="186">
        <v>133579.0</v>
      </c>
      <c r="J466" s="186">
        <v>0.0</v>
      </c>
      <c r="K466" s="186">
        <v>996963.0</v>
      </c>
      <c r="L466" s="186">
        <v>0.0</v>
      </c>
      <c r="M466" s="181"/>
      <c r="N466" s="181"/>
      <c r="O466" s="181"/>
      <c r="P466" s="181"/>
      <c r="Q466" s="181"/>
      <c r="R466" s="181"/>
      <c r="S466" s="182"/>
      <c r="T466" s="182"/>
      <c r="U466" s="182"/>
      <c r="V466" s="182"/>
      <c r="W466" s="183"/>
      <c r="X466" s="183"/>
      <c r="Y466" s="183"/>
      <c r="Z466" s="183"/>
    </row>
    <row r="467" ht="15.75" customHeight="1">
      <c r="A467" s="184">
        <v>1.69535089E8</v>
      </c>
      <c r="B467" s="185" t="s">
        <v>1058</v>
      </c>
      <c r="C467" s="186">
        <v>1.0869831E7</v>
      </c>
      <c r="D467" s="186">
        <v>89757.0</v>
      </c>
      <c r="E467" s="186">
        <v>8465.0</v>
      </c>
      <c r="F467" s="186">
        <v>4225.0</v>
      </c>
      <c r="G467" s="186">
        <v>14595.0</v>
      </c>
      <c r="H467" s="186">
        <v>7753.0</v>
      </c>
      <c r="I467" s="186">
        <v>2871.0</v>
      </c>
      <c r="J467" s="186">
        <v>0.0</v>
      </c>
      <c r="K467" s="186">
        <v>29444.0</v>
      </c>
      <c r="L467" s="186">
        <v>0.0</v>
      </c>
      <c r="M467" s="181"/>
      <c r="N467" s="181"/>
      <c r="O467" s="181"/>
      <c r="P467" s="181"/>
      <c r="Q467" s="181"/>
      <c r="R467" s="181"/>
      <c r="S467" s="182"/>
      <c r="T467" s="182"/>
      <c r="U467" s="182"/>
      <c r="V467" s="182"/>
      <c r="W467" s="183"/>
      <c r="X467" s="183"/>
      <c r="Y467" s="183"/>
      <c r="Z467" s="183"/>
    </row>
    <row r="468" ht="15.75" customHeight="1">
      <c r="A468" s="184">
        <v>1.69537417E8</v>
      </c>
      <c r="B468" s="185" t="s">
        <v>1059</v>
      </c>
      <c r="C468" s="186">
        <v>1.0856536E7</v>
      </c>
      <c r="D468" s="186">
        <v>74000.0</v>
      </c>
      <c r="E468" s="186">
        <v>984.0</v>
      </c>
      <c r="F468" s="186">
        <v>6732.0</v>
      </c>
      <c r="G468" s="186">
        <v>8964.0</v>
      </c>
      <c r="H468" s="186">
        <v>5239.0</v>
      </c>
      <c r="I468" s="186">
        <v>3377.0</v>
      </c>
      <c r="J468" s="186">
        <v>0.0</v>
      </c>
      <c r="K468" s="186">
        <v>24312.0</v>
      </c>
      <c r="L468" s="186">
        <v>0.0</v>
      </c>
      <c r="M468" s="181"/>
      <c r="N468" s="181"/>
      <c r="O468" s="181"/>
      <c r="P468" s="181"/>
      <c r="Q468" s="181"/>
      <c r="R468" s="181"/>
      <c r="S468" s="182"/>
      <c r="T468" s="182"/>
      <c r="U468" s="182"/>
      <c r="V468" s="182"/>
      <c r="W468" s="183"/>
      <c r="X468" s="183"/>
      <c r="Y468" s="183"/>
      <c r="Z468" s="183"/>
    </row>
    <row r="469" ht="15.75" customHeight="1">
      <c r="A469" s="184">
        <v>1.69519896E8</v>
      </c>
      <c r="B469" s="185" t="s">
        <v>1060</v>
      </c>
      <c r="C469" s="186">
        <v>1.0853731E7</v>
      </c>
      <c r="D469" s="186">
        <v>710646.0</v>
      </c>
      <c r="E469" s="186">
        <v>114990.0</v>
      </c>
      <c r="F469" s="186">
        <v>40970.0</v>
      </c>
      <c r="G469" s="186">
        <v>118642.0</v>
      </c>
      <c r="H469" s="186">
        <v>35307.0</v>
      </c>
      <c r="I469" s="186">
        <v>32394.0</v>
      </c>
      <c r="J469" s="186">
        <v>0.0</v>
      </c>
      <c r="K469" s="186">
        <v>227313.0</v>
      </c>
      <c r="L469" s="186">
        <v>3.6728101E7</v>
      </c>
      <c r="M469" s="181"/>
      <c r="N469" s="181"/>
      <c r="O469" s="181"/>
      <c r="P469" s="181"/>
      <c r="Q469" s="181"/>
      <c r="R469" s="181"/>
      <c r="S469" s="182"/>
      <c r="T469" s="182"/>
      <c r="U469" s="182"/>
      <c r="V469" s="182"/>
      <c r="W469" s="183"/>
      <c r="X469" s="183"/>
      <c r="Y469" s="183"/>
      <c r="Z469" s="183"/>
    </row>
    <row r="470" ht="15.75" customHeight="1">
      <c r="A470" s="184">
        <v>1.69171899E8</v>
      </c>
      <c r="B470" s="185" t="s">
        <v>1061</v>
      </c>
      <c r="C470" s="186">
        <v>1.0850038E7</v>
      </c>
      <c r="D470" s="186">
        <v>714378.0</v>
      </c>
      <c r="E470" s="186">
        <v>291470.0</v>
      </c>
      <c r="F470" s="186">
        <v>71232.0</v>
      </c>
      <c r="G470" s="186">
        <v>29450.0</v>
      </c>
      <c r="H470" s="186">
        <v>38958.0</v>
      </c>
      <c r="I470" s="186">
        <v>48540.0</v>
      </c>
      <c r="J470" s="186">
        <v>0.0</v>
      </c>
      <c r="K470" s="186">
        <v>188180.0</v>
      </c>
      <c r="L470" s="186">
        <v>0.0</v>
      </c>
      <c r="M470" s="181"/>
      <c r="N470" s="181"/>
      <c r="O470" s="181"/>
      <c r="P470" s="181"/>
      <c r="Q470" s="181"/>
      <c r="R470" s="181"/>
      <c r="S470" s="182"/>
      <c r="T470" s="182"/>
      <c r="U470" s="182"/>
      <c r="V470" s="182"/>
      <c r="W470" s="183"/>
      <c r="X470" s="183"/>
      <c r="Y470" s="183"/>
      <c r="Z470" s="183"/>
    </row>
    <row r="471" ht="15.75" customHeight="1">
      <c r="A471" s="184">
        <v>1.69456264E8</v>
      </c>
      <c r="B471" s="185" t="s">
        <v>1062</v>
      </c>
      <c r="C471" s="186">
        <v>1.080198E7</v>
      </c>
      <c r="D471" s="186">
        <v>2077160.0</v>
      </c>
      <c r="E471" s="186">
        <v>554398.0</v>
      </c>
      <c r="F471" s="186">
        <v>66794.0</v>
      </c>
      <c r="G471" s="186">
        <v>129049.0</v>
      </c>
      <c r="H471" s="186">
        <v>32531.0</v>
      </c>
      <c r="I471" s="186">
        <v>98306.0</v>
      </c>
      <c r="J471" s="186">
        <v>34626.0</v>
      </c>
      <c r="K471" s="186">
        <v>361306.0</v>
      </c>
      <c r="L471" s="186">
        <v>2.907E7</v>
      </c>
      <c r="M471" s="181"/>
      <c r="N471" s="181"/>
      <c r="O471" s="181"/>
      <c r="P471" s="181"/>
      <c r="Q471" s="181"/>
      <c r="R471" s="181"/>
      <c r="S471" s="182"/>
      <c r="T471" s="182"/>
      <c r="U471" s="182"/>
      <c r="V471" s="182"/>
      <c r="W471" s="183"/>
      <c r="X471" s="183"/>
      <c r="Y471" s="183"/>
      <c r="Z471" s="183"/>
    </row>
    <row r="472" ht="15.75" customHeight="1">
      <c r="A472" s="184">
        <v>1.56466939E8</v>
      </c>
      <c r="B472" s="185" t="s">
        <v>1063</v>
      </c>
      <c r="C472" s="186">
        <v>1.075364E7</v>
      </c>
      <c r="D472" s="186">
        <v>1.0059078E7</v>
      </c>
      <c r="E472" s="186">
        <v>716362.0</v>
      </c>
      <c r="F472" s="186">
        <v>626843.0</v>
      </c>
      <c r="G472" s="186">
        <v>743595.0</v>
      </c>
      <c r="H472" s="186">
        <v>1049345.0</v>
      </c>
      <c r="I472" s="186">
        <v>423380.0</v>
      </c>
      <c r="J472" s="186">
        <v>767.0</v>
      </c>
      <c r="K472" s="186">
        <v>2843930.0</v>
      </c>
      <c r="L472" s="186">
        <v>6.8427934E7</v>
      </c>
      <c r="M472" s="181"/>
      <c r="N472" s="181"/>
      <c r="O472" s="181"/>
      <c r="P472" s="181"/>
      <c r="Q472" s="181"/>
      <c r="R472" s="181"/>
      <c r="S472" s="182"/>
      <c r="T472" s="182"/>
      <c r="U472" s="182"/>
      <c r="V472" s="182"/>
      <c r="W472" s="183"/>
      <c r="X472" s="183"/>
      <c r="Y472" s="183"/>
      <c r="Z472" s="183"/>
    </row>
    <row r="473" ht="15.75" customHeight="1">
      <c r="A473" s="184">
        <v>1.69020283E8</v>
      </c>
      <c r="B473" s="185" t="s">
        <v>1064</v>
      </c>
      <c r="C473" s="186">
        <v>1.0683191E7</v>
      </c>
      <c r="D473" s="186">
        <v>5219.0</v>
      </c>
      <c r="E473" s="186">
        <v>0.0</v>
      </c>
      <c r="F473" s="186">
        <v>6615.0</v>
      </c>
      <c r="G473" s="186">
        <v>1948.0</v>
      </c>
      <c r="H473" s="186">
        <v>0.0</v>
      </c>
      <c r="I473" s="186">
        <v>0.0</v>
      </c>
      <c r="J473" s="186">
        <v>0.0</v>
      </c>
      <c r="K473" s="186">
        <v>8563.0</v>
      </c>
      <c r="L473" s="186">
        <v>1550000.0</v>
      </c>
      <c r="M473" s="181"/>
      <c r="N473" s="181"/>
      <c r="O473" s="181"/>
      <c r="P473" s="181"/>
      <c r="Q473" s="181"/>
      <c r="R473" s="181"/>
      <c r="S473" s="182"/>
      <c r="T473" s="182"/>
      <c r="U473" s="182"/>
      <c r="V473" s="182"/>
      <c r="W473" s="183"/>
      <c r="X473" s="183"/>
      <c r="Y473" s="183"/>
      <c r="Z473" s="183"/>
    </row>
    <row r="474" ht="15.75" customHeight="1">
      <c r="A474" s="184">
        <v>1.69752922E8</v>
      </c>
      <c r="B474" s="185" t="s">
        <v>1065</v>
      </c>
      <c r="C474" s="186">
        <v>1.0656169E7</v>
      </c>
      <c r="D474" s="186">
        <v>897579.0</v>
      </c>
      <c r="E474" s="186">
        <v>201604.0</v>
      </c>
      <c r="F474" s="186">
        <v>5908.0</v>
      </c>
      <c r="G474" s="186">
        <v>9695.0</v>
      </c>
      <c r="H474" s="186">
        <v>25732.0</v>
      </c>
      <c r="I474" s="186">
        <v>77408.0</v>
      </c>
      <c r="J474" s="186">
        <v>0.0</v>
      </c>
      <c r="K474" s="186">
        <v>118743.0</v>
      </c>
      <c r="L474" s="186">
        <v>5.10124246E8</v>
      </c>
      <c r="M474" s="181"/>
      <c r="N474" s="181"/>
      <c r="O474" s="181"/>
      <c r="P474" s="181"/>
      <c r="Q474" s="181"/>
      <c r="R474" s="181"/>
      <c r="S474" s="182"/>
      <c r="T474" s="182"/>
      <c r="U474" s="182"/>
      <c r="V474" s="182"/>
      <c r="W474" s="183"/>
      <c r="X474" s="183"/>
      <c r="Y474" s="183"/>
      <c r="Z474" s="183"/>
    </row>
    <row r="475" ht="15.75" customHeight="1">
      <c r="A475" s="184">
        <v>5.6533227E7</v>
      </c>
      <c r="B475" s="185" t="s">
        <v>1066</v>
      </c>
      <c r="C475" s="186">
        <v>1.0618165E7</v>
      </c>
      <c r="D475" s="186">
        <v>834580.0</v>
      </c>
      <c r="E475" s="186">
        <v>756422.0</v>
      </c>
      <c r="F475" s="186">
        <v>20812.0</v>
      </c>
      <c r="G475" s="186">
        <v>30939.0</v>
      </c>
      <c r="H475" s="186">
        <v>0.0</v>
      </c>
      <c r="I475" s="186">
        <v>24420.0</v>
      </c>
      <c r="J475" s="186">
        <v>26217.0</v>
      </c>
      <c r="K475" s="186">
        <v>102388.0</v>
      </c>
      <c r="L475" s="186">
        <v>2697991.0</v>
      </c>
      <c r="M475" s="181"/>
      <c r="N475" s="181"/>
      <c r="O475" s="181"/>
      <c r="P475" s="181"/>
      <c r="Q475" s="181"/>
      <c r="R475" s="181"/>
      <c r="S475" s="182"/>
      <c r="T475" s="182"/>
      <c r="U475" s="182"/>
      <c r="V475" s="182"/>
      <c r="W475" s="183"/>
      <c r="X475" s="183"/>
      <c r="Y475" s="183"/>
      <c r="Z475" s="183"/>
    </row>
    <row r="476" ht="15.75" customHeight="1">
      <c r="A476" s="184">
        <v>1.71091688E8</v>
      </c>
      <c r="B476" s="185" t="s">
        <v>1067</v>
      </c>
      <c r="C476" s="186">
        <v>1.0606709E7</v>
      </c>
      <c r="D476" s="186">
        <v>352900.0</v>
      </c>
      <c r="E476" s="186">
        <v>22612.0</v>
      </c>
      <c r="F476" s="186">
        <v>340321.0</v>
      </c>
      <c r="G476" s="186">
        <v>10815.0</v>
      </c>
      <c r="H476" s="186">
        <v>18854.0</v>
      </c>
      <c r="I476" s="186">
        <v>18779.0</v>
      </c>
      <c r="J476" s="186">
        <v>0.0</v>
      </c>
      <c r="K476" s="186">
        <v>388769.0</v>
      </c>
      <c r="L476" s="186">
        <v>1.12E7</v>
      </c>
      <c r="M476" s="181"/>
      <c r="N476" s="181"/>
      <c r="O476" s="181"/>
      <c r="P476" s="181"/>
      <c r="Q476" s="181"/>
      <c r="R476" s="181"/>
      <c r="S476" s="182"/>
      <c r="T476" s="182"/>
      <c r="U476" s="182"/>
      <c r="V476" s="182"/>
      <c r="W476" s="183"/>
      <c r="X476" s="183"/>
      <c r="Y476" s="183"/>
      <c r="Z476" s="183"/>
    </row>
    <row r="477" ht="15.75" customHeight="1">
      <c r="A477" s="184">
        <v>1.68971909E8</v>
      </c>
      <c r="B477" s="185" t="s">
        <v>1068</v>
      </c>
      <c r="C477" s="186">
        <v>1.0601959E7</v>
      </c>
      <c r="D477" s="186">
        <v>986030.0</v>
      </c>
      <c r="E477" s="186">
        <v>446105.0</v>
      </c>
      <c r="F477" s="186">
        <v>65211.0</v>
      </c>
      <c r="G477" s="186">
        <v>94022.0</v>
      </c>
      <c r="H477" s="186">
        <v>31706.0</v>
      </c>
      <c r="I477" s="186">
        <v>6370.0</v>
      </c>
      <c r="J477" s="186">
        <v>29721.0</v>
      </c>
      <c r="K477" s="186">
        <v>227030.0</v>
      </c>
      <c r="L477" s="186">
        <v>3034472.0</v>
      </c>
      <c r="M477" s="181"/>
      <c r="N477" s="181"/>
      <c r="O477" s="181"/>
      <c r="P477" s="181"/>
      <c r="Q477" s="181"/>
      <c r="R477" s="181"/>
      <c r="S477" s="182"/>
      <c r="T477" s="182"/>
      <c r="U477" s="182"/>
      <c r="V477" s="182"/>
      <c r="W477" s="183"/>
      <c r="X477" s="183"/>
      <c r="Y477" s="183"/>
      <c r="Z477" s="183"/>
    </row>
    <row r="478" ht="15.75" customHeight="1">
      <c r="A478" s="184">
        <v>1.56672728E8</v>
      </c>
      <c r="B478" s="185" t="s">
        <v>1069</v>
      </c>
      <c r="C478" s="186">
        <v>1.0581892E7</v>
      </c>
      <c r="D478" s="186">
        <v>1200811.0</v>
      </c>
      <c r="E478" s="186">
        <v>0.0</v>
      </c>
      <c r="F478" s="186">
        <v>32687.0</v>
      </c>
      <c r="G478" s="186">
        <v>22204.0</v>
      </c>
      <c r="H478" s="186">
        <v>6274.0</v>
      </c>
      <c r="I478" s="186">
        <v>112477.0</v>
      </c>
      <c r="J478" s="186">
        <v>0.0</v>
      </c>
      <c r="K478" s="186">
        <v>173642.0</v>
      </c>
      <c r="L478" s="186">
        <v>5.4040752E7</v>
      </c>
      <c r="M478" s="181"/>
      <c r="N478" s="181"/>
      <c r="O478" s="181"/>
      <c r="P478" s="181"/>
      <c r="Q478" s="181"/>
      <c r="R478" s="181"/>
      <c r="S478" s="182"/>
      <c r="T478" s="182"/>
      <c r="U478" s="182"/>
      <c r="V478" s="182"/>
      <c r="W478" s="183"/>
      <c r="X478" s="183"/>
      <c r="Y478" s="183"/>
      <c r="Z478" s="183"/>
    </row>
    <row r="479" ht="15.75" customHeight="1">
      <c r="A479" s="184">
        <v>1.7294391E8</v>
      </c>
      <c r="B479" s="185" t="s">
        <v>1070</v>
      </c>
      <c r="C479" s="186">
        <v>1.0572826E7</v>
      </c>
      <c r="D479" s="186">
        <v>3398370.0</v>
      </c>
      <c r="E479" s="186">
        <v>256668.0</v>
      </c>
      <c r="F479" s="186">
        <v>223812.0</v>
      </c>
      <c r="G479" s="186">
        <v>225560.0</v>
      </c>
      <c r="H479" s="186">
        <v>450107.0</v>
      </c>
      <c r="I479" s="186">
        <v>110206.0</v>
      </c>
      <c r="J479" s="186">
        <v>0.0</v>
      </c>
      <c r="K479" s="186">
        <v>1009685.0</v>
      </c>
      <c r="L479" s="186">
        <v>3.16044E8</v>
      </c>
      <c r="M479" s="181"/>
      <c r="N479" s="181"/>
      <c r="O479" s="181"/>
      <c r="P479" s="181"/>
      <c r="Q479" s="181"/>
      <c r="R479" s="181"/>
      <c r="S479" s="182"/>
      <c r="T479" s="182"/>
      <c r="U479" s="182"/>
      <c r="V479" s="182"/>
      <c r="W479" s="183"/>
      <c r="X479" s="183"/>
      <c r="Y479" s="183"/>
      <c r="Z479" s="183"/>
    </row>
    <row r="480" ht="15.75" customHeight="1">
      <c r="A480" s="184">
        <v>1.69587531E8</v>
      </c>
      <c r="B480" s="185" t="s">
        <v>1071</v>
      </c>
      <c r="C480" s="186">
        <v>1.0529476E7</v>
      </c>
      <c r="D480" s="186">
        <v>545573.0</v>
      </c>
      <c r="E480" s="186">
        <v>139542.0</v>
      </c>
      <c r="F480" s="186">
        <v>709.0</v>
      </c>
      <c r="G480" s="186">
        <v>7941.0</v>
      </c>
      <c r="H480" s="186">
        <v>13945.0</v>
      </c>
      <c r="I480" s="186">
        <v>47377.0</v>
      </c>
      <c r="J480" s="186">
        <v>0.0</v>
      </c>
      <c r="K480" s="186">
        <v>69972.0</v>
      </c>
      <c r="L480" s="186">
        <v>0.0</v>
      </c>
      <c r="M480" s="181"/>
      <c r="N480" s="181"/>
      <c r="O480" s="181"/>
      <c r="P480" s="181"/>
      <c r="Q480" s="181"/>
      <c r="R480" s="181"/>
      <c r="S480" s="182"/>
      <c r="T480" s="182"/>
      <c r="U480" s="182"/>
      <c r="V480" s="182"/>
      <c r="W480" s="183"/>
      <c r="X480" s="183"/>
      <c r="Y480" s="183"/>
      <c r="Z480" s="183"/>
    </row>
    <row r="481" ht="15.75" customHeight="1">
      <c r="A481" s="184">
        <v>3.185144E7</v>
      </c>
      <c r="B481" s="185" t="s">
        <v>1072</v>
      </c>
      <c r="C481" s="186">
        <v>1.0526075E7</v>
      </c>
      <c r="D481" s="186">
        <v>2362674.0</v>
      </c>
      <c r="E481" s="186">
        <v>907421.0</v>
      </c>
      <c r="F481" s="186">
        <v>12691.0</v>
      </c>
      <c r="G481" s="186">
        <v>3053.0</v>
      </c>
      <c r="H481" s="186">
        <v>9530.0</v>
      </c>
      <c r="I481" s="186">
        <v>231591.0</v>
      </c>
      <c r="J481" s="186">
        <v>0.0</v>
      </c>
      <c r="K481" s="186">
        <v>256865.0</v>
      </c>
      <c r="L481" s="186">
        <v>8400000.0</v>
      </c>
      <c r="M481" s="181"/>
      <c r="N481" s="181"/>
      <c r="O481" s="181"/>
      <c r="P481" s="181"/>
      <c r="Q481" s="181"/>
      <c r="R481" s="181"/>
      <c r="S481" s="182"/>
      <c r="T481" s="182"/>
      <c r="U481" s="182"/>
      <c r="V481" s="182"/>
      <c r="W481" s="183"/>
      <c r="X481" s="183"/>
      <c r="Y481" s="183"/>
      <c r="Z481" s="183"/>
    </row>
    <row r="482" ht="15.75" customHeight="1">
      <c r="A482" s="184">
        <v>1.61640883E8</v>
      </c>
      <c r="B482" s="185" t="s">
        <v>1073</v>
      </c>
      <c r="C482" s="186">
        <v>1.0524586E7</v>
      </c>
      <c r="D482" s="186">
        <v>407836.0</v>
      </c>
      <c r="E482" s="186">
        <v>79993.0</v>
      </c>
      <c r="F482" s="186">
        <v>3800.0</v>
      </c>
      <c r="G482" s="186">
        <v>1990.0</v>
      </c>
      <c r="H482" s="186">
        <v>4119.0</v>
      </c>
      <c r="I482" s="186">
        <v>38662.0</v>
      </c>
      <c r="J482" s="186">
        <v>0.0</v>
      </c>
      <c r="K482" s="186">
        <v>48571.0</v>
      </c>
      <c r="L482" s="186">
        <v>0.0</v>
      </c>
      <c r="M482" s="181"/>
      <c r="N482" s="181"/>
      <c r="O482" s="181"/>
      <c r="P482" s="181"/>
      <c r="Q482" s="181"/>
      <c r="R482" s="181"/>
      <c r="S482" s="182"/>
      <c r="T482" s="182"/>
      <c r="U482" s="182"/>
      <c r="V482" s="182"/>
      <c r="W482" s="183"/>
      <c r="X482" s="183"/>
      <c r="Y482" s="183"/>
      <c r="Z482" s="183"/>
    </row>
    <row r="483" ht="15.75" customHeight="1">
      <c r="A483" s="184">
        <v>1.69563484E8</v>
      </c>
      <c r="B483" s="185" t="s">
        <v>1074</v>
      </c>
      <c r="C483" s="186">
        <v>1.0504331E7</v>
      </c>
      <c r="D483" s="186">
        <v>621409.0</v>
      </c>
      <c r="E483" s="186">
        <v>427393.0</v>
      </c>
      <c r="F483" s="186">
        <v>11905.0</v>
      </c>
      <c r="G483" s="186">
        <v>59634.0</v>
      </c>
      <c r="H483" s="186">
        <v>55800.0</v>
      </c>
      <c r="I483" s="186">
        <v>27656.0</v>
      </c>
      <c r="J483" s="186">
        <v>0.0</v>
      </c>
      <c r="K483" s="186">
        <v>154995.0</v>
      </c>
      <c r="L483" s="186">
        <v>2800000.0</v>
      </c>
      <c r="M483" s="181"/>
      <c r="N483" s="181"/>
      <c r="O483" s="181"/>
      <c r="P483" s="181"/>
      <c r="Q483" s="181"/>
      <c r="R483" s="181"/>
      <c r="S483" s="182"/>
      <c r="T483" s="182"/>
      <c r="U483" s="182"/>
      <c r="V483" s="182"/>
      <c r="W483" s="183"/>
      <c r="X483" s="183"/>
      <c r="Y483" s="183"/>
      <c r="Z483" s="183"/>
    </row>
    <row r="484" ht="15.75" customHeight="1">
      <c r="A484" s="184">
        <v>1.7546596E8</v>
      </c>
      <c r="B484" s="185" t="s">
        <v>1075</v>
      </c>
      <c r="C484" s="186">
        <v>1.0495675E7</v>
      </c>
      <c r="D484" s="186">
        <v>219127.0</v>
      </c>
      <c r="E484" s="186">
        <v>9822.0</v>
      </c>
      <c r="F484" s="186">
        <v>87.0</v>
      </c>
      <c r="G484" s="186">
        <v>3415.0</v>
      </c>
      <c r="H484" s="186">
        <v>19330.0</v>
      </c>
      <c r="I484" s="186">
        <v>13496.0</v>
      </c>
      <c r="J484" s="186">
        <v>0.0</v>
      </c>
      <c r="K484" s="186">
        <v>36328.0</v>
      </c>
      <c r="L484" s="186">
        <v>3.47585831E8</v>
      </c>
      <c r="M484" s="181"/>
      <c r="N484" s="181"/>
      <c r="O484" s="181"/>
      <c r="P484" s="181"/>
      <c r="Q484" s="181"/>
      <c r="R484" s="181"/>
      <c r="S484" s="182"/>
      <c r="T484" s="182"/>
      <c r="U484" s="182"/>
      <c r="V484" s="182"/>
      <c r="W484" s="183"/>
      <c r="X484" s="183"/>
      <c r="Y484" s="183"/>
      <c r="Z484" s="183"/>
    </row>
    <row r="485" ht="15.75" customHeight="1">
      <c r="A485" s="184">
        <v>1.69535901E8</v>
      </c>
      <c r="B485" s="185" t="s">
        <v>1076</v>
      </c>
      <c r="C485" s="186">
        <v>1.0486319E7</v>
      </c>
      <c r="D485" s="186">
        <v>942004.0</v>
      </c>
      <c r="E485" s="186">
        <v>840235.0</v>
      </c>
      <c r="F485" s="186">
        <v>4654.0</v>
      </c>
      <c r="G485" s="186">
        <v>8888.0</v>
      </c>
      <c r="H485" s="186">
        <v>16982.0</v>
      </c>
      <c r="I485" s="186">
        <v>53785.0</v>
      </c>
      <c r="J485" s="186">
        <v>15876.0</v>
      </c>
      <c r="K485" s="186">
        <v>100185.0</v>
      </c>
      <c r="L485" s="186">
        <v>0.0</v>
      </c>
      <c r="M485" s="181"/>
      <c r="N485" s="181"/>
      <c r="O485" s="181"/>
      <c r="P485" s="181"/>
      <c r="Q485" s="181"/>
      <c r="R485" s="181"/>
      <c r="S485" s="182"/>
      <c r="T485" s="182"/>
      <c r="U485" s="182"/>
      <c r="V485" s="182"/>
      <c r="W485" s="183"/>
      <c r="X485" s="183"/>
      <c r="Y485" s="183"/>
      <c r="Z485" s="183"/>
    </row>
    <row r="486" ht="15.75" customHeight="1">
      <c r="A486" s="184">
        <v>1.69496774E8</v>
      </c>
      <c r="B486" s="185" t="s">
        <v>1077</v>
      </c>
      <c r="C486" s="186">
        <v>1.0478371E7</v>
      </c>
      <c r="D486" s="186">
        <v>51924.0</v>
      </c>
      <c r="E486" s="186">
        <v>0.0</v>
      </c>
      <c r="F486" s="186">
        <v>5082.0</v>
      </c>
      <c r="G486" s="186">
        <v>1276.0</v>
      </c>
      <c r="H486" s="186">
        <v>4349.0</v>
      </c>
      <c r="I486" s="186">
        <v>3096.0</v>
      </c>
      <c r="J486" s="186">
        <v>0.0</v>
      </c>
      <c r="K486" s="186">
        <v>13803.0</v>
      </c>
      <c r="L486" s="186">
        <v>0.0</v>
      </c>
      <c r="M486" s="181"/>
      <c r="N486" s="181"/>
      <c r="O486" s="181"/>
      <c r="P486" s="181"/>
      <c r="Q486" s="181"/>
      <c r="R486" s="181"/>
      <c r="S486" s="182"/>
      <c r="T486" s="182"/>
      <c r="U486" s="182"/>
      <c r="V486" s="182"/>
      <c r="W486" s="183"/>
      <c r="X486" s="183"/>
      <c r="Y486" s="183"/>
      <c r="Z486" s="183"/>
    </row>
    <row r="487" ht="15.75" customHeight="1">
      <c r="A487" s="184">
        <v>1.71141056E8</v>
      </c>
      <c r="B487" s="185" t="s">
        <v>1078</v>
      </c>
      <c r="C487" s="186">
        <v>1.047152E7</v>
      </c>
      <c r="D487" s="186">
        <v>92474.0</v>
      </c>
      <c r="E487" s="186">
        <v>42056.0</v>
      </c>
      <c r="F487" s="186">
        <v>0.0</v>
      </c>
      <c r="G487" s="186">
        <v>914.0</v>
      </c>
      <c r="H487" s="186">
        <v>13569.0</v>
      </c>
      <c r="I487" s="186">
        <v>3637.0</v>
      </c>
      <c r="J487" s="186">
        <v>0.0</v>
      </c>
      <c r="K487" s="186">
        <v>18120.0</v>
      </c>
      <c r="L487" s="186">
        <v>1.107245737E9</v>
      </c>
      <c r="M487" s="181"/>
      <c r="N487" s="181"/>
      <c r="O487" s="181"/>
      <c r="P487" s="181"/>
      <c r="Q487" s="181"/>
      <c r="R487" s="181"/>
      <c r="S487" s="182"/>
      <c r="T487" s="182"/>
      <c r="U487" s="182"/>
      <c r="V487" s="182"/>
      <c r="W487" s="183"/>
      <c r="X487" s="183"/>
      <c r="Y487" s="183"/>
      <c r="Z487" s="183"/>
    </row>
    <row r="488" ht="15.75" customHeight="1">
      <c r="A488" s="184">
        <v>1.69044231E8</v>
      </c>
      <c r="B488" s="185" t="s">
        <v>1079</v>
      </c>
      <c r="C488" s="186">
        <v>1.045212E7</v>
      </c>
      <c r="D488" s="186">
        <v>2705176.0</v>
      </c>
      <c r="E488" s="186">
        <v>627426.0</v>
      </c>
      <c r="F488" s="186">
        <v>332500.0</v>
      </c>
      <c r="G488" s="186">
        <v>528702.0</v>
      </c>
      <c r="H488" s="186">
        <v>193623.0</v>
      </c>
      <c r="I488" s="186">
        <v>80678.0</v>
      </c>
      <c r="J488" s="186">
        <v>0.0</v>
      </c>
      <c r="K488" s="186">
        <v>1135503.0</v>
      </c>
      <c r="L488" s="186">
        <v>231681.0</v>
      </c>
      <c r="M488" s="181"/>
      <c r="N488" s="181"/>
      <c r="O488" s="181"/>
      <c r="P488" s="181"/>
      <c r="Q488" s="181"/>
      <c r="R488" s="181"/>
      <c r="S488" s="182"/>
      <c r="T488" s="182"/>
      <c r="U488" s="182"/>
      <c r="V488" s="182"/>
      <c r="W488" s="183"/>
      <c r="X488" s="183"/>
      <c r="Y488" s="183"/>
      <c r="Z488" s="183"/>
    </row>
    <row r="489" ht="15.75" customHeight="1">
      <c r="A489" s="184">
        <v>1.72499111E8</v>
      </c>
      <c r="B489" s="185" t="s">
        <v>1080</v>
      </c>
      <c r="C489" s="186">
        <v>1.0392869E7</v>
      </c>
      <c r="D489" s="186">
        <v>614799.0</v>
      </c>
      <c r="E489" s="186">
        <v>395938.0</v>
      </c>
      <c r="F489" s="186">
        <v>5777.0</v>
      </c>
      <c r="G489" s="186">
        <v>32098.0</v>
      </c>
      <c r="H489" s="186">
        <v>37792.0</v>
      </c>
      <c r="I489" s="186">
        <v>39828.0</v>
      </c>
      <c r="J489" s="186">
        <v>0.0</v>
      </c>
      <c r="K489" s="186">
        <v>115495.0</v>
      </c>
      <c r="L489" s="186">
        <v>2.7146083E8</v>
      </c>
      <c r="M489" s="181"/>
      <c r="N489" s="181"/>
      <c r="O489" s="181"/>
      <c r="P489" s="181"/>
      <c r="Q489" s="181"/>
      <c r="R489" s="181"/>
      <c r="S489" s="182"/>
      <c r="T489" s="182"/>
      <c r="U489" s="182"/>
      <c r="V489" s="182"/>
      <c r="W489" s="183"/>
      <c r="X489" s="183"/>
      <c r="Y489" s="183"/>
      <c r="Z489" s="183"/>
    </row>
    <row r="490" ht="15.75" customHeight="1">
      <c r="A490" s="184">
        <v>1.69836917E8</v>
      </c>
      <c r="B490" s="185" t="s">
        <v>1081</v>
      </c>
      <c r="C490" s="186">
        <v>1.0389319E7</v>
      </c>
      <c r="D490" s="186">
        <v>2796217.0</v>
      </c>
      <c r="E490" s="186">
        <v>77088.0</v>
      </c>
      <c r="F490" s="186">
        <v>72655.0</v>
      </c>
      <c r="G490" s="186">
        <v>272745.0</v>
      </c>
      <c r="H490" s="186">
        <v>83984.0</v>
      </c>
      <c r="I490" s="186">
        <v>190026.0</v>
      </c>
      <c r="J490" s="186">
        <v>0.0</v>
      </c>
      <c r="K490" s="186">
        <v>619410.0</v>
      </c>
      <c r="L490" s="186">
        <v>2.900374184E9</v>
      </c>
      <c r="M490" s="181"/>
      <c r="N490" s="181"/>
      <c r="O490" s="181"/>
      <c r="P490" s="181"/>
      <c r="Q490" s="181"/>
      <c r="R490" s="181"/>
      <c r="S490" s="182"/>
      <c r="T490" s="182"/>
      <c r="U490" s="182"/>
      <c r="V490" s="182"/>
      <c r="W490" s="183"/>
      <c r="X490" s="183"/>
      <c r="Y490" s="183"/>
      <c r="Z490" s="183"/>
    </row>
    <row r="491" ht="15.75" customHeight="1">
      <c r="A491" s="184">
        <v>1.69841852E8</v>
      </c>
      <c r="B491" s="185" t="s">
        <v>1082</v>
      </c>
      <c r="C491" s="186">
        <v>1.0275804E7</v>
      </c>
      <c r="D491" s="186">
        <v>1497501.0</v>
      </c>
      <c r="E491" s="186">
        <v>310255.0</v>
      </c>
      <c r="F491" s="186">
        <v>58535.0</v>
      </c>
      <c r="G491" s="186">
        <v>396446.0</v>
      </c>
      <c r="H491" s="186">
        <v>18553.0</v>
      </c>
      <c r="I491" s="186">
        <v>61869.0</v>
      </c>
      <c r="J491" s="186">
        <v>0.0</v>
      </c>
      <c r="K491" s="186">
        <v>535403.0</v>
      </c>
      <c r="L491" s="186">
        <v>1.000368261E9</v>
      </c>
      <c r="M491" s="181"/>
      <c r="N491" s="181"/>
      <c r="O491" s="181"/>
      <c r="P491" s="181"/>
      <c r="Q491" s="181"/>
      <c r="R491" s="181"/>
      <c r="S491" s="182"/>
      <c r="T491" s="182"/>
      <c r="U491" s="182"/>
      <c r="V491" s="182"/>
      <c r="W491" s="183"/>
      <c r="X491" s="183"/>
      <c r="Y491" s="183"/>
      <c r="Z491" s="183"/>
    </row>
    <row r="492" ht="15.75" customHeight="1">
      <c r="A492" s="184">
        <v>1.72676639E8</v>
      </c>
      <c r="B492" s="185" t="s">
        <v>1083</v>
      </c>
      <c r="C492" s="186">
        <v>1.0230208E7</v>
      </c>
      <c r="D492" s="186">
        <v>849056.0</v>
      </c>
      <c r="E492" s="186">
        <v>187164.0</v>
      </c>
      <c r="F492" s="186">
        <v>243862.0</v>
      </c>
      <c r="G492" s="186">
        <v>1085.0</v>
      </c>
      <c r="H492" s="186">
        <v>91.0</v>
      </c>
      <c r="I492" s="186">
        <v>78827.0</v>
      </c>
      <c r="J492" s="186">
        <v>474.0</v>
      </c>
      <c r="K492" s="186">
        <v>324339.0</v>
      </c>
      <c r="L492" s="186">
        <v>4.33713386E8</v>
      </c>
      <c r="M492" s="181"/>
      <c r="N492" s="181"/>
      <c r="O492" s="181"/>
      <c r="P492" s="181"/>
      <c r="Q492" s="181"/>
      <c r="R492" s="181"/>
      <c r="S492" s="182"/>
      <c r="T492" s="182"/>
      <c r="U492" s="182"/>
      <c r="V492" s="182"/>
      <c r="W492" s="183"/>
      <c r="X492" s="183"/>
      <c r="Y492" s="183"/>
      <c r="Z492" s="183"/>
    </row>
    <row r="493" ht="15.75" customHeight="1">
      <c r="A493" s="184">
        <v>9.9062065E7</v>
      </c>
      <c r="B493" s="185" t="s">
        <v>1084</v>
      </c>
      <c r="C493" s="186">
        <v>1.0223369E7</v>
      </c>
      <c r="D493" s="186">
        <v>3678573.0</v>
      </c>
      <c r="E493" s="186">
        <v>353621.0</v>
      </c>
      <c r="F493" s="186">
        <v>34068.0</v>
      </c>
      <c r="G493" s="186">
        <v>79094.0</v>
      </c>
      <c r="H493" s="186">
        <v>46868.0</v>
      </c>
      <c r="I493" s="186">
        <v>269596.0</v>
      </c>
      <c r="J493" s="186">
        <v>31507.0</v>
      </c>
      <c r="K493" s="186">
        <v>461133.0</v>
      </c>
      <c r="L493" s="186">
        <v>0.0</v>
      </c>
      <c r="M493" s="181"/>
      <c r="N493" s="181"/>
      <c r="O493" s="181"/>
      <c r="P493" s="181"/>
      <c r="Q493" s="181"/>
      <c r="R493" s="181"/>
      <c r="S493" s="182"/>
      <c r="T493" s="182"/>
      <c r="U493" s="182"/>
      <c r="V493" s="182"/>
      <c r="W493" s="183"/>
      <c r="X493" s="183"/>
      <c r="Y493" s="183"/>
      <c r="Z493" s="183"/>
    </row>
    <row r="494" ht="15.75" customHeight="1">
      <c r="A494" s="184">
        <v>1.69507903E8</v>
      </c>
      <c r="B494" s="185" t="s">
        <v>1085</v>
      </c>
      <c r="C494" s="186">
        <v>1.0211342E7</v>
      </c>
      <c r="D494" s="186">
        <v>350505.0</v>
      </c>
      <c r="E494" s="186">
        <v>107358.0</v>
      </c>
      <c r="F494" s="186">
        <v>9405.0</v>
      </c>
      <c r="G494" s="186">
        <v>18250.0</v>
      </c>
      <c r="H494" s="186">
        <v>31266.0</v>
      </c>
      <c r="I494" s="186">
        <v>18706.0</v>
      </c>
      <c r="J494" s="186">
        <v>0.0</v>
      </c>
      <c r="K494" s="186">
        <v>77627.0</v>
      </c>
      <c r="L494" s="186">
        <v>1210000.0</v>
      </c>
      <c r="M494" s="181"/>
      <c r="N494" s="181"/>
      <c r="O494" s="181"/>
      <c r="P494" s="181"/>
      <c r="Q494" s="181"/>
      <c r="R494" s="181"/>
      <c r="S494" s="182"/>
      <c r="T494" s="182"/>
      <c r="U494" s="182"/>
      <c r="V494" s="182"/>
      <c r="W494" s="183"/>
      <c r="X494" s="183"/>
      <c r="Y494" s="183"/>
      <c r="Z494" s="183"/>
    </row>
    <row r="495" ht="15.75" customHeight="1">
      <c r="A495" s="184">
        <v>1.69502953E8</v>
      </c>
      <c r="B495" s="185" t="s">
        <v>1086</v>
      </c>
      <c r="C495" s="186">
        <v>1.0172571E7</v>
      </c>
      <c r="D495" s="186">
        <v>179849.0</v>
      </c>
      <c r="E495" s="186">
        <v>28379.0</v>
      </c>
      <c r="F495" s="186">
        <v>5285.0</v>
      </c>
      <c r="G495" s="186">
        <v>24546.0</v>
      </c>
      <c r="H495" s="186">
        <v>11095.0</v>
      </c>
      <c r="I495" s="186">
        <v>8532.0</v>
      </c>
      <c r="J495" s="186">
        <v>0.0</v>
      </c>
      <c r="K495" s="186">
        <v>49458.0</v>
      </c>
      <c r="L495" s="186">
        <v>150000.0</v>
      </c>
      <c r="M495" s="181"/>
      <c r="N495" s="181"/>
      <c r="O495" s="181"/>
      <c r="P495" s="181"/>
      <c r="Q495" s="181"/>
      <c r="R495" s="181"/>
      <c r="S495" s="182"/>
      <c r="T495" s="182"/>
      <c r="U495" s="182"/>
      <c r="V495" s="182"/>
      <c r="W495" s="183"/>
      <c r="X495" s="183"/>
      <c r="Y495" s="183"/>
      <c r="Z495" s="183"/>
    </row>
    <row r="496" ht="15.75" customHeight="1">
      <c r="A496" s="184">
        <v>1.69488332E8</v>
      </c>
      <c r="B496" s="185" t="s">
        <v>1087</v>
      </c>
      <c r="C496" s="186">
        <v>1.0170683E7</v>
      </c>
      <c r="D496" s="186">
        <v>419404.0</v>
      </c>
      <c r="E496" s="186">
        <v>27170.0</v>
      </c>
      <c r="F496" s="186">
        <v>7813.0</v>
      </c>
      <c r="G496" s="186">
        <v>72861.0</v>
      </c>
      <c r="H496" s="186">
        <v>59320.0</v>
      </c>
      <c r="I496" s="186">
        <v>3484.0</v>
      </c>
      <c r="J496" s="186">
        <v>0.0</v>
      </c>
      <c r="K496" s="186">
        <v>143478.0</v>
      </c>
      <c r="L496" s="186">
        <v>0.0</v>
      </c>
      <c r="M496" s="181"/>
      <c r="N496" s="181"/>
      <c r="O496" s="181"/>
      <c r="P496" s="181"/>
      <c r="Q496" s="181"/>
      <c r="R496" s="181"/>
      <c r="S496" s="182"/>
      <c r="T496" s="182"/>
      <c r="U496" s="182"/>
      <c r="V496" s="182"/>
      <c r="W496" s="183"/>
      <c r="X496" s="183"/>
      <c r="Y496" s="183"/>
      <c r="Z496" s="183"/>
    </row>
    <row r="497" ht="15.75" customHeight="1">
      <c r="A497" s="184">
        <v>1.72553232E8</v>
      </c>
      <c r="B497" s="185" t="s">
        <v>1088</v>
      </c>
      <c r="C497" s="186">
        <v>1.012818E7</v>
      </c>
      <c r="D497" s="186">
        <v>192328.0</v>
      </c>
      <c r="E497" s="186">
        <v>253508.0</v>
      </c>
      <c r="F497" s="186">
        <v>292.0</v>
      </c>
      <c r="G497" s="186">
        <v>0.0</v>
      </c>
      <c r="H497" s="186">
        <v>0.0</v>
      </c>
      <c r="I497" s="186">
        <v>19227.0</v>
      </c>
      <c r="J497" s="186">
        <v>0.0</v>
      </c>
      <c r="K497" s="186">
        <v>19519.0</v>
      </c>
      <c r="L497" s="186">
        <v>1.083001586E9</v>
      </c>
      <c r="M497" s="181"/>
      <c r="N497" s="181"/>
      <c r="O497" s="181"/>
      <c r="P497" s="181"/>
      <c r="Q497" s="181"/>
      <c r="R497" s="181"/>
      <c r="S497" s="182"/>
      <c r="T497" s="182"/>
      <c r="U497" s="182"/>
      <c r="V497" s="182"/>
      <c r="W497" s="183"/>
      <c r="X497" s="183"/>
      <c r="Y497" s="183"/>
      <c r="Z497" s="183"/>
    </row>
    <row r="498" ht="15.75" customHeight="1">
      <c r="A498" s="184">
        <v>1.69528329E8</v>
      </c>
      <c r="B498" s="185" t="s">
        <v>1089</v>
      </c>
      <c r="C498" s="186">
        <v>1.0109108E7</v>
      </c>
      <c r="D498" s="186">
        <v>5861740.0</v>
      </c>
      <c r="E498" s="186">
        <v>631084.0</v>
      </c>
      <c r="F498" s="186">
        <v>1099960.0</v>
      </c>
      <c r="G498" s="186">
        <v>1884654.0</v>
      </c>
      <c r="H498" s="186">
        <v>134010.0</v>
      </c>
      <c r="I498" s="186">
        <v>113352.0</v>
      </c>
      <c r="J498" s="186">
        <v>10144.0</v>
      </c>
      <c r="K498" s="186">
        <v>3242120.0</v>
      </c>
      <c r="L498" s="186">
        <v>2939889.0</v>
      </c>
      <c r="M498" s="181"/>
      <c r="N498" s="181"/>
      <c r="O498" s="181"/>
      <c r="P498" s="181"/>
      <c r="Q498" s="181"/>
      <c r="R498" s="181"/>
      <c r="S498" s="182"/>
      <c r="T498" s="182"/>
      <c r="U498" s="182"/>
      <c r="V498" s="182"/>
      <c r="W498" s="183"/>
      <c r="X498" s="183"/>
      <c r="Y498" s="183"/>
      <c r="Z498" s="183"/>
    </row>
    <row r="499" ht="15.75" customHeight="1">
      <c r="A499" s="184">
        <v>1.69546305E8</v>
      </c>
      <c r="B499" s="188" t="s">
        <v>1090</v>
      </c>
      <c r="C499" s="186">
        <v>1.0079966E7</v>
      </c>
      <c r="D499" s="186">
        <v>149258.0</v>
      </c>
      <c r="E499" s="186">
        <v>21346.0</v>
      </c>
      <c r="F499" s="186">
        <v>211.0</v>
      </c>
      <c r="G499" s="186">
        <v>15427.0</v>
      </c>
      <c r="H499" s="186">
        <v>8313.0</v>
      </c>
      <c r="I499" s="186">
        <v>8511.0</v>
      </c>
      <c r="J499" s="186">
        <v>0.0</v>
      </c>
      <c r="K499" s="186">
        <v>32462.0</v>
      </c>
      <c r="L499" s="186">
        <v>0.0</v>
      </c>
      <c r="M499" s="181"/>
      <c r="N499" s="181"/>
      <c r="O499" s="181"/>
      <c r="P499" s="181"/>
      <c r="Q499" s="181"/>
      <c r="R499" s="181"/>
      <c r="S499" s="182"/>
      <c r="T499" s="182"/>
      <c r="U499" s="182"/>
      <c r="V499" s="182"/>
      <c r="W499" s="183"/>
      <c r="X499" s="183"/>
      <c r="Y499" s="183"/>
      <c r="Z499" s="183"/>
    </row>
    <row r="500" ht="15.75" customHeight="1">
      <c r="A500" s="184">
        <v>1.25369968E8</v>
      </c>
      <c r="B500" s="185" t="s">
        <v>1091</v>
      </c>
      <c r="C500" s="186">
        <v>1.006461E7</v>
      </c>
      <c r="D500" s="186">
        <v>4175207.0</v>
      </c>
      <c r="E500" s="186">
        <v>96183.0</v>
      </c>
      <c r="F500" s="186">
        <v>99669.0</v>
      </c>
      <c r="G500" s="186">
        <v>641335.0</v>
      </c>
      <c r="H500" s="186">
        <v>205701.0</v>
      </c>
      <c r="I500" s="186">
        <v>203540.0</v>
      </c>
      <c r="J500" s="186">
        <v>720.0</v>
      </c>
      <c r="K500" s="186">
        <v>1150965.0</v>
      </c>
      <c r="L500" s="186">
        <v>0.0</v>
      </c>
      <c r="M500" s="181"/>
      <c r="N500" s="181"/>
      <c r="O500" s="181"/>
      <c r="P500" s="181"/>
      <c r="Q500" s="181"/>
      <c r="R500" s="181"/>
      <c r="S500" s="182"/>
      <c r="T500" s="182"/>
      <c r="U500" s="182"/>
      <c r="V500" s="182"/>
      <c r="W500" s="183"/>
      <c r="X500" s="183"/>
      <c r="Y500" s="183"/>
      <c r="Z500" s="183"/>
    </row>
    <row r="501" ht="15.75" customHeight="1">
      <c r="A501" s="184">
        <v>1.68987585E8</v>
      </c>
      <c r="B501" s="185" t="s">
        <v>1092</v>
      </c>
      <c r="C501" s="186">
        <v>1.0058071E7</v>
      </c>
      <c r="D501" s="186">
        <v>231861.0</v>
      </c>
      <c r="E501" s="186">
        <v>24672.0</v>
      </c>
      <c r="F501" s="186">
        <v>5.0</v>
      </c>
      <c r="G501" s="186">
        <v>2651.0</v>
      </c>
      <c r="H501" s="186">
        <v>5707.0</v>
      </c>
      <c r="I501" s="186">
        <v>15693.0</v>
      </c>
      <c r="J501" s="186">
        <v>2340.0</v>
      </c>
      <c r="K501" s="186">
        <v>26396.0</v>
      </c>
      <c r="L501" s="186">
        <v>1.2292752E7</v>
      </c>
      <c r="M501" s="181"/>
      <c r="N501" s="181"/>
      <c r="O501" s="181"/>
      <c r="P501" s="181"/>
      <c r="Q501" s="181"/>
      <c r="R501" s="181"/>
      <c r="S501" s="182"/>
      <c r="T501" s="182"/>
      <c r="U501" s="182"/>
      <c r="V501" s="182"/>
      <c r="W501" s="183"/>
      <c r="X501" s="183"/>
      <c r="Y501" s="183"/>
      <c r="Z501" s="183"/>
    </row>
    <row r="502" ht="15.75" customHeight="1">
      <c r="A502" s="184">
        <v>1.5439691E8</v>
      </c>
      <c r="B502" s="185" t="s">
        <v>1093</v>
      </c>
      <c r="C502" s="186">
        <v>1.0051201E7</v>
      </c>
      <c r="D502" s="186">
        <v>845347.0</v>
      </c>
      <c r="E502" s="186">
        <v>600036.0</v>
      </c>
      <c r="F502" s="186">
        <v>187.0</v>
      </c>
      <c r="G502" s="186">
        <v>5044.0</v>
      </c>
      <c r="H502" s="186">
        <v>3123.0</v>
      </c>
      <c r="I502" s="186">
        <v>70507.0</v>
      </c>
      <c r="J502" s="186">
        <v>5883.0</v>
      </c>
      <c r="K502" s="186">
        <v>84744.0</v>
      </c>
      <c r="L502" s="186">
        <v>1.18181494E8</v>
      </c>
      <c r="M502" s="181"/>
      <c r="N502" s="181"/>
      <c r="O502" s="181"/>
      <c r="P502" s="181"/>
      <c r="Q502" s="181"/>
      <c r="R502" s="181"/>
      <c r="S502" s="182"/>
      <c r="T502" s="182"/>
      <c r="U502" s="182"/>
      <c r="V502" s="182"/>
      <c r="W502" s="183"/>
      <c r="X502" s="183"/>
      <c r="Y502" s="183"/>
      <c r="Z502" s="183"/>
    </row>
    <row r="503" ht="15.75" customHeight="1">
      <c r="A503" s="184">
        <v>1.69536454E8</v>
      </c>
      <c r="B503" s="185" t="s">
        <v>1094</v>
      </c>
      <c r="C503" s="186">
        <v>1.0049441E7</v>
      </c>
      <c r="D503" s="186">
        <v>22070.0</v>
      </c>
      <c r="E503" s="186">
        <v>0.0</v>
      </c>
      <c r="F503" s="186">
        <v>0.0</v>
      </c>
      <c r="G503" s="186">
        <v>0.0</v>
      </c>
      <c r="H503" s="186">
        <v>0.0</v>
      </c>
      <c r="I503" s="186">
        <v>2207.0</v>
      </c>
      <c r="J503" s="186">
        <v>0.0</v>
      </c>
      <c r="K503" s="186">
        <v>2207.0</v>
      </c>
      <c r="L503" s="186">
        <v>2800000.0</v>
      </c>
      <c r="M503" s="181"/>
      <c r="N503" s="181"/>
      <c r="O503" s="181"/>
      <c r="P503" s="181"/>
      <c r="Q503" s="181"/>
      <c r="R503" s="181"/>
      <c r="S503" s="182"/>
      <c r="T503" s="182"/>
      <c r="U503" s="182"/>
      <c r="V503" s="182"/>
      <c r="W503" s="183"/>
      <c r="X503" s="183"/>
      <c r="Y503" s="183"/>
      <c r="Z503" s="183"/>
    </row>
    <row r="504" ht="15.75" customHeight="1">
      <c r="A504" s="184">
        <v>1.72373786E8</v>
      </c>
      <c r="B504" s="185" t="s">
        <v>1095</v>
      </c>
      <c r="C504" s="186">
        <v>1.0056095E7</v>
      </c>
      <c r="D504" s="186">
        <v>394185.0</v>
      </c>
      <c r="E504" s="186">
        <v>1249.0</v>
      </c>
      <c r="F504" s="186">
        <v>6065.0</v>
      </c>
      <c r="G504" s="186">
        <v>110168.0</v>
      </c>
      <c r="H504" s="186">
        <v>39104.0</v>
      </c>
      <c r="I504" s="186">
        <v>1622.0</v>
      </c>
      <c r="J504" s="186">
        <v>0.0</v>
      </c>
      <c r="K504" s="186">
        <v>156959.0</v>
      </c>
      <c r="L504" s="186">
        <v>1615000.0</v>
      </c>
      <c r="M504" s="181"/>
      <c r="N504" s="181"/>
      <c r="O504" s="181"/>
      <c r="P504" s="181"/>
      <c r="Q504" s="181"/>
      <c r="R504" s="181"/>
      <c r="S504" s="182"/>
      <c r="T504" s="182"/>
      <c r="U504" s="182"/>
      <c r="V504" s="182"/>
      <c r="W504" s="183"/>
      <c r="X504" s="183"/>
      <c r="Y504" s="183"/>
      <c r="Z504" s="183"/>
    </row>
    <row r="505" ht="15.75" customHeight="1">
      <c r="A505" s="184">
        <v>1.71418597E8</v>
      </c>
      <c r="B505" s="185" t="s">
        <v>1096</v>
      </c>
      <c r="C505" s="186">
        <v>1.0056737E7</v>
      </c>
      <c r="D505" s="186">
        <v>207210.0</v>
      </c>
      <c r="E505" s="186">
        <v>176227.0</v>
      </c>
      <c r="F505" s="186">
        <v>0.0</v>
      </c>
      <c r="G505" s="186">
        <v>0.0</v>
      </c>
      <c r="H505" s="186">
        <v>0.0</v>
      </c>
      <c r="I505" s="186">
        <v>20721.0</v>
      </c>
      <c r="J505" s="186">
        <v>0.0</v>
      </c>
      <c r="K505" s="186">
        <v>20721.0</v>
      </c>
      <c r="L505" s="186">
        <v>6.0666491E8</v>
      </c>
      <c r="M505" s="181"/>
      <c r="N505" s="181"/>
      <c r="O505" s="181"/>
      <c r="P505" s="181"/>
      <c r="Q505" s="181"/>
      <c r="R505" s="181"/>
      <c r="S505" s="182"/>
      <c r="T505" s="182"/>
      <c r="U505" s="182"/>
      <c r="V505" s="182"/>
      <c r="W505" s="183"/>
      <c r="X505" s="183"/>
      <c r="Y505" s="183"/>
      <c r="Z505" s="183"/>
    </row>
    <row r="506" ht="15.75" customHeight="1">
      <c r="A506" s="184">
        <v>1.69330667E8</v>
      </c>
      <c r="B506" s="185" t="s">
        <v>1097</v>
      </c>
      <c r="C506" s="186">
        <v>9984186.0</v>
      </c>
      <c r="D506" s="186">
        <v>2761128.0</v>
      </c>
      <c r="E506" s="186">
        <v>74318.0</v>
      </c>
      <c r="F506" s="186">
        <v>8172.0</v>
      </c>
      <c r="G506" s="186">
        <v>103952.0</v>
      </c>
      <c r="H506" s="186">
        <v>92890.0</v>
      </c>
      <c r="I506" s="186">
        <v>218003.0</v>
      </c>
      <c r="J506" s="186">
        <v>0.0</v>
      </c>
      <c r="K506" s="186">
        <v>423017.0</v>
      </c>
      <c r="L506" s="186">
        <v>2.029214956E9</v>
      </c>
      <c r="M506" s="181"/>
      <c r="N506" s="181"/>
      <c r="O506" s="181"/>
      <c r="P506" s="181"/>
      <c r="Q506" s="181"/>
      <c r="R506" s="181"/>
      <c r="S506" s="182"/>
      <c r="T506" s="182"/>
      <c r="U506" s="182"/>
      <c r="V506" s="182"/>
      <c r="W506" s="183"/>
      <c r="X506" s="183"/>
      <c r="Y506" s="183"/>
      <c r="Z506" s="183"/>
    </row>
    <row r="507" ht="15.75" customHeight="1">
      <c r="A507" s="184">
        <v>1.69513375E8</v>
      </c>
      <c r="B507" s="185" t="s">
        <v>1098</v>
      </c>
      <c r="C507" s="186">
        <v>9977340.0</v>
      </c>
      <c r="D507" s="186">
        <v>651536.0</v>
      </c>
      <c r="E507" s="186">
        <v>91735.0</v>
      </c>
      <c r="F507" s="186">
        <v>29900.0</v>
      </c>
      <c r="G507" s="186">
        <v>74959.0</v>
      </c>
      <c r="H507" s="186">
        <v>20157.0</v>
      </c>
      <c r="I507" s="186">
        <v>16753.0</v>
      </c>
      <c r="J507" s="186">
        <v>12374.0</v>
      </c>
      <c r="K507" s="186">
        <v>154143.0</v>
      </c>
      <c r="L507" s="186">
        <v>2.455073629E9</v>
      </c>
      <c r="M507" s="181"/>
      <c r="N507" s="181"/>
      <c r="O507" s="181"/>
      <c r="P507" s="181"/>
      <c r="Q507" s="181"/>
      <c r="R507" s="181"/>
      <c r="S507" s="182"/>
      <c r="T507" s="182"/>
      <c r="U507" s="182"/>
      <c r="V507" s="182"/>
      <c r="W507" s="183"/>
      <c r="X507" s="183"/>
      <c r="Y507" s="183"/>
      <c r="Z507" s="183"/>
    </row>
    <row r="508" ht="15.75" customHeight="1">
      <c r="A508" s="184">
        <v>1.69576593E8</v>
      </c>
      <c r="B508" s="185" t="s">
        <v>1099</v>
      </c>
      <c r="C508" s="186">
        <v>9973618.0</v>
      </c>
      <c r="D508" s="186">
        <v>1175443.0</v>
      </c>
      <c r="E508" s="186">
        <v>455841.0</v>
      </c>
      <c r="F508" s="186">
        <v>93965.0</v>
      </c>
      <c r="G508" s="186">
        <v>201767.0</v>
      </c>
      <c r="H508" s="186">
        <v>48734.0</v>
      </c>
      <c r="I508" s="186">
        <v>55818.0</v>
      </c>
      <c r="J508" s="186">
        <v>0.0</v>
      </c>
      <c r="K508" s="186">
        <v>400284.0</v>
      </c>
      <c r="L508" s="186">
        <v>0.0</v>
      </c>
      <c r="M508" s="181"/>
      <c r="N508" s="181"/>
      <c r="O508" s="181"/>
      <c r="P508" s="181"/>
      <c r="Q508" s="181"/>
      <c r="R508" s="181"/>
      <c r="S508" s="182"/>
      <c r="T508" s="182"/>
      <c r="U508" s="182"/>
      <c r="V508" s="182"/>
      <c r="W508" s="183"/>
      <c r="X508" s="183"/>
      <c r="Y508" s="183"/>
      <c r="Z508" s="183"/>
    </row>
    <row r="509" ht="15.75" customHeight="1">
      <c r="A509" s="184">
        <v>1.68973158E8</v>
      </c>
      <c r="B509" s="185" t="s">
        <v>1100</v>
      </c>
      <c r="C509" s="186">
        <v>9964306.0</v>
      </c>
      <c r="D509" s="186">
        <v>5324536.0</v>
      </c>
      <c r="E509" s="186">
        <v>140136.0</v>
      </c>
      <c r="F509" s="186">
        <v>633024.0</v>
      </c>
      <c r="G509" s="186">
        <v>1036174.0</v>
      </c>
      <c r="H509" s="186">
        <v>440011.0</v>
      </c>
      <c r="I509" s="186">
        <v>136554.0</v>
      </c>
      <c r="J509" s="186">
        <v>0.0</v>
      </c>
      <c r="K509" s="186">
        <v>2245763.0</v>
      </c>
      <c r="L509" s="186">
        <v>4061940.0</v>
      </c>
      <c r="M509" s="181"/>
      <c r="N509" s="181"/>
      <c r="O509" s="181"/>
      <c r="P509" s="181"/>
      <c r="Q509" s="181"/>
      <c r="R509" s="181"/>
      <c r="S509" s="182"/>
      <c r="T509" s="182"/>
      <c r="U509" s="182"/>
      <c r="V509" s="182"/>
      <c r="W509" s="183"/>
      <c r="X509" s="183"/>
      <c r="Y509" s="183"/>
      <c r="Z509" s="183"/>
    </row>
    <row r="510" ht="15.75" customHeight="1">
      <c r="A510" s="184">
        <v>1.69561277E8</v>
      </c>
      <c r="B510" s="185" t="s">
        <v>1101</v>
      </c>
      <c r="C510" s="186">
        <v>9947677.0</v>
      </c>
      <c r="D510" s="186">
        <v>1352453.0</v>
      </c>
      <c r="E510" s="186">
        <v>534533.0</v>
      </c>
      <c r="F510" s="186">
        <v>27997.0</v>
      </c>
      <c r="G510" s="186">
        <v>98159.0</v>
      </c>
      <c r="H510" s="186">
        <v>51039.0</v>
      </c>
      <c r="I510" s="186">
        <v>94638.0</v>
      </c>
      <c r="J510" s="186">
        <v>0.0</v>
      </c>
      <c r="K510" s="186">
        <v>271833.0</v>
      </c>
      <c r="L510" s="186">
        <v>0.0</v>
      </c>
      <c r="M510" s="181"/>
      <c r="N510" s="181"/>
      <c r="O510" s="181"/>
      <c r="P510" s="181"/>
      <c r="Q510" s="181"/>
      <c r="R510" s="181"/>
      <c r="S510" s="182"/>
      <c r="T510" s="182"/>
      <c r="U510" s="182"/>
      <c r="V510" s="182"/>
      <c r="W510" s="183"/>
      <c r="X510" s="183"/>
      <c r="Y510" s="183"/>
      <c r="Z510" s="183"/>
    </row>
    <row r="511" ht="15.75" customHeight="1">
      <c r="A511" s="184">
        <v>5.8066112E7</v>
      </c>
      <c r="B511" s="185" t="s">
        <v>1102</v>
      </c>
      <c r="C511" s="186">
        <v>9866587.0</v>
      </c>
      <c r="D511" s="186">
        <v>2329766.0</v>
      </c>
      <c r="E511" s="186">
        <v>1220428.0</v>
      </c>
      <c r="F511" s="186">
        <v>163481.0</v>
      </c>
      <c r="G511" s="186">
        <v>303054.0</v>
      </c>
      <c r="H511" s="186">
        <v>120403.0</v>
      </c>
      <c r="I511" s="186">
        <v>90339.0</v>
      </c>
      <c r="J511" s="186">
        <v>15298.0</v>
      </c>
      <c r="K511" s="186">
        <v>692575.0</v>
      </c>
      <c r="L511" s="186">
        <v>0.0</v>
      </c>
      <c r="M511" s="181"/>
      <c r="N511" s="181"/>
      <c r="O511" s="181"/>
      <c r="P511" s="181"/>
      <c r="Q511" s="181"/>
      <c r="R511" s="181"/>
      <c r="S511" s="182"/>
      <c r="T511" s="182"/>
      <c r="U511" s="182"/>
      <c r="V511" s="182"/>
      <c r="W511" s="183"/>
      <c r="X511" s="183"/>
      <c r="Y511" s="183"/>
      <c r="Z511" s="183"/>
    </row>
    <row r="512" ht="15.75" customHeight="1">
      <c r="A512" s="184">
        <v>1.69490716E8</v>
      </c>
      <c r="B512" s="185" t="s">
        <v>1103</v>
      </c>
      <c r="C512" s="186">
        <v>9839588.0</v>
      </c>
      <c r="D512" s="186">
        <v>285082.0</v>
      </c>
      <c r="E512" s="186">
        <v>30830.0</v>
      </c>
      <c r="F512" s="186">
        <v>1103.0</v>
      </c>
      <c r="G512" s="186">
        <v>503.0</v>
      </c>
      <c r="H512" s="186">
        <v>8619.0</v>
      </c>
      <c r="I512" s="186">
        <v>24938.0</v>
      </c>
      <c r="J512" s="186">
        <v>0.0</v>
      </c>
      <c r="K512" s="186">
        <v>35163.0</v>
      </c>
      <c r="L512" s="186">
        <v>0.0</v>
      </c>
      <c r="M512" s="181"/>
      <c r="N512" s="181"/>
      <c r="O512" s="181"/>
      <c r="P512" s="181"/>
      <c r="Q512" s="181"/>
      <c r="R512" s="181"/>
      <c r="S512" s="182"/>
      <c r="T512" s="182"/>
      <c r="U512" s="182"/>
      <c r="V512" s="182"/>
      <c r="W512" s="183"/>
      <c r="X512" s="183"/>
      <c r="Y512" s="183"/>
      <c r="Z512" s="183"/>
    </row>
    <row r="513" ht="15.75" customHeight="1">
      <c r="A513" s="184">
        <v>1.00838985E8</v>
      </c>
      <c r="B513" s="185" t="s">
        <v>1104</v>
      </c>
      <c r="C513" s="186">
        <v>9776394.0</v>
      </c>
      <c r="D513" s="186">
        <v>1427780.0</v>
      </c>
      <c r="E513" s="186">
        <v>577301.0</v>
      </c>
      <c r="F513" s="186">
        <v>44391.0</v>
      </c>
      <c r="G513" s="186">
        <v>218825.0</v>
      </c>
      <c r="H513" s="186">
        <v>57633.0</v>
      </c>
      <c r="I513" s="186">
        <v>75072.0</v>
      </c>
      <c r="J513" s="186">
        <v>0.0</v>
      </c>
      <c r="K513" s="186">
        <v>395921.0</v>
      </c>
      <c r="L513" s="186">
        <v>1.2443748E7</v>
      </c>
      <c r="M513" s="181"/>
      <c r="N513" s="181"/>
      <c r="O513" s="181"/>
      <c r="P513" s="181"/>
      <c r="Q513" s="181"/>
      <c r="R513" s="181"/>
      <c r="S513" s="182"/>
      <c r="T513" s="182"/>
      <c r="U513" s="182"/>
      <c r="V513" s="182"/>
      <c r="W513" s="183"/>
      <c r="X513" s="183"/>
      <c r="Y513" s="183"/>
      <c r="Z513" s="183"/>
    </row>
    <row r="514" ht="15.75" customHeight="1">
      <c r="A514" s="184">
        <v>1.69512155E8</v>
      </c>
      <c r="B514" s="185" t="s">
        <v>1105</v>
      </c>
      <c r="C514" s="186">
        <v>9864316.0</v>
      </c>
      <c r="D514" s="186">
        <v>528667.0</v>
      </c>
      <c r="E514" s="186">
        <v>173632.0</v>
      </c>
      <c r="F514" s="186">
        <v>118.0</v>
      </c>
      <c r="G514" s="186">
        <v>7840.0</v>
      </c>
      <c r="H514" s="186">
        <v>31541.0</v>
      </c>
      <c r="I514" s="186">
        <v>38680.0</v>
      </c>
      <c r="J514" s="186">
        <v>0.0</v>
      </c>
      <c r="K514" s="186">
        <v>78179.0</v>
      </c>
      <c r="L514" s="186">
        <v>957263.0</v>
      </c>
      <c r="M514" s="181"/>
      <c r="N514" s="181"/>
      <c r="O514" s="181"/>
      <c r="P514" s="181"/>
      <c r="Q514" s="181"/>
      <c r="R514" s="181"/>
      <c r="S514" s="182"/>
      <c r="T514" s="182"/>
      <c r="U514" s="182"/>
      <c r="V514" s="182"/>
      <c r="W514" s="183"/>
      <c r="X514" s="183"/>
      <c r="Y514" s="183"/>
      <c r="Z514" s="183"/>
    </row>
    <row r="515" ht="15.75" customHeight="1">
      <c r="A515" s="184">
        <v>1.69321061E8</v>
      </c>
      <c r="B515" s="185" t="s">
        <v>1106</v>
      </c>
      <c r="C515" s="186">
        <v>9719419.0</v>
      </c>
      <c r="D515" s="186">
        <v>3118816.0</v>
      </c>
      <c r="E515" s="186">
        <v>409958.0</v>
      </c>
      <c r="F515" s="186">
        <v>180531.0</v>
      </c>
      <c r="G515" s="186">
        <v>448798.0</v>
      </c>
      <c r="H515" s="186">
        <v>238171.0</v>
      </c>
      <c r="I515" s="186">
        <v>123243.0</v>
      </c>
      <c r="J515" s="186">
        <v>0.0</v>
      </c>
      <c r="K515" s="186">
        <v>990743.0</v>
      </c>
      <c r="L515" s="186">
        <v>6309339.0</v>
      </c>
      <c r="M515" s="181"/>
      <c r="N515" s="181"/>
      <c r="O515" s="181"/>
      <c r="P515" s="181"/>
      <c r="Q515" s="181"/>
      <c r="R515" s="181"/>
      <c r="S515" s="182"/>
      <c r="T515" s="182"/>
      <c r="U515" s="182"/>
      <c r="V515" s="182"/>
      <c r="W515" s="183"/>
      <c r="X515" s="183"/>
      <c r="Y515" s="183"/>
      <c r="Z515" s="183"/>
    </row>
    <row r="516" ht="15.75" customHeight="1">
      <c r="A516" s="184">
        <v>1.69582322E8</v>
      </c>
      <c r="B516" s="185" t="s">
        <v>1107</v>
      </c>
      <c r="C516" s="186">
        <v>9644521.0</v>
      </c>
      <c r="D516" s="186">
        <v>162644.0</v>
      </c>
      <c r="E516" s="186">
        <v>172.0</v>
      </c>
      <c r="F516" s="186">
        <v>3710.0</v>
      </c>
      <c r="G516" s="186">
        <v>9523.0</v>
      </c>
      <c r="H516" s="186">
        <v>1019.0</v>
      </c>
      <c r="I516" s="186">
        <v>13878.0</v>
      </c>
      <c r="J516" s="186">
        <v>0.0</v>
      </c>
      <c r="K516" s="186">
        <v>28130.0</v>
      </c>
      <c r="L516" s="186">
        <v>0.0</v>
      </c>
      <c r="M516" s="181"/>
      <c r="N516" s="181"/>
      <c r="O516" s="181"/>
      <c r="P516" s="181"/>
      <c r="Q516" s="181"/>
      <c r="R516" s="181"/>
      <c r="S516" s="182"/>
      <c r="T516" s="182"/>
      <c r="U516" s="182"/>
      <c r="V516" s="182"/>
      <c r="W516" s="183"/>
      <c r="X516" s="183"/>
      <c r="Y516" s="183"/>
      <c r="Z516" s="183"/>
    </row>
    <row r="517" ht="15.75" customHeight="1">
      <c r="A517" s="184">
        <v>1.69528211E8</v>
      </c>
      <c r="B517" s="185" t="s">
        <v>1108</v>
      </c>
      <c r="C517" s="186">
        <v>9600482.0</v>
      </c>
      <c r="D517" s="186">
        <v>505873.0</v>
      </c>
      <c r="E517" s="186">
        <v>3211.0</v>
      </c>
      <c r="F517" s="186">
        <v>10777.0</v>
      </c>
      <c r="G517" s="186">
        <v>47189.0</v>
      </c>
      <c r="H517" s="186">
        <v>43850.0</v>
      </c>
      <c r="I517" s="186">
        <v>23394.0</v>
      </c>
      <c r="J517" s="186">
        <v>0.0</v>
      </c>
      <c r="K517" s="186">
        <v>125210.0</v>
      </c>
      <c r="L517" s="186">
        <v>0.0</v>
      </c>
      <c r="M517" s="181"/>
      <c r="N517" s="181"/>
      <c r="O517" s="181"/>
      <c r="P517" s="181"/>
      <c r="Q517" s="181"/>
      <c r="R517" s="181"/>
      <c r="S517" s="182"/>
      <c r="T517" s="182"/>
      <c r="U517" s="182"/>
      <c r="V517" s="182"/>
      <c r="W517" s="183"/>
      <c r="X517" s="183"/>
      <c r="Y517" s="183"/>
      <c r="Z517" s="183"/>
    </row>
    <row r="518" ht="15.75" customHeight="1">
      <c r="A518" s="184">
        <v>1.69536835E8</v>
      </c>
      <c r="B518" s="185" t="s">
        <v>1109</v>
      </c>
      <c r="C518" s="186">
        <v>9589016.0</v>
      </c>
      <c r="D518" s="186">
        <v>595467.0</v>
      </c>
      <c r="E518" s="186">
        <v>668288.0</v>
      </c>
      <c r="F518" s="186">
        <v>9265.0</v>
      </c>
      <c r="G518" s="186">
        <v>22400.0</v>
      </c>
      <c r="H518" s="186">
        <v>2176.0</v>
      </c>
      <c r="I518" s="186">
        <v>5507.0</v>
      </c>
      <c r="J518" s="186">
        <v>24252.0</v>
      </c>
      <c r="K518" s="186">
        <v>63600.0</v>
      </c>
      <c r="L518" s="186">
        <v>0.0</v>
      </c>
      <c r="M518" s="181"/>
      <c r="N518" s="181"/>
      <c r="O518" s="181"/>
      <c r="P518" s="181"/>
      <c r="Q518" s="181"/>
      <c r="R518" s="181"/>
      <c r="S518" s="182"/>
      <c r="T518" s="182"/>
      <c r="U518" s="182"/>
      <c r="V518" s="182"/>
      <c r="W518" s="183"/>
      <c r="X518" s="183"/>
      <c r="Y518" s="183"/>
      <c r="Z518" s="183"/>
    </row>
    <row r="519" ht="15.75" customHeight="1">
      <c r="A519" s="184">
        <v>1.69516138E8</v>
      </c>
      <c r="B519" s="185" t="s">
        <v>1110</v>
      </c>
      <c r="C519" s="186">
        <v>9542208.0</v>
      </c>
      <c r="D519" s="186">
        <v>1820534.0</v>
      </c>
      <c r="E519" s="186">
        <v>1246431.0</v>
      </c>
      <c r="F519" s="186">
        <v>39560.0</v>
      </c>
      <c r="G519" s="186">
        <v>78524.0</v>
      </c>
      <c r="H519" s="186">
        <v>83391.0</v>
      </c>
      <c r="I519" s="186">
        <v>74065.0</v>
      </c>
      <c r="J519" s="186">
        <v>29068.0</v>
      </c>
      <c r="K519" s="186">
        <v>304608.0</v>
      </c>
      <c r="L519" s="186">
        <v>0.0</v>
      </c>
      <c r="M519" s="181"/>
      <c r="N519" s="181"/>
      <c r="O519" s="181"/>
      <c r="P519" s="181"/>
      <c r="Q519" s="181"/>
      <c r="R519" s="181"/>
      <c r="S519" s="182"/>
      <c r="T519" s="182"/>
      <c r="U519" s="182"/>
      <c r="V519" s="182"/>
      <c r="W519" s="183"/>
      <c r="X519" s="183"/>
      <c r="Y519" s="183"/>
      <c r="Z519" s="183"/>
    </row>
    <row r="520" ht="15.75" customHeight="1">
      <c r="A520" s="184">
        <v>1.69510741E8</v>
      </c>
      <c r="B520" s="185" t="s">
        <v>1111</v>
      </c>
      <c r="C520" s="186">
        <v>9541691.0</v>
      </c>
      <c r="D520" s="186">
        <v>875615.0</v>
      </c>
      <c r="E520" s="186">
        <v>100693.0</v>
      </c>
      <c r="F520" s="186">
        <v>90959.0</v>
      </c>
      <c r="G520" s="186">
        <v>58057.0</v>
      </c>
      <c r="H520" s="186">
        <v>47645.0</v>
      </c>
      <c r="I520" s="186">
        <v>55073.0</v>
      </c>
      <c r="J520" s="186">
        <v>0.0</v>
      </c>
      <c r="K520" s="186">
        <v>251734.0</v>
      </c>
      <c r="L520" s="186">
        <v>0.0</v>
      </c>
      <c r="M520" s="181"/>
      <c r="N520" s="181"/>
      <c r="O520" s="181"/>
      <c r="P520" s="181"/>
      <c r="Q520" s="181"/>
      <c r="R520" s="181"/>
      <c r="S520" s="182"/>
      <c r="T520" s="182"/>
      <c r="U520" s="182"/>
      <c r="V520" s="182"/>
      <c r="W520" s="183"/>
      <c r="X520" s="183"/>
      <c r="Y520" s="183"/>
      <c r="Z520" s="183"/>
    </row>
    <row r="521" ht="15.75" customHeight="1">
      <c r="A521" s="184">
        <v>1.69175137E8</v>
      </c>
      <c r="B521" s="185" t="s">
        <v>1112</v>
      </c>
      <c r="C521" s="186">
        <v>9524390.0</v>
      </c>
      <c r="D521" s="186">
        <v>2064834.0</v>
      </c>
      <c r="E521" s="186">
        <v>108118.0</v>
      </c>
      <c r="F521" s="186">
        <v>114404.0</v>
      </c>
      <c r="G521" s="186">
        <v>468650.0</v>
      </c>
      <c r="H521" s="186">
        <v>67566.0</v>
      </c>
      <c r="I521" s="186">
        <v>82843.0</v>
      </c>
      <c r="J521" s="186">
        <v>298.0</v>
      </c>
      <c r="K521" s="186">
        <v>733761.0</v>
      </c>
      <c r="L521" s="186">
        <v>5899786.0</v>
      </c>
      <c r="M521" s="181"/>
      <c r="N521" s="181"/>
      <c r="O521" s="181"/>
      <c r="P521" s="181"/>
      <c r="Q521" s="181"/>
      <c r="R521" s="181"/>
      <c r="S521" s="182"/>
      <c r="T521" s="182"/>
      <c r="U521" s="182"/>
      <c r="V521" s="182"/>
      <c r="W521" s="183"/>
      <c r="X521" s="183"/>
      <c r="Y521" s="183"/>
      <c r="Z521" s="183"/>
    </row>
    <row r="522" ht="15.75" customHeight="1">
      <c r="A522" s="184">
        <v>1.72224459E8</v>
      </c>
      <c r="B522" s="185" t="s">
        <v>1113</v>
      </c>
      <c r="C522" s="186">
        <v>9486993.0</v>
      </c>
      <c r="D522" s="186">
        <v>547059.0</v>
      </c>
      <c r="E522" s="186">
        <v>17595.0</v>
      </c>
      <c r="F522" s="186">
        <v>2668.0</v>
      </c>
      <c r="G522" s="186">
        <v>42785.0</v>
      </c>
      <c r="H522" s="186">
        <v>48454.0</v>
      </c>
      <c r="I522" s="186">
        <v>26714.0</v>
      </c>
      <c r="J522" s="186">
        <v>0.0</v>
      </c>
      <c r="K522" s="186">
        <v>120621.0</v>
      </c>
      <c r="L522" s="186">
        <v>1.62E7</v>
      </c>
      <c r="M522" s="181"/>
      <c r="N522" s="181"/>
      <c r="O522" s="181"/>
      <c r="P522" s="181"/>
      <c r="Q522" s="181"/>
      <c r="R522" s="181"/>
      <c r="S522" s="182"/>
      <c r="T522" s="182"/>
      <c r="U522" s="182"/>
      <c r="V522" s="182"/>
      <c r="W522" s="183"/>
      <c r="X522" s="183"/>
      <c r="Y522" s="183"/>
      <c r="Z522" s="183"/>
    </row>
    <row r="523" ht="15.75" customHeight="1">
      <c r="A523" s="184">
        <v>1.66238217E8</v>
      </c>
      <c r="B523" s="185" t="s">
        <v>1114</v>
      </c>
      <c r="C523" s="186">
        <v>9482816.0</v>
      </c>
      <c r="D523" s="186">
        <v>120164.0</v>
      </c>
      <c r="E523" s="186">
        <v>14290.0</v>
      </c>
      <c r="F523" s="186">
        <v>0.0</v>
      </c>
      <c r="G523" s="186">
        <v>7616.0</v>
      </c>
      <c r="H523" s="186">
        <v>17748.0</v>
      </c>
      <c r="I523" s="186">
        <v>3394.0</v>
      </c>
      <c r="J523" s="186">
        <v>0.0</v>
      </c>
      <c r="K523" s="186">
        <v>28758.0</v>
      </c>
      <c r="L523" s="186">
        <v>6.1080933E8</v>
      </c>
      <c r="M523" s="181"/>
      <c r="N523" s="181"/>
      <c r="O523" s="181"/>
      <c r="P523" s="181"/>
      <c r="Q523" s="181"/>
      <c r="R523" s="181"/>
      <c r="S523" s="182"/>
      <c r="T523" s="182"/>
      <c r="U523" s="182"/>
      <c r="V523" s="182"/>
      <c r="W523" s="183"/>
      <c r="X523" s="183"/>
      <c r="Y523" s="183"/>
      <c r="Z523" s="183"/>
    </row>
    <row r="524" ht="15.75" customHeight="1">
      <c r="A524" s="184">
        <v>1.71649024E8</v>
      </c>
      <c r="B524" s="185" t="s">
        <v>1115</v>
      </c>
      <c r="C524" s="186">
        <v>9472859.0</v>
      </c>
      <c r="D524" s="186">
        <v>213627.0</v>
      </c>
      <c r="E524" s="186">
        <v>86775.0</v>
      </c>
      <c r="F524" s="186">
        <v>11218.0</v>
      </c>
      <c r="G524" s="186">
        <v>6914.0</v>
      </c>
      <c r="H524" s="186">
        <v>3749.0</v>
      </c>
      <c r="I524" s="186">
        <v>18256.0</v>
      </c>
      <c r="J524" s="186">
        <v>0.0</v>
      </c>
      <c r="K524" s="186">
        <v>40137.0</v>
      </c>
      <c r="L524" s="186">
        <v>4.72446374E8</v>
      </c>
      <c r="M524" s="181"/>
      <c r="N524" s="181"/>
      <c r="O524" s="181"/>
      <c r="P524" s="181"/>
      <c r="Q524" s="181"/>
      <c r="R524" s="181"/>
      <c r="S524" s="182"/>
      <c r="T524" s="182"/>
      <c r="U524" s="182"/>
      <c r="V524" s="182"/>
      <c r="W524" s="183"/>
      <c r="X524" s="183"/>
      <c r="Y524" s="183"/>
      <c r="Z524" s="183"/>
    </row>
    <row r="525" ht="15.75" customHeight="1">
      <c r="A525" s="184">
        <v>1.31136123E8</v>
      </c>
      <c r="B525" s="185" t="s">
        <v>1116</v>
      </c>
      <c r="C525" s="186">
        <v>9448666.0</v>
      </c>
      <c r="D525" s="186">
        <v>1.17976E7</v>
      </c>
      <c r="E525" s="186">
        <v>883497.0</v>
      </c>
      <c r="F525" s="186">
        <v>1018870.0</v>
      </c>
      <c r="G525" s="186">
        <v>2146126.0</v>
      </c>
      <c r="H525" s="186">
        <v>731496.0</v>
      </c>
      <c r="I525" s="186">
        <v>418217.0</v>
      </c>
      <c r="J525" s="186">
        <v>9671.0</v>
      </c>
      <c r="K525" s="186">
        <v>4324380.0</v>
      </c>
      <c r="L525" s="186">
        <v>5.7533592E7</v>
      </c>
      <c r="M525" s="181"/>
      <c r="N525" s="181"/>
      <c r="O525" s="181"/>
      <c r="P525" s="181"/>
      <c r="Q525" s="181"/>
      <c r="R525" s="181"/>
      <c r="S525" s="182"/>
      <c r="T525" s="182"/>
      <c r="U525" s="182"/>
      <c r="V525" s="182"/>
      <c r="W525" s="183"/>
      <c r="X525" s="183"/>
      <c r="Y525" s="183"/>
      <c r="Z525" s="183"/>
    </row>
    <row r="526" ht="15.75" customHeight="1">
      <c r="A526" s="184">
        <v>1.72110571E8</v>
      </c>
      <c r="B526" s="185" t="s">
        <v>1117</v>
      </c>
      <c r="C526" s="186">
        <v>9438485.0</v>
      </c>
      <c r="D526" s="186">
        <v>188996.0</v>
      </c>
      <c r="E526" s="186">
        <v>180031.0</v>
      </c>
      <c r="F526" s="186">
        <v>1521.0</v>
      </c>
      <c r="G526" s="186">
        <v>1000.0</v>
      </c>
      <c r="H526" s="186">
        <v>11623.0</v>
      </c>
      <c r="I526" s="186">
        <v>14020.0</v>
      </c>
      <c r="J526" s="186">
        <v>0.0</v>
      </c>
      <c r="K526" s="186">
        <v>28164.0</v>
      </c>
      <c r="L526" s="186">
        <v>7.84066403E8</v>
      </c>
      <c r="M526" s="181"/>
      <c r="N526" s="181"/>
      <c r="O526" s="181"/>
      <c r="P526" s="181"/>
      <c r="Q526" s="181"/>
      <c r="R526" s="181"/>
      <c r="S526" s="182"/>
      <c r="T526" s="182"/>
      <c r="U526" s="182"/>
      <c r="V526" s="182"/>
      <c r="W526" s="183"/>
      <c r="X526" s="183"/>
      <c r="Y526" s="183"/>
      <c r="Z526" s="183"/>
    </row>
    <row r="527" ht="15.75" customHeight="1">
      <c r="A527" s="184">
        <v>1.71640037E8</v>
      </c>
      <c r="B527" s="185" t="s">
        <v>1118</v>
      </c>
      <c r="C527" s="186">
        <v>9426778.0</v>
      </c>
      <c r="D527" s="186">
        <v>315562.0</v>
      </c>
      <c r="E527" s="186">
        <v>40853.0</v>
      </c>
      <c r="F527" s="186">
        <v>613.0</v>
      </c>
      <c r="G527" s="186">
        <v>11199.0</v>
      </c>
      <c r="H527" s="186">
        <v>5628.0</v>
      </c>
      <c r="I527" s="186">
        <v>27053.0</v>
      </c>
      <c r="J527" s="186">
        <v>0.0</v>
      </c>
      <c r="K527" s="186">
        <v>44493.0</v>
      </c>
      <c r="L527" s="186">
        <v>1.7095445E8</v>
      </c>
      <c r="M527" s="181"/>
      <c r="N527" s="181"/>
      <c r="O527" s="181"/>
      <c r="P527" s="181"/>
      <c r="Q527" s="181"/>
      <c r="R527" s="181"/>
      <c r="S527" s="182"/>
      <c r="T527" s="182"/>
      <c r="U527" s="182"/>
      <c r="V527" s="182"/>
      <c r="W527" s="183"/>
      <c r="X527" s="183"/>
      <c r="Y527" s="183"/>
      <c r="Z527" s="183"/>
    </row>
    <row r="528" ht="15.75" customHeight="1">
      <c r="A528" s="184">
        <v>1.72810489E8</v>
      </c>
      <c r="B528" s="185" t="s">
        <v>1119</v>
      </c>
      <c r="C528" s="186">
        <v>9394477.0</v>
      </c>
      <c r="D528" s="186">
        <v>878501.0</v>
      </c>
      <c r="E528" s="186">
        <v>786831.0</v>
      </c>
      <c r="F528" s="186">
        <v>22536.0</v>
      </c>
      <c r="G528" s="186">
        <v>178472.0</v>
      </c>
      <c r="H528" s="186">
        <v>1160.0</v>
      </c>
      <c r="I528" s="186">
        <v>34163.0</v>
      </c>
      <c r="J528" s="186">
        <v>8539.0</v>
      </c>
      <c r="K528" s="186">
        <v>244870.0</v>
      </c>
      <c r="L528" s="186">
        <v>3.586E8</v>
      </c>
      <c r="M528" s="181"/>
      <c r="N528" s="181"/>
      <c r="O528" s="181"/>
      <c r="P528" s="181"/>
      <c r="Q528" s="181"/>
      <c r="R528" s="181"/>
      <c r="S528" s="182"/>
      <c r="T528" s="182"/>
      <c r="U528" s="182"/>
      <c r="V528" s="182"/>
      <c r="W528" s="183"/>
      <c r="X528" s="183"/>
      <c r="Y528" s="183"/>
      <c r="Z528" s="183"/>
    </row>
    <row r="529" ht="15.75" customHeight="1">
      <c r="A529" s="184">
        <v>1.69503765E8</v>
      </c>
      <c r="B529" s="185" t="s">
        <v>1120</v>
      </c>
      <c r="C529" s="186">
        <v>9361001.0</v>
      </c>
      <c r="D529" s="186">
        <v>54806.0</v>
      </c>
      <c r="E529" s="186">
        <v>12871.0</v>
      </c>
      <c r="F529" s="186">
        <v>5614.0</v>
      </c>
      <c r="G529" s="186">
        <v>11242.0</v>
      </c>
      <c r="H529" s="186">
        <v>2000.0</v>
      </c>
      <c r="I529" s="186">
        <v>2320.0</v>
      </c>
      <c r="J529" s="186">
        <v>0.0</v>
      </c>
      <c r="K529" s="186">
        <v>21176.0</v>
      </c>
      <c r="L529" s="186">
        <v>0.0</v>
      </c>
      <c r="M529" s="181"/>
      <c r="N529" s="181"/>
      <c r="O529" s="181"/>
      <c r="P529" s="181"/>
      <c r="Q529" s="181"/>
      <c r="R529" s="181"/>
      <c r="S529" s="182"/>
      <c r="T529" s="182"/>
      <c r="U529" s="182"/>
      <c r="V529" s="182"/>
      <c r="W529" s="183"/>
      <c r="X529" s="183"/>
      <c r="Y529" s="183"/>
      <c r="Z529" s="183"/>
    </row>
    <row r="530" ht="15.75" customHeight="1">
      <c r="A530" s="184">
        <v>8.4491379E7</v>
      </c>
      <c r="B530" s="185" t="s">
        <v>1121</v>
      </c>
      <c r="C530" s="186">
        <v>9350906.0</v>
      </c>
      <c r="D530" s="186">
        <v>409296.0</v>
      </c>
      <c r="E530" s="186">
        <v>31254.0</v>
      </c>
      <c r="F530" s="186">
        <v>52023.0</v>
      </c>
      <c r="G530" s="186">
        <v>98819.0</v>
      </c>
      <c r="H530" s="186">
        <v>42436.0</v>
      </c>
      <c r="I530" s="186">
        <v>3151.0</v>
      </c>
      <c r="J530" s="186">
        <v>0.0</v>
      </c>
      <c r="K530" s="186">
        <v>196429.0</v>
      </c>
      <c r="L530" s="186">
        <v>3730928.0</v>
      </c>
      <c r="M530" s="181"/>
      <c r="N530" s="181"/>
      <c r="O530" s="181"/>
      <c r="P530" s="181"/>
      <c r="Q530" s="181"/>
      <c r="R530" s="181"/>
      <c r="S530" s="182"/>
      <c r="T530" s="182"/>
      <c r="U530" s="182"/>
      <c r="V530" s="182"/>
      <c r="W530" s="183"/>
      <c r="X530" s="183"/>
      <c r="Y530" s="183"/>
      <c r="Z530" s="183"/>
    </row>
    <row r="531" ht="15.75" customHeight="1">
      <c r="A531" s="184">
        <v>1.68950122E8</v>
      </c>
      <c r="B531" s="185" t="s">
        <v>1122</v>
      </c>
      <c r="C531" s="186">
        <v>9327236.0</v>
      </c>
      <c r="D531" s="186">
        <v>3550734.0</v>
      </c>
      <c r="E531" s="186">
        <v>515955.0</v>
      </c>
      <c r="F531" s="186">
        <v>203514.0</v>
      </c>
      <c r="G531" s="186">
        <v>106926.0</v>
      </c>
      <c r="H531" s="186">
        <v>67405.0</v>
      </c>
      <c r="I531" s="186">
        <v>198962.0</v>
      </c>
      <c r="J531" s="186">
        <v>51847.0</v>
      </c>
      <c r="K531" s="186">
        <v>628654.0</v>
      </c>
      <c r="L531" s="186">
        <v>4450212.0</v>
      </c>
      <c r="M531" s="181"/>
      <c r="N531" s="181"/>
      <c r="O531" s="181"/>
      <c r="P531" s="181"/>
      <c r="Q531" s="181"/>
      <c r="R531" s="181"/>
      <c r="S531" s="182"/>
      <c r="T531" s="182"/>
      <c r="U531" s="182"/>
      <c r="V531" s="182"/>
      <c r="W531" s="183"/>
      <c r="X531" s="183"/>
      <c r="Y531" s="183"/>
      <c r="Z531" s="183"/>
    </row>
    <row r="532" ht="15.75" customHeight="1">
      <c r="A532" s="184">
        <v>1.69469298E8</v>
      </c>
      <c r="B532" s="185" t="s">
        <v>1123</v>
      </c>
      <c r="C532" s="186">
        <v>9326251.0</v>
      </c>
      <c r="D532" s="186">
        <v>1304049.0</v>
      </c>
      <c r="E532" s="186">
        <v>76293.0</v>
      </c>
      <c r="F532" s="186">
        <v>47058.0</v>
      </c>
      <c r="G532" s="186">
        <v>14844.0</v>
      </c>
      <c r="H532" s="186">
        <v>5715.0</v>
      </c>
      <c r="I532" s="186">
        <v>124209.0</v>
      </c>
      <c r="J532" s="186">
        <v>0.0</v>
      </c>
      <c r="K532" s="186">
        <v>191826.0</v>
      </c>
      <c r="L532" s="186">
        <v>0.0</v>
      </c>
      <c r="M532" s="181"/>
      <c r="N532" s="181"/>
      <c r="O532" s="181"/>
      <c r="P532" s="181"/>
      <c r="Q532" s="181"/>
      <c r="R532" s="181"/>
      <c r="S532" s="182"/>
      <c r="T532" s="182"/>
      <c r="U532" s="182"/>
      <c r="V532" s="182"/>
      <c r="W532" s="183"/>
      <c r="X532" s="183"/>
      <c r="Y532" s="183"/>
      <c r="Z532" s="183"/>
    </row>
    <row r="533" ht="15.75" customHeight="1">
      <c r="A533" s="184">
        <v>1.69001813E8</v>
      </c>
      <c r="B533" s="185" t="s">
        <v>1124</v>
      </c>
      <c r="C533" s="186">
        <v>9308062.0</v>
      </c>
      <c r="D533" s="186">
        <v>1770434.0</v>
      </c>
      <c r="E533" s="186">
        <v>884947.0</v>
      </c>
      <c r="F533" s="186">
        <v>64802.0</v>
      </c>
      <c r="G533" s="186">
        <v>146321.0</v>
      </c>
      <c r="H533" s="186">
        <v>1563.0</v>
      </c>
      <c r="I533" s="186">
        <v>74914.0</v>
      </c>
      <c r="J533" s="186">
        <v>35472.0</v>
      </c>
      <c r="K533" s="186">
        <v>323072.0</v>
      </c>
      <c r="L533" s="186">
        <v>0.0</v>
      </c>
      <c r="M533" s="181"/>
      <c r="N533" s="181"/>
      <c r="O533" s="181"/>
      <c r="P533" s="181"/>
      <c r="Q533" s="181"/>
      <c r="R533" s="181"/>
      <c r="S533" s="182"/>
      <c r="T533" s="182"/>
      <c r="U533" s="182"/>
      <c r="V533" s="182"/>
      <c r="W533" s="183"/>
      <c r="X533" s="183"/>
      <c r="Y533" s="183"/>
      <c r="Z533" s="183"/>
    </row>
    <row r="534" ht="15.75" customHeight="1">
      <c r="A534" s="184">
        <v>1.69494206E8</v>
      </c>
      <c r="B534" s="185" t="s">
        <v>1125</v>
      </c>
      <c r="C534" s="186">
        <v>9295527.0</v>
      </c>
      <c r="D534" s="186">
        <v>2305910.0</v>
      </c>
      <c r="E534" s="186">
        <v>629726.0</v>
      </c>
      <c r="F534" s="186">
        <v>20631.0</v>
      </c>
      <c r="G534" s="186">
        <v>55485.0</v>
      </c>
      <c r="H534" s="186">
        <v>198776.0</v>
      </c>
      <c r="I534" s="186">
        <v>139571.0</v>
      </c>
      <c r="J534" s="186">
        <v>0.0</v>
      </c>
      <c r="K534" s="186">
        <v>414463.0</v>
      </c>
      <c r="L534" s="186">
        <v>0.0</v>
      </c>
      <c r="M534" s="181"/>
      <c r="N534" s="181"/>
      <c r="O534" s="181"/>
      <c r="P534" s="181"/>
      <c r="Q534" s="181"/>
      <c r="R534" s="181"/>
      <c r="S534" s="182"/>
      <c r="T534" s="182"/>
      <c r="U534" s="182"/>
      <c r="V534" s="182"/>
      <c r="W534" s="183"/>
      <c r="X534" s="183"/>
      <c r="Y534" s="183"/>
      <c r="Z534" s="183"/>
    </row>
    <row r="535" ht="15.75" customHeight="1">
      <c r="A535" s="184">
        <v>1.69516136E8</v>
      </c>
      <c r="B535" s="185" t="s">
        <v>1126</v>
      </c>
      <c r="C535" s="186">
        <v>9237690.0</v>
      </c>
      <c r="D535" s="186">
        <v>89966.0</v>
      </c>
      <c r="E535" s="186">
        <v>6173.0</v>
      </c>
      <c r="F535" s="186">
        <v>4372.0</v>
      </c>
      <c r="G535" s="186">
        <v>13466.0</v>
      </c>
      <c r="H535" s="186">
        <v>13220.0</v>
      </c>
      <c r="I535" s="186">
        <v>928.0</v>
      </c>
      <c r="J535" s="186">
        <v>0.0</v>
      </c>
      <c r="K535" s="186">
        <v>31986.0</v>
      </c>
      <c r="L535" s="186">
        <v>0.0</v>
      </c>
      <c r="M535" s="181"/>
      <c r="N535" s="181"/>
      <c r="O535" s="181"/>
      <c r="P535" s="181"/>
      <c r="Q535" s="181"/>
      <c r="R535" s="181"/>
      <c r="S535" s="182"/>
      <c r="T535" s="182"/>
      <c r="U535" s="182"/>
      <c r="V535" s="182"/>
      <c r="W535" s="183"/>
      <c r="X535" s="183"/>
      <c r="Y535" s="183"/>
      <c r="Z535" s="183"/>
    </row>
    <row r="536" ht="15.75" customHeight="1">
      <c r="A536" s="184">
        <v>1.68350317E8</v>
      </c>
      <c r="B536" s="185" t="s">
        <v>1127</v>
      </c>
      <c r="C536" s="186">
        <v>9218284.0</v>
      </c>
      <c r="D536" s="186">
        <v>2040920.0</v>
      </c>
      <c r="E536" s="186">
        <v>901269.0</v>
      </c>
      <c r="F536" s="186">
        <v>1361.0</v>
      </c>
      <c r="G536" s="186">
        <v>18441.0</v>
      </c>
      <c r="H536" s="186">
        <v>30814.0</v>
      </c>
      <c r="I536" s="186">
        <v>151761.0</v>
      </c>
      <c r="J536" s="186">
        <v>18145.0</v>
      </c>
      <c r="K536" s="186">
        <v>220522.0</v>
      </c>
      <c r="L536" s="186">
        <v>2402393.0</v>
      </c>
      <c r="M536" s="181"/>
      <c r="N536" s="181"/>
      <c r="O536" s="181"/>
      <c r="P536" s="181"/>
      <c r="Q536" s="181"/>
      <c r="R536" s="181"/>
      <c r="S536" s="182"/>
      <c r="T536" s="182"/>
      <c r="U536" s="182"/>
      <c r="V536" s="182"/>
      <c r="W536" s="183"/>
      <c r="X536" s="183"/>
      <c r="Y536" s="183"/>
      <c r="Z536" s="183"/>
    </row>
    <row r="537" ht="15.75" customHeight="1">
      <c r="A537" s="184">
        <v>1.68794783E8</v>
      </c>
      <c r="B537" s="185" t="s">
        <v>1128</v>
      </c>
      <c r="C537" s="186">
        <v>9177455.0</v>
      </c>
      <c r="D537" s="186">
        <v>1473572.0</v>
      </c>
      <c r="E537" s="186">
        <v>530417.0</v>
      </c>
      <c r="F537" s="186">
        <v>57310.0</v>
      </c>
      <c r="G537" s="186">
        <v>123450.0</v>
      </c>
      <c r="H537" s="186">
        <v>80450.0</v>
      </c>
      <c r="I537" s="186">
        <v>89341.0</v>
      </c>
      <c r="J537" s="186">
        <v>0.0</v>
      </c>
      <c r="K537" s="186">
        <v>350551.0</v>
      </c>
      <c r="L537" s="186">
        <v>1.694775921E9</v>
      </c>
      <c r="M537" s="181"/>
      <c r="N537" s="181"/>
      <c r="O537" s="181"/>
      <c r="P537" s="181"/>
      <c r="Q537" s="181"/>
      <c r="R537" s="181"/>
      <c r="S537" s="182"/>
      <c r="T537" s="182"/>
      <c r="U537" s="182"/>
      <c r="V537" s="182"/>
      <c r="W537" s="183"/>
      <c r="X537" s="183"/>
      <c r="Y537" s="183"/>
      <c r="Z537" s="183"/>
    </row>
    <row r="538" ht="15.75" customHeight="1">
      <c r="A538" s="184">
        <v>3.0604318E7</v>
      </c>
      <c r="B538" s="185" t="s">
        <v>1129</v>
      </c>
      <c r="C538" s="186">
        <v>9166520.0</v>
      </c>
      <c r="D538" s="186">
        <v>2270952.0</v>
      </c>
      <c r="E538" s="186">
        <v>241848.0</v>
      </c>
      <c r="F538" s="186">
        <v>205254.0</v>
      </c>
      <c r="G538" s="186">
        <v>250305.0</v>
      </c>
      <c r="H538" s="186">
        <v>421378.0</v>
      </c>
      <c r="I538" s="186">
        <v>4378.0</v>
      </c>
      <c r="J538" s="186">
        <v>0.0</v>
      </c>
      <c r="K538" s="186">
        <v>881315.0</v>
      </c>
      <c r="L538" s="186">
        <v>1.3818379E7</v>
      </c>
      <c r="M538" s="181"/>
      <c r="N538" s="181"/>
      <c r="O538" s="181"/>
      <c r="P538" s="181"/>
      <c r="Q538" s="181"/>
      <c r="R538" s="181"/>
      <c r="S538" s="182"/>
      <c r="T538" s="182"/>
      <c r="U538" s="182"/>
      <c r="V538" s="182"/>
      <c r="W538" s="183"/>
      <c r="X538" s="183"/>
      <c r="Y538" s="183"/>
      <c r="Z538" s="183"/>
    </row>
    <row r="539" ht="15.75" customHeight="1">
      <c r="A539" s="184">
        <v>1.69520907E8</v>
      </c>
      <c r="B539" s="185" t="s">
        <v>1130</v>
      </c>
      <c r="C539" s="186">
        <v>9149711.0</v>
      </c>
      <c r="D539" s="186">
        <v>3658723.0</v>
      </c>
      <c r="E539" s="186">
        <v>822815.0</v>
      </c>
      <c r="F539" s="186">
        <v>129495.0</v>
      </c>
      <c r="G539" s="186">
        <v>764256.0</v>
      </c>
      <c r="H539" s="186">
        <v>193518.0</v>
      </c>
      <c r="I539" s="186">
        <v>82838.0</v>
      </c>
      <c r="J539" s="186">
        <v>25093.0</v>
      </c>
      <c r="K539" s="186">
        <v>1195200.0</v>
      </c>
      <c r="L539" s="186">
        <v>1.0789771E7</v>
      </c>
      <c r="M539" s="181"/>
      <c r="N539" s="181"/>
      <c r="O539" s="181"/>
      <c r="P539" s="181"/>
      <c r="Q539" s="181"/>
      <c r="R539" s="181"/>
      <c r="S539" s="182"/>
      <c r="T539" s="182"/>
      <c r="U539" s="182"/>
      <c r="V539" s="182"/>
      <c r="W539" s="183"/>
      <c r="X539" s="183"/>
      <c r="Y539" s="183"/>
      <c r="Z539" s="183"/>
    </row>
    <row r="540" ht="15.75" customHeight="1">
      <c r="A540" s="184">
        <v>1.73653713E8</v>
      </c>
      <c r="B540" s="185" t="s">
        <v>1131</v>
      </c>
      <c r="C540" s="186">
        <v>9071938.0</v>
      </c>
      <c r="D540" s="186">
        <v>989730.0</v>
      </c>
      <c r="E540" s="186">
        <v>469047.0</v>
      </c>
      <c r="F540" s="186">
        <v>0.0</v>
      </c>
      <c r="G540" s="186">
        <v>0.0</v>
      </c>
      <c r="H540" s="186">
        <v>0.0</v>
      </c>
      <c r="I540" s="186">
        <v>11021.0</v>
      </c>
      <c r="J540" s="186">
        <v>43976.0</v>
      </c>
      <c r="K540" s="186">
        <v>54997.0</v>
      </c>
      <c r="L540" s="186">
        <v>0.0</v>
      </c>
      <c r="M540" s="181"/>
      <c r="N540" s="181"/>
      <c r="O540" s="181"/>
      <c r="P540" s="181"/>
      <c r="Q540" s="181"/>
      <c r="R540" s="181"/>
      <c r="S540" s="182"/>
      <c r="T540" s="182"/>
      <c r="U540" s="182"/>
      <c r="V540" s="182"/>
      <c r="W540" s="183"/>
      <c r="X540" s="183"/>
      <c r="Y540" s="183"/>
      <c r="Z540" s="183"/>
    </row>
    <row r="541" ht="15.75" customHeight="1">
      <c r="A541" s="184">
        <v>1.70418168E8</v>
      </c>
      <c r="B541" s="185" t="s">
        <v>1132</v>
      </c>
      <c r="C541" s="186">
        <v>9046830.0</v>
      </c>
      <c r="D541" s="186">
        <v>2610304.0</v>
      </c>
      <c r="E541" s="186">
        <v>537190.0</v>
      </c>
      <c r="F541" s="186">
        <v>239051.0</v>
      </c>
      <c r="G541" s="186">
        <v>6728.0</v>
      </c>
      <c r="H541" s="186">
        <v>36567.0</v>
      </c>
      <c r="I541" s="186">
        <v>240277.0</v>
      </c>
      <c r="J541" s="186">
        <v>0.0</v>
      </c>
      <c r="K541" s="186">
        <v>522623.0</v>
      </c>
      <c r="L541" s="186">
        <v>2.93962024E8</v>
      </c>
      <c r="M541" s="181"/>
      <c r="N541" s="181"/>
      <c r="O541" s="181"/>
      <c r="P541" s="181"/>
      <c r="Q541" s="181"/>
      <c r="R541" s="181"/>
      <c r="S541" s="182"/>
      <c r="T541" s="182"/>
      <c r="U541" s="182"/>
      <c r="V541" s="182"/>
      <c r="W541" s="183"/>
      <c r="X541" s="183"/>
      <c r="Y541" s="183"/>
      <c r="Z541" s="183"/>
    </row>
    <row r="542" ht="15.75" customHeight="1">
      <c r="A542" s="184">
        <v>1.69555916E8</v>
      </c>
      <c r="B542" s="185" t="s">
        <v>1133</v>
      </c>
      <c r="C542" s="186">
        <v>9000695.0</v>
      </c>
      <c r="D542" s="186">
        <v>7090706.0</v>
      </c>
      <c r="E542" s="186">
        <v>940594.0</v>
      </c>
      <c r="F542" s="186">
        <v>389052.0</v>
      </c>
      <c r="G542" s="186">
        <v>772167.0</v>
      </c>
      <c r="H542" s="186">
        <v>318723.0</v>
      </c>
      <c r="I542" s="186">
        <v>414771.0</v>
      </c>
      <c r="J542" s="186">
        <v>2298.0</v>
      </c>
      <c r="K542" s="186">
        <v>1897011.0</v>
      </c>
      <c r="L542" s="186">
        <v>3.6785833E7</v>
      </c>
      <c r="M542" s="181"/>
      <c r="N542" s="181"/>
      <c r="O542" s="181"/>
      <c r="P542" s="181"/>
      <c r="Q542" s="181"/>
      <c r="R542" s="181"/>
      <c r="S542" s="182"/>
      <c r="T542" s="182"/>
      <c r="U542" s="182"/>
      <c r="V542" s="182"/>
      <c r="W542" s="183"/>
      <c r="X542" s="183"/>
      <c r="Y542" s="183"/>
      <c r="Z542" s="183"/>
    </row>
    <row r="543" ht="15.75" customHeight="1">
      <c r="A543" s="184">
        <v>5224707.0</v>
      </c>
      <c r="B543" s="185" t="s">
        <v>1134</v>
      </c>
      <c r="C543" s="186">
        <v>8998044.0</v>
      </c>
      <c r="D543" s="186">
        <v>1697836.0</v>
      </c>
      <c r="E543" s="186">
        <v>417114.0</v>
      </c>
      <c r="F543" s="186">
        <v>25463.0</v>
      </c>
      <c r="G543" s="186">
        <v>218124.0</v>
      </c>
      <c r="H543" s="186">
        <v>19424.0</v>
      </c>
      <c r="I543" s="186">
        <v>71704.0</v>
      </c>
      <c r="J543" s="186">
        <v>23088.0</v>
      </c>
      <c r="K543" s="186">
        <v>357803.0</v>
      </c>
      <c r="L543" s="186">
        <v>160000.0</v>
      </c>
      <c r="M543" s="181"/>
      <c r="N543" s="181"/>
      <c r="O543" s="181"/>
      <c r="P543" s="181"/>
      <c r="Q543" s="181"/>
      <c r="R543" s="181"/>
      <c r="S543" s="182"/>
      <c r="T543" s="182"/>
      <c r="U543" s="182"/>
      <c r="V543" s="182"/>
      <c r="W543" s="183"/>
      <c r="X543" s="183"/>
      <c r="Y543" s="183"/>
      <c r="Z543" s="183"/>
    </row>
    <row r="544" ht="15.75" customHeight="1">
      <c r="A544" s="184">
        <v>1.68961624E8</v>
      </c>
      <c r="B544" s="185" t="s">
        <v>1135</v>
      </c>
      <c r="C544" s="186">
        <v>8991277.0</v>
      </c>
      <c r="D544" s="186">
        <v>1174564.0</v>
      </c>
      <c r="E544" s="186">
        <v>614731.0</v>
      </c>
      <c r="F544" s="186">
        <v>59811.0</v>
      </c>
      <c r="G544" s="186">
        <v>116021.0</v>
      </c>
      <c r="H544" s="186">
        <v>124370.0</v>
      </c>
      <c r="I544" s="186">
        <v>1350.0</v>
      </c>
      <c r="J544" s="186">
        <v>20979.0</v>
      </c>
      <c r="K544" s="186">
        <v>322531.0</v>
      </c>
      <c r="L544" s="186">
        <v>9959704.0</v>
      </c>
      <c r="M544" s="181"/>
      <c r="N544" s="181"/>
      <c r="O544" s="181"/>
      <c r="P544" s="181"/>
      <c r="Q544" s="181"/>
      <c r="R544" s="181"/>
      <c r="S544" s="182"/>
      <c r="T544" s="182"/>
      <c r="U544" s="182"/>
      <c r="V544" s="182"/>
      <c r="W544" s="183"/>
      <c r="X544" s="183"/>
      <c r="Y544" s="183"/>
      <c r="Z544" s="183"/>
    </row>
    <row r="545" ht="15.75" customHeight="1">
      <c r="A545" s="184">
        <v>1.69519002E8</v>
      </c>
      <c r="B545" s="185" t="s">
        <v>1136</v>
      </c>
      <c r="C545" s="186">
        <v>8990384.0</v>
      </c>
      <c r="D545" s="186">
        <v>1909921.0</v>
      </c>
      <c r="E545" s="186">
        <v>999445.0</v>
      </c>
      <c r="F545" s="186">
        <v>124286.0</v>
      </c>
      <c r="G545" s="186">
        <v>119430.0</v>
      </c>
      <c r="H545" s="186">
        <v>112706.0</v>
      </c>
      <c r="I545" s="186">
        <v>84540.0</v>
      </c>
      <c r="J545" s="186">
        <v>17499.0</v>
      </c>
      <c r="K545" s="186">
        <v>458461.0</v>
      </c>
      <c r="L545" s="186">
        <v>0.0</v>
      </c>
      <c r="M545" s="181"/>
      <c r="N545" s="181"/>
      <c r="O545" s="181"/>
      <c r="P545" s="181"/>
      <c r="Q545" s="181"/>
      <c r="R545" s="181"/>
      <c r="S545" s="182"/>
      <c r="T545" s="182"/>
      <c r="U545" s="182"/>
      <c r="V545" s="182"/>
      <c r="W545" s="183"/>
      <c r="X545" s="183"/>
      <c r="Y545" s="183"/>
      <c r="Z545" s="183"/>
    </row>
    <row r="546" ht="15.75" customHeight="1">
      <c r="A546" s="184">
        <v>1.69493476E8</v>
      </c>
      <c r="B546" s="185" t="s">
        <v>1137</v>
      </c>
      <c r="C546" s="186">
        <v>8896660.0</v>
      </c>
      <c r="D546" s="186">
        <v>940151.0</v>
      </c>
      <c r="E546" s="186">
        <v>953300.0</v>
      </c>
      <c r="F546" s="186">
        <v>37219.0</v>
      </c>
      <c r="G546" s="186">
        <v>15154.0</v>
      </c>
      <c r="H546" s="186">
        <v>0.0</v>
      </c>
      <c r="I546" s="186">
        <v>7626.0</v>
      </c>
      <c r="J546" s="186">
        <v>41307.0</v>
      </c>
      <c r="K546" s="186">
        <v>101306.0</v>
      </c>
      <c r="L546" s="186">
        <v>0.0</v>
      </c>
      <c r="M546" s="181"/>
      <c r="N546" s="181"/>
      <c r="O546" s="181"/>
      <c r="P546" s="181"/>
      <c r="Q546" s="181"/>
      <c r="R546" s="181"/>
      <c r="S546" s="182"/>
      <c r="T546" s="182"/>
      <c r="U546" s="182"/>
      <c r="V546" s="182"/>
      <c r="W546" s="183"/>
      <c r="X546" s="183"/>
      <c r="Y546" s="183"/>
      <c r="Z546" s="183"/>
    </row>
    <row r="547" ht="15.75" customHeight="1">
      <c r="A547" s="184">
        <v>1.72202671E8</v>
      </c>
      <c r="B547" s="185" t="s">
        <v>1138</v>
      </c>
      <c r="C547" s="186">
        <v>8888336.0</v>
      </c>
      <c r="D547" s="186">
        <v>4129897.0</v>
      </c>
      <c r="E547" s="186">
        <v>941587.0</v>
      </c>
      <c r="F547" s="186">
        <v>156317.0</v>
      </c>
      <c r="G547" s="186">
        <v>367149.0</v>
      </c>
      <c r="H547" s="186">
        <v>197354.0</v>
      </c>
      <c r="I547" s="186">
        <v>216388.0</v>
      </c>
      <c r="J547" s="186">
        <v>20552.0</v>
      </c>
      <c r="K547" s="186">
        <v>957760.0</v>
      </c>
      <c r="L547" s="186">
        <v>4.32060631E8</v>
      </c>
      <c r="M547" s="181"/>
      <c r="N547" s="181"/>
      <c r="O547" s="181"/>
      <c r="P547" s="181"/>
      <c r="Q547" s="181"/>
      <c r="R547" s="181"/>
      <c r="S547" s="182"/>
      <c r="T547" s="182"/>
      <c r="U547" s="182"/>
      <c r="V547" s="182"/>
      <c r="W547" s="183"/>
      <c r="X547" s="183"/>
      <c r="Y547" s="183"/>
      <c r="Z547" s="183"/>
    </row>
    <row r="548" ht="15.75" customHeight="1">
      <c r="A548" s="184">
        <v>1.68995392E8</v>
      </c>
      <c r="B548" s="185" t="s">
        <v>1139</v>
      </c>
      <c r="C548" s="186">
        <v>8868885.0</v>
      </c>
      <c r="D548" s="186">
        <v>854588.0</v>
      </c>
      <c r="E548" s="186">
        <v>512014.0</v>
      </c>
      <c r="F548" s="186">
        <v>29992.0</v>
      </c>
      <c r="G548" s="186">
        <v>89893.0</v>
      </c>
      <c r="H548" s="186">
        <v>12806.0</v>
      </c>
      <c r="I548" s="186">
        <v>61758.0</v>
      </c>
      <c r="J548" s="186">
        <v>0.0</v>
      </c>
      <c r="K548" s="186">
        <v>194449.0</v>
      </c>
      <c r="L548" s="186">
        <v>0.0</v>
      </c>
      <c r="M548" s="181"/>
      <c r="N548" s="181"/>
      <c r="O548" s="181"/>
      <c r="P548" s="181"/>
      <c r="Q548" s="181"/>
      <c r="R548" s="181"/>
      <c r="S548" s="182"/>
      <c r="T548" s="182"/>
      <c r="U548" s="182"/>
      <c r="V548" s="182"/>
      <c r="W548" s="183"/>
      <c r="X548" s="183"/>
      <c r="Y548" s="183"/>
      <c r="Z548" s="183"/>
    </row>
    <row r="549" ht="15.75" customHeight="1">
      <c r="A549" s="184">
        <v>1.69498417E8</v>
      </c>
      <c r="B549" s="185" t="s">
        <v>1140</v>
      </c>
      <c r="C549" s="186">
        <v>8848758.0</v>
      </c>
      <c r="D549" s="186">
        <v>2972677.0</v>
      </c>
      <c r="E549" s="186">
        <v>916327.0</v>
      </c>
      <c r="F549" s="186">
        <v>137757.0</v>
      </c>
      <c r="G549" s="186">
        <v>479389.0</v>
      </c>
      <c r="H549" s="186">
        <v>77167.0</v>
      </c>
      <c r="I549" s="186">
        <v>102132.0</v>
      </c>
      <c r="J549" s="186">
        <v>32818.0</v>
      </c>
      <c r="K549" s="186">
        <v>829263.0</v>
      </c>
      <c r="L549" s="186">
        <v>8192521.0</v>
      </c>
      <c r="M549" s="181"/>
      <c r="N549" s="181"/>
      <c r="O549" s="181"/>
      <c r="P549" s="181"/>
      <c r="Q549" s="181"/>
      <c r="R549" s="181"/>
      <c r="S549" s="182"/>
      <c r="T549" s="182"/>
      <c r="U549" s="182"/>
      <c r="V549" s="182"/>
      <c r="W549" s="183"/>
      <c r="X549" s="183"/>
      <c r="Y549" s="183"/>
      <c r="Z549" s="183"/>
    </row>
    <row r="550" ht="15.75" customHeight="1">
      <c r="A550" s="184">
        <v>1.69530223E8</v>
      </c>
      <c r="B550" s="185" t="s">
        <v>1141</v>
      </c>
      <c r="C550" s="186">
        <v>8826411.0</v>
      </c>
      <c r="D550" s="186">
        <v>247300.0</v>
      </c>
      <c r="E550" s="186">
        <v>175035.0</v>
      </c>
      <c r="F550" s="186">
        <v>21414.0</v>
      </c>
      <c r="G550" s="186">
        <v>12504.0</v>
      </c>
      <c r="H550" s="186">
        <v>12255.0</v>
      </c>
      <c r="I550" s="186">
        <v>6273.0</v>
      </c>
      <c r="J550" s="186">
        <v>5313.0</v>
      </c>
      <c r="K550" s="186">
        <v>57759.0</v>
      </c>
      <c r="L550" s="186">
        <v>0.0</v>
      </c>
      <c r="M550" s="181"/>
      <c r="N550" s="181"/>
      <c r="O550" s="181"/>
      <c r="P550" s="181"/>
      <c r="Q550" s="181"/>
      <c r="R550" s="181"/>
      <c r="S550" s="182"/>
      <c r="T550" s="182"/>
      <c r="U550" s="182"/>
      <c r="V550" s="182"/>
      <c r="W550" s="183"/>
      <c r="X550" s="183"/>
      <c r="Y550" s="183"/>
      <c r="Z550" s="183"/>
    </row>
    <row r="551" ht="15.75" customHeight="1">
      <c r="A551" s="184">
        <v>1.69584272E8</v>
      </c>
      <c r="B551" s="185" t="s">
        <v>1142</v>
      </c>
      <c r="C551" s="186">
        <v>8805428.0</v>
      </c>
      <c r="D551" s="186">
        <v>3305901.0</v>
      </c>
      <c r="E551" s="186">
        <v>974588.0</v>
      </c>
      <c r="F551" s="186">
        <v>90067.0</v>
      </c>
      <c r="G551" s="186">
        <v>248340.0</v>
      </c>
      <c r="H551" s="186">
        <v>87592.0</v>
      </c>
      <c r="I551" s="186">
        <v>225076.0</v>
      </c>
      <c r="J551" s="186">
        <v>9504.0</v>
      </c>
      <c r="K551" s="186">
        <v>660579.0</v>
      </c>
      <c r="L551" s="186">
        <v>4.1415585E7</v>
      </c>
      <c r="M551" s="181"/>
      <c r="N551" s="181"/>
      <c r="O551" s="181"/>
      <c r="P551" s="181"/>
      <c r="Q551" s="181"/>
      <c r="R551" s="181"/>
      <c r="S551" s="182"/>
      <c r="T551" s="182"/>
      <c r="U551" s="182"/>
      <c r="V551" s="182"/>
      <c r="W551" s="183"/>
      <c r="X551" s="183"/>
      <c r="Y551" s="183"/>
      <c r="Z551" s="183"/>
    </row>
    <row r="552" ht="15.75" customHeight="1">
      <c r="A552" s="184">
        <v>1.69493061E8</v>
      </c>
      <c r="B552" s="185" t="s">
        <v>1143</v>
      </c>
      <c r="C552" s="186">
        <v>8799413.0</v>
      </c>
      <c r="D552" s="186">
        <v>508295.0</v>
      </c>
      <c r="E552" s="186">
        <v>316185.0</v>
      </c>
      <c r="F552" s="186">
        <v>3076.0</v>
      </c>
      <c r="G552" s="186">
        <v>21501.0</v>
      </c>
      <c r="H552" s="186">
        <v>9107.0</v>
      </c>
      <c r="I552" s="186">
        <v>42825.0</v>
      </c>
      <c r="J552" s="186">
        <v>0.0</v>
      </c>
      <c r="K552" s="186">
        <v>76509.0</v>
      </c>
      <c r="L552" s="186">
        <v>800001.0</v>
      </c>
      <c r="M552" s="181"/>
      <c r="N552" s="181"/>
      <c r="O552" s="181"/>
      <c r="P552" s="181"/>
      <c r="Q552" s="181"/>
      <c r="R552" s="181"/>
      <c r="S552" s="182"/>
      <c r="T552" s="182"/>
      <c r="U552" s="182"/>
      <c r="V552" s="182"/>
      <c r="W552" s="183"/>
      <c r="X552" s="183"/>
      <c r="Y552" s="183"/>
      <c r="Z552" s="183"/>
    </row>
    <row r="553" ht="15.75" customHeight="1">
      <c r="A553" s="184">
        <v>8.0244863E7</v>
      </c>
      <c r="B553" s="185" t="s">
        <v>1144</v>
      </c>
      <c r="C553" s="186">
        <v>8783088.0</v>
      </c>
      <c r="D553" s="186">
        <v>9676230.0</v>
      </c>
      <c r="E553" s="186">
        <v>740130.0</v>
      </c>
      <c r="F553" s="186">
        <v>599214.0</v>
      </c>
      <c r="G553" s="186">
        <v>1787620.0</v>
      </c>
      <c r="H553" s="186">
        <v>686297.0</v>
      </c>
      <c r="I553" s="186">
        <v>230372.0</v>
      </c>
      <c r="J553" s="186">
        <v>46612.0</v>
      </c>
      <c r="K553" s="186">
        <v>3350115.0</v>
      </c>
      <c r="L553" s="186">
        <v>4.0730349E8</v>
      </c>
      <c r="M553" s="181"/>
      <c r="N553" s="181"/>
      <c r="O553" s="181"/>
      <c r="P553" s="181"/>
      <c r="Q553" s="181"/>
      <c r="R553" s="181"/>
      <c r="S553" s="182"/>
      <c r="T553" s="182"/>
      <c r="U553" s="182"/>
      <c r="V553" s="182"/>
      <c r="W553" s="183"/>
      <c r="X553" s="183"/>
      <c r="Y553" s="183"/>
      <c r="Z553" s="183"/>
    </row>
    <row r="554" ht="15.75" customHeight="1">
      <c r="A554" s="184">
        <v>1.69474706E8</v>
      </c>
      <c r="B554" s="185" t="s">
        <v>1145</v>
      </c>
      <c r="C554" s="186">
        <v>8760114.0</v>
      </c>
      <c r="D554" s="186">
        <v>1042691.0</v>
      </c>
      <c r="E554" s="186">
        <v>982127.0</v>
      </c>
      <c r="F554" s="186">
        <v>10855.0</v>
      </c>
      <c r="G554" s="186">
        <v>24779.0</v>
      </c>
      <c r="H554" s="186">
        <v>55128.0</v>
      </c>
      <c r="I554" s="186">
        <v>77045.0</v>
      </c>
      <c r="J554" s="186">
        <v>0.0</v>
      </c>
      <c r="K554" s="186">
        <v>167807.0</v>
      </c>
      <c r="L554" s="186">
        <v>0.0</v>
      </c>
      <c r="M554" s="181"/>
      <c r="N554" s="181"/>
      <c r="O554" s="181"/>
      <c r="P554" s="181"/>
      <c r="Q554" s="181"/>
      <c r="R554" s="181"/>
      <c r="S554" s="182"/>
      <c r="T554" s="182"/>
      <c r="U554" s="182"/>
      <c r="V554" s="182"/>
      <c r="W554" s="183"/>
      <c r="X554" s="183"/>
      <c r="Y554" s="183"/>
      <c r="Z554" s="183"/>
    </row>
    <row r="555" ht="15.75" customHeight="1">
      <c r="A555" s="184">
        <v>1.70600158E8</v>
      </c>
      <c r="B555" s="185" t="s">
        <v>1146</v>
      </c>
      <c r="C555" s="186">
        <v>8755059.0</v>
      </c>
      <c r="D555" s="186">
        <v>1139838.0</v>
      </c>
      <c r="E555" s="186">
        <v>864841.0</v>
      </c>
      <c r="F555" s="186">
        <v>9811.0</v>
      </c>
      <c r="G555" s="186">
        <v>166568.0</v>
      </c>
      <c r="H555" s="186">
        <v>9305.0</v>
      </c>
      <c r="I555" s="186">
        <v>43240.0</v>
      </c>
      <c r="J555" s="186">
        <v>16756.0</v>
      </c>
      <c r="K555" s="186">
        <v>245680.0</v>
      </c>
      <c r="L555" s="186">
        <v>58681.0</v>
      </c>
      <c r="M555" s="181"/>
      <c r="N555" s="181"/>
      <c r="O555" s="181"/>
      <c r="P555" s="181"/>
      <c r="Q555" s="181"/>
      <c r="R555" s="181"/>
      <c r="S555" s="182"/>
      <c r="T555" s="182"/>
      <c r="U555" s="182"/>
      <c r="V555" s="182"/>
      <c r="W555" s="183"/>
      <c r="X555" s="183"/>
      <c r="Y555" s="183"/>
      <c r="Z555" s="183"/>
    </row>
    <row r="556" ht="15.75" customHeight="1">
      <c r="A556" s="184">
        <v>8.6650651E7</v>
      </c>
      <c r="B556" s="185" t="s">
        <v>1147</v>
      </c>
      <c r="C556" s="186">
        <v>8606265.0</v>
      </c>
      <c r="D556" s="186">
        <v>6033312.0</v>
      </c>
      <c r="E556" s="186">
        <v>406908.0</v>
      </c>
      <c r="F556" s="186">
        <v>33933.0</v>
      </c>
      <c r="G556" s="186">
        <v>85325.0</v>
      </c>
      <c r="H556" s="186">
        <v>26179.0</v>
      </c>
      <c r="I556" s="186">
        <v>10078.0</v>
      </c>
      <c r="J556" s="186">
        <v>282519.0</v>
      </c>
      <c r="K556" s="186">
        <v>438034.0</v>
      </c>
      <c r="L556" s="186">
        <v>1.150446931E9</v>
      </c>
      <c r="M556" s="181"/>
      <c r="N556" s="181"/>
      <c r="O556" s="181"/>
      <c r="P556" s="181"/>
      <c r="Q556" s="181"/>
      <c r="R556" s="181"/>
      <c r="S556" s="182"/>
      <c r="T556" s="182"/>
      <c r="U556" s="182"/>
      <c r="V556" s="182"/>
      <c r="W556" s="183"/>
      <c r="X556" s="183"/>
      <c r="Y556" s="183"/>
      <c r="Z556" s="183"/>
    </row>
    <row r="557" ht="15.75" customHeight="1">
      <c r="A557" s="184">
        <v>1.45448527E8</v>
      </c>
      <c r="B557" s="185" t="s">
        <v>1148</v>
      </c>
      <c r="C557" s="186">
        <v>8601342.0</v>
      </c>
      <c r="D557" s="186">
        <v>2347493.0</v>
      </c>
      <c r="E557" s="186">
        <v>272489.0</v>
      </c>
      <c r="F557" s="186">
        <v>139395.0</v>
      </c>
      <c r="G557" s="186">
        <v>299647.0</v>
      </c>
      <c r="H557" s="186">
        <v>68565.0</v>
      </c>
      <c r="I557" s="186">
        <v>144606.0</v>
      </c>
      <c r="J557" s="186">
        <v>0.0</v>
      </c>
      <c r="K557" s="186">
        <v>652213.0</v>
      </c>
      <c r="L557" s="186">
        <v>1666064.0</v>
      </c>
      <c r="M557" s="181"/>
      <c r="N557" s="181"/>
      <c r="O557" s="181"/>
      <c r="P557" s="181"/>
      <c r="Q557" s="181"/>
      <c r="R557" s="181"/>
      <c r="S557" s="182"/>
      <c r="T557" s="182"/>
      <c r="U557" s="182"/>
      <c r="V557" s="182"/>
      <c r="W557" s="183"/>
      <c r="X557" s="183"/>
      <c r="Y557" s="183"/>
      <c r="Z557" s="183"/>
    </row>
    <row r="558" ht="15.75" customHeight="1">
      <c r="A558" s="184">
        <v>1.44982968E8</v>
      </c>
      <c r="B558" s="185" t="s">
        <v>1149</v>
      </c>
      <c r="C558" s="186">
        <v>8567032.0</v>
      </c>
      <c r="D558" s="186">
        <v>1908412.0</v>
      </c>
      <c r="E558" s="186">
        <v>1446903.0</v>
      </c>
      <c r="F558" s="186">
        <v>50630.0</v>
      </c>
      <c r="G558" s="186">
        <v>52097.0</v>
      </c>
      <c r="H558" s="186">
        <v>15373.0</v>
      </c>
      <c r="I558" s="186">
        <v>113864.0</v>
      </c>
      <c r="J558" s="186">
        <v>29698.0</v>
      </c>
      <c r="K558" s="186">
        <v>261662.0</v>
      </c>
      <c r="L558" s="186">
        <v>4800005.0</v>
      </c>
      <c r="M558" s="181"/>
      <c r="N558" s="181"/>
      <c r="O558" s="181"/>
      <c r="P558" s="181"/>
      <c r="Q558" s="181"/>
      <c r="R558" s="181"/>
      <c r="S558" s="182"/>
      <c r="T558" s="182"/>
      <c r="U558" s="182"/>
      <c r="V558" s="182"/>
      <c r="W558" s="183"/>
      <c r="X558" s="183"/>
      <c r="Y558" s="183"/>
      <c r="Z558" s="183"/>
    </row>
    <row r="559" ht="15.75" customHeight="1">
      <c r="A559" s="184">
        <v>1.69591206E8</v>
      </c>
      <c r="B559" s="185" t="s">
        <v>1150</v>
      </c>
      <c r="C559" s="186">
        <v>8535880.0</v>
      </c>
      <c r="D559" s="186">
        <v>866998.0</v>
      </c>
      <c r="E559" s="186">
        <v>47698.0</v>
      </c>
      <c r="F559" s="186">
        <v>49012.0</v>
      </c>
      <c r="G559" s="186">
        <v>177028.0</v>
      </c>
      <c r="H559" s="186">
        <v>90685.0</v>
      </c>
      <c r="I559" s="186">
        <v>14040.0</v>
      </c>
      <c r="J559" s="186">
        <v>0.0</v>
      </c>
      <c r="K559" s="186">
        <v>330765.0</v>
      </c>
      <c r="L559" s="186">
        <v>0.0</v>
      </c>
      <c r="M559" s="181"/>
      <c r="N559" s="181"/>
      <c r="O559" s="181"/>
      <c r="P559" s="181"/>
      <c r="Q559" s="181"/>
      <c r="R559" s="181"/>
      <c r="S559" s="182"/>
      <c r="T559" s="182"/>
      <c r="U559" s="182"/>
      <c r="V559" s="182"/>
      <c r="W559" s="183"/>
      <c r="X559" s="183"/>
      <c r="Y559" s="183"/>
      <c r="Z559" s="183"/>
    </row>
    <row r="560" ht="15.75" customHeight="1">
      <c r="A560" s="184">
        <v>1.69574814E8</v>
      </c>
      <c r="B560" s="185" t="s">
        <v>1151</v>
      </c>
      <c r="C560" s="186">
        <v>8533045.0</v>
      </c>
      <c r="D560" s="186">
        <v>750074.0</v>
      </c>
      <c r="E560" s="186">
        <v>157692.0</v>
      </c>
      <c r="F560" s="186">
        <v>155533.0</v>
      </c>
      <c r="G560" s="186">
        <v>234548.0</v>
      </c>
      <c r="H560" s="186">
        <v>19073.0</v>
      </c>
      <c r="I560" s="186">
        <v>17358.0</v>
      </c>
      <c r="J560" s="186">
        <v>0.0</v>
      </c>
      <c r="K560" s="186">
        <v>426512.0</v>
      </c>
      <c r="L560" s="186">
        <v>7461550.0</v>
      </c>
      <c r="M560" s="181"/>
      <c r="N560" s="181"/>
      <c r="O560" s="181"/>
      <c r="P560" s="181"/>
      <c r="Q560" s="181"/>
      <c r="R560" s="181"/>
      <c r="S560" s="182"/>
      <c r="T560" s="182"/>
      <c r="U560" s="182"/>
      <c r="V560" s="182"/>
      <c r="W560" s="183"/>
      <c r="X560" s="183"/>
      <c r="Y560" s="183"/>
      <c r="Z560" s="183"/>
    </row>
    <row r="561" ht="15.75" customHeight="1">
      <c r="A561" s="184">
        <v>1.69550022E8</v>
      </c>
      <c r="B561" s="185" t="s">
        <v>1152</v>
      </c>
      <c r="C561" s="186">
        <v>8514135.0</v>
      </c>
      <c r="D561" s="186">
        <v>1535931.0</v>
      </c>
      <c r="E561" s="186">
        <v>195222.0</v>
      </c>
      <c r="F561" s="186">
        <v>256935.0</v>
      </c>
      <c r="G561" s="186">
        <v>270350.0</v>
      </c>
      <c r="H561" s="186">
        <v>77346.0</v>
      </c>
      <c r="I561" s="186">
        <v>63446.0</v>
      </c>
      <c r="J561" s="186">
        <v>0.0</v>
      </c>
      <c r="K561" s="186">
        <v>668077.0</v>
      </c>
      <c r="L561" s="186">
        <v>2.2579339E7</v>
      </c>
      <c r="M561" s="181"/>
      <c r="N561" s="181"/>
      <c r="O561" s="181"/>
      <c r="P561" s="181"/>
      <c r="Q561" s="181"/>
      <c r="R561" s="181"/>
      <c r="S561" s="182"/>
      <c r="T561" s="182"/>
      <c r="U561" s="182"/>
      <c r="V561" s="182"/>
      <c r="W561" s="183"/>
      <c r="X561" s="183"/>
      <c r="Y561" s="183"/>
      <c r="Z561" s="183"/>
    </row>
    <row r="562" ht="15.75" customHeight="1">
      <c r="A562" s="184">
        <v>1.69478113E8</v>
      </c>
      <c r="B562" s="185" t="s">
        <v>1153</v>
      </c>
      <c r="C562" s="186">
        <v>8486527.0</v>
      </c>
      <c r="D562" s="186">
        <v>239356.0</v>
      </c>
      <c r="E562" s="186">
        <v>36964.0</v>
      </c>
      <c r="F562" s="186">
        <v>42923.0</v>
      </c>
      <c r="G562" s="186">
        <v>40998.0</v>
      </c>
      <c r="H562" s="186">
        <v>11804.0</v>
      </c>
      <c r="I562" s="186">
        <v>10156.0</v>
      </c>
      <c r="J562" s="186">
        <v>0.0</v>
      </c>
      <c r="K562" s="186">
        <v>105881.0</v>
      </c>
      <c r="L562" s="186">
        <v>0.0</v>
      </c>
      <c r="M562" s="181"/>
      <c r="N562" s="181"/>
      <c r="O562" s="181"/>
      <c r="P562" s="181"/>
      <c r="Q562" s="181"/>
      <c r="R562" s="181"/>
      <c r="S562" s="182"/>
      <c r="T562" s="182"/>
      <c r="U562" s="182"/>
      <c r="V562" s="182"/>
      <c r="W562" s="183"/>
      <c r="X562" s="183"/>
      <c r="Y562" s="183"/>
      <c r="Z562" s="183"/>
    </row>
    <row r="563" ht="15.75" customHeight="1">
      <c r="A563" s="184">
        <v>1.73014939E8</v>
      </c>
      <c r="B563" s="185" t="s">
        <v>1154</v>
      </c>
      <c r="C563" s="186">
        <v>8495811.0</v>
      </c>
      <c r="D563" s="186">
        <v>506432.0</v>
      </c>
      <c r="E563" s="186">
        <v>756010.0</v>
      </c>
      <c r="F563" s="186">
        <v>3763.0</v>
      </c>
      <c r="G563" s="186">
        <v>5205.0</v>
      </c>
      <c r="H563" s="186">
        <v>0.0</v>
      </c>
      <c r="I563" s="186">
        <v>18475.0</v>
      </c>
      <c r="J563" s="186">
        <v>15526.0</v>
      </c>
      <c r="K563" s="186">
        <v>42969.0</v>
      </c>
      <c r="L563" s="186">
        <v>1.22063593E8</v>
      </c>
      <c r="M563" s="181"/>
      <c r="N563" s="181"/>
      <c r="O563" s="181"/>
      <c r="P563" s="181"/>
      <c r="Q563" s="181"/>
      <c r="R563" s="181"/>
      <c r="S563" s="182"/>
      <c r="T563" s="182"/>
      <c r="U563" s="182"/>
      <c r="V563" s="182"/>
      <c r="W563" s="183"/>
      <c r="X563" s="183"/>
      <c r="Y563" s="183"/>
      <c r="Z563" s="183"/>
    </row>
    <row r="564" ht="15.75" customHeight="1">
      <c r="A564" s="184">
        <v>1.69589773E8</v>
      </c>
      <c r="B564" s="185" t="s">
        <v>1155</v>
      </c>
      <c r="C564" s="186">
        <v>8395741.0</v>
      </c>
      <c r="D564" s="186">
        <v>498433.0</v>
      </c>
      <c r="E564" s="186">
        <v>723.0</v>
      </c>
      <c r="F564" s="186">
        <v>2688.0</v>
      </c>
      <c r="G564" s="186">
        <v>11602.0</v>
      </c>
      <c r="H564" s="186">
        <v>103408.0</v>
      </c>
      <c r="I564" s="186">
        <v>6106.0</v>
      </c>
      <c r="J564" s="186">
        <v>0.0</v>
      </c>
      <c r="K564" s="186">
        <v>123804.0</v>
      </c>
      <c r="L564" s="186">
        <v>0.0</v>
      </c>
      <c r="M564" s="181"/>
      <c r="N564" s="181"/>
      <c r="O564" s="181"/>
      <c r="P564" s="181"/>
      <c r="Q564" s="181"/>
      <c r="R564" s="181"/>
      <c r="S564" s="182"/>
      <c r="T564" s="182"/>
      <c r="U564" s="182"/>
      <c r="V564" s="182"/>
      <c r="W564" s="183"/>
      <c r="X564" s="183"/>
      <c r="Y564" s="183"/>
      <c r="Z564" s="183"/>
    </row>
    <row r="565" ht="15.75" customHeight="1">
      <c r="A565" s="184">
        <v>1.49202566E8</v>
      </c>
      <c r="B565" s="185" t="s">
        <v>1156</v>
      </c>
      <c r="C565" s="186">
        <v>8392624.0</v>
      </c>
      <c r="D565" s="186">
        <v>1252835.0</v>
      </c>
      <c r="E565" s="186">
        <v>1380564.0</v>
      </c>
      <c r="F565" s="186">
        <v>19226.0</v>
      </c>
      <c r="G565" s="186">
        <v>121232.0</v>
      </c>
      <c r="H565" s="186">
        <v>18149.0</v>
      </c>
      <c r="I565" s="186">
        <v>93393.0</v>
      </c>
      <c r="J565" s="186">
        <v>0.0</v>
      </c>
      <c r="K565" s="186">
        <v>252000.0</v>
      </c>
      <c r="L565" s="186">
        <v>2.483904274E9</v>
      </c>
      <c r="M565" s="181"/>
      <c r="N565" s="181"/>
      <c r="O565" s="181"/>
      <c r="P565" s="181"/>
      <c r="Q565" s="181"/>
      <c r="R565" s="181"/>
      <c r="S565" s="182"/>
      <c r="T565" s="182"/>
      <c r="U565" s="182"/>
      <c r="V565" s="182"/>
      <c r="W565" s="183"/>
      <c r="X565" s="183"/>
      <c r="Y565" s="183"/>
      <c r="Z565" s="183"/>
    </row>
    <row r="566" ht="15.75" customHeight="1">
      <c r="A566" s="184">
        <v>1.72549593E8</v>
      </c>
      <c r="B566" s="185" t="s">
        <v>1157</v>
      </c>
      <c r="C566" s="186">
        <v>8357849.0</v>
      </c>
      <c r="D566" s="186">
        <v>49168.0</v>
      </c>
      <c r="E566" s="186">
        <v>0.0</v>
      </c>
      <c r="F566" s="186">
        <v>0.0</v>
      </c>
      <c r="G566" s="186">
        <v>2411.0</v>
      </c>
      <c r="H566" s="186">
        <v>3024.0</v>
      </c>
      <c r="I566" s="186">
        <v>3225.0</v>
      </c>
      <c r="J566" s="186">
        <v>0.0</v>
      </c>
      <c r="K566" s="186">
        <v>8660.0</v>
      </c>
      <c r="L566" s="186">
        <v>1.736E8</v>
      </c>
      <c r="M566" s="181"/>
      <c r="N566" s="181"/>
      <c r="O566" s="181"/>
      <c r="P566" s="181"/>
      <c r="Q566" s="181"/>
      <c r="R566" s="181"/>
      <c r="S566" s="182"/>
      <c r="T566" s="182"/>
      <c r="U566" s="182"/>
      <c r="V566" s="182"/>
      <c r="W566" s="183"/>
      <c r="X566" s="183"/>
      <c r="Y566" s="183"/>
      <c r="Z566" s="183"/>
    </row>
    <row r="567" ht="15.75" customHeight="1">
      <c r="A567" s="184">
        <v>1.50478791E8</v>
      </c>
      <c r="B567" s="185" t="s">
        <v>1158</v>
      </c>
      <c r="C567" s="186">
        <v>8356528.0</v>
      </c>
      <c r="D567" s="186">
        <v>1948149.0</v>
      </c>
      <c r="E567" s="186">
        <v>816626.0</v>
      </c>
      <c r="F567" s="186">
        <v>2975.0</v>
      </c>
      <c r="G567" s="186">
        <v>71071.0</v>
      </c>
      <c r="H567" s="186">
        <v>55508.0</v>
      </c>
      <c r="I567" s="186">
        <v>141366.0</v>
      </c>
      <c r="J567" s="186">
        <v>8486.0</v>
      </c>
      <c r="K567" s="186">
        <v>279406.0</v>
      </c>
      <c r="L567" s="186">
        <v>0.0</v>
      </c>
      <c r="M567" s="181"/>
      <c r="N567" s="181"/>
      <c r="O567" s="181"/>
      <c r="P567" s="181"/>
      <c r="Q567" s="181"/>
      <c r="R567" s="181"/>
      <c r="S567" s="182"/>
      <c r="T567" s="182"/>
      <c r="U567" s="182"/>
      <c r="V567" s="182"/>
      <c r="W567" s="183"/>
      <c r="X567" s="183"/>
      <c r="Y567" s="183"/>
      <c r="Z567" s="183"/>
    </row>
    <row r="568" ht="15.75" customHeight="1">
      <c r="A568" s="184">
        <v>1.69582242E8</v>
      </c>
      <c r="B568" s="185" t="s">
        <v>1159</v>
      </c>
      <c r="C568" s="186">
        <v>8324116.0</v>
      </c>
      <c r="D568" s="186">
        <v>648542.0</v>
      </c>
      <c r="E568" s="186">
        <v>201117.0</v>
      </c>
      <c r="F568" s="186">
        <v>99491.0</v>
      </c>
      <c r="G568" s="186">
        <v>54524.0</v>
      </c>
      <c r="H568" s="186">
        <v>41404.0</v>
      </c>
      <c r="I568" s="186">
        <v>35398.0</v>
      </c>
      <c r="J568" s="186">
        <v>0.0</v>
      </c>
      <c r="K568" s="186">
        <v>230817.0</v>
      </c>
      <c r="L568" s="186">
        <v>4372189.0</v>
      </c>
      <c r="M568" s="181"/>
      <c r="N568" s="181"/>
      <c r="O568" s="181"/>
      <c r="P568" s="181"/>
      <c r="Q568" s="181"/>
      <c r="R568" s="181"/>
      <c r="S568" s="182"/>
      <c r="T568" s="182"/>
      <c r="U568" s="182"/>
      <c r="V568" s="182"/>
      <c r="W568" s="183"/>
      <c r="X568" s="183"/>
      <c r="Y568" s="183"/>
      <c r="Z568" s="183"/>
    </row>
    <row r="569" ht="15.75" customHeight="1">
      <c r="A569" s="184">
        <v>1.69510839E8</v>
      </c>
      <c r="B569" s="185" t="s">
        <v>1160</v>
      </c>
      <c r="C569" s="186">
        <v>8319667.0</v>
      </c>
      <c r="D569" s="186">
        <v>158957.0</v>
      </c>
      <c r="E569" s="186">
        <v>20168.0</v>
      </c>
      <c r="F569" s="186">
        <v>25269.0</v>
      </c>
      <c r="G569" s="186">
        <v>25668.0</v>
      </c>
      <c r="H569" s="186">
        <v>10027.0</v>
      </c>
      <c r="I569" s="186">
        <v>6246.0</v>
      </c>
      <c r="J569" s="186">
        <v>0.0</v>
      </c>
      <c r="K569" s="186">
        <v>67210.0</v>
      </c>
      <c r="L569" s="186">
        <v>168620.0</v>
      </c>
      <c r="M569" s="181"/>
      <c r="N569" s="181"/>
      <c r="O569" s="181"/>
      <c r="P569" s="181"/>
      <c r="Q569" s="181"/>
      <c r="R569" s="181"/>
      <c r="S569" s="182"/>
      <c r="T569" s="182"/>
      <c r="U569" s="182"/>
      <c r="V569" s="182"/>
      <c r="W569" s="183"/>
      <c r="X569" s="183"/>
      <c r="Y569" s="183"/>
      <c r="Z569" s="183"/>
    </row>
    <row r="570" ht="15.75" customHeight="1">
      <c r="A570" s="184">
        <v>1.69549209E8</v>
      </c>
      <c r="B570" s="185" t="s">
        <v>1161</v>
      </c>
      <c r="C570" s="186">
        <v>8319285.0</v>
      </c>
      <c r="D570" s="186">
        <v>643674.0</v>
      </c>
      <c r="E570" s="186">
        <v>349118.0</v>
      </c>
      <c r="F570" s="186">
        <v>6361.0</v>
      </c>
      <c r="G570" s="186">
        <v>6133.0</v>
      </c>
      <c r="H570" s="186">
        <v>24664.0</v>
      </c>
      <c r="I570" s="186">
        <v>53148.0</v>
      </c>
      <c r="J570" s="186">
        <v>0.0</v>
      </c>
      <c r="K570" s="186">
        <v>90306.0</v>
      </c>
      <c r="L570" s="186">
        <v>1372138.0</v>
      </c>
      <c r="M570" s="181"/>
      <c r="N570" s="181"/>
      <c r="O570" s="181"/>
      <c r="P570" s="181"/>
      <c r="Q570" s="181"/>
      <c r="R570" s="181"/>
      <c r="S570" s="182"/>
      <c r="T570" s="182"/>
      <c r="U570" s="182"/>
      <c r="V570" s="182"/>
      <c r="W570" s="183"/>
      <c r="X570" s="183"/>
      <c r="Y570" s="183"/>
      <c r="Z570" s="183"/>
    </row>
    <row r="571" ht="15.75" customHeight="1">
      <c r="A571" s="184">
        <v>1.74211912E8</v>
      </c>
      <c r="B571" s="185" t="s">
        <v>1162</v>
      </c>
      <c r="C571" s="186">
        <v>8308875.0</v>
      </c>
      <c r="D571" s="186">
        <v>200960.0</v>
      </c>
      <c r="E571" s="186">
        <v>281312.0</v>
      </c>
      <c r="F571" s="186">
        <v>334.0</v>
      </c>
      <c r="G571" s="186">
        <v>0.0</v>
      </c>
      <c r="H571" s="186">
        <v>2841.0</v>
      </c>
      <c r="I571" s="186">
        <v>18953.0</v>
      </c>
      <c r="J571" s="186">
        <v>0.0</v>
      </c>
      <c r="K571" s="186">
        <v>22128.0</v>
      </c>
      <c r="L571" s="186">
        <v>1.04E7</v>
      </c>
      <c r="M571" s="181"/>
      <c r="N571" s="181"/>
      <c r="O571" s="181"/>
      <c r="P571" s="181"/>
      <c r="Q571" s="181"/>
      <c r="R571" s="181"/>
      <c r="S571" s="182"/>
      <c r="T571" s="182"/>
      <c r="U571" s="182"/>
      <c r="V571" s="182"/>
      <c r="W571" s="183"/>
      <c r="X571" s="183"/>
      <c r="Y571" s="183"/>
      <c r="Z571" s="183"/>
    </row>
    <row r="572" ht="15.75" customHeight="1">
      <c r="A572" s="184">
        <v>1.64987001E8</v>
      </c>
      <c r="B572" s="185" t="s">
        <v>1163</v>
      </c>
      <c r="C572" s="186">
        <v>8302812.0</v>
      </c>
      <c r="D572" s="186">
        <v>1606066.0</v>
      </c>
      <c r="E572" s="186">
        <v>265470.0</v>
      </c>
      <c r="F572" s="186">
        <v>141981.0</v>
      </c>
      <c r="G572" s="186">
        <v>310319.0</v>
      </c>
      <c r="H572" s="186">
        <v>107158.0</v>
      </c>
      <c r="I572" s="186">
        <v>52840.0</v>
      </c>
      <c r="J572" s="186">
        <v>0.0</v>
      </c>
      <c r="K572" s="186">
        <v>612298.0</v>
      </c>
      <c r="L572" s="186">
        <v>1.132356E7</v>
      </c>
      <c r="M572" s="181"/>
      <c r="N572" s="181"/>
      <c r="O572" s="181"/>
      <c r="P572" s="181"/>
      <c r="Q572" s="181"/>
      <c r="R572" s="181"/>
      <c r="S572" s="182"/>
      <c r="T572" s="182"/>
      <c r="U572" s="182"/>
      <c r="V572" s="182"/>
      <c r="W572" s="183"/>
      <c r="X572" s="183"/>
      <c r="Y572" s="183"/>
      <c r="Z572" s="183"/>
    </row>
    <row r="573" ht="15.75" customHeight="1">
      <c r="A573" s="184">
        <v>1.69579918E8</v>
      </c>
      <c r="B573" s="185" t="s">
        <v>1164</v>
      </c>
      <c r="C573" s="186">
        <v>8281640.0</v>
      </c>
      <c r="D573" s="186">
        <v>1764222.0</v>
      </c>
      <c r="E573" s="186">
        <v>236087.0</v>
      </c>
      <c r="F573" s="186">
        <v>245473.0</v>
      </c>
      <c r="G573" s="186">
        <v>117150.0</v>
      </c>
      <c r="H573" s="186">
        <v>226152.0</v>
      </c>
      <c r="I573" s="186">
        <v>57622.0</v>
      </c>
      <c r="J573" s="186">
        <v>0.0</v>
      </c>
      <c r="K573" s="186">
        <v>646397.0</v>
      </c>
      <c r="L573" s="186">
        <v>7467062.0</v>
      </c>
      <c r="M573" s="181"/>
      <c r="N573" s="181"/>
      <c r="O573" s="181"/>
      <c r="P573" s="181"/>
      <c r="Q573" s="181"/>
      <c r="R573" s="181"/>
      <c r="S573" s="182"/>
      <c r="T573" s="182"/>
      <c r="U573" s="182"/>
      <c r="V573" s="182"/>
      <c r="W573" s="183"/>
      <c r="X573" s="183"/>
      <c r="Y573" s="183"/>
      <c r="Z573" s="183"/>
    </row>
    <row r="574" ht="15.75" customHeight="1">
      <c r="A574" s="184">
        <v>1.69491203E8</v>
      </c>
      <c r="B574" s="185" t="s">
        <v>1165</v>
      </c>
      <c r="C574" s="186">
        <v>8280908.0</v>
      </c>
      <c r="D574" s="186">
        <v>1954216.0</v>
      </c>
      <c r="E574" s="186">
        <v>591002.0</v>
      </c>
      <c r="F574" s="186">
        <v>16530.0</v>
      </c>
      <c r="G574" s="186">
        <v>124925.0</v>
      </c>
      <c r="H574" s="186">
        <v>237280.0</v>
      </c>
      <c r="I574" s="186">
        <v>75194.0</v>
      </c>
      <c r="J574" s="186">
        <v>0.0</v>
      </c>
      <c r="K574" s="186">
        <v>453929.0</v>
      </c>
      <c r="L574" s="186">
        <v>0.0</v>
      </c>
      <c r="M574" s="181"/>
      <c r="N574" s="181"/>
      <c r="O574" s="181"/>
      <c r="P574" s="181"/>
      <c r="Q574" s="181"/>
      <c r="R574" s="181"/>
      <c r="S574" s="182"/>
      <c r="T574" s="182"/>
      <c r="U574" s="182"/>
      <c r="V574" s="182"/>
      <c r="W574" s="183"/>
      <c r="X574" s="183"/>
      <c r="Y574" s="183"/>
      <c r="Z574" s="183"/>
    </row>
    <row r="575" ht="15.75" customHeight="1">
      <c r="A575" s="184">
        <v>1.69472641E8</v>
      </c>
      <c r="B575" s="185" t="s">
        <v>1166</v>
      </c>
      <c r="C575" s="186">
        <v>8278989.0</v>
      </c>
      <c r="D575" s="186">
        <v>2087277.0</v>
      </c>
      <c r="E575" s="186">
        <v>649202.0</v>
      </c>
      <c r="F575" s="186">
        <v>128545.0</v>
      </c>
      <c r="G575" s="186">
        <v>484049.0</v>
      </c>
      <c r="H575" s="186">
        <v>41040.0</v>
      </c>
      <c r="I575" s="186">
        <v>92931.0</v>
      </c>
      <c r="J575" s="186">
        <v>0.0</v>
      </c>
      <c r="K575" s="186">
        <v>746565.0</v>
      </c>
      <c r="L575" s="186">
        <v>0.0</v>
      </c>
      <c r="M575" s="181"/>
      <c r="N575" s="181"/>
      <c r="O575" s="181"/>
      <c r="P575" s="181"/>
      <c r="Q575" s="181"/>
      <c r="R575" s="181"/>
      <c r="S575" s="182"/>
      <c r="T575" s="182"/>
      <c r="U575" s="182"/>
      <c r="V575" s="182"/>
      <c r="W575" s="183"/>
      <c r="X575" s="183"/>
      <c r="Y575" s="183"/>
      <c r="Z575" s="183"/>
    </row>
    <row r="576" ht="15.75" customHeight="1">
      <c r="A576" s="184">
        <v>1.72686427E8</v>
      </c>
      <c r="B576" s="185" t="s">
        <v>1167</v>
      </c>
      <c r="C576" s="186">
        <v>8259162.0</v>
      </c>
      <c r="D576" s="186">
        <v>814211.0</v>
      </c>
      <c r="E576" s="186">
        <v>75314.0</v>
      </c>
      <c r="F576" s="186">
        <v>24248.0</v>
      </c>
      <c r="G576" s="186">
        <v>120747.0</v>
      </c>
      <c r="H576" s="186">
        <v>52827.0</v>
      </c>
      <c r="I576" s="186">
        <v>35656.0</v>
      </c>
      <c r="J576" s="186">
        <v>0.0</v>
      </c>
      <c r="K576" s="186">
        <v>233478.0</v>
      </c>
      <c r="L576" s="186">
        <v>300000.0</v>
      </c>
      <c r="M576" s="181"/>
      <c r="N576" s="181"/>
      <c r="O576" s="181"/>
      <c r="P576" s="181"/>
      <c r="Q576" s="181"/>
      <c r="R576" s="181"/>
      <c r="S576" s="182"/>
      <c r="T576" s="182"/>
      <c r="U576" s="182"/>
      <c r="V576" s="182"/>
      <c r="W576" s="183"/>
      <c r="X576" s="183"/>
      <c r="Y576" s="183"/>
      <c r="Z576" s="183"/>
    </row>
    <row r="577" ht="15.75" customHeight="1">
      <c r="A577" s="184">
        <v>1.69523091E8</v>
      </c>
      <c r="B577" s="185" t="s">
        <v>1168</v>
      </c>
      <c r="C577" s="186">
        <v>8257645.0</v>
      </c>
      <c r="D577" s="186">
        <v>1132787.0</v>
      </c>
      <c r="E577" s="186">
        <v>1011364.0</v>
      </c>
      <c r="F577" s="186">
        <v>260966.0</v>
      </c>
      <c r="G577" s="186">
        <v>135905.0</v>
      </c>
      <c r="H577" s="186">
        <v>14716.0</v>
      </c>
      <c r="I577" s="186">
        <v>6364.0</v>
      </c>
      <c r="J577" s="186">
        <v>34314.0</v>
      </c>
      <c r="K577" s="186">
        <v>452265.0</v>
      </c>
      <c r="L577" s="186">
        <v>0.0</v>
      </c>
      <c r="M577" s="181"/>
      <c r="N577" s="181"/>
      <c r="O577" s="181"/>
      <c r="P577" s="181"/>
      <c r="Q577" s="181"/>
      <c r="R577" s="181"/>
      <c r="S577" s="182"/>
      <c r="T577" s="182"/>
      <c r="U577" s="182"/>
      <c r="V577" s="182"/>
      <c r="W577" s="183"/>
      <c r="X577" s="183"/>
      <c r="Y577" s="183"/>
      <c r="Z577" s="183"/>
    </row>
    <row r="578" ht="15.75" customHeight="1">
      <c r="A578" s="184">
        <v>1.6953661E8</v>
      </c>
      <c r="B578" s="185" t="s">
        <v>1169</v>
      </c>
      <c r="C578" s="186">
        <v>8245629.0</v>
      </c>
      <c r="D578" s="186">
        <v>830181.0</v>
      </c>
      <c r="E578" s="186">
        <v>192934.0</v>
      </c>
      <c r="F578" s="186">
        <v>49435.0</v>
      </c>
      <c r="G578" s="186">
        <v>164222.0</v>
      </c>
      <c r="H578" s="186">
        <v>111825.0</v>
      </c>
      <c r="I578" s="186">
        <v>4455.0</v>
      </c>
      <c r="J578" s="186">
        <v>0.0</v>
      </c>
      <c r="K578" s="186">
        <v>329937.0</v>
      </c>
      <c r="L578" s="186">
        <v>0.0</v>
      </c>
      <c r="M578" s="181"/>
      <c r="N578" s="181"/>
      <c r="O578" s="181"/>
      <c r="P578" s="181"/>
      <c r="Q578" s="181"/>
      <c r="R578" s="181"/>
      <c r="S578" s="182"/>
      <c r="T578" s="182"/>
      <c r="U578" s="182"/>
      <c r="V578" s="182"/>
      <c r="W578" s="183"/>
      <c r="X578" s="183"/>
      <c r="Y578" s="183"/>
      <c r="Z578" s="183"/>
    </row>
    <row r="579" ht="15.75" customHeight="1">
      <c r="A579" s="184">
        <v>1.69536794E8</v>
      </c>
      <c r="B579" s="185" t="s">
        <v>1170</v>
      </c>
      <c r="C579" s="186">
        <v>8230529.0</v>
      </c>
      <c r="D579" s="186">
        <v>241924.0</v>
      </c>
      <c r="E579" s="186">
        <v>126063.0</v>
      </c>
      <c r="F579" s="186">
        <v>11162.0</v>
      </c>
      <c r="G579" s="186">
        <v>30825.0</v>
      </c>
      <c r="H579" s="186">
        <v>37198.0</v>
      </c>
      <c r="I579" s="186">
        <v>2925.0</v>
      </c>
      <c r="J579" s="186">
        <v>0.0</v>
      </c>
      <c r="K579" s="186">
        <v>82110.0</v>
      </c>
      <c r="L579" s="186">
        <v>0.0</v>
      </c>
      <c r="M579" s="181"/>
      <c r="N579" s="181"/>
      <c r="O579" s="181"/>
      <c r="P579" s="181"/>
      <c r="Q579" s="181"/>
      <c r="R579" s="181"/>
      <c r="S579" s="182"/>
      <c r="T579" s="182"/>
      <c r="U579" s="182"/>
      <c r="V579" s="182"/>
      <c r="W579" s="183"/>
      <c r="X579" s="183"/>
      <c r="Y579" s="183"/>
      <c r="Z579" s="183"/>
    </row>
    <row r="580" ht="15.75" customHeight="1">
      <c r="A580" s="184">
        <v>1.71572091E8</v>
      </c>
      <c r="B580" s="185" t="s">
        <v>1171</v>
      </c>
      <c r="C580" s="186">
        <v>8191872.0</v>
      </c>
      <c r="D580" s="186">
        <v>2608128.0</v>
      </c>
      <c r="E580" s="186">
        <v>410012.0</v>
      </c>
      <c r="F580" s="186">
        <v>16410.0</v>
      </c>
      <c r="G580" s="186">
        <v>136713.0</v>
      </c>
      <c r="H580" s="186">
        <v>100370.0</v>
      </c>
      <c r="I580" s="186">
        <v>192994.0</v>
      </c>
      <c r="J580" s="186">
        <v>0.0</v>
      </c>
      <c r="K580" s="186">
        <v>446487.0</v>
      </c>
      <c r="L580" s="186">
        <v>6.23576929E8</v>
      </c>
      <c r="M580" s="181"/>
      <c r="N580" s="181"/>
      <c r="O580" s="181"/>
      <c r="P580" s="181"/>
      <c r="Q580" s="181"/>
      <c r="R580" s="181"/>
      <c r="S580" s="182"/>
      <c r="T580" s="182"/>
      <c r="U580" s="182"/>
      <c r="V580" s="182"/>
      <c r="W580" s="183"/>
      <c r="X580" s="183"/>
      <c r="Y580" s="183"/>
      <c r="Z580" s="183"/>
    </row>
    <row r="581" ht="15.75" customHeight="1">
      <c r="A581" s="184">
        <v>1.69545122E8</v>
      </c>
      <c r="B581" s="185" t="s">
        <v>1172</v>
      </c>
      <c r="C581" s="186">
        <v>8181001.0</v>
      </c>
      <c r="D581" s="186">
        <v>4213015.0</v>
      </c>
      <c r="E581" s="186">
        <v>658155.0</v>
      </c>
      <c r="F581" s="186">
        <v>378366.0</v>
      </c>
      <c r="G581" s="186">
        <v>1294711.0</v>
      </c>
      <c r="H581" s="186">
        <v>244035.0</v>
      </c>
      <c r="I581" s="186">
        <v>37212.0</v>
      </c>
      <c r="J581" s="186">
        <v>9983.0</v>
      </c>
      <c r="K581" s="186">
        <v>1964307.0</v>
      </c>
      <c r="L581" s="186">
        <v>2648837.0</v>
      </c>
      <c r="M581" s="181"/>
      <c r="N581" s="181"/>
      <c r="O581" s="181"/>
      <c r="P581" s="181"/>
      <c r="Q581" s="181"/>
      <c r="R581" s="181"/>
      <c r="S581" s="182"/>
      <c r="T581" s="182"/>
      <c r="U581" s="182"/>
      <c r="V581" s="182"/>
      <c r="W581" s="183"/>
      <c r="X581" s="183"/>
      <c r="Y581" s="183"/>
      <c r="Z581" s="183"/>
    </row>
    <row r="582" ht="15.75" customHeight="1">
      <c r="A582" s="184">
        <v>1.76888778E8</v>
      </c>
      <c r="B582" s="185" t="s">
        <v>1173</v>
      </c>
      <c r="C582" s="186">
        <v>8156986.0</v>
      </c>
      <c r="D582" s="186">
        <v>29655.0</v>
      </c>
      <c r="E582" s="186">
        <v>64375.0</v>
      </c>
      <c r="F582" s="186">
        <v>685.0</v>
      </c>
      <c r="G582" s="186">
        <v>122.0</v>
      </c>
      <c r="H582" s="186">
        <v>476.0</v>
      </c>
      <c r="I582" s="186">
        <v>2737.0</v>
      </c>
      <c r="J582" s="186">
        <v>0.0</v>
      </c>
      <c r="K582" s="186">
        <v>4020.0</v>
      </c>
      <c r="L582" s="186">
        <v>1.69104318E8</v>
      </c>
      <c r="M582" s="181"/>
      <c r="N582" s="181"/>
      <c r="O582" s="181"/>
      <c r="P582" s="181"/>
      <c r="Q582" s="181"/>
      <c r="R582" s="181"/>
      <c r="S582" s="182"/>
      <c r="T582" s="182"/>
      <c r="U582" s="182"/>
      <c r="V582" s="182"/>
      <c r="W582" s="183"/>
      <c r="X582" s="183"/>
      <c r="Y582" s="183"/>
      <c r="Z582" s="183"/>
    </row>
    <row r="583" ht="15.75" customHeight="1">
      <c r="A583" s="184">
        <v>1.70271379E8</v>
      </c>
      <c r="B583" s="185" t="s">
        <v>1174</v>
      </c>
      <c r="C583" s="186">
        <v>8148223.0</v>
      </c>
      <c r="D583" s="186">
        <v>89238.0</v>
      </c>
      <c r="E583" s="186">
        <v>0.0</v>
      </c>
      <c r="F583" s="186">
        <v>0.0</v>
      </c>
      <c r="G583" s="186">
        <v>2014.0</v>
      </c>
      <c r="H583" s="186">
        <v>0.0</v>
      </c>
      <c r="I583" s="186">
        <v>8521.0</v>
      </c>
      <c r="J583" s="186">
        <v>0.0</v>
      </c>
      <c r="K583" s="186">
        <v>10535.0</v>
      </c>
      <c r="L583" s="186">
        <v>9.4599558E8</v>
      </c>
      <c r="M583" s="181"/>
      <c r="N583" s="181"/>
      <c r="O583" s="181"/>
      <c r="P583" s="181"/>
      <c r="Q583" s="181"/>
      <c r="R583" s="181"/>
      <c r="S583" s="182"/>
      <c r="T583" s="182"/>
      <c r="U583" s="182"/>
      <c r="V583" s="182"/>
      <c r="W583" s="183"/>
      <c r="X583" s="183"/>
      <c r="Y583" s="183"/>
      <c r="Z583" s="183"/>
    </row>
    <row r="584" ht="15.75" customHeight="1">
      <c r="A584" s="184">
        <v>1.70526632E8</v>
      </c>
      <c r="B584" s="185" t="s">
        <v>1175</v>
      </c>
      <c r="C584" s="186">
        <v>8144052.0</v>
      </c>
      <c r="D584" s="186">
        <v>41427.0</v>
      </c>
      <c r="E584" s="186">
        <v>0.0</v>
      </c>
      <c r="F584" s="186">
        <v>4335.0</v>
      </c>
      <c r="G584" s="186">
        <v>14923.0</v>
      </c>
      <c r="H584" s="186">
        <v>1786.0</v>
      </c>
      <c r="I584" s="186">
        <v>357.0</v>
      </c>
      <c r="J584" s="186">
        <v>0.0</v>
      </c>
      <c r="K584" s="186">
        <v>21401.0</v>
      </c>
      <c r="L584" s="186">
        <v>1.10512703E8</v>
      </c>
      <c r="M584" s="181"/>
      <c r="N584" s="181"/>
      <c r="O584" s="181"/>
      <c r="P584" s="181"/>
      <c r="Q584" s="181"/>
      <c r="R584" s="181"/>
      <c r="S584" s="182"/>
      <c r="T584" s="182"/>
      <c r="U584" s="182"/>
      <c r="V584" s="182"/>
      <c r="W584" s="183"/>
      <c r="X584" s="183"/>
      <c r="Y584" s="183"/>
      <c r="Z584" s="183"/>
    </row>
    <row r="585" ht="15.75" customHeight="1">
      <c r="A585" s="184">
        <v>1.69404803E8</v>
      </c>
      <c r="B585" s="185" t="s">
        <v>1176</v>
      </c>
      <c r="C585" s="186">
        <v>8128377.0</v>
      </c>
      <c r="D585" s="186">
        <v>5667534.0</v>
      </c>
      <c r="E585" s="186">
        <v>281488.0</v>
      </c>
      <c r="F585" s="186">
        <v>467973.0</v>
      </c>
      <c r="G585" s="186">
        <v>964876.0</v>
      </c>
      <c r="H585" s="186">
        <v>240857.0</v>
      </c>
      <c r="I585" s="186">
        <v>242026.0</v>
      </c>
      <c r="J585" s="186">
        <v>13025.0</v>
      </c>
      <c r="K585" s="186">
        <v>1928757.0</v>
      </c>
      <c r="L585" s="186">
        <v>5314066.0</v>
      </c>
      <c r="M585" s="181"/>
      <c r="N585" s="181"/>
      <c r="O585" s="181"/>
      <c r="P585" s="181"/>
      <c r="Q585" s="181"/>
      <c r="R585" s="181"/>
      <c r="S585" s="182"/>
      <c r="T585" s="182"/>
      <c r="U585" s="182"/>
      <c r="V585" s="182"/>
      <c r="W585" s="183"/>
      <c r="X585" s="183"/>
      <c r="Y585" s="183"/>
      <c r="Z585" s="183"/>
    </row>
    <row r="586" ht="15.75" customHeight="1">
      <c r="A586" s="184">
        <v>1.69562344E8</v>
      </c>
      <c r="B586" s="185" t="s">
        <v>1177</v>
      </c>
      <c r="C586" s="186">
        <v>8106639.0</v>
      </c>
      <c r="D586" s="186">
        <v>226095.0</v>
      </c>
      <c r="E586" s="186">
        <v>0.0</v>
      </c>
      <c r="F586" s="186">
        <v>2185.0</v>
      </c>
      <c r="G586" s="186">
        <v>24894.0</v>
      </c>
      <c r="H586" s="186">
        <v>33045.0</v>
      </c>
      <c r="I586" s="186">
        <v>4369.0</v>
      </c>
      <c r="J586" s="186">
        <v>0.0</v>
      </c>
      <c r="K586" s="186">
        <v>64493.0</v>
      </c>
      <c r="L586" s="186">
        <v>0.0</v>
      </c>
      <c r="M586" s="181"/>
      <c r="N586" s="181"/>
      <c r="O586" s="181"/>
      <c r="P586" s="181"/>
      <c r="Q586" s="181"/>
      <c r="R586" s="181"/>
      <c r="S586" s="182"/>
      <c r="T586" s="182"/>
      <c r="U586" s="182"/>
      <c r="V586" s="182"/>
      <c r="W586" s="183"/>
      <c r="X586" s="183"/>
      <c r="Y586" s="183"/>
      <c r="Z586" s="183"/>
    </row>
    <row r="587" ht="15.75" customHeight="1">
      <c r="A587" s="184">
        <v>1.70289049E8</v>
      </c>
      <c r="B587" s="185" t="s">
        <v>1178</v>
      </c>
      <c r="C587" s="186">
        <v>8105694.0</v>
      </c>
      <c r="D587" s="186">
        <v>2192405.0</v>
      </c>
      <c r="E587" s="186">
        <v>198246.0</v>
      </c>
      <c r="F587" s="186">
        <v>3248.0</v>
      </c>
      <c r="G587" s="186">
        <v>249857.0</v>
      </c>
      <c r="H587" s="186">
        <v>219343.0</v>
      </c>
      <c r="I587" s="186">
        <v>81467.0</v>
      </c>
      <c r="J587" s="186">
        <v>0.0</v>
      </c>
      <c r="K587" s="186">
        <v>553915.0</v>
      </c>
      <c r="L587" s="186">
        <v>4.63401863E8</v>
      </c>
      <c r="M587" s="181"/>
      <c r="N587" s="181"/>
      <c r="O587" s="181"/>
      <c r="P587" s="181"/>
      <c r="Q587" s="181"/>
      <c r="R587" s="181"/>
      <c r="S587" s="182"/>
      <c r="T587" s="182"/>
      <c r="U587" s="182"/>
      <c r="V587" s="182"/>
      <c r="W587" s="183"/>
      <c r="X587" s="183"/>
      <c r="Y587" s="183"/>
      <c r="Z587" s="183"/>
    </row>
    <row r="588" ht="15.75" customHeight="1">
      <c r="A588" s="184">
        <v>1.7688859E8</v>
      </c>
      <c r="B588" s="185" t="s">
        <v>1179</v>
      </c>
      <c r="C588" s="186">
        <v>8074271.0</v>
      </c>
      <c r="D588" s="186">
        <v>119214.0</v>
      </c>
      <c r="E588" s="186">
        <v>52900.0</v>
      </c>
      <c r="F588" s="186">
        <v>0.0</v>
      </c>
      <c r="G588" s="186">
        <v>22973.0</v>
      </c>
      <c r="H588" s="186">
        <v>2477.0</v>
      </c>
      <c r="I588" s="186">
        <v>6336.0</v>
      </c>
      <c r="J588" s="186">
        <v>0.0</v>
      </c>
      <c r="K588" s="186">
        <v>31786.0</v>
      </c>
      <c r="L588" s="186">
        <v>1.77538825E8</v>
      </c>
      <c r="M588" s="181"/>
      <c r="N588" s="181"/>
      <c r="O588" s="181"/>
      <c r="P588" s="181"/>
      <c r="Q588" s="181"/>
      <c r="R588" s="181"/>
      <c r="S588" s="182"/>
      <c r="T588" s="182"/>
      <c r="U588" s="182"/>
      <c r="V588" s="182"/>
      <c r="W588" s="183"/>
      <c r="X588" s="183"/>
      <c r="Y588" s="183"/>
      <c r="Z588" s="183"/>
    </row>
    <row r="589" ht="15.75" customHeight="1">
      <c r="A589" s="184">
        <v>1.72764901E8</v>
      </c>
      <c r="B589" s="185" t="s">
        <v>1180</v>
      </c>
      <c r="C589" s="186">
        <v>8067593.0</v>
      </c>
      <c r="D589" s="186">
        <v>237123.0</v>
      </c>
      <c r="E589" s="186">
        <v>68738.0</v>
      </c>
      <c r="F589" s="186">
        <v>345.0</v>
      </c>
      <c r="G589" s="186">
        <v>22.0</v>
      </c>
      <c r="H589" s="186">
        <v>1075.0</v>
      </c>
      <c r="I589" s="186">
        <v>23271.0</v>
      </c>
      <c r="J589" s="186">
        <v>0.0</v>
      </c>
      <c r="K589" s="186">
        <v>24713.0</v>
      </c>
      <c r="L589" s="186">
        <v>2.6094231E7</v>
      </c>
      <c r="M589" s="181"/>
      <c r="N589" s="181"/>
      <c r="O589" s="181"/>
      <c r="P589" s="181"/>
      <c r="Q589" s="181"/>
      <c r="R589" s="181"/>
      <c r="S589" s="182"/>
      <c r="T589" s="182"/>
      <c r="U589" s="182"/>
      <c r="V589" s="182"/>
      <c r="W589" s="183"/>
      <c r="X589" s="183"/>
      <c r="Y589" s="183"/>
      <c r="Z589" s="183"/>
    </row>
    <row r="590" ht="15.75" customHeight="1">
      <c r="A590" s="184">
        <v>1.56593602E8</v>
      </c>
      <c r="B590" s="185" t="s">
        <v>1181</v>
      </c>
      <c r="C590" s="186">
        <v>8015262.0</v>
      </c>
      <c r="D590" s="186">
        <v>650718.0</v>
      </c>
      <c r="E590" s="186">
        <v>61133.0</v>
      </c>
      <c r="F590" s="186">
        <v>271401.0</v>
      </c>
      <c r="G590" s="186">
        <v>218871.0</v>
      </c>
      <c r="H590" s="186">
        <v>38889.0</v>
      </c>
      <c r="I590" s="186">
        <v>314.0</v>
      </c>
      <c r="J590" s="186">
        <v>0.0</v>
      </c>
      <c r="K590" s="186">
        <v>529475.0</v>
      </c>
      <c r="L590" s="186">
        <v>6778539.0</v>
      </c>
      <c r="M590" s="181"/>
      <c r="N590" s="181"/>
      <c r="O590" s="181"/>
      <c r="P590" s="181"/>
      <c r="Q590" s="181"/>
      <c r="R590" s="181"/>
      <c r="S590" s="182"/>
      <c r="T590" s="182"/>
      <c r="U590" s="182"/>
      <c r="V590" s="182"/>
      <c r="W590" s="183"/>
      <c r="X590" s="183"/>
      <c r="Y590" s="183"/>
      <c r="Z590" s="183"/>
    </row>
    <row r="591" ht="15.75" customHeight="1">
      <c r="A591" s="184">
        <v>1.69559007E8</v>
      </c>
      <c r="B591" s="185" t="s">
        <v>1182</v>
      </c>
      <c r="C591" s="186">
        <v>8012113.0</v>
      </c>
      <c r="D591" s="186">
        <v>586837.0</v>
      </c>
      <c r="E591" s="186">
        <v>511493.0</v>
      </c>
      <c r="F591" s="186">
        <v>55967.0</v>
      </c>
      <c r="G591" s="186">
        <v>5854.0</v>
      </c>
      <c r="H591" s="186">
        <v>6504.0</v>
      </c>
      <c r="I591" s="186">
        <v>42376.0</v>
      </c>
      <c r="J591" s="186">
        <v>5708.0</v>
      </c>
      <c r="K591" s="186">
        <v>116409.0</v>
      </c>
      <c r="L591" s="186">
        <v>0.0</v>
      </c>
      <c r="M591" s="181"/>
      <c r="N591" s="181"/>
      <c r="O591" s="181"/>
      <c r="P591" s="181"/>
      <c r="Q591" s="181"/>
      <c r="R591" s="181"/>
      <c r="S591" s="182"/>
      <c r="T591" s="182"/>
      <c r="U591" s="182"/>
      <c r="V591" s="182"/>
      <c r="W591" s="183"/>
      <c r="X591" s="183"/>
      <c r="Y591" s="183"/>
      <c r="Z591" s="183"/>
    </row>
    <row r="592" ht="15.75" customHeight="1">
      <c r="A592" s="184">
        <v>1.71594359E8</v>
      </c>
      <c r="B592" s="185" t="s">
        <v>1183</v>
      </c>
      <c r="C592" s="186">
        <v>7971862.0</v>
      </c>
      <c r="D592" s="186">
        <v>740363.0</v>
      </c>
      <c r="E592" s="186">
        <v>669406.0</v>
      </c>
      <c r="F592" s="186">
        <v>11607.0</v>
      </c>
      <c r="G592" s="186">
        <v>0.0</v>
      </c>
      <c r="H592" s="186">
        <v>943.0</v>
      </c>
      <c r="I592" s="186">
        <v>31075.0</v>
      </c>
      <c r="J592" s="186">
        <v>21176.0</v>
      </c>
      <c r="K592" s="186">
        <v>64801.0</v>
      </c>
      <c r="L592" s="186">
        <v>1.69202132E8</v>
      </c>
      <c r="M592" s="181"/>
      <c r="N592" s="181"/>
      <c r="O592" s="181"/>
      <c r="P592" s="181"/>
      <c r="Q592" s="181"/>
      <c r="R592" s="181"/>
      <c r="S592" s="182"/>
      <c r="T592" s="182"/>
      <c r="U592" s="182"/>
      <c r="V592" s="182"/>
      <c r="W592" s="183"/>
      <c r="X592" s="183"/>
      <c r="Y592" s="183"/>
      <c r="Z592" s="183"/>
    </row>
    <row r="593" ht="15.75" customHeight="1">
      <c r="A593" s="184">
        <v>1.69508998E8</v>
      </c>
      <c r="B593" s="185" t="s">
        <v>1184</v>
      </c>
      <c r="C593" s="186">
        <v>7964706.0</v>
      </c>
      <c r="D593" s="186">
        <v>707906.0</v>
      </c>
      <c r="E593" s="186">
        <v>523458.0</v>
      </c>
      <c r="F593" s="186">
        <v>20384.0</v>
      </c>
      <c r="G593" s="186">
        <v>3571.0</v>
      </c>
      <c r="H593" s="186">
        <v>627.0</v>
      </c>
      <c r="I593" s="186">
        <v>69418.0</v>
      </c>
      <c r="J593" s="186">
        <v>0.0</v>
      </c>
      <c r="K593" s="186">
        <v>94000.0</v>
      </c>
      <c r="L593" s="186">
        <v>7.99133867E8</v>
      </c>
      <c r="M593" s="181"/>
      <c r="N593" s="181"/>
      <c r="O593" s="181"/>
      <c r="P593" s="181"/>
      <c r="Q593" s="181"/>
      <c r="R593" s="181"/>
      <c r="S593" s="182"/>
      <c r="T593" s="182"/>
      <c r="U593" s="182"/>
      <c r="V593" s="182"/>
      <c r="W593" s="183"/>
      <c r="X593" s="183"/>
      <c r="Y593" s="183"/>
      <c r="Z593" s="183"/>
    </row>
    <row r="594" ht="15.75" customHeight="1">
      <c r="A594" s="184">
        <v>1.69579385E8</v>
      </c>
      <c r="B594" s="185" t="s">
        <v>1185</v>
      </c>
      <c r="C594" s="186">
        <v>7910910.0</v>
      </c>
      <c r="D594" s="186">
        <v>1409807.0</v>
      </c>
      <c r="E594" s="186">
        <v>988758.0</v>
      </c>
      <c r="F594" s="186">
        <v>94795.0</v>
      </c>
      <c r="G594" s="186">
        <v>203726.0</v>
      </c>
      <c r="H594" s="186">
        <v>62999.0</v>
      </c>
      <c r="I594" s="186">
        <v>48844.0</v>
      </c>
      <c r="J594" s="186">
        <v>12148.0</v>
      </c>
      <c r="K594" s="186">
        <v>422512.0</v>
      </c>
      <c r="L594" s="186">
        <v>0.0</v>
      </c>
      <c r="M594" s="181"/>
      <c r="N594" s="181"/>
      <c r="O594" s="181"/>
      <c r="P594" s="181"/>
      <c r="Q594" s="181"/>
      <c r="R594" s="181"/>
      <c r="S594" s="182"/>
      <c r="T594" s="182"/>
      <c r="U594" s="182"/>
      <c r="V594" s="182"/>
      <c r="W594" s="183"/>
      <c r="X594" s="183"/>
      <c r="Y594" s="183"/>
      <c r="Z594" s="183"/>
    </row>
    <row r="595" ht="15.75" customHeight="1">
      <c r="A595" s="184">
        <v>9.783893E7</v>
      </c>
      <c r="B595" s="185" t="s">
        <v>1186</v>
      </c>
      <c r="C595" s="186">
        <v>7865338.0</v>
      </c>
      <c r="D595" s="186">
        <v>1448962.0</v>
      </c>
      <c r="E595" s="186">
        <v>138799.0</v>
      </c>
      <c r="F595" s="186">
        <v>104001.0</v>
      </c>
      <c r="G595" s="186">
        <v>306924.0</v>
      </c>
      <c r="H595" s="186">
        <v>87306.0</v>
      </c>
      <c r="I595" s="186">
        <v>46509.0</v>
      </c>
      <c r="J595" s="186">
        <v>0.0</v>
      </c>
      <c r="K595" s="186">
        <v>544740.0</v>
      </c>
      <c r="L595" s="186">
        <v>2768618.0</v>
      </c>
      <c r="M595" s="181"/>
      <c r="N595" s="181"/>
      <c r="O595" s="181"/>
      <c r="P595" s="181"/>
      <c r="Q595" s="181"/>
      <c r="R595" s="181"/>
      <c r="S595" s="182"/>
      <c r="T595" s="182"/>
      <c r="U595" s="182"/>
      <c r="V595" s="182"/>
      <c r="W595" s="183"/>
      <c r="X595" s="183"/>
      <c r="Y595" s="183"/>
      <c r="Z595" s="183"/>
    </row>
    <row r="596" ht="15.75" customHeight="1">
      <c r="A596" s="184">
        <v>1.69477935E8</v>
      </c>
      <c r="B596" s="185" t="s">
        <v>1187</v>
      </c>
      <c r="C596" s="186">
        <v>7844856.0</v>
      </c>
      <c r="D596" s="186">
        <v>1372976.0</v>
      </c>
      <c r="E596" s="186">
        <v>444186.0</v>
      </c>
      <c r="F596" s="186">
        <v>15321.0</v>
      </c>
      <c r="G596" s="186">
        <v>14091.0</v>
      </c>
      <c r="H596" s="186">
        <v>59615.0</v>
      </c>
      <c r="I596" s="186">
        <v>62151.0</v>
      </c>
      <c r="J596" s="186">
        <v>24088.0</v>
      </c>
      <c r="K596" s="186">
        <v>175266.0</v>
      </c>
      <c r="L596" s="186">
        <v>1.1242037E7</v>
      </c>
      <c r="M596" s="181"/>
      <c r="N596" s="181"/>
      <c r="O596" s="181"/>
      <c r="P596" s="181"/>
      <c r="Q596" s="181"/>
      <c r="R596" s="181"/>
      <c r="S596" s="182"/>
      <c r="T596" s="182"/>
      <c r="U596" s="182"/>
      <c r="V596" s="182"/>
      <c r="W596" s="183"/>
      <c r="X596" s="183"/>
      <c r="Y596" s="183"/>
      <c r="Z596" s="183"/>
    </row>
    <row r="597" ht="15.75" customHeight="1">
      <c r="A597" s="184">
        <v>1.64704738E8</v>
      </c>
      <c r="B597" s="185" t="s">
        <v>1188</v>
      </c>
      <c r="C597" s="186">
        <v>7788991.0</v>
      </c>
      <c r="D597" s="186">
        <v>8908804.0</v>
      </c>
      <c r="E597" s="186">
        <v>1289943.0</v>
      </c>
      <c r="F597" s="186">
        <v>428620.0</v>
      </c>
      <c r="G597" s="186">
        <v>418057.0</v>
      </c>
      <c r="H597" s="186">
        <v>369589.0</v>
      </c>
      <c r="I597" s="186">
        <v>561207.0</v>
      </c>
      <c r="J597" s="186">
        <v>44827.0</v>
      </c>
      <c r="K597" s="186">
        <v>1822300.0</v>
      </c>
      <c r="L597" s="186">
        <v>7.1820225E7</v>
      </c>
      <c r="M597" s="181"/>
      <c r="N597" s="181"/>
      <c r="O597" s="181"/>
      <c r="P597" s="181"/>
      <c r="Q597" s="181"/>
      <c r="R597" s="181"/>
      <c r="S597" s="182"/>
      <c r="T597" s="182"/>
      <c r="U597" s="182"/>
      <c r="V597" s="182"/>
      <c r="W597" s="183"/>
      <c r="X597" s="183"/>
      <c r="Y597" s="183"/>
      <c r="Z597" s="183"/>
    </row>
    <row r="598" ht="15.75" customHeight="1">
      <c r="A598" s="184">
        <v>1.65818242E8</v>
      </c>
      <c r="B598" s="185" t="s">
        <v>1189</v>
      </c>
      <c r="C598" s="186">
        <v>7770009.0</v>
      </c>
      <c r="D598" s="186">
        <v>1203253.0</v>
      </c>
      <c r="E598" s="186">
        <v>149315.0</v>
      </c>
      <c r="F598" s="186">
        <v>54037.0</v>
      </c>
      <c r="G598" s="186">
        <v>174947.0</v>
      </c>
      <c r="H598" s="186">
        <v>91503.0</v>
      </c>
      <c r="I598" s="186">
        <v>47654.0</v>
      </c>
      <c r="J598" s="186">
        <v>0.0</v>
      </c>
      <c r="K598" s="186">
        <v>368141.0</v>
      </c>
      <c r="L598" s="186">
        <v>3926388.0</v>
      </c>
      <c r="M598" s="181"/>
      <c r="N598" s="181"/>
      <c r="O598" s="181"/>
      <c r="P598" s="181"/>
      <c r="Q598" s="181"/>
      <c r="R598" s="181"/>
      <c r="S598" s="182"/>
      <c r="T598" s="182"/>
      <c r="U598" s="182"/>
      <c r="V598" s="182"/>
      <c r="W598" s="183"/>
      <c r="X598" s="183"/>
      <c r="Y598" s="183"/>
      <c r="Z598" s="183"/>
    </row>
    <row r="599" ht="15.75" customHeight="1">
      <c r="A599" s="184">
        <v>1.68946116E8</v>
      </c>
      <c r="B599" s="185" t="s">
        <v>1190</v>
      </c>
      <c r="C599" s="186">
        <v>7731129.0</v>
      </c>
      <c r="D599" s="186">
        <v>3495440.0</v>
      </c>
      <c r="E599" s="186">
        <v>226631.0</v>
      </c>
      <c r="F599" s="186">
        <v>165331.0</v>
      </c>
      <c r="G599" s="186">
        <v>199691.0</v>
      </c>
      <c r="H599" s="186">
        <v>113548.0</v>
      </c>
      <c r="I599" s="186">
        <v>243836.0</v>
      </c>
      <c r="J599" s="186">
        <v>8522.0</v>
      </c>
      <c r="K599" s="186">
        <v>730928.0</v>
      </c>
      <c r="L599" s="186">
        <v>8.58056182E8</v>
      </c>
      <c r="M599" s="181"/>
      <c r="N599" s="181"/>
      <c r="O599" s="181"/>
      <c r="P599" s="181"/>
      <c r="Q599" s="181"/>
      <c r="R599" s="181"/>
      <c r="S599" s="182"/>
      <c r="T599" s="182"/>
      <c r="U599" s="182"/>
      <c r="V599" s="182"/>
      <c r="W599" s="183"/>
      <c r="X599" s="183"/>
      <c r="Y599" s="183"/>
      <c r="Z599" s="183"/>
    </row>
    <row r="600" ht="15.75" customHeight="1">
      <c r="A600" s="184">
        <v>1.70100928E8</v>
      </c>
      <c r="B600" s="185" t="s">
        <v>1191</v>
      </c>
      <c r="C600" s="186">
        <v>7669860.0</v>
      </c>
      <c r="D600" s="186">
        <v>92410.0</v>
      </c>
      <c r="E600" s="186">
        <v>54478.0</v>
      </c>
      <c r="F600" s="186">
        <v>0.0</v>
      </c>
      <c r="G600" s="186">
        <v>636.0</v>
      </c>
      <c r="H600" s="186">
        <v>717.0</v>
      </c>
      <c r="I600" s="186">
        <v>3773.0</v>
      </c>
      <c r="J600" s="186">
        <v>2527.0</v>
      </c>
      <c r="K600" s="186">
        <v>7653.0</v>
      </c>
      <c r="L600" s="186">
        <v>3.34589242E8</v>
      </c>
      <c r="M600" s="181"/>
      <c r="N600" s="181"/>
      <c r="O600" s="181"/>
      <c r="P600" s="181"/>
      <c r="Q600" s="181"/>
      <c r="R600" s="181"/>
      <c r="S600" s="182"/>
      <c r="T600" s="182"/>
      <c r="U600" s="182"/>
      <c r="V600" s="182"/>
      <c r="W600" s="183"/>
      <c r="X600" s="183"/>
      <c r="Y600" s="183"/>
      <c r="Z600" s="183"/>
    </row>
    <row r="601" ht="15.75" customHeight="1">
      <c r="A601" s="184">
        <v>1.69483645E8</v>
      </c>
      <c r="B601" s="185" t="s">
        <v>1192</v>
      </c>
      <c r="C601" s="186">
        <v>7602163.0</v>
      </c>
      <c r="D601" s="186">
        <v>107095.0</v>
      </c>
      <c r="E601" s="186">
        <v>40944.0</v>
      </c>
      <c r="F601" s="186">
        <v>248.0</v>
      </c>
      <c r="G601" s="186">
        <v>11278.0</v>
      </c>
      <c r="H601" s="186">
        <v>0.0</v>
      </c>
      <c r="I601" s="186">
        <v>8449.0</v>
      </c>
      <c r="J601" s="186">
        <v>0.0</v>
      </c>
      <c r="K601" s="186">
        <v>19975.0</v>
      </c>
      <c r="L601" s="186">
        <v>0.0</v>
      </c>
      <c r="M601" s="181"/>
      <c r="N601" s="181"/>
      <c r="O601" s="181"/>
      <c r="P601" s="181"/>
      <c r="Q601" s="181"/>
      <c r="R601" s="181"/>
      <c r="S601" s="182"/>
      <c r="T601" s="182"/>
      <c r="U601" s="182"/>
      <c r="V601" s="182"/>
      <c r="W601" s="183"/>
      <c r="X601" s="183"/>
      <c r="Y601" s="183"/>
      <c r="Z601" s="183"/>
    </row>
    <row r="602" ht="15.75" customHeight="1">
      <c r="A602" s="189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1"/>
      <c r="N602" s="181"/>
      <c r="O602" s="181"/>
      <c r="P602" s="181"/>
      <c r="Q602" s="181"/>
      <c r="R602" s="181"/>
      <c r="S602" s="182"/>
      <c r="T602" s="182"/>
      <c r="U602" s="182"/>
      <c r="V602" s="182"/>
      <c r="W602" s="183"/>
      <c r="X602" s="183"/>
      <c r="Y602" s="183"/>
      <c r="Z602" s="183"/>
    </row>
    <row r="603" ht="15.75" customHeight="1">
      <c r="A603" s="189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1"/>
      <c r="N603" s="181"/>
      <c r="O603" s="181"/>
      <c r="P603" s="181"/>
      <c r="Q603" s="181"/>
      <c r="R603" s="181"/>
      <c r="S603" s="182"/>
      <c r="T603" s="182"/>
      <c r="U603" s="182"/>
      <c r="V603" s="182"/>
      <c r="W603" s="183"/>
      <c r="X603" s="183"/>
      <c r="Y603" s="183"/>
      <c r="Z603" s="183"/>
    </row>
    <row r="604" ht="15.75" customHeight="1">
      <c r="A604" s="189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1"/>
      <c r="N604" s="181"/>
      <c r="O604" s="181"/>
      <c r="P604" s="181"/>
      <c r="Q604" s="181"/>
      <c r="R604" s="181"/>
      <c r="S604" s="182"/>
      <c r="T604" s="182"/>
      <c r="U604" s="182"/>
      <c r="V604" s="182"/>
      <c r="W604" s="183"/>
      <c r="X604" s="183"/>
      <c r="Y604" s="183"/>
      <c r="Z604" s="183"/>
    </row>
    <row r="605" ht="15.75" customHeight="1">
      <c r="A605" s="189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1"/>
      <c r="N605" s="181"/>
      <c r="O605" s="181"/>
      <c r="P605" s="181"/>
      <c r="Q605" s="181"/>
      <c r="R605" s="181"/>
      <c r="S605" s="182"/>
      <c r="T605" s="182"/>
      <c r="U605" s="182"/>
      <c r="V605" s="182"/>
      <c r="W605" s="183"/>
      <c r="X605" s="183"/>
      <c r="Y605" s="183"/>
      <c r="Z605" s="183"/>
    </row>
    <row r="606" ht="15.75" customHeight="1">
      <c r="A606" s="189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1"/>
      <c r="N606" s="181"/>
      <c r="O606" s="181"/>
      <c r="P606" s="181"/>
      <c r="Q606" s="181"/>
      <c r="R606" s="181"/>
      <c r="S606" s="182"/>
      <c r="T606" s="182"/>
      <c r="U606" s="182"/>
      <c r="V606" s="182"/>
      <c r="W606" s="183"/>
      <c r="X606" s="183"/>
      <c r="Y606" s="183"/>
      <c r="Z606" s="183"/>
    </row>
    <row r="607" ht="15.75" customHeight="1">
      <c r="A607" s="189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1"/>
      <c r="N607" s="181"/>
      <c r="O607" s="181"/>
      <c r="P607" s="181"/>
      <c r="Q607" s="181"/>
      <c r="R607" s="181"/>
      <c r="S607" s="182"/>
      <c r="T607" s="182"/>
      <c r="U607" s="182"/>
      <c r="V607" s="182"/>
      <c r="W607" s="183"/>
      <c r="X607" s="183"/>
      <c r="Y607" s="183"/>
      <c r="Z607" s="183"/>
    </row>
    <row r="608" ht="15.75" customHeight="1">
      <c r="A608" s="189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1"/>
      <c r="N608" s="181"/>
      <c r="O608" s="181"/>
      <c r="P608" s="181"/>
      <c r="Q608" s="181"/>
      <c r="R608" s="181"/>
      <c r="S608" s="182"/>
      <c r="T608" s="182"/>
      <c r="U608" s="182"/>
      <c r="V608" s="182"/>
      <c r="W608" s="183"/>
      <c r="X608" s="183"/>
      <c r="Y608" s="183"/>
      <c r="Z608" s="183"/>
    </row>
    <row r="609" ht="15.75" customHeight="1">
      <c r="A609" s="189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1"/>
      <c r="N609" s="181"/>
      <c r="O609" s="181"/>
      <c r="P609" s="181"/>
      <c r="Q609" s="181"/>
      <c r="R609" s="181"/>
      <c r="S609" s="182"/>
      <c r="T609" s="182"/>
      <c r="U609" s="182"/>
      <c r="V609" s="182"/>
      <c r="W609" s="183"/>
      <c r="X609" s="183"/>
      <c r="Y609" s="183"/>
      <c r="Z609" s="183"/>
    </row>
    <row r="610" ht="15.75" customHeight="1">
      <c r="A610" s="189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1"/>
      <c r="N610" s="181"/>
      <c r="O610" s="181"/>
      <c r="P610" s="181"/>
      <c r="Q610" s="181"/>
      <c r="R610" s="181"/>
      <c r="S610" s="182"/>
      <c r="T610" s="182"/>
      <c r="U610" s="182"/>
      <c r="V610" s="182"/>
      <c r="W610" s="183"/>
      <c r="X610" s="183"/>
      <c r="Y610" s="183"/>
      <c r="Z610" s="183"/>
    </row>
    <row r="611" ht="15.75" customHeight="1">
      <c r="A611" s="189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1"/>
      <c r="N611" s="181"/>
      <c r="O611" s="181"/>
      <c r="P611" s="181"/>
      <c r="Q611" s="181"/>
      <c r="R611" s="181"/>
      <c r="S611" s="182"/>
      <c r="T611" s="182"/>
      <c r="U611" s="182"/>
      <c r="V611" s="182"/>
      <c r="W611" s="183"/>
      <c r="X611" s="183"/>
      <c r="Y611" s="183"/>
      <c r="Z611" s="183"/>
    </row>
    <row r="612" ht="15.75" customHeight="1">
      <c r="A612" s="189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1"/>
      <c r="N612" s="181"/>
      <c r="O612" s="181"/>
      <c r="P612" s="181"/>
      <c r="Q612" s="181"/>
      <c r="R612" s="181"/>
      <c r="S612" s="182"/>
      <c r="T612" s="182"/>
      <c r="U612" s="182"/>
      <c r="V612" s="182"/>
      <c r="W612" s="183"/>
      <c r="X612" s="183"/>
      <c r="Y612" s="183"/>
      <c r="Z612" s="183"/>
    </row>
    <row r="613" ht="15.75" customHeight="1">
      <c r="A613" s="189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1"/>
      <c r="N613" s="181"/>
      <c r="O613" s="181"/>
      <c r="P613" s="181"/>
      <c r="Q613" s="181"/>
      <c r="R613" s="181"/>
      <c r="S613" s="182"/>
      <c r="T613" s="182"/>
      <c r="U613" s="182"/>
      <c r="V613" s="182"/>
      <c r="W613" s="183"/>
      <c r="X613" s="183"/>
      <c r="Y613" s="183"/>
      <c r="Z613" s="183"/>
    </row>
    <row r="614" ht="15.75" customHeight="1">
      <c r="A614" s="189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1"/>
      <c r="N614" s="181"/>
      <c r="O614" s="181"/>
      <c r="P614" s="181"/>
      <c r="Q614" s="181"/>
      <c r="R614" s="181"/>
      <c r="S614" s="182"/>
      <c r="T614" s="182"/>
      <c r="U614" s="182"/>
      <c r="V614" s="182"/>
      <c r="W614" s="183"/>
      <c r="X614" s="183"/>
      <c r="Y614" s="183"/>
      <c r="Z614" s="183"/>
    </row>
    <row r="615" ht="15.75" customHeight="1">
      <c r="A615" s="189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1"/>
      <c r="N615" s="181"/>
      <c r="O615" s="181"/>
      <c r="P615" s="181"/>
      <c r="Q615" s="181"/>
      <c r="R615" s="181"/>
      <c r="S615" s="182"/>
      <c r="T615" s="182"/>
      <c r="U615" s="182"/>
      <c r="V615" s="182"/>
      <c r="W615" s="183"/>
      <c r="X615" s="183"/>
      <c r="Y615" s="183"/>
      <c r="Z615" s="183"/>
    </row>
    <row r="616" ht="15.75" customHeight="1">
      <c r="A616" s="189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1"/>
      <c r="N616" s="181"/>
      <c r="O616" s="181"/>
      <c r="P616" s="181"/>
      <c r="Q616" s="181"/>
      <c r="R616" s="181"/>
      <c r="S616" s="182"/>
      <c r="T616" s="182"/>
      <c r="U616" s="182"/>
      <c r="V616" s="182"/>
      <c r="W616" s="183"/>
      <c r="X616" s="183"/>
      <c r="Y616" s="183"/>
      <c r="Z616" s="183"/>
    </row>
    <row r="617" ht="15.75" customHeight="1">
      <c r="A617" s="189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1"/>
      <c r="N617" s="181"/>
      <c r="O617" s="181"/>
      <c r="P617" s="181"/>
      <c r="Q617" s="181"/>
      <c r="R617" s="181"/>
      <c r="S617" s="182"/>
      <c r="T617" s="182"/>
      <c r="U617" s="182"/>
      <c r="V617" s="182"/>
      <c r="W617" s="183"/>
      <c r="X617" s="183"/>
      <c r="Y617" s="183"/>
      <c r="Z617" s="183"/>
    </row>
    <row r="618" ht="15.75" customHeight="1">
      <c r="A618" s="189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1"/>
      <c r="N618" s="181"/>
      <c r="O618" s="181"/>
      <c r="P618" s="181"/>
      <c r="Q618" s="181"/>
      <c r="R618" s="181"/>
      <c r="S618" s="182"/>
      <c r="T618" s="182"/>
      <c r="U618" s="182"/>
      <c r="V618" s="182"/>
      <c r="W618" s="183"/>
      <c r="X618" s="183"/>
      <c r="Y618" s="183"/>
      <c r="Z618" s="183"/>
    </row>
    <row r="619" ht="15.75" customHeight="1">
      <c r="A619" s="189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1"/>
      <c r="N619" s="181"/>
      <c r="O619" s="181"/>
      <c r="P619" s="181"/>
      <c r="Q619" s="181"/>
      <c r="R619" s="181"/>
      <c r="S619" s="182"/>
      <c r="T619" s="182"/>
      <c r="U619" s="182"/>
      <c r="V619" s="182"/>
      <c r="W619" s="183"/>
      <c r="X619" s="183"/>
      <c r="Y619" s="183"/>
      <c r="Z619" s="183"/>
    </row>
    <row r="620" ht="15.75" customHeight="1">
      <c r="A620" s="189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1"/>
      <c r="N620" s="181"/>
      <c r="O620" s="181"/>
      <c r="P620" s="181"/>
      <c r="Q620" s="181"/>
      <c r="R620" s="181"/>
      <c r="S620" s="182"/>
      <c r="T620" s="182"/>
      <c r="U620" s="182"/>
      <c r="V620" s="182"/>
      <c r="W620" s="183"/>
      <c r="X620" s="183"/>
      <c r="Y620" s="183"/>
      <c r="Z620" s="183"/>
    </row>
    <row r="621" ht="15.75" customHeight="1">
      <c r="A621" s="189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1"/>
      <c r="N621" s="181"/>
      <c r="O621" s="181"/>
      <c r="P621" s="181"/>
      <c r="Q621" s="181"/>
      <c r="R621" s="181"/>
      <c r="S621" s="182"/>
      <c r="T621" s="182"/>
      <c r="U621" s="182"/>
      <c r="V621" s="182"/>
      <c r="W621" s="183"/>
      <c r="X621" s="183"/>
      <c r="Y621" s="183"/>
      <c r="Z621" s="183"/>
    </row>
    <row r="622" ht="15.75" customHeight="1">
      <c r="A622" s="189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1"/>
      <c r="N622" s="181"/>
      <c r="O622" s="181"/>
      <c r="P622" s="181"/>
      <c r="Q622" s="181"/>
      <c r="R622" s="181"/>
      <c r="S622" s="182"/>
      <c r="T622" s="182"/>
      <c r="U622" s="182"/>
      <c r="V622" s="182"/>
      <c r="W622" s="183"/>
      <c r="X622" s="183"/>
      <c r="Y622" s="183"/>
      <c r="Z622" s="183"/>
    </row>
    <row r="623" ht="15.75" customHeight="1">
      <c r="A623" s="189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1"/>
      <c r="N623" s="181"/>
      <c r="O623" s="181"/>
      <c r="P623" s="181"/>
      <c r="Q623" s="181"/>
      <c r="R623" s="181"/>
      <c r="S623" s="182"/>
      <c r="T623" s="182"/>
      <c r="U623" s="182"/>
      <c r="V623" s="182"/>
      <c r="W623" s="183"/>
      <c r="X623" s="183"/>
      <c r="Y623" s="183"/>
      <c r="Z623" s="183"/>
    </row>
    <row r="624" ht="15.75" customHeight="1">
      <c r="A624" s="189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1"/>
      <c r="N624" s="181"/>
      <c r="O624" s="181"/>
      <c r="P624" s="181"/>
      <c r="Q624" s="181"/>
      <c r="R624" s="181"/>
      <c r="S624" s="182"/>
      <c r="T624" s="182"/>
      <c r="U624" s="182"/>
      <c r="V624" s="182"/>
      <c r="W624" s="183"/>
      <c r="X624" s="183"/>
      <c r="Y624" s="183"/>
      <c r="Z624" s="183"/>
    </row>
    <row r="625" ht="15.75" customHeight="1">
      <c r="A625" s="189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1"/>
      <c r="N625" s="181"/>
      <c r="O625" s="181"/>
      <c r="P625" s="181"/>
      <c r="Q625" s="181"/>
      <c r="R625" s="181"/>
      <c r="S625" s="182"/>
      <c r="T625" s="182"/>
      <c r="U625" s="182"/>
      <c r="V625" s="182"/>
      <c r="W625" s="183"/>
      <c r="X625" s="183"/>
      <c r="Y625" s="183"/>
      <c r="Z625" s="183"/>
    </row>
    <row r="626" ht="15.75" customHeight="1">
      <c r="A626" s="189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1"/>
      <c r="N626" s="181"/>
      <c r="O626" s="181"/>
      <c r="P626" s="181"/>
      <c r="Q626" s="181"/>
      <c r="R626" s="181"/>
      <c r="S626" s="182"/>
      <c r="T626" s="182"/>
      <c r="U626" s="182"/>
      <c r="V626" s="182"/>
      <c r="W626" s="183"/>
      <c r="X626" s="183"/>
      <c r="Y626" s="183"/>
      <c r="Z626" s="183"/>
    </row>
    <row r="627" ht="15.75" customHeight="1">
      <c r="A627" s="189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1"/>
      <c r="N627" s="181"/>
      <c r="O627" s="181"/>
      <c r="P627" s="181"/>
      <c r="Q627" s="181"/>
      <c r="R627" s="181"/>
      <c r="S627" s="182"/>
      <c r="T627" s="182"/>
      <c r="U627" s="182"/>
      <c r="V627" s="182"/>
      <c r="W627" s="183"/>
      <c r="X627" s="183"/>
      <c r="Y627" s="183"/>
      <c r="Z627" s="183"/>
    </row>
    <row r="628" ht="15.75" customHeight="1">
      <c r="A628" s="189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1"/>
      <c r="N628" s="181"/>
      <c r="O628" s="181"/>
      <c r="P628" s="181"/>
      <c r="Q628" s="181"/>
      <c r="R628" s="181"/>
      <c r="S628" s="182"/>
      <c r="T628" s="182"/>
      <c r="U628" s="182"/>
      <c r="V628" s="182"/>
      <c r="W628" s="183"/>
      <c r="X628" s="183"/>
      <c r="Y628" s="183"/>
      <c r="Z628" s="183"/>
    </row>
    <row r="629" ht="15.75" customHeight="1">
      <c r="A629" s="189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1"/>
      <c r="N629" s="181"/>
      <c r="O629" s="181"/>
      <c r="P629" s="181"/>
      <c r="Q629" s="181"/>
      <c r="R629" s="181"/>
      <c r="S629" s="182"/>
      <c r="T629" s="182"/>
      <c r="U629" s="182"/>
      <c r="V629" s="182"/>
      <c r="W629" s="183"/>
      <c r="X629" s="183"/>
      <c r="Y629" s="183"/>
      <c r="Z629" s="183"/>
    </row>
    <row r="630" ht="15.75" customHeight="1">
      <c r="A630" s="189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1"/>
      <c r="N630" s="181"/>
      <c r="O630" s="181"/>
      <c r="P630" s="181"/>
      <c r="Q630" s="181"/>
      <c r="R630" s="181"/>
      <c r="S630" s="182"/>
      <c r="T630" s="182"/>
      <c r="U630" s="182"/>
      <c r="V630" s="182"/>
      <c r="W630" s="183"/>
      <c r="X630" s="183"/>
      <c r="Y630" s="183"/>
      <c r="Z630" s="183"/>
    </row>
    <row r="631" ht="15.75" customHeight="1">
      <c r="A631" s="189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1"/>
      <c r="N631" s="181"/>
      <c r="O631" s="181"/>
      <c r="P631" s="181"/>
      <c r="Q631" s="181"/>
      <c r="R631" s="181"/>
      <c r="S631" s="182"/>
      <c r="T631" s="182"/>
      <c r="U631" s="182"/>
      <c r="V631" s="182"/>
      <c r="W631" s="183"/>
      <c r="X631" s="183"/>
      <c r="Y631" s="183"/>
      <c r="Z631" s="183"/>
    </row>
    <row r="632" ht="15.75" customHeight="1">
      <c r="A632" s="189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1"/>
      <c r="N632" s="181"/>
      <c r="O632" s="181"/>
      <c r="P632" s="181"/>
      <c r="Q632" s="181"/>
      <c r="R632" s="181"/>
      <c r="S632" s="182"/>
      <c r="T632" s="182"/>
      <c r="U632" s="182"/>
      <c r="V632" s="182"/>
      <c r="W632" s="183"/>
      <c r="X632" s="183"/>
      <c r="Y632" s="183"/>
      <c r="Z632" s="183"/>
    </row>
    <row r="633" ht="15.75" customHeight="1">
      <c r="A633" s="189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1"/>
      <c r="N633" s="181"/>
      <c r="O633" s="181"/>
      <c r="P633" s="181"/>
      <c r="Q633" s="181"/>
      <c r="R633" s="181"/>
      <c r="S633" s="182"/>
      <c r="T633" s="182"/>
      <c r="U633" s="182"/>
      <c r="V633" s="182"/>
      <c r="W633" s="183"/>
      <c r="X633" s="183"/>
      <c r="Y633" s="183"/>
      <c r="Z633" s="183"/>
    </row>
    <row r="634" ht="15.75" customHeight="1">
      <c r="A634" s="189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1"/>
      <c r="N634" s="181"/>
      <c r="O634" s="181"/>
      <c r="P634" s="181"/>
      <c r="Q634" s="181"/>
      <c r="R634" s="181"/>
      <c r="S634" s="182"/>
      <c r="T634" s="182"/>
      <c r="U634" s="182"/>
      <c r="V634" s="182"/>
      <c r="W634" s="183"/>
      <c r="X634" s="183"/>
      <c r="Y634" s="183"/>
      <c r="Z634" s="183"/>
    </row>
    <row r="635" ht="15.75" customHeight="1">
      <c r="A635" s="189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1"/>
      <c r="N635" s="181"/>
      <c r="O635" s="181"/>
      <c r="P635" s="181"/>
      <c r="Q635" s="181"/>
      <c r="R635" s="181"/>
      <c r="S635" s="182"/>
      <c r="T635" s="182"/>
      <c r="U635" s="182"/>
      <c r="V635" s="182"/>
      <c r="W635" s="183"/>
      <c r="X635" s="183"/>
      <c r="Y635" s="183"/>
      <c r="Z635" s="183"/>
    </row>
    <row r="636" ht="15.75" customHeight="1">
      <c r="A636" s="189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1"/>
      <c r="N636" s="181"/>
      <c r="O636" s="181"/>
      <c r="P636" s="181"/>
      <c r="Q636" s="181"/>
      <c r="R636" s="181"/>
      <c r="S636" s="182"/>
      <c r="T636" s="182"/>
      <c r="U636" s="182"/>
      <c r="V636" s="182"/>
      <c r="W636" s="183"/>
      <c r="X636" s="183"/>
      <c r="Y636" s="183"/>
      <c r="Z636" s="183"/>
    </row>
    <row r="637" ht="15.75" customHeight="1">
      <c r="A637" s="189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1"/>
      <c r="N637" s="181"/>
      <c r="O637" s="181"/>
      <c r="P637" s="181"/>
      <c r="Q637" s="181"/>
      <c r="R637" s="181"/>
      <c r="S637" s="182"/>
      <c r="T637" s="182"/>
      <c r="U637" s="182"/>
      <c r="V637" s="182"/>
      <c r="W637" s="183"/>
      <c r="X637" s="183"/>
      <c r="Y637" s="183"/>
      <c r="Z637" s="183"/>
    </row>
    <row r="638" ht="15.75" customHeight="1">
      <c r="A638" s="189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1"/>
      <c r="N638" s="181"/>
      <c r="O638" s="181"/>
      <c r="P638" s="181"/>
      <c r="Q638" s="181"/>
      <c r="R638" s="181"/>
      <c r="S638" s="182"/>
      <c r="T638" s="182"/>
      <c r="U638" s="182"/>
      <c r="V638" s="182"/>
      <c r="W638" s="183"/>
      <c r="X638" s="183"/>
      <c r="Y638" s="183"/>
      <c r="Z638" s="183"/>
    </row>
    <row r="639" ht="15.75" customHeight="1">
      <c r="A639" s="189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1"/>
      <c r="N639" s="181"/>
      <c r="O639" s="181"/>
      <c r="P639" s="181"/>
      <c r="Q639" s="181"/>
      <c r="R639" s="181"/>
      <c r="S639" s="182"/>
      <c r="T639" s="182"/>
      <c r="U639" s="182"/>
      <c r="V639" s="182"/>
      <c r="W639" s="183"/>
      <c r="X639" s="183"/>
      <c r="Y639" s="183"/>
      <c r="Z639" s="183"/>
    </row>
    <row r="640" ht="15.75" customHeight="1">
      <c r="A640" s="189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1"/>
      <c r="N640" s="181"/>
      <c r="O640" s="181"/>
      <c r="P640" s="181"/>
      <c r="Q640" s="181"/>
      <c r="R640" s="181"/>
      <c r="S640" s="182"/>
      <c r="T640" s="182"/>
      <c r="U640" s="182"/>
      <c r="V640" s="182"/>
      <c r="W640" s="183"/>
      <c r="X640" s="183"/>
      <c r="Y640" s="183"/>
      <c r="Z640" s="183"/>
    </row>
    <row r="641" ht="15.75" customHeight="1">
      <c r="A641" s="189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1"/>
      <c r="N641" s="181"/>
      <c r="O641" s="181"/>
      <c r="P641" s="181"/>
      <c r="Q641" s="181"/>
      <c r="R641" s="181"/>
      <c r="S641" s="182"/>
      <c r="T641" s="182"/>
      <c r="U641" s="182"/>
      <c r="V641" s="182"/>
      <c r="W641" s="183"/>
      <c r="X641" s="183"/>
      <c r="Y641" s="183"/>
      <c r="Z641" s="183"/>
    </row>
    <row r="642" ht="15.75" customHeight="1">
      <c r="A642" s="189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1"/>
      <c r="N642" s="181"/>
      <c r="O642" s="181"/>
      <c r="P642" s="181"/>
      <c r="Q642" s="181"/>
      <c r="R642" s="181"/>
      <c r="S642" s="182"/>
      <c r="T642" s="182"/>
      <c r="U642" s="182"/>
      <c r="V642" s="182"/>
      <c r="W642" s="183"/>
      <c r="X642" s="183"/>
      <c r="Y642" s="183"/>
      <c r="Z642" s="183"/>
    </row>
    <row r="643" ht="15.75" customHeight="1">
      <c r="A643" s="189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1"/>
      <c r="N643" s="181"/>
      <c r="O643" s="181"/>
      <c r="P643" s="181"/>
      <c r="Q643" s="181"/>
      <c r="R643" s="181"/>
      <c r="S643" s="182"/>
      <c r="T643" s="182"/>
      <c r="U643" s="182"/>
      <c r="V643" s="182"/>
      <c r="W643" s="183"/>
      <c r="X643" s="183"/>
      <c r="Y643" s="183"/>
      <c r="Z643" s="183"/>
    </row>
    <row r="644" ht="15.75" customHeight="1">
      <c r="A644" s="189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1"/>
      <c r="N644" s="181"/>
      <c r="O644" s="181"/>
      <c r="P644" s="181"/>
      <c r="Q644" s="181"/>
      <c r="R644" s="181"/>
      <c r="S644" s="182"/>
      <c r="T644" s="182"/>
      <c r="U644" s="182"/>
      <c r="V644" s="182"/>
      <c r="W644" s="183"/>
      <c r="X644" s="183"/>
      <c r="Y644" s="183"/>
      <c r="Z644" s="183"/>
    </row>
    <row r="645" ht="15.75" customHeight="1">
      <c r="A645" s="189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1"/>
      <c r="N645" s="181"/>
      <c r="O645" s="181"/>
      <c r="P645" s="181"/>
      <c r="Q645" s="181"/>
      <c r="R645" s="181"/>
      <c r="S645" s="182"/>
      <c r="T645" s="182"/>
      <c r="U645" s="182"/>
      <c r="V645" s="182"/>
      <c r="W645" s="183"/>
      <c r="X645" s="183"/>
      <c r="Y645" s="183"/>
      <c r="Z645" s="183"/>
    </row>
    <row r="646" ht="15.75" customHeight="1">
      <c r="A646" s="189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1"/>
      <c r="N646" s="181"/>
      <c r="O646" s="181"/>
      <c r="P646" s="181"/>
      <c r="Q646" s="181"/>
      <c r="R646" s="181"/>
      <c r="S646" s="182"/>
      <c r="T646" s="182"/>
      <c r="U646" s="182"/>
      <c r="V646" s="182"/>
      <c r="W646" s="183"/>
      <c r="X646" s="183"/>
      <c r="Y646" s="183"/>
      <c r="Z646" s="183"/>
    </row>
    <row r="647" ht="15.75" customHeight="1">
      <c r="A647" s="189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1"/>
      <c r="N647" s="181"/>
      <c r="O647" s="181"/>
      <c r="P647" s="181"/>
      <c r="Q647" s="181"/>
      <c r="R647" s="181"/>
      <c r="S647" s="182"/>
      <c r="T647" s="182"/>
      <c r="U647" s="182"/>
      <c r="V647" s="182"/>
      <c r="W647" s="183"/>
      <c r="X647" s="183"/>
      <c r="Y647" s="183"/>
      <c r="Z647" s="183"/>
    </row>
    <row r="648" ht="15.75" customHeight="1">
      <c r="A648" s="189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1"/>
      <c r="N648" s="181"/>
      <c r="O648" s="181"/>
      <c r="P648" s="181"/>
      <c r="Q648" s="181"/>
      <c r="R648" s="181"/>
      <c r="S648" s="182"/>
      <c r="T648" s="182"/>
      <c r="U648" s="182"/>
      <c r="V648" s="182"/>
      <c r="W648" s="183"/>
      <c r="X648" s="183"/>
      <c r="Y648" s="183"/>
      <c r="Z648" s="183"/>
    </row>
    <row r="649" ht="15.75" customHeight="1">
      <c r="A649" s="189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1"/>
      <c r="N649" s="181"/>
      <c r="O649" s="181"/>
      <c r="P649" s="181"/>
      <c r="Q649" s="181"/>
      <c r="R649" s="181"/>
      <c r="S649" s="182"/>
      <c r="T649" s="182"/>
      <c r="U649" s="182"/>
      <c r="V649" s="182"/>
      <c r="W649" s="183"/>
      <c r="X649" s="183"/>
      <c r="Y649" s="183"/>
      <c r="Z649" s="183"/>
    </row>
    <row r="650" ht="15.75" customHeight="1">
      <c r="A650" s="189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1"/>
      <c r="N650" s="181"/>
      <c r="O650" s="181"/>
      <c r="P650" s="181"/>
      <c r="Q650" s="181"/>
      <c r="R650" s="181"/>
      <c r="S650" s="182"/>
      <c r="T650" s="182"/>
      <c r="U650" s="182"/>
      <c r="V650" s="182"/>
      <c r="W650" s="183"/>
      <c r="X650" s="183"/>
      <c r="Y650" s="183"/>
      <c r="Z650" s="183"/>
    </row>
    <row r="651" ht="15.75" customHeight="1">
      <c r="A651" s="189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1"/>
      <c r="N651" s="181"/>
      <c r="O651" s="181"/>
      <c r="P651" s="181"/>
      <c r="Q651" s="181"/>
      <c r="R651" s="181"/>
      <c r="S651" s="182"/>
      <c r="T651" s="182"/>
      <c r="U651" s="182"/>
      <c r="V651" s="182"/>
      <c r="W651" s="183"/>
      <c r="X651" s="183"/>
      <c r="Y651" s="183"/>
      <c r="Z651" s="183"/>
    </row>
    <row r="652" ht="15.75" customHeight="1">
      <c r="A652" s="189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1"/>
      <c r="N652" s="181"/>
      <c r="O652" s="181"/>
      <c r="P652" s="181"/>
      <c r="Q652" s="181"/>
      <c r="R652" s="181"/>
      <c r="S652" s="182"/>
      <c r="T652" s="182"/>
      <c r="U652" s="182"/>
      <c r="V652" s="182"/>
      <c r="W652" s="183"/>
      <c r="X652" s="183"/>
      <c r="Y652" s="183"/>
      <c r="Z652" s="183"/>
    </row>
    <row r="653" ht="15.75" customHeight="1">
      <c r="A653" s="189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1"/>
      <c r="N653" s="181"/>
      <c r="O653" s="181"/>
      <c r="P653" s="181"/>
      <c r="Q653" s="181"/>
      <c r="R653" s="181"/>
      <c r="S653" s="182"/>
      <c r="T653" s="182"/>
      <c r="U653" s="182"/>
      <c r="V653" s="182"/>
      <c r="W653" s="183"/>
      <c r="X653" s="183"/>
      <c r="Y653" s="183"/>
      <c r="Z653" s="183"/>
    </row>
    <row r="654" ht="15.75" customHeight="1">
      <c r="A654" s="189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1"/>
      <c r="N654" s="181"/>
      <c r="O654" s="181"/>
      <c r="P654" s="181"/>
      <c r="Q654" s="181"/>
      <c r="R654" s="181"/>
      <c r="S654" s="182"/>
      <c r="T654" s="182"/>
      <c r="U654" s="182"/>
      <c r="V654" s="182"/>
      <c r="W654" s="183"/>
      <c r="X654" s="183"/>
      <c r="Y654" s="183"/>
      <c r="Z654" s="183"/>
    </row>
    <row r="655" ht="15.75" customHeight="1">
      <c r="A655" s="189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1"/>
      <c r="N655" s="181"/>
      <c r="O655" s="181"/>
      <c r="P655" s="181"/>
      <c r="Q655" s="181"/>
      <c r="R655" s="181"/>
      <c r="S655" s="182"/>
      <c r="T655" s="182"/>
      <c r="U655" s="182"/>
      <c r="V655" s="182"/>
      <c r="W655" s="183"/>
      <c r="X655" s="183"/>
      <c r="Y655" s="183"/>
      <c r="Z655" s="183"/>
    </row>
    <row r="656" ht="15.75" customHeight="1">
      <c r="A656" s="189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1"/>
      <c r="N656" s="181"/>
      <c r="O656" s="181"/>
      <c r="P656" s="181"/>
      <c r="Q656" s="181"/>
      <c r="R656" s="181"/>
      <c r="S656" s="182"/>
      <c r="T656" s="182"/>
      <c r="U656" s="182"/>
      <c r="V656" s="182"/>
      <c r="W656" s="183"/>
      <c r="X656" s="183"/>
      <c r="Y656" s="183"/>
      <c r="Z656" s="183"/>
    </row>
    <row r="657" ht="15.75" customHeight="1">
      <c r="A657" s="189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1"/>
      <c r="N657" s="181"/>
      <c r="O657" s="181"/>
      <c r="P657" s="181"/>
      <c r="Q657" s="181"/>
      <c r="R657" s="181"/>
      <c r="S657" s="182"/>
      <c r="T657" s="182"/>
      <c r="U657" s="182"/>
      <c r="V657" s="182"/>
      <c r="W657" s="183"/>
      <c r="X657" s="183"/>
      <c r="Y657" s="183"/>
      <c r="Z657" s="183"/>
    </row>
    <row r="658" ht="15.75" customHeight="1">
      <c r="A658" s="189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1"/>
      <c r="N658" s="181"/>
      <c r="O658" s="181"/>
      <c r="P658" s="181"/>
      <c r="Q658" s="181"/>
      <c r="R658" s="181"/>
      <c r="S658" s="182"/>
      <c r="T658" s="182"/>
      <c r="U658" s="182"/>
      <c r="V658" s="182"/>
      <c r="W658" s="183"/>
      <c r="X658" s="183"/>
      <c r="Y658" s="183"/>
      <c r="Z658" s="183"/>
    </row>
    <row r="659" ht="15.75" customHeight="1">
      <c r="A659" s="189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1"/>
      <c r="N659" s="181"/>
      <c r="O659" s="181"/>
      <c r="P659" s="181"/>
      <c r="Q659" s="181"/>
      <c r="R659" s="181"/>
      <c r="S659" s="182"/>
      <c r="T659" s="182"/>
      <c r="U659" s="182"/>
      <c r="V659" s="182"/>
      <c r="W659" s="183"/>
      <c r="X659" s="183"/>
      <c r="Y659" s="183"/>
      <c r="Z659" s="183"/>
    </row>
    <row r="660" ht="15.75" customHeight="1">
      <c r="A660" s="189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1"/>
      <c r="N660" s="181"/>
      <c r="O660" s="181"/>
      <c r="P660" s="181"/>
      <c r="Q660" s="181"/>
      <c r="R660" s="181"/>
      <c r="S660" s="182"/>
      <c r="T660" s="182"/>
      <c r="U660" s="182"/>
      <c r="V660" s="182"/>
      <c r="W660" s="183"/>
      <c r="X660" s="183"/>
      <c r="Y660" s="183"/>
      <c r="Z660" s="183"/>
    </row>
    <row r="661" ht="15.75" customHeight="1">
      <c r="A661" s="189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1"/>
      <c r="N661" s="181"/>
      <c r="O661" s="181"/>
      <c r="P661" s="181"/>
      <c r="Q661" s="181"/>
      <c r="R661" s="181"/>
      <c r="S661" s="182"/>
      <c r="T661" s="182"/>
      <c r="U661" s="182"/>
      <c r="V661" s="182"/>
      <c r="W661" s="183"/>
      <c r="X661" s="183"/>
      <c r="Y661" s="183"/>
      <c r="Z661" s="183"/>
    </row>
    <row r="662" ht="15.75" customHeight="1">
      <c r="A662" s="189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1"/>
      <c r="N662" s="181"/>
      <c r="O662" s="181"/>
      <c r="P662" s="181"/>
      <c r="Q662" s="181"/>
      <c r="R662" s="181"/>
      <c r="S662" s="182"/>
      <c r="T662" s="182"/>
      <c r="U662" s="182"/>
      <c r="V662" s="182"/>
      <c r="W662" s="183"/>
      <c r="X662" s="183"/>
      <c r="Y662" s="183"/>
      <c r="Z662" s="183"/>
    </row>
    <row r="663" ht="15.75" customHeight="1">
      <c r="A663" s="189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1"/>
      <c r="N663" s="181"/>
      <c r="O663" s="181"/>
      <c r="P663" s="181"/>
      <c r="Q663" s="181"/>
      <c r="R663" s="181"/>
      <c r="S663" s="182"/>
      <c r="T663" s="182"/>
      <c r="U663" s="182"/>
      <c r="V663" s="182"/>
      <c r="W663" s="183"/>
      <c r="X663" s="183"/>
      <c r="Y663" s="183"/>
      <c r="Z663" s="183"/>
    </row>
    <row r="664" ht="15.75" customHeight="1">
      <c r="A664" s="189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1"/>
      <c r="N664" s="181"/>
      <c r="O664" s="181"/>
      <c r="P664" s="181"/>
      <c r="Q664" s="181"/>
      <c r="R664" s="181"/>
      <c r="S664" s="182"/>
      <c r="T664" s="182"/>
      <c r="U664" s="182"/>
      <c r="V664" s="182"/>
      <c r="W664" s="183"/>
      <c r="X664" s="183"/>
      <c r="Y664" s="183"/>
      <c r="Z664" s="183"/>
    </row>
    <row r="665" ht="15.75" customHeight="1">
      <c r="A665" s="189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1"/>
      <c r="N665" s="181"/>
      <c r="O665" s="181"/>
      <c r="P665" s="181"/>
      <c r="Q665" s="181"/>
      <c r="R665" s="181"/>
      <c r="S665" s="182"/>
      <c r="T665" s="182"/>
      <c r="U665" s="182"/>
      <c r="V665" s="182"/>
      <c r="W665" s="183"/>
      <c r="X665" s="183"/>
      <c r="Y665" s="183"/>
      <c r="Z665" s="183"/>
    </row>
    <row r="666" ht="15.75" customHeight="1">
      <c r="A666" s="189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1"/>
      <c r="N666" s="181"/>
      <c r="O666" s="181"/>
      <c r="P666" s="181"/>
      <c r="Q666" s="181"/>
      <c r="R666" s="181"/>
      <c r="S666" s="182"/>
      <c r="T666" s="182"/>
      <c r="U666" s="182"/>
      <c r="V666" s="182"/>
      <c r="W666" s="183"/>
      <c r="X666" s="183"/>
      <c r="Y666" s="183"/>
      <c r="Z666" s="183"/>
    </row>
    <row r="667" ht="15.75" customHeight="1">
      <c r="A667" s="189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1"/>
      <c r="N667" s="181"/>
      <c r="O667" s="181"/>
      <c r="P667" s="181"/>
      <c r="Q667" s="181"/>
      <c r="R667" s="181"/>
      <c r="S667" s="182"/>
      <c r="T667" s="182"/>
      <c r="U667" s="182"/>
      <c r="V667" s="182"/>
      <c r="W667" s="183"/>
      <c r="X667" s="183"/>
      <c r="Y667" s="183"/>
      <c r="Z667" s="183"/>
    </row>
    <row r="668" ht="15.75" customHeight="1">
      <c r="A668" s="189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1"/>
      <c r="N668" s="181"/>
      <c r="O668" s="181"/>
      <c r="P668" s="181"/>
      <c r="Q668" s="181"/>
      <c r="R668" s="181"/>
      <c r="S668" s="182"/>
      <c r="T668" s="182"/>
      <c r="U668" s="182"/>
      <c r="V668" s="182"/>
      <c r="W668" s="183"/>
      <c r="X668" s="183"/>
      <c r="Y668" s="183"/>
      <c r="Z668" s="183"/>
    </row>
    <row r="669" ht="15.75" customHeight="1">
      <c r="A669" s="189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1"/>
      <c r="N669" s="181"/>
      <c r="O669" s="181"/>
      <c r="P669" s="181"/>
      <c r="Q669" s="181"/>
      <c r="R669" s="181"/>
      <c r="S669" s="182"/>
      <c r="T669" s="182"/>
      <c r="U669" s="182"/>
      <c r="V669" s="182"/>
      <c r="W669" s="183"/>
      <c r="X669" s="183"/>
      <c r="Y669" s="183"/>
      <c r="Z669" s="183"/>
    </row>
    <row r="670" ht="15.75" customHeight="1">
      <c r="A670" s="189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1"/>
      <c r="N670" s="181"/>
      <c r="O670" s="181"/>
      <c r="P670" s="181"/>
      <c r="Q670" s="181"/>
      <c r="R670" s="181"/>
      <c r="S670" s="182"/>
      <c r="T670" s="182"/>
      <c r="U670" s="182"/>
      <c r="V670" s="182"/>
      <c r="W670" s="183"/>
      <c r="X670" s="183"/>
      <c r="Y670" s="183"/>
      <c r="Z670" s="183"/>
    </row>
    <row r="671" ht="15.75" customHeight="1">
      <c r="A671" s="189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1"/>
      <c r="N671" s="181"/>
      <c r="O671" s="181"/>
      <c r="P671" s="181"/>
      <c r="Q671" s="181"/>
      <c r="R671" s="181"/>
      <c r="S671" s="182"/>
      <c r="T671" s="182"/>
      <c r="U671" s="182"/>
      <c r="V671" s="182"/>
      <c r="W671" s="183"/>
      <c r="X671" s="183"/>
      <c r="Y671" s="183"/>
      <c r="Z671" s="183"/>
    </row>
    <row r="672" ht="15.75" customHeight="1">
      <c r="A672" s="189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1"/>
      <c r="N672" s="181"/>
      <c r="O672" s="181"/>
      <c r="P672" s="181"/>
      <c r="Q672" s="181"/>
      <c r="R672" s="181"/>
      <c r="S672" s="182"/>
      <c r="T672" s="182"/>
      <c r="U672" s="182"/>
      <c r="V672" s="182"/>
      <c r="W672" s="183"/>
      <c r="X672" s="183"/>
      <c r="Y672" s="183"/>
      <c r="Z672" s="183"/>
    </row>
    <row r="673" ht="15.75" customHeight="1">
      <c r="A673" s="189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1"/>
      <c r="N673" s="181"/>
      <c r="O673" s="181"/>
      <c r="P673" s="181"/>
      <c r="Q673" s="181"/>
      <c r="R673" s="181"/>
      <c r="S673" s="182"/>
      <c r="T673" s="182"/>
      <c r="U673" s="182"/>
      <c r="V673" s="182"/>
      <c r="W673" s="183"/>
      <c r="X673" s="183"/>
      <c r="Y673" s="183"/>
      <c r="Z673" s="183"/>
    </row>
    <row r="674" ht="15.75" customHeight="1">
      <c r="A674" s="189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1"/>
      <c r="N674" s="181"/>
      <c r="O674" s="181"/>
      <c r="P674" s="181"/>
      <c r="Q674" s="181"/>
      <c r="R674" s="181"/>
      <c r="S674" s="182"/>
      <c r="T674" s="182"/>
      <c r="U674" s="182"/>
      <c r="V674" s="182"/>
      <c r="W674" s="183"/>
      <c r="X674" s="183"/>
      <c r="Y674" s="183"/>
      <c r="Z674" s="183"/>
    </row>
    <row r="675" ht="15.75" customHeight="1">
      <c r="A675" s="189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1"/>
      <c r="N675" s="181"/>
      <c r="O675" s="181"/>
      <c r="P675" s="181"/>
      <c r="Q675" s="181"/>
      <c r="R675" s="181"/>
      <c r="S675" s="182"/>
      <c r="T675" s="182"/>
      <c r="U675" s="182"/>
      <c r="V675" s="182"/>
      <c r="W675" s="183"/>
      <c r="X675" s="183"/>
      <c r="Y675" s="183"/>
      <c r="Z675" s="183"/>
    </row>
    <row r="676" ht="15.75" customHeight="1">
      <c r="A676" s="189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1"/>
      <c r="N676" s="181"/>
      <c r="O676" s="181"/>
      <c r="P676" s="181"/>
      <c r="Q676" s="181"/>
      <c r="R676" s="181"/>
      <c r="S676" s="182"/>
      <c r="T676" s="182"/>
      <c r="U676" s="182"/>
      <c r="V676" s="182"/>
      <c r="W676" s="183"/>
      <c r="X676" s="183"/>
      <c r="Y676" s="183"/>
      <c r="Z676" s="183"/>
    </row>
    <row r="677" ht="15.75" customHeight="1">
      <c r="A677" s="189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1"/>
      <c r="N677" s="181"/>
      <c r="O677" s="181"/>
      <c r="P677" s="181"/>
      <c r="Q677" s="181"/>
      <c r="R677" s="181"/>
      <c r="S677" s="182"/>
      <c r="T677" s="182"/>
      <c r="U677" s="182"/>
      <c r="V677" s="182"/>
      <c r="W677" s="183"/>
      <c r="X677" s="183"/>
      <c r="Y677" s="183"/>
      <c r="Z677" s="183"/>
    </row>
    <row r="678" ht="15.75" customHeight="1">
      <c r="A678" s="189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1"/>
      <c r="N678" s="181"/>
      <c r="O678" s="181"/>
      <c r="P678" s="181"/>
      <c r="Q678" s="181"/>
      <c r="R678" s="181"/>
      <c r="S678" s="182"/>
      <c r="T678" s="182"/>
      <c r="U678" s="182"/>
      <c r="V678" s="182"/>
      <c r="W678" s="183"/>
      <c r="X678" s="183"/>
      <c r="Y678" s="183"/>
      <c r="Z678" s="183"/>
    </row>
    <row r="679" ht="15.75" customHeight="1">
      <c r="A679" s="189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1"/>
      <c r="N679" s="181"/>
      <c r="O679" s="181"/>
      <c r="P679" s="181"/>
      <c r="Q679" s="181"/>
      <c r="R679" s="181"/>
      <c r="S679" s="182"/>
      <c r="T679" s="182"/>
      <c r="U679" s="182"/>
      <c r="V679" s="182"/>
      <c r="W679" s="183"/>
      <c r="X679" s="183"/>
      <c r="Y679" s="183"/>
      <c r="Z679" s="183"/>
    </row>
    <row r="680" ht="15.75" customHeight="1">
      <c r="A680" s="189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1"/>
      <c r="N680" s="181"/>
      <c r="O680" s="181"/>
      <c r="P680" s="181"/>
      <c r="Q680" s="181"/>
      <c r="R680" s="181"/>
      <c r="S680" s="182"/>
      <c r="T680" s="182"/>
      <c r="U680" s="182"/>
      <c r="V680" s="182"/>
      <c r="W680" s="183"/>
      <c r="X680" s="183"/>
      <c r="Y680" s="183"/>
      <c r="Z680" s="183"/>
    </row>
    <row r="681" ht="15.75" customHeight="1">
      <c r="A681" s="189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1"/>
      <c r="N681" s="181"/>
      <c r="O681" s="181"/>
      <c r="P681" s="181"/>
      <c r="Q681" s="181"/>
      <c r="R681" s="181"/>
      <c r="S681" s="182"/>
      <c r="T681" s="182"/>
      <c r="U681" s="182"/>
      <c r="V681" s="182"/>
      <c r="W681" s="183"/>
      <c r="X681" s="183"/>
      <c r="Y681" s="183"/>
      <c r="Z681" s="183"/>
    </row>
    <row r="682" ht="15.75" customHeight="1">
      <c r="A682" s="189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1"/>
      <c r="N682" s="181"/>
      <c r="O682" s="181"/>
      <c r="P682" s="181"/>
      <c r="Q682" s="181"/>
      <c r="R682" s="181"/>
      <c r="S682" s="182"/>
      <c r="T682" s="182"/>
      <c r="U682" s="182"/>
      <c r="V682" s="182"/>
      <c r="W682" s="183"/>
      <c r="X682" s="183"/>
      <c r="Y682" s="183"/>
      <c r="Z682" s="183"/>
    </row>
    <row r="683" ht="15.75" customHeight="1">
      <c r="A683" s="189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1"/>
      <c r="N683" s="181"/>
      <c r="O683" s="181"/>
      <c r="P683" s="181"/>
      <c r="Q683" s="181"/>
      <c r="R683" s="181"/>
      <c r="S683" s="182"/>
      <c r="T683" s="182"/>
      <c r="U683" s="182"/>
      <c r="V683" s="182"/>
      <c r="W683" s="183"/>
      <c r="X683" s="183"/>
      <c r="Y683" s="183"/>
      <c r="Z683" s="183"/>
    </row>
    <row r="684" ht="15.75" customHeight="1">
      <c r="A684" s="189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1"/>
      <c r="N684" s="181"/>
      <c r="O684" s="181"/>
      <c r="P684" s="181"/>
      <c r="Q684" s="181"/>
      <c r="R684" s="181"/>
      <c r="S684" s="182"/>
      <c r="T684" s="182"/>
      <c r="U684" s="182"/>
      <c r="V684" s="182"/>
      <c r="W684" s="183"/>
      <c r="X684" s="183"/>
      <c r="Y684" s="183"/>
      <c r="Z684" s="183"/>
    </row>
    <row r="685" ht="15.75" customHeight="1">
      <c r="A685" s="189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1"/>
      <c r="N685" s="181"/>
      <c r="O685" s="181"/>
      <c r="P685" s="181"/>
      <c r="Q685" s="181"/>
      <c r="R685" s="181"/>
      <c r="S685" s="182"/>
      <c r="T685" s="182"/>
      <c r="U685" s="182"/>
      <c r="V685" s="182"/>
      <c r="W685" s="183"/>
      <c r="X685" s="183"/>
      <c r="Y685" s="183"/>
      <c r="Z685" s="183"/>
    </row>
    <row r="686" ht="15.75" customHeight="1">
      <c r="A686" s="189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1"/>
      <c r="N686" s="181"/>
      <c r="O686" s="181"/>
      <c r="P686" s="181"/>
      <c r="Q686" s="181"/>
      <c r="R686" s="181"/>
      <c r="S686" s="182"/>
      <c r="T686" s="182"/>
      <c r="U686" s="182"/>
      <c r="V686" s="182"/>
      <c r="W686" s="183"/>
      <c r="X686" s="183"/>
      <c r="Y686" s="183"/>
      <c r="Z686" s="183"/>
    </row>
    <row r="687" ht="15.75" customHeight="1">
      <c r="A687" s="189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1"/>
      <c r="N687" s="181"/>
      <c r="O687" s="181"/>
      <c r="P687" s="181"/>
      <c r="Q687" s="181"/>
      <c r="R687" s="181"/>
      <c r="S687" s="182"/>
      <c r="T687" s="182"/>
      <c r="U687" s="182"/>
      <c r="V687" s="182"/>
      <c r="W687" s="183"/>
      <c r="X687" s="183"/>
      <c r="Y687" s="183"/>
      <c r="Z687" s="183"/>
    </row>
    <row r="688" ht="15.75" customHeight="1">
      <c r="A688" s="189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1"/>
      <c r="N688" s="181"/>
      <c r="O688" s="181"/>
      <c r="P688" s="181"/>
      <c r="Q688" s="181"/>
      <c r="R688" s="181"/>
      <c r="S688" s="182"/>
      <c r="T688" s="182"/>
      <c r="U688" s="182"/>
      <c r="V688" s="182"/>
      <c r="W688" s="183"/>
      <c r="X688" s="183"/>
      <c r="Y688" s="183"/>
      <c r="Z688" s="183"/>
    </row>
    <row r="689" ht="15.75" customHeight="1">
      <c r="A689" s="189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1"/>
      <c r="N689" s="181"/>
      <c r="O689" s="181"/>
      <c r="P689" s="181"/>
      <c r="Q689" s="181"/>
      <c r="R689" s="181"/>
      <c r="S689" s="182"/>
      <c r="T689" s="182"/>
      <c r="U689" s="182"/>
      <c r="V689" s="182"/>
      <c r="W689" s="183"/>
      <c r="X689" s="183"/>
      <c r="Y689" s="183"/>
      <c r="Z689" s="183"/>
    </row>
    <row r="690" ht="15.75" customHeight="1">
      <c r="A690" s="189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1"/>
      <c r="N690" s="181"/>
      <c r="O690" s="181"/>
      <c r="P690" s="181"/>
      <c r="Q690" s="181"/>
      <c r="R690" s="181"/>
      <c r="S690" s="182"/>
      <c r="T690" s="182"/>
      <c r="U690" s="182"/>
      <c r="V690" s="182"/>
      <c r="W690" s="183"/>
      <c r="X690" s="183"/>
      <c r="Y690" s="183"/>
      <c r="Z690" s="183"/>
    </row>
    <row r="691" ht="15.75" customHeight="1">
      <c r="A691" s="189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1"/>
      <c r="N691" s="181"/>
      <c r="O691" s="181"/>
      <c r="P691" s="181"/>
      <c r="Q691" s="181"/>
      <c r="R691" s="181"/>
      <c r="S691" s="182"/>
      <c r="T691" s="182"/>
      <c r="U691" s="182"/>
      <c r="V691" s="182"/>
      <c r="W691" s="183"/>
      <c r="X691" s="183"/>
      <c r="Y691" s="183"/>
      <c r="Z691" s="183"/>
    </row>
    <row r="692" ht="15.75" customHeight="1">
      <c r="A692" s="189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1"/>
      <c r="N692" s="181"/>
      <c r="O692" s="181"/>
      <c r="P692" s="181"/>
      <c r="Q692" s="181"/>
      <c r="R692" s="181"/>
      <c r="S692" s="182"/>
      <c r="T692" s="182"/>
      <c r="U692" s="182"/>
      <c r="V692" s="182"/>
      <c r="W692" s="183"/>
      <c r="X692" s="183"/>
      <c r="Y692" s="183"/>
      <c r="Z692" s="183"/>
    </row>
    <row r="693" ht="15.75" customHeight="1">
      <c r="A693" s="189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1"/>
      <c r="N693" s="181"/>
      <c r="O693" s="181"/>
      <c r="P693" s="181"/>
      <c r="Q693" s="181"/>
      <c r="R693" s="181"/>
      <c r="S693" s="182"/>
      <c r="T693" s="182"/>
      <c r="U693" s="182"/>
      <c r="V693" s="182"/>
      <c r="W693" s="183"/>
      <c r="X693" s="183"/>
      <c r="Y693" s="183"/>
      <c r="Z693" s="183"/>
    </row>
    <row r="694" ht="15.75" customHeight="1">
      <c r="A694" s="189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1"/>
      <c r="N694" s="181"/>
      <c r="O694" s="181"/>
      <c r="P694" s="181"/>
      <c r="Q694" s="181"/>
      <c r="R694" s="181"/>
      <c r="S694" s="182"/>
      <c r="T694" s="182"/>
      <c r="U694" s="182"/>
      <c r="V694" s="182"/>
      <c r="W694" s="183"/>
      <c r="X694" s="183"/>
      <c r="Y694" s="183"/>
      <c r="Z694" s="183"/>
    </row>
    <row r="695" ht="15.75" customHeight="1">
      <c r="A695" s="189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1"/>
      <c r="N695" s="181"/>
      <c r="O695" s="181"/>
      <c r="P695" s="181"/>
      <c r="Q695" s="181"/>
      <c r="R695" s="181"/>
      <c r="S695" s="182"/>
      <c r="T695" s="182"/>
      <c r="U695" s="182"/>
      <c r="V695" s="182"/>
      <c r="W695" s="183"/>
      <c r="X695" s="183"/>
      <c r="Y695" s="183"/>
      <c r="Z695" s="183"/>
    </row>
    <row r="696" ht="15.75" customHeight="1">
      <c r="A696" s="189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1"/>
      <c r="N696" s="181"/>
      <c r="O696" s="181"/>
      <c r="P696" s="181"/>
      <c r="Q696" s="181"/>
      <c r="R696" s="181"/>
      <c r="S696" s="182"/>
      <c r="T696" s="182"/>
      <c r="U696" s="182"/>
      <c r="V696" s="182"/>
      <c r="W696" s="183"/>
      <c r="X696" s="183"/>
      <c r="Y696" s="183"/>
      <c r="Z696" s="183"/>
    </row>
    <row r="697" ht="15.75" customHeight="1">
      <c r="A697" s="189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1"/>
      <c r="N697" s="181"/>
      <c r="O697" s="181"/>
      <c r="P697" s="181"/>
      <c r="Q697" s="181"/>
      <c r="R697" s="181"/>
      <c r="S697" s="182"/>
      <c r="T697" s="182"/>
      <c r="U697" s="182"/>
      <c r="V697" s="182"/>
      <c r="W697" s="183"/>
      <c r="X697" s="183"/>
      <c r="Y697" s="183"/>
      <c r="Z697" s="183"/>
    </row>
    <row r="698" ht="15.75" customHeight="1">
      <c r="A698" s="189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1"/>
      <c r="N698" s="181"/>
      <c r="O698" s="181"/>
      <c r="P698" s="181"/>
      <c r="Q698" s="181"/>
      <c r="R698" s="181"/>
      <c r="S698" s="182"/>
      <c r="T698" s="182"/>
      <c r="U698" s="182"/>
      <c r="V698" s="182"/>
      <c r="W698" s="183"/>
      <c r="X698" s="183"/>
      <c r="Y698" s="183"/>
      <c r="Z698" s="183"/>
    </row>
    <row r="699" ht="15.75" customHeight="1">
      <c r="A699" s="189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1"/>
      <c r="N699" s="181"/>
      <c r="O699" s="181"/>
      <c r="P699" s="181"/>
      <c r="Q699" s="181"/>
      <c r="R699" s="181"/>
      <c r="S699" s="182"/>
      <c r="T699" s="182"/>
      <c r="U699" s="182"/>
      <c r="V699" s="182"/>
      <c r="W699" s="183"/>
      <c r="X699" s="183"/>
      <c r="Y699" s="183"/>
      <c r="Z699" s="183"/>
    </row>
    <row r="700" ht="15.75" customHeight="1">
      <c r="A700" s="189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1"/>
      <c r="N700" s="181"/>
      <c r="O700" s="181"/>
      <c r="P700" s="181"/>
      <c r="Q700" s="181"/>
      <c r="R700" s="181"/>
      <c r="S700" s="182"/>
      <c r="T700" s="182"/>
      <c r="U700" s="182"/>
      <c r="V700" s="182"/>
      <c r="W700" s="183"/>
      <c r="X700" s="183"/>
      <c r="Y700" s="183"/>
      <c r="Z700" s="183"/>
    </row>
    <row r="701" ht="15.75" customHeight="1">
      <c r="A701" s="189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1"/>
      <c r="N701" s="181"/>
      <c r="O701" s="181"/>
      <c r="P701" s="181"/>
      <c r="Q701" s="181"/>
      <c r="R701" s="181"/>
      <c r="S701" s="182"/>
      <c r="T701" s="182"/>
      <c r="U701" s="182"/>
      <c r="V701" s="182"/>
      <c r="W701" s="183"/>
      <c r="X701" s="183"/>
      <c r="Y701" s="183"/>
      <c r="Z701" s="183"/>
    </row>
    <row r="702" ht="15.75" customHeight="1">
      <c r="A702" s="189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1"/>
      <c r="N702" s="181"/>
      <c r="O702" s="181"/>
      <c r="P702" s="181"/>
      <c r="Q702" s="181"/>
      <c r="R702" s="181"/>
      <c r="S702" s="182"/>
      <c r="T702" s="182"/>
      <c r="U702" s="182"/>
      <c r="V702" s="182"/>
      <c r="W702" s="183"/>
      <c r="X702" s="183"/>
      <c r="Y702" s="183"/>
      <c r="Z702" s="183"/>
    </row>
    <row r="703" ht="15.75" customHeight="1">
      <c r="A703" s="189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1"/>
      <c r="N703" s="181"/>
      <c r="O703" s="181"/>
      <c r="P703" s="181"/>
      <c r="Q703" s="181"/>
      <c r="R703" s="181"/>
      <c r="S703" s="182"/>
      <c r="T703" s="182"/>
      <c r="U703" s="182"/>
      <c r="V703" s="182"/>
      <c r="W703" s="183"/>
      <c r="X703" s="183"/>
      <c r="Y703" s="183"/>
      <c r="Z703" s="183"/>
    </row>
    <row r="704" ht="15.75" customHeight="1">
      <c r="A704" s="189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1"/>
      <c r="N704" s="181"/>
      <c r="O704" s="181"/>
      <c r="P704" s="181"/>
      <c r="Q704" s="181"/>
      <c r="R704" s="181"/>
      <c r="S704" s="182"/>
      <c r="T704" s="182"/>
      <c r="U704" s="182"/>
      <c r="V704" s="182"/>
      <c r="W704" s="183"/>
      <c r="X704" s="183"/>
      <c r="Y704" s="183"/>
      <c r="Z704" s="183"/>
    </row>
    <row r="705" ht="15.75" customHeight="1">
      <c r="A705" s="189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1"/>
      <c r="N705" s="181"/>
      <c r="O705" s="181"/>
      <c r="P705" s="181"/>
      <c r="Q705" s="181"/>
      <c r="R705" s="181"/>
      <c r="S705" s="182"/>
      <c r="T705" s="182"/>
      <c r="U705" s="182"/>
      <c r="V705" s="182"/>
      <c r="W705" s="183"/>
      <c r="X705" s="183"/>
      <c r="Y705" s="183"/>
      <c r="Z705" s="183"/>
    </row>
    <row r="706" ht="15.75" customHeight="1">
      <c r="A706" s="189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1"/>
      <c r="N706" s="181"/>
      <c r="O706" s="181"/>
      <c r="P706" s="181"/>
      <c r="Q706" s="181"/>
      <c r="R706" s="181"/>
      <c r="S706" s="182"/>
      <c r="T706" s="182"/>
      <c r="U706" s="182"/>
      <c r="V706" s="182"/>
      <c r="W706" s="183"/>
      <c r="X706" s="183"/>
      <c r="Y706" s="183"/>
      <c r="Z706" s="183"/>
    </row>
    <row r="707" ht="15.75" customHeight="1">
      <c r="A707" s="189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1"/>
      <c r="N707" s="181"/>
      <c r="O707" s="181"/>
      <c r="P707" s="181"/>
      <c r="Q707" s="181"/>
      <c r="R707" s="181"/>
      <c r="S707" s="182"/>
      <c r="T707" s="182"/>
      <c r="U707" s="182"/>
      <c r="V707" s="182"/>
      <c r="W707" s="183"/>
      <c r="X707" s="183"/>
      <c r="Y707" s="183"/>
      <c r="Z707" s="183"/>
    </row>
    <row r="708" ht="15.75" customHeight="1">
      <c r="A708" s="189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1"/>
      <c r="N708" s="181"/>
      <c r="O708" s="181"/>
      <c r="P708" s="181"/>
      <c r="Q708" s="181"/>
      <c r="R708" s="181"/>
      <c r="S708" s="182"/>
      <c r="T708" s="182"/>
      <c r="U708" s="182"/>
      <c r="V708" s="182"/>
      <c r="W708" s="183"/>
      <c r="X708" s="183"/>
      <c r="Y708" s="183"/>
      <c r="Z708" s="183"/>
    </row>
    <row r="709" ht="15.75" customHeight="1">
      <c r="A709" s="189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1"/>
      <c r="N709" s="181"/>
      <c r="O709" s="181"/>
      <c r="P709" s="181"/>
      <c r="Q709" s="181"/>
      <c r="R709" s="181"/>
      <c r="S709" s="182"/>
      <c r="T709" s="182"/>
      <c r="U709" s="182"/>
      <c r="V709" s="182"/>
      <c r="W709" s="183"/>
      <c r="X709" s="183"/>
      <c r="Y709" s="183"/>
      <c r="Z709" s="183"/>
    </row>
    <row r="710" ht="15.75" customHeight="1">
      <c r="A710" s="189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1"/>
      <c r="N710" s="181"/>
      <c r="O710" s="181"/>
      <c r="P710" s="181"/>
      <c r="Q710" s="181"/>
      <c r="R710" s="181"/>
      <c r="S710" s="182"/>
      <c r="T710" s="182"/>
      <c r="U710" s="182"/>
      <c r="V710" s="182"/>
      <c r="W710" s="183"/>
      <c r="X710" s="183"/>
      <c r="Y710" s="183"/>
      <c r="Z710" s="183"/>
    </row>
    <row r="711" ht="15.75" customHeight="1">
      <c r="A711" s="189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1"/>
      <c r="N711" s="181"/>
      <c r="O711" s="181"/>
      <c r="P711" s="181"/>
      <c r="Q711" s="181"/>
      <c r="R711" s="181"/>
      <c r="S711" s="182"/>
      <c r="T711" s="182"/>
      <c r="U711" s="182"/>
      <c r="V711" s="182"/>
      <c r="W711" s="183"/>
      <c r="X711" s="183"/>
      <c r="Y711" s="183"/>
      <c r="Z711" s="183"/>
    </row>
    <row r="712" ht="15.75" customHeight="1">
      <c r="A712" s="189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1"/>
      <c r="N712" s="181"/>
      <c r="O712" s="181"/>
      <c r="P712" s="181"/>
      <c r="Q712" s="181"/>
      <c r="R712" s="181"/>
      <c r="S712" s="182"/>
      <c r="T712" s="182"/>
      <c r="U712" s="182"/>
      <c r="V712" s="182"/>
      <c r="W712" s="183"/>
      <c r="X712" s="183"/>
      <c r="Y712" s="183"/>
      <c r="Z712" s="183"/>
    </row>
    <row r="713" ht="15.75" customHeight="1">
      <c r="A713" s="189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1"/>
      <c r="N713" s="181"/>
      <c r="O713" s="181"/>
      <c r="P713" s="181"/>
      <c r="Q713" s="181"/>
      <c r="R713" s="181"/>
      <c r="S713" s="182"/>
      <c r="T713" s="182"/>
      <c r="U713" s="182"/>
      <c r="V713" s="182"/>
      <c r="W713" s="183"/>
      <c r="X713" s="183"/>
      <c r="Y713" s="183"/>
      <c r="Z713" s="183"/>
    </row>
    <row r="714" ht="15.75" customHeight="1">
      <c r="A714" s="189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1"/>
      <c r="N714" s="181"/>
      <c r="O714" s="181"/>
      <c r="P714" s="181"/>
      <c r="Q714" s="181"/>
      <c r="R714" s="181"/>
      <c r="S714" s="182"/>
      <c r="T714" s="182"/>
      <c r="U714" s="182"/>
      <c r="V714" s="182"/>
      <c r="W714" s="183"/>
      <c r="X714" s="183"/>
      <c r="Y714" s="183"/>
      <c r="Z714" s="183"/>
    </row>
    <row r="715" ht="15.75" customHeight="1">
      <c r="A715" s="189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1"/>
      <c r="N715" s="181"/>
      <c r="O715" s="181"/>
      <c r="P715" s="181"/>
      <c r="Q715" s="181"/>
      <c r="R715" s="181"/>
      <c r="S715" s="182"/>
      <c r="T715" s="182"/>
      <c r="U715" s="182"/>
      <c r="V715" s="182"/>
      <c r="W715" s="183"/>
      <c r="X715" s="183"/>
      <c r="Y715" s="183"/>
      <c r="Z715" s="183"/>
    </row>
    <row r="716" ht="15.75" customHeight="1">
      <c r="A716" s="189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1"/>
      <c r="N716" s="181"/>
      <c r="O716" s="181"/>
      <c r="P716" s="181"/>
      <c r="Q716" s="181"/>
      <c r="R716" s="181"/>
      <c r="S716" s="182"/>
      <c r="T716" s="182"/>
      <c r="U716" s="182"/>
      <c r="V716" s="182"/>
      <c r="W716" s="183"/>
      <c r="X716" s="183"/>
      <c r="Y716" s="183"/>
      <c r="Z716" s="183"/>
    </row>
    <row r="717" ht="15.75" customHeight="1">
      <c r="A717" s="189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1"/>
      <c r="N717" s="181"/>
      <c r="O717" s="181"/>
      <c r="P717" s="181"/>
      <c r="Q717" s="181"/>
      <c r="R717" s="181"/>
      <c r="S717" s="182"/>
      <c r="T717" s="182"/>
      <c r="U717" s="182"/>
      <c r="V717" s="182"/>
      <c r="W717" s="183"/>
      <c r="X717" s="183"/>
      <c r="Y717" s="183"/>
      <c r="Z717" s="183"/>
    </row>
    <row r="718" ht="15.75" customHeight="1">
      <c r="A718" s="189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1"/>
      <c r="N718" s="181"/>
      <c r="O718" s="181"/>
      <c r="P718" s="181"/>
      <c r="Q718" s="181"/>
      <c r="R718" s="181"/>
      <c r="S718" s="182"/>
      <c r="T718" s="182"/>
      <c r="U718" s="182"/>
      <c r="V718" s="182"/>
      <c r="W718" s="183"/>
      <c r="X718" s="183"/>
      <c r="Y718" s="183"/>
      <c r="Z718" s="183"/>
    </row>
    <row r="719" ht="15.75" customHeight="1">
      <c r="A719" s="189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1"/>
      <c r="N719" s="181"/>
      <c r="O719" s="181"/>
      <c r="P719" s="181"/>
      <c r="Q719" s="181"/>
      <c r="R719" s="181"/>
      <c r="S719" s="182"/>
      <c r="T719" s="182"/>
      <c r="U719" s="182"/>
      <c r="V719" s="182"/>
      <c r="W719" s="183"/>
      <c r="X719" s="183"/>
      <c r="Y719" s="183"/>
      <c r="Z719" s="183"/>
    </row>
    <row r="720" ht="15.75" customHeight="1">
      <c r="A720" s="189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1"/>
      <c r="N720" s="181"/>
      <c r="O720" s="181"/>
      <c r="P720" s="181"/>
      <c r="Q720" s="181"/>
      <c r="R720" s="181"/>
      <c r="S720" s="182"/>
      <c r="T720" s="182"/>
      <c r="U720" s="182"/>
      <c r="V720" s="182"/>
      <c r="W720" s="183"/>
      <c r="X720" s="183"/>
      <c r="Y720" s="183"/>
      <c r="Z720" s="183"/>
    </row>
    <row r="721" ht="15.75" customHeight="1">
      <c r="A721" s="189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1"/>
      <c r="N721" s="181"/>
      <c r="O721" s="181"/>
      <c r="P721" s="181"/>
      <c r="Q721" s="181"/>
      <c r="R721" s="181"/>
      <c r="S721" s="182"/>
      <c r="T721" s="182"/>
      <c r="U721" s="182"/>
      <c r="V721" s="182"/>
      <c r="W721" s="183"/>
      <c r="X721" s="183"/>
      <c r="Y721" s="183"/>
      <c r="Z721" s="183"/>
    </row>
    <row r="722" ht="15.75" customHeight="1">
      <c r="A722" s="189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1"/>
      <c r="N722" s="181"/>
      <c r="O722" s="181"/>
      <c r="P722" s="181"/>
      <c r="Q722" s="181"/>
      <c r="R722" s="181"/>
      <c r="S722" s="182"/>
      <c r="T722" s="182"/>
      <c r="U722" s="182"/>
      <c r="V722" s="182"/>
      <c r="W722" s="183"/>
      <c r="X722" s="183"/>
      <c r="Y722" s="183"/>
      <c r="Z722" s="183"/>
    </row>
    <row r="723" ht="15.75" customHeight="1">
      <c r="A723" s="189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1"/>
      <c r="N723" s="181"/>
      <c r="O723" s="181"/>
      <c r="P723" s="181"/>
      <c r="Q723" s="181"/>
      <c r="R723" s="181"/>
      <c r="S723" s="182"/>
      <c r="T723" s="182"/>
      <c r="U723" s="182"/>
      <c r="V723" s="182"/>
      <c r="W723" s="183"/>
      <c r="X723" s="183"/>
      <c r="Y723" s="183"/>
      <c r="Z723" s="183"/>
    </row>
    <row r="724" ht="15.75" customHeight="1">
      <c r="A724" s="189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1"/>
      <c r="N724" s="181"/>
      <c r="O724" s="181"/>
      <c r="P724" s="181"/>
      <c r="Q724" s="181"/>
      <c r="R724" s="181"/>
      <c r="S724" s="182"/>
      <c r="T724" s="182"/>
      <c r="U724" s="182"/>
      <c r="V724" s="182"/>
      <c r="W724" s="183"/>
      <c r="X724" s="183"/>
      <c r="Y724" s="183"/>
      <c r="Z724" s="183"/>
    </row>
    <row r="725" ht="15.75" customHeight="1">
      <c r="A725" s="189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1"/>
      <c r="N725" s="181"/>
      <c r="O725" s="181"/>
      <c r="P725" s="181"/>
      <c r="Q725" s="181"/>
      <c r="R725" s="181"/>
      <c r="S725" s="182"/>
      <c r="T725" s="182"/>
      <c r="U725" s="182"/>
      <c r="V725" s="182"/>
      <c r="W725" s="183"/>
      <c r="X725" s="183"/>
      <c r="Y725" s="183"/>
      <c r="Z725" s="183"/>
    </row>
    <row r="726" ht="15.75" customHeight="1">
      <c r="A726" s="189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1"/>
      <c r="N726" s="181"/>
      <c r="O726" s="181"/>
      <c r="P726" s="181"/>
      <c r="Q726" s="181"/>
      <c r="R726" s="181"/>
      <c r="S726" s="182"/>
      <c r="T726" s="182"/>
      <c r="U726" s="182"/>
      <c r="V726" s="182"/>
      <c r="W726" s="183"/>
      <c r="X726" s="183"/>
      <c r="Y726" s="183"/>
      <c r="Z726" s="183"/>
    </row>
    <row r="727" ht="15.75" customHeight="1">
      <c r="A727" s="189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1"/>
      <c r="N727" s="181"/>
      <c r="O727" s="181"/>
      <c r="P727" s="181"/>
      <c r="Q727" s="181"/>
      <c r="R727" s="181"/>
      <c r="S727" s="182"/>
      <c r="T727" s="182"/>
      <c r="U727" s="182"/>
      <c r="V727" s="182"/>
      <c r="W727" s="183"/>
      <c r="X727" s="183"/>
      <c r="Y727" s="183"/>
      <c r="Z727" s="183"/>
    </row>
    <row r="728" ht="15.75" customHeight="1">
      <c r="A728" s="189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1"/>
      <c r="N728" s="181"/>
      <c r="O728" s="181"/>
      <c r="P728" s="181"/>
      <c r="Q728" s="181"/>
      <c r="R728" s="181"/>
      <c r="S728" s="182"/>
      <c r="T728" s="182"/>
      <c r="U728" s="182"/>
      <c r="V728" s="182"/>
      <c r="W728" s="183"/>
      <c r="X728" s="183"/>
      <c r="Y728" s="183"/>
      <c r="Z728" s="183"/>
    </row>
    <row r="729" ht="15.75" customHeight="1">
      <c r="A729" s="189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1"/>
      <c r="N729" s="181"/>
      <c r="O729" s="181"/>
      <c r="P729" s="181"/>
      <c r="Q729" s="181"/>
      <c r="R729" s="181"/>
      <c r="S729" s="182"/>
      <c r="T729" s="182"/>
      <c r="U729" s="182"/>
      <c r="V729" s="182"/>
      <c r="W729" s="183"/>
      <c r="X729" s="183"/>
      <c r="Y729" s="183"/>
      <c r="Z729" s="183"/>
    </row>
    <row r="730" ht="15.75" customHeight="1">
      <c r="A730" s="189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1"/>
      <c r="N730" s="181"/>
      <c r="O730" s="181"/>
      <c r="P730" s="181"/>
      <c r="Q730" s="181"/>
      <c r="R730" s="181"/>
      <c r="S730" s="182"/>
      <c r="T730" s="182"/>
      <c r="U730" s="182"/>
      <c r="V730" s="182"/>
      <c r="W730" s="183"/>
      <c r="X730" s="183"/>
      <c r="Y730" s="183"/>
      <c r="Z730" s="183"/>
    </row>
    <row r="731" ht="15.75" customHeight="1">
      <c r="A731" s="189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1"/>
      <c r="N731" s="181"/>
      <c r="O731" s="181"/>
      <c r="P731" s="181"/>
      <c r="Q731" s="181"/>
      <c r="R731" s="181"/>
      <c r="S731" s="182"/>
      <c r="T731" s="182"/>
      <c r="U731" s="182"/>
      <c r="V731" s="182"/>
      <c r="W731" s="183"/>
      <c r="X731" s="183"/>
      <c r="Y731" s="183"/>
      <c r="Z731" s="183"/>
    </row>
    <row r="732" ht="15.75" customHeight="1">
      <c r="A732" s="189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1"/>
      <c r="N732" s="181"/>
      <c r="O732" s="181"/>
      <c r="P732" s="181"/>
      <c r="Q732" s="181"/>
      <c r="R732" s="181"/>
      <c r="S732" s="182"/>
      <c r="T732" s="182"/>
      <c r="U732" s="182"/>
      <c r="V732" s="182"/>
      <c r="W732" s="183"/>
      <c r="X732" s="183"/>
      <c r="Y732" s="183"/>
      <c r="Z732" s="183"/>
    </row>
    <row r="733" ht="15.75" customHeight="1">
      <c r="A733" s="189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1"/>
      <c r="N733" s="181"/>
      <c r="O733" s="181"/>
      <c r="P733" s="181"/>
      <c r="Q733" s="181"/>
      <c r="R733" s="181"/>
      <c r="S733" s="182"/>
      <c r="T733" s="182"/>
      <c r="U733" s="182"/>
      <c r="V733" s="182"/>
      <c r="W733" s="183"/>
      <c r="X733" s="183"/>
      <c r="Y733" s="183"/>
      <c r="Z733" s="183"/>
    </row>
    <row r="734" ht="15.75" customHeight="1">
      <c r="A734" s="189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1"/>
      <c r="N734" s="181"/>
      <c r="O734" s="181"/>
      <c r="P734" s="181"/>
      <c r="Q734" s="181"/>
      <c r="R734" s="181"/>
      <c r="S734" s="182"/>
      <c r="T734" s="182"/>
      <c r="U734" s="182"/>
      <c r="V734" s="182"/>
      <c r="W734" s="183"/>
      <c r="X734" s="183"/>
      <c r="Y734" s="183"/>
      <c r="Z734" s="183"/>
    </row>
    <row r="735" ht="15.75" customHeight="1">
      <c r="A735" s="189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1"/>
      <c r="N735" s="181"/>
      <c r="O735" s="181"/>
      <c r="P735" s="181"/>
      <c r="Q735" s="181"/>
      <c r="R735" s="181"/>
      <c r="S735" s="182"/>
      <c r="T735" s="182"/>
      <c r="U735" s="182"/>
      <c r="V735" s="182"/>
      <c r="W735" s="183"/>
      <c r="X735" s="183"/>
      <c r="Y735" s="183"/>
      <c r="Z735" s="183"/>
    </row>
    <row r="736" ht="15.75" customHeight="1">
      <c r="A736" s="189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1"/>
      <c r="N736" s="181"/>
      <c r="O736" s="181"/>
      <c r="P736" s="181"/>
      <c r="Q736" s="181"/>
      <c r="R736" s="181"/>
      <c r="S736" s="182"/>
      <c r="T736" s="182"/>
      <c r="U736" s="182"/>
      <c r="V736" s="182"/>
      <c r="W736" s="183"/>
      <c r="X736" s="183"/>
      <c r="Y736" s="183"/>
      <c r="Z736" s="183"/>
    </row>
    <row r="737" ht="15.75" customHeight="1">
      <c r="A737" s="189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1"/>
      <c r="N737" s="181"/>
      <c r="O737" s="181"/>
      <c r="P737" s="181"/>
      <c r="Q737" s="181"/>
      <c r="R737" s="181"/>
      <c r="S737" s="182"/>
      <c r="T737" s="182"/>
      <c r="U737" s="182"/>
      <c r="V737" s="182"/>
      <c r="W737" s="183"/>
      <c r="X737" s="183"/>
      <c r="Y737" s="183"/>
      <c r="Z737" s="183"/>
    </row>
    <row r="738" ht="15.75" customHeight="1">
      <c r="A738" s="189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1"/>
      <c r="N738" s="181"/>
      <c r="O738" s="181"/>
      <c r="P738" s="181"/>
      <c r="Q738" s="181"/>
      <c r="R738" s="181"/>
      <c r="S738" s="182"/>
      <c r="T738" s="182"/>
      <c r="U738" s="182"/>
      <c r="V738" s="182"/>
      <c r="W738" s="183"/>
      <c r="X738" s="183"/>
      <c r="Y738" s="183"/>
      <c r="Z738" s="183"/>
    </row>
    <row r="739" ht="15.75" customHeight="1">
      <c r="A739" s="189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1"/>
      <c r="N739" s="181"/>
      <c r="O739" s="181"/>
      <c r="P739" s="181"/>
      <c r="Q739" s="181"/>
      <c r="R739" s="181"/>
      <c r="S739" s="182"/>
      <c r="T739" s="182"/>
      <c r="U739" s="182"/>
      <c r="V739" s="182"/>
      <c r="W739" s="183"/>
      <c r="X739" s="183"/>
      <c r="Y739" s="183"/>
      <c r="Z739" s="183"/>
    </row>
    <row r="740" ht="15.75" customHeight="1">
      <c r="A740" s="189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1"/>
      <c r="N740" s="181"/>
      <c r="O740" s="181"/>
      <c r="P740" s="181"/>
      <c r="Q740" s="181"/>
      <c r="R740" s="181"/>
      <c r="S740" s="182"/>
      <c r="T740" s="182"/>
      <c r="U740" s="182"/>
      <c r="V740" s="182"/>
      <c r="W740" s="183"/>
      <c r="X740" s="183"/>
      <c r="Y740" s="183"/>
      <c r="Z740" s="183"/>
    </row>
    <row r="741" ht="15.75" customHeight="1">
      <c r="A741" s="189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1"/>
      <c r="N741" s="181"/>
      <c r="O741" s="181"/>
      <c r="P741" s="181"/>
      <c r="Q741" s="181"/>
      <c r="R741" s="181"/>
      <c r="S741" s="182"/>
      <c r="T741" s="182"/>
      <c r="U741" s="182"/>
      <c r="V741" s="182"/>
      <c r="W741" s="183"/>
      <c r="X741" s="183"/>
      <c r="Y741" s="183"/>
      <c r="Z741" s="183"/>
    </row>
    <row r="742" ht="15.75" customHeight="1">
      <c r="A742" s="189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1"/>
      <c r="N742" s="181"/>
      <c r="O742" s="181"/>
      <c r="P742" s="181"/>
      <c r="Q742" s="181"/>
      <c r="R742" s="181"/>
      <c r="S742" s="182"/>
      <c r="T742" s="182"/>
      <c r="U742" s="182"/>
      <c r="V742" s="182"/>
      <c r="W742" s="183"/>
      <c r="X742" s="183"/>
      <c r="Y742" s="183"/>
      <c r="Z742" s="183"/>
    </row>
    <row r="743" ht="15.75" customHeight="1">
      <c r="A743" s="189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1"/>
      <c r="N743" s="181"/>
      <c r="O743" s="181"/>
      <c r="P743" s="181"/>
      <c r="Q743" s="181"/>
      <c r="R743" s="181"/>
      <c r="S743" s="182"/>
      <c r="T743" s="182"/>
      <c r="U743" s="182"/>
      <c r="V743" s="182"/>
      <c r="W743" s="183"/>
      <c r="X743" s="183"/>
      <c r="Y743" s="183"/>
      <c r="Z743" s="183"/>
    </row>
    <row r="744" ht="15.75" customHeight="1">
      <c r="A744" s="189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1"/>
      <c r="N744" s="181"/>
      <c r="O744" s="181"/>
      <c r="P744" s="181"/>
      <c r="Q744" s="181"/>
      <c r="R744" s="181"/>
      <c r="S744" s="182"/>
      <c r="T744" s="182"/>
      <c r="U744" s="182"/>
      <c r="V744" s="182"/>
      <c r="W744" s="183"/>
      <c r="X744" s="183"/>
      <c r="Y744" s="183"/>
      <c r="Z744" s="183"/>
    </row>
    <row r="745" ht="15.75" customHeight="1">
      <c r="A745" s="189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1"/>
      <c r="N745" s="181"/>
      <c r="O745" s="181"/>
      <c r="P745" s="181"/>
      <c r="Q745" s="181"/>
      <c r="R745" s="181"/>
      <c r="S745" s="182"/>
      <c r="T745" s="182"/>
      <c r="U745" s="182"/>
      <c r="V745" s="182"/>
      <c r="W745" s="183"/>
      <c r="X745" s="183"/>
      <c r="Y745" s="183"/>
      <c r="Z745" s="183"/>
    </row>
    <row r="746" ht="15.75" customHeight="1">
      <c r="A746" s="189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1"/>
      <c r="N746" s="181"/>
      <c r="O746" s="181"/>
      <c r="P746" s="181"/>
      <c r="Q746" s="181"/>
      <c r="R746" s="181"/>
      <c r="S746" s="182"/>
      <c r="T746" s="182"/>
      <c r="U746" s="182"/>
      <c r="V746" s="182"/>
      <c r="W746" s="183"/>
      <c r="X746" s="183"/>
      <c r="Y746" s="183"/>
      <c r="Z746" s="183"/>
    </row>
    <row r="747" ht="15.75" customHeight="1">
      <c r="A747" s="189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1"/>
      <c r="N747" s="181"/>
      <c r="O747" s="181"/>
      <c r="P747" s="181"/>
      <c r="Q747" s="181"/>
      <c r="R747" s="181"/>
      <c r="S747" s="182"/>
      <c r="T747" s="182"/>
      <c r="U747" s="182"/>
      <c r="V747" s="182"/>
      <c r="W747" s="183"/>
      <c r="X747" s="183"/>
      <c r="Y747" s="183"/>
      <c r="Z747" s="183"/>
    </row>
    <row r="748" ht="15.75" customHeight="1">
      <c r="A748" s="189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1"/>
      <c r="N748" s="181"/>
      <c r="O748" s="181"/>
      <c r="P748" s="181"/>
      <c r="Q748" s="181"/>
      <c r="R748" s="181"/>
      <c r="S748" s="182"/>
      <c r="T748" s="182"/>
      <c r="U748" s="182"/>
      <c r="V748" s="182"/>
      <c r="W748" s="183"/>
      <c r="X748" s="183"/>
      <c r="Y748" s="183"/>
      <c r="Z748" s="183"/>
    </row>
    <row r="749" ht="15.75" customHeight="1">
      <c r="A749" s="189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1"/>
      <c r="N749" s="181"/>
      <c r="O749" s="181"/>
      <c r="P749" s="181"/>
      <c r="Q749" s="181"/>
      <c r="R749" s="181"/>
      <c r="S749" s="182"/>
      <c r="T749" s="182"/>
      <c r="U749" s="182"/>
      <c r="V749" s="182"/>
      <c r="W749" s="183"/>
      <c r="X749" s="183"/>
      <c r="Y749" s="183"/>
      <c r="Z749" s="183"/>
    </row>
    <row r="750" ht="15.75" customHeight="1">
      <c r="A750" s="189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1"/>
      <c r="N750" s="181"/>
      <c r="O750" s="181"/>
      <c r="P750" s="181"/>
      <c r="Q750" s="181"/>
      <c r="R750" s="181"/>
      <c r="S750" s="182"/>
      <c r="T750" s="182"/>
      <c r="U750" s="182"/>
      <c r="V750" s="182"/>
      <c r="W750" s="183"/>
      <c r="X750" s="183"/>
      <c r="Y750" s="183"/>
      <c r="Z750" s="183"/>
    </row>
    <row r="751" ht="15.75" customHeight="1">
      <c r="A751" s="189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1"/>
      <c r="N751" s="181"/>
      <c r="O751" s="181"/>
      <c r="P751" s="181"/>
      <c r="Q751" s="181"/>
      <c r="R751" s="181"/>
      <c r="S751" s="182"/>
      <c r="T751" s="182"/>
      <c r="U751" s="182"/>
      <c r="V751" s="182"/>
      <c r="W751" s="183"/>
      <c r="X751" s="183"/>
      <c r="Y751" s="183"/>
      <c r="Z751" s="183"/>
    </row>
    <row r="752" ht="15.75" customHeight="1">
      <c r="A752" s="189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1"/>
      <c r="N752" s="181"/>
      <c r="O752" s="181"/>
      <c r="P752" s="181"/>
      <c r="Q752" s="181"/>
      <c r="R752" s="181"/>
      <c r="S752" s="182"/>
      <c r="T752" s="182"/>
      <c r="U752" s="182"/>
      <c r="V752" s="182"/>
      <c r="W752" s="183"/>
      <c r="X752" s="183"/>
      <c r="Y752" s="183"/>
      <c r="Z752" s="183"/>
    </row>
    <row r="753" ht="15.75" customHeight="1">
      <c r="A753" s="189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1"/>
      <c r="N753" s="181"/>
      <c r="O753" s="181"/>
      <c r="P753" s="181"/>
      <c r="Q753" s="181"/>
      <c r="R753" s="181"/>
      <c r="S753" s="182"/>
      <c r="T753" s="182"/>
      <c r="U753" s="182"/>
      <c r="V753" s="182"/>
      <c r="W753" s="183"/>
      <c r="X753" s="183"/>
      <c r="Y753" s="183"/>
      <c r="Z753" s="183"/>
    </row>
    <row r="754" ht="15.75" customHeight="1">
      <c r="A754" s="189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1"/>
      <c r="N754" s="181"/>
      <c r="O754" s="181"/>
      <c r="P754" s="181"/>
      <c r="Q754" s="181"/>
      <c r="R754" s="181"/>
      <c r="S754" s="182"/>
      <c r="T754" s="182"/>
      <c r="U754" s="182"/>
      <c r="V754" s="182"/>
      <c r="W754" s="183"/>
      <c r="X754" s="183"/>
      <c r="Y754" s="183"/>
      <c r="Z754" s="183"/>
    </row>
    <row r="755" ht="15.75" customHeight="1">
      <c r="A755" s="189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1"/>
      <c r="N755" s="181"/>
      <c r="O755" s="181"/>
      <c r="P755" s="181"/>
      <c r="Q755" s="181"/>
      <c r="R755" s="181"/>
      <c r="S755" s="182"/>
      <c r="T755" s="182"/>
      <c r="U755" s="182"/>
      <c r="V755" s="182"/>
      <c r="W755" s="183"/>
      <c r="X755" s="183"/>
      <c r="Y755" s="183"/>
      <c r="Z755" s="183"/>
    </row>
    <row r="756" ht="15.75" customHeight="1">
      <c r="A756" s="189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1"/>
      <c r="N756" s="181"/>
      <c r="O756" s="181"/>
      <c r="P756" s="181"/>
      <c r="Q756" s="181"/>
      <c r="R756" s="181"/>
      <c r="S756" s="182"/>
      <c r="T756" s="182"/>
      <c r="U756" s="182"/>
      <c r="V756" s="182"/>
      <c r="W756" s="183"/>
      <c r="X756" s="183"/>
      <c r="Y756" s="183"/>
      <c r="Z756" s="183"/>
    </row>
    <row r="757" ht="15.75" customHeight="1">
      <c r="A757" s="189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1"/>
      <c r="N757" s="181"/>
      <c r="O757" s="181"/>
      <c r="P757" s="181"/>
      <c r="Q757" s="181"/>
      <c r="R757" s="181"/>
      <c r="S757" s="182"/>
      <c r="T757" s="182"/>
      <c r="U757" s="182"/>
      <c r="V757" s="182"/>
      <c r="W757" s="183"/>
      <c r="X757" s="183"/>
      <c r="Y757" s="183"/>
      <c r="Z757" s="183"/>
    </row>
    <row r="758" ht="15.75" customHeight="1">
      <c r="A758" s="189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1"/>
      <c r="N758" s="181"/>
      <c r="O758" s="181"/>
      <c r="P758" s="181"/>
      <c r="Q758" s="181"/>
      <c r="R758" s="181"/>
      <c r="S758" s="182"/>
      <c r="T758" s="182"/>
      <c r="U758" s="182"/>
      <c r="V758" s="182"/>
      <c r="W758" s="183"/>
      <c r="X758" s="183"/>
      <c r="Y758" s="183"/>
      <c r="Z758" s="183"/>
    </row>
    <row r="759" ht="15.75" customHeight="1">
      <c r="A759" s="189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1"/>
      <c r="N759" s="181"/>
      <c r="O759" s="181"/>
      <c r="P759" s="181"/>
      <c r="Q759" s="181"/>
      <c r="R759" s="181"/>
      <c r="S759" s="182"/>
      <c r="T759" s="182"/>
      <c r="U759" s="182"/>
      <c r="V759" s="182"/>
      <c r="W759" s="183"/>
      <c r="X759" s="183"/>
      <c r="Y759" s="183"/>
      <c r="Z759" s="183"/>
    </row>
    <row r="760" ht="15.75" customHeight="1">
      <c r="A760" s="189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1"/>
      <c r="N760" s="181"/>
      <c r="O760" s="181"/>
      <c r="P760" s="181"/>
      <c r="Q760" s="181"/>
      <c r="R760" s="181"/>
      <c r="S760" s="182"/>
      <c r="T760" s="182"/>
      <c r="U760" s="182"/>
      <c r="V760" s="182"/>
      <c r="W760" s="183"/>
      <c r="X760" s="183"/>
      <c r="Y760" s="183"/>
      <c r="Z760" s="183"/>
    </row>
    <row r="761" ht="15.75" customHeight="1">
      <c r="A761" s="189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1"/>
      <c r="N761" s="181"/>
      <c r="O761" s="181"/>
      <c r="P761" s="181"/>
      <c r="Q761" s="181"/>
      <c r="R761" s="181"/>
      <c r="S761" s="182"/>
      <c r="T761" s="182"/>
      <c r="U761" s="182"/>
      <c r="V761" s="182"/>
      <c r="W761" s="183"/>
      <c r="X761" s="183"/>
      <c r="Y761" s="183"/>
      <c r="Z761" s="183"/>
    </row>
    <row r="762" ht="15.75" customHeight="1">
      <c r="A762" s="189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1"/>
      <c r="N762" s="181"/>
      <c r="O762" s="181"/>
      <c r="P762" s="181"/>
      <c r="Q762" s="181"/>
      <c r="R762" s="181"/>
      <c r="S762" s="182"/>
      <c r="T762" s="182"/>
      <c r="U762" s="182"/>
      <c r="V762" s="182"/>
      <c r="W762" s="183"/>
      <c r="X762" s="183"/>
      <c r="Y762" s="183"/>
      <c r="Z762" s="183"/>
    </row>
    <row r="763" ht="15.75" customHeight="1">
      <c r="A763" s="189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1"/>
      <c r="N763" s="181"/>
      <c r="O763" s="181"/>
      <c r="P763" s="181"/>
      <c r="Q763" s="181"/>
      <c r="R763" s="181"/>
      <c r="S763" s="182"/>
      <c r="T763" s="182"/>
      <c r="U763" s="182"/>
      <c r="V763" s="182"/>
      <c r="W763" s="183"/>
      <c r="X763" s="183"/>
      <c r="Y763" s="183"/>
      <c r="Z763" s="183"/>
    </row>
    <row r="764" ht="15.75" customHeight="1">
      <c r="A764" s="189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1"/>
      <c r="N764" s="181"/>
      <c r="O764" s="181"/>
      <c r="P764" s="181"/>
      <c r="Q764" s="181"/>
      <c r="R764" s="181"/>
      <c r="S764" s="182"/>
      <c r="T764" s="182"/>
      <c r="U764" s="182"/>
      <c r="V764" s="182"/>
      <c r="W764" s="183"/>
      <c r="X764" s="183"/>
      <c r="Y764" s="183"/>
      <c r="Z764" s="183"/>
    </row>
    <row r="765" ht="15.75" customHeight="1">
      <c r="A765" s="189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1"/>
      <c r="N765" s="181"/>
      <c r="O765" s="181"/>
      <c r="P765" s="181"/>
      <c r="Q765" s="181"/>
      <c r="R765" s="181"/>
      <c r="S765" s="182"/>
      <c r="T765" s="182"/>
      <c r="U765" s="182"/>
      <c r="V765" s="182"/>
      <c r="W765" s="183"/>
      <c r="X765" s="183"/>
      <c r="Y765" s="183"/>
      <c r="Z765" s="183"/>
    </row>
    <row r="766" ht="15.75" customHeight="1">
      <c r="A766" s="189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1"/>
      <c r="N766" s="181"/>
      <c r="O766" s="181"/>
      <c r="P766" s="181"/>
      <c r="Q766" s="181"/>
      <c r="R766" s="181"/>
      <c r="S766" s="182"/>
      <c r="T766" s="182"/>
      <c r="U766" s="182"/>
      <c r="V766" s="182"/>
      <c r="W766" s="183"/>
      <c r="X766" s="183"/>
      <c r="Y766" s="183"/>
      <c r="Z766" s="183"/>
    </row>
    <row r="767" ht="15.75" customHeight="1">
      <c r="A767" s="189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1"/>
      <c r="N767" s="181"/>
      <c r="O767" s="181"/>
      <c r="P767" s="181"/>
      <c r="Q767" s="181"/>
      <c r="R767" s="181"/>
      <c r="S767" s="182"/>
      <c r="T767" s="182"/>
      <c r="U767" s="182"/>
      <c r="V767" s="182"/>
      <c r="W767" s="183"/>
      <c r="X767" s="183"/>
      <c r="Y767" s="183"/>
      <c r="Z767" s="183"/>
    </row>
    <row r="768" ht="15.75" customHeight="1">
      <c r="A768" s="189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1"/>
      <c r="N768" s="181"/>
      <c r="O768" s="181"/>
      <c r="P768" s="181"/>
      <c r="Q768" s="181"/>
      <c r="R768" s="181"/>
      <c r="S768" s="182"/>
      <c r="T768" s="182"/>
      <c r="U768" s="182"/>
      <c r="V768" s="182"/>
      <c r="W768" s="183"/>
      <c r="X768" s="183"/>
      <c r="Y768" s="183"/>
      <c r="Z768" s="183"/>
    </row>
    <row r="769" ht="15.75" customHeight="1">
      <c r="A769" s="189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1"/>
      <c r="N769" s="181"/>
      <c r="O769" s="181"/>
      <c r="P769" s="181"/>
      <c r="Q769" s="181"/>
      <c r="R769" s="181"/>
      <c r="S769" s="182"/>
      <c r="T769" s="182"/>
      <c r="U769" s="182"/>
      <c r="V769" s="182"/>
      <c r="W769" s="183"/>
      <c r="X769" s="183"/>
      <c r="Y769" s="183"/>
      <c r="Z769" s="183"/>
    </row>
    <row r="770" ht="15.75" customHeight="1">
      <c r="A770" s="189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1"/>
      <c r="N770" s="181"/>
      <c r="O770" s="181"/>
      <c r="P770" s="181"/>
      <c r="Q770" s="181"/>
      <c r="R770" s="181"/>
      <c r="S770" s="182"/>
      <c r="T770" s="182"/>
      <c r="U770" s="182"/>
      <c r="V770" s="182"/>
      <c r="W770" s="183"/>
      <c r="X770" s="183"/>
      <c r="Y770" s="183"/>
      <c r="Z770" s="183"/>
    </row>
    <row r="771" ht="15.75" customHeight="1">
      <c r="A771" s="189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1"/>
      <c r="N771" s="181"/>
      <c r="O771" s="181"/>
      <c r="P771" s="181"/>
      <c r="Q771" s="181"/>
      <c r="R771" s="181"/>
      <c r="S771" s="182"/>
      <c r="T771" s="182"/>
      <c r="U771" s="182"/>
      <c r="V771" s="182"/>
      <c r="W771" s="183"/>
      <c r="X771" s="183"/>
      <c r="Y771" s="183"/>
      <c r="Z771" s="183"/>
    </row>
    <row r="772" ht="15.75" customHeight="1">
      <c r="A772" s="189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1"/>
      <c r="N772" s="181"/>
      <c r="O772" s="181"/>
      <c r="P772" s="181"/>
      <c r="Q772" s="181"/>
      <c r="R772" s="181"/>
      <c r="S772" s="182"/>
      <c r="T772" s="182"/>
      <c r="U772" s="182"/>
      <c r="V772" s="182"/>
      <c r="W772" s="183"/>
      <c r="X772" s="183"/>
      <c r="Y772" s="183"/>
      <c r="Z772" s="183"/>
    </row>
    <row r="773" ht="15.75" customHeight="1">
      <c r="A773" s="189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1"/>
      <c r="N773" s="181"/>
      <c r="O773" s="181"/>
      <c r="P773" s="181"/>
      <c r="Q773" s="181"/>
      <c r="R773" s="181"/>
      <c r="S773" s="182"/>
      <c r="T773" s="182"/>
      <c r="U773" s="182"/>
      <c r="V773" s="182"/>
      <c r="W773" s="183"/>
      <c r="X773" s="183"/>
      <c r="Y773" s="183"/>
      <c r="Z773" s="183"/>
    </row>
    <row r="774" ht="15.75" customHeight="1">
      <c r="A774" s="189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1"/>
      <c r="N774" s="181"/>
      <c r="O774" s="181"/>
      <c r="P774" s="181"/>
      <c r="Q774" s="181"/>
      <c r="R774" s="181"/>
      <c r="S774" s="182"/>
      <c r="T774" s="182"/>
      <c r="U774" s="182"/>
      <c r="V774" s="182"/>
      <c r="W774" s="183"/>
      <c r="X774" s="183"/>
      <c r="Y774" s="183"/>
      <c r="Z774" s="183"/>
    </row>
    <row r="775" ht="15.75" customHeight="1">
      <c r="A775" s="189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1"/>
      <c r="N775" s="181"/>
      <c r="O775" s="181"/>
      <c r="P775" s="181"/>
      <c r="Q775" s="181"/>
      <c r="R775" s="181"/>
      <c r="S775" s="182"/>
      <c r="T775" s="182"/>
      <c r="U775" s="182"/>
      <c r="V775" s="182"/>
      <c r="W775" s="183"/>
      <c r="X775" s="183"/>
      <c r="Y775" s="183"/>
      <c r="Z775" s="183"/>
    </row>
    <row r="776" ht="15.75" customHeight="1">
      <c r="A776" s="189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1"/>
      <c r="N776" s="181"/>
      <c r="O776" s="181"/>
      <c r="P776" s="181"/>
      <c r="Q776" s="181"/>
      <c r="R776" s="181"/>
      <c r="S776" s="182"/>
      <c r="T776" s="182"/>
      <c r="U776" s="182"/>
      <c r="V776" s="182"/>
      <c r="W776" s="183"/>
      <c r="X776" s="183"/>
      <c r="Y776" s="183"/>
      <c r="Z776" s="183"/>
    </row>
    <row r="777" ht="15.75" customHeight="1">
      <c r="A777" s="189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1"/>
      <c r="N777" s="181"/>
      <c r="O777" s="181"/>
      <c r="P777" s="181"/>
      <c r="Q777" s="181"/>
      <c r="R777" s="181"/>
      <c r="S777" s="182"/>
      <c r="T777" s="182"/>
      <c r="U777" s="182"/>
      <c r="V777" s="182"/>
      <c r="W777" s="183"/>
      <c r="X777" s="183"/>
      <c r="Y777" s="183"/>
      <c r="Z777" s="183"/>
    </row>
    <row r="778" ht="15.75" customHeight="1">
      <c r="A778" s="189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1"/>
      <c r="N778" s="181"/>
      <c r="O778" s="181"/>
      <c r="P778" s="181"/>
      <c r="Q778" s="181"/>
      <c r="R778" s="181"/>
      <c r="S778" s="182"/>
      <c r="T778" s="182"/>
      <c r="U778" s="182"/>
      <c r="V778" s="182"/>
      <c r="W778" s="183"/>
      <c r="X778" s="183"/>
      <c r="Y778" s="183"/>
      <c r="Z778" s="183"/>
    </row>
    <row r="779" ht="15.75" customHeight="1">
      <c r="A779" s="189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1"/>
      <c r="N779" s="181"/>
      <c r="O779" s="181"/>
      <c r="P779" s="181"/>
      <c r="Q779" s="181"/>
      <c r="R779" s="181"/>
      <c r="S779" s="182"/>
      <c r="T779" s="182"/>
      <c r="U779" s="182"/>
      <c r="V779" s="182"/>
      <c r="W779" s="183"/>
      <c r="X779" s="183"/>
      <c r="Y779" s="183"/>
      <c r="Z779" s="183"/>
    </row>
    <row r="780" ht="15.75" customHeight="1">
      <c r="A780" s="189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1"/>
      <c r="N780" s="181"/>
      <c r="O780" s="181"/>
      <c r="P780" s="181"/>
      <c r="Q780" s="181"/>
      <c r="R780" s="181"/>
      <c r="S780" s="182"/>
      <c r="T780" s="182"/>
      <c r="U780" s="182"/>
      <c r="V780" s="182"/>
      <c r="W780" s="183"/>
      <c r="X780" s="183"/>
      <c r="Y780" s="183"/>
      <c r="Z780" s="183"/>
    </row>
    <row r="781" ht="15.75" customHeight="1">
      <c r="A781" s="189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1"/>
      <c r="N781" s="181"/>
      <c r="O781" s="181"/>
      <c r="P781" s="181"/>
      <c r="Q781" s="181"/>
      <c r="R781" s="181"/>
      <c r="S781" s="182"/>
      <c r="T781" s="182"/>
      <c r="U781" s="182"/>
      <c r="V781" s="182"/>
      <c r="W781" s="183"/>
      <c r="X781" s="183"/>
      <c r="Y781" s="183"/>
      <c r="Z781" s="183"/>
    </row>
    <row r="782" ht="15.75" customHeight="1">
      <c r="A782" s="189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1"/>
      <c r="N782" s="181"/>
      <c r="O782" s="181"/>
      <c r="P782" s="181"/>
      <c r="Q782" s="181"/>
      <c r="R782" s="181"/>
      <c r="S782" s="182"/>
      <c r="T782" s="182"/>
      <c r="U782" s="182"/>
      <c r="V782" s="182"/>
      <c r="W782" s="183"/>
      <c r="X782" s="183"/>
      <c r="Y782" s="183"/>
      <c r="Z782" s="183"/>
    </row>
    <row r="783" ht="15.75" customHeight="1">
      <c r="A783" s="189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1"/>
      <c r="N783" s="181"/>
      <c r="O783" s="181"/>
      <c r="P783" s="181"/>
      <c r="Q783" s="181"/>
      <c r="R783" s="181"/>
      <c r="S783" s="182"/>
      <c r="T783" s="182"/>
      <c r="U783" s="182"/>
      <c r="V783" s="182"/>
      <c r="W783" s="183"/>
      <c r="X783" s="183"/>
      <c r="Y783" s="183"/>
      <c r="Z783" s="183"/>
    </row>
    <row r="784" ht="15.75" customHeight="1">
      <c r="A784" s="189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1"/>
      <c r="N784" s="181"/>
      <c r="O784" s="181"/>
      <c r="P784" s="181"/>
      <c r="Q784" s="181"/>
      <c r="R784" s="181"/>
      <c r="S784" s="182"/>
      <c r="T784" s="182"/>
      <c r="U784" s="182"/>
      <c r="V784" s="182"/>
      <c r="W784" s="183"/>
      <c r="X784" s="183"/>
      <c r="Y784" s="183"/>
      <c r="Z784" s="183"/>
    </row>
    <row r="785" ht="15.75" customHeight="1">
      <c r="A785" s="189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1"/>
      <c r="N785" s="181"/>
      <c r="O785" s="181"/>
      <c r="P785" s="181"/>
      <c r="Q785" s="181"/>
      <c r="R785" s="181"/>
      <c r="S785" s="182"/>
      <c r="T785" s="182"/>
      <c r="U785" s="182"/>
      <c r="V785" s="182"/>
      <c r="W785" s="183"/>
      <c r="X785" s="183"/>
      <c r="Y785" s="183"/>
      <c r="Z785" s="183"/>
    </row>
    <row r="786" ht="15.75" customHeight="1">
      <c r="A786" s="189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1"/>
      <c r="N786" s="181"/>
      <c r="O786" s="181"/>
      <c r="P786" s="181"/>
      <c r="Q786" s="181"/>
      <c r="R786" s="181"/>
      <c r="S786" s="182"/>
      <c r="T786" s="182"/>
      <c r="U786" s="182"/>
      <c r="V786" s="182"/>
      <c r="W786" s="183"/>
      <c r="X786" s="183"/>
      <c r="Y786" s="183"/>
      <c r="Z786" s="183"/>
    </row>
    <row r="787" ht="15.75" customHeight="1">
      <c r="A787" s="189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1"/>
      <c r="N787" s="181"/>
      <c r="O787" s="181"/>
      <c r="P787" s="181"/>
      <c r="Q787" s="181"/>
      <c r="R787" s="181"/>
      <c r="S787" s="182"/>
      <c r="T787" s="182"/>
      <c r="U787" s="182"/>
      <c r="V787" s="182"/>
      <c r="W787" s="183"/>
      <c r="X787" s="183"/>
      <c r="Y787" s="183"/>
      <c r="Z787" s="183"/>
    </row>
    <row r="788" ht="15.75" customHeight="1">
      <c r="A788" s="189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1"/>
      <c r="N788" s="181"/>
      <c r="O788" s="181"/>
      <c r="P788" s="181"/>
      <c r="Q788" s="181"/>
      <c r="R788" s="181"/>
      <c r="S788" s="182"/>
      <c r="T788" s="182"/>
      <c r="U788" s="182"/>
      <c r="V788" s="182"/>
      <c r="W788" s="183"/>
      <c r="X788" s="183"/>
      <c r="Y788" s="183"/>
      <c r="Z788" s="183"/>
    </row>
    <row r="789" ht="15.75" customHeight="1">
      <c r="A789" s="189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1"/>
      <c r="N789" s="181"/>
      <c r="O789" s="181"/>
      <c r="P789" s="181"/>
      <c r="Q789" s="181"/>
      <c r="R789" s="181"/>
      <c r="S789" s="182"/>
      <c r="T789" s="182"/>
      <c r="U789" s="182"/>
      <c r="V789" s="182"/>
      <c r="W789" s="183"/>
      <c r="X789" s="183"/>
      <c r="Y789" s="183"/>
      <c r="Z789" s="183"/>
    </row>
    <row r="790" ht="15.75" customHeight="1">
      <c r="A790" s="189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1"/>
      <c r="N790" s="181"/>
      <c r="O790" s="181"/>
      <c r="P790" s="181"/>
      <c r="Q790" s="181"/>
      <c r="R790" s="181"/>
      <c r="S790" s="182"/>
      <c r="T790" s="182"/>
      <c r="U790" s="182"/>
      <c r="V790" s="182"/>
      <c r="W790" s="183"/>
      <c r="X790" s="183"/>
      <c r="Y790" s="183"/>
      <c r="Z790" s="183"/>
    </row>
    <row r="791" ht="15.75" customHeight="1">
      <c r="A791" s="189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1"/>
      <c r="N791" s="181"/>
      <c r="O791" s="181"/>
      <c r="P791" s="181"/>
      <c r="Q791" s="181"/>
      <c r="R791" s="181"/>
      <c r="S791" s="182"/>
      <c r="T791" s="182"/>
      <c r="U791" s="182"/>
      <c r="V791" s="182"/>
      <c r="W791" s="183"/>
      <c r="X791" s="183"/>
      <c r="Y791" s="183"/>
      <c r="Z791" s="183"/>
    </row>
    <row r="792" ht="15.75" customHeight="1">
      <c r="A792" s="189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1"/>
      <c r="N792" s="181"/>
      <c r="O792" s="181"/>
      <c r="P792" s="181"/>
      <c r="Q792" s="181"/>
      <c r="R792" s="181"/>
      <c r="S792" s="182"/>
      <c r="T792" s="182"/>
      <c r="U792" s="182"/>
      <c r="V792" s="182"/>
      <c r="W792" s="183"/>
      <c r="X792" s="183"/>
      <c r="Y792" s="183"/>
      <c r="Z792" s="183"/>
    </row>
    <row r="793" ht="15.75" customHeight="1">
      <c r="A793" s="189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1"/>
      <c r="N793" s="181"/>
      <c r="O793" s="181"/>
      <c r="P793" s="181"/>
      <c r="Q793" s="181"/>
      <c r="R793" s="181"/>
      <c r="S793" s="182"/>
      <c r="T793" s="182"/>
      <c r="U793" s="182"/>
      <c r="V793" s="182"/>
      <c r="W793" s="183"/>
      <c r="X793" s="183"/>
      <c r="Y793" s="183"/>
      <c r="Z793" s="183"/>
    </row>
    <row r="794" ht="15.75" customHeight="1">
      <c r="A794" s="189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1"/>
      <c r="N794" s="181"/>
      <c r="O794" s="181"/>
      <c r="P794" s="181"/>
      <c r="Q794" s="181"/>
      <c r="R794" s="181"/>
      <c r="S794" s="182"/>
      <c r="T794" s="182"/>
      <c r="U794" s="182"/>
      <c r="V794" s="182"/>
      <c r="W794" s="183"/>
      <c r="X794" s="183"/>
      <c r="Y794" s="183"/>
      <c r="Z794" s="183"/>
    </row>
    <row r="795" ht="15.75" customHeight="1">
      <c r="A795" s="189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1"/>
      <c r="N795" s="181"/>
      <c r="O795" s="181"/>
      <c r="P795" s="181"/>
      <c r="Q795" s="181"/>
      <c r="R795" s="181"/>
      <c r="S795" s="182"/>
      <c r="T795" s="182"/>
      <c r="U795" s="182"/>
      <c r="V795" s="182"/>
      <c r="W795" s="183"/>
      <c r="X795" s="183"/>
      <c r="Y795" s="183"/>
      <c r="Z795" s="183"/>
    </row>
    <row r="796" ht="15.75" customHeight="1">
      <c r="A796" s="189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1"/>
      <c r="N796" s="181"/>
      <c r="O796" s="181"/>
      <c r="P796" s="181"/>
      <c r="Q796" s="181"/>
      <c r="R796" s="181"/>
      <c r="S796" s="182"/>
      <c r="T796" s="182"/>
      <c r="U796" s="182"/>
      <c r="V796" s="182"/>
      <c r="W796" s="183"/>
      <c r="X796" s="183"/>
      <c r="Y796" s="183"/>
      <c r="Z796" s="183"/>
    </row>
    <row r="797" ht="15.75" customHeight="1">
      <c r="A797" s="189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1"/>
      <c r="N797" s="181"/>
      <c r="O797" s="181"/>
      <c r="P797" s="181"/>
      <c r="Q797" s="181"/>
      <c r="R797" s="181"/>
      <c r="S797" s="182"/>
      <c r="T797" s="182"/>
      <c r="U797" s="182"/>
      <c r="V797" s="182"/>
      <c r="W797" s="183"/>
      <c r="X797" s="183"/>
      <c r="Y797" s="183"/>
      <c r="Z797" s="183"/>
    </row>
    <row r="798" ht="15.75" customHeight="1">
      <c r="A798" s="189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1"/>
      <c r="N798" s="181"/>
      <c r="O798" s="181"/>
      <c r="P798" s="181"/>
      <c r="Q798" s="181"/>
      <c r="R798" s="181"/>
      <c r="S798" s="182"/>
      <c r="T798" s="182"/>
      <c r="U798" s="182"/>
      <c r="V798" s="182"/>
      <c r="W798" s="183"/>
      <c r="X798" s="183"/>
      <c r="Y798" s="183"/>
      <c r="Z798" s="183"/>
    </row>
    <row r="799" ht="15.75" customHeight="1">
      <c r="A799" s="189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1"/>
      <c r="N799" s="181"/>
      <c r="O799" s="181"/>
      <c r="P799" s="181"/>
      <c r="Q799" s="181"/>
      <c r="R799" s="181"/>
      <c r="S799" s="182"/>
      <c r="T799" s="182"/>
      <c r="U799" s="182"/>
      <c r="V799" s="182"/>
      <c r="W799" s="183"/>
      <c r="X799" s="183"/>
      <c r="Y799" s="183"/>
      <c r="Z799" s="183"/>
    </row>
    <row r="800" ht="15.75" customHeight="1">
      <c r="A800" s="189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1"/>
      <c r="N800" s="181"/>
      <c r="O800" s="181"/>
      <c r="P800" s="181"/>
      <c r="Q800" s="181"/>
      <c r="R800" s="181"/>
      <c r="S800" s="182"/>
      <c r="T800" s="182"/>
      <c r="U800" s="182"/>
      <c r="V800" s="182"/>
      <c r="W800" s="183"/>
      <c r="X800" s="183"/>
      <c r="Y800" s="183"/>
      <c r="Z800" s="183"/>
    </row>
    <row r="801" ht="15.75" customHeight="1">
      <c r="A801" s="189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1"/>
      <c r="N801" s="181"/>
      <c r="O801" s="181"/>
      <c r="P801" s="181"/>
      <c r="Q801" s="181"/>
      <c r="R801" s="181"/>
      <c r="S801" s="182"/>
      <c r="T801" s="182"/>
      <c r="U801" s="182"/>
      <c r="V801" s="182"/>
      <c r="W801" s="183"/>
      <c r="X801" s="183"/>
      <c r="Y801" s="183"/>
      <c r="Z801" s="183"/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